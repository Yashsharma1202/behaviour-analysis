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ons_30PCT_SL_S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₹#,##0.00"/>
    <numFmt numFmtId="166" formatCode="+0.00%;-0.00%"/>
    <numFmt numFmtId="167" formatCode="-₹#,##0.00"/>
    <numFmt numFmtId="168" formatCode="-0.00%"/>
    <numFmt numFmtId="169" formatCode="+0.0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334155"/>
      <sz val="13"/>
    </font>
    <font>
      <name val="Segoe UI"/>
      <b val="1"/>
      <color rgb="0015803D"/>
      <sz val="16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15803D"/>
      <sz val="10"/>
    </font>
    <font>
      <name val="Segoe UI"/>
      <b val="1"/>
      <color rgb="00B91C1C"/>
      <sz val="10"/>
    </font>
    <font>
      <name val="Segoe UI"/>
      <b val="1"/>
      <color rgb="00B45309"/>
      <sz val="10"/>
    </font>
    <font>
      <name val="Segoe UI"/>
      <b val="1"/>
      <color rgb="00334155"/>
      <sz val="10"/>
    </font>
  </fonts>
  <fills count="11">
    <fill>
      <patternFill/>
    </fill>
    <fill>
      <patternFill patternType="gray125"/>
    </fill>
    <fill>
      <patternFill patternType="solid">
        <fgColor rgb="00065F46"/>
        <bgColor rgb="00065F46"/>
      </patternFill>
    </fill>
    <fill>
      <patternFill patternType="solid">
        <fgColor rgb="0010B981"/>
        <bgColor rgb="0010B981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047857"/>
        <bgColor rgb="0004785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E293B"/>
      </top>
      <bottom style="double">
        <color rgb="001E293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165" fontId="0" fillId="0" borderId="1" pivotButton="0" quotePrefix="0" xfId="0"/>
    <xf numFmtId="165" fontId="7" fillId="5" borderId="1" pivotButton="0" quotePrefix="0" xfId="0"/>
    <xf numFmtId="166" fontId="0" fillId="0" borderId="1" pivotButton="0" quotePrefix="0" xfId="0"/>
    <xf numFmtId="167" fontId="8" fillId="8" borderId="1" pivotButton="0" quotePrefix="0" xfId="0"/>
    <xf numFmtId="168" fontId="8" fillId="8" borderId="1" applyAlignment="1" pivotButton="0" quotePrefix="0" xfId="0">
      <alignment horizontal="center"/>
    </xf>
    <xf numFmtId="10" fontId="9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5" fontId="0" fillId="10" borderId="1" pivotButton="0" quotePrefix="0" xfId="0"/>
    <xf numFmtId="166" fontId="0" fillId="10" borderId="1" pivotButton="0" quotePrefix="0" xfId="0"/>
    <xf numFmtId="10" fontId="7" fillId="5" borderId="1" applyAlignment="1" pivotButton="0" quotePrefix="0" xfId="0">
      <alignment horizontal="center"/>
    </xf>
    <xf numFmtId="10" fontId="8" fillId="8" borderId="1" applyAlignment="1" pivotButton="0" quotePrefix="0" xfId="0">
      <alignment horizontal="center"/>
    </xf>
    <xf numFmtId="165" fontId="8" fillId="8" borderId="1" pivotButton="0" quotePrefix="0" xfId="0"/>
    <xf numFmtId="0" fontId="10" fillId="0" borderId="1" pivotButton="0" quotePrefix="0" xfId="0"/>
    <xf numFmtId="0" fontId="10" fillId="0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horizontal="center"/>
    </xf>
    <xf numFmtId="165" fontId="7" fillId="5" borderId="2" pivotButton="0" quotePrefix="0" xfId="0"/>
    <xf numFmtId="169" fontId="0" fillId="0" borderId="2" pivotButton="0" quotePrefix="0" xfId="0"/>
    <xf numFmtId="167" fontId="8" fillId="8" borderId="2" pivotButton="0" quotePrefix="0" xfId="0"/>
    <xf numFmtId="168" fontId="8" fillId="8" borderId="2" applyAlignment="1" pivotButton="0" quotePrefix="0" xfId="0">
      <alignment horizontal="center"/>
    </xf>
    <xf numFmtId="10" fontId="7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Consolidated 12-Quarter Net Option Buying P&amp;L (-30% SL Model) Trend (₹)</a:t>
            </a:r>
          </a:p>
        </rich>
      </tx>
    </title>
    <plotArea>
      <lineChart>
        <grouping val="standard"/>
        <ser>
          <idx val="0"/>
          <order val="0"/>
          <tx>
            <strRef>
              <f>'Options_30PCT_SL_Sum'!D7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'Options_30PCT_SL_Sum'!$A$8:$A$19</f>
            </numRef>
          </cat>
          <val>
            <numRef>
              <f>'Options_30PCT_SL_Sum'!$D$8:$D$19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32" customWidth="1" min="2" max="2"/>
    <col width="28" customWidth="1" min="3" max="3"/>
    <col width="32" customWidth="1" min="4" max="4"/>
    <col width="31" customWidth="1" min="5" max="5"/>
    <col width="49" customWidth="1" min="6" max="6"/>
    <col width="28" customWidth="1" min="7" max="7"/>
    <col width="32" customWidth="1" min="8" max="8"/>
    <col width="19" customWidth="1" min="9" max="9"/>
    <col width="18" customWidth="1" min="10" max="10"/>
  </cols>
  <sheetData>
    <row r="1" ht="40" customHeight="1">
      <c r="A1" s="1" t="inlineStr">
        <is>
          <t>NIFTY 50 OPTIONS STRATEGY — STRICT -30% STOP-LOSS MODEL SUMMARY DASHBOARD</t>
        </is>
      </c>
    </row>
    <row r="2"/>
    <row r="3" ht="20" customHeight="1">
      <c r="A3" s="2" t="inlineStr">
        <is>
          <t>TOTAL TRADES / SL HITS</t>
        </is>
      </c>
      <c r="B3" s="3" t="n"/>
      <c r="C3" s="2" t="inlineStr">
        <is>
          <t>GLOBAL WIN RATE</t>
        </is>
      </c>
      <c r="D3" s="3" t="n"/>
      <c r="E3" s="3" t="n"/>
      <c r="F3" s="2" t="inlineStr">
        <is>
          <t>TOTAL 12-QUARTER NET OPTION PROFIT (-30% SL)</t>
        </is>
      </c>
      <c r="G3" s="3" t="n"/>
      <c r="H3" s="3" t="n"/>
      <c r="I3" s="3" t="n"/>
      <c r="J3" s="3" t="n"/>
    </row>
    <row r="4" ht="28" customHeight="1">
      <c r="A4" s="4" t="inlineStr">
        <is>
          <t>600 Trades (287 SL Hits)</t>
        </is>
      </c>
      <c r="B4" s="3" t="n"/>
      <c r="C4" s="5" t="n">
        <v>0.445</v>
      </c>
      <c r="D4" s="3" t="n"/>
      <c r="E4" s="3" t="n"/>
      <c r="F4" s="6" t="n">
        <v>5679906.08</v>
      </c>
      <c r="G4" s="3" t="n"/>
      <c r="H4" s="3" t="n"/>
      <c r="I4" s="3" t="n"/>
      <c r="J4" s="3" t="n"/>
    </row>
    <row r="5"/>
    <row r="6" ht="24" customHeight="1">
      <c r="A6" s="7" t="inlineStr">
        <is>
          <t>CONSOLIDATED 12-QUARTER PERFORMANCE SCORECARD (-30% STOP LOSS RULE APPLIED)</t>
        </is>
      </c>
    </row>
    <row r="7" ht="26" customHeight="1">
      <c r="A7" s="8" t="inlineStr">
        <is>
          <t>Quarter</t>
        </is>
      </c>
      <c r="B7" s="8" t="inlineStr">
        <is>
          <t>Peak Concurrent Capital (₹)</t>
        </is>
      </c>
      <c r="C7" s="8" t="inlineStr">
        <is>
          <t>Peak Date (Open Trades)</t>
        </is>
      </c>
      <c r="D7" s="8" t="inlineStr">
        <is>
          <t>Net Option Realised P&amp;L (₹)</t>
        </is>
      </c>
      <c r="E7" s="8" t="inlineStr">
        <is>
          <t>Return on Peak Capital (%)</t>
        </is>
      </c>
      <c r="F7" s="8" t="inlineStr">
        <is>
          <t>Max Realised Drawdown (₹)</t>
        </is>
      </c>
      <c r="G7" s="8" t="inlineStr">
        <is>
          <t>DD % on Initial Capital</t>
        </is>
      </c>
      <c r="H7" s="8" t="inlineStr">
        <is>
          <t>True DD % on Peak Portfolio</t>
        </is>
      </c>
      <c r="I7" s="8" t="inlineStr">
        <is>
          <t>SL Hits (-30%)</t>
        </is>
      </c>
      <c r="J7" s="8" t="inlineStr">
        <is>
          <t>Win Rate (%)</t>
        </is>
      </c>
    </row>
    <row r="8" ht="21" customHeight="1">
      <c r="A8" s="9" t="inlineStr">
        <is>
          <t>Q3 2023-24</t>
        </is>
      </c>
      <c r="B8" s="10" t="n">
        <v>383273.94</v>
      </c>
      <c r="C8" s="9" t="inlineStr">
        <is>
          <t>2023-10-31 (24 Trades)</t>
        </is>
      </c>
      <c r="D8" s="11" t="n">
        <v>296963.35</v>
      </c>
      <c r="E8" s="12" t="n">
        <v>0.774807047930261</v>
      </c>
      <c r="F8" s="13" t="n">
        <v>-27571.97</v>
      </c>
      <c r="G8" s="14" t="n">
        <v>-0.07190000000000001</v>
      </c>
      <c r="H8" s="14" t="n">
        <v>-0.039</v>
      </c>
      <c r="I8" s="9" t="n">
        <v>14</v>
      </c>
      <c r="J8" s="15" t="n">
        <v>0.6</v>
      </c>
    </row>
    <row r="9" ht="21" customHeight="1">
      <c r="A9" s="16" t="inlineStr">
        <is>
          <t>Q4 2023-24</t>
        </is>
      </c>
      <c r="B9" s="17" t="n">
        <v>530856.42</v>
      </c>
      <c r="C9" s="16" t="inlineStr">
        <is>
          <t>2024-01-29 (27 Trades)</t>
        </is>
      </c>
      <c r="D9" s="11" t="n">
        <v>1235977.2</v>
      </c>
      <c r="E9" s="18" t="n">
        <v>2.328270231713502</v>
      </c>
      <c r="F9" s="13" t="n">
        <v>-19274.69</v>
      </c>
      <c r="G9" s="14" t="n">
        <v>-0.0363</v>
      </c>
      <c r="H9" s="14" t="n">
        <v>-0.0108</v>
      </c>
      <c r="I9" s="16" t="n">
        <v>8</v>
      </c>
      <c r="J9" s="19" t="n">
        <v>0.76</v>
      </c>
    </row>
    <row r="10" ht="21" customHeight="1">
      <c r="A10" s="9" t="inlineStr">
        <is>
          <t>Q1 2024-25</t>
        </is>
      </c>
      <c r="B10" s="10" t="n">
        <v>297711.33</v>
      </c>
      <c r="C10" s="9" t="inlineStr">
        <is>
          <t>2024-04-25 (17 Trades)</t>
        </is>
      </c>
      <c r="D10" s="11" t="n">
        <v>296633.7</v>
      </c>
      <c r="E10" s="12" t="n">
        <v>0.9963802855605126</v>
      </c>
      <c r="F10" s="13" t="n">
        <v>-37069.51</v>
      </c>
      <c r="G10" s="14" t="n">
        <v>-0.1245</v>
      </c>
      <c r="H10" s="14" t="n">
        <v>-0.07969999999999999</v>
      </c>
      <c r="I10" s="9" t="n">
        <v>29</v>
      </c>
      <c r="J10" s="20" t="n">
        <v>0.38</v>
      </c>
    </row>
    <row r="11" ht="21" customHeight="1">
      <c r="A11" s="16" t="inlineStr">
        <is>
          <t>Q2 2024-25</t>
        </is>
      </c>
      <c r="B11" s="17" t="n">
        <v>382560.29</v>
      </c>
      <c r="C11" s="16" t="inlineStr">
        <is>
          <t>2024-07-30 (14 Trades)</t>
        </is>
      </c>
      <c r="D11" s="11" t="n">
        <v>476153.25</v>
      </c>
      <c r="E11" s="18" t="n">
        <v>1.244648915338286</v>
      </c>
      <c r="F11" s="13" t="n">
        <v>-41810.1</v>
      </c>
      <c r="G11" s="14" t="n">
        <v>-0.1093</v>
      </c>
      <c r="H11" s="14" t="n">
        <v>-0.0793</v>
      </c>
      <c r="I11" s="16" t="n">
        <v>26</v>
      </c>
      <c r="J11" s="20" t="n">
        <v>0.36</v>
      </c>
    </row>
    <row r="12" ht="21" customHeight="1">
      <c r="A12" s="9" t="inlineStr">
        <is>
          <t>Q3 2024-25</t>
        </is>
      </c>
      <c r="B12" s="10" t="n">
        <v>271397.18</v>
      </c>
      <c r="C12" s="9" t="inlineStr">
        <is>
          <t>2024-10-22 (15 Trades)</t>
        </is>
      </c>
      <c r="D12" s="11" t="n">
        <v>182144.05</v>
      </c>
      <c r="E12" s="12" t="n">
        <v>0.6711346448036046</v>
      </c>
      <c r="F12" s="13" t="n">
        <v>-40687.13</v>
      </c>
      <c r="G12" s="14" t="n">
        <v>-0.1499</v>
      </c>
      <c r="H12" s="14" t="n">
        <v>-0.1499</v>
      </c>
      <c r="I12" s="9" t="n">
        <v>28</v>
      </c>
      <c r="J12" s="20" t="n">
        <v>0.34</v>
      </c>
    </row>
    <row r="13" ht="21" customHeight="1">
      <c r="A13" s="16" t="inlineStr">
        <is>
          <t>Q4 2024-25</t>
        </is>
      </c>
      <c r="B13" s="17" t="n">
        <v>254077.87</v>
      </c>
      <c r="C13" s="16" t="inlineStr">
        <is>
          <t>2025-01-23 (15 Trades)</t>
        </is>
      </c>
      <c r="D13" s="11" t="n">
        <v>403378.4</v>
      </c>
      <c r="E13" s="18" t="n">
        <v>1.587617213573146</v>
      </c>
      <c r="F13" s="13" t="n">
        <v>-35176.37</v>
      </c>
      <c r="G13" s="14" t="n">
        <v>-0.1384</v>
      </c>
      <c r="H13" s="14" t="n">
        <v>-0.06419999999999999</v>
      </c>
      <c r="I13" s="16" t="n">
        <v>27</v>
      </c>
      <c r="J13" s="20" t="n">
        <v>0.44</v>
      </c>
    </row>
    <row r="14" ht="21" customHeight="1">
      <c r="A14" s="9" t="inlineStr">
        <is>
          <t>Q1 2025-26</t>
        </is>
      </c>
      <c r="B14" s="10" t="n">
        <v>279858.6</v>
      </c>
      <c r="C14" s="9" t="inlineStr">
        <is>
          <t>2025-04-28 (14 Trades)</t>
        </is>
      </c>
      <c r="D14" s="11" t="n">
        <v>511136.66</v>
      </c>
      <c r="E14" s="12" t="n">
        <v>1.826410408684957</v>
      </c>
      <c r="F14" s="13" t="n">
        <v>-30388.17</v>
      </c>
      <c r="G14" s="14" t="n">
        <v>-0.1086</v>
      </c>
      <c r="H14" s="14" t="n">
        <v>-0.096</v>
      </c>
      <c r="I14" s="9" t="n">
        <v>28</v>
      </c>
      <c r="J14" s="20" t="n">
        <v>0.42</v>
      </c>
    </row>
    <row r="15" ht="21" customHeight="1">
      <c r="A15" s="16" t="inlineStr">
        <is>
          <t>Q2 2025-26</t>
        </is>
      </c>
      <c r="B15" s="17" t="n">
        <v>363263.11</v>
      </c>
      <c r="C15" s="16" t="inlineStr">
        <is>
          <t>2025-07-28 (19 Trades)</t>
        </is>
      </c>
      <c r="D15" s="21" t="n">
        <v>-59648.93</v>
      </c>
      <c r="E15" s="18" t="n">
        <v>-0.1642031033649412</v>
      </c>
      <c r="F15" s="13" t="n">
        <v>-128216.16</v>
      </c>
      <c r="G15" s="14" t="n">
        <v>-0.353</v>
      </c>
      <c r="H15" s="14" t="n">
        <v>-0.3413</v>
      </c>
      <c r="I15" s="16" t="n">
        <v>35</v>
      </c>
      <c r="J15" s="20" t="n">
        <v>0.22</v>
      </c>
    </row>
    <row r="16" ht="21" customHeight="1">
      <c r="A16" s="9" t="inlineStr">
        <is>
          <t>Q3 2025-26</t>
        </is>
      </c>
      <c r="B16" s="10" t="n">
        <v>302790.4</v>
      </c>
      <c r="C16" s="9" t="inlineStr">
        <is>
          <t>2025-10-29 (12 Trades)</t>
        </is>
      </c>
      <c r="D16" s="11" t="n">
        <v>359225.74</v>
      </c>
      <c r="E16" s="12" t="n">
        <v>1.186384178626535</v>
      </c>
      <c r="F16" s="13" t="n">
        <v>-42191.44</v>
      </c>
      <c r="G16" s="14" t="n">
        <v>-0.1393</v>
      </c>
      <c r="H16" s="14" t="n">
        <v>-0.1282</v>
      </c>
      <c r="I16" s="9" t="n">
        <v>26</v>
      </c>
      <c r="J16" s="20" t="n">
        <v>0.38</v>
      </c>
    </row>
    <row r="17" ht="21" customHeight="1">
      <c r="A17" s="16" t="inlineStr">
        <is>
          <t>Q4 2025-26</t>
        </is>
      </c>
      <c r="B17" s="17" t="n">
        <v>362081</v>
      </c>
      <c r="C17" s="16" t="inlineStr">
        <is>
          <t>2026-02-03 (16 Trades)</t>
        </is>
      </c>
      <c r="D17" s="11" t="n">
        <v>800689.08</v>
      </c>
      <c r="E17" s="18" t="n">
        <v>2.211353481679514</v>
      </c>
      <c r="F17" s="13" t="n">
        <v>-27207.12</v>
      </c>
      <c r="G17" s="14" t="n">
        <v>-0.0751</v>
      </c>
      <c r="H17" s="14" t="n">
        <v>-0.0237</v>
      </c>
      <c r="I17" s="16" t="n">
        <v>22</v>
      </c>
      <c r="J17" s="20" t="n">
        <v>0.48</v>
      </c>
    </row>
    <row r="18" ht="21" customHeight="1">
      <c r="A18" s="9" t="inlineStr">
        <is>
          <t>Q1 2026-27</t>
        </is>
      </c>
      <c r="B18" s="10" t="n">
        <v>233967.8</v>
      </c>
      <c r="C18" s="9" t="inlineStr">
        <is>
          <t>2026-05-21 (8 Trades)</t>
        </is>
      </c>
      <c r="D18" s="11" t="n">
        <v>314988.31</v>
      </c>
      <c r="E18" s="12" t="n">
        <v>1.346289147480978</v>
      </c>
      <c r="F18" s="13" t="n">
        <v>-59921.64</v>
      </c>
      <c r="G18" s="14" t="n">
        <v>-0.2561</v>
      </c>
      <c r="H18" s="14" t="n">
        <v>-0.2163</v>
      </c>
      <c r="I18" s="9" t="n">
        <v>32</v>
      </c>
      <c r="J18" s="20" t="n">
        <v>0.32</v>
      </c>
    </row>
    <row r="19" ht="21" customHeight="1">
      <c r="A19" s="16" t="inlineStr">
        <is>
          <t>Q2 2026-27</t>
        </is>
      </c>
      <c r="B19" s="17" t="n">
        <v>650046.35</v>
      </c>
      <c r="C19" s="16" t="inlineStr">
        <is>
          <t>2026-07-27 (28 Trades)</t>
        </is>
      </c>
      <c r="D19" s="11" t="n">
        <v>862265.27</v>
      </c>
      <c r="E19" s="18" t="n">
        <v>1.326467366519326</v>
      </c>
      <c r="F19" s="13" t="n">
        <v>-16434.6</v>
      </c>
      <c r="G19" s="14" t="n">
        <v>-0.0253</v>
      </c>
      <c r="H19" s="14" t="n">
        <v>-0.0115</v>
      </c>
      <c r="I19" s="16" t="n">
        <v>12</v>
      </c>
      <c r="J19" s="15" t="n">
        <v>0.64</v>
      </c>
    </row>
    <row r="20" ht="24" customHeight="1">
      <c r="A20" s="22" t="inlineStr">
        <is>
          <t>12-QUARTER TOTAL</t>
        </is>
      </c>
      <c r="B20" s="9" t="inlineStr">
        <is>
          <t>—</t>
        </is>
      </c>
      <c r="C20" s="9" t="inlineStr">
        <is>
          <t>—</t>
        </is>
      </c>
      <c r="D20" s="11" t="n">
        <v>5679906.08</v>
      </c>
      <c r="E20" s="9" t="inlineStr">
        <is>
          <t>—</t>
        </is>
      </c>
      <c r="F20" s="13" t="n">
        <v>-128216.16</v>
      </c>
      <c r="G20" s="14" t="n">
        <v>-0.353</v>
      </c>
      <c r="H20" s="14" t="n">
        <v>-0.3413</v>
      </c>
      <c r="I20" s="9" t="n">
        <v>287</v>
      </c>
      <c r="J20" s="19" t="n">
        <v>0.445</v>
      </c>
    </row>
    <row r="21" ht="24" customHeight="1">
      <c r="A21" s="23" t="inlineStr">
        <is>
          <t>QUARTERLY AVERAGE</t>
        </is>
      </c>
      <c r="B21" s="24" t="n">
        <v>359323.6908333334</v>
      </c>
      <c r="C21" s="25" t="inlineStr">
        <is>
          <t>Avg ~17 Trades</t>
        </is>
      </c>
      <c r="D21" s="26" t="n">
        <v>473325.5066666667</v>
      </c>
      <c r="E21" s="27" t="n">
        <v>1.27796331821214</v>
      </c>
      <c r="F21" s="28" t="n">
        <v>-42162.40833333333</v>
      </c>
      <c r="G21" s="29" t="n">
        <v>-0.1323083333333333</v>
      </c>
      <c r="H21" s="29" t="n">
        <v>-0.103325</v>
      </c>
      <c r="I21" s="25" t="n">
        <v>23.9</v>
      </c>
      <c r="J21" s="30" t="n">
        <v>0.445</v>
      </c>
    </row>
  </sheetData>
  <mergeCells count="8">
    <mergeCell ref="A4:B4"/>
    <mergeCell ref="A1:J1"/>
    <mergeCell ref="F3:J3"/>
    <mergeCell ref="A6:J6"/>
    <mergeCell ref="C4:E4"/>
    <mergeCell ref="C3:E3"/>
    <mergeCell ref="A3:B3"/>
    <mergeCell ref="F4:J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2026-08-27T08:57:40Z</dcterms:created>
  <dcterms:modified xmlns:dcterms="http://purl.org/dc/terms/" xmlns:xsi="http://www.w3.org/2001/XMLSchema-instance" xsi:type="dcterms:W3CDTF">2026-08-27T08:57:40Z</dcterms:modified>
</cp:coreProperties>
</file>