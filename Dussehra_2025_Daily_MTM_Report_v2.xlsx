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1080" windowWidth="24135" windowHeight="11385"/>
  </bookViews>
  <sheets>
    <sheet name="Daily_MTM_Grid_2025" sheetId="1" r:id="rId1"/>
    <sheet name="Event_Performance_Summary" sheetId="2" r:id="rId2"/>
  </sheets>
  <calcPr calcId="124519"/>
</workbook>
</file>

<file path=xl/sharedStrings.xml><?xml version="1.0" encoding="utf-8"?>
<sst xmlns="http://schemas.openxmlformats.org/spreadsheetml/2006/main" count="447" uniqueCount="195">
  <si>
    <t>DUSSEHRA 2025 — DAILY MARK-TO-MARKET, ALL STOCKS (point-in-time)</t>
  </si>
  <si>
    <t>Anchor 2-Oct-2025. 51 of 51 stocks covered (2 LOW confidence — JIOFIN/BSE, relaxed window search due to thin prior history; see Basis column). Blank date-cell = stock not yet in its own window on that date. MTM in ₹, 1 lot. Entry Price = Open (09:20 AM proxy); Exit Price = Close (15:15 PM proxy), per the project’s 09:20 entry / 15:15 exit execution convention.</t>
  </si>
  <si>
    <t>Symbol</t>
  </si>
  <si>
    <t>19-Sep</t>
  </si>
  <si>
    <t>21-Sep</t>
  </si>
  <si>
    <t>22-Sep</t>
  </si>
  <si>
    <t>23-Sep</t>
  </si>
  <si>
    <t>24-Sep</t>
  </si>
  <si>
    <t>25-Sep</t>
  </si>
  <si>
    <t>26-Sep</t>
  </si>
  <si>
    <t>28-Sep</t>
  </si>
  <si>
    <t>29-Sep</t>
  </si>
  <si>
    <t>30-Sep</t>
  </si>
  <si>
    <t>01-Oct</t>
  </si>
  <si>
    <t>02-Oct</t>
  </si>
  <si>
    <t>03-Oct</t>
  </si>
  <si>
    <t>05-Oct</t>
  </si>
  <si>
    <t>06-Oct</t>
  </si>
  <si>
    <t>07-Oct</t>
  </si>
  <si>
    <t>08-Oct</t>
  </si>
  <si>
    <t>09-Oct</t>
  </si>
  <si>
    <t>10-Oct</t>
  </si>
  <si>
    <t>12-Oct</t>
  </si>
  <si>
    <t>13-Oct</t>
  </si>
  <si>
    <t>14-Oct</t>
  </si>
  <si>
    <t>Direction</t>
  </si>
  <si>
    <t>Window</t>
  </si>
  <si>
    <t>Entry Date</t>
  </si>
  <si>
    <t>Entry Price (₹ @ 09:20)</t>
  </si>
  <si>
    <t>Exit Date</t>
  </si>
  <si>
    <t>Exit Price (₹ @ 15:15)</t>
  </si>
  <si>
    <t>Margin (₹)</t>
  </si>
  <si>
    <t>Cumulative PnL (₹)</t>
  </si>
  <si>
    <t>Max DD (₹)</t>
  </si>
  <si>
    <t>Sharpe</t>
  </si>
  <si>
    <t>VaR 95% (₹)</t>
  </si>
  <si>
    <t>Confidence</t>
  </si>
  <si>
    <t>Basis</t>
  </si>
  <si>
    <t>ADANIENT</t>
  </si>
  <si>
    <t>SHORT</t>
  </si>
  <si>
    <t>T-3 to T+1</t>
  </si>
  <si>
    <t>28-Sep-2025</t>
  </si>
  <si>
    <t>05-Oct-2025</t>
  </si>
  <si>
    <t>OK</t>
  </si>
  <si>
    <t>walk-forward, n=23 prior years (full 3yr-minimum method)</t>
  </si>
  <si>
    <t>ADANIPORTS</t>
  </si>
  <si>
    <t>T-6 to T+1</t>
  </si>
  <si>
    <t>23-Sep-2025</t>
  </si>
  <si>
    <t>walk-forward, n=15 prior years (full 3yr-minimum method)</t>
  </si>
  <si>
    <t>APOLLOHOSP</t>
  </si>
  <si>
    <t>T-8 to T+2</t>
  </si>
  <si>
    <t>21-Sep-2025</t>
  </si>
  <si>
    <t>06-Oct-2025</t>
  </si>
  <si>
    <t>ASIANPAINT</t>
  </si>
  <si>
    <t>T-7 to T+3</t>
  </si>
  <si>
    <t>22-Sep-2025</t>
  </si>
  <si>
    <t>07-Oct-2025</t>
  </si>
  <si>
    <t>AXISBANK</t>
  </si>
  <si>
    <t>LONG</t>
  </si>
  <si>
    <t>T-4 to T+8</t>
  </si>
  <si>
    <t>25-Sep-2025</t>
  </si>
  <si>
    <t>14-Oct-2025</t>
  </si>
  <si>
    <t>BAJAJ-AUTO</t>
  </si>
  <si>
    <t>T-4 to T+3</t>
  </si>
  <si>
    <t>BAJAJFINSV</t>
  </si>
  <si>
    <t>T-8 to T+1</t>
  </si>
  <si>
    <t>BAJFINANCE</t>
  </si>
  <si>
    <t>T-8 to T+6</t>
  </si>
  <si>
    <t>12-Oct-2025</t>
  </si>
  <si>
    <t>BEL</t>
  </si>
  <si>
    <t>19-Sep-2025</t>
  </si>
  <si>
    <t>10-Oct-2025</t>
  </si>
  <si>
    <t>walk-forward, n=4 prior years (full 3yr-minimum method)</t>
  </si>
  <si>
    <t>BHARTIARTL</t>
  </si>
  <si>
    <t>T-1 to T+1</t>
  </si>
  <si>
    <t>30-Sep-2025</t>
  </si>
  <si>
    <t>walk-forward, n=21 prior years (full 3yr-minimum method)</t>
  </si>
  <si>
    <t>BSE</t>
  </si>
  <si>
    <t>T-2 to T+5</t>
  </si>
  <si>
    <t>29-Sep-2025</t>
  </si>
  <si>
    <t>09-Oct-2025</t>
  </si>
  <si>
    <t>LOW</t>
  </si>
  <si>
    <t>default (zero prior history)</t>
  </si>
  <si>
    <t>CIPLA</t>
  </si>
  <si>
    <t>T-2 to T+1</t>
  </si>
  <si>
    <t>COALINDIA</t>
  </si>
  <si>
    <t>T-4 to T+2</t>
  </si>
  <si>
    <t>walk-forward, n=12 prior years (full 3yr-minimum method)</t>
  </si>
  <si>
    <t>DRREDDY</t>
  </si>
  <si>
    <t>T-2 to T+2</t>
  </si>
  <si>
    <t>EICHERMOT</t>
  </si>
  <si>
    <t>T-1 to T+4</t>
  </si>
  <si>
    <t>08-Oct-2025</t>
  </si>
  <si>
    <t>ETERNAL</t>
  </si>
  <si>
    <t>T-8 to T+5</t>
  </si>
  <si>
    <t>walk-forward, n=2 prior years (full 3yr-minimum method)</t>
  </si>
  <si>
    <t>GRASIM</t>
  </si>
  <si>
    <t>T-6 to T+2</t>
  </si>
  <si>
    <t>HCLTECH</t>
  </si>
  <si>
    <t>HDFCBANK</t>
  </si>
  <si>
    <t>T-6 to T+8</t>
  </si>
  <si>
    <t>HDFCLIFE</t>
  </si>
  <si>
    <t>walk-forward, n=5 prior years (full 3yr-minimum method)</t>
  </si>
  <si>
    <t>HINDALCO</t>
  </si>
  <si>
    <t>HINDUNILVR</t>
  </si>
  <si>
    <t>T-7 to T+2</t>
  </si>
  <si>
    <t>ICICIBANK</t>
  </si>
  <si>
    <t>T-2 to T+8</t>
  </si>
  <si>
    <t>INDIGO</t>
  </si>
  <si>
    <t>walk-forward, n=7 prior years (full 3yr-minimum method)</t>
  </si>
  <si>
    <t>INFY</t>
  </si>
  <si>
    <t>T-3 to T+3</t>
  </si>
  <si>
    <t>ITC</t>
  </si>
  <si>
    <t>T-7 to T+6</t>
  </si>
  <si>
    <t>JIOFIN</t>
  </si>
  <si>
    <t>T-8 to T+8</t>
  </si>
  <si>
    <t>relaxed search, n=2 prior year(s)</t>
  </si>
  <si>
    <t>JSWSTEEL</t>
  </si>
  <si>
    <t>T-2 to T+4</t>
  </si>
  <si>
    <t>walk-forward, n=18 prior years (full 3yr-minimum method)</t>
  </si>
  <si>
    <t>KOTAKBANK</t>
  </si>
  <si>
    <t>T-7 to T+8</t>
  </si>
  <si>
    <t>LT</t>
  </si>
  <si>
    <t>T-7 to T+1</t>
  </si>
  <si>
    <t>walk-forward, n=19 prior years (full 3yr-minimum method)</t>
  </si>
  <si>
    <t>M&amp;M</t>
  </si>
  <si>
    <t>T-2 to T+7</t>
  </si>
  <si>
    <t>13-Oct-2025</t>
  </si>
  <si>
    <t>MARUTI</t>
  </si>
  <si>
    <t>T-1 to T+3</t>
  </si>
  <si>
    <t>walk-forward, n=20 prior years (full 3yr-minimum method)</t>
  </si>
  <si>
    <t>MAXHEALTH</t>
  </si>
  <si>
    <t>walk-forward, n=3 prior years (full 3yr-minimum method)</t>
  </si>
  <si>
    <t>NESTLEIND</t>
  </si>
  <si>
    <t>T-5 to T+7</t>
  </si>
  <si>
    <t>24-Sep-2025</t>
  </si>
  <si>
    <t>walk-forward, n=13 prior years (full 3yr-minimum method)</t>
  </si>
  <si>
    <t>NTPC</t>
  </si>
  <si>
    <t>T-8 to T+7</t>
  </si>
  <si>
    <t>ONGC</t>
  </si>
  <si>
    <t>POWERGRID</t>
  </si>
  <si>
    <t>walk-forward, n=16 prior years (full 3yr-minimum method)</t>
  </si>
  <si>
    <t>RELIANCE</t>
  </si>
  <si>
    <t>SBILIFE</t>
  </si>
  <si>
    <t>SBIN</t>
  </si>
  <si>
    <t>SHRIRAMFIN</t>
  </si>
  <si>
    <t>SUNPHARMA</t>
  </si>
  <si>
    <t>TATACONSUM</t>
  </si>
  <si>
    <t>T-5 to T+5</t>
  </si>
  <si>
    <t>TATASTEEL</t>
  </si>
  <si>
    <t>T-5 to T+8</t>
  </si>
  <si>
    <t>TCS</t>
  </si>
  <si>
    <t>T-1 to T+2</t>
  </si>
  <si>
    <t>TECHM</t>
  </si>
  <si>
    <t>walk-forward, n=17 prior years (full 3yr-minimum method)</t>
  </si>
  <si>
    <t>TITAN</t>
  </si>
  <si>
    <t>TMPV</t>
  </si>
  <si>
    <t>TRENT</t>
  </si>
  <si>
    <t>T-8 to T+3</t>
  </si>
  <si>
    <t>ULTRACEMCO</t>
  </si>
  <si>
    <t>WIPRO</t>
  </si>
  <si>
    <t>DUSSEHRA 2025 — WHOLE-EVENT PERFORMANCE SUMMARY (all stocks combined, 1 lot each)</t>
  </si>
  <si>
    <t>Stocks traded</t>
  </si>
  <si>
    <t>51 of 51</t>
  </si>
  <si>
    <t>Win rate (stocks ending profitable)</t>
  </si>
  <si>
    <t>49.0% (25/51)</t>
  </si>
  <si>
    <t>Average return per stock</t>
  </si>
  <si>
    <t>+0.71%</t>
  </si>
  <si>
    <t>Total margin deployed (₹, 1 lot each)</t>
  </si>
  <si>
    <t>7,215,763</t>
  </si>
  <si>
    <t>Final combined PnL (₹)</t>
  </si>
  <si>
    <t>317,446</t>
  </si>
  <si>
    <t>Return on margin deployed</t>
  </si>
  <si>
    <t>+4.40%</t>
  </si>
  <si>
    <t>Portfolio Max Drawdown (₹, intraday across the event)</t>
  </si>
  <si>
    <t>-181,928</t>
  </si>
  <si>
    <t>Portfolio Sharpe-like (daily PnL-change based)</t>
  </si>
  <si>
    <t>0.291</t>
  </si>
  <si>
    <t>Portfolio VaR 95% (₹, worst-5% single-day PnL swing)</t>
  </si>
  <si>
    <t>-124,644</t>
  </si>
  <si>
    <t>Best stock</t>
  </si>
  <si>
    <t>BSE (+146,500 ₹, LONG)</t>
  </si>
  <si>
    <t>Worst stock</t>
  </si>
  <si>
    <t>HINDALCO (-33,320 ₹, SHORT)</t>
  </si>
  <si>
    <t>PORTFOLIO DAILY CUMULATIVE MTM (date-wise, all stocks summed)</t>
  </si>
  <si>
    <t>Date</t>
  </si>
  <si>
    <t>Portfolio MTM (₹)</t>
  </si>
  <si>
    <t>Day's Change (₹)</t>
  </si>
  <si>
    <t>Running Peak (₹)</t>
  </si>
  <si>
    <t>26-Sep-2025</t>
  </si>
  <si>
    <t>01-Oct-2025</t>
  </si>
  <si>
    <t>02-Oct-2025</t>
  </si>
  <si>
    <t>03-Oct-2025</t>
  </si>
  <si>
    <t>Note: Entry Price = that day’s Open (proxy for the 09:20 AM entry fill); Exit Price = that day’s Close (proxy for the 15:15 PM exit), matching the project’s stated execution convention. Sharpe/VaR here are computed from a short daily-PnL-change series (~15-20 trading days across the whole event window) — directionally useful, not a statistically robust long-run estimate. Margin is a 20% SPAN proxy, not an exact historical broker figure.</t>
  </si>
  <si>
    <t>DATA QUALITY CAVEAT: the source price file had genuine duplicate-date rows for 50 of 56 Nifty-50 stocks (deduplicated here, keep=last). Severity varies hugely — most stocks had &lt;1% duplicate rows (likely minor vendor re-fetch noise), but SHRIRAMFIN, SBIN and NTPC had their price history duplicated 2-4x with CONFLICTING close prices on the same date across their full 26yr history (not just 2025). Their walk-forward win-rate/direction results (including SHRIRAMFIN, shown elsewhere as this project’s strongest validated Dussehra result) were computed BEFORE this fix and should be re-run on the deduplicated data before being trusted or acted on.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</si>
</sst>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3"/>
      <color rgb="FF1A202C"/>
      <name val="Calibri"/>
    </font>
    <font>
      <i/>
      <sz val="10"/>
      <color rgb="FF4A5568"/>
      <name val="Calibri"/>
    </font>
    <font>
      <b/>
      <sz val="8"/>
      <color rgb="FFFFFFFF"/>
      <name val="Calibri"/>
    </font>
    <font>
      <b/>
      <sz val="11"/>
      <name val="Calibri"/>
    </font>
    <font>
      <b/>
      <sz val="11"/>
      <color rgb="FF137333"/>
      <name val="Calibri"/>
    </font>
    <font>
      <b/>
      <sz val="11"/>
      <color rgb="FFC5221F"/>
      <name val="Calibri"/>
    </font>
    <font>
      <b/>
      <sz val="9"/>
      <color rgb="FF92400E"/>
      <name val="Calibri"/>
    </font>
    <font>
      <b/>
      <sz val="12"/>
      <name val="Calibri"/>
    </font>
    <font>
      <i/>
      <sz val="9"/>
      <color rgb="FF7C2D12"/>
      <name val="Calibri"/>
    </font>
    <font>
      <b/>
      <i/>
      <sz val="9"/>
      <color rgb="FF991B1B"/>
      <name val="Calibri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A202C"/>
      </patternFill>
    </fill>
    <fill>
      <patternFill patternType="solid">
        <fgColor rgb="FFFEF3C7"/>
      </patternFill>
    </fill>
    <fill>
      <patternFill patternType="solid">
        <fgColor rgb="FFF1F5F9"/>
      </patternFill>
    </fill>
    <fill>
      <patternFill patternType="solid">
        <fgColor rgb="FFFCE8E6"/>
      </patternFill>
    </fill>
    <fill>
      <patternFill patternType="solid">
        <fgColor rgb="FFE6F4EA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1" xfId="0" applyFont="1" applyFill="1" applyBorder="1" applyAlignment="1">
      <alignment horizontal="center"/>
    </xf>
    <xf numFmtId="0" fontId="4" fillId="0" borderId="1" xfId="0" applyFont="1" applyBorder="1"/>
    <xf numFmtId="0" fontId="0" fillId="0" borderId="1" xfId="0" applyBorder="1" applyAlignment="1">
      <alignment horizontal="right"/>
    </xf>
    <xf numFmtId="3" fontId="5" fillId="0" borderId="1" xfId="0" applyNumberFormat="1" applyFont="1" applyBorder="1" applyAlignment="1">
      <alignment horizontal="right"/>
    </xf>
    <xf numFmtId="3" fontId="6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4" fillId="3" borderId="1" xfId="0" applyFont="1" applyFill="1" applyBorder="1"/>
    <xf numFmtId="0" fontId="0" fillId="3" borderId="1" xfId="0" applyFill="1" applyBorder="1" applyAlignment="1">
      <alignment horizontal="right"/>
    </xf>
    <xf numFmtId="3" fontId="5" fillId="3" borderId="1" xfId="0" applyNumberFormat="1" applyFont="1" applyFill="1" applyBorder="1" applyAlignment="1">
      <alignment horizontal="right"/>
    </xf>
    <xf numFmtId="3" fontId="6" fillId="3" borderId="1" xfId="0" applyNumberFormat="1" applyFont="1" applyFill="1" applyBorder="1" applyAlignment="1">
      <alignment horizontal="right"/>
    </xf>
    <xf numFmtId="0" fontId="0" fillId="3" borderId="1" xfId="0" applyFill="1" applyBorder="1" applyAlignment="1">
      <alignment horizontal="center"/>
    </xf>
    <xf numFmtId="0" fontId="5" fillId="3" borderId="1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right"/>
    </xf>
    <xf numFmtId="0" fontId="7" fillId="3" borderId="1" xfId="0" applyFont="1" applyFill="1" applyBorder="1" applyAlignment="1">
      <alignment horizontal="center"/>
    </xf>
    <xf numFmtId="0" fontId="4" fillId="4" borderId="1" xfId="0" applyFont="1" applyFill="1" applyBorder="1"/>
    <xf numFmtId="0" fontId="0" fillId="5" borderId="1" xfId="0" applyFill="1" applyBorder="1" applyAlignment="1">
      <alignment horizontal="center"/>
    </xf>
    <xf numFmtId="0" fontId="6" fillId="5" borderId="1" xfId="0" applyFont="1" applyFill="1" applyBorder="1" applyAlignment="1">
      <alignment horizontal="right"/>
    </xf>
    <xf numFmtId="0" fontId="5" fillId="5" borderId="1" xfId="0" applyFont="1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0" fontId="0" fillId="6" borderId="1" xfId="0" applyFill="1" applyBorder="1" applyAlignment="1">
      <alignment horizontal="center"/>
    </xf>
    <xf numFmtId="0" fontId="5" fillId="6" borderId="1" xfId="0" applyFont="1" applyFill="1" applyBorder="1" applyAlignment="1">
      <alignment horizontal="right"/>
    </xf>
    <xf numFmtId="0" fontId="0" fillId="6" borderId="1" xfId="0" applyFill="1" applyBorder="1" applyAlignment="1">
      <alignment horizontal="right"/>
    </xf>
    <xf numFmtId="0" fontId="6" fillId="6" borderId="1" xfId="0" applyFont="1" applyFill="1" applyBorder="1" applyAlignment="1">
      <alignment horizontal="right"/>
    </xf>
    <xf numFmtId="0" fontId="2" fillId="0" borderId="0" xfId="0" applyFont="1"/>
    <xf numFmtId="0" fontId="0" fillId="0" borderId="0" xfId="0"/>
    <xf numFmtId="0" fontId="1" fillId="0" borderId="0" xfId="0" applyFont="1"/>
    <xf numFmtId="0" fontId="8" fillId="0" borderId="0" xfId="0" applyFont="1"/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11" fillId="0" borderId="1" xfId="0" applyFont="1" applyBorder="1" applyAlignment="1">
      <alignment horizontal="right"/>
    </xf>
    <xf numFmtId="0" fontId="11" fillId="3" borderId="1" xfId="0" applyFont="1" applyFill="1" applyBorder="1" applyAlignment="1">
      <alignment horizontal="right"/>
    </xf>
  </cellXfs>
  <cellStyles count="1"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55"/>
  <sheetViews>
    <sheetView tabSelected="1" workbookViewId="0">
      <pane xSplit="1" ySplit="4" topLeftCell="U5" activePane="bottomRight" state="frozen"/>
      <selection pane="topRight"/>
      <selection pane="bottomLeft"/>
      <selection pane="bottomRight" activeCell="Z7" sqref="Z7"/>
    </sheetView>
  </sheetViews>
  <sheetFormatPr defaultRowHeight="15"/>
  <cols>
    <col min="1" max="1" width="12" customWidth="1"/>
    <col min="2" max="23" width="9" customWidth="1"/>
    <col min="24" max="24" width="10" customWidth="1"/>
    <col min="25" max="25" width="14" customWidth="1"/>
    <col min="26" max="26" width="13" customWidth="1"/>
    <col min="27" max="27" width="15" customWidth="1"/>
    <col min="28" max="28" width="13" customWidth="1"/>
    <col min="29" max="29" width="15" customWidth="1"/>
    <col min="30" max="30" width="12" customWidth="1"/>
    <col min="31" max="31" width="16" customWidth="1"/>
    <col min="32" max="32" width="12" customWidth="1"/>
    <col min="33" max="33" width="9" customWidth="1"/>
    <col min="34" max="34" width="12" customWidth="1"/>
    <col min="35" max="35" width="11" customWidth="1"/>
    <col min="36" max="36" width="36" customWidth="1"/>
  </cols>
  <sheetData>
    <row r="1" spans="1:36" ht="17.25">
      <c r="A1" s="28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</row>
    <row r="2" spans="1:36">
      <c r="A2" s="26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</row>
    <row r="4" spans="1:3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</row>
    <row r="5" spans="1:36">
      <c r="A5" s="2" t="s">
        <v>38</v>
      </c>
      <c r="B5" s="3"/>
      <c r="C5" s="3"/>
      <c r="D5" s="3"/>
      <c r="E5" s="3"/>
      <c r="F5" s="3"/>
      <c r="G5" s="3"/>
      <c r="H5" s="3"/>
      <c r="I5" s="4">
        <v>10260</v>
      </c>
      <c r="J5" s="4">
        <v>11340</v>
      </c>
      <c r="K5" s="5">
        <v>-14700</v>
      </c>
      <c r="L5" s="3"/>
      <c r="M5" s="5">
        <v>-13860</v>
      </c>
      <c r="N5" s="3"/>
      <c r="O5" s="5">
        <v>-8940</v>
      </c>
      <c r="P5" s="3"/>
      <c r="Q5" s="3"/>
      <c r="R5" s="3"/>
      <c r="S5" s="3"/>
      <c r="T5" s="3"/>
      <c r="U5" s="3"/>
      <c r="V5" s="3"/>
      <c r="W5" s="3"/>
      <c r="X5" s="6" t="s">
        <v>39</v>
      </c>
      <c r="Y5" s="6" t="s">
        <v>40</v>
      </c>
      <c r="Z5" s="6" t="s">
        <v>41</v>
      </c>
      <c r="AA5" s="3">
        <v>2543.6999999999998</v>
      </c>
      <c r="AB5" s="6" t="s">
        <v>42</v>
      </c>
      <c r="AC5" s="32">
        <v>2573.5</v>
      </c>
      <c r="AD5" s="7">
        <v>152622</v>
      </c>
      <c r="AE5" s="3">
        <v>-8940</v>
      </c>
      <c r="AF5" s="7">
        <v>-26040</v>
      </c>
      <c r="AG5" s="3">
        <v>-0.39</v>
      </c>
      <c r="AH5" s="3">
        <v>-26040</v>
      </c>
      <c r="AI5" s="6" t="s">
        <v>43</v>
      </c>
      <c r="AJ5" s="3" t="s">
        <v>44</v>
      </c>
    </row>
    <row r="6" spans="1:36">
      <c r="A6" s="2" t="s">
        <v>45</v>
      </c>
      <c r="B6" s="3"/>
      <c r="C6" s="3"/>
      <c r="D6" s="3"/>
      <c r="E6" s="4">
        <v>5360</v>
      </c>
      <c r="F6" s="4">
        <v>15120</v>
      </c>
      <c r="G6" s="4">
        <v>21200</v>
      </c>
      <c r="H6" s="3"/>
      <c r="I6" s="4">
        <v>24720</v>
      </c>
      <c r="J6" s="4">
        <v>16600</v>
      </c>
      <c r="K6" s="4">
        <v>8920</v>
      </c>
      <c r="L6" s="3"/>
      <c r="M6" s="4">
        <v>10360</v>
      </c>
      <c r="N6" s="3"/>
      <c r="O6" s="4">
        <v>17800</v>
      </c>
      <c r="P6" s="3"/>
      <c r="Q6" s="3"/>
      <c r="R6" s="3"/>
      <c r="S6" s="3"/>
      <c r="T6" s="3"/>
      <c r="U6" s="3"/>
      <c r="V6" s="3"/>
      <c r="W6" s="3"/>
      <c r="X6" s="6" t="s">
        <v>39</v>
      </c>
      <c r="Y6" s="6" t="s">
        <v>46</v>
      </c>
      <c r="Z6" s="6" t="s">
        <v>47</v>
      </c>
      <c r="AA6" s="3">
        <v>1445</v>
      </c>
      <c r="AB6" s="6" t="s">
        <v>42</v>
      </c>
      <c r="AC6" s="32">
        <v>1400.5</v>
      </c>
      <c r="AD6" s="7">
        <v>115600</v>
      </c>
      <c r="AE6" s="3">
        <v>17800</v>
      </c>
      <c r="AF6" s="8">
        <v>-15800</v>
      </c>
      <c r="AG6" s="3">
        <v>0.27</v>
      </c>
      <c r="AH6" s="3">
        <v>-8120</v>
      </c>
      <c r="AI6" s="6" t="s">
        <v>43</v>
      </c>
      <c r="AJ6" s="3" t="s">
        <v>48</v>
      </c>
    </row>
    <row r="7" spans="1:36">
      <c r="A7" s="2" t="s">
        <v>49</v>
      </c>
      <c r="B7" s="3"/>
      <c r="C7" s="5">
        <v>-15937.5</v>
      </c>
      <c r="D7" s="5">
        <v>-9062.5</v>
      </c>
      <c r="E7" s="5">
        <v>-4000</v>
      </c>
      <c r="F7" s="5">
        <v>-1562.5</v>
      </c>
      <c r="G7" s="4">
        <v>12687.5</v>
      </c>
      <c r="H7" s="3"/>
      <c r="I7" s="4">
        <v>20937.5</v>
      </c>
      <c r="J7" s="4">
        <v>25312.5</v>
      </c>
      <c r="K7" s="4">
        <v>21312.5</v>
      </c>
      <c r="L7" s="3"/>
      <c r="M7" s="4">
        <v>20250</v>
      </c>
      <c r="N7" s="3"/>
      <c r="O7" s="5">
        <v>-6312.5</v>
      </c>
      <c r="P7" s="5">
        <v>-11062.5</v>
      </c>
      <c r="Q7" s="3"/>
      <c r="R7" s="3"/>
      <c r="S7" s="3"/>
      <c r="T7" s="3"/>
      <c r="U7" s="3"/>
      <c r="V7" s="3"/>
      <c r="W7" s="3"/>
      <c r="X7" s="6" t="s">
        <v>39</v>
      </c>
      <c r="Y7" s="6" t="s">
        <v>50</v>
      </c>
      <c r="Z7" s="6" t="s">
        <v>51</v>
      </c>
      <c r="AA7" s="3">
        <v>7611.5</v>
      </c>
      <c r="AB7" s="6" t="s">
        <v>52</v>
      </c>
      <c r="AC7" s="32">
        <v>7700</v>
      </c>
      <c r="AD7" s="7">
        <v>190287.5</v>
      </c>
      <c r="AE7" s="3">
        <v>-11062.5</v>
      </c>
      <c r="AF7" s="7">
        <v>-36375</v>
      </c>
      <c r="AG7" s="3">
        <v>0.05</v>
      </c>
      <c r="AH7" s="3">
        <v>-26562.5</v>
      </c>
      <c r="AI7" s="6" t="s">
        <v>43</v>
      </c>
      <c r="AJ7" s="3" t="s">
        <v>44</v>
      </c>
    </row>
    <row r="8" spans="1:36">
      <c r="A8" s="2" t="s">
        <v>53</v>
      </c>
      <c r="B8" s="3"/>
      <c r="C8" s="3"/>
      <c r="D8" s="4">
        <v>5040</v>
      </c>
      <c r="E8" s="4">
        <v>2980</v>
      </c>
      <c r="F8" s="4">
        <v>13620</v>
      </c>
      <c r="G8" s="4">
        <v>25860</v>
      </c>
      <c r="H8" s="3"/>
      <c r="I8" s="4">
        <v>25900</v>
      </c>
      <c r="J8" s="4">
        <v>24420</v>
      </c>
      <c r="K8" s="4">
        <v>27260</v>
      </c>
      <c r="L8" s="3"/>
      <c r="M8" s="4">
        <v>22860</v>
      </c>
      <c r="N8" s="3"/>
      <c r="O8" s="4">
        <v>23460</v>
      </c>
      <c r="P8" s="4">
        <v>23860</v>
      </c>
      <c r="Q8" s="4">
        <v>28720</v>
      </c>
      <c r="R8" s="3"/>
      <c r="S8" s="3"/>
      <c r="T8" s="3"/>
      <c r="U8" s="3"/>
      <c r="V8" s="3"/>
      <c r="W8" s="3"/>
      <c r="X8" s="6" t="s">
        <v>39</v>
      </c>
      <c r="Y8" s="6" t="s">
        <v>54</v>
      </c>
      <c r="Z8" s="6" t="s">
        <v>55</v>
      </c>
      <c r="AA8" s="3">
        <v>2472.1</v>
      </c>
      <c r="AB8" s="6" t="s">
        <v>56</v>
      </c>
      <c r="AC8" s="32">
        <v>2328.5</v>
      </c>
      <c r="AD8" s="7">
        <v>98884</v>
      </c>
      <c r="AE8" s="3">
        <v>28720</v>
      </c>
      <c r="AF8" s="8">
        <v>-4400</v>
      </c>
      <c r="AG8" s="3">
        <v>0.46</v>
      </c>
      <c r="AH8" s="3">
        <v>-4400</v>
      </c>
      <c r="AI8" s="6" t="s">
        <v>43</v>
      </c>
      <c r="AJ8" s="3" t="s">
        <v>44</v>
      </c>
    </row>
    <row r="9" spans="1:36">
      <c r="A9" s="2" t="s">
        <v>57</v>
      </c>
      <c r="B9" s="3"/>
      <c r="C9" s="3"/>
      <c r="D9" s="3"/>
      <c r="E9" s="3"/>
      <c r="F9" s="3"/>
      <c r="G9" s="4">
        <v>0</v>
      </c>
      <c r="H9" s="3"/>
      <c r="I9" s="5">
        <v>-21500</v>
      </c>
      <c r="J9" s="5">
        <v>-21875</v>
      </c>
      <c r="K9" s="5">
        <v>-4437.5</v>
      </c>
      <c r="L9" s="3"/>
      <c r="M9" s="4">
        <v>9000</v>
      </c>
      <c r="N9" s="3"/>
      <c r="O9" s="4">
        <v>28875</v>
      </c>
      <c r="P9" s="4">
        <v>12625</v>
      </c>
      <c r="Q9" s="4">
        <v>8750</v>
      </c>
      <c r="R9" s="4">
        <v>500</v>
      </c>
      <c r="S9" s="4">
        <v>8625</v>
      </c>
      <c r="T9" s="3"/>
      <c r="U9" s="4">
        <v>14375</v>
      </c>
      <c r="V9" s="4">
        <v>6375</v>
      </c>
      <c r="W9" s="4">
        <v>1875</v>
      </c>
      <c r="X9" s="6" t="s">
        <v>58</v>
      </c>
      <c r="Y9" s="6" t="s">
        <v>59</v>
      </c>
      <c r="Z9" s="6" t="s">
        <v>60</v>
      </c>
      <c r="AA9" s="3">
        <v>1166.5999999999999</v>
      </c>
      <c r="AB9" s="6" t="s">
        <v>61</v>
      </c>
      <c r="AC9" s="32">
        <v>1169.5999999999999</v>
      </c>
      <c r="AD9" s="7">
        <v>145825</v>
      </c>
      <c r="AE9" s="3">
        <v>1875</v>
      </c>
      <c r="AF9" s="8">
        <v>-28375</v>
      </c>
      <c r="AG9" s="3">
        <v>0.01</v>
      </c>
      <c r="AH9" s="3">
        <v>-21500</v>
      </c>
      <c r="AI9" s="6" t="s">
        <v>43</v>
      </c>
      <c r="AJ9" s="3" t="s">
        <v>44</v>
      </c>
    </row>
    <row r="10" spans="1:36">
      <c r="A10" s="2" t="s">
        <v>62</v>
      </c>
      <c r="B10" s="3"/>
      <c r="C10" s="3"/>
      <c r="D10" s="3"/>
      <c r="E10" s="3"/>
      <c r="F10" s="3"/>
      <c r="G10" s="5">
        <v>-9600</v>
      </c>
      <c r="H10" s="3"/>
      <c r="I10" s="5">
        <v>-8437.5</v>
      </c>
      <c r="J10" s="5">
        <v>-11362.5</v>
      </c>
      <c r="K10" s="5">
        <v>-15262.5</v>
      </c>
      <c r="L10" s="3"/>
      <c r="M10" s="5">
        <v>-11287.5</v>
      </c>
      <c r="N10" s="3"/>
      <c r="O10" s="5">
        <v>-2850</v>
      </c>
      <c r="P10" s="4">
        <v>5550</v>
      </c>
      <c r="Q10" s="5">
        <v>-2850</v>
      </c>
      <c r="R10" s="3"/>
      <c r="S10" s="3"/>
      <c r="T10" s="3"/>
      <c r="U10" s="3"/>
      <c r="V10" s="3"/>
      <c r="W10" s="3"/>
      <c r="X10" s="6" t="s">
        <v>58</v>
      </c>
      <c r="Y10" s="6" t="s">
        <v>63</v>
      </c>
      <c r="Z10" s="6" t="s">
        <v>60</v>
      </c>
      <c r="AA10" s="3">
        <v>8830</v>
      </c>
      <c r="AB10" s="6" t="s">
        <v>56</v>
      </c>
      <c r="AC10" s="32">
        <v>8792</v>
      </c>
      <c r="AD10" s="7">
        <v>132450</v>
      </c>
      <c r="AE10" s="3">
        <v>-2850</v>
      </c>
      <c r="AF10" s="7">
        <v>-8400</v>
      </c>
      <c r="AG10" s="3">
        <v>0.16</v>
      </c>
      <c r="AH10" s="3">
        <v>-8400</v>
      </c>
      <c r="AI10" s="6" t="s">
        <v>43</v>
      </c>
      <c r="AJ10" s="3" t="s">
        <v>48</v>
      </c>
    </row>
    <row r="11" spans="1:36">
      <c r="A11" s="2" t="s">
        <v>64</v>
      </c>
      <c r="B11" s="3"/>
      <c r="C11" s="5">
        <v>-1100</v>
      </c>
      <c r="D11" s="5">
        <v>-8550</v>
      </c>
      <c r="E11" s="5">
        <v>-950</v>
      </c>
      <c r="F11" s="4">
        <v>15850</v>
      </c>
      <c r="G11" s="4">
        <v>32050</v>
      </c>
      <c r="H11" s="3"/>
      <c r="I11" s="4">
        <v>21300</v>
      </c>
      <c r="J11" s="4">
        <v>30450</v>
      </c>
      <c r="K11" s="4">
        <v>30150</v>
      </c>
      <c r="L11" s="3"/>
      <c r="M11" s="4">
        <v>33200</v>
      </c>
      <c r="N11" s="3"/>
      <c r="O11" s="4">
        <v>17050</v>
      </c>
      <c r="P11" s="3"/>
      <c r="Q11" s="3"/>
      <c r="R11" s="3"/>
      <c r="S11" s="3"/>
      <c r="T11" s="3"/>
      <c r="U11" s="3"/>
      <c r="V11" s="3"/>
      <c r="W11" s="3"/>
      <c r="X11" s="6" t="s">
        <v>39</v>
      </c>
      <c r="Y11" s="6" t="s">
        <v>65</v>
      </c>
      <c r="Z11" s="6" t="s">
        <v>51</v>
      </c>
      <c r="AA11" s="3">
        <v>2067.3000000000002</v>
      </c>
      <c r="AB11" s="6" t="s">
        <v>42</v>
      </c>
      <c r="AC11" s="32">
        <v>2033.2</v>
      </c>
      <c r="AD11" s="7">
        <v>206730</v>
      </c>
      <c r="AE11" s="3">
        <v>17050</v>
      </c>
      <c r="AF11" s="8">
        <v>-16150</v>
      </c>
      <c r="AG11" s="3">
        <v>0.18</v>
      </c>
      <c r="AH11" s="3">
        <v>-16150</v>
      </c>
      <c r="AI11" s="6" t="s">
        <v>43</v>
      </c>
      <c r="AJ11" s="3" t="s">
        <v>48</v>
      </c>
    </row>
    <row r="12" spans="1:36">
      <c r="A12" s="2" t="s">
        <v>66</v>
      </c>
      <c r="B12" s="3"/>
      <c r="C12" s="4">
        <v>2068.75</v>
      </c>
      <c r="D12" s="4">
        <v>4443.75</v>
      </c>
      <c r="E12" s="4">
        <v>4975</v>
      </c>
      <c r="F12" s="4">
        <v>2850</v>
      </c>
      <c r="G12" s="5">
        <v>-606.25</v>
      </c>
      <c r="H12" s="3"/>
      <c r="I12" s="4">
        <v>125</v>
      </c>
      <c r="J12" s="4">
        <v>1118.75</v>
      </c>
      <c r="K12" s="5">
        <v>-281.25</v>
      </c>
      <c r="L12" s="3"/>
      <c r="M12" s="5">
        <v>-25</v>
      </c>
      <c r="N12" s="3"/>
      <c r="O12" s="4">
        <v>2368.75</v>
      </c>
      <c r="P12" s="4">
        <v>3325</v>
      </c>
      <c r="Q12" s="4">
        <v>4150</v>
      </c>
      <c r="R12" s="4">
        <v>4268.75</v>
      </c>
      <c r="S12" s="4">
        <v>4237.5</v>
      </c>
      <c r="T12" s="3"/>
      <c r="U12" s="4">
        <v>5850</v>
      </c>
      <c r="V12" s="3"/>
      <c r="W12" s="3"/>
      <c r="X12" s="6" t="s">
        <v>58</v>
      </c>
      <c r="Y12" s="6" t="s">
        <v>67</v>
      </c>
      <c r="Z12" s="6" t="s">
        <v>51</v>
      </c>
      <c r="AA12" s="3">
        <v>989.95</v>
      </c>
      <c r="AB12" s="6" t="s">
        <v>68</v>
      </c>
      <c r="AC12" s="32">
        <v>1036.75</v>
      </c>
      <c r="AD12" s="7">
        <v>24748.75</v>
      </c>
      <c r="AE12" s="3">
        <v>5850</v>
      </c>
      <c r="AF12" s="8">
        <v>-5581.25</v>
      </c>
      <c r="AG12" s="3">
        <v>0.17</v>
      </c>
      <c r="AH12" s="3">
        <v>-3456.25</v>
      </c>
      <c r="AI12" s="6" t="s">
        <v>43</v>
      </c>
      <c r="AJ12" s="3" t="s">
        <v>44</v>
      </c>
    </row>
    <row r="13" spans="1:36">
      <c r="A13" s="2" t="s">
        <v>69</v>
      </c>
      <c r="B13" s="5">
        <v>-142.5</v>
      </c>
      <c r="C13" s="3"/>
      <c r="D13" s="4">
        <v>9690</v>
      </c>
      <c r="E13" s="4">
        <v>14107.5</v>
      </c>
      <c r="F13" s="4">
        <v>41325</v>
      </c>
      <c r="G13" s="4">
        <v>18667.5</v>
      </c>
      <c r="H13" s="4">
        <v>41752.5</v>
      </c>
      <c r="I13" s="3"/>
      <c r="J13" s="4">
        <v>26932.5</v>
      </c>
      <c r="K13" s="4">
        <v>23940</v>
      </c>
      <c r="L13" s="4">
        <v>3562.5</v>
      </c>
      <c r="M13" s="3"/>
      <c r="N13" s="5">
        <v>-12397.5</v>
      </c>
      <c r="O13" s="3"/>
      <c r="P13" s="5">
        <v>-13395</v>
      </c>
      <c r="Q13" s="5">
        <v>-5557.5</v>
      </c>
      <c r="R13" s="4">
        <v>15390</v>
      </c>
      <c r="S13" s="5">
        <v>-3277.5</v>
      </c>
      <c r="T13" s="5">
        <v>-9405</v>
      </c>
      <c r="U13" s="3"/>
      <c r="V13" s="3"/>
      <c r="W13" s="3"/>
      <c r="X13" s="6" t="s">
        <v>39</v>
      </c>
      <c r="Y13" s="6" t="s">
        <v>67</v>
      </c>
      <c r="Z13" s="6" t="s">
        <v>70</v>
      </c>
      <c r="AA13" s="3">
        <v>410.95</v>
      </c>
      <c r="AB13" s="6" t="s">
        <v>71</v>
      </c>
      <c r="AC13" s="32">
        <v>414.25</v>
      </c>
      <c r="AD13" s="7">
        <v>234241.5</v>
      </c>
      <c r="AE13" s="3">
        <v>-9405</v>
      </c>
      <c r="AF13" s="7">
        <v>-55147.5</v>
      </c>
      <c r="AG13" s="3">
        <v>-0.04</v>
      </c>
      <c r="AH13" s="3">
        <v>-22657.5</v>
      </c>
      <c r="AI13" s="6" t="s">
        <v>43</v>
      </c>
      <c r="AJ13" s="3" t="s">
        <v>72</v>
      </c>
    </row>
    <row r="14" spans="1:36">
      <c r="A14" s="2" t="s">
        <v>73</v>
      </c>
      <c r="B14" s="3"/>
      <c r="C14" s="3"/>
      <c r="D14" s="3"/>
      <c r="E14" s="3"/>
      <c r="F14" s="3"/>
      <c r="G14" s="3"/>
      <c r="H14" s="3"/>
      <c r="I14" s="3"/>
      <c r="J14" s="3"/>
      <c r="K14" s="4">
        <v>190</v>
      </c>
      <c r="L14" s="3"/>
      <c r="M14" s="5">
        <v>-13632.5</v>
      </c>
      <c r="N14" s="3"/>
      <c r="O14" s="5">
        <v>-16672.5</v>
      </c>
      <c r="P14" s="3"/>
      <c r="Q14" s="3"/>
      <c r="R14" s="3"/>
      <c r="S14" s="3"/>
      <c r="T14" s="3"/>
      <c r="U14" s="3"/>
      <c r="V14" s="3"/>
      <c r="W14" s="3"/>
      <c r="X14" s="6" t="s">
        <v>39</v>
      </c>
      <c r="Y14" s="6" t="s">
        <v>74</v>
      </c>
      <c r="Z14" s="6" t="s">
        <v>75</v>
      </c>
      <c r="AA14" s="3">
        <v>1868</v>
      </c>
      <c r="AB14" s="6" t="s">
        <v>42</v>
      </c>
      <c r="AC14" s="32">
        <v>1903.1</v>
      </c>
      <c r="AD14" s="7">
        <v>177460</v>
      </c>
      <c r="AE14" s="3">
        <v>-16672.5</v>
      </c>
      <c r="AF14" s="7">
        <v>-16862.5</v>
      </c>
      <c r="AG14" s="3">
        <v>-1.56</v>
      </c>
      <c r="AH14" s="3">
        <v>-13822.5</v>
      </c>
      <c r="AI14" s="6" t="s">
        <v>43</v>
      </c>
      <c r="AJ14" s="3" t="s">
        <v>76</v>
      </c>
    </row>
    <row r="15" spans="1:36">
      <c r="A15" s="9" t="s">
        <v>77</v>
      </c>
      <c r="B15" s="10"/>
      <c r="C15" s="10"/>
      <c r="D15" s="10"/>
      <c r="E15" s="10"/>
      <c r="F15" s="10"/>
      <c r="G15" s="10"/>
      <c r="H15" s="10"/>
      <c r="I15" s="10"/>
      <c r="J15" s="11">
        <v>24800</v>
      </c>
      <c r="K15" s="12">
        <v>-6300</v>
      </c>
      <c r="L15" s="11">
        <v>20200</v>
      </c>
      <c r="M15" s="10"/>
      <c r="N15" s="11">
        <v>29150</v>
      </c>
      <c r="O15" s="10"/>
      <c r="P15" s="11">
        <v>87200</v>
      </c>
      <c r="Q15" s="11">
        <v>96100</v>
      </c>
      <c r="R15" s="11">
        <v>94750</v>
      </c>
      <c r="S15" s="11">
        <v>146500</v>
      </c>
      <c r="T15" s="10"/>
      <c r="U15" s="10"/>
      <c r="V15" s="10"/>
      <c r="W15" s="10"/>
      <c r="X15" s="13" t="s">
        <v>58</v>
      </c>
      <c r="Y15" s="13" t="s">
        <v>78</v>
      </c>
      <c r="Z15" s="13" t="s">
        <v>79</v>
      </c>
      <c r="AA15" s="10">
        <v>2052.6</v>
      </c>
      <c r="AB15" s="13" t="s">
        <v>80</v>
      </c>
      <c r="AC15" s="33">
        <v>2345.6</v>
      </c>
      <c r="AD15" s="15">
        <v>205260</v>
      </c>
      <c r="AE15" s="10">
        <v>146500</v>
      </c>
      <c r="AF15" s="14">
        <v>-31100</v>
      </c>
      <c r="AG15" s="10">
        <v>0.61</v>
      </c>
      <c r="AH15" s="10">
        <v>-31100</v>
      </c>
      <c r="AI15" s="16" t="s">
        <v>81</v>
      </c>
      <c r="AJ15" s="10" t="s">
        <v>82</v>
      </c>
    </row>
    <row r="16" spans="1:36">
      <c r="A16" s="2" t="s">
        <v>83</v>
      </c>
      <c r="B16" s="3"/>
      <c r="C16" s="3"/>
      <c r="D16" s="3"/>
      <c r="E16" s="3"/>
      <c r="F16" s="3"/>
      <c r="G16" s="3"/>
      <c r="H16" s="3"/>
      <c r="I16" s="3"/>
      <c r="J16" s="5">
        <v>-9880</v>
      </c>
      <c r="K16" s="5">
        <v>-16185</v>
      </c>
      <c r="L16" s="3"/>
      <c r="M16" s="5">
        <v>-19240</v>
      </c>
      <c r="N16" s="3"/>
      <c r="O16" s="5">
        <v>-16250</v>
      </c>
      <c r="P16" s="3"/>
      <c r="Q16" s="3"/>
      <c r="R16" s="3"/>
      <c r="S16" s="3"/>
      <c r="T16" s="3"/>
      <c r="U16" s="3"/>
      <c r="V16" s="3"/>
      <c r="W16" s="3"/>
      <c r="X16" s="6" t="s">
        <v>39</v>
      </c>
      <c r="Y16" s="6" t="s">
        <v>84</v>
      </c>
      <c r="Z16" s="6" t="s">
        <v>79</v>
      </c>
      <c r="AA16" s="3">
        <v>1488.1</v>
      </c>
      <c r="AB16" s="6" t="s">
        <v>42</v>
      </c>
      <c r="AC16" s="32">
        <v>1513.1</v>
      </c>
      <c r="AD16" s="7">
        <v>193453</v>
      </c>
      <c r="AE16" s="3">
        <v>-16250</v>
      </c>
      <c r="AF16" s="7">
        <v>-9360</v>
      </c>
      <c r="AG16" s="3">
        <v>-0.55000000000000004</v>
      </c>
      <c r="AH16" s="3">
        <v>-6305</v>
      </c>
      <c r="AI16" s="6" t="s">
        <v>43</v>
      </c>
      <c r="AJ16" s="3" t="s">
        <v>44</v>
      </c>
    </row>
    <row r="17" spans="1:36">
      <c r="A17" s="2" t="s">
        <v>85</v>
      </c>
      <c r="B17" s="3"/>
      <c r="C17" s="3"/>
      <c r="D17" s="3"/>
      <c r="E17" s="3"/>
      <c r="F17" s="3"/>
      <c r="G17" s="4">
        <v>7035</v>
      </c>
      <c r="H17" s="3"/>
      <c r="I17" s="4">
        <v>8820</v>
      </c>
      <c r="J17" s="4">
        <v>5355</v>
      </c>
      <c r="K17" s="4">
        <v>8400</v>
      </c>
      <c r="L17" s="3"/>
      <c r="M17" s="4">
        <v>19215</v>
      </c>
      <c r="N17" s="3"/>
      <c r="O17" s="4">
        <v>22260</v>
      </c>
      <c r="P17" s="4">
        <v>16380</v>
      </c>
      <c r="Q17" s="3"/>
      <c r="R17" s="3"/>
      <c r="S17" s="3"/>
      <c r="T17" s="3"/>
      <c r="U17" s="3"/>
      <c r="V17" s="3"/>
      <c r="W17" s="3"/>
      <c r="X17" s="6" t="s">
        <v>39</v>
      </c>
      <c r="Y17" s="6" t="s">
        <v>86</v>
      </c>
      <c r="Z17" s="6" t="s">
        <v>60</v>
      </c>
      <c r="AA17" s="3">
        <v>392.5</v>
      </c>
      <c r="AB17" s="6" t="s">
        <v>52</v>
      </c>
      <c r="AC17" s="32">
        <v>384.7</v>
      </c>
      <c r="AD17" s="7">
        <v>164850</v>
      </c>
      <c r="AE17" s="3">
        <v>16380</v>
      </c>
      <c r="AF17" s="8">
        <v>-5880</v>
      </c>
      <c r="AG17" s="3">
        <v>0.28999999999999998</v>
      </c>
      <c r="AH17" s="3">
        <v>-5880</v>
      </c>
      <c r="AI17" s="6" t="s">
        <v>43</v>
      </c>
      <c r="AJ17" s="3" t="s">
        <v>87</v>
      </c>
    </row>
    <row r="18" spans="1:36">
      <c r="A18" s="2" t="s">
        <v>88</v>
      </c>
      <c r="B18" s="3"/>
      <c r="C18" s="3"/>
      <c r="D18" s="3"/>
      <c r="E18" s="3"/>
      <c r="F18" s="3"/>
      <c r="G18" s="3"/>
      <c r="H18" s="3"/>
      <c r="I18" s="3"/>
      <c r="J18" s="4">
        <v>1425</v>
      </c>
      <c r="K18" s="5">
        <v>-1200</v>
      </c>
      <c r="L18" s="3"/>
      <c r="M18" s="5">
        <v>-1625</v>
      </c>
      <c r="N18" s="3"/>
      <c r="O18" s="5">
        <v>-1687.5</v>
      </c>
      <c r="P18" s="5">
        <v>-1675</v>
      </c>
      <c r="Q18" s="3"/>
      <c r="R18" s="3"/>
      <c r="S18" s="3"/>
      <c r="T18" s="3"/>
      <c r="U18" s="3"/>
      <c r="V18" s="3"/>
      <c r="W18" s="3"/>
      <c r="X18" s="6" t="s">
        <v>39</v>
      </c>
      <c r="Y18" s="6" t="s">
        <v>89</v>
      </c>
      <c r="Z18" s="6" t="s">
        <v>79</v>
      </c>
      <c r="AA18" s="3">
        <v>1235.0999999999999</v>
      </c>
      <c r="AB18" s="6" t="s">
        <v>52</v>
      </c>
      <c r="AC18" s="32">
        <v>1248.5</v>
      </c>
      <c r="AD18" s="7">
        <v>30877.5</v>
      </c>
      <c r="AE18" s="3">
        <v>-1675</v>
      </c>
      <c r="AF18" s="7">
        <v>-3112.5</v>
      </c>
      <c r="AG18" s="3">
        <v>-0.72</v>
      </c>
      <c r="AH18" s="3">
        <v>-2625</v>
      </c>
      <c r="AI18" s="6" t="s">
        <v>43</v>
      </c>
      <c r="AJ18" s="3" t="s">
        <v>44</v>
      </c>
    </row>
    <row r="19" spans="1:36">
      <c r="A19" s="2" t="s">
        <v>90</v>
      </c>
      <c r="B19" s="3"/>
      <c r="C19" s="3"/>
      <c r="D19" s="3"/>
      <c r="E19" s="3"/>
      <c r="F19" s="3"/>
      <c r="G19" s="3"/>
      <c r="H19" s="3"/>
      <c r="I19" s="3"/>
      <c r="J19" s="3"/>
      <c r="K19" s="5">
        <v>-3762.5</v>
      </c>
      <c r="L19" s="3"/>
      <c r="M19" s="4">
        <v>10325</v>
      </c>
      <c r="N19" s="3"/>
      <c r="O19" s="4">
        <v>21000</v>
      </c>
      <c r="P19" s="4">
        <v>7525</v>
      </c>
      <c r="Q19" s="4">
        <v>17062.5</v>
      </c>
      <c r="R19" s="4">
        <v>18112.5</v>
      </c>
      <c r="S19" s="3"/>
      <c r="T19" s="3"/>
      <c r="U19" s="3"/>
      <c r="V19" s="3"/>
      <c r="W19" s="3"/>
      <c r="X19" s="6" t="s">
        <v>39</v>
      </c>
      <c r="Y19" s="6" t="s">
        <v>91</v>
      </c>
      <c r="Z19" s="6" t="s">
        <v>75</v>
      </c>
      <c r="AA19" s="3">
        <v>7000</v>
      </c>
      <c r="AB19" s="6" t="s">
        <v>92</v>
      </c>
      <c r="AC19" s="32">
        <v>6896.5</v>
      </c>
      <c r="AD19" s="7">
        <v>245000</v>
      </c>
      <c r="AE19" s="3">
        <v>18112.5</v>
      </c>
      <c r="AF19" s="8">
        <v>-13475</v>
      </c>
      <c r="AG19" s="3">
        <v>0.44</v>
      </c>
      <c r="AH19" s="3">
        <v>-13475</v>
      </c>
      <c r="AI19" s="6" t="s">
        <v>43</v>
      </c>
      <c r="AJ19" s="3" t="s">
        <v>44</v>
      </c>
    </row>
    <row r="20" spans="1:36">
      <c r="A20" s="2" t="s">
        <v>93</v>
      </c>
      <c r="B20" s="3"/>
      <c r="C20" s="5">
        <v>-925</v>
      </c>
      <c r="D20" s="4">
        <v>825</v>
      </c>
      <c r="E20" s="4">
        <v>2100</v>
      </c>
      <c r="F20" s="4">
        <v>3875</v>
      </c>
      <c r="G20" s="4">
        <v>9500</v>
      </c>
      <c r="H20" s="3"/>
      <c r="I20" s="4">
        <v>7575</v>
      </c>
      <c r="J20" s="4">
        <v>7250</v>
      </c>
      <c r="K20" s="4">
        <v>5500</v>
      </c>
      <c r="L20" s="3"/>
      <c r="M20" s="4">
        <v>5775</v>
      </c>
      <c r="N20" s="3"/>
      <c r="O20" s="4">
        <v>2450</v>
      </c>
      <c r="P20" s="4">
        <v>1075</v>
      </c>
      <c r="Q20" s="5">
        <v>-825</v>
      </c>
      <c r="R20" s="5">
        <v>-2750</v>
      </c>
      <c r="S20" s="5">
        <v>-4150</v>
      </c>
      <c r="T20" s="3"/>
      <c r="U20" s="3"/>
      <c r="V20" s="3"/>
      <c r="W20" s="3"/>
      <c r="X20" s="6" t="s">
        <v>39</v>
      </c>
      <c r="Y20" s="6" t="s">
        <v>94</v>
      </c>
      <c r="Z20" s="6" t="s">
        <v>51</v>
      </c>
      <c r="AA20" s="3">
        <v>340</v>
      </c>
      <c r="AB20" s="6" t="s">
        <v>80</v>
      </c>
      <c r="AC20" s="32">
        <v>348.3</v>
      </c>
      <c r="AD20" s="7">
        <v>34000</v>
      </c>
      <c r="AE20" s="3">
        <v>-4150</v>
      </c>
      <c r="AF20" s="7">
        <v>-13650</v>
      </c>
      <c r="AG20" s="3">
        <v>-0.11</v>
      </c>
      <c r="AH20" s="3">
        <v>-3325</v>
      </c>
      <c r="AI20" s="6" t="s">
        <v>43</v>
      </c>
      <c r="AJ20" s="3" t="s">
        <v>95</v>
      </c>
    </row>
    <row r="21" spans="1:36">
      <c r="A21" s="2" t="s">
        <v>96</v>
      </c>
      <c r="B21" s="3"/>
      <c r="C21" s="3"/>
      <c r="D21" s="3"/>
      <c r="E21" s="4">
        <v>1525</v>
      </c>
      <c r="F21" s="4">
        <v>8725</v>
      </c>
      <c r="G21" s="4">
        <v>16675</v>
      </c>
      <c r="H21" s="3"/>
      <c r="I21" s="4">
        <v>16650</v>
      </c>
      <c r="J21" s="4">
        <v>14150</v>
      </c>
      <c r="K21" s="4">
        <v>5950</v>
      </c>
      <c r="L21" s="3"/>
      <c r="M21" s="4">
        <v>5525</v>
      </c>
      <c r="N21" s="3"/>
      <c r="O21" s="4">
        <v>1525</v>
      </c>
      <c r="P21" s="4">
        <v>1375</v>
      </c>
      <c r="Q21" s="3"/>
      <c r="R21" s="3"/>
      <c r="S21" s="3"/>
      <c r="T21" s="3"/>
      <c r="U21" s="3"/>
      <c r="V21" s="3"/>
      <c r="W21" s="3"/>
      <c r="X21" s="6" t="s">
        <v>39</v>
      </c>
      <c r="Y21" s="6" t="s">
        <v>97</v>
      </c>
      <c r="Z21" s="6" t="s">
        <v>47</v>
      </c>
      <c r="AA21" s="3">
        <v>2813.5</v>
      </c>
      <c r="AB21" s="6" t="s">
        <v>52</v>
      </c>
      <c r="AC21" s="32">
        <v>2808</v>
      </c>
      <c r="AD21" s="7">
        <v>140675</v>
      </c>
      <c r="AE21" s="3">
        <v>1375</v>
      </c>
      <c r="AF21" s="8">
        <v>-15300</v>
      </c>
      <c r="AG21" s="3">
        <v>0</v>
      </c>
      <c r="AH21" s="3">
        <v>-8200</v>
      </c>
      <c r="AI21" s="6" t="s">
        <v>43</v>
      </c>
      <c r="AJ21" s="3" t="s">
        <v>44</v>
      </c>
    </row>
    <row r="22" spans="1:36">
      <c r="A22" s="2" t="s">
        <v>98</v>
      </c>
      <c r="B22" s="3"/>
      <c r="C22" s="3"/>
      <c r="D22" s="3"/>
      <c r="E22" s="3"/>
      <c r="F22" s="3"/>
      <c r="G22" s="4">
        <v>8645</v>
      </c>
      <c r="H22" s="3"/>
      <c r="I22" s="4">
        <v>11410</v>
      </c>
      <c r="J22" s="4">
        <v>12215</v>
      </c>
      <c r="K22" s="4">
        <v>10675</v>
      </c>
      <c r="L22" s="3"/>
      <c r="M22" s="4">
        <v>9275</v>
      </c>
      <c r="N22" s="3"/>
      <c r="O22" s="4">
        <v>805</v>
      </c>
      <c r="P22" s="5">
        <v>-6650</v>
      </c>
      <c r="Q22" s="3"/>
      <c r="R22" s="3"/>
      <c r="S22" s="3"/>
      <c r="T22" s="3"/>
      <c r="U22" s="3"/>
      <c r="V22" s="3"/>
      <c r="W22" s="3"/>
      <c r="X22" s="6" t="s">
        <v>39</v>
      </c>
      <c r="Y22" s="6" t="s">
        <v>86</v>
      </c>
      <c r="Z22" s="6" t="s">
        <v>60</v>
      </c>
      <c r="AA22" s="3">
        <v>1420</v>
      </c>
      <c r="AB22" s="6" t="s">
        <v>52</v>
      </c>
      <c r="AC22" s="32">
        <v>1439</v>
      </c>
      <c r="AD22" s="7">
        <v>99400</v>
      </c>
      <c r="AE22" s="3">
        <v>-6650</v>
      </c>
      <c r="AF22" s="7">
        <v>-18865</v>
      </c>
      <c r="AG22" s="3">
        <v>-0.62</v>
      </c>
      <c r="AH22" s="3">
        <v>-8470</v>
      </c>
      <c r="AI22" s="6" t="s">
        <v>43</v>
      </c>
      <c r="AJ22" s="3" t="s">
        <v>44</v>
      </c>
    </row>
    <row r="23" spans="1:36">
      <c r="A23" s="2" t="s">
        <v>99</v>
      </c>
      <c r="B23" s="3"/>
      <c r="C23" s="3"/>
      <c r="D23" s="3"/>
      <c r="E23" s="5">
        <v>-632.5</v>
      </c>
      <c r="F23" s="5">
        <v>-1292.5</v>
      </c>
      <c r="G23" s="5">
        <v>-3932.5</v>
      </c>
      <c r="H23" s="3"/>
      <c r="I23" s="5">
        <v>-1045</v>
      </c>
      <c r="J23" s="5">
        <v>-660</v>
      </c>
      <c r="K23" s="4">
        <v>7177.5</v>
      </c>
      <c r="L23" s="3"/>
      <c r="M23" s="4">
        <v>7122.5</v>
      </c>
      <c r="N23" s="3"/>
      <c r="O23" s="4">
        <v>11687.5</v>
      </c>
      <c r="P23" s="4">
        <v>16665</v>
      </c>
      <c r="Q23" s="4">
        <v>14575</v>
      </c>
      <c r="R23" s="4">
        <v>13695</v>
      </c>
      <c r="S23" s="4">
        <v>15785</v>
      </c>
      <c r="T23" s="3"/>
      <c r="U23" s="4">
        <v>13640</v>
      </c>
      <c r="V23" s="4">
        <v>13722.5</v>
      </c>
      <c r="W23" s="4">
        <v>14327.5</v>
      </c>
      <c r="X23" s="6" t="s">
        <v>58</v>
      </c>
      <c r="Y23" s="6" t="s">
        <v>100</v>
      </c>
      <c r="Z23" s="6" t="s">
        <v>47</v>
      </c>
      <c r="AA23" s="3">
        <v>952.2</v>
      </c>
      <c r="AB23" s="6" t="s">
        <v>61</v>
      </c>
      <c r="AC23" s="32">
        <v>978.25</v>
      </c>
      <c r="AD23" s="7">
        <v>104742</v>
      </c>
      <c r="AE23" s="3">
        <v>14327.5</v>
      </c>
      <c r="AF23" s="8">
        <v>-3300</v>
      </c>
      <c r="AG23" s="3">
        <v>0.36</v>
      </c>
      <c r="AH23" s="3">
        <v>-2640</v>
      </c>
      <c r="AI23" s="6" t="s">
        <v>43</v>
      </c>
      <c r="AJ23" s="3" t="s">
        <v>44</v>
      </c>
    </row>
    <row r="24" spans="1:36">
      <c r="A24" s="2" t="s">
        <v>101</v>
      </c>
      <c r="B24" s="3"/>
      <c r="C24" s="3"/>
      <c r="D24" s="3"/>
      <c r="E24" s="5">
        <v>-1100</v>
      </c>
      <c r="F24" s="5">
        <v>-6820</v>
      </c>
      <c r="G24" s="5">
        <v>-7535</v>
      </c>
      <c r="H24" s="3"/>
      <c r="I24" s="5">
        <v>-16115</v>
      </c>
      <c r="J24" s="5">
        <v>-16280</v>
      </c>
      <c r="K24" s="5">
        <v>-7975</v>
      </c>
      <c r="L24" s="3"/>
      <c r="M24" s="5">
        <v>-13255</v>
      </c>
      <c r="N24" s="3"/>
      <c r="O24" s="5">
        <v>-9020</v>
      </c>
      <c r="P24" s="5">
        <v>-17215</v>
      </c>
      <c r="Q24" s="5">
        <v>-26345</v>
      </c>
      <c r="R24" s="5">
        <v>-18590</v>
      </c>
      <c r="S24" s="5">
        <v>-26345</v>
      </c>
      <c r="T24" s="3"/>
      <c r="U24" s="5">
        <v>-27170</v>
      </c>
      <c r="V24" s="5">
        <v>-30470</v>
      </c>
      <c r="W24" s="5">
        <v>-11110</v>
      </c>
      <c r="X24" s="6" t="s">
        <v>58</v>
      </c>
      <c r="Y24" s="6" t="s">
        <v>100</v>
      </c>
      <c r="Z24" s="6" t="s">
        <v>47</v>
      </c>
      <c r="AA24" s="3">
        <v>771.25</v>
      </c>
      <c r="AB24" s="6" t="s">
        <v>61</v>
      </c>
      <c r="AC24" s="32">
        <v>761.15</v>
      </c>
      <c r="AD24" s="7">
        <v>169675</v>
      </c>
      <c r="AE24" s="3">
        <v>-11110</v>
      </c>
      <c r="AF24" s="7">
        <v>-29370</v>
      </c>
      <c r="AG24" s="3">
        <v>-0.09</v>
      </c>
      <c r="AH24" s="3">
        <v>-9130</v>
      </c>
      <c r="AI24" s="6" t="s">
        <v>43</v>
      </c>
      <c r="AJ24" s="3" t="s">
        <v>102</v>
      </c>
    </row>
    <row r="25" spans="1:36">
      <c r="A25" s="2" t="s">
        <v>103</v>
      </c>
      <c r="B25" s="3"/>
      <c r="C25" s="3"/>
      <c r="D25" s="3"/>
      <c r="E25" s="4">
        <v>4130</v>
      </c>
      <c r="F25" s="5">
        <v>-2310</v>
      </c>
      <c r="G25" s="4">
        <v>210</v>
      </c>
      <c r="H25" s="3"/>
      <c r="I25" s="5">
        <v>-13720</v>
      </c>
      <c r="J25" s="5">
        <v>-25130</v>
      </c>
      <c r="K25" s="5">
        <v>-30730</v>
      </c>
      <c r="L25" s="3"/>
      <c r="M25" s="5">
        <v>-50890</v>
      </c>
      <c r="N25" s="3"/>
      <c r="O25" s="5">
        <v>-45780</v>
      </c>
      <c r="P25" s="5">
        <v>-33320</v>
      </c>
      <c r="Q25" s="3"/>
      <c r="R25" s="3"/>
      <c r="S25" s="3"/>
      <c r="T25" s="3"/>
      <c r="U25" s="3"/>
      <c r="V25" s="3"/>
      <c r="W25" s="3"/>
      <c r="X25" s="6" t="s">
        <v>39</v>
      </c>
      <c r="Y25" s="6" t="s">
        <v>97</v>
      </c>
      <c r="Z25" s="6" t="s">
        <v>47</v>
      </c>
      <c r="AA25" s="3">
        <v>744</v>
      </c>
      <c r="AB25" s="6" t="s">
        <v>52</v>
      </c>
      <c r="AC25" s="32">
        <v>767.8</v>
      </c>
      <c r="AD25" s="7">
        <v>208320</v>
      </c>
      <c r="AE25" s="3">
        <v>-33320</v>
      </c>
      <c r="AF25" s="7">
        <v>-55020</v>
      </c>
      <c r="AG25" s="3">
        <v>-0.46</v>
      </c>
      <c r="AH25" s="3">
        <v>-20160</v>
      </c>
      <c r="AI25" s="6" t="s">
        <v>43</v>
      </c>
      <c r="AJ25" s="3" t="s">
        <v>44</v>
      </c>
    </row>
    <row r="26" spans="1:36">
      <c r="A26" s="2" t="s">
        <v>104</v>
      </c>
      <c r="B26" s="3"/>
      <c r="C26" s="3"/>
      <c r="D26" s="4">
        <v>14010</v>
      </c>
      <c r="E26" s="4">
        <v>5820</v>
      </c>
      <c r="F26" s="4">
        <v>9180</v>
      </c>
      <c r="G26" s="4">
        <v>17130</v>
      </c>
      <c r="H26" s="3"/>
      <c r="I26" s="4">
        <v>21300</v>
      </c>
      <c r="J26" s="4">
        <v>16350</v>
      </c>
      <c r="K26" s="4">
        <v>9810</v>
      </c>
      <c r="L26" s="3"/>
      <c r="M26" s="4">
        <v>7200</v>
      </c>
      <c r="N26" s="3"/>
      <c r="O26" s="4">
        <v>8130</v>
      </c>
      <c r="P26" s="4">
        <v>15510</v>
      </c>
      <c r="Q26" s="3"/>
      <c r="R26" s="3"/>
      <c r="S26" s="3"/>
      <c r="T26" s="3"/>
      <c r="U26" s="3"/>
      <c r="V26" s="3"/>
      <c r="W26" s="3"/>
      <c r="X26" s="6" t="s">
        <v>39</v>
      </c>
      <c r="Y26" s="6" t="s">
        <v>105</v>
      </c>
      <c r="Z26" s="6" t="s">
        <v>55</v>
      </c>
      <c r="AA26" s="3">
        <v>2568.9</v>
      </c>
      <c r="AB26" s="6" t="s">
        <v>52</v>
      </c>
      <c r="AC26" s="32">
        <v>2517.1999999999998</v>
      </c>
      <c r="AD26" s="7">
        <v>154134</v>
      </c>
      <c r="AE26" s="3">
        <v>15510</v>
      </c>
      <c r="AF26" s="8">
        <v>-14100</v>
      </c>
      <c r="AG26" s="3">
        <v>0.03</v>
      </c>
      <c r="AH26" s="3">
        <v>-8190</v>
      </c>
      <c r="AI26" s="6" t="s">
        <v>43</v>
      </c>
      <c r="AJ26" s="3" t="s">
        <v>44</v>
      </c>
    </row>
    <row r="27" spans="1:36">
      <c r="A27" s="2" t="s">
        <v>106</v>
      </c>
      <c r="B27" s="3"/>
      <c r="C27" s="3"/>
      <c r="D27" s="3"/>
      <c r="E27" s="3"/>
      <c r="F27" s="3"/>
      <c r="G27" s="3"/>
      <c r="H27" s="3"/>
      <c r="I27" s="3"/>
      <c r="J27" s="5">
        <v>-3990</v>
      </c>
      <c r="K27" s="4">
        <v>12810</v>
      </c>
      <c r="L27" s="3"/>
      <c r="M27" s="4">
        <v>8050</v>
      </c>
      <c r="N27" s="3"/>
      <c r="O27" s="4">
        <v>6790</v>
      </c>
      <c r="P27" s="4">
        <v>15540</v>
      </c>
      <c r="Q27" s="4">
        <v>11620</v>
      </c>
      <c r="R27" s="4">
        <v>15750</v>
      </c>
      <c r="S27" s="4">
        <v>18620</v>
      </c>
      <c r="T27" s="3"/>
      <c r="U27" s="4">
        <v>17990</v>
      </c>
      <c r="V27" s="4">
        <v>21280</v>
      </c>
      <c r="W27" s="4">
        <v>31290</v>
      </c>
      <c r="X27" s="6" t="s">
        <v>58</v>
      </c>
      <c r="Y27" s="6" t="s">
        <v>107</v>
      </c>
      <c r="Z27" s="6" t="s">
        <v>79</v>
      </c>
      <c r="AA27" s="3">
        <v>1353.7</v>
      </c>
      <c r="AB27" s="6" t="s">
        <v>61</v>
      </c>
      <c r="AC27" s="32">
        <v>1398.4</v>
      </c>
      <c r="AD27" s="7">
        <v>189518</v>
      </c>
      <c r="AE27" s="3">
        <v>31290</v>
      </c>
      <c r="AF27" s="8">
        <v>-6020</v>
      </c>
      <c r="AG27" s="3">
        <v>0.55000000000000004</v>
      </c>
      <c r="AH27" s="3">
        <v>-4760</v>
      </c>
      <c r="AI27" s="6" t="s">
        <v>43</v>
      </c>
      <c r="AJ27" s="3" t="s">
        <v>44</v>
      </c>
    </row>
    <row r="28" spans="1:36">
      <c r="A28" s="2" t="s">
        <v>108</v>
      </c>
      <c r="B28" s="3"/>
      <c r="C28" s="3"/>
      <c r="D28" s="3"/>
      <c r="E28" s="3"/>
      <c r="F28" s="3"/>
      <c r="G28" s="3"/>
      <c r="H28" s="3"/>
      <c r="I28" s="3"/>
      <c r="J28" s="3"/>
      <c r="K28" s="5">
        <v>-5700</v>
      </c>
      <c r="L28" s="3"/>
      <c r="M28" s="5">
        <v>-13350</v>
      </c>
      <c r="N28" s="3"/>
      <c r="O28" s="5">
        <v>-18975</v>
      </c>
      <c r="P28" s="3"/>
      <c r="Q28" s="3"/>
      <c r="R28" s="3"/>
      <c r="S28" s="3"/>
      <c r="T28" s="3"/>
      <c r="U28" s="3"/>
      <c r="V28" s="3"/>
      <c r="W28" s="3"/>
      <c r="X28" s="6" t="s">
        <v>39</v>
      </c>
      <c r="Y28" s="6" t="s">
        <v>74</v>
      </c>
      <c r="Z28" s="6" t="s">
        <v>75</v>
      </c>
      <c r="AA28" s="3">
        <v>5568</v>
      </c>
      <c r="AB28" s="6" t="s">
        <v>42</v>
      </c>
      <c r="AC28" s="32">
        <v>5694.5</v>
      </c>
      <c r="AD28" s="7">
        <v>167040</v>
      </c>
      <c r="AE28" s="3">
        <v>-18975</v>
      </c>
      <c r="AF28" s="7">
        <v>-13275</v>
      </c>
      <c r="AG28" s="3">
        <v>-6.56</v>
      </c>
      <c r="AH28" s="3">
        <v>-7650</v>
      </c>
      <c r="AI28" s="6" t="s">
        <v>43</v>
      </c>
      <c r="AJ28" s="3" t="s">
        <v>109</v>
      </c>
    </row>
    <row r="29" spans="1:36">
      <c r="A29" s="2" t="s">
        <v>110</v>
      </c>
      <c r="B29" s="3"/>
      <c r="C29" s="3"/>
      <c r="D29" s="3"/>
      <c r="E29" s="3"/>
      <c r="F29" s="3"/>
      <c r="G29" s="3"/>
      <c r="H29" s="3"/>
      <c r="I29" s="4">
        <v>7280</v>
      </c>
      <c r="J29" s="4">
        <v>7280</v>
      </c>
      <c r="K29" s="4">
        <v>5680</v>
      </c>
      <c r="L29" s="3"/>
      <c r="M29" s="4">
        <v>5360</v>
      </c>
      <c r="N29" s="3"/>
      <c r="O29" s="5">
        <v>-6400</v>
      </c>
      <c r="P29" s="4">
        <v>600</v>
      </c>
      <c r="Q29" s="5">
        <v>-14000</v>
      </c>
      <c r="R29" s="3"/>
      <c r="S29" s="3"/>
      <c r="T29" s="3"/>
      <c r="U29" s="3"/>
      <c r="V29" s="3"/>
      <c r="W29" s="3"/>
      <c r="X29" s="6" t="s">
        <v>39</v>
      </c>
      <c r="Y29" s="6" t="s">
        <v>111</v>
      </c>
      <c r="Z29" s="6" t="s">
        <v>41</v>
      </c>
      <c r="AA29" s="3">
        <v>1460</v>
      </c>
      <c r="AB29" s="6" t="s">
        <v>56</v>
      </c>
      <c r="AC29" s="32">
        <v>1495</v>
      </c>
      <c r="AD29" s="7">
        <v>116800</v>
      </c>
      <c r="AE29" s="3">
        <v>-14000</v>
      </c>
      <c r="AF29" s="7">
        <v>-21280</v>
      </c>
      <c r="AG29" s="3">
        <v>-0.48</v>
      </c>
      <c r="AH29" s="3">
        <v>-14600</v>
      </c>
      <c r="AI29" s="6" t="s">
        <v>43</v>
      </c>
      <c r="AJ29" s="3" t="s">
        <v>44</v>
      </c>
    </row>
    <row r="30" spans="1:36">
      <c r="A30" s="2" t="s">
        <v>112</v>
      </c>
      <c r="B30" s="3"/>
      <c r="C30" s="3"/>
      <c r="D30" s="4">
        <v>6240</v>
      </c>
      <c r="E30" s="4">
        <v>9760</v>
      </c>
      <c r="F30" s="4">
        <v>11200</v>
      </c>
      <c r="G30" s="4">
        <v>3200</v>
      </c>
      <c r="H30" s="3"/>
      <c r="I30" s="5">
        <v>-240</v>
      </c>
      <c r="J30" s="4">
        <v>8880</v>
      </c>
      <c r="K30" s="4">
        <v>2400</v>
      </c>
      <c r="L30" s="3"/>
      <c r="M30" s="4">
        <v>4480</v>
      </c>
      <c r="N30" s="3"/>
      <c r="O30" s="4">
        <v>10160</v>
      </c>
      <c r="P30" s="4">
        <v>11680</v>
      </c>
      <c r="Q30" s="4">
        <v>11760</v>
      </c>
      <c r="R30" s="4">
        <v>11520</v>
      </c>
      <c r="S30" s="4">
        <v>6880</v>
      </c>
      <c r="T30" s="3"/>
      <c r="U30" s="4">
        <v>12560</v>
      </c>
      <c r="V30" s="3"/>
      <c r="W30" s="3"/>
      <c r="X30" s="6" t="s">
        <v>39</v>
      </c>
      <c r="Y30" s="6" t="s">
        <v>113</v>
      </c>
      <c r="Z30" s="6" t="s">
        <v>55</v>
      </c>
      <c r="AA30" s="3">
        <v>407.1</v>
      </c>
      <c r="AB30" s="6" t="s">
        <v>68</v>
      </c>
      <c r="AC30" s="32">
        <v>399.25</v>
      </c>
      <c r="AD30" s="7">
        <v>130272</v>
      </c>
      <c r="AE30" s="3">
        <v>12560</v>
      </c>
      <c r="AF30" s="8">
        <v>-11440</v>
      </c>
      <c r="AG30" s="3">
        <v>0.1</v>
      </c>
      <c r="AH30" s="3">
        <v>-8000</v>
      </c>
      <c r="AI30" s="6" t="s">
        <v>43</v>
      </c>
      <c r="AJ30" s="3" t="s">
        <v>44</v>
      </c>
    </row>
    <row r="31" spans="1:36">
      <c r="A31" s="9" t="s">
        <v>114</v>
      </c>
      <c r="B31" s="10"/>
      <c r="C31" s="11">
        <v>7560</v>
      </c>
      <c r="D31" s="11">
        <v>10680</v>
      </c>
      <c r="E31" s="11">
        <v>24600</v>
      </c>
      <c r="F31" s="11">
        <v>36960</v>
      </c>
      <c r="G31" s="11">
        <v>50760</v>
      </c>
      <c r="H31" s="10"/>
      <c r="I31" s="11">
        <v>54720</v>
      </c>
      <c r="J31" s="11">
        <v>57120</v>
      </c>
      <c r="K31" s="11">
        <v>40680</v>
      </c>
      <c r="L31" s="10"/>
      <c r="M31" s="11">
        <v>36720</v>
      </c>
      <c r="N31" s="10"/>
      <c r="O31" s="11">
        <v>25800</v>
      </c>
      <c r="P31" s="11">
        <v>17040</v>
      </c>
      <c r="Q31" s="11">
        <v>29640</v>
      </c>
      <c r="R31" s="11">
        <v>23160</v>
      </c>
      <c r="S31" s="11">
        <v>21240</v>
      </c>
      <c r="T31" s="10"/>
      <c r="U31" s="11">
        <v>20520</v>
      </c>
      <c r="V31" s="11">
        <v>27360</v>
      </c>
      <c r="W31" s="11">
        <v>10440</v>
      </c>
      <c r="X31" s="13" t="s">
        <v>39</v>
      </c>
      <c r="Y31" s="13" t="s">
        <v>115</v>
      </c>
      <c r="Z31" s="13" t="s">
        <v>51</v>
      </c>
      <c r="AA31" s="10">
        <v>317</v>
      </c>
      <c r="AB31" s="13" t="s">
        <v>61</v>
      </c>
      <c r="AC31" s="33">
        <v>312.64999999999998</v>
      </c>
      <c r="AD31" s="15">
        <v>152160</v>
      </c>
      <c r="AE31" s="10">
        <v>10440</v>
      </c>
      <c r="AF31" s="14">
        <v>-46680</v>
      </c>
      <c r="AG31" s="10">
        <v>0.02</v>
      </c>
      <c r="AH31" s="10">
        <v>-16920</v>
      </c>
      <c r="AI31" s="16" t="s">
        <v>81</v>
      </c>
      <c r="AJ31" s="10" t="s">
        <v>116</v>
      </c>
    </row>
    <row r="32" spans="1:36">
      <c r="A32" s="2" t="s">
        <v>117</v>
      </c>
      <c r="B32" s="3"/>
      <c r="C32" s="3"/>
      <c r="D32" s="3"/>
      <c r="E32" s="3"/>
      <c r="F32" s="3"/>
      <c r="G32" s="3"/>
      <c r="H32" s="3"/>
      <c r="I32" s="3"/>
      <c r="J32" s="4">
        <v>9382.5</v>
      </c>
      <c r="K32" s="4">
        <v>11677.5</v>
      </c>
      <c r="L32" s="3"/>
      <c r="M32" s="4">
        <v>22207.5</v>
      </c>
      <c r="N32" s="3"/>
      <c r="O32" s="4">
        <v>20992.5</v>
      </c>
      <c r="P32" s="4">
        <v>18900</v>
      </c>
      <c r="Q32" s="4">
        <v>11070</v>
      </c>
      <c r="R32" s="4">
        <v>31320</v>
      </c>
      <c r="S32" s="3"/>
      <c r="T32" s="3"/>
      <c r="U32" s="3"/>
      <c r="V32" s="3"/>
      <c r="W32" s="3"/>
      <c r="X32" s="6" t="s">
        <v>58</v>
      </c>
      <c r="Y32" s="6" t="s">
        <v>118</v>
      </c>
      <c r="Z32" s="6" t="s">
        <v>79</v>
      </c>
      <c r="AA32" s="3">
        <v>1128.8</v>
      </c>
      <c r="AB32" s="6" t="s">
        <v>92</v>
      </c>
      <c r="AC32" s="32">
        <v>1175.2</v>
      </c>
      <c r="AD32" s="7">
        <v>152388</v>
      </c>
      <c r="AE32" s="3">
        <v>31320</v>
      </c>
      <c r="AF32" s="8">
        <v>-11137.5</v>
      </c>
      <c r="AG32" s="3">
        <v>0.4</v>
      </c>
      <c r="AH32" s="3">
        <v>-7830</v>
      </c>
      <c r="AI32" s="6" t="s">
        <v>43</v>
      </c>
      <c r="AJ32" s="3" t="s">
        <v>119</v>
      </c>
    </row>
    <row r="33" spans="1:36">
      <c r="A33" s="2" t="s">
        <v>120</v>
      </c>
      <c r="B33" s="3"/>
      <c r="C33" s="3"/>
      <c r="D33" s="4">
        <v>9880</v>
      </c>
      <c r="E33" s="4">
        <v>3320</v>
      </c>
      <c r="F33" s="5">
        <v>-3800</v>
      </c>
      <c r="G33" s="5">
        <v>-3800</v>
      </c>
      <c r="H33" s="3"/>
      <c r="I33" s="5">
        <v>-12560</v>
      </c>
      <c r="J33" s="5">
        <v>-12120</v>
      </c>
      <c r="K33" s="4">
        <v>16120</v>
      </c>
      <c r="L33" s="3"/>
      <c r="M33" s="4">
        <v>31000</v>
      </c>
      <c r="N33" s="3"/>
      <c r="O33" s="4">
        <v>49200</v>
      </c>
      <c r="P33" s="4">
        <v>41560</v>
      </c>
      <c r="Q33" s="4">
        <v>37920</v>
      </c>
      <c r="R33" s="4">
        <v>48640</v>
      </c>
      <c r="S33" s="4">
        <v>50840</v>
      </c>
      <c r="T33" s="3"/>
      <c r="U33" s="4">
        <v>51640</v>
      </c>
      <c r="V33" s="4">
        <v>51520</v>
      </c>
      <c r="W33" s="4">
        <v>50640</v>
      </c>
      <c r="X33" s="6" t="s">
        <v>58</v>
      </c>
      <c r="Y33" s="6" t="s">
        <v>121</v>
      </c>
      <c r="Z33" s="6" t="s">
        <v>55</v>
      </c>
      <c r="AA33" s="3">
        <v>2023</v>
      </c>
      <c r="AB33" s="6" t="s">
        <v>61</v>
      </c>
      <c r="AC33" s="32">
        <v>2149.6</v>
      </c>
      <c r="AD33" s="7">
        <v>161840</v>
      </c>
      <c r="AE33" s="3">
        <v>50640</v>
      </c>
      <c r="AF33" s="8">
        <v>-22440</v>
      </c>
      <c r="AG33" s="3">
        <v>0.26</v>
      </c>
      <c r="AH33" s="3">
        <v>-8760</v>
      </c>
      <c r="AI33" s="6" t="s">
        <v>43</v>
      </c>
      <c r="AJ33" s="3" t="s">
        <v>44</v>
      </c>
    </row>
    <row r="34" spans="1:36">
      <c r="A34" s="2" t="s">
        <v>122</v>
      </c>
      <c r="B34" s="3"/>
      <c r="C34" s="3"/>
      <c r="D34" s="5">
        <v>-1605</v>
      </c>
      <c r="E34" s="5">
        <v>-4035</v>
      </c>
      <c r="F34" s="4">
        <v>375</v>
      </c>
      <c r="G34" s="5">
        <v>-12390</v>
      </c>
      <c r="H34" s="3"/>
      <c r="I34" s="5">
        <v>-6225</v>
      </c>
      <c r="J34" s="5">
        <v>-1815</v>
      </c>
      <c r="K34" s="5">
        <v>-3510</v>
      </c>
      <c r="L34" s="3"/>
      <c r="M34" s="5">
        <v>-12930</v>
      </c>
      <c r="N34" s="3"/>
      <c r="O34" s="5">
        <v>-13515</v>
      </c>
      <c r="P34" s="3"/>
      <c r="Q34" s="3"/>
      <c r="R34" s="3"/>
      <c r="S34" s="3"/>
      <c r="T34" s="3"/>
      <c r="U34" s="3"/>
      <c r="V34" s="3"/>
      <c r="W34" s="3"/>
      <c r="X34" s="6" t="s">
        <v>39</v>
      </c>
      <c r="Y34" s="6" t="s">
        <v>123</v>
      </c>
      <c r="Z34" s="6" t="s">
        <v>55</v>
      </c>
      <c r="AA34" s="3">
        <v>3646.9</v>
      </c>
      <c r="AB34" s="6" t="s">
        <v>42</v>
      </c>
      <c r="AC34" s="32">
        <v>3737</v>
      </c>
      <c r="AD34" s="7">
        <v>109407</v>
      </c>
      <c r="AE34" s="3">
        <v>-13515</v>
      </c>
      <c r="AF34" s="7">
        <v>-13890</v>
      </c>
      <c r="AG34" s="3">
        <v>-0.24</v>
      </c>
      <c r="AH34" s="3">
        <v>-12765</v>
      </c>
      <c r="AI34" s="6" t="s">
        <v>43</v>
      </c>
      <c r="AJ34" s="3" t="s">
        <v>124</v>
      </c>
    </row>
    <row r="35" spans="1:36">
      <c r="A35" s="2" t="s">
        <v>125</v>
      </c>
      <c r="B35" s="3"/>
      <c r="C35" s="3"/>
      <c r="D35" s="3"/>
      <c r="E35" s="3"/>
      <c r="F35" s="3"/>
      <c r="G35" s="3"/>
      <c r="H35" s="3"/>
      <c r="I35" s="3"/>
      <c r="J35" s="5">
        <v>-2450</v>
      </c>
      <c r="K35" s="5">
        <v>-15190</v>
      </c>
      <c r="L35" s="3"/>
      <c r="M35" s="5">
        <v>-14700</v>
      </c>
      <c r="N35" s="3"/>
      <c r="O35" s="5">
        <v>-18200</v>
      </c>
      <c r="P35" s="5">
        <v>-25480</v>
      </c>
      <c r="Q35" s="5">
        <v>-2275</v>
      </c>
      <c r="R35" s="5">
        <v>-10150</v>
      </c>
      <c r="S35" s="5">
        <v>-12215</v>
      </c>
      <c r="T35" s="3"/>
      <c r="U35" s="5">
        <v>-13895</v>
      </c>
      <c r="V35" s="5">
        <v>-13930</v>
      </c>
      <c r="W35" s="3"/>
      <c r="X35" s="6" t="s">
        <v>39</v>
      </c>
      <c r="Y35" s="6" t="s">
        <v>126</v>
      </c>
      <c r="Z35" s="6" t="s">
        <v>79</v>
      </c>
      <c r="AA35" s="3">
        <v>3420</v>
      </c>
      <c r="AB35" s="6" t="s">
        <v>127</v>
      </c>
      <c r="AC35" s="32">
        <v>3459.8</v>
      </c>
      <c r="AD35" s="7">
        <v>239400</v>
      </c>
      <c r="AE35" s="3">
        <v>-13930</v>
      </c>
      <c r="AF35" s="7">
        <v>-23030</v>
      </c>
      <c r="AG35" s="3">
        <v>-0.13</v>
      </c>
      <c r="AH35" s="3">
        <v>-12740</v>
      </c>
      <c r="AI35" s="6" t="s">
        <v>43</v>
      </c>
      <c r="AJ35" s="3" t="s">
        <v>44</v>
      </c>
    </row>
    <row r="36" spans="1:36">
      <c r="A36" s="2" t="s">
        <v>128</v>
      </c>
      <c r="B36" s="3"/>
      <c r="C36" s="3"/>
      <c r="D36" s="3"/>
      <c r="E36" s="3"/>
      <c r="F36" s="3"/>
      <c r="G36" s="3"/>
      <c r="H36" s="3"/>
      <c r="I36" s="3"/>
      <c r="J36" s="3"/>
      <c r="K36" s="4">
        <v>3050</v>
      </c>
      <c r="L36" s="3"/>
      <c r="M36" s="4">
        <v>11000</v>
      </c>
      <c r="N36" s="3"/>
      <c r="O36" s="4">
        <v>1400</v>
      </c>
      <c r="P36" s="5">
        <v>-4100</v>
      </c>
      <c r="Q36" s="4">
        <v>700</v>
      </c>
      <c r="R36" s="3"/>
      <c r="S36" s="3"/>
      <c r="T36" s="3"/>
      <c r="U36" s="3"/>
      <c r="V36" s="3"/>
      <c r="W36" s="3"/>
      <c r="X36" s="6" t="s">
        <v>39</v>
      </c>
      <c r="Y36" s="6" t="s">
        <v>129</v>
      </c>
      <c r="Z36" s="6" t="s">
        <v>75</v>
      </c>
      <c r="AA36" s="3">
        <v>16026</v>
      </c>
      <c r="AB36" s="6" t="s">
        <v>56</v>
      </c>
      <c r="AC36" s="32">
        <v>16012</v>
      </c>
      <c r="AD36" s="7">
        <v>160260</v>
      </c>
      <c r="AE36" s="3">
        <v>700</v>
      </c>
      <c r="AF36" s="8">
        <v>-15100</v>
      </c>
      <c r="AG36" s="3">
        <v>-0.08</v>
      </c>
      <c r="AH36" s="3">
        <v>-9600</v>
      </c>
      <c r="AI36" s="6" t="s">
        <v>43</v>
      </c>
      <c r="AJ36" s="3" t="s">
        <v>130</v>
      </c>
    </row>
    <row r="37" spans="1:36">
      <c r="A37" s="2" t="s">
        <v>131</v>
      </c>
      <c r="B37" s="3"/>
      <c r="C37" s="5">
        <v>-2850</v>
      </c>
      <c r="D37" s="4">
        <v>4450</v>
      </c>
      <c r="E37" s="4">
        <v>16350</v>
      </c>
      <c r="F37" s="4">
        <v>14100</v>
      </c>
      <c r="G37" s="4">
        <v>21250</v>
      </c>
      <c r="H37" s="3"/>
      <c r="I37" s="4">
        <v>26950</v>
      </c>
      <c r="J37" s="4">
        <v>25600</v>
      </c>
      <c r="K37" s="4">
        <v>26350</v>
      </c>
      <c r="L37" s="3"/>
      <c r="M37" s="4">
        <v>48350</v>
      </c>
      <c r="N37" s="3"/>
      <c r="O37" s="4">
        <v>13100</v>
      </c>
      <c r="P37" s="4">
        <v>17600</v>
      </c>
      <c r="Q37" s="3"/>
      <c r="R37" s="3"/>
      <c r="S37" s="3"/>
      <c r="T37" s="3"/>
      <c r="U37" s="3"/>
      <c r="V37" s="3"/>
      <c r="W37" s="3"/>
      <c r="X37" s="6" t="s">
        <v>39</v>
      </c>
      <c r="Y37" s="6" t="s">
        <v>50</v>
      </c>
      <c r="Z37" s="6" t="s">
        <v>51</v>
      </c>
      <c r="AA37" s="3">
        <v>1165.9000000000001</v>
      </c>
      <c r="AB37" s="6" t="s">
        <v>52</v>
      </c>
      <c r="AC37" s="32">
        <v>1130.7</v>
      </c>
      <c r="AD37" s="7">
        <v>116590</v>
      </c>
      <c r="AE37" s="3">
        <v>17600</v>
      </c>
      <c r="AF37" s="8">
        <v>-35250</v>
      </c>
      <c r="AG37" s="3">
        <v>0.14000000000000001</v>
      </c>
      <c r="AH37" s="3">
        <v>-35250</v>
      </c>
      <c r="AI37" s="6" t="s">
        <v>43</v>
      </c>
      <c r="AJ37" s="3" t="s">
        <v>132</v>
      </c>
    </row>
    <row r="38" spans="1:36">
      <c r="A38" s="2" t="s">
        <v>133</v>
      </c>
      <c r="B38" s="3"/>
      <c r="C38" s="3"/>
      <c r="D38" s="3"/>
      <c r="E38" s="3"/>
      <c r="F38" s="5">
        <v>-2750</v>
      </c>
      <c r="G38" s="5">
        <v>-5475</v>
      </c>
      <c r="H38" s="3"/>
      <c r="I38" s="5">
        <v>-8000</v>
      </c>
      <c r="J38" s="5">
        <v>-7900</v>
      </c>
      <c r="K38" s="5">
        <v>-4525</v>
      </c>
      <c r="L38" s="3"/>
      <c r="M38" s="5">
        <v>-3650</v>
      </c>
      <c r="N38" s="3"/>
      <c r="O38" s="5">
        <v>-700</v>
      </c>
      <c r="P38" s="5">
        <v>-1925</v>
      </c>
      <c r="Q38" s="5">
        <v>-1000</v>
      </c>
      <c r="R38" s="4">
        <v>825</v>
      </c>
      <c r="S38" s="4">
        <v>3750</v>
      </c>
      <c r="T38" s="3"/>
      <c r="U38" s="4">
        <v>900</v>
      </c>
      <c r="V38" s="5">
        <v>-2250</v>
      </c>
      <c r="W38" s="3"/>
      <c r="X38" s="6" t="s">
        <v>58</v>
      </c>
      <c r="Y38" s="6" t="s">
        <v>134</v>
      </c>
      <c r="Z38" s="6" t="s">
        <v>135</v>
      </c>
      <c r="AA38" s="3">
        <v>1184.5</v>
      </c>
      <c r="AB38" s="6" t="s">
        <v>127</v>
      </c>
      <c r="AC38" s="32">
        <v>1175.5</v>
      </c>
      <c r="AD38" s="7">
        <v>59225</v>
      </c>
      <c r="AE38" s="3">
        <v>-2250</v>
      </c>
      <c r="AF38" s="7">
        <v>-6000</v>
      </c>
      <c r="AG38" s="3">
        <v>0.02</v>
      </c>
      <c r="AH38" s="3">
        <v>-3150</v>
      </c>
      <c r="AI38" s="6" t="s">
        <v>43</v>
      </c>
      <c r="AJ38" s="3" t="s">
        <v>136</v>
      </c>
    </row>
    <row r="39" spans="1:36">
      <c r="A39" s="2" t="s">
        <v>137</v>
      </c>
      <c r="B39" s="3"/>
      <c r="C39" s="5">
        <v>-75</v>
      </c>
      <c r="D39" s="5">
        <v>-5775</v>
      </c>
      <c r="E39" s="5">
        <v>-12675</v>
      </c>
      <c r="F39" s="5">
        <v>-2025</v>
      </c>
      <c r="G39" s="4">
        <v>1875</v>
      </c>
      <c r="H39" s="3"/>
      <c r="I39" s="5">
        <v>-2700</v>
      </c>
      <c r="J39" s="5">
        <v>-1950</v>
      </c>
      <c r="K39" s="5">
        <v>-1650</v>
      </c>
      <c r="L39" s="3"/>
      <c r="M39" s="5">
        <v>-4275</v>
      </c>
      <c r="N39" s="3"/>
      <c r="O39" s="4">
        <v>75</v>
      </c>
      <c r="P39" s="4">
        <v>1725</v>
      </c>
      <c r="Q39" s="4">
        <v>8025</v>
      </c>
      <c r="R39" s="4">
        <v>4950</v>
      </c>
      <c r="S39" s="5">
        <v>-825</v>
      </c>
      <c r="T39" s="3"/>
      <c r="U39" s="5">
        <v>-3825</v>
      </c>
      <c r="V39" s="4">
        <v>3750</v>
      </c>
      <c r="W39" s="3"/>
      <c r="X39" s="6" t="s">
        <v>39</v>
      </c>
      <c r="Y39" s="6" t="s">
        <v>138</v>
      </c>
      <c r="Z39" s="6" t="s">
        <v>51</v>
      </c>
      <c r="AA39" s="3">
        <v>339.15</v>
      </c>
      <c r="AB39" s="6" t="s">
        <v>127</v>
      </c>
      <c r="AC39" s="32">
        <v>336.65</v>
      </c>
      <c r="AD39" s="7">
        <v>101745</v>
      </c>
      <c r="AE39" s="3">
        <v>3750</v>
      </c>
      <c r="AF39" s="8">
        <v>-12600</v>
      </c>
      <c r="AG39" s="3">
        <v>0.05</v>
      </c>
      <c r="AH39" s="3">
        <v>-6900</v>
      </c>
      <c r="AI39" s="6" t="s">
        <v>43</v>
      </c>
      <c r="AJ39" s="3" t="s">
        <v>119</v>
      </c>
    </row>
    <row r="40" spans="1:36">
      <c r="A40" s="2" t="s">
        <v>139</v>
      </c>
      <c r="B40" s="3"/>
      <c r="C40" s="3"/>
      <c r="D40" s="3"/>
      <c r="E40" s="3"/>
      <c r="F40" s="3"/>
      <c r="G40" s="3"/>
      <c r="H40" s="3"/>
      <c r="I40" s="3"/>
      <c r="J40" s="4">
        <v>1925</v>
      </c>
      <c r="K40" s="5">
        <v>-11704</v>
      </c>
      <c r="L40" s="3"/>
      <c r="M40" s="5">
        <v>-14091</v>
      </c>
      <c r="N40" s="3"/>
      <c r="O40" s="5">
        <v>-22561</v>
      </c>
      <c r="P40" s="5">
        <v>-20482</v>
      </c>
      <c r="Q40" s="5">
        <v>-6968.5</v>
      </c>
      <c r="R40" s="5">
        <v>-13051.5</v>
      </c>
      <c r="S40" s="3"/>
      <c r="T40" s="3"/>
      <c r="U40" s="3"/>
      <c r="V40" s="3"/>
      <c r="W40" s="3"/>
      <c r="X40" s="6" t="s">
        <v>39</v>
      </c>
      <c r="Y40" s="6" t="s">
        <v>118</v>
      </c>
      <c r="Z40" s="6" t="s">
        <v>79</v>
      </c>
      <c r="AA40" s="3">
        <v>240</v>
      </c>
      <c r="AB40" s="6" t="s">
        <v>92</v>
      </c>
      <c r="AC40" s="32">
        <v>243.39</v>
      </c>
      <c r="AD40" s="7">
        <v>184800</v>
      </c>
      <c r="AE40" s="3">
        <v>-13051.5</v>
      </c>
      <c r="AF40" s="7">
        <v>-24486</v>
      </c>
      <c r="AG40" s="3">
        <v>-0.28999999999999998</v>
      </c>
      <c r="AH40" s="3">
        <v>-13629</v>
      </c>
      <c r="AI40" s="6" t="s">
        <v>43</v>
      </c>
      <c r="AJ40" s="3" t="s">
        <v>44</v>
      </c>
    </row>
    <row r="41" spans="1:36">
      <c r="A41" s="2" t="s">
        <v>140</v>
      </c>
      <c r="B41" s="3"/>
      <c r="C41" s="3"/>
      <c r="D41" s="3"/>
      <c r="E41" s="3"/>
      <c r="F41" s="3"/>
      <c r="G41" s="3"/>
      <c r="H41" s="3"/>
      <c r="I41" s="3"/>
      <c r="J41" s="4">
        <v>3325</v>
      </c>
      <c r="K41" s="4">
        <v>2565</v>
      </c>
      <c r="L41" s="3"/>
      <c r="M41" s="5">
        <v>-14630</v>
      </c>
      <c r="N41" s="3"/>
      <c r="O41" s="5">
        <v>-9310</v>
      </c>
      <c r="P41" s="5">
        <v>-13300</v>
      </c>
      <c r="Q41" s="5">
        <v>-6270</v>
      </c>
      <c r="R41" s="5">
        <v>-7885</v>
      </c>
      <c r="S41" s="5">
        <v>-13585</v>
      </c>
      <c r="T41" s="3"/>
      <c r="U41" s="5">
        <v>-7885</v>
      </c>
      <c r="V41" s="5">
        <v>-10450</v>
      </c>
      <c r="W41" s="3"/>
      <c r="X41" s="6" t="s">
        <v>39</v>
      </c>
      <c r="Y41" s="6" t="s">
        <v>126</v>
      </c>
      <c r="Z41" s="6" t="s">
        <v>79</v>
      </c>
      <c r="AA41" s="3">
        <v>282</v>
      </c>
      <c r="AB41" s="6" t="s">
        <v>127</v>
      </c>
      <c r="AC41" s="32">
        <v>287.5</v>
      </c>
      <c r="AD41" s="7">
        <v>107160</v>
      </c>
      <c r="AE41" s="3">
        <v>-10450</v>
      </c>
      <c r="AF41" s="7">
        <v>-17955</v>
      </c>
      <c r="AG41" s="3">
        <v>-0.22</v>
      </c>
      <c r="AH41" s="3">
        <v>-17195</v>
      </c>
      <c r="AI41" s="6" t="s">
        <v>43</v>
      </c>
      <c r="AJ41" s="3" t="s">
        <v>141</v>
      </c>
    </row>
    <row r="42" spans="1:36">
      <c r="A42" s="2" t="s">
        <v>142</v>
      </c>
      <c r="B42" s="3"/>
      <c r="C42" s="3"/>
      <c r="D42" s="3"/>
      <c r="E42" s="3"/>
      <c r="F42" s="3"/>
      <c r="G42" s="3"/>
      <c r="H42" s="3"/>
      <c r="I42" s="3"/>
      <c r="J42" s="3"/>
      <c r="K42" s="5">
        <v>-425</v>
      </c>
      <c r="L42" s="3"/>
      <c r="M42" s="4">
        <v>900</v>
      </c>
      <c r="N42" s="3"/>
      <c r="O42" s="5">
        <v>-2000</v>
      </c>
      <c r="P42" s="3"/>
      <c r="Q42" s="3"/>
      <c r="R42" s="3"/>
      <c r="S42" s="3"/>
      <c r="T42" s="3"/>
      <c r="U42" s="3"/>
      <c r="V42" s="3"/>
      <c r="W42" s="3"/>
      <c r="X42" s="6" t="s">
        <v>39</v>
      </c>
      <c r="Y42" s="6" t="s">
        <v>74</v>
      </c>
      <c r="Z42" s="6" t="s">
        <v>75</v>
      </c>
      <c r="AA42" s="3">
        <v>1367</v>
      </c>
      <c r="AB42" s="6" t="s">
        <v>42</v>
      </c>
      <c r="AC42" s="32">
        <v>1375</v>
      </c>
      <c r="AD42" s="7">
        <v>68350</v>
      </c>
      <c r="AE42" s="3">
        <v>-2000</v>
      </c>
      <c r="AF42" s="7">
        <v>-2900</v>
      </c>
      <c r="AG42" s="3">
        <v>-0.37</v>
      </c>
      <c r="AH42" s="3">
        <v>-2900</v>
      </c>
      <c r="AI42" s="6" t="s">
        <v>43</v>
      </c>
      <c r="AJ42" s="3" t="s">
        <v>44</v>
      </c>
    </row>
    <row r="43" spans="1:36">
      <c r="A43" s="2" t="s">
        <v>143</v>
      </c>
      <c r="B43" s="3"/>
      <c r="C43" s="5">
        <v>-1350</v>
      </c>
      <c r="D43" s="4">
        <v>17800</v>
      </c>
      <c r="E43" s="4">
        <v>18950</v>
      </c>
      <c r="F43" s="4">
        <v>22600</v>
      </c>
      <c r="G43" s="4">
        <v>28100</v>
      </c>
      <c r="H43" s="3"/>
      <c r="I43" s="4">
        <v>33150</v>
      </c>
      <c r="J43" s="4">
        <v>32200</v>
      </c>
      <c r="K43" s="4">
        <v>26950</v>
      </c>
      <c r="L43" s="3"/>
      <c r="M43" s="4">
        <v>34950</v>
      </c>
      <c r="N43" s="3"/>
      <c r="O43" s="4">
        <v>42050</v>
      </c>
      <c r="P43" s="3"/>
      <c r="Q43" s="3"/>
      <c r="R43" s="3"/>
      <c r="S43" s="3"/>
      <c r="T43" s="3"/>
      <c r="U43" s="3"/>
      <c r="V43" s="3"/>
      <c r="W43" s="3"/>
      <c r="X43" s="6" t="s">
        <v>39</v>
      </c>
      <c r="Y43" s="6" t="s">
        <v>65</v>
      </c>
      <c r="Z43" s="6" t="s">
        <v>51</v>
      </c>
      <c r="AA43" s="3">
        <v>1855</v>
      </c>
      <c r="AB43" s="6" t="s">
        <v>42</v>
      </c>
      <c r="AC43" s="32">
        <v>1770.9</v>
      </c>
      <c r="AD43" s="7">
        <v>185500</v>
      </c>
      <c r="AE43" s="3">
        <v>42050</v>
      </c>
      <c r="AF43" s="8">
        <v>-6200</v>
      </c>
      <c r="AG43" s="3">
        <v>0.75</v>
      </c>
      <c r="AH43" s="3">
        <v>-5250</v>
      </c>
      <c r="AI43" s="6" t="s">
        <v>43</v>
      </c>
      <c r="AJ43" s="3" t="s">
        <v>102</v>
      </c>
    </row>
    <row r="44" spans="1:36">
      <c r="A44" s="2" t="s">
        <v>144</v>
      </c>
      <c r="B44" s="3"/>
      <c r="C44" s="3"/>
      <c r="D44" s="3"/>
      <c r="E44" s="3"/>
      <c r="F44" s="4">
        <v>4050</v>
      </c>
      <c r="G44" s="4">
        <v>7200</v>
      </c>
      <c r="H44" s="3"/>
      <c r="I44" s="5">
        <v>-3150</v>
      </c>
      <c r="J44" s="5">
        <v>-4425</v>
      </c>
      <c r="K44" s="4">
        <v>1837.5</v>
      </c>
      <c r="L44" s="3"/>
      <c r="M44" s="5">
        <v>-562.5</v>
      </c>
      <c r="N44" s="3"/>
      <c r="O44" s="5">
        <v>-5625</v>
      </c>
      <c r="P44" s="4">
        <v>1387.5</v>
      </c>
      <c r="Q44" s="4">
        <v>6225</v>
      </c>
      <c r="R44" s="4">
        <v>3337.5</v>
      </c>
      <c r="S44" s="5">
        <v>-10575</v>
      </c>
      <c r="T44" s="3"/>
      <c r="U44" s="5">
        <v>-12300</v>
      </c>
      <c r="V44" s="5">
        <v>-7800</v>
      </c>
      <c r="W44" s="3"/>
      <c r="X44" s="6" t="s">
        <v>39</v>
      </c>
      <c r="Y44" s="6" t="s">
        <v>134</v>
      </c>
      <c r="Z44" s="6" t="s">
        <v>135</v>
      </c>
      <c r="AA44" s="3">
        <v>866.55</v>
      </c>
      <c r="AB44" s="6" t="s">
        <v>127</v>
      </c>
      <c r="AC44" s="32">
        <v>876.95</v>
      </c>
      <c r="AD44" s="7">
        <v>129982.5</v>
      </c>
      <c r="AE44" s="3">
        <v>-7800</v>
      </c>
      <c r="AF44" s="7">
        <v>-19500</v>
      </c>
      <c r="AG44" s="3">
        <v>-0.16</v>
      </c>
      <c r="AH44" s="3">
        <v>-13912.5</v>
      </c>
      <c r="AI44" s="6" t="s">
        <v>43</v>
      </c>
      <c r="AJ44" s="3" t="s">
        <v>44</v>
      </c>
    </row>
    <row r="45" spans="1:36">
      <c r="A45" s="2" t="s">
        <v>145</v>
      </c>
      <c r="B45" s="3"/>
      <c r="C45" s="3"/>
      <c r="D45" s="3"/>
      <c r="E45" s="4">
        <v>1830</v>
      </c>
      <c r="F45" s="4">
        <v>9300</v>
      </c>
      <c r="G45" s="4">
        <v>13290</v>
      </c>
      <c r="H45" s="3"/>
      <c r="I45" s="4">
        <v>9840</v>
      </c>
      <c r="J45" s="4">
        <v>7260</v>
      </c>
      <c r="K45" s="5">
        <v>-12300</v>
      </c>
      <c r="L45" s="3"/>
      <c r="M45" s="5">
        <v>-10560</v>
      </c>
      <c r="N45" s="3"/>
      <c r="O45" s="5">
        <v>-25950</v>
      </c>
      <c r="P45" s="5">
        <v>-23160</v>
      </c>
      <c r="Q45" s="3"/>
      <c r="R45" s="3"/>
      <c r="S45" s="3"/>
      <c r="T45" s="3"/>
      <c r="U45" s="3"/>
      <c r="V45" s="3"/>
      <c r="W45" s="3"/>
      <c r="X45" s="6" t="s">
        <v>39</v>
      </c>
      <c r="Y45" s="6" t="s">
        <v>97</v>
      </c>
      <c r="Z45" s="6" t="s">
        <v>47</v>
      </c>
      <c r="AA45" s="3">
        <v>628.20000000000005</v>
      </c>
      <c r="AB45" s="6" t="s">
        <v>52</v>
      </c>
      <c r="AC45" s="32">
        <v>666.8</v>
      </c>
      <c r="AD45" s="7">
        <v>75384</v>
      </c>
      <c r="AE45" s="3">
        <v>-23160</v>
      </c>
      <c r="AF45" s="7">
        <v>-39240</v>
      </c>
      <c r="AG45" s="3">
        <v>-0.35</v>
      </c>
      <c r="AH45" s="3">
        <v>-19560</v>
      </c>
      <c r="AI45" s="6" t="s">
        <v>43</v>
      </c>
      <c r="AJ45" s="3" t="s">
        <v>44</v>
      </c>
    </row>
    <row r="46" spans="1:36">
      <c r="A46" s="2" t="s">
        <v>146</v>
      </c>
      <c r="B46" s="3"/>
      <c r="C46" s="3"/>
      <c r="D46" s="3"/>
      <c r="E46" s="3"/>
      <c r="F46" s="3"/>
      <c r="G46" s="4">
        <v>595</v>
      </c>
      <c r="H46" s="3"/>
      <c r="I46" s="4">
        <v>1505</v>
      </c>
      <c r="J46" s="4">
        <v>3255</v>
      </c>
      <c r="K46" s="4">
        <v>17920</v>
      </c>
      <c r="L46" s="3"/>
      <c r="M46" s="4">
        <v>16170</v>
      </c>
      <c r="N46" s="3"/>
      <c r="O46" s="4">
        <v>24395</v>
      </c>
      <c r="P46" s="4">
        <v>23835</v>
      </c>
      <c r="Q46" s="4">
        <v>16310</v>
      </c>
      <c r="R46" s="4">
        <v>25725</v>
      </c>
      <c r="S46" s="4">
        <v>30065</v>
      </c>
      <c r="T46" s="3"/>
      <c r="U46" s="4">
        <v>29190</v>
      </c>
      <c r="V46" s="4">
        <v>24290</v>
      </c>
      <c r="W46" s="4">
        <v>24535</v>
      </c>
      <c r="X46" s="6" t="s">
        <v>58</v>
      </c>
      <c r="Y46" s="6" t="s">
        <v>59</v>
      </c>
      <c r="Z46" s="6" t="s">
        <v>60</v>
      </c>
      <c r="AA46" s="3">
        <v>1585</v>
      </c>
      <c r="AB46" s="6" t="s">
        <v>61</v>
      </c>
      <c r="AC46" s="32">
        <v>1655.1</v>
      </c>
      <c r="AD46" s="7">
        <v>110950</v>
      </c>
      <c r="AE46" s="3">
        <v>24535</v>
      </c>
      <c r="AF46" s="8">
        <v>-8085</v>
      </c>
      <c r="AG46" s="3">
        <v>0.33</v>
      </c>
      <c r="AH46" s="3">
        <v>-7525</v>
      </c>
      <c r="AI46" s="6" t="s">
        <v>43</v>
      </c>
      <c r="AJ46" s="3" t="s">
        <v>44</v>
      </c>
    </row>
    <row r="47" spans="1:36">
      <c r="A47" s="2" t="s">
        <v>147</v>
      </c>
      <c r="B47" s="3"/>
      <c r="C47" s="3"/>
      <c r="D47" s="3"/>
      <c r="E47" s="3"/>
      <c r="F47" s="4">
        <v>9720</v>
      </c>
      <c r="G47" s="4">
        <v>23400</v>
      </c>
      <c r="H47" s="3"/>
      <c r="I47" s="4">
        <v>19710</v>
      </c>
      <c r="J47" s="4">
        <v>14130</v>
      </c>
      <c r="K47" s="4">
        <v>180</v>
      </c>
      <c r="L47" s="3"/>
      <c r="M47" s="4">
        <v>6750</v>
      </c>
      <c r="N47" s="3"/>
      <c r="O47" s="4">
        <v>2610</v>
      </c>
      <c r="P47" s="4">
        <v>22500</v>
      </c>
      <c r="Q47" s="4">
        <v>22320</v>
      </c>
      <c r="R47" s="4">
        <v>24300</v>
      </c>
      <c r="S47" s="4">
        <v>16650</v>
      </c>
      <c r="T47" s="3"/>
      <c r="U47" s="3"/>
      <c r="V47" s="3"/>
      <c r="W47" s="3"/>
      <c r="X47" s="6" t="s">
        <v>39</v>
      </c>
      <c r="Y47" s="6" t="s">
        <v>148</v>
      </c>
      <c r="Z47" s="6" t="s">
        <v>135</v>
      </c>
      <c r="AA47" s="3">
        <v>1145</v>
      </c>
      <c r="AB47" s="6" t="s">
        <v>80</v>
      </c>
      <c r="AC47" s="32">
        <v>1126.5</v>
      </c>
      <c r="AD47" s="7">
        <v>206100</v>
      </c>
      <c r="AE47" s="3">
        <v>16650</v>
      </c>
      <c r="AF47" s="8">
        <v>-23220</v>
      </c>
      <c r="AG47" s="3">
        <v>7.0000000000000007E-2</v>
      </c>
      <c r="AH47" s="3">
        <v>-13950</v>
      </c>
      <c r="AI47" s="6" t="s">
        <v>43</v>
      </c>
      <c r="AJ47" s="3" t="s">
        <v>44</v>
      </c>
    </row>
    <row r="48" spans="1:36">
      <c r="A48" s="2" t="s">
        <v>149</v>
      </c>
      <c r="B48" s="3"/>
      <c r="C48" s="3"/>
      <c r="D48" s="3"/>
      <c r="E48" s="3"/>
      <c r="F48" s="5">
        <v>-2860</v>
      </c>
      <c r="G48" s="5">
        <v>-30250</v>
      </c>
      <c r="H48" s="3"/>
      <c r="I48" s="5">
        <v>-21560</v>
      </c>
      <c r="J48" s="5">
        <v>-22715</v>
      </c>
      <c r="K48" s="5">
        <v>-29645</v>
      </c>
      <c r="L48" s="3"/>
      <c r="M48" s="4">
        <v>1705</v>
      </c>
      <c r="N48" s="3"/>
      <c r="O48" s="5">
        <v>-15620</v>
      </c>
      <c r="P48" s="5">
        <v>-8085</v>
      </c>
      <c r="Q48" s="5">
        <v>-5280</v>
      </c>
      <c r="R48" s="4">
        <v>19360</v>
      </c>
      <c r="S48" s="4">
        <v>5280</v>
      </c>
      <c r="T48" s="3"/>
      <c r="U48" s="4">
        <v>715</v>
      </c>
      <c r="V48" s="5">
        <v>-13145</v>
      </c>
      <c r="W48" s="4">
        <v>1870</v>
      </c>
      <c r="X48" s="6" t="s">
        <v>58</v>
      </c>
      <c r="Y48" s="6" t="s">
        <v>150</v>
      </c>
      <c r="Z48" s="6" t="s">
        <v>135</v>
      </c>
      <c r="AA48" s="3">
        <v>172.9</v>
      </c>
      <c r="AB48" s="6" t="s">
        <v>61</v>
      </c>
      <c r="AC48" s="32">
        <v>173.24</v>
      </c>
      <c r="AD48" s="7">
        <v>190190</v>
      </c>
      <c r="AE48" s="3">
        <v>1870</v>
      </c>
      <c r="AF48" s="8">
        <v>-32505</v>
      </c>
      <c r="AG48" s="3">
        <v>0.02</v>
      </c>
      <c r="AH48" s="3">
        <v>-27390</v>
      </c>
      <c r="AI48" s="6" t="s">
        <v>43</v>
      </c>
      <c r="AJ48" s="3" t="s">
        <v>44</v>
      </c>
    </row>
    <row r="49" spans="1:36">
      <c r="A49" s="2" t="s">
        <v>151</v>
      </c>
      <c r="B49" s="3"/>
      <c r="C49" s="3"/>
      <c r="D49" s="3"/>
      <c r="E49" s="3"/>
      <c r="F49" s="3"/>
      <c r="G49" s="3"/>
      <c r="H49" s="3"/>
      <c r="I49" s="3"/>
      <c r="J49" s="3"/>
      <c r="K49" s="5">
        <v>-4060</v>
      </c>
      <c r="L49" s="3"/>
      <c r="M49" s="5">
        <v>-1907.5</v>
      </c>
      <c r="N49" s="3"/>
      <c r="O49" s="5">
        <v>-17045</v>
      </c>
      <c r="P49" s="5">
        <v>-14472.5</v>
      </c>
      <c r="Q49" s="3"/>
      <c r="R49" s="3"/>
      <c r="S49" s="3"/>
      <c r="T49" s="3"/>
      <c r="U49" s="3"/>
      <c r="V49" s="3"/>
      <c r="W49" s="3"/>
      <c r="X49" s="6" t="s">
        <v>39</v>
      </c>
      <c r="Y49" s="6" t="s">
        <v>152</v>
      </c>
      <c r="Z49" s="6" t="s">
        <v>75</v>
      </c>
      <c r="AA49" s="3">
        <v>2891</v>
      </c>
      <c r="AB49" s="6" t="s">
        <v>52</v>
      </c>
      <c r="AC49" s="32">
        <v>2973.7</v>
      </c>
      <c r="AD49" s="7">
        <v>101185</v>
      </c>
      <c r="AE49" s="3">
        <v>-14472.5</v>
      </c>
      <c r="AF49" s="7">
        <v>-15137.5</v>
      </c>
      <c r="AG49" s="3">
        <v>-0.42</v>
      </c>
      <c r="AH49" s="3">
        <v>-15137.5</v>
      </c>
      <c r="AI49" s="6" t="s">
        <v>43</v>
      </c>
      <c r="AJ49" s="3" t="s">
        <v>124</v>
      </c>
    </row>
    <row r="50" spans="1:36">
      <c r="A50" s="2" t="s">
        <v>153</v>
      </c>
      <c r="B50" s="3"/>
      <c r="C50" s="3"/>
      <c r="D50" s="3"/>
      <c r="E50" s="3"/>
      <c r="F50" s="3"/>
      <c r="G50" s="3"/>
      <c r="H50" s="3"/>
      <c r="I50" s="3"/>
      <c r="J50" s="5">
        <v>-4620</v>
      </c>
      <c r="K50" s="4">
        <v>4800</v>
      </c>
      <c r="L50" s="3"/>
      <c r="M50" s="5">
        <v>-4440</v>
      </c>
      <c r="N50" s="3"/>
      <c r="O50" s="4">
        <v>18780</v>
      </c>
      <c r="P50" s="4">
        <v>18540</v>
      </c>
      <c r="Q50" s="4">
        <v>30120</v>
      </c>
      <c r="R50" s="4">
        <v>35160</v>
      </c>
      <c r="S50" s="4">
        <v>29520</v>
      </c>
      <c r="T50" s="3"/>
      <c r="U50" s="4">
        <v>25740</v>
      </c>
      <c r="V50" s="4">
        <v>36000</v>
      </c>
      <c r="W50" s="4">
        <v>30600</v>
      </c>
      <c r="X50" s="6" t="s">
        <v>58</v>
      </c>
      <c r="Y50" s="6" t="s">
        <v>107</v>
      </c>
      <c r="Z50" s="6" t="s">
        <v>79</v>
      </c>
      <c r="AA50" s="3">
        <v>1408</v>
      </c>
      <c r="AB50" s="6" t="s">
        <v>61</v>
      </c>
      <c r="AC50" s="32">
        <v>1459</v>
      </c>
      <c r="AD50" s="7">
        <v>168960</v>
      </c>
      <c r="AE50" s="3">
        <v>30600</v>
      </c>
      <c r="AF50" s="8">
        <v>-9420</v>
      </c>
      <c r="AG50" s="3">
        <v>0.37</v>
      </c>
      <c r="AH50" s="3">
        <v>-9240</v>
      </c>
      <c r="AI50" s="6" t="s">
        <v>43</v>
      </c>
      <c r="AJ50" s="3" t="s">
        <v>154</v>
      </c>
    </row>
    <row r="51" spans="1:36">
      <c r="A51" s="2" t="s">
        <v>155</v>
      </c>
      <c r="B51" s="3"/>
      <c r="C51" s="3"/>
      <c r="D51" s="3"/>
      <c r="E51" s="3"/>
      <c r="F51" s="3"/>
      <c r="G51" s="3"/>
      <c r="H51" s="3"/>
      <c r="I51" s="5">
        <v>-12985</v>
      </c>
      <c r="J51" s="5">
        <v>-7000</v>
      </c>
      <c r="K51" s="5">
        <v>-14227.5</v>
      </c>
      <c r="L51" s="3"/>
      <c r="M51" s="5">
        <v>-22102.5</v>
      </c>
      <c r="N51" s="3"/>
      <c r="O51" s="5">
        <v>-17220</v>
      </c>
      <c r="P51" s="3"/>
      <c r="Q51" s="3"/>
      <c r="R51" s="3"/>
      <c r="S51" s="3"/>
      <c r="T51" s="3"/>
      <c r="U51" s="3"/>
      <c r="V51" s="3"/>
      <c r="W51" s="3"/>
      <c r="X51" s="6" t="s">
        <v>39</v>
      </c>
      <c r="Y51" s="6" t="s">
        <v>40</v>
      </c>
      <c r="Z51" s="6" t="s">
        <v>41</v>
      </c>
      <c r="AA51" s="3">
        <v>3327</v>
      </c>
      <c r="AB51" s="6" t="s">
        <v>42</v>
      </c>
      <c r="AC51" s="32">
        <v>3425.4</v>
      </c>
      <c r="AD51" s="7">
        <v>116445</v>
      </c>
      <c r="AE51" s="3">
        <v>-17220</v>
      </c>
      <c r="AF51" s="7">
        <v>-15102.5</v>
      </c>
      <c r="AG51" s="3">
        <v>-0.16</v>
      </c>
      <c r="AH51" s="3">
        <v>-7875</v>
      </c>
      <c r="AI51" s="6" t="s">
        <v>43</v>
      </c>
      <c r="AJ51" s="3" t="s">
        <v>44</v>
      </c>
    </row>
    <row r="52" spans="1:36">
      <c r="A52" s="2" t="s">
        <v>156</v>
      </c>
      <c r="B52" s="3"/>
      <c r="C52" s="3"/>
      <c r="D52" s="3"/>
      <c r="E52" s="3"/>
      <c r="F52" s="3"/>
      <c r="G52" s="3"/>
      <c r="H52" s="3"/>
      <c r="I52" s="3"/>
      <c r="J52" s="5">
        <v>-4100</v>
      </c>
      <c r="K52" s="5">
        <v>-23175</v>
      </c>
      <c r="L52" s="3"/>
      <c r="M52" s="5">
        <v>-22050</v>
      </c>
      <c r="N52" s="3"/>
      <c r="O52" s="5">
        <v>-20325</v>
      </c>
      <c r="P52" s="5">
        <v>-13025</v>
      </c>
      <c r="Q52" s="3"/>
      <c r="R52" s="3"/>
      <c r="S52" s="3"/>
      <c r="T52" s="3"/>
      <c r="U52" s="3"/>
      <c r="V52" s="3"/>
      <c r="W52" s="3"/>
      <c r="X52" s="6" t="s">
        <v>39</v>
      </c>
      <c r="Y52" s="6" t="s">
        <v>89</v>
      </c>
      <c r="Z52" s="6" t="s">
        <v>79</v>
      </c>
      <c r="AA52" s="3">
        <v>672</v>
      </c>
      <c r="AB52" s="6" t="s">
        <v>52</v>
      </c>
      <c r="AC52" s="32">
        <v>698.05</v>
      </c>
      <c r="AD52" s="7">
        <v>67200</v>
      </c>
      <c r="AE52" s="3">
        <v>-13025</v>
      </c>
      <c r="AF52" s="7">
        <v>-19075</v>
      </c>
      <c r="AG52" s="3">
        <v>-0.22</v>
      </c>
      <c r="AH52" s="3">
        <v>-19075</v>
      </c>
      <c r="AI52" s="6" t="s">
        <v>43</v>
      </c>
      <c r="AJ52" s="3" t="s">
        <v>44</v>
      </c>
    </row>
    <row r="53" spans="1:36">
      <c r="A53" s="2" t="s">
        <v>157</v>
      </c>
      <c r="B53" s="3"/>
      <c r="C53" s="4">
        <v>7900</v>
      </c>
      <c r="D53" s="4">
        <v>19850</v>
      </c>
      <c r="E53" s="4">
        <v>19250</v>
      </c>
      <c r="F53" s="4">
        <v>34700</v>
      </c>
      <c r="G53" s="4">
        <v>41050</v>
      </c>
      <c r="H53" s="3"/>
      <c r="I53" s="4">
        <v>35900</v>
      </c>
      <c r="J53" s="4">
        <v>41200</v>
      </c>
      <c r="K53" s="4">
        <v>25750</v>
      </c>
      <c r="L53" s="3"/>
      <c r="M53" s="4">
        <v>27380</v>
      </c>
      <c r="N53" s="3"/>
      <c r="O53" s="4">
        <v>31220</v>
      </c>
      <c r="P53" s="4">
        <v>40350</v>
      </c>
      <c r="Q53" s="4">
        <v>47290</v>
      </c>
      <c r="R53" s="3"/>
      <c r="S53" s="3"/>
      <c r="T53" s="3"/>
      <c r="U53" s="3"/>
      <c r="V53" s="3"/>
      <c r="W53" s="3"/>
      <c r="X53" s="6" t="s">
        <v>39</v>
      </c>
      <c r="Y53" s="6" t="s">
        <v>158</v>
      </c>
      <c r="Z53" s="6" t="s">
        <v>51</v>
      </c>
      <c r="AA53" s="3">
        <v>5089.5</v>
      </c>
      <c r="AB53" s="6" t="s">
        <v>56</v>
      </c>
      <c r="AC53" s="32">
        <v>4616.6000000000004</v>
      </c>
      <c r="AD53" s="7">
        <v>101790</v>
      </c>
      <c r="AE53" s="3">
        <v>47290</v>
      </c>
      <c r="AF53" s="8">
        <v>-15450</v>
      </c>
      <c r="AG53" s="3">
        <v>0.44</v>
      </c>
      <c r="AH53" s="3">
        <v>-15450</v>
      </c>
      <c r="AI53" s="6" t="s">
        <v>43</v>
      </c>
      <c r="AJ53" s="3" t="s">
        <v>44</v>
      </c>
    </row>
    <row r="54" spans="1:36">
      <c r="A54" s="2" t="s">
        <v>159</v>
      </c>
      <c r="B54" s="3"/>
      <c r="C54" s="3"/>
      <c r="D54" s="3"/>
      <c r="E54" s="3"/>
      <c r="F54" s="3"/>
      <c r="G54" s="3"/>
      <c r="H54" s="3"/>
      <c r="I54" s="3"/>
      <c r="J54" s="5">
        <v>-18100</v>
      </c>
      <c r="K54" s="5">
        <v>-5400</v>
      </c>
      <c r="L54" s="3"/>
      <c r="M54" s="4">
        <v>2200</v>
      </c>
      <c r="N54" s="3"/>
      <c r="O54" s="5">
        <v>-1400</v>
      </c>
      <c r="P54" s="3"/>
      <c r="Q54" s="3"/>
      <c r="R54" s="3"/>
      <c r="S54" s="3"/>
      <c r="T54" s="3"/>
      <c r="U54" s="3"/>
      <c r="V54" s="3"/>
      <c r="W54" s="3"/>
      <c r="X54" s="6" t="s">
        <v>39</v>
      </c>
      <c r="Y54" s="6" t="s">
        <v>84</v>
      </c>
      <c r="Z54" s="6" t="s">
        <v>79</v>
      </c>
      <c r="AA54" s="3">
        <v>12041</v>
      </c>
      <c r="AB54" s="6" t="s">
        <v>42</v>
      </c>
      <c r="AC54" s="32">
        <v>12055</v>
      </c>
      <c r="AD54" s="7">
        <v>240820</v>
      </c>
      <c r="AE54" s="3">
        <v>-1400</v>
      </c>
      <c r="AF54" s="7">
        <v>-3600</v>
      </c>
      <c r="AG54" s="3">
        <v>0.82</v>
      </c>
      <c r="AH54" s="3">
        <v>-3600</v>
      </c>
      <c r="AI54" s="6" t="s">
        <v>43</v>
      </c>
      <c r="AJ54" s="3" t="s">
        <v>124</v>
      </c>
    </row>
    <row r="55" spans="1:36">
      <c r="A55" s="2" t="s">
        <v>160</v>
      </c>
      <c r="B55" s="3"/>
      <c r="C55" s="3"/>
      <c r="D55" s="5">
        <v>-885</v>
      </c>
      <c r="E55" s="5">
        <v>-8445</v>
      </c>
      <c r="F55" s="5">
        <v>-12330</v>
      </c>
      <c r="G55" s="5">
        <v>-21705</v>
      </c>
      <c r="H55" s="3"/>
      <c r="I55" s="5">
        <v>-15870</v>
      </c>
      <c r="J55" s="5">
        <v>-16275</v>
      </c>
      <c r="K55" s="5">
        <v>-13725</v>
      </c>
      <c r="L55" s="3"/>
      <c r="M55" s="5">
        <v>-13860</v>
      </c>
      <c r="N55" s="3"/>
      <c r="O55" s="5">
        <v>-12135</v>
      </c>
      <c r="P55" s="5">
        <v>-10035</v>
      </c>
      <c r="Q55" s="5">
        <v>-8925</v>
      </c>
      <c r="R55" s="5">
        <v>-5730</v>
      </c>
      <c r="S55" s="5">
        <v>-2280</v>
      </c>
      <c r="T55" s="3"/>
      <c r="U55" s="5">
        <v>-7635</v>
      </c>
      <c r="V55" s="5">
        <v>-2700</v>
      </c>
      <c r="W55" s="5">
        <v>-15</v>
      </c>
      <c r="X55" s="6" t="s">
        <v>58</v>
      </c>
      <c r="Y55" s="6" t="s">
        <v>121</v>
      </c>
      <c r="Z55" s="6" t="s">
        <v>55</v>
      </c>
      <c r="AA55" s="3">
        <v>250.22</v>
      </c>
      <c r="AB55" s="6" t="s">
        <v>61</v>
      </c>
      <c r="AC55" s="32">
        <v>250.21</v>
      </c>
      <c r="AD55" s="7">
        <v>75066</v>
      </c>
      <c r="AE55" s="3">
        <v>-15</v>
      </c>
      <c r="AF55" s="7">
        <v>-20820</v>
      </c>
      <c r="AG55" s="3">
        <v>0.01</v>
      </c>
      <c r="AH55" s="3">
        <v>-9375</v>
      </c>
      <c r="AI55" s="6" t="s">
        <v>43</v>
      </c>
      <c r="AJ55" s="3" t="s">
        <v>44</v>
      </c>
    </row>
  </sheetData>
  <mergeCells count="2">
    <mergeCell ref="A2:AJ2"/>
    <mergeCell ref="A1:AJ1"/>
  </mergeCells>
  <conditionalFormatting sqref="AF5:AF55">
    <cfRule type="cellIs" dxfId="0" priority="1" operator="lessThan">
      <formula>0</formula>
    </cfRule>
  </conditionalFormatting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2"/>
  <sheetViews>
    <sheetView workbookViewId="0">
      <selection activeCell="B4" sqref="A4:B4"/>
    </sheetView>
  </sheetViews>
  <sheetFormatPr defaultRowHeight="15"/>
  <cols>
    <col min="1" max="1" width="46" customWidth="1"/>
    <col min="2" max="2" width="34" customWidth="1"/>
  </cols>
  <sheetData>
    <row r="1" spans="1:4" ht="17.25">
      <c r="A1" s="28" t="s">
        <v>161</v>
      </c>
      <c r="B1" s="27"/>
    </row>
    <row r="3" spans="1:4">
      <c r="A3" s="17" t="s">
        <v>162</v>
      </c>
      <c r="B3" s="3" t="s">
        <v>163</v>
      </c>
    </row>
    <row r="4" spans="1:4">
      <c r="A4" s="17" t="s">
        <v>164</v>
      </c>
      <c r="B4" s="3" t="s">
        <v>165</v>
      </c>
    </row>
    <row r="5" spans="1:4">
      <c r="A5" s="17" t="s">
        <v>166</v>
      </c>
      <c r="B5" s="3" t="s">
        <v>167</v>
      </c>
    </row>
    <row r="6" spans="1:4">
      <c r="A6" s="17" t="s">
        <v>168</v>
      </c>
      <c r="B6" s="3" t="s">
        <v>169</v>
      </c>
    </row>
    <row r="7" spans="1:4">
      <c r="A7" s="17" t="s">
        <v>170</v>
      </c>
      <c r="B7" s="3" t="s">
        <v>171</v>
      </c>
    </row>
    <row r="8" spans="1:4">
      <c r="A8" s="17" t="s">
        <v>172</v>
      </c>
      <c r="B8" s="3" t="s">
        <v>173</v>
      </c>
    </row>
    <row r="9" spans="1:4">
      <c r="A9" s="17" t="s">
        <v>174</v>
      </c>
      <c r="B9" s="3" t="s">
        <v>175</v>
      </c>
    </row>
    <row r="10" spans="1:4">
      <c r="A10" s="17" t="s">
        <v>176</v>
      </c>
      <c r="B10" s="3" t="s">
        <v>177</v>
      </c>
    </row>
    <row r="11" spans="1:4">
      <c r="A11" s="17" t="s">
        <v>178</v>
      </c>
      <c r="B11" s="3" t="s">
        <v>179</v>
      </c>
    </row>
    <row r="12" spans="1:4">
      <c r="A12" s="17" t="s">
        <v>180</v>
      </c>
      <c r="B12" s="3" t="s">
        <v>181</v>
      </c>
    </row>
    <row r="13" spans="1:4">
      <c r="A13" s="17" t="s">
        <v>182</v>
      </c>
      <c r="B13" s="3" t="s">
        <v>183</v>
      </c>
    </row>
    <row r="15" spans="1:4" ht="15.75">
      <c r="A15" s="29" t="s">
        <v>184</v>
      </c>
      <c r="B15" s="27"/>
      <c r="C15" s="27"/>
      <c r="D15" s="27"/>
    </row>
    <row r="16" spans="1:4">
      <c r="A16" s="1" t="s">
        <v>185</v>
      </c>
      <c r="B16" s="1" t="s">
        <v>186</v>
      </c>
      <c r="C16" s="1" t="s">
        <v>187</v>
      </c>
      <c r="D16" s="1" t="s">
        <v>188</v>
      </c>
    </row>
    <row r="17" spans="1:4">
      <c r="A17" s="18" t="s">
        <v>70</v>
      </c>
      <c r="B17" s="19">
        <v>-142.5</v>
      </c>
      <c r="C17" s="20">
        <v>0</v>
      </c>
      <c r="D17" s="21">
        <v>-142.5</v>
      </c>
    </row>
    <row r="18" spans="1:4">
      <c r="A18" s="18" t="s">
        <v>51</v>
      </c>
      <c r="B18" s="19">
        <v>-4851.25</v>
      </c>
      <c r="C18" s="19">
        <v>-4708.75</v>
      </c>
      <c r="D18" s="21">
        <v>-142.5</v>
      </c>
    </row>
    <row r="19" spans="1:4">
      <c r="A19" s="22" t="s">
        <v>55</v>
      </c>
      <c r="B19" s="23">
        <v>77031.25</v>
      </c>
      <c r="C19" s="23">
        <v>81882.5</v>
      </c>
      <c r="D19" s="24">
        <v>77031.25</v>
      </c>
    </row>
    <row r="20" spans="1:4">
      <c r="A20" s="22" t="s">
        <v>47</v>
      </c>
      <c r="B20" s="23">
        <v>103220</v>
      </c>
      <c r="C20" s="23">
        <v>26188.75</v>
      </c>
      <c r="D20" s="24">
        <v>103220</v>
      </c>
    </row>
    <row r="21" spans="1:4">
      <c r="A21" s="22" t="s">
        <v>135</v>
      </c>
      <c r="B21" s="23">
        <v>217800</v>
      </c>
      <c r="C21" s="23">
        <v>114580</v>
      </c>
      <c r="D21" s="24">
        <v>217800</v>
      </c>
    </row>
    <row r="22" spans="1:4">
      <c r="A22" s="22" t="s">
        <v>60</v>
      </c>
      <c r="B22" s="23">
        <v>265086.25</v>
      </c>
      <c r="C22" s="23">
        <v>47286.25</v>
      </c>
      <c r="D22" s="24">
        <v>265086.25</v>
      </c>
    </row>
    <row r="23" spans="1:4">
      <c r="A23" s="22" t="s">
        <v>189</v>
      </c>
      <c r="B23" s="23">
        <v>288171.25</v>
      </c>
      <c r="C23" s="23">
        <v>23085</v>
      </c>
      <c r="D23" s="24">
        <v>288171.25</v>
      </c>
    </row>
    <row r="24" spans="1:4">
      <c r="A24" s="22" t="s">
        <v>41</v>
      </c>
      <c r="B24" s="23">
        <v>255697.5</v>
      </c>
      <c r="C24" s="25">
        <v>-32473.75</v>
      </c>
      <c r="D24" s="24">
        <v>288171.25</v>
      </c>
    </row>
    <row r="25" spans="1:4">
      <c r="A25" s="22" t="s">
        <v>79</v>
      </c>
      <c r="B25" s="23">
        <v>236628.75</v>
      </c>
      <c r="C25" s="25">
        <v>-19068.75</v>
      </c>
      <c r="D25" s="24">
        <v>288171.25</v>
      </c>
    </row>
    <row r="26" spans="1:4">
      <c r="A26" s="22" t="s">
        <v>75</v>
      </c>
      <c r="B26" s="23">
        <v>111984.75</v>
      </c>
      <c r="C26" s="25">
        <v>-124644</v>
      </c>
      <c r="D26" s="24">
        <v>288171.25</v>
      </c>
    </row>
    <row r="27" spans="1:4">
      <c r="A27" s="22" t="s">
        <v>190</v>
      </c>
      <c r="B27" s="23">
        <v>118107.25</v>
      </c>
      <c r="C27" s="23">
        <v>6122.5</v>
      </c>
      <c r="D27" s="24">
        <v>288171.25</v>
      </c>
    </row>
    <row r="28" spans="1:4">
      <c r="A28" s="22" t="s">
        <v>191</v>
      </c>
      <c r="B28" s="23">
        <v>164169</v>
      </c>
      <c r="C28" s="23">
        <v>46061.75</v>
      </c>
      <c r="D28" s="24">
        <v>288171.25</v>
      </c>
    </row>
    <row r="29" spans="1:4">
      <c r="A29" s="22" t="s">
        <v>192</v>
      </c>
      <c r="B29" s="23">
        <v>157159</v>
      </c>
      <c r="C29" s="25">
        <v>-7010</v>
      </c>
      <c r="D29" s="24">
        <v>288171.25</v>
      </c>
    </row>
    <row r="30" spans="1:4">
      <c r="A30" s="22" t="s">
        <v>42</v>
      </c>
      <c r="B30" s="23">
        <v>106242.75</v>
      </c>
      <c r="C30" s="25">
        <v>-50916.25</v>
      </c>
      <c r="D30" s="24">
        <v>288171.25</v>
      </c>
    </row>
    <row r="31" spans="1:4">
      <c r="A31" s="22" t="s">
        <v>52</v>
      </c>
      <c r="B31" s="23">
        <v>186893</v>
      </c>
      <c r="C31" s="23">
        <v>80650.25</v>
      </c>
      <c r="D31" s="24">
        <v>288171.25</v>
      </c>
    </row>
    <row r="32" spans="1:4">
      <c r="A32" s="22" t="s">
        <v>56</v>
      </c>
      <c r="B32" s="23">
        <v>251489</v>
      </c>
      <c r="C32" s="23">
        <v>64596</v>
      </c>
      <c r="D32" s="24">
        <v>288171.25</v>
      </c>
    </row>
    <row r="33" spans="1:4">
      <c r="A33" s="22" t="s">
        <v>92</v>
      </c>
      <c r="B33" s="23">
        <v>321894.75</v>
      </c>
      <c r="C33" s="23">
        <v>70405.75</v>
      </c>
      <c r="D33" s="24">
        <v>321894.75</v>
      </c>
    </row>
    <row r="34" spans="1:4">
      <c r="A34" s="22" t="s">
        <v>80</v>
      </c>
      <c r="B34" s="23">
        <v>310408.5</v>
      </c>
      <c r="C34" s="25">
        <v>-11486.25</v>
      </c>
      <c r="D34" s="24">
        <v>321894.75</v>
      </c>
    </row>
    <row r="35" spans="1:4">
      <c r="A35" s="22" t="s">
        <v>71</v>
      </c>
      <c r="B35" s="23">
        <v>304281</v>
      </c>
      <c r="C35" s="25">
        <v>-6127.5</v>
      </c>
      <c r="D35" s="24">
        <v>321894.75</v>
      </c>
    </row>
    <row r="36" spans="1:4">
      <c r="A36" s="22" t="s">
        <v>68</v>
      </c>
      <c r="B36" s="23">
        <v>295673.5</v>
      </c>
      <c r="C36" s="25">
        <v>-8607.5</v>
      </c>
      <c r="D36" s="24">
        <v>321894.75</v>
      </c>
    </row>
    <row r="37" spans="1:4">
      <c r="A37" s="22" t="s">
        <v>127</v>
      </c>
      <c r="B37" s="23">
        <v>297226</v>
      </c>
      <c r="C37" s="23">
        <v>1552.5</v>
      </c>
      <c r="D37" s="24">
        <v>321894.75</v>
      </c>
    </row>
    <row r="38" spans="1:4">
      <c r="A38" s="22" t="s">
        <v>61</v>
      </c>
      <c r="B38" s="23">
        <v>317446</v>
      </c>
      <c r="C38" s="23">
        <v>20220</v>
      </c>
      <c r="D38" s="24">
        <v>321894.75</v>
      </c>
    </row>
    <row r="40" spans="1:4" ht="50.1" customHeight="1">
      <c r="A40" s="30" t="s">
        <v>193</v>
      </c>
      <c r="B40" s="27"/>
      <c r="C40" s="27"/>
      <c r="D40" s="27"/>
    </row>
    <row r="42" spans="1:4" ht="69.95" customHeight="1">
      <c r="A42" s="31" t="s">
        <v>194</v>
      </c>
      <c r="B42" s="27"/>
      <c r="C42" s="27"/>
      <c r="D42" s="27"/>
    </row>
  </sheetData>
  <mergeCells count="4">
    <mergeCell ref="A15:D15"/>
    <mergeCell ref="A40:D40"/>
    <mergeCell ref="A42:D4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Daily_MTM_Grid_2025</vt:lpstr>
      <vt:lpstr>Event_Performance_Summary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PC2551</cp:lastModifiedBy>
  <dcterms:created xsi:type="dcterms:W3CDTF">2026-10-01T11:46:08Z</dcterms:created>
  <dcterms:modified xsi:type="dcterms:W3CDTF">2026-10-01T11:52:58Z</dcterms:modified>
</cp:coreProperties>
</file>