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Taking Windows" sheetId="1" state="visible" r:id="rId1"/>
    <sheet xmlns:r="http://schemas.openxmlformats.org/officeDocument/2006/relationships" name="HCLTECH" sheetId="2" state="visible" r:id="rId2"/>
    <sheet xmlns:r="http://schemas.openxmlformats.org/officeDocument/2006/relationships" name="AXISBANK" sheetId="3" state="visible" r:id="rId3"/>
    <sheet xmlns:r="http://schemas.openxmlformats.org/officeDocument/2006/relationships" name="ULTRACEMCO" sheetId="4" state="visible" r:id="rId4"/>
    <sheet xmlns:r="http://schemas.openxmlformats.org/officeDocument/2006/relationships" name="INFY" sheetId="5" state="visible" r:id="rId5"/>
    <sheet xmlns:r="http://schemas.openxmlformats.org/officeDocument/2006/relationships" name="Q3 Execution 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F4E79"/>
      <sz val="11"/>
    </font>
    <font>
      <name val="Calibri"/>
      <b val="1"/>
      <color rgb="00065F46"/>
      <sz val="14"/>
    </font>
    <font>
      <name val="Calibri"/>
      <b val="1"/>
      <color rgb="00065F46"/>
      <sz val="11"/>
    </font>
    <font>
      <name val="Calibri"/>
      <b val="1"/>
      <color rgb="00991B1B"/>
      <sz val="11"/>
    </font>
    <font>
      <name val="Calibri"/>
      <b val="1"/>
      <color rgb="007C3AED"/>
      <sz val="10"/>
    </font>
    <font>
      <name val="Calibri"/>
      <b val="1"/>
      <color rgb="00DC2626"/>
      <sz val="10"/>
    </font>
    <font>
      <name val="Calibri"/>
      <color rgb="00374151"/>
      <sz val="9"/>
    </font>
    <font>
      <name val="Calibri"/>
      <b val="1"/>
      <color rgb="000369A1"/>
      <sz val="12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color rgb="00374151"/>
      <sz val="10"/>
    </font>
    <font>
      <name val="Calibri"/>
      <color rgb="001E40AF"/>
      <sz val="10"/>
    </font>
    <font>
      <name val="Calibri"/>
      <b val="1"/>
      <color rgb="00991B1B"/>
      <sz val="10"/>
    </font>
    <font>
      <name val="Calibri"/>
      <b val="1"/>
      <color rgb="0092400E"/>
      <sz val="11"/>
    </font>
    <font>
      <name val="Calibri"/>
      <b val="1"/>
      <color rgb="001E40AF"/>
      <sz val="10"/>
    </font>
    <font>
      <name val="Calibri"/>
      <b val="1"/>
      <color rgb="004C1D95"/>
      <sz val="11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374151"/>
      <sz val="10"/>
    </font>
    <font>
      <name val="Calibri"/>
      <i val="1"/>
      <color rgb="006B7280"/>
      <sz val="9"/>
    </font>
    <font>
      <name val="Calibri"/>
      <b val="1"/>
      <color rgb="00065F46"/>
      <sz val="12"/>
    </font>
    <font>
      <name val="Calibri"/>
      <b val="1"/>
      <color rgb="00991B1B"/>
      <sz val="12"/>
    </font>
    <font>
      <name val="Calibri"/>
      <b val="1"/>
      <color rgb="000369A1"/>
      <sz val="10"/>
    </font>
    <font>
      <name val="Calibri"/>
      <b val="1"/>
      <color rgb="001F4E79"/>
      <sz val="10"/>
    </font>
    <font>
      <name val="Calibri"/>
      <color rgb="004B5563"/>
      <sz val="10"/>
    </font>
    <font>
      <name val="Calibri"/>
      <color rgb="009CA3AF"/>
      <sz val="9"/>
    </font>
    <font>
      <name val="Calibri"/>
      <b val="1"/>
      <color rgb="004B5563"/>
      <sz val="10"/>
    </font>
    <font>
      <name val="Calibri"/>
      <b val="1"/>
      <color rgb="0092400E"/>
      <sz val="12"/>
    </font>
    <font>
      <name val="Calibri"/>
      <b val="1"/>
      <color rgb="001E40AF"/>
      <sz val="12"/>
    </font>
    <font>
      <name val="Calibri"/>
      <b val="1"/>
      <color rgb="00374151"/>
      <sz val="12"/>
    </font>
    <font>
      <name val="Calibri"/>
      <b val="1"/>
      <color rgb="000369A1"/>
      <sz val="11"/>
    </font>
    <font>
      <name val="Segoe UI"/>
      <b val="1"/>
      <color rgb="001E7E34"/>
      <sz val="11"/>
    </font>
    <font>
      <name val="Segoe UI"/>
      <b val="1"/>
      <color rgb="00721C24"/>
      <sz val="11"/>
    </font>
  </fonts>
  <fills count="3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91B1B"/>
      </patternFill>
    </fill>
    <fill>
      <patternFill patternType="solid">
        <fgColor rgb="001F4E79"/>
      </patternFill>
    </fill>
    <fill>
      <patternFill patternType="solid">
        <fgColor rgb="00064E3B"/>
      </patternFill>
    </fill>
    <fill>
      <patternFill patternType="solid">
        <fgColor rgb="00DC2626"/>
      </patternFill>
    </fill>
    <fill>
      <patternFill patternType="solid">
        <fgColor rgb="000369A1"/>
      </patternFill>
    </fill>
    <fill>
      <patternFill patternType="solid">
        <fgColor rgb="0014532D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FF1F2"/>
      </patternFill>
    </fill>
    <fill>
      <patternFill patternType="solid">
        <fgColor rgb="00FFF8E1"/>
      </patternFill>
    </fill>
    <fill>
      <patternFill patternType="solid">
        <fgColor rgb="00F0FFF4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FFEBEE"/>
      </patternFill>
    </fill>
    <fill>
      <patternFill patternType="solid">
        <fgColor rgb="00FFFBEB"/>
      </patternFill>
    </fill>
    <fill>
      <patternFill patternType="solid">
        <fgColor rgb="00E6F4EA"/>
      </patternFill>
    </fill>
    <fill>
      <patternFill patternType="solid">
        <fgColor rgb="00FDF4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4C1D9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0369A1"/>
      </left>
      <right style="medium">
        <color rgb="000369A1"/>
      </right>
      <top style="medium">
        <color rgb="000369A1"/>
      </top>
      <bottom style="medium">
        <color rgb="000369A1"/>
      </bottom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3" fontId="13" fillId="14" borderId="1" applyAlignment="1" pivotButton="0" quotePrefix="0" xfId="0">
      <alignment horizontal="right" vertical="center"/>
    </xf>
    <xf numFmtId="3" fontId="15" fillId="10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3" fontId="16" fillId="10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3" fontId="15" fillId="15" borderId="1" applyAlignment="1" pivotButton="0" quotePrefix="0" xfId="0">
      <alignment horizontal="right" vertical="center"/>
    </xf>
    <xf numFmtId="0" fontId="16" fillId="15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3" fontId="15" fillId="18" borderId="1" applyAlignment="1" pivotButton="0" quotePrefix="0" xfId="0">
      <alignment horizontal="right" vertical="center"/>
    </xf>
    <xf numFmtId="0" fontId="19" fillId="18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3" fontId="15" fillId="20" borderId="1" applyAlignment="1" pivotButton="0" quotePrefix="0" xfId="0">
      <alignment horizontal="right" vertical="center"/>
    </xf>
    <xf numFmtId="0" fontId="19" fillId="20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center"/>
    </xf>
    <xf numFmtId="0" fontId="23" fillId="2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2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3" fillId="23" borderId="1" applyAlignment="1" pivotButton="0" quotePrefix="0" xfId="0">
      <alignment horizontal="left" vertical="center" wrapText="1"/>
    </xf>
    <xf numFmtId="0" fontId="25" fillId="22" borderId="1" applyAlignment="1" pivotButton="0" quotePrefix="0" xfId="0">
      <alignment horizontal="left" vertical="center" wrapText="1"/>
    </xf>
    <xf numFmtId="0" fontId="26" fillId="22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left" vertical="center" wrapText="1"/>
    </xf>
    <xf numFmtId="0" fontId="13" fillId="22" borderId="1" applyAlignment="1" pivotButton="0" quotePrefix="0" xfId="0">
      <alignment horizontal="left" vertical="center" wrapText="1"/>
    </xf>
    <xf numFmtId="0" fontId="27" fillId="22" borderId="1" applyAlignment="1" pivotButton="0" quotePrefix="0" xfId="0">
      <alignment horizontal="left" vertical="center" wrapText="1"/>
    </xf>
    <xf numFmtId="0" fontId="17" fillId="22" borderId="1" applyAlignment="1" pivotButton="0" quotePrefix="0" xfId="0">
      <alignment horizontal="left" vertical="center" wrapText="1"/>
    </xf>
    <xf numFmtId="0" fontId="23" fillId="22" borderId="1" applyAlignment="1" pivotButton="0" quotePrefix="0" xfId="0">
      <alignment horizontal="left" vertical="center" wrapText="1"/>
    </xf>
    <xf numFmtId="0" fontId="28" fillId="22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30" fillId="25" borderId="1" applyAlignment="1" pivotButton="0" quotePrefix="0" xfId="0">
      <alignment horizontal="left" vertical="center" wrapText="1"/>
    </xf>
    <xf numFmtId="0" fontId="31" fillId="22" borderId="1" applyAlignment="1" pivotButton="0" quotePrefix="0" xfId="0">
      <alignment horizontal="left" vertical="center" wrapText="1"/>
    </xf>
    <xf numFmtId="0" fontId="32" fillId="22" borderId="1" applyAlignment="1" pivotButton="0" quotePrefix="0" xfId="0">
      <alignment horizontal="left" vertical="center" wrapText="1"/>
    </xf>
    <xf numFmtId="0" fontId="31" fillId="21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left" vertical="center" wrapText="1"/>
    </xf>
    <xf numFmtId="0" fontId="33" fillId="22" borderId="1" applyAlignment="1" pivotButton="0" quotePrefix="0" xfId="0">
      <alignment horizontal="left" vertical="center" wrapText="1"/>
    </xf>
    <xf numFmtId="0" fontId="34" fillId="22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27" fillId="27" borderId="6" applyAlignment="1" pivotButton="0" quotePrefix="0" xfId="0">
      <alignment horizontal="left" vertical="center" wrapText="1"/>
    </xf>
    <xf numFmtId="0" fontId="27" fillId="27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0" fontId="14" fillId="27" borderId="6" applyAlignment="1" pivotButton="0" quotePrefix="0" xfId="0">
      <alignment horizontal="center" vertical="center" wrapText="1"/>
    </xf>
    <xf numFmtId="3" fontId="13" fillId="27" borderId="6" applyAlignment="1" pivotButton="0" quotePrefix="0" xfId="0">
      <alignment horizontal="right" vertical="center"/>
    </xf>
    <xf numFmtId="0" fontId="14" fillId="18" borderId="1" applyAlignment="1" pivotButton="0" quotePrefix="0" xfId="0">
      <alignment horizontal="center" vertical="center" wrapText="1"/>
    </xf>
    <xf numFmtId="3" fontId="13" fillId="18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3" fontId="13" fillId="11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3" fontId="13" fillId="12" borderId="1" applyAlignment="1" pivotButton="0" quotePrefix="0" xfId="0">
      <alignment horizontal="right" vertical="center"/>
    </xf>
    <xf numFmtId="0" fontId="21" fillId="28" borderId="0" applyAlignment="1" pivotButton="0" quotePrefix="0" xfId="0">
      <alignment horizontal="center" vertical="center"/>
    </xf>
    <xf numFmtId="0" fontId="14" fillId="22" borderId="1" applyAlignment="1" pivotButton="0" quotePrefix="0" xfId="0">
      <alignment horizontal="left" vertical="center" wrapText="1"/>
    </xf>
    <xf numFmtId="0" fontId="2" fillId="28" borderId="0" applyAlignment="1" pivotButton="0" quotePrefix="0" xfId="0">
      <alignment horizontal="center" vertical="center"/>
    </xf>
    <xf numFmtId="0" fontId="21" fillId="29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0" fontId="19" fillId="27" borderId="6" applyAlignment="1" pivotButton="0" quotePrefix="0" xfId="0">
      <alignment horizontal="center" vertical="center" wrapText="1"/>
    </xf>
    <xf numFmtId="0" fontId="21" fillId="30" borderId="0" applyAlignment="1" pivotButton="0" quotePrefix="0" xfId="0">
      <alignment horizontal="center" vertical="center"/>
    </xf>
    <xf numFmtId="0" fontId="2" fillId="3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3" fontId="13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left" vertical="center" wrapText="1"/>
    </xf>
    <xf numFmtId="0" fontId="35" fillId="15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35" fillId="18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left" vertical="center" wrapText="1"/>
    </xf>
    <xf numFmtId="0" fontId="35" fillId="20" borderId="1" applyAlignment="1" pivotButton="0" quotePrefix="0" xfId="0">
      <alignment horizontal="center" vertical="center" wrapText="1"/>
    </xf>
    <xf numFmtId="0" fontId="36" fillId="31" borderId="1" applyAlignment="1" pivotButton="0" quotePrefix="0" xfId="0">
      <alignment horizontal="center" vertical="center" wrapText="1"/>
    </xf>
    <xf numFmtId="0" fontId="37" fillId="3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8" customWidth="1" min="4" max="4"/>
    <col width="12" customWidth="1" min="5" max="5"/>
    <col width="24" customWidth="1" min="6" max="6"/>
    <col width="20" customWidth="1" min="7" max="7"/>
    <col width="22" customWidth="1" min="8" max="8"/>
    <col width="22" customWidth="1" min="9" max="9"/>
    <col width="16" customWidth="1" min="10" max="10"/>
    <col width="14" customWidth="1" min="11" max="11"/>
    <col width="9" customWidth="1" min="12" max="12"/>
    <col width="22" customWidth="1" min="13" max="13"/>
    <col width="22" customWidth="1" min="14" max="14"/>
    <col width="13" customWidth="1" min="15" max="15"/>
    <col width="10" customWidth="1" min="16" max="16"/>
    <col width="16" customWidth="1" min="17" max="17"/>
    <col width="16" customWidth="1" min="18" max="18"/>
    <col width="12" customWidth="1" min="19" max="19"/>
    <col width="10" customWidth="1" min="20" max="20"/>
    <col width="16" customWidth="1" min="21" max="21"/>
  </cols>
  <sheetData>
    <row r="1" ht="44" customHeight="1">
      <c r="A1" s="1" t="inlineStr">
        <is>
          <t>NIFTY 50  |  Q3 FY 2026-27 (Jul - Sep 2026)  |  Q3 QUARTERLY RESULT TRADE ? DIRECTION + WINDOW + EXPECTED RETURNS</t>
        </is>
      </c>
    </row>
    <row r="2" ht="22" customHeight="1">
      <c r="A2" s="2" t="inlineStr">
        <is>
          <t>? REAL FUND TRADING ? Verify Direction before placing orders  |  Model: quarters_dataset.json (FY27_Q2)  |  Generated: 21-Sep-2026 10:23</t>
        </is>
      </c>
    </row>
    <row r="4" ht="22" customHeight="1">
      <c r="A4" s="3" t="inlineStr">
        <is>
          <t>STOCK</t>
        </is>
      </c>
      <c r="E4" s="4" t="inlineStr">
        <is>
          <t>TRADE DIRECTION</t>
        </is>
      </c>
      <c r="I4" s="5" t="inlineStr">
        <is>
          <t>NSE RESULT DATE</t>
        </is>
      </c>
      <c r="K4" s="6" t="inlineStr">
        <is>
          <t>POSITION WINDOW  (Model Direct)</t>
        </is>
      </c>
      <c r="O4" s="7" t="inlineStr">
        <is>
          <t>EXPECTED RETURN  (Q-Win)</t>
        </is>
      </c>
      <c r="S4" s="8" t="inlineStr">
        <is>
          <t>HISTORICAL RETURN  (H-Win)</t>
        </is>
      </c>
    </row>
    <row r="5" ht="60" customHeight="1">
      <c r="A5" s="9" t="inlineStr">
        <is>
          <t>Rank</t>
        </is>
      </c>
      <c r="B5" s="9" t="inlineStr">
        <is>
          <t>Symbol</t>
        </is>
      </c>
      <c r="C5" s="9" t="inlineStr">
        <is>
          <t>Company</t>
        </is>
      </c>
      <c r="D5" s="9" t="inlineStr">
        <is>
          <t>Lot Size</t>
        </is>
      </c>
      <c r="E5" s="10" t="inlineStr">
        <is>
          <t>DIRECTION
(LONG/SHORT)</t>
        </is>
      </c>
      <c r="F5" s="10" t="inlineStr">
        <is>
          <t>ENTRY ACTION
(What to Do at Entry)</t>
        </is>
      </c>
      <c r="G5" s="10" t="inlineStr">
        <is>
          <t>EXIT ACTION
(What to Do at Exit)</t>
        </is>
      </c>
      <c r="H5" s="10" t="inlineStr">
        <is>
          <t>Option Action
(Alternative)</t>
        </is>
      </c>
      <c r="I5" s="11" t="inlineStr">
        <is>
          <t>NSE Result Date
(Exact ? No Shift)</t>
        </is>
      </c>
      <c r="J5" s="11" t="inlineStr">
        <is>
          <t>T Day Type</t>
        </is>
      </c>
      <c r="K5" s="12" t="inlineStr">
        <is>
          <t>Model Window</t>
        </is>
      </c>
      <c r="L5" s="12" t="inlineStr">
        <is>
          <t>Lead n
(Trading
Days)</t>
        </is>
      </c>
      <c r="M5" s="12" t="inlineStr">
        <is>
          <t>Entry Date
(T ? n)</t>
        </is>
      </c>
      <c r="N5" s="12" t="inlineStr">
        <is>
          <t>Exit Date
(T + m)</t>
        </is>
      </c>
      <c r="O5" s="13" t="inlineStr">
        <is>
          <t>Q-Win Rate %</t>
        </is>
      </c>
      <c r="P5" s="13" t="inlineStr">
        <is>
          <t>Q-ROC %</t>
        </is>
      </c>
      <c r="Q5" s="13" t="inlineStr">
        <is>
          <t>Exp PnL ?
(Q-Win)</t>
        </is>
      </c>
      <c r="R5" s="13" t="inlineStr">
        <is>
          <t>Margin ?
(20% SPAN)</t>
        </is>
      </c>
      <c r="S5" s="14" t="inlineStr">
        <is>
          <t>H-Win Rate %</t>
        </is>
      </c>
      <c r="T5" s="14" t="inlineStr">
        <is>
          <t>H-ROC %</t>
        </is>
      </c>
      <c r="U5" s="14" t="inlineStr">
        <is>
          <t>H-Est PnL ?</t>
        </is>
      </c>
    </row>
    <row r="6" ht="34" customHeight="1">
      <c r="A6" s="15" t="n">
        <v>132</v>
      </c>
      <c r="B6" s="16" t="inlineStr">
        <is>
          <t>HCLTECH</t>
        </is>
      </c>
      <c r="C6" s="17" t="inlineStr">
        <is>
          <t>HCL Technologies Ltd</t>
        </is>
      </c>
      <c r="D6" s="15" t="n">
        <v>350</v>
      </c>
      <c r="E6" s="136" t="inlineStr">
        <is>
          <t>LONG</t>
        </is>
      </c>
      <c r="F6" s="19" t="inlineStr">
        <is>
          <t>BUY FUTURES (LONG)</t>
        </is>
      </c>
      <c r="G6" s="20" t="inlineStr">
        <is>
          <t>SELL FUTURES</t>
        </is>
      </c>
      <c r="H6" s="21" t="inlineStr">
        <is>
          <t>BUY CALL OPTION</t>
        </is>
      </c>
      <c r="I6" s="22" t="inlineStr">
        <is>
          <t>12-Oct-2026 (Mon)</t>
        </is>
      </c>
      <c r="J6" s="23" t="inlineStr">
        <is>
          <t>Trading Day</t>
        </is>
      </c>
      <c r="K6" s="24" t="inlineStr">
        <is>
          <t>T-4 to T+3</t>
        </is>
      </c>
      <c r="L6" s="15" t="n">
        <v>4</v>
      </c>
      <c r="M6" s="25" t="inlineStr">
        <is>
          <t>06-Oct-2026 (Tue)</t>
        </is>
      </c>
      <c r="N6" s="21" t="inlineStr">
        <is>
          <t>15-Oct-2026 (Thu)</t>
        </is>
      </c>
      <c r="O6" s="26" t="n">
        <v>77.19</v>
      </c>
      <c r="P6" s="25" t="n">
        <v>38.59</v>
      </c>
      <c r="Q6" s="27" t="n">
        <v>52009.46</v>
      </c>
      <c r="R6" s="28" t="n">
        <v>134757</v>
      </c>
      <c r="S6" s="29" t="n">
        <v>73.33</v>
      </c>
      <c r="T6" s="30" t="n">
        <v>34.73</v>
      </c>
      <c r="U6" s="31" t="n">
        <v>46808.51</v>
      </c>
    </row>
    <row r="7" ht="34" customHeight="1">
      <c r="A7" s="32" t="n">
        <v>12</v>
      </c>
      <c r="B7" s="33" t="inlineStr">
        <is>
          <t>AXISBANK</t>
        </is>
      </c>
      <c r="C7" s="34" t="inlineStr">
        <is>
          <t>Axis Bank Ltd</t>
        </is>
      </c>
      <c r="D7" s="32" t="n">
        <v>625</v>
      </c>
      <c r="E7" s="137" t="inlineStr">
        <is>
          <t>SHORT</t>
        </is>
      </c>
      <c r="F7" s="19" t="inlineStr">
        <is>
          <t>SELL FUTURES (SHORT)</t>
        </is>
      </c>
      <c r="G7" s="20" t="inlineStr">
        <is>
          <t>BUY TO COVER</t>
        </is>
      </c>
      <c r="H7" s="35" t="inlineStr">
        <is>
          <t>BUY PUT OPTION</t>
        </is>
      </c>
      <c r="I7" s="36" t="inlineStr">
        <is>
          <t>17-Oct-2026 (Sat)</t>
        </is>
      </c>
      <c r="J7" s="37" t="inlineStr">
        <is>
          <t>Weekend/Holiday</t>
        </is>
      </c>
      <c r="K7" s="38" t="inlineStr">
        <is>
          <t>T-2 to T+1</t>
        </is>
      </c>
      <c r="L7" s="32" t="n">
        <v>2</v>
      </c>
      <c r="M7" s="39" t="inlineStr">
        <is>
          <t>15-Oct-2026 (Thu)</t>
        </is>
      </c>
      <c r="N7" s="35" t="inlineStr">
        <is>
          <t>19-Oct-2026 (Mon)</t>
        </is>
      </c>
      <c r="O7" s="40" t="n">
        <v>68.25</v>
      </c>
      <c r="P7" s="41" t="n">
        <v>34.12</v>
      </c>
      <c r="Q7" s="27" t="n">
        <v>146961.87</v>
      </c>
      <c r="R7" s="42" t="n">
        <v>430657.5</v>
      </c>
      <c r="S7" s="41" t="n">
        <v>64.84</v>
      </c>
      <c r="T7" s="43" t="n">
        <v>30.71</v>
      </c>
      <c r="U7" s="31" t="n">
        <v>132265.68</v>
      </c>
    </row>
    <row r="8" ht="34" customHeight="1">
      <c r="A8" s="44" t="n">
        <v>191</v>
      </c>
      <c r="B8" s="45" t="inlineStr">
        <is>
          <t>ULTRACEMCO</t>
        </is>
      </c>
      <c r="C8" s="46" t="inlineStr">
        <is>
          <t>UltraTech Cement Ltd</t>
        </is>
      </c>
      <c r="D8" s="44" t="n">
        <v>100</v>
      </c>
      <c r="E8" s="136" t="inlineStr">
        <is>
          <t>LONG</t>
        </is>
      </c>
      <c r="F8" s="19" t="inlineStr">
        <is>
          <t>BUY FUTURES (LONG)</t>
        </is>
      </c>
      <c r="G8" s="20" t="inlineStr">
        <is>
          <t>SELL FUTURES</t>
        </is>
      </c>
      <c r="H8" s="47" t="inlineStr">
        <is>
          <t>BUY CALL OPTION</t>
        </is>
      </c>
      <c r="I8" s="48" t="inlineStr">
        <is>
          <t>19-Oct-2026 (Mon)</t>
        </is>
      </c>
      <c r="J8" s="49" t="inlineStr">
        <is>
          <t>Trading Day</t>
        </is>
      </c>
      <c r="K8" s="50" t="inlineStr">
        <is>
          <t>T-3 to T+1</t>
        </is>
      </c>
      <c r="L8" s="44" t="n">
        <v>3</v>
      </c>
      <c r="M8" s="51" t="inlineStr">
        <is>
          <t>14-Oct-2026 (Wed)</t>
        </is>
      </c>
      <c r="N8" s="47" t="inlineStr">
        <is>
          <t>20-Oct-2026 (Tue)</t>
        </is>
      </c>
      <c r="O8" s="52" t="n">
        <v>81.34999999999999</v>
      </c>
      <c r="P8" s="51" t="n">
        <v>40.68</v>
      </c>
      <c r="Q8" s="27" t="n">
        <v>19949.22</v>
      </c>
      <c r="R8" s="53" t="n">
        <v>49045.4</v>
      </c>
      <c r="S8" s="54" t="n">
        <v>77.28</v>
      </c>
      <c r="T8" s="55" t="n">
        <v>36.61</v>
      </c>
      <c r="U8" s="31" t="n">
        <v>17954.3</v>
      </c>
    </row>
    <row r="9" ht="34" customHeight="1">
      <c r="A9" s="56" t="n">
        <v>109</v>
      </c>
      <c r="B9" s="57" t="inlineStr">
        <is>
          <t>INFY</t>
        </is>
      </c>
      <c r="C9" s="58" t="inlineStr">
        <is>
          <t>Infosys Ltd</t>
        </is>
      </c>
      <c r="D9" s="56" t="n">
        <v>400</v>
      </c>
      <c r="E9" s="137" t="inlineStr">
        <is>
          <t>SHORT</t>
        </is>
      </c>
      <c r="F9" s="19" t="inlineStr">
        <is>
          <t>SELL FUTURES (SHORT)</t>
        </is>
      </c>
      <c r="G9" s="20" t="inlineStr">
        <is>
          <t>BUY TO COVER</t>
        </is>
      </c>
      <c r="H9" s="59" t="inlineStr">
        <is>
          <t>BUY PUT OPTION</t>
        </is>
      </c>
      <c r="I9" s="60" t="inlineStr">
        <is>
          <t>23-Oct-2026 (Fri)</t>
        </is>
      </c>
      <c r="J9" s="61" t="inlineStr">
        <is>
          <t>Trading Day</t>
        </is>
      </c>
      <c r="K9" s="62" t="inlineStr">
        <is>
          <t>T-5 to T+4</t>
        </is>
      </c>
      <c r="L9" s="56" t="n">
        <v>5</v>
      </c>
      <c r="M9" s="63" t="inlineStr">
        <is>
          <t>14-Oct-2026 (Wed)</t>
        </is>
      </c>
      <c r="N9" s="59" t="inlineStr">
        <is>
          <t>29-Oct-2026 (Thu)</t>
        </is>
      </c>
      <c r="O9" s="64" t="n">
        <v>92.09</v>
      </c>
      <c r="P9" s="63" t="n">
        <v>46.04</v>
      </c>
      <c r="Q9" s="27" t="n">
        <v>64009.18</v>
      </c>
      <c r="R9" s="65" t="n">
        <v>139014.4</v>
      </c>
      <c r="S9" s="66" t="n">
        <v>87.48999999999999</v>
      </c>
      <c r="T9" s="67" t="n">
        <v>41.44</v>
      </c>
      <c r="U9" s="31" t="n">
        <v>57608.26</v>
      </c>
    </row>
  </sheetData>
  <mergeCells count="8">
    <mergeCell ref="K4:N4"/>
    <mergeCell ref="I4:J4"/>
    <mergeCell ref="O4:R4"/>
    <mergeCell ref="A2:U2"/>
    <mergeCell ref="A4:D4"/>
    <mergeCell ref="E4:H4"/>
    <mergeCell ref="S4:U4"/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4" customWidth="1" min="3" max="3"/>
    <col width="7" customWidth="1" min="4" max="4"/>
    <col width="7" customWidth="1" min="5" max="5"/>
    <col width="10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7" customWidth="1" min="12" max="12"/>
    <col width="26" customWidth="1" min="13" max="13"/>
    <col width="12" customWidth="1" min="14" max="14"/>
  </cols>
  <sheetData>
    <row r="1" ht="34" customHeight="1">
      <c r="A1" s="68" t="inlineStr">
        <is>
          <t>HCLTECH  ?  HCL Technologies Ltd  |  Q3 FY 2026-27 (Jul - Sep 2026)  |  Direction: LONG  |  Entry: BUY FUTURES (LONG)  |  Exit: SELL FUTURES</t>
        </is>
      </c>
    </row>
    <row r="2" ht="30" customHeight="1">
      <c r="A2" s="69" t="inlineStr">
        <is>
          <t xml:space="preserve">  TRADE DIRECTION:  LONG  |  ON ENTRY (06-Oct-2026) ? BUY FUTURES (LONG)  |  ON EXIT (15-Oct-2026) ? SELL FUTURES  |  OPTION ALTERNATIVE: BUY CALL OPTION (1% ITM, 30% SL)</t>
        </is>
      </c>
    </row>
    <row r="4" ht="26" customHeight="1">
      <c r="A4" s="6" t="inlineStr">
        <is>
          <t>A. POSITION TAKING WINDOW</t>
        </is>
      </c>
    </row>
    <row r="5" ht="24" customHeight="1">
      <c r="A5" s="70" t="inlineStr">
        <is>
          <t>Trade Direction</t>
        </is>
      </c>
      <c r="B5" s="71" t="n"/>
      <c r="C5" s="72" t="n"/>
      <c r="D5" s="73" t="inlineStr">
        <is>
          <t>LONG</t>
        </is>
      </c>
      <c r="E5" s="71" t="n"/>
      <c r="F5" s="72" t="n"/>
      <c r="G5" s="74" t="inlineStr">
        <is>
          <t>LONG = Buy to Open. SHORT = Sell to Open.</t>
        </is>
      </c>
      <c r="H5" s="71" t="n"/>
      <c r="I5" s="71" t="n"/>
      <c r="J5" s="71" t="n"/>
      <c r="K5" s="71" t="n"/>
      <c r="L5" s="71" t="n"/>
      <c r="M5" s="71" t="n"/>
      <c r="N5" s="72" t="n"/>
    </row>
    <row r="6" ht="24" customHeight="1">
      <c r="A6" s="75" t="inlineStr">
        <is>
          <t>Entry Action (Futures)</t>
        </is>
      </c>
      <c r="B6" s="71" t="n"/>
      <c r="C6" s="72" t="n"/>
      <c r="D6" s="76" t="inlineStr">
        <is>
          <t>BUY FUTURES (LONG)</t>
        </is>
      </c>
      <c r="E6" s="71" t="n"/>
      <c r="F6" s="72" t="n"/>
      <c r="G6" s="74" t="inlineStr">
        <is>
          <t>Execute this trade on Entry Date</t>
        </is>
      </c>
      <c r="H6" s="71" t="n"/>
      <c r="I6" s="71" t="n"/>
      <c r="J6" s="71" t="n"/>
      <c r="K6" s="71" t="n"/>
      <c r="L6" s="71" t="n"/>
      <c r="M6" s="71" t="n"/>
      <c r="N6" s="72" t="n"/>
    </row>
    <row r="7" ht="24" customHeight="1">
      <c r="A7" s="75" t="inlineStr">
        <is>
          <t>Exit Action (Futures)</t>
        </is>
      </c>
      <c r="B7" s="71" t="n"/>
      <c r="C7" s="72" t="n"/>
      <c r="D7" s="77" t="inlineStr">
        <is>
          <t>SELL FUTURES (Square Off)</t>
        </is>
      </c>
      <c r="E7" s="71" t="n"/>
      <c r="F7" s="72" t="n"/>
      <c r="G7" s="74" t="inlineStr">
        <is>
          <t>Execute this trade on Exit Date</t>
        </is>
      </c>
      <c r="H7" s="71" t="n"/>
      <c r="I7" s="71" t="n"/>
      <c r="J7" s="71" t="n"/>
      <c r="K7" s="71" t="n"/>
      <c r="L7" s="71" t="n"/>
      <c r="M7" s="71" t="n"/>
      <c r="N7" s="72" t="n"/>
    </row>
    <row r="8" ht="24" customHeight="1">
      <c r="A8" s="75" t="inlineStr">
        <is>
          <t>Option Alternative</t>
        </is>
      </c>
      <c r="B8" s="71" t="n"/>
      <c r="C8" s="72" t="n"/>
      <c r="D8" s="78" t="inlineStr">
        <is>
          <t>BUY CALL OPTION ? 1% ITM, SL = 30%</t>
        </is>
      </c>
      <c r="E8" s="71" t="n"/>
      <c r="F8" s="72" t="n"/>
      <c r="G8" s="74" t="inlineStr">
        <is>
          <t>Use options if futures margin is high</t>
        </is>
      </c>
      <c r="H8" s="71" t="n"/>
      <c r="I8" s="71" t="n"/>
      <c r="J8" s="71" t="n"/>
      <c r="K8" s="71" t="n"/>
      <c r="L8" s="71" t="n"/>
      <c r="M8" s="71" t="n"/>
      <c r="N8" s="72" t="n"/>
    </row>
    <row r="9" ht="24" customHeight="1">
      <c r="A9" s="75" t="inlineStr">
        <is>
          <t>NSE Result Date (T)</t>
        </is>
      </c>
      <c r="B9" s="71" t="n"/>
      <c r="C9" s="72" t="n"/>
      <c r="D9" s="79" t="inlineStr">
        <is>
          <t>12-Oct-2026 (Monday)</t>
        </is>
      </c>
      <c r="E9" s="71" t="n"/>
      <c r="F9" s="72" t="n"/>
      <c r="G9" s="74" t="inlineStr">
        <is>
          <t>Exact NSE official date. No shift applied.</t>
        </is>
      </c>
      <c r="H9" s="71" t="n"/>
      <c r="I9" s="71" t="n"/>
      <c r="J9" s="71" t="n"/>
      <c r="K9" s="71" t="n"/>
      <c r="L9" s="71" t="n"/>
      <c r="M9" s="71" t="n"/>
      <c r="N9" s="72" t="n"/>
    </row>
    <row r="10" ht="24" customHeight="1">
      <c r="A10" s="75" t="inlineStr">
        <is>
          <t>T Day Status</t>
        </is>
      </c>
      <c r="B10" s="71" t="n"/>
      <c r="C10" s="72" t="n"/>
      <c r="D10" s="80" t="inlineStr">
        <is>
          <t>Trading Day</t>
        </is>
      </c>
      <c r="E10" s="71" t="n"/>
      <c r="F10" s="72" t="n"/>
      <c r="G10" s="74" t="inlineStr">
        <is>
          <t>T is a regular trading day.</t>
        </is>
      </c>
      <c r="H10" s="71" t="n"/>
      <c r="I10" s="71" t="n"/>
      <c r="J10" s="71" t="n"/>
      <c r="K10" s="71" t="n"/>
      <c r="L10" s="71" t="n"/>
      <c r="M10" s="71" t="n"/>
      <c r="N10" s="72" t="n"/>
    </row>
    <row r="11" ht="24" customHeight="1">
      <c r="A11" s="75" t="inlineStr">
        <is>
          <t>Model Window (from dataset)</t>
        </is>
      </c>
      <c r="B11" s="71" t="n"/>
      <c r="C11" s="72" t="n"/>
      <c r="D11" s="81" t="inlineStr">
        <is>
          <t>T-4 to T+3</t>
        </is>
      </c>
      <c r="E11" s="71" t="n"/>
      <c r="F11" s="72" t="n"/>
      <c r="G11" s="74" t="inlineStr">
        <is>
          <t>Read directly from quarters_dataset.json (FY27_Q2)</t>
        </is>
      </c>
      <c r="H11" s="71" t="n"/>
      <c r="I11" s="71" t="n"/>
      <c r="J11" s="71" t="n"/>
      <c r="K11" s="71" t="n"/>
      <c r="L11" s="71" t="n"/>
      <c r="M11" s="71" t="n"/>
      <c r="N11" s="72" t="n"/>
    </row>
    <row r="12" ht="24" customHeight="1">
      <c r="A12" s="75" t="inlineStr">
        <is>
          <t>Lead n = 4 trading days</t>
        </is>
      </c>
      <c r="B12" s="71" t="n"/>
      <c r="C12" s="72" t="n"/>
      <c r="D12" s="80" t="inlineStr">
        <is>
          <t>06-Oct-2026 (Tuesday)</t>
        </is>
      </c>
      <c r="E12" s="71" t="n"/>
      <c r="F12" s="72" t="n"/>
      <c r="G12" s="74" t="inlineStr">
        <is>
          <t>ENTRY DATE: Count 4 trad days BACKWARD from T</t>
        </is>
      </c>
      <c r="H12" s="71" t="n"/>
      <c r="I12" s="71" t="n"/>
      <c r="J12" s="71" t="n"/>
      <c r="K12" s="71" t="n"/>
      <c r="L12" s="71" t="n"/>
      <c r="M12" s="71" t="n"/>
      <c r="N12" s="72" t="n"/>
    </row>
    <row r="13" ht="24" customHeight="1">
      <c r="A13" s="75" t="inlineStr">
        <is>
          <t>Hold m = 3 trading days</t>
        </is>
      </c>
      <c r="B13" s="71" t="n"/>
      <c r="C13" s="72" t="n"/>
      <c r="D13" s="78" t="inlineStr">
        <is>
          <t>15-Oct-2026 (Thursday)</t>
        </is>
      </c>
      <c r="E13" s="71" t="n"/>
      <c r="F13" s="72" t="n"/>
      <c r="G13" s="74" t="inlineStr">
        <is>
          <t>EXIT DATE:  Count 3 trad days FORWARD from T</t>
        </is>
      </c>
      <c r="H13" s="71" t="n"/>
      <c r="I13" s="71" t="n"/>
      <c r="J13" s="71" t="n"/>
      <c r="K13" s="71" t="n"/>
      <c r="L13" s="71" t="n"/>
      <c r="M13" s="71" t="n"/>
      <c r="N13" s="72" t="n"/>
    </row>
    <row r="14" ht="24" customHeight="1">
      <c r="A14" s="75" t="inlineStr">
        <is>
          <t>Days to Entry (from today)</t>
        </is>
      </c>
      <c r="B14" s="71" t="n"/>
      <c r="C14" s="72" t="n"/>
      <c r="D14" s="82" t="inlineStr">
        <is>
          <t>15 days  ?  Enter: 06-Oct-2026</t>
        </is>
      </c>
      <c r="E14" s="71" t="n"/>
      <c r="F14" s="72" t="n"/>
    </row>
    <row r="15" ht="24" customHeight="1">
      <c r="A15" s="75" t="inlineStr">
        <is>
          <t>Lot Size</t>
        </is>
      </c>
      <c r="B15" s="71" t="n"/>
      <c r="C15" s="72" t="n"/>
      <c r="D15" s="83" t="inlineStr">
        <is>
          <t>350</t>
        </is>
      </c>
      <c r="E15" s="71" t="n"/>
      <c r="F15" s="72" t="n"/>
    </row>
    <row r="16" ht="24" customHeight="1">
      <c r="A16" s="75" t="inlineStr">
        <is>
          <t>Margin Required (20% SPAN)</t>
        </is>
      </c>
      <c r="B16" s="71" t="n"/>
      <c r="C16" s="72" t="n"/>
      <c r="D16" s="83" t="inlineStr">
        <is>
          <t>Rs 134,757</t>
        </is>
      </c>
      <c r="E16" s="71" t="n"/>
      <c r="F16" s="72" t="n"/>
      <c r="G16" s="74" t="inlineStr">
        <is>
          <t>Approximate margin per lot</t>
        </is>
      </c>
      <c r="H16" s="71" t="n"/>
      <c r="I16" s="71" t="n"/>
      <c r="J16" s="71" t="n"/>
      <c r="K16" s="71" t="n"/>
      <c r="L16" s="71" t="n"/>
      <c r="M16" s="71" t="n"/>
      <c r="N16" s="72" t="n"/>
    </row>
    <row r="17" ht="24" customHeight="1">
      <c r="A17" s="75" t="inlineStr">
        <is>
          <t>Strategy</t>
        </is>
      </c>
      <c r="B17" s="71" t="n"/>
      <c r="C17" s="72" t="n"/>
      <c r="D17" s="84" t="inlineStr">
        <is>
          <t>Pre-Quarterly Run-up (LONG)</t>
        </is>
      </c>
      <c r="E17" s="71" t="n"/>
      <c r="F17" s="72" t="n"/>
    </row>
    <row r="20" ht="26" customHeight="1">
      <c r="A20" s="7" t="inlineStr">
        <is>
          <t>B. EXPECTED RETURNS  (Model Estimates ? Q3 FY 2026-27)</t>
        </is>
      </c>
    </row>
    <row r="21" ht="24" customHeight="1">
      <c r="A21" s="85">
        <f>== EXPECTED (Q-Win Rate Model) ===</f>
        <v/>
      </c>
      <c r="B21" s="71" t="n"/>
      <c r="C21" s="72" t="n"/>
      <c r="D21" s="86" t="inlineStr"/>
      <c r="E21" s="71" t="n"/>
      <c r="F21" s="72" t="n"/>
    </row>
    <row r="22" ht="22" customHeight="1">
      <c r="A22" s="87" t="inlineStr">
        <is>
          <t>Q-Win Rate %</t>
        </is>
      </c>
      <c r="B22" s="71" t="n"/>
      <c r="C22" s="72" t="n"/>
      <c r="D22" s="88" t="inlineStr">
        <is>
          <t>77.19%</t>
        </is>
      </c>
      <c r="E22" s="71" t="n"/>
      <c r="F22" s="72" t="n"/>
      <c r="G22" s="74" t="inlineStr">
        <is>
          <t>Win probability for Q3 trade</t>
        </is>
      </c>
      <c r="H22" s="71" t="n"/>
      <c r="I22" s="71" t="n"/>
      <c r="J22" s="71" t="n"/>
      <c r="K22" s="71" t="n"/>
      <c r="L22" s="71" t="n"/>
      <c r="M22" s="71" t="n"/>
      <c r="N22" s="72" t="n"/>
    </row>
    <row r="23" ht="22" customHeight="1">
      <c r="A23" s="89" t="inlineStr">
        <is>
          <t>Expected ROC %</t>
        </is>
      </c>
      <c r="B23" s="71" t="n"/>
      <c r="C23" s="72" t="n"/>
      <c r="D23" s="76" t="inlineStr">
        <is>
          <t>38.59%</t>
        </is>
      </c>
      <c r="E23" s="71" t="n"/>
      <c r="F23" s="72" t="n"/>
      <c r="G23" s="74" t="inlineStr">
        <is>
          <t>Return on margin Rs 134,757</t>
        </is>
      </c>
      <c r="H23" s="71" t="n"/>
      <c r="I23" s="71" t="n"/>
      <c r="J23" s="71" t="n"/>
      <c r="K23" s="71" t="n"/>
      <c r="L23" s="71" t="n"/>
      <c r="M23" s="71" t="n"/>
      <c r="N23" s="72" t="n"/>
    </row>
    <row r="24" ht="22" customHeight="1">
      <c r="A24" s="89" t="inlineStr">
        <is>
          <t>Expected PnL ?</t>
        </is>
      </c>
      <c r="B24" s="71" t="n"/>
      <c r="C24" s="72" t="n"/>
      <c r="D24" s="76" t="inlineStr">
        <is>
          <t>Rs 52,009.46</t>
        </is>
      </c>
      <c r="E24" s="71" t="n"/>
      <c r="F24" s="72" t="n"/>
      <c r="G24" s="74" t="inlineStr">
        <is>
          <t>Estimated profit per 1 lot (350 qty)</t>
        </is>
      </c>
      <c r="H24" s="71" t="n"/>
      <c r="I24" s="71" t="n"/>
      <c r="J24" s="71" t="n"/>
      <c r="K24" s="71" t="n"/>
      <c r="L24" s="71" t="n"/>
      <c r="M24" s="71" t="n"/>
      <c r="N24" s="72" t="n"/>
    </row>
    <row r="25" ht="24" customHeight="1">
      <c r="A25" s="85">
        <f>== HISTORICAL (H-Win Rate ? Conservative) ===</f>
        <v/>
      </c>
      <c r="B25" s="71" t="n"/>
      <c r="C25" s="72" t="n"/>
      <c r="D25" s="86" t="inlineStr"/>
      <c r="E25" s="71" t="n"/>
      <c r="F25" s="72" t="n"/>
    </row>
    <row r="26" ht="22" customHeight="1">
      <c r="A26" s="87" t="inlineStr">
        <is>
          <t>H-Win Rate %</t>
        </is>
      </c>
      <c r="B26" s="71" t="n"/>
      <c r="C26" s="72" t="n"/>
      <c r="D26" s="88" t="inlineStr">
        <is>
          <t>73.33%</t>
        </is>
      </c>
      <c r="E26" s="71" t="n"/>
      <c r="F26" s="72" t="n"/>
      <c r="G26" s="74" t="inlineStr">
        <is>
          <t>Conservative win rate from longer history</t>
        </is>
      </c>
      <c r="H26" s="71" t="n"/>
      <c r="I26" s="71" t="n"/>
      <c r="J26" s="71" t="n"/>
      <c r="K26" s="71" t="n"/>
      <c r="L26" s="71" t="n"/>
      <c r="M26" s="71" t="n"/>
      <c r="N26" s="72" t="n"/>
    </row>
    <row r="27" ht="22" customHeight="1">
      <c r="A27" s="90" t="inlineStr">
        <is>
          <t>H-Expected ROC %</t>
        </is>
      </c>
      <c r="B27" s="71" t="n"/>
      <c r="C27" s="72" t="n"/>
      <c r="D27" s="91" t="inlineStr">
        <is>
          <t>34.73%</t>
        </is>
      </c>
      <c r="E27" s="71" t="n"/>
      <c r="F27" s="72" t="n"/>
      <c r="G27" s="74" t="inlineStr">
        <is>
          <t>Conservative ROC using H-Win rate</t>
        </is>
      </c>
      <c r="H27" s="71" t="n"/>
      <c r="I27" s="71" t="n"/>
      <c r="J27" s="71" t="n"/>
      <c r="K27" s="71" t="n"/>
      <c r="L27" s="71" t="n"/>
      <c r="M27" s="71" t="n"/>
      <c r="N27" s="72" t="n"/>
    </row>
    <row r="28" ht="22" customHeight="1">
      <c r="A28" s="90" t="inlineStr">
        <is>
          <t>H-Expected PnL ?</t>
        </is>
      </c>
      <c r="B28" s="71" t="n"/>
      <c r="C28" s="72" t="n"/>
      <c r="D28" s="91" t="inlineStr">
        <is>
          <t>Rs 46,808.51</t>
        </is>
      </c>
      <c r="E28" s="71" t="n"/>
      <c r="F28" s="72" t="n"/>
      <c r="G28" s="74" t="inlineStr">
        <is>
          <t>Conservative PnL estimate</t>
        </is>
      </c>
      <c r="H28" s="71" t="n"/>
      <c r="I28" s="71" t="n"/>
      <c r="J28" s="71" t="n"/>
      <c r="K28" s="71" t="n"/>
      <c r="L28" s="71" t="n"/>
      <c r="M28" s="71" t="n"/>
      <c r="N28" s="72" t="n"/>
    </row>
    <row r="29" ht="24" customHeight="1">
      <c r="A29" s="85">
        <f>== AVERAGES (17 Quarters) ===</f>
        <v/>
      </c>
      <c r="B29" s="71" t="n"/>
      <c r="C29" s="72" t="n"/>
      <c r="D29" s="86" t="inlineStr"/>
      <c r="E29" s="71" t="n"/>
      <c r="F29" s="72" t="n"/>
    </row>
    <row r="30" ht="22" customHeight="1">
      <c r="A30" s="89" t="inlineStr">
        <is>
          <t>Avg Win Rate (All 17Q)</t>
        </is>
      </c>
      <c r="B30" s="71" t="n"/>
      <c r="C30" s="72" t="n"/>
      <c r="D30" s="76" t="inlineStr">
        <is>
          <t>80.5%</t>
        </is>
      </c>
      <c r="E30" s="71" t="n"/>
      <c r="F30" s="72" t="n"/>
    </row>
    <row r="31" ht="22" customHeight="1">
      <c r="A31" s="89" t="inlineStr">
        <is>
          <t>Avg Win Rate (Last 4Q)</t>
        </is>
      </c>
      <c r="B31" s="71" t="n"/>
      <c r="C31" s="72" t="n"/>
      <c r="D31" s="76" t="inlineStr">
        <is>
          <t>82.3%</t>
        </is>
      </c>
      <c r="E31" s="71" t="n"/>
      <c r="F31" s="72" t="n"/>
    </row>
    <row r="32" ht="22" customHeight="1">
      <c r="A32" s="87" t="inlineStr">
        <is>
          <t>Avg Est PnL (All 17Q)</t>
        </is>
      </c>
      <c r="B32" s="71" t="n"/>
      <c r="C32" s="72" t="n"/>
      <c r="D32" s="92" t="inlineStr">
        <is>
          <t>Rs 49,061</t>
        </is>
      </c>
      <c r="E32" s="71" t="n"/>
      <c r="F32" s="72" t="n"/>
    </row>
    <row r="35" ht="26" customHeight="1">
      <c r="A35" s="93" t="inlineStr">
        <is>
          <t>HCLTECH  |  17-QUARTER HISTORY  (BLUE=Current Q3 | Green=WR&gt;=85% | Yellow=WR&gt;=70% | Red=WR&lt;70%)</t>
        </is>
      </c>
    </row>
    <row r="36" ht="36" customHeight="1">
      <c r="A36" s="94" t="inlineStr">
        <is>
          <t>Quarter</t>
        </is>
      </c>
      <c r="B36" s="94" t="inlineStr">
        <is>
          <t>Q-Code</t>
        </is>
      </c>
      <c r="C36" s="94" t="inlineStr">
        <is>
          <t>Window</t>
        </is>
      </c>
      <c r="D36" s="94" t="inlineStr">
        <is>
          <t>Lead</t>
        </is>
      </c>
      <c r="E36" s="94" t="inlineStr">
        <is>
          <t>Hold</t>
        </is>
      </c>
      <c r="F36" s="94" t="inlineStr">
        <is>
          <t>Direction</t>
        </is>
      </c>
      <c r="G36" s="13" t="inlineStr">
        <is>
          <t>Q-Win %</t>
        </is>
      </c>
      <c r="H36" s="14" t="inlineStr">
        <is>
          <t>H-Win %</t>
        </is>
      </c>
      <c r="I36" s="13" t="inlineStr">
        <is>
          <t>Q-ROC %</t>
        </is>
      </c>
      <c r="J36" s="13" t="inlineStr">
        <is>
          <t>Exp PnL ?</t>
        </is>
      </c>
      <c r="K36" s="14" t="inlineStr">
        <is>
          <t>H-Est PnL ?</t>
        </is>
      </c>
      <c r="L36" s="94" t="inlineStr">
        <is>
          <t>Lot</t>
        </is>
      </c>
      <c r="M36" s="94" t="inlineStr">
        <is>
          <t>Strategy</t>
        </is>
      </c>
      <c r="N36" s="94" t="inlineStr">
        <is>
          <t>Signal</t>
        </is>
      </c>
    </row>
    <row r="37" ht="20" customHeight="1">
      <c r="A37" s="95" t="inlineStr">
        <is>
          <t>FY 2026-27 Q2 Results &lt;-- CURRENT Q3</t>
        </is>
      </c>
      <c r="B37" s="96" t="inlineStr">
        <is>
          <t>FY27_Q2</t>
        </is>
      </c>
      <c r="C37" s="96" t="inlineStr">
        <is>
          <t>T-4 to T+3</t>
        </is>
      </c>
      <c r="D37" s="96" t="n">
        <v>4</v>
      </c>
      <c r="E37" s="96" t="n">
        <v>3</v>
      </c>
      <c r="F37" s="97" t="inlineStr">
        <is>
          <t>LONG</t>
        </is>
      </c>
      <c r="G37" s="96" t="n">
        <v>77.19</v>
      </c>
      <c r="H37" s="98" t="n">
        <v>73.33</v>
      </c>
      <c r="I37" s="96" t="n">
        <v>38.59</v>
      </c>
      <c r="J37" s="99" t="n">
        <v>52009.46</v>
      </c>
      <c r="K37" s="99" t="n">
        <v>46808.51</v>
      </c>
      <c r="L37" s="96" t="n">
        <v>350</v>
      </c>
      <c r="M37" s="95" t="inlineStr">
        <is>
          <t>Pre-Quarterly Run-up (LON</t>
        </is>
      </c>
      <c r="N37" s="96" t="inlineStr">
        <is>
          <t>THIS Q3</t>
        </is>
      </c>
    </row>
    <row r="38" ht="20" customHeight="1">
      <c r="A38" s="46" t="inlineStr">
        <is>
          <t>FY 2026-27 Q1 Results</t>
        </is>
      </c>
      <c r="B38" s="44" t="inlineStr">
        <is>
          <t>FY27_Q1</t>
        </is>
      </c>
      <c r="C38" s="44" t="inlineStr">
        <is>
          <t>T-5 to T+4</t>
        </is>
      </c>
      <c r="D38" s="44" t="n">
        <v>5</v>
      </c>
      <c r="E38" s="44" t="n">
        <v>4</v>
      </c>
      <c r="F38" s="51" t="inlineStr">
        <is>
          <t>LONG</t>
        </is>
      </c>
      <c r="G38" s="100" t="n">
        <v>78.22</v>
      </c>
      <c r="H38" s="100" t="n">
        <v>74.31</v>
      </c>
      <c r="I38" s="44" t="n">
        <v>39.11</v>
      </c>
      <c r="J38" s="101" t="n">
        <v>40403.52</v>
      </c>
      <c r="K38" s="101" t="n">
        <v>36363.17</v>
      </c>
      <c r="L38" s="44" t="n">
        <v>350</v>
      </c>
      <c r="M38" s="46" t="inlineStr">
        <is>
          <t>Pre-Quarterly Run-up (LON</t>
        </is>
      </c>
      <c r="N38" s="100" t="inlineStr">
        <is>
          <t>BUY</t>
        </is>
      </c>
    </row>
    <row r="39" ht="20" customHeight="1">
      <c r="A39" s="46" t="inlineStr">
        <is>
          <t>FY 2025-26 Q4 Results</t>
        </is>
      </c>
      <c r="B39" s="44" t="inlineStr">
        <is>
          <t>FY26_Q4</t>
        </is>
      </c>
      <c r="C39" s="44" t="inlineStr">
        <is>
          <t>T-6 to T+3</t>
        </is>
      </c>
      <c r="D39" s="44" t="n">
        <v>6</v>
      </c>
      <c r="E39" s="44" t="n">
        <v>3</v>
      </c>
      <c r="F39" s="51" t="inlineStr">
        <is>
          <t>LONG</t>
        </is>
      </c>
      <c r="G39" s="100" t="n">
        <v>84.45</v>
      </c>
      <c r="H39" s="54" t="n">
        <v>80.23</v>
      </c>
      <c r="I39" s="44" t="n">
        <v>42.22</v>
      </c>
      <c r="J39" s="101" t="n">
        <v>94396.89999999999</v>
      </c>
      <c r="K39" s="101" t="n">
        <v>84957.21000000001</v>
      </c>
      <c r="L39" s="44" t="n">
        <v>350</v>
      </c>
      <c r="M39" s="46" t="inlineStr">
        <is>
          <t>Pre-Quarterly Run-up (LON</t>
        </is>
      </c>
      <c r="N39" s="100" t="inlineStr">
        <is>
          <t>BUY</t>
        </is>
      </c>
    </row>
    <row r="40" ht="20" customHeight="1">
      <c r="A40" s="102" t="inlineStr">
        <is>
          <t>FY 2025-26 Q3 Results</t>
        </is>
      </c>
      <c r="B40" s="103" t="inlineStr">
        <is>
          <t>FY26_Q3</t>
        </is>
      </c>
      <c r="C40" s="103" t="inlineStr">
        <is>
          <t>T-7 to T+2</t>
        </is>
      </c>
      <c r="D40" s="103" t="n">
        <v>7</v>
      </c>
      <c r="E40" s="103" t="n">
        <v>2</v>
      </c>
      <c r="F40" s="104" t="inlineStr">
        <is>
          <t>LONG</t>
        </is>
      </c>
      <c r="G40" s="104" t="n">
        <v>89.2</v>
      </c>
      <c r="H40" s="105" t="n">
        <v>84.73999999999999</v>
      </c>
      <c r="I40" s="103" t="n">
        <v>44.6</v>
      </c>
      <c r="J40" s="106" t="n">
        <v>29531.31</v>
      </c>
      <c r="K40" s="106" t="n">
        <v>26578.18</v>
      </c>
      <c r="L40" s="103" t="n">
        <v>350</v>
      </c>
      <c r="M40" s="102" t="inlineStr">
        <is>
          <t>Pre-Quarterly Run-up (LON</t>
        </is>
      </c>
      <c r="N40" s="104" t="inlineStr">
        <is>
          <t>STRONG</t>
        </is>
      </c>
    </row>
    <row r="41" ht="20" customHeight="1">
      <c r="A41" s="46" t="inlineStr">
        <is>
          <t>FY 2025-26 Q2 Results</t>
        </is>
      </c>
      <c r="B41" s="44" t="inlineStr">
        <is>
          <t>FY26_Q2</t>
        </is>
      </c>
      <c r="C41" s="44" t="inlineStr">
        <is>
          <t>T-3 to T+1</t>
        </is>
      </c>
      <c r="D41" s="44" t="n">
        <v>3</v>
      </c>
      <c r="E41" s="44" t="n">
        <v>1</v>
      </c>
      <c r="F41" s="51" t="inlineStr">
        <is>
          <t>LONG</t>
        </is>
      </c>
      <c r="G41" s="100" t="n">
        <v>81.20999999999999</v>
      </c>
      <c r="H41" s="54" t="n">
        <v>77.15000000000001</v>
      </c>
      <c r="I41" s="44" t="n">
        <v>40.61</v>
      </c>
      <c r="J41" s="101" t="n">
        <v>67614.96000000001</v>
      </c>
      <c r="K41" s="101" t="n">
        <v>60853.46</v>
      </c>
      <c r="L41" s="44" t="n">
        <v>350</v>
      </c>
      <c r="M41" s="46" t="inlineStr">
        <is>
          <t>Pre-Quarterly Run-up (LON</t>
        </is>
      </c>
      <c r="N41" s="100" t="inlineStr">
        <is>
          <t>BUY</t>
        </is>
      </c>
    </row>
    <row r="42" ht="20" customHeight="1">
      <c r="A42" s="102" t="inlineStr">
        <is>
          <t>FY 2025-26 Q1 Results</t>
        </is>
      </c>
      <c r="B42" s="103" t="inlineStr">
        <is>
          <t>FY26_Q1</t>
        </is>
      </c>
      <c r="C42" s="103" t="inlineStr">
        <is>
          <t>T-4 to T+1</t>
        </is>
      </c>
      <c r="D42" s="103" t="n">
        <v>4</v>
      </c>
      <c r="E42" s="103" t="n">
        <v>1</v>
      </c>
      <c r="F42" s="104" t="inlineStr">
        <is>
          <t>LONG</t>
        </is>
      </c>
      <c r="G42" s="104" t="n">
        <v>87.72</v>
      </c>
      <c r="H42" s="105" t="n">
        <v>83.33</v>
      </c>
      <c r="I42" s="103" t="n">
        <v>43.86</v>
      </c>
      <c r="J42" s="106" t="n">
        <v>51247.78</v>
      </c>
      <c r="K42" s="106" t="n">
        <v>46123</v>
      </c>
      <c r="L42" s="103" t="n">
        <v>350</v>
      </c>
      <c r="M42" s="102" t="inlineStr">
        <is>
          <t>Pre-Quarterly Run-up (LON</t>
        </is>
      </c>
      <c r="N42" s="104" t="inlineStr">
        <is>
          <t>STRONG</t>
        </is>
      </c>
    </row>
    <row r="43" ht="20" customHeight="1">
      <c r="A43" s="46" t="inlineStr">
        <is>
          <t>FY 2024-25 Q4 Results</t>
        </is>
      </c>
      <c r="B43" s="44" t="inlineStr">
        <is>
          <t>FY25_Q4</t>
        </is>
      </c>
      <c r="C43" s="44" t="inlineStr">
        <is>
          <t>T-2 to T+1</t>
        </is>
      </c>
      <c r="D43" s="44" t="n">
        <v>2</v>
      </c>
      <c r="E43" s="44" t="n">
        <v>1</v>
      </c>
      <c r="F43" s="51" t="inlineStr">
        <is>
          <t>LONG</t>
        </is>
      </c>
      <c r="G43" s="100" t="n">
        <v>82.55</v>
      </c>
      <c r="H43" s="54" t="n">
        <v>78.42</v>
      </c>
      <c r="I43" s="44" t="n">
        <v>41.28</v>
      </c>
      <c r="J43" s="101" t="n">
        <v>48053.72</v>
      </c>
      <c r="K43" s="101" t="n">
        <v>43248.35</v>
      </c>
      <c r="L43" s="44" t="n">
        <v>350</v>
      </c>
      <c r="M43" s="46" t="inlineStr">
        <is>
          <t>Pre-Quarterly Run-up (LON</t>
        </is>
      </c>
      <c r="N43" s="100" t="inlineStr">
        <is>
          <t>BUY</t>
        </is>
      </c>
    </row>
    <row r="44" ht="20" customHeight="1">
      <c r="A44" s="46" t="inlineStr">
        <is>
          <t>FY 2024-25 Q3 Results</t>
        </is>
      </c>
      <c r="B44" s="44" t="inlineStr">
        <is>
          <t>FY25_Q3</t>
        </is>
      </c>
      <c r="C44" s="44" t="inlineStr">
        <is>
          <t>T-3 to T+2</t>
        </is>
      </c>
      <c r="D44" s="44" t="n">
        <v>3</v>
      </c>
      <c r="E44" s="44" t="n">
        <v>2</v>
      </c>
      <c r="F44" s="51" t="inlineStr">
        <is>
          <t>LONG</t>
        </is>
      </c>
      <c r="G44" s="100" t="n">
        <v>79.29000000000001</v>
      </c>
      <c r="H44" s="54" t="n">
        <v>75.33</v>
      </c>
      <c r="I44" s="44" t="n">
        <v>39.65</v>
      </c>
      <c r="J44" s="101" t="n">
        <v>52256.91</v>
      </c>
      <c r="K44" s="101" t="n">
        <v>47031.22</v>
      </c>
      <c r="L44" s="44" t="n">
        <v>350</v>
      </c>
      <c r="M44" s="46" t="inlineStr">
        <is>
          <t>Pre-Quarterly Run-up (LON</t>
        </is>
      </c>
      <c r="N44" s="100" t="inlineStr">
        <is>
          <t>BUY</t>
        </is>
      </c>
    </row>
    <row r="45" ht="20" customHeight="1">
      <c r="A45" s="102" t="inlineStr">
        <is>
          <t>FY 2024-25 Q2 Results</t>
        </is>
      </c>
      <c r="B45" s="103" t="inlineStr">
        <is>
          <t>FY25_Q2</t>
        </is>
      </c>
      <c r="C45" s="103" t="inlineStr">
        <is>
          <t>T-4 to T+2</t>
        </is>
      </c>
      <c r="D45" s="103" t="n">
        <v>4</v>
      </c>
      <c r="E45" s="103" t="n">
        <v>2</v>
      </c>
      <c r="F45" s="104" t="inlineStr">
        <is>
          <t>LONG</t>
        </is>
      </c>
      <c r="G45" s="104" t="n">
        <v>86.39</v>
      </c>
      <c r="H45" s="105" t="n">
        <v>82.06999999999999</v>
      </c>
      <c r="I45" s="103" t="n">
        <v>43.2</v>
      </c>
      <c r="J45" s="106" t="n">
        <v>45415.83</v>
      </c>
      <c r="K45" s="106" t="n">
        <v>40874.25</v>
      </c>
      <c r="L45" s="103" t="n">
        <v>350</v>
      </c>
      <c r="M45" s="102" t="inlineStr">
        <is>
          <t>Pre-Quarterly Run-up (LON</t>
        </is>
      </c>
      <c r="N45" s="104" t="inlineStr">
        <is>
          <t>STRONG</t>
        </is>
      </c>
    </row>
    <row r="46" ht="20" customHeight="1">
      <c r="A46" s="107" t="inlineStr">
        <is>
          <t>FY 2024-25 Q1 Results</t>
        </is>
      </c>
      <c r="B46" s="108" t="inlineStr">
        <is>
          <t>FY25_Q1</t>
        </is>
      </c>
      <c r="C46" s="108" t="inlineStr">
        <is>
          <t>T-5 to T+3</t>
        </is>
      </c>
      <c r="D46" s="108" t="n">
        <v>5</v>
      </c>
      <c r="E46" s="108" t="n">
        <v>3</v>
      </c>
      <c r="F46" s="109" t="inlineStr">
        <is>
          <t>LONG</t>
        </is>
      </c>
      <c r="G46" s="110" t="n">
        <v>68.65000000000001</v>
      </c>
      <c r="H46" s="111" t="n">
        <v>65.22</v>
      </c>
      <c r="I46" s="108" t="n">
        <v>34.33</v>
      </c>
      <c r="J46" s="112" t="n">
        <v>25939.61</v>
      </c>
      <c r="K46" s="112" t="n">
        <v>23345.65</v>
      </c>
      <c r="L46" s="108" t="n">
        <v>350</v>
      </c>
      <c r="M46" s="107" t="inlineStr">
        <is>
          <t>Pre-Quarterly Run-up (LON</t>
        </is>
      </c>
      <c r="N46" s="110" t="inlineStr">
        <is>
          <t>SKIP</t>
        </is>
      </c>
    </row>
    <row r="47" ht="20" customHeight="1">
      <c r="A47" s="102" t="inlineStr">
        <is>
          <t>FY 2023-24 Q4 Results</t>
        </is>
      </c>
      <c r="B47" s="103" t="inlineStr">
        <is>
          <t>FY24_Q4</t>
        </is>
      </c>
      <c r="C47" s="103" t="inlineStr">
        <is>
          <t>T-6 to T+4</t>
        </is>
      </c>
      <c r="D47" s="103" t="n">
        <v>6</v>
      </c>
      <c r="E47" s="103" t="n">
        <v>4</v>
      </c>
      <c r="F47" s="104" t="inlineStr">
        <is>
          <t>LONG</t>
        </is>
      </c>
      <c r="G47" s="104" t="n">
        <v>87.77</v>
      </c>
      <c r="H47" s="105" t="n">
        <v>83.38</v>
      </c>
      <c r="I47" s="103" t="n">
        <v>43.89</v>
      </c>
      <c r="J47" s="106" t="n">
        <v>28280.99</v>
      </c>
      <c r="K47" s="106" t="n">
        <v>25452.89</v>
      </c>
      <c r="L47" s="103" t="n">
        <v>350</v>
      </c>
      <c r="M47" s="102" t="inlineStr">
        <is>
          <t>Pre-Quarterly Run-up (LON</t>
        </is>
      </c>
      <c r="N47" s="104" t="inlineStr">
        <is>
          <t>STRONG</t>
        </is>
      </c>
    </row>
    <row r="48" ht="20" customHeight="1">
      <c r="A48" s="46" t="inlineStr">
        <is>
          <t>FY 2023-24 Q3 Results</t>
        </is>
      </c>
      <c r="B48" s="44" t="inlineStr">
        <is>
          <t>FY24_Q3</t>
        </is>
      </c>
      <c r="C48" s="44" t="inlineStr">
        <is>
          <t>T-7 to T+5</t>
        </is>
      </c>
      <c r="D48" s="44" t="n">
        <v>7</v>
      </c>
      <c r="E48" s="44" t="n">
        <v>5</v>
      </c>
      <c r="F48" s="51" t="inlineStr">
        <is>
          <t>LONG</t>
        </is>
      </c>
      <c r="G48" s="100" t="n">
        <v>74.78</v>
      </c>
      <c r="H48" s="100" t="n">
        <v>71.04000000000001</v>
      </c>
      <c r="I48" s="44" t="n">
        <v>37.39</v>
      </c>
      <c r="J48" s="101" t="n">
        <v>10515.26</v>
      </c>
      <c r="K48" s="101" t="n">
        <v>9463.73</v>
      </c>
      <c r="L48" s="44" t="n">
        <v>350</v>
      </c>
      <c r="M48" s="46" t="inlineStr">
        <is>
          <t>Pre-Quarterly Run-up (LON</t>
        </is>
      </c>
      <c r="N48" s="100" t="inlineStr">
        <is>
          <t>BUY</t>
        </is>
      </c>
    </row>
    <row r="49" ht="20" customHeight="1">
      <c r="A49" s="46" t="inlineStr">
        <is>
          <t>FY 2023-24 Q2 Results</t>
        </is>
      </c>
      <c r="B49" s="44" t="inlineStr">
        <is>
          <t>FY24_Q2</t>
        </is>
      </c>
      <c r="C49" s="44" t="inlineStr">
        <is>
          <t>T-4 to T+5</t>
        </is>
      </c>
      <c r="D49" s="44" t="n">
        <v>4</v>
      </c>
      <c r="E49" s="44" t="n">
        <v>5</v>
      </c>
      <c r="F49" s="51" t="inlineStr">
        <is>
          <t>LONG</t>
        </is>
      </c>
      <c r="G49" s="100" t="n">
        <v>73.34999999999999</v>
      </c>
      <c r="H49" s="100" t="n">
        <v>69.68000000000001</v>
      </c>
      <c r="I49" s="44" t="n">
        <v>36.67</v>
      </c>
      <c r="J49" s="101" t="n">
        <v>45576.9</v>
      </c>
      <c r="K49" s="101" t="n">
        <v>41019.21</v>
      </c>
      <c r="L49" s="44" t="n">
        <v>350</v>
      </c>
      <c r="M49" s="46" t="inlineStr">
        <is>
          <t>Pre-Quarterly Run-up (LON</t>
        </is>
      </c>
      <c r="N49" s="100" t="inlineStr">
        <is>
          <t>BUY</t>
        </is>
      </c>
    </row>
    <row r="50" ht="20" customHeight="1">
      <c r="A50" s="46" t="inlineStr">
        <is>
          <t>FY 2023-24 Q1 Results</t>
        </is>
      </c>
      <c r="B50" s="44" t="inlineStr">
        <is>
          <t>FY24_Q1</t>
        </is>
      </c>
      <c r="C50" s="44" t="inlineStr">
        <is>
          <t>T-5 to T+5</t>
        </is>
      </c>
      <c r="D50" s="44" t="n">
        <v>5</v>
      </c>
      <c r="E50" s="44" t="n">
        <v>5</v>
      </c>
      <c r="F50" s="51" t="inlineStr">
        <is>
          <t>LONG</t>
        </is>
      </c>
      <c r="G50" s="100" t="n">
        <v>79.84999999999999</v>
      </c>
      <c r="H50" s="54" t="n">
        <v>75.86</v>
      </c>
      <c r="I50" s="44" t="n">
        <v>39.92</v>
      </c>
      <c r="J50" s="101" t="n">
        <v>58369.47</v>
      </c>
      <c r="K50" s="101" t="n">
        <v>52532.52</v>
      </c>
      <c r="L50" s="44" t="n">
        <v>350</v>
      </c>
      <c r="M50" s="46" t="inlineStr">
        <is>
          <t>Pre-Quarterly Run-up (LON</t>
        </is>
      </c>
      <c r="N50" s="100" t="inlineStr">
        <is>
          <t>BUY</t>
        </is>
      </c>
    </row>
    <row r="51" ht="20" customHeight="1">
      <c r="A51" s="46" t="inlineStr">
        <is>
          <t>FY 2022-23 Q4 Results</t>
        </is>
      </c>
      <c r="B51" s="44" t="inlineStr">
        <is>
          <t>FY23_Q4</t>
        </is>
      </c>
      <c r="C51" s="44" t="inlineStr">
        <is>
          <t>T-3 to T+5</t>
        </is>
      </c>
      <c r="D51" s="44" t="n">
        <v>3</v>
      </c>
      <c r="E51" s="44" t="n">
        <v>5</v>
      </c>
      <c r="F51" s="51" t="inlineStr">
        <is>
          <t>LONG</t>
        </is>
      </c>
      <c r="G51" s="100" t="n">
        <v>73.64</v>
      </c>
      <c r="H51" s="100" t="n">
        <v>69.95999999999999</v>
      </c>
      <c r="I51" s="44" t="n">
        <v>36.82</v>
      </c>
      <c r="J51" s="101" t="n">
        <v>22168.22</v>
      </c>
      <c r="K51" s="101" t="n">
        <v>19951.4</v>
      </c>
      <c r="L51" s="44" t="n">
        <v>350</v>
      </c>
      <c r="M51" s="46" t="inlineStr">
        <is>
          <t>Pre-Quarterly Run-up (LON</t>
        </is>
      </c>
      <c r="N51" s="100" t="inlineStr">
        <is>
          <t>BUY</t>
        </is>
      </c>
    </row>
    <row r="52" ht="20" customHeight="1">
      <c r="A52" s="46" t="inlineStr">
        <is>
          <t>FY 2022-23 Q3 Results</t>
        </is>
      </c>
      <c r="B52" s="44" t="inlineStr">
        <is>
          <t>FY23_Q3</t>
        </is>
      </c>
      <c r="C52" s="44" t="inlineStr">
        <is>
          <t>T-6 to T+2</t>
        </is>
      </c>
      <c r="D52" s="44" t="n">
        <v>6</v>
      </c>
      <c r="E52" s="44" t="n">
        <v>2</v>
      </c>
      <c r="F52" s="51" t="inlineStr">
        <is>
          <t>LONG</t>
        </is>
      </c>
      <c r="G52" s="100" t="n">
        <v>82.23999999999999</v>
      </c>
      <c r="H52" s="54" t="n">
        <v>78.13</v>
      </c>
      <c r="I52" s="44" t="n">
        <v>41.12</v>
      </c>
      <c r="J52" s="101" t="n">
        <v>70018.23</v>
      </c>
      <c r="K52" s="101" t="n">
        <v>63016.41</v>
      </c>
      <c r="L52" s="44" t="n">
        <v>350</v>
      </c>
      <c r="M52" s="46" t="inlineStr">
        <is>
          <t>Pre-Quarterly Run-up (LON</t>
        </is>
      </c>
      <c r="N52" s="100" t="inlineStr">
        <is>
          <t>BUY</t>
        </is>
      </c>
    </row>
    <row r="53" ht="20" customHeight="1">
      <c r="A53" s="46" t="inlineStr">
        <is>
          <t>FY 2022-23 Q2 Results</t>
        </is>
      </c>
      <c r="B53" s="44" t="inlineStr">
        <is>
          <t>FY23_Q2</t>
        </is>
      </c>
      <c r="C53" s="44" t="inlineStr">
        <is>
          <t>T-2 to T+4</t>
        </is>
      </c>
      <c r="D53" s="44" t="n">
        <v>2</v>
      </c>
      <c r="E53" s="44" t="n">
        <v>4</v>
      </c>
      <c r="F53" s="51" t="inlineStr">
        <is>
          <t>LONG</t>
        </is>
      </c>
      <c r="G53" s="100" t="n">
        <v>81.65000000000001</v>
      </c>
      <c r="H53" s="54" t="n">
        <v>77.56999999999999</v>
      </c>
      <c r="I53" s="44" t="n">
        <v>40.82</v>
      </c>
      <c r="J53" s="101" t="n">
        <v>92243.88</v>
      </c>
      <c r="K53" s="101" t="n">
        <v>83019.49000000001</v>
      </c>
      <c r="L53" s="44" t="n">
        <v>350</v>
      </c>
      <c r="M53" s="46" t="inlineStr">
        <is>
          <t>Pre-Quarterly Run-up (LON</t>
        </is>
      </c>
      <c r="N53" s="100" t="inlineStr">
        <is>
          <t>BUY</t>
        </is>
      </c>
    </row>
  </sheetData>
  <mergeCells count="71">
    <mergeCell ref="A25:C25"/>
    <mergeCell ref="D11:F11"/>
    <mergeCell ref="G12:N12"/>
    <mergeCell ref="D27:F27"/>
    <mergeCell ref="D13:F13"/>
    <mergeCell ref="D32:F32"/>
    <mergeCell ref="G11:N11"/>
    <mergeCell ref="A4:G4"/>
    <mergeCell ref="G22:N22"/>
    <mergeCell ref="A20:G20"/>
    <mergeCell ref="A27:C27"/>
    <mergeCell ref="D17:F17"/>
    <mergeCell ref="A21:C21"/>
    <mergeCell ref="G27:N27"/>
    <mergeCell ref="A12:C12"/>
    <mergeCell ref="D7:F7"/>
    <mergeCell ref="A26:C26"/>
    <mergeCell ref="D16:F16"/>
    <mergeCell ref="G23:N23"/>
    <mergeCell ref="A1:N1"/>
    <mergeCell ref="G8:N8"/>
    <mergeCell ref="D28:F28"/>
    <mergeCell ref="A5:C5"/>
    <mergeCell ref="G7:N7"/>
    <mergeCell ref="A23:C23"/>
    <mergeCell ref="A32:C32"/>
    <mergeCell ref="A8:C8"/>
    <mergeCell ref="A14:C14"/>
    <mergeCell ref="A22:C22"/>
    <mergeCell ref="D12:F12"/>
    <mergeCell ref="A17:C17"/>
    <mergeCell ref="D9:F9"/>
    <mergeCell ref="G10:N10"/>
    <mergeCell ref="G28:N28"/>
    <mergeCell ref="G6:N6"/>
    <mergeCell ref="G13:N13"/>
    <mergeCell ref="D8:F8"/>
    <mergeCell ref="D25:F25"/>
    <mergeCell ref="D15:F15"/>
    <mergeCell ref="A29:C29"/>
    <mergeCell ref="D30:F30"/>
    <mergeCell ref="D24:F24"/>
    <mergeCell ref="A10:C10"/>
    <mergeCell ref="A28:C28"/>
    <mergeCell ref="A13:C13"/>
    <mergeCell ref="D14:F14"/>
    <mergeCell ref="D29:F29"/>
    <mergeCell ref="D5:F5"/>
    <mergeCell ref="D23:F23"/>
    <mergeCell ref="A31:C31"/>
    <mergeCell ref="A2:N2"/>
    <mergeCell ref="G24:N24"/>
    <mergeCell ref="A9:C9"/>
    <mergeCell ref="D26:F26"/>
    <mergeCell ref="A30:C30"/>
    <mergeCell ref="G5:N5"/>
    <mergeCell ref="A15:C15"/>
    <mergeCell ref="A24:C24"/>
    <mergeCell ref="D10:F10"/>
    <mergeCell ref="G26:N26"/>
    <mergeCell ref="A11:C11"/>
    <mergeCell ref="A35:N35"/>
    <mergeCell ref="D31:F31"/>
    <mergeCell ref="A6:C6"/>
    <mergeCell ref="D22:F22"/>
    <mergeCell ref="D6:F6"/>
    <mergeCell ref="G16:N16"/>
    <mergeCell ref="D21:F21"/>
    <mergeCell ref="A7:C7"/>
    <mergeCell ref="G9:N9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4" customWidth="1" min="3" max="3"/>
    <col width="7" customWidth="1" min="4" max="4"/>
    <col width="7" customWidth="1" min="5" max="5"/>
    <col width="10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7" customWidth="1" min="12" max="12"/>
    <col width="26" customWidth="1" min="13" max="13"/>
    <col width="12" customWidth="1" min="14" max="14"/>
  </cols>
  <sheetData>
    <row r="1" ht="34" customHeight="1">
      <c r="A1" s="113" t="inlineStr">
        <is>
          <t>AXISBANK  ?  Axis Bank Ltd  |  Q3 FY 2026-27 (Jul - Sep 2026)  |  Direction: LONG  |  Entry: BUY FUTURES (LONG)  |  Exit: SELL FUTURES</t>
        </is>
      </c>
    </row>
    <row r="2" ht="30" customHeight="1">
      <c r="A2" s="69" t="inlineStr">
        <is>
          <t xml:space="preserve">  TRADE DIRECTION:  LONG  |  ON ENTRY (15-Oct-2026) ? BUY FUTURES (LONG)  |  ON EXIT (19-Oct-2026) ? SELL FUTURES  |  OPTION ALTERNATIVE: BUY CALL OPTION (1% ITM, 30% SL)</t>
        </is>
      </c>
    </row>
    <row r="4" ht="26" customHeight="1">
      <c r="A4" s="6" t="inlineStr">
        <is>
          <t>A. POSITION TAKING WINDOW</t>
        </is>
      </c>
    </row>
    <row r="5" ht="24" customHeight="1">
      <c r="A5" s="70" t="inlineStr">
        <is>
          <t>Trade Direction</t>
        </is>
      </c>
      <c r="B5" s="71" t="n"/>
      <c r="C5" s="72" t="n"/>
      <c r="D5" s="73" t="inlineStr">
        <is>
          <t>LONG</t>
        </is>
      </c>
      <c r="E5" s="71" t="n"/>
      <c r="F5" s="72" t="n"/>
      <c r="G5" s="74" t="inlineStr">
        <is>
          <t>LONG = Buy to Open. SHORT = Sell to Open.</t>
        </is>
      </c>
      <c r="H5" s="71" t="n"/>
      <c r="I5" s="71" t="n"/>
      <c r="J5" s="71" t="n"/>
      <c r="K5" s="71" t="n"/>
      <c r="L5" s="71" t="n"/>
      <c r="M5" s="71" t="n"/>
      <c r="N5" s="72" t="n"/>
    </row>
    <row r="6" ht="24" customHeight="1">
      <c r="A6" s="75" t="inlineStr">
        <is>
          <t>Entry Action (Futures)</t>
        </is>
      </c>
      <c r="B6" s="71" t="n"/>
      <c r="C6" s="72" t="n"/>
      <c r="D6" s="76" t="inlineStr">
        <is>
          <t>BUY FUTURES (LONG)</t>
        </is>
      </c>
      <c r="E6" s="71" t="n"/>
      <c r="F6" s="72" t="n"/>
      <c r="G6" s="74" t="inlineStr">
        <is>
          <t>Execute this trade on Entry Date</t>
        </is>
      </c>
      <c r="H6" s="71" t="n"/>
      <c r="I6" s="71" t="n"/>
      <c r="J6" s="71" t="n"/>
      <c r="K6" s="71" t="n"/>
      <c r="L6" s="71" t="n"/>
      <c r="M6" s="71" t="n"/>
      <c r="N6" s="72" t="n"/>
    </row>
    <row r="7" ht="24" customHeight="1">
      <c r="A7" s="75" t="inlineStr">
        <is>
          <t>Exit Action (Futures)</t>
        </is>
      </c>
      <c r="B7" s="71" t="n"/>
      <c r="C7" s="72" t="n"/>
      <c r="D7" s="77" t="inlineStr">
        <is>
          <t>SELL FUTURES (Square Off)</t>
        </is>
      </c>
      <c r="E7" s="71" t="n"/>
      <c r="F7" s="72" t="n"/>
      <c r="G7" s="74" t="inlineStr">
        <is>
          <t>Execute this trade on Exit Date</t>
        </is>
      </c>
      <c r="H7" s="71" t="n"/>
      <c r="I7" s="71" t="n"/>
      <c r="J7" s="71" t="n"/>
      <c r="K7" s="71" t="n"/>
      <c r="L7" s="71" t="n"/>
      <c r="M7" s="71" t="n"/>
      <c r="N7" s="72" t="n"/>
    </row>
    <row r="8" ht="24" customHeight="1">
      <c r="A8" s="75" t="inlineStr">
        <is>
          <t>Option Alternative</t>
        </is>
      </c>
      <c r="B8" s="71" t="n"/>
      <c r="C8" s="72" t="n"/>
      <c r="D8" s="78" t="inlineStr">
        <is>
          <t>BUY CALL OPTION ? 1% ITM, SL = 30%</t>
        </is>
      </c>
      <c r="E8" s="71" t="n"/>
      <c r="F8" s="72" t="n"/>
      <c r="G8" s="74" t="inlineStr">
        <is>
          <t>Use options if futures margin is high</t>
        </is>
      </c>
      <c r="H8" s="71" t="n"/>
      <c r="I8" s="71" t="n"/>
      <c r="J8" s="71" t="n"/>
      <c r="K8" s="71" t="n"/>
      <c r="L8" s="71" t="n"/>
      <c r="M8" s="71" t="n"/>
      <c r="N8" s="72" t="n"/>
    </row>
    <row r="9" ht="24" customHeight="1">
      <c r="A9" s="75" t="inlineStr">
        <is>
          <t>NSE Result Date (T)</t>
        </is>
      </c>
      <c r="B9" s="71" t="n"/>
      <c r="C9" s="72" t="n"/>
      <c r="D9" s="79" t="inlineStr">
        <is>
          <t>17-Oct-2026 (Saturday)</t>
        </is>
      </c>
      <c r="E9" s="71" t="n"/>
      <c r="F9" s="72" t="n"/>
      <c r="G9" s="74" t="inlineStr">
        <is>
          <t>Exact NSE official date. No shift applied.</t>
        </is>
      </c>
      <c r="H9" s="71" t="n"/>
      <c r="I9" s="71" t="n"/>
      <c r="J9" s="71" t="n"/>
      <c r="K9" s="71" t="n"/>
      <c r="L9" s="71" t="n"/>
      <c r="M9" s="71" t="n"/>
      <c r="N9" s="72" t="n"/>
    </row>
    <row r="10" ht="24" customHeight="1">
      <c r="A10" s="75" t="inlineStr">
        <is>
          <t>T Day Status</t>
        </is>
      </c>
      <c r="B10" s="71" t="n"/>
      <c r="C10" s="72" t="n"/>
      <c r="D10" s="114" t="inlineStr">
        <is>
          <t>Weekend/Holiday</t>
        </is>
      </c>
      <c r="E10" s="71" t="n"/>
      <c r="F10" s="72" t="n"/>
      <c r="G10" s="74" t="inlineStr">
        <is>
          <t>T is a non-trading day ? window counts trading days from T.</t>
        </is>
      </c>
      <c r="H10" s="71" t="n"/>
      <c r="I10" s="71" t="n"/>
      <c r="J10" s="71" t="n"/>
      <c r="K10" s="71" t="n"/>
      <c r="L10" s="71" t="n"/>
      <c r="M10" s="71" t="n"/>
      <c r="N10" s="72" t="n"/>
    </row>
    <row r="11" ht="24" customHeight="1">
      <c r="A11" s="75" t="inlineStr">
        <is>
          <t>Model Window (from dataset)</t>
        </is>
      </c>
      <c r="B11" s="71" t="n"/>
      <c r="C11" s="72" t="n"/>
      <c r="D11" s="81" t="inlineStr">
        <is>
          <t>T-2 to T+1</t>
        </is>
      </c>
      <c r="E11" s="71" t="n"/>
      <c r="F11" s="72" t="n"/>
      <c r="G11" s="74" t="inlineStr">
        <is>
          <t>Read directly from quarters_dataset.json (FY27_Q2)</t>
        </is>
      </c>
      <c r="H11" s="71" t="n"/>
      <c r="I11" s="71" t="n"/>
      <c r="J11" s="71" t="n"/>
      <c r="K11" s="71" t="n"/>
      <c r="L11" s="71" t="n"/>
      <c r="M11" s="71" t="n"/>
      <c r="N11" s="72" t="n"/>
    </row>
    <row r="12" ht="24" customHeight="1">
      <c r="A12" s="75" t="inlineStr">
        <is>
          <t>Lead n = 2 trading days</t>
        </is>
      </c>
      <c r="B12" s="71" t="n"/>
      <c r="C12" s="72" t="n"/>
      <c r="D12" s="80" t="inlineStr">
        <is>
          <t>15-Oct-2026 (Thursday)</t>
        </is>
      </c>
      <c r="E12" s="71" t="n"/>
      <c r="F12" s="72" t="n"/>
      <c r="G12" s="74" t="inlineStr">
        <is>
          <t>ENTRY DATE: Count 2 trad days BACKWARD from T</t>
        </is>
      </c>
      <c r="H12" s="71" t="n"/>
      <c r="I12" s="71" t="n"/>
      <c r="J12" s="71" t="n"/>
      <c r="K12" s="71" t="n"/>
      <c r="L12" s="71" t="n"/>
      <c r="M12" s="71" t="n"/>
      <c r="N12" s="72" t="n"/>
    </row>
    <row r="13" ht="24" customHeight="1">
      <c r="A13" s="75" t="inlineStr">
        <is>
          <t>Hold m = 1 trading days</t>
        </is>
      </c>
      <c r="B13" s="71" t="n"/>
      <c r="C13" s="72" t="n"/>
      <c r="D13" s="78" t="inlineStr">
        <is>
          <t>19-Oct-2026 (Monday)</t>
        </is>
      </c>
      <c r="E13" s="71" t="n"/>
      <c r="F13" s="72" t="n"/>
      <c r="G13" s="74" t="inlineStr">
        <is>
          <t>EXIT DATE:  Count 1 trad days FORWARD from T</t>
        </is>
      </c>
      <c r="H13" s="71" t="n"/>
      <c r="I13" s="71" t="n"/>
      <c r="J13" s="71" t="n"/>
      <c r="K13" s="71" t="n"/>
      <c r="L13" s="71" t="n"/>
      <c r="M13" s="71" t="n"/>
      <c r="N13" s="72" t="n"/>
    </row>
    <row r="14" ht="24" customHeight="1">
      <c r="A14" s="75" t="inlineStr">
        <is>
          <t>Days to Entry (from today)</t>
        </is>
      </c>
      <c r="B14" s="71" t="n"/>
      <c r="C14" s="72" t="n"/>
      <c r="D14" s="82" t="inlineStr">
        <is>
          <t>24 days  ?  Enter: 15-Oct-2026</t>
        </is>
      </c>
      <c r="E14" s="71" t="n"/>
      <c r="F14" s="72" t="n"/>
    </row>
    <row r="15" ht="24" customHeight="1">
      <c r="A15" s="75" t="inlineStr">
        <is>
          <t>Lot Size</t>
        </is>
      </c>
      <c r="B15" s="71" t="n"/>
      <c r="C15" s="72" t="n"/>
      <c r="D15" s="83" t="inlineStr">
        <is>
          <t>625</t>
        </is>
      </c>
      <c r="E15" s="71" t="n"/>
      <c r="F15" s="72" t="n"/>
    </row>
    <row r="16" ht="24" customHeight="1">
      <c r="A16" s="75" t="inlineStr">
        <is>
          <t>Margin Required (20% SPAN)</t>
        </is>
      </c>
      <c r="B16" s="71" t="n"/>
      <c r="C16" s="72" t="n"/>
      <c r="D16" s="83" t="inlineStr">
        <is>
          <t>Rs 430,658</t>
        </is>
      </c>
      <c r="E16" s="71" t="n"/>
      <c r="F16" s="72" t="n"/>
      <c r="G16" s="74" t="inlineStr">
        <is>
          <t>Approximate margin per lot</t>
        </is>
      </c>
      <c r="H16" s="71" t="n"/>
      <c r="I16" s="71" t="n"/>
      <c r="J16" s="71" t="n"/>
      <c r="K16" s="71" t="n"/>
      <c r="L16" s="71" t="n"/>
      <c r="M16" s="71" t="n"/>
      <c r="N16" s="72" t="n"/>
    </row>
    <row r="17" ht="24" customHeight="1">
      <c r="A17" s="75" t="inlineStr">
        <is>
          <t>Strategy</t>
        </is>
      </c>
      <c r="B17" s="71" t="n"/>
      <c r="C17" s="72" t="n"/>
      <c r="D17" s="84" t="inlineStr">
        <is>
          <t>Pre-Quarterly Run-up (LONG)</t>
        </is>
      </c>
      <c r="E17" s="71" t="n"/>
      <c r="F17" s="72" t="n"/>
    </row>
    <row r="20" ht="26" customHeight="1">
      <c r="A20" s="7" t="inlineStr">
        <is>
          <t>B. EXPECTED RETURNS  (Model Estimates ? Q3 FY 2026-27)</t>
        </is>
      </c>
    </row>
    <row r="21" ht="24" customHeight="1">
      <c r="A21" s="85">
        <f>== EXPECTED (Q-Win Rate Model) ===</f>
        <v/>
      </c>
      <c r="B21" s="71" t="n"/>
      <c r="C21" s="72" t="n"/>
      <c r="D21" s="86" t="inlineStr"/>
      <c r="E21" s="71" t="n"/>
      <c r="F21" s="72" t="n"/>
    </row>
    <row r="22" ht="22" customHeight="1">
      <c r="A22" s="87" t="inlineStr">
        <is>
          <t>Q-Win Rate %</t>
        </is>
      </c>
      <c r="B22" s="71" t="n"/>
      <c r="C22" s="72" t="n"/>
      <c r="D22" s="88" t="inlineStr">
        <is>
          <t>68.25%</t>
        </is>
      </c>
      <c r="E22" s="71" t="n"/>
      <c r="F22" s="72" t="n"/>
      <c r="G22" s="74" t="inlineStr">
        <is>
          <t>Win probability for Q3 trade</t>
        </is>
      </c>
      <c r="H22" s="71" t="n"/>
      <c r="I22" s="71" t="n"/>
      <c r="J22" s="71" t="n"/>
      <c r="K22" s="71" t="n"/>
      <c r="L22" s="71" t="n"/>
      <c r="M22" s="71" t="n"/>
      <c r="N22" s="72" t="n"/>
    </row>
    <row r="23" ht="22" customHeight="1">
      <c r="A23" s="89" t="inlineStr">
        <is>
          <t>Expected ROC %</t>
        </is>
      </c>
      <c r="B23" s="71" t="n"/>
      <c r="C23" s="72" t="n"/>
      <c r="D23" s="76" t="inlineStr">
        <is>
          <t>34.12%</t>
        </is>
      </c>
      <c r="E23" s="71" t="n"/>
      <c r="F23" s="72" t="n"/>
      <c r="G23" s="74" t="inlineStr">
        <is>
          <t>Return on margin Rs 430,658</t>
        </is>
      </c>
      <c r="H23" s="71" t="n"/>
      <c r="I23" s="71" t="n"/>
      <c r="J23" s="71" t="n"/>
      <c r="K23" s="71" t="n"/>
      <c r="L23" s="71" t="n"/>
      <c r="M23" s="71" t="n"/>
      <c r="N23" s="72" t="n"/>
    </row>
    <row r="24" ht="22" customHeight="1">
      <c r="A24" s="89" t="inlineStr">
        <is>
          <t>Expected PnL ?</t>
        </is>
      </c>
      <c r="B24" s="71" t="n"/>
      <c r="C24" s="72" t="n"/>
      <c r="D24" s="76" t="inlineStr">
        <is>
          <t>Rs 146,961.87</t>
        </is>
      </c>
      <c r="E24" s="71" t="n"/>
      <c r="F24" s="72" t="n"/>
      <c r="G24" s="74" t="inlineStr">
        <is>
          <t>Estimated profit per 1 lot (625 qty)</t>
        </is>
      </c>
      <c r="H24" s="71" t="n"/>
      <c r="I24" s="71" t="n"/>
      <c r="J24" s="71" t="n"/>
      <c r="K24" s="71" t="n"/>
      <c r="L24" s="71" t="n"/>
      <c r="M24" s="71" t="n"/>
      <c r="N24" s="72" t="n"/>
    </row>
    <row r="25" ht="24" customHeight="1">
      <c r="A25" s="85">
        <f>== HISTORICAL (H-Win Rate ? Conservative) ===</f>
        <v/>
      </c>
      <c r="B25" s="71" t="n"/>
      <c r="C25" s="72" t="n"/>
      <c r="D25" s="86" t="inlineStr"/>
      <c r="E25" s="71" t="n"/>
      <c r="F25" s="72" t="n"/>
    </row>
    <row r="26" ht="22" customHeight="1">
      <c r="A26" s="87" t="inlineStr">
        <is>
          <t>H-Win Rate %</t>
        </is>
      </c>
      <c r="B26" s="71" t="n"/>
      <c r="C26" s="72" t="n"/>
      <c r="D26" s="88" t="inlineStr">
        <is>
          <t>64.84%</t>
        </is>
      </c>
      <c r="E26" s="71" t="n"/>
      <c r="F26" s="72" t="n"/>
      <c r="G26" s="74" t="inlineStr">
        <is>
          <t>Conservative win rate from longer history</t>
        </is>
      </c>
      <c r="H26" s="71" t="n"/>
      <c r="I26" s="71" t="n"/>
      <c r="J26" s="71" t="n"/>
      <c r="K26" s="71" t="n"/>
      <c r="L26" s="71" t="n"/>
      <c r="M26" s="71" t="n"/>
      <c r="N26" s="72" t="n"/>
    </row>
    <row r="27" ht="22" customHeight="1">
      <c r="A27" s="90" t="inlineStr">
        <is>
          <t>H-Expected ROC %</t>
        </is>
      </c>
      <c r="B27" s="71" t="n"/>
      <c r="C27" s="72" t="n"/>
      <c r="D27" s="91" t="inlineStr">
        <is>
          <t>30.71%</t>
        </is>
      </c>
      <c r="E27" s="71" t="n"/>
      <c r="F27" s="72" t="n"/>
      <c r="G27" s="74" t="inlineStr">
        <is>
          <t>Conservative ROC using H-Win rate</t>
        </is>
      </c>
      <c r="H27" s="71" t="n"/>
      <c r="I27" s="71" t="n"/>
      <c r="J27" s="71" t="n"/>
      <c r="K27" s="71" t="n"/>
      <c r="L27" s="71" t="n"/>
      <c r="M27" s="71" t="n"/>
      <c r="N27" s="72" t="n"/>
    </row>
    <row r="28" ht="22" customHeight="1">
      <c r="A28" s="90" t="inlineStr">
        <is>
          <t>H-Expected PnL ?</t>
        </is>
      </c>
      <c r="B28" s="71" t="n"/>
      <c r="C28" s="72" t="n"/>
      <c r="D28" s="91" t="inlineStr">
        <is>
          <t>Rs 132,265.68</t>
        </is>
      </c>
      <c r="E28" s="71" t="n"/>
      <c r="F28" s="72" t="n"/>
      <c r="G28" s="74" t="inlineStr">
        <is>
          <t>Conservative PnL estimate</t>
        </is>
      </c>
      <c r="H28" s="71" t="n"/>
      <c r="I28" s="71" t="n"/>
      <c r="J28" s="71" t="n"/>
      <c r="K28" s="71" t="n"/>
      <c r="L28" s="71" t="n"/>
      <c r="M28" s="71" t="n"/>
      <c r="N28" s="72" t="n"/>
    </row>
    <row r="29" ht="24" customHeight="1">
      <c r="A29" s="85">
        <f>== AVERAGES (17 Quarters) ===</f>
        <v/>
      </c>
      <c r="B29" s="71" t="n"/>
      <c r="C29" s="72" t="n"/>
      <c r="D29" s="86" t="inlineStr"/>
      <c r="E29" s="71" t="n"/>
      <c r="F29" s="72" t="n"/>
    </row>
    <row r="30" ht="22" customHeight="1">
      <c r="A30" s="89" t="inlineStr">
        <is>
          <t>Avg Win Rate (All 17Q)</t>
        </is>
      </c>
      <c r="B30" s="71" t="n"/>
      <c r="C30" s="72" t="n"/>
      <c r="D30" s="76" t="inlineStr">
        <is>
          <t>81.2%</t>
        </is>
      </c>
      <c r="E30" s="71" t="n"/>
      <c r="F30" s="72" t="n"/>
    </row>
    <row r="31" ht="22" customHeight="1">
      <c r="A31" s="89" t="inlineStr">
        <is>
          <t>Avg Win Rate (Last 4Q)</t>
        </is>
      </c>
      <c r="B31" s="71" t="n"/>
      <c r="C31" s="72" t="n"/>
      <c r="D31" s="76" t="inlineStr">
        <is>
          <t>82.8%</t>
        </is>
      </c>
      <c r="E31" s="71" t="n"/>
      <c r="F31" s="72" t="n"/>
    </row>
    <row r="32" ht="22" customHeight="1">
      <c r="A32" s="87" t="inlineStr">
        <is>
          <t>Avg Est PnL (All 17Q)</t>
        </is>
      </c>
      <c r="B32" s="71" t="n"/>
      <c r="C32" s="72" t="n"/>
      <c r="D32" s="92" t="inlineStr">
        <is>
          <t>Rs 108,435</t>
        </is>
      </c>
      <c r="E32" s="71" t="n"/>
      <c r="F32" s="72" t="n"/>
    </row>
    <row r="35" ht="26" customHeight="1">
      <c r="A35" s="115" t="inlineStr">
        <is>
          <t>AXISBANK  |  17-QUARTER HISTORY  (BLUE=Current Q3 | Green=WR&gt;=85% | Yellow=WR&gt;=70% | Red=WR&lt;70%)</t>
        </is>
      </c>
    </row>
    <row r="36" ht="36" customHeight="1">
      <c r="A36" s="94" t="inlineStr">
        <is>
          <t>Quarter</t>
        </is>
      </c>
      <c r="B36" s="94" t="inlineStr">
        <is>
          <t>Q-Code</t>
        </is>
      </c>
      <c r="C36" s="94" t="inlineStr">
        <is>
          <t>Window</t>
        </is>
      </c>
      <c r="D36" s="94" t="inlineStr">
        <is>
          <t>Lead</t>
        </is>
      </c>
      <c r="E36" s="94" t="inlineStr">
        <is>
          <t>Hold</t>
        </is>
      </c>
      <c r="F36" s="94" t="inlineStr">
        <is>
          <t>Direction</t>
        </is>
      </c>
      <c r="G36" s="13" t="inlineStr">
        <is>
          <t>Q-Win %</t>
        </is>
      </c>
      <c r="H36" s="14" t="inlineStr">
        <is>
          <t>H-Win %</t>
        </is>
      </c>
      <c r="I36" s="13" t="inlineStr">
        <is>
          <t>Q-ROC %</t>
        </is>
      </c>
      <c r="J36" s="13" t="inlineStr">
        <is>
          <t>Exp PnL ?</t>
        </is>
      </c>
      <c r="K36" s="14" t="inlineStr">
        <is>
          <t>H-Est PnL ?</t>
        </is>
      </c>
      <c r="L36" s="94" t="inlineStr">
        <is>
          <t>Lot</t>
        </is>
      </c>
      <c r="M36" s="94" t="inlineStr">
        <is>
          <t>Strategy</t>
        </is>
      </c>
      <c r="N36" s="94" t="inlineStr">
        <is>
          <t>Signal</t>
        </is>
      </c>
    </row>
    <row r="37" ht="20" customHeight="1">
      <c r="A37" s="95" t="inlineStr">
        <is>
          <t>FY 2026-27 Q2 Results &lt;-- CURRENT Q3</t>
        </is>
      </c>
      <c r="B37" s="96" t="inlineStr">
        <is>
          <t>FY27_Q2</t>
        </is>
      </c>
      <c r="C37" s="96" t="inlineStr">
        <is>
          <t>T-2 to T+1</t>
        </is>
      </c>
      <c r="D37" s="96" t="n">
        <v>2</v>
      </c>
      <c r="E37" s="96" t="n">
        <v>1</v>
      </c>
      <c r="F37" s="97" t="inlineStr">
        <is>
          <t>LONG</t>
        </is>
      </c>
      <c r="G37" s="96" t="n">
        <v>68.25</v>
      </c>
      <c r="H37" s="98" t="n">
        <v>64.84</v>
      </c>
      <c r="I37" s="96" t="n">
        <v>34.12</v>
      </c>
      <c r="J37" s="99" t="n">
        <v>146961.87</v>
      </c>
      <c r="K37" s="99" t="n">
        <v>132265.68</v>
      </c>
      <c r="L37" s="96" t="n">
        <v>625</v>
      </c>
      <c r="M37" s="95" t="inlineStr">
        <is>
          <t>Pre-Quarterly Run-up (LON</t>
        </is>
      </c>
      <c r="N37" s="96" t="inlineStr">
        <is>
          <t>THIS Q3</t>
        </is>
      </c>
    </row>
    <row r="38" ht="20" customHeight="1">
      <c r="A38" s="102" t="inlineStr">
        <is>
          <t>FY 2026-27 Q1 Results</t>
        </is>
      </c>
      <c r="B38" s="103" t="inlineStr">
        <is>
          <t>FY27_Q1</t>
        </is>
      </c>
      <c r="C38" s="103" t="inlineStr">
        <is>
          <t>T-3 to T+2</t>
        </is>
      </c>
      <c r="D38" s="103" t="n">
        <v>3</v>
      </c>
      <c r="E38" s="103" t="n">
        <v>2</v>
      </c>
      <c r="F38" s="104" t="inlineStr">
        <is>
          <t>LONG</t>
        </is>
      </c>
      <c r="G38" s="104" t="n">
        <v>90.56</v>
      </c>
      <c r="H38" s="105" t="n">
        <v>86.03</v>
      </c>
      <c r="I38" s="103" t="n">
        <v>45.28</v>
      </c>
      <c r="J38" s="106" t="n">
        <v>150096.97</v>
      </c>
      <c r="K38" s="106" t="n">
        <v>135087.27</v>
      </c>
      <c r="L38" s="103" t="n">
        <v>625</v>
      </c>
      <c r="M38" s="102" t="inlineStr">
        <is>
          <t>Pre-Quarterly Run-up (LON</t>
        </is>
      </c>
      <c r="N38" s="104" t="inlineStr">
        <is>
          <t>STRONG</t>
        </is>
      </c>
    </row>
    <row r="39" ht="20" customHeight="1">
      <c r="A39" s="46" t="inlineStr">
        <is>
          <t>FY 2025-26 Q4 Results</t>
        </is>
      </c>
      <c r="B39" s="44" t="inlineStr">
        <is>
          <t>FY26_Q4</t>
        </is>
      </c>
      <c r="C39" s="44" t="inlineStr">
        <is>
          <t>T-4 to T+2</t>
        </is>
      </c>
      <c r="D39" s="44" t="n">
        <v>4</v>
      </c>
      <c r="E39" s="44" t="n">
        <v>2</v>
      </c>
      <c r="F39" s="51" t="inlineStr">
        <is>
          <t>LONG</t>
        </is>
      </c>
      <c r="G39" s="100" t="n">
        <v>80.34</v>
      </c>
      <c r="H39" s="54" t="n">
        <v>76.31999999999999</v>
      </c>
      <c r="I39" s="44" t="n">
        <v>40.17</v>
      </c>
      <c r="J39" s="101" t="n">
        <v>122218.23</v>
      </c>
      <c r="K39" s="101" t="n">
        <v>109996.41</v>
      </c>
      <c r="L39" s="44" t="n">
        <v>625</v>
      </c>
      <c r="M39" s="46" t="inlineStr">
        <is>
          <t>Pre-Quarterly Run-up (LON</t>
        </is>
      </c>
      <c r="N39" s="100" t="inlineStr">
        <is>
          <t>BUY</t>
        </is>
      </c>
    </row>
    <row r="40" ht="20" customHeight="1">
      <c r="A40" s="102" t="inlineStr">
        <is>
          <t>FY 2025-26 Q3 Results</t>
        </is>
      </c>
      <c r="B40" s="103" t="inlineStr">
        <is>
          <t>FY26_Q3</t>
        </is>
      </c>
      <c r="C40" s="103" t="inlineStr">
        <is>
          <t>T-5 to T+3</t>
        </is>
      </c>
      <c r="D40" s="103" t="n">
        <v>5</v>
      </c>
      <c r="E40" s="103" t="n">
        <v>3</v>
      </c>
      <c r="F40" s="104" t="inlineStr">
        <is>
          <t>LONG</t>
        </is>
      </c>
      <c r="G40" s="104" t="n">
        <v>91.94</v>
      </c>
      <c r="H40" s="105" t="n">
        <v>87.34</v>
      </c>
      <c r="I40" s="103" t="n">
        <v>45.97</v>
      </c>
      <c r="J40" s="106" t="n">
        <v>182777.87</v>
      </c>
      <c r="K40" s="106" t="n">
        <v>164500.08</v>
      </c>
      <c r="L40" s="103" t="n">
        <v>625</v>
      </c>
      <c r="M40" s="102" t="inlineStr">
        <is>
          <t>Pre-Quarterly Run-up (LON</t>
        </is>
      </c>
      <c r="N40" s="104" t="inlineStr">
        <is>
          <t>STRONG</t>
        </is>
      </c>
    </row>
    <row r="41" ht="20" customHeight="1">
      <c r="A41" s="102" t="inlineStr">
        <is>
          <t>FY 2025-26 Q2 Results</t>
        </is>
      </c>
      <c r="B41" s="103" t="inlineStr">
        <is>
          <t>FY26_Q2</t>
        </is>
      </c>
      <c r="C41" s="103" t="inlineStr">
        <is>
          <t>T-6 to T+4</t>
        </is>
      </c>
      <c r="D41" s="103" t="n">
        <v>6</v>
      </c>
      <c r="E41" s="103" t="n">
        <v>4</v>
      </c>
      <c r="F41" s="104" t="inlineStr">
        <is>
          <t>LONG</t>
        </is>
      </c>
      <c r="G41" s="104" t="n">
        <v>92.94</v>
      </c>
      <c r="H41" s="105" t="n">
        <v>88.29000000000001</v>
      </c>
      <c r="I41" s="103" t="n">
        <v>46.47</v>
      </c>
      <c r="J41" s="106" t="n">
        <v>28778.87</v>
      </c>
      <c r="K41" s="106" t="n">
        <v>25900.98</v>
      </c>
      <c r="L41" s="103" t="n">
        <v>625</v>
      </c>
      <c r="M41" s="102" t="inlineStr">
        <is>
          <t>Pre-Quarterly Run-up (LON</t>
        </is>
      </c>
      <c r="N41" s="104" t="inlineStr">
        <is>
          <t>STRONG</t>
        </is>
      </c>
    </row>
    <row r="42" ht="20" customHeight="1">
      <c r="A42" s="46" t="inlineStr">
        <is>
          <t>FY 2025-26 Q1 Results</t>
        </is>
      </c>
      <c r="B42" s="44" t="inlineStr">
        <is>
          <t>FY26_Q1</t>
        </is>
      </c>
      <c r="C42" s="44" t="inlineStr">
        <is>
          <t>T-7 to T+5</t>
        </is>
      </c>
      <c r="D42" s="44" t="n">
        <v>7</v>
      </c>
      <c r="E42" s="44" t="n">
        <v>5</v>
      </c>
      <c r="F42" s="51" t="inlineStr">
        <is>
          <t>LONG</t>
        </is>
      </c>
      <c r="G42" s="100" t="n">
        <v>81.56</v>
      </c>
      <c r="H42" s="54" t="n">
        <v>77.48</v>
      </c>
      <c r="I42" s="44" t="n">
        <v>40.78</v>
      </c>
      <c r="J42" s="101" t="n">
        <v>89722.12</v>
      </c>
      <c r="K42" s="101" t="n">
        <v>80749.91</v>
      </c>
      <c r="L42" s="44" t="n">
        <v>625</v>
      </c>
      <c r="M42" s="46" t="inlineStr">
        <is>
          <t>Pre-Quarterly Run-up (LON</t>
        </is>
      </c>
      <c r="N42" s="100" t="inlineStr">
        <is>
          <t>BUY</t>
        </is>
      </c>
    </row>
    <row r="43" ht="20" customHeight="1">
      <c r="A43" s="46" t="inlineStr">
        <is>
          <t>FY 2024-25 Q4 Results</t>
        </is>
      </c>
      <c r="B43" s="44" t="inlineStr">
        <is>
          <t>FY25_Q4</t>
        </is>
      </c>
      <c r="C43" s="44" t="inlineStr">
        <is>
          <t>T-4 to T+5</t>
        </is>
      </c>
      <c r="D43" s="44" t="n">
        <v>4</v>
      </c>
      <c r="E43" s="44" t="n">
        <v>5</v>
      </c>
      <c r="F43" s="51" t="inlineStr">
        <is>
          <t>LONG</t>
        </is>
      </c>
      <c r="G43" s="100" t="n">
        <v>73.91</v>
      </c>
      <c r="H43" s="100" t="n">
        <v>70.20999999999999</v>
      </c>
      <c r="I43" s="44" t="n">
        <v>36.96</v>
      </c>
      <c r="J43" s="101" t="n">
        <v>47523.67</v>
      </c>
      <c r="K43" s="101" t="n">
        <v>42771.3</v>
      </c>
      <c r="L43" s="44" t="n">
        <v>625</v>
      </c>
      <c r="M43" s="46" t="inlineStr">
        <is>
          <t>Pre-Quarterly Run-up (LON</t>
        </is>
      </c>
      <c r="N43" s="100" t="inlineStr">
        <is>
          <t>BUY</t>
        </is>
      </c>
    </row>
    <row r="44" ht="20" customHeight="1">
      <c r="A44" s="46" t="inlineStr">
        <is>
          <t>FY 2024-25 Q3 Results</t>
        </is>
      </c>
      <c r="B44" s="44" t="inlineStr">
        <is>
          <t>FY25_Q3</t>
        </is>
      </c>
      <c r="C44" s="44" t="inlineStr">
        <is>
          <t>T-5 to T+5</t>
        </is>
      </c>
      <c r="D44" s="44" t="n">
        <v>5</v>
      </c>
      <c r="E44" s="44" t="n">
        <v>5</v>
      </c>
      <c r="F44" s="51" t="inlineStr">
        <is>
          <t>LONG</t>
        </is>
      </c>
      <c r="G44" s="100" t="n">
        <v>81.09999999999999</v>
      </c>
      <c r="H44" s="54" t="n">
        <v>77.04000000000001</v>
      </c>
      <c r="I44" s="44" t="n">
        <v>40.55</v>
      </c>
      <c r="J44" s="101" t="n">
        <v>176490.33</v>
      </c>
      <c r="K44" s="101" t="n">
        <v>158841.3</v>
      </c>
      <c r="L44" s="44" t="n">
        <v>625</v>
      </c>
      <c r="M44" s="46" t="inlineStr">
        <is>
          <t>Pre-Quarterly Run-up (LON</t>
        </is>
      </c>
      <c r="N44" s="100" t="inlineStr">
        <is>
          <t>BUY</t>
        </is>
      </c>
    </row>
    <row r="45" ht="20" customHeight="1">
      <c r="A45" s="46" t="inlineStr">
        <is>
          <t>FY 2024-25 Q2 Results</t>
        </is>
      </c>
      <c r="B45" s="44" t="inlineStr">
        <is>
          <t>FY25_Q2</t>
        </is>
      </c>
      <c r="C45" s="44" t="inlineStr">
        <is>
          <t>T-3 to T+5</t>
        </is>
      </c>
      <c r="D45" s="44" t="n">
        <v>3</v>
      </c>
      <c r="E45" s="44" t="n">
        <v>5</v>
      </c>
      <c r="F45" s="51" t="inlineStr">
        <is>
          <t>LONG</t>
        </is>
      </c>
      <c r="G45" s="100" t="n">
        <v>79.76000000000001</v>
      </c>
      <c r="H45" s="54" t="n">
        <v>75.77</v>
      </c>
      <c r="I45" s="44" t="n">
        <v>39.88</v>
      </c>
      <c r="J45" s="101" t="n">
        <v>71570.14</v>
      </c>
      <c r="K45" s="101" t="n">
        <v>64413.13</v>
      </c>
      <c r="L45" s="44" t="n">
        <v>625</v>
      </c>
      <c r="M45" s="46" t="inlineStr">
        <is>
          <t>Pre-Quarterly Run-up (LON</t>
        </is>
      </c>
      <c r="N45" s="100" t="inlineStr">
        <is>
          <t>BUY</t>
        </is>
      </c>
    </row>
    <row r="46" ht="20" customHeight="1">
      <c r="A46" s="46" t="inlineStr">
        <is>
          <t>FY 2024-25 Q1 Results</t>
        </is>
      </c>
      <c r="B46" s="44" t="inlineStr">
        <is>
          <t>FY25_Q1</t>
        </is>
      </c>
      <c r="C46" s="44" t="inlineStr">
        <is>
          <t>T-6 to T+2</t>
        </is>
      </c>
      <c r="D46" s="44" t="n">
        <v>6</v>
      </c>
      <c r="E46" s="44" t="n">
        <v>2</v>
      </c>
      <c r="F46" s="51" t="inlineStr">
        <is>
          <t>LONG</t>
        </is>
      </c>
      <c r="G46" s="100" t="n">
        <v>83.11</v>
      </c>
      <c r="H46" s="54" t="n">
        <v>78.95</v>
      </c>
      <c r="I46" s="44" t="n">
        <v>41.55</v>
      </c>
      <c r="J46" s="101" t="n">
        <v>104825.08</v>
      </c>
      <c r="K46" s="101" t="n">
        <v>94342.57000000001</v>
      </c>
      <c r="L46" s="44" t="n">
        <v>625</v>
      </c>
      <c r="M46" s="46" t="inlineStr">
        <is>
          <t>Pre-Quarterly Run-up (LON</t>
        </is>
      </c>
      <c r="N46" s="100" t="inlineStr">
        <is>
          <t>BUY</t>
        </is>
      </c>
    </row>
    <row r="47" ht="20" customHeight="1">
      <c r="A47" s="46" t="inlineStr">
        <is>
          <t>FY 2023-24 Q4 Results</t>
        </is>
      </c>
      <c r="B47" s="44" t="inlineStr">
        <is>
          <t>FY24_Q4</t>
        </is>
      </c>
      <c r="C47" s="44" t="inlineStr">
        <is>
          <t>T-2 to T+4</t>
        </is>
      </c>
      <c r="D47" s="44" t="n">
        <v>2</v>
      </c>
      <c r="E47" s="44" t="n">
        <v>4</v>
      </c>
      <c r="F47" s="51" t="inlineStr">
        <is>
          <t>LONG</t>
        </is>
      </c>
      <c r="G47" s="100" t="n">
        <v>82.55</v>
      </c>
      <c r="H47" s="54" t="n">
        <v>78.42</v>
      </c>
      <c r="I47" s="44" t="n">
        <v>41.27</v>
      </c>
      <c r="J47" s="101" t="n">
        <v>73727.98</v>
      </c>
      <c r="K47" s="101" t="n">
        <v>66355.17999999999</v>
      </c>
      <c r="L47" s="44" t="n">
        <v>625</v>
      </c>
      <c r="M47" s="46" t="inlineStr">
        <is>
          <t>Pre-Quarterly Run-up (LON</t>
        </is>
      </c>
      <c r="N47" s="100" t="inlineStr">
        <is>
          <t>BUY</t>
        </is>
      </c>
    </row>
    <row r="48" ht="20" customHeight="1">
      <c r="A48" s="46" t="inlineStr">
        <is>
          <t>FY 2023-24 Q3 Results</t>
        </is>
      </c>
      <c r="B48" s="44" t="inlineStr">
        <is>
          <t>FY24_Q3</t>
        </is>
      </c>
      <c r="C48" s="44" t="inlineStr">
        <is>
          <t>T-5 to T+2</t>
        </is>
      </c>
      <c r="D48" s="44" t="n">
        <v>5</v>
      </c>
      <c r="E48" s="44" t="n">
        <v>2</v>
      </c>
      <c r="F48" s="51" t="inlineStr">
        <is>
          <t>LONG</t>
        </is>
      </c>
      <c r="G48" s="100" t="n">
        <v>84.3</v>
      </c>
      <c r="H48" s="54" t="n">
        <v>80.08</v>
      </c>
      <c r="I48" s="44" t="n">
        <v>42.15</v>
      </c>
      <c r="J48" s="101" t="n">
        <v>77688.25</v>
      </c>
      <c r="K48" s="101" t="n">
        <v>69919.42999999999</v>
      </c>
      <c r="L48" s="44" t="n">
        <v>625</v>
      </c>
      <c r="M48" s="46" t="inlineStr">
        <is>
          <t>Pre-Quarterly Run-up (LON</t>
        </is>
      </c>
      <c r="N48" s="100" t="inlineStr">
        <is>
          <t>BUY</t>
        </is>
      </c>
    </row>
    <row r="49" ht="20" customHeight="1">
      <c r="A49" s="46" t="inlineStr">
        <is>
          <t>FY 2023-24 Q2 Results</t>
        </is>
      </c>
      <c r="B49" s="44" t="inlineStr">
        <is>
          <t>FY24_Q2</t>
        </is>
      </c>
      <c r="C49" s="44" t="inlineStr">
        <is>
          <t>T-2 to T+5</t>
        </is>
      </c>
      <c r="D49" s="44" t="n">
        <v>2</v>
      </c>
      <c r="E49" s="44" t="n">
        <v>5</v>
      </c>
      <c r="F49" s="51" t="inlineStr">
        <is>
          <t>LONG</t>
        </is>
      </c>
      <c r="G49" s="100" t="n">
        <v>76.84999999999999</v>
      </c>
      <c r="H49" s="100" t="n">
        <v>73.01000000000001</v>
      </c>
      <c r="I49" s="44" t="n">
        <v>38.42</v>
      </c>
      <c r="J49" s="101" t="n">
        <v>113324.45</v>
      </c>
      <c r="K49" s="101" t="n">
        <v>101992.01</v>
      </c>
      <c r="L49" s="44" t="n">
        <v>625</v>
      </c>
      <c r="M49" s="46" t="inlineStr">
        <is>
          <t>Pre-Quarterly Run-up (LON</t>
        </is>
      </c>
      <c r="N49" s="100" t="inlineStr">
        <is>
          <t>BUY</t>
        </is>
      </c>
    </row>
    <row r="50" ht="20" customHeight="1">
      <c r="A50" s="46" t="inlineStr">
        <is>
          <t>FY 2023-24 Q1 Results</t>
        </is>
      </c>
      <c r="B50" s="44" t="inlineStr">
        <is>
          <t>FY24_Q1</t>
        </is>
      </c>
      <c r="C50" s="44" t="inlineStr">
        <is>
          <t>T-3 to T+3</t>
        </is>
      </c>
      <c r="D50" s="44" t="n">
        <v>3</v>
      </c>
      <c r="E50" s="44" t="n">
        <v>3</v>
      </c>
      <c r="F50" s="51" t="inlineStr">
        <is>
          <t>LONG</t>
        </is>
      </c>
      <c r="G50" s="100" t="n">
        <v>74.37</v>
      </c>
      <c r="H50" s="100" t="n">
        <v>70.65000000000001</v>
      </c>
      <c r="I50" s="44" t="n">
        <v>37.19</v>
      </c>
      <c r="J50" s="101" t="n">
        <v>158013.94</v>
      </c>
      <c r="K50" s="101" t="n">
        <v>142212.55</v>
      </c>
      <c r="L50" s="44" t="n">
        <v>625</v>
      </c>
      <c r="M50" s="46" t="inlineStr">
        <is>
          <t>Pre-Quarterly Run-up (LON</t>
        </is>
      </c>
      <c r="N50" s="100" t="inlineStr">
        <is>
          <t>BUY</t>
        </is>
      </c>
    </row>
    <row r="51" ht="20" customHeight="1">
      <c r="A51" s="102" t="inlineStr">
        <is>
          <t>FY 2022-23 Q4 Results</t>
        </is>
      </c>
      <c r="B51" s="103" t="inlineStr">
        <is>
          <t>FY23_Q4</t>
        </is>
      </c>
      <c r="C51" s="103" t="inlineStr">
        <is>
          <t>T-4 to T+3</t>
        </is>
      </c>
      <c r="D51" s="103" t="n">
        <v>4</v>
      </c>
      <c r="E51" s="103" t="n">
        <v>3</v>
      </c>
      <c r="F51" s="104" t="inlineStr">
        <is>
          <t>LONG</t>
        </is>
      </c>
      <c r="G51" s="104" t="n">
        <v>85.42</v>
      </c>
      <c r="H51" s="105" t="n">
        <v>81.15000000000001</v>
      </c>
      <c r="I51" s="103" t="n">
        <v>42.71</v>
      </c>
      <c r="J51" s="106" t="n">
        <v>126253.43</v>
      </c>
      <c r="K51" s="106" t="n">
        <v>113628.09</v>
      </c>
      <c r="L51" s="103" t="n">
        <v>625</v>
      </c>
      <c r="M51" s="102" t="inlineStr">
        <is>
          <t>Pre-Quarterly Run-up (LON</t>
        </is>
      </c>
      <c r="N51" s="104" t="inlineStr">
        <is>
          <t>STRONG</t>
        </is>
      </c>
    </row>
    <row r="52" ht="20" customHeight="1">
      <c r="A52" s="46" t="inlineStr">
        <is>
          <t>FY 2022-23 Q3 Results</t>
        </is>
      </c>
      <c r="B52" s="44" t="inlineStr">
        <is>
          <t>FY23_Q3</t>
        </is>
      </c>
      <c r="C52" s="44" t="inlineStr">
        <is>
          <t>T-5 to T+4</t>
        </is>
      </c>
      <c r="D52" s="44" t="n">
        <v>5</v>
      </c>
      <c r="E52" s="44" t="n">
        <v>4</v>
      </c>
      <c r="F52" s="51" t="inlineStr">
        <is>
          <t>LONG</t>
        </is>
      </c>
      <c r="G52" s="100" t="n">
        <v>80.3</v>
      </c>
      <c r="H52" s="54" t="n">
        <v>76.28</v>
      </c>
      <c r="I52" s="44" t="n">
        <v>40.15</v>
      </c>
      <c r="J52" s="101" t="n">
        <v>135623.19</v>
      </c>
      <c r="K52" s="101" t="n">
        <v>122060.87</v>
      </c>
      <c r="L52" s="44" t="n">
        <v>625</v>
      </c>
      <c r="M52" s="46" t="inlineStr">
        <is>
          <t>Pre-Quarterly Run-up (LON</t>
        </is>
      </c>
      <c r="N52" s="100" t="inlineStr">
        <is>
          <t>BUY</t>
        </is>
      </c>
    </row>
    <row r="53" ht="20" customHeight="1">
      <c r="A53" s="46" t="inlineStr">
        <is>
          <t>FY 2022-23 Q2 Results</t>
        </is>
      </c>
      <c r="B53" s="44" t="inlineStr">
        <is>
          <t>FY23_Q2</t>
        </is>
      </c>
      <c r="C53" s="44" t="inlineStr">
        <is>
          <t>T-6 to T+3</t>
        </is>
      </c>
      <c r="D53" s="44" t="n">
        <v>6</v>
      </c>
      <c r="E53" s="44" t="n">
        <v>3</v>
      </c>
      <c r="F53" s="51" t="inlineStr">
        <is>
          <t>LONG</t>
        </is>
      </c>
      <c r="G53" s="100" t="n">
        <v>72.56999999999999</v>
      </c>
      <c r="H53" s="100" t="n">
        <v>68.94</v>
      </c>
      <c r="I53" s="44" t="n">
        <v>36.29</v>
      </c>
      <c r="J53" s="101" t="n">
        <v>37795.82</v>
      </c>
      <c r="K53" s="101" t="n">
        <v>34016.24</v>
      </c>
      <c r="L53" s="44" t="n">
        <v>625</v>
      </c>
      <c r="M53" s="46" t="inlineStr">
        <is>
          <t>Pre-Quarterly Run-up (LON</t>
        </is>
      </c>
      <c r="N53" s="100" t="inlineStr">
        <is>
          <t>BUY</t>
        </is>
      </c>
    </row>
  </sheetData>
  <mergeCells count="71">
    <mergeCell ref="A25:C25"/>
    <mergeCell ref="D11:F11"/>
    <mergeCell ref="G12:N12"/>
    <mergeCell ref="D27:F27"/>
    <mergeCell ref="D13:F13"/>
    <mergeCell ref="D32:F32"/>
    <mergeCell ref="G11:N11"/>
    <mergeCell ref="A4:G4"/>
    <mergeCell ref="G22:N22"/>
    <mergeCell ref="A20:G20"/>
    <mergeCell ref="A27:C27"/>
    <mergeCell ref="D17:F17"/>
    <mergeCell ref="A21:C21"/>
    <mergeCell ref="G27:N27"/>
    <mergeCell ref="A12:C12"/>
    <mergeCell ref="D7:F7"/>
    <mergeCell ref="A26:C26"/>
    <mergeCell ref="D16:F16"/>
    <mergeCell ref="G23:N23"/>
    <mergeCell ref="A1:N1"/>
    <mergeCell ref="G8:N8"/>
    <mergeCell ref="D28:F28"/>
    <mergeCell ref="A5:C5"/>
    <mergeCell ref="G7:N7"/>
    <mergeCell ref="A23:C23"/>
    <mergeCell ref="A32:C32"/>
    <mergeCell ref="A8:C8"/>
    <mergeCell ref="A14:C14"/>
    <mergeCell ref="A22:C22"/>
    <mergeCell ref="D12:F12"/>
    <mergeCell ref="A17:C17"/>
    <mergeCell ref="D9:F9"/>
    <mergeCell ref="G10:N10"/>
    <mergeCell ref="G28:N28"/>
    <mergeCell ref="G6:N6"/>
    <mergeCell ref="G13:N13"/>
    <mergeCell ref="D8:F8"/>
    <mergeCell ref="D25:F25"/>
    <mergeCell ref="D15:F15"/>
    <mergeCell ref="A29:C29"/>
    <mergeCell ref="D30:F30"/>
    <mergeCell ref="D24:F24"/>
    <mergeCell ref="A10:C10"/>
    <mergeCell ref="A28:C28"/>
    <mergeCell ref="A13:C13"/>
    <mergeCell ref="D14:F14"/>
    <mergeCell ref="D29:F29"/>
    <mergeCell ref="D5:F5"/>
    <mergeCell ref="D23:F23"/>
    <mergeCell ref="A31:C31"/>
    <mergeCell ref="A2:N2"/>
    <mergeCell ref="G24:N24"/>
    <mergeCell ref="A9:C9"/>
    <mergeCell ref="D26:F26"/>
    <mergeCell ref="A30:C30"/>
    <mergeCell ref="G5:N5"/>
    <mergeCell ref="A15:C15"/>
    <mergeCell ref="A24:C24"/>
    <mergeCell ref="D10:F10"/>
    <mergeCell ref="G26:N26"/>
    <mergeCell ref="A11:C11"/>
    <mergeCell ref="A35:N35"/>
    <mergeCell ref="D31:F31"/>
    <mergeCell ref="A6:C6"/>
    <mergeCell ref="D22:F22"/>
    <mergeCell ref="D6:F6"/>
    <mergeCell ref="G16:N16"/>
    <mergeCell ref="D21:F21"/>
    <mergeCell ref="A7:C7"/>
    <mergeCell ref="G9:N9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4" customWidth="1" min="3" max="3"/>
    <col width="7" customWidth="1" min="4" max="4"/>
    <col width="7" customWidth="1" min="5" max="5"/>
    <col width="10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7" customWidth="1" min="12" max="12"/>
    <col width="26" customWidth="1" min="13" max="13"/>
    <col width="12" customWidth="1" min="14" max="14"/>
  </cols>
  <sheetData>
    <row r="1" ht="34" customHeight="1">
      <c r="A1" s="116" t="inlineStr">
        <is>
          <t>ULTRACEMCO  ?  UltraTech Cement Ltd  |  Q3 FY 2026-27 (Jul - Sep 2026)  |  Direction: LONG  |  Entry: BUY FUTURES (LONG)  |  Exit: SELL FUTURES</t>
        </is>
      </c>
    </row>
    <row r="2" ht="30" customHeight="1">
      <c r="A2" s="69" t="inlineStr">
        <is>
          <t xml:space="preserve">  TRADE DIRECTION:  LONG  |  ON ENTRY (14-Oct-2026) ? BUY FUTURES (LONG)  |  ON EXIT (20-Oct-2026) ? SELL FUTURES  |  OPTION ALTERNATIVE: BUY CALL OPTION (1% ITM, 30% SL)</t>
        </is>
      </c>
    </row>
    <row r="4" ht="26" customHeight="1">
      <c r="A4" s="6" t="inlineStr">
        <is>
          <t>A. POSITION TAKING WINDOW</t>
        </is>
      </c>
    </row>
    <row r="5" ht="24" customHeight="1">
      <c r="A5" s="70" t="inlineStr">
        <is>
          <t>Trade Direction</t>
        </is>
      </c>
      <c r="B5" s="71" t="n"/>
      <c r="C5" s="72" t="n"/>
      <c r="D5" s="73" t="inlineStr">
        <is>
          <t>LONG</t>
        </is>
      </c>
      <c r="E5" s="71" t="n"/>
      <c r="F5" s="72" t="n"/>
      <c r="G5" s="74" t="inlineStr">
        <is>
          <t>LONG = Buy to Open. SHORT = Sell to Open.</t>
        </is>
      </c>
      <c r="H5" s="71" t="n"/>
      <c r="I5" s="71" t="n"/>
      <c r="J5" s="71" t="n"/>
      <c r="K5" s="71" t="n"/>
      <c r="L5" s="71" t="n"/>
      <c r="M5" s="71" t="n"/>
      <c r="N5" s="72" t="n"/>
    </row>
    <row r="6" ht="24" customHeight="1">
      <c r="A6" s="75" t="inlineStr">
        <is>
          <t>Entry Action (Futures)</t>
        </is>
      </c>
      <c r="B6" s="71" t="n"/>
      <c r="C6" s="72" t="n"/>
      <c r="D6" s="76" t="inlineStr">
        <is>
          <t>BUY FUTURES (LONG)</t>
        </is>
      </c>
      <c r="E6" s="71" t="n"/>
      <c r="F6" s="72" t="n"/>
      <c r="G6" s="74" t="inlineStr">
        <is>
          <t>Execute this trade on Entry Date</t>
        </is>
      </c>
      <c r="H6" s="71" t="n"/>
      <c r="I6" s="71" t="n"/>
      <c r="J6" s="71" t="n"/>
      <c r="K6" s="71" t="n"/>
      <c r="L6" s="71" t="n"/>
      <c r="M6" s="71" t="n"/>
      <c r="N6" s="72" t="n"/>
    </row>
    <row r="7" ht="24" customHeight="1">
      <c r="A7" s="75" t="inlineStr">
        <is>
          <t>Exit Action (Futures)</t>
        </is>
      </c>
      <c r="B7" s="71" t="n"/>
      <c r="C7" s="72" t="n"/>
      <c r="D7" s="77" t="inlineStr">
        <is>
          <t>SELL FUTURES (Square Off)</t>
        </is>
      </c>
      <c r="E7" s="71" t="n"/>
      <c r="F7" s="72" t="n"/>
      <c r="G7" s="74" t="inlineStr">
        <is>
          <t>Execute this trade on Exit Date</t>
        </is>
      </c>
      <c r="H7" s="71" t="n"/>
      <c r="I7" s="71" t="n"/>
      <c r="J7" s="71" t="n"/>
      <c r="K7" s="71" t="n"/>
      <c r="L7" s="71" t="n"/>
      <c r="M7" s="71" t="n"/>
      <c r="N7" s="72" t="n"/>
    </row>
    <row r="8" ht="24" customHeight="1">
      <c r="A8" s="75" t="inlineStr">
        <is>
          <t>Option Alternative</t>
        </is>
      </c>
      <c r="B8" s="71" t="n"/>
      <c r="C8" s="72" t="n"/>
      <c r="D8" s="78" t="inlineStr">
        <is>
          <t>BUY CALL OPTION ? 1% ITM, SL = 30%</t>
        </is>
      </c>
      <c r="E8" s="71" t="n"/>
      <c r="F8" s="72" t="n"/>
      <c r="G8" s="74" t="inlineStr">
        <is>
          <t>Use options if futures margin is high</t>
        </is>
      </c>
      <c r="H8" s="71" t="n"/>
      <c r="I8" s="71" t="n"/>
      <c r="J8" s="71" t="n"/>
      <c r="K8" s="71" t="n"/>
      <c r="L8" s="71" t="n"/>
      <c r="M8" s="71" t="n"/>
      <c r="N8" s="72" t="n"/>
    </row>
    <row r="9" ht="24" customHeight="1">
      <c r="A9" s="75" t="inlineStr">
        <is>
          <t>NSE Result Date (T)</t>
        </is>
      </c>
      <c r="B9" s="71" t="n"/>
      <c r="C9" s="72" t="n"/>
      <c r="D9" s="79" t="inlineStr">
        <is>
          <t>19-Oct-2026 (Monday)</t>
        </is>
      </c>
      <c r="E9" s="71" t="n"/>
      <c r="F9" s="72" t="n"/>
      <c r="G9" s="74" t="inlineStr">
        <is>
          <t>Exact NSE official date. No shift applied.</t>
        </is>
      </c>
      <c r="H9" s="71" t="n"/>
      <c r="I9" s="71" t="n"/>
      <c r="J9" s="71" t="n"/>
      <c r="K9" s="71" t="n"/>
      <c r="L9" s="71" t="n"/>
      <c r="M9" s="71" t="n"/>
      <c r="N9" s="72" t="n"/>
    </row>
    <row r="10" ht="24" customHeight="1">
      <c r="A10" s="75" t="inlineStr">
        <is>
          <t>T Day Status</t>
        </is>
      </c>
      <c r="B10" s="71" t="n"/>
      <c r="C10" s="72" t="n"/>
      <c r="D10" s="80" t="inlineStr">
        <is>
          <t>Trading Day</t>
        </is>
      </c>
      <c r="E10" s="71" t="n"/>
      <c r="F10" s="72" t="n"/>
      <c r="G10" s="74" t="inlineStr">
        <is>
          <t>T is a regular trading day.</t>
        </is>
      </c>
      <c r="H10" s="71" t="n"/>
      <c r="I10" s="71" t="n"/>
      <c r="J10" s="71" t="n"/>
      <c r="K10" s="71" t="n"/>
      <c r="L10" s="71" t="n"/>
      <c r="M10" s="71" t="n"/>
      <c r="N10" s="72" t="n"/>
    </row>
    <row r="11" ht="24" customHeight="1">
      <c r="A11" s="75" t="inlineStr">
        <is>
          <t>Model Window (from dataset)</t>
        </is>
      </c>
      <c r="B11" s="71" t="n"/>
      <c r="C11" s="72" t="n"/>
      <c r="D11" s="81" t="inlineStr">
        <is>
          <t>T-3 to T+1</t>
        </is>
      </c>
      <c r="E11" s="71" t="n"/>
      <c r="F11" s="72" t="n"/>
      <c r="G11" s="74" t="inlineStr">
        <is>
          <t>Read directly from quarters_dataset.json (FY27_Q2)</t>
        </is>
      </c>
      <c r="H11" s="71" t="n"/>
      <c r="I11" s="71" t="n"/>
      <c r="J11" s="71" t="n"/>
      <c r="K11" s="71" t="n"/>
      <c r="L11" s="71" t="n"/>
      <c r="M11" s="71" t="n"/>
      <c r="N11" s="72" t="n"/>
    </row>
    <row r="12" ht="24" customHeight="1">
      <c r="A12" s="75" t="inlineStr">
        <is>
          <t>Lead n = 3 trading days</t>
        </is>
      </c>
      <c r="B12" s="71" t="n"/>
      <c r="C12" s="72" t="n"/>
      <c r="D12" s="80" t="inlineStr">
        <is>
          <t>14-Oct-2026 (Wednesday)</t>
        </is>
      </c>
      <c r="E12" s="71" t="n"/>
      <c r="F12" s="72" t="n"/>
      <c r="G12" s="74" t="inlineStr">
        <is>
          <t>ENTRY DATE: Count 3 trad days BACKWARD from T</t>
        </is>
      </c>
      <c r="H12" s="71" t="n"/>
      <c r="I12" s="71" t="n"/>
      <c r="J12" s="71" t="n"/>
      <c r="K12" s="71" t="n"/>
      <c r="L12" s="71" t="n"/>
      <c r="M12" s="71" t="n"/>
      <c r="N12" s="72" t="n"/>
    </row>
    <row r="13" ht="24" customHeight="1">
      <c r="A13" s="75" t="inlineStr">
        <is>
          <t>Hold m = 1 trading days</t>
        </is>
      </c>
      <c r="B13" s="71" t="n"/>
      <c r="C13" s="72" t="n"/>
      <c r="D13" s="78" t="inlineStr">
        <is>
          <t>20-Oct-2026 (Tuesday)</t>
        </is>
      </c>
      <c r="E13" s="71" t="n"/>
      <c r="F13" s="72" t="n"/>
      <c r="G13" s="74" t="inlineStr">
        <is>
          <t>EXIT DATE:  Count 1 trad days FORWARD from T</t>
        </is>
      </c>
      <c r="H13" s="71" t="n"/>
      <c r="I13" s="71" t="n"/>
      <c r="J13" s="71" t="n"/>
      <c r="K13" s="71" t="n"/>
      <c r="L13" s="71" t="n"/>
      <c r="M13" s="71" t="n"/>
      <c r="N13" s="72" t="n"/>
    </row>
    <row r="14" ht="24" customHeight="1">
      <c r="A14" s="75" t="inlineStr">
        <is>
          <t>Days to Entry (from today)</t>
        </is>
      </c>
      <c r="B14" s="71" t="n"/>
      <c r="C14" s="72" t="n"/>
      <c r="D14" s="82" t="inlineStr">
        <is>
          <t>23 days  ?  Enter: 14-Oct-2026</t>
        </is>
      </c>
      <c r="E14" s="71" t="n"/>
      <c r="F14" s="72" t="n"/>
    </row>
    <row r="15" ht="24" customHeight="1">
      <c r="A15" s="75" t="inlineStr">
        <is>
          <t>Lot Size</t>
        </is>
      </c>
      <c r="B15" s="71" t="n"/>
      <c r="C15" s="72" t="n"/>
      <c r="D15" s="83" t="inlineStr">
        <is>
          <t>100</t>
        </is>
      </c>
      <c r="E15" s="71" t="n"/>
      <c r="F15" s="72" t="n"/>
    </row>
    <row r="16" ht="24" customHeight="1">
      <c r="A16" s="75" t="inlineStr">
        <is>
          <t>Margin Required (20% SPAN)</t>
        </is>
      </c>
      <c r="B16" s="71" t="n"/>
      <c r="C16" s="72" t="n"/>
      <c r="D16" s="83" t="inlineStr">
        <is>
          <t>Rs 49,045</t>
        </is>
      </c>
      <c r="E16" s="71" t="n"/>
      <c r="F16" s="72" t="n"/>
      <c r="G16" s="74" t="inlineStr">
        <is>
          <t>Approximate margin per lot</t>
        </is>
      </c>
      <c r="H16" s="71" t="n"/>
      <c r="I16" s="71" t="n"/>
      <c r="J16" s="71" t="n"/>
      <c r="K16" s="71" t="n"/>
      <c r="L16" s="71" t="n"/>
      <c r="M16" s="71" t="n"/>
      <c r="N16" s="72" t="n"/>
    </row>
    <row r="17" ht="24" customHeight="1">
      <c r="A17" s="75" t="inlineStr">
        <is>
          <t>Strategy</t>
        </is>
      </c>
      <c r="B17" s="71" t="n"/>
      <c r="C17" s="72" t="n"/>
      <c r="D17" s="84" t="inlineStr">
        <is>
          <t>Pre-Quarterly Run-up (LONG)</t>
        </is>
      </c>
      <c r="E17" s="71" t="n"/>
      <c r="F17" s="72" t="n"/>
    </row>
    <row r="20" ht="26" customHeight="1">
      <c r="A20" s="7" t="inlineStr">
        <is>
          <t>B. EXPECTED RETURNS  (Model Estimates ? Q3 FY 2026-27)</t>
        </is>
      </c>
    </row>
    <row r="21" ht="24" customHeight="1">
      <c r="A21" s="85">
        <f>== EXPECTED (Q-Win Rate Model) ===</f>
        <v/>
      </c>
      <c r="B21" s="71" t="n"/>
      <c r="C21" s="72" t="n"/>
      <c r="D21" s="86" t="inlineStr"/>
      <c r="E21" s="71" t="n"/>
      <c r="F21" s="72" t="n"/>
    </row>
    <row r="22" ht="22" customHeight="1">
      <c r="A22" s="89" t="inlineStr">
        <is>
          <t>Q-Win Rate %</t>
        </is>
      </c>
      <c r="B22" s="71" t="n"/>
      <c r="C22" s="72" t="n"/>
      <c r="D22" s="76" t="inlineStr">
        <is>
          <t>81.35%</t>
        </is>
      </c>
      <c r="E22" s="71" t="n"/>
      <c r="F22" s="72" t="n"/>
      <c r="G22" s="74" t="inlineStr">
        <is>
          <t>Win probability for Q3 trade</t>
        </is>
      </c>
      <c r="H22" s="71" t="n"/>
      <c r="I22" s="71" t="n"/>
      <c r="J22" s="71" t="n"/>
      <c r="K22" s="71" t="n"/>
      <c r="L22" s="71" t="n"/>
      <c r="M22" s="71" t="n"/>
      <c r="N22" s="72" t="n"/>
    </row>
    <row r="23" ht="22" customHeight="1">
      <c r="A23" s="89" t="inlineStr">
        <is>
          <t>Expected ROC %</t>
        </is>
      </c>
      <c r="B23" s="71" t="n"/>
      <c r="C23" s="72" t="n"/>
      <c r="D23" s="76" t="inlineStr">
        <is>
          <t>40.68%</t>
        </is>
      </c>
      <c r="E23" s="71" t="n"/>
      <c r="F23" s="72" t="n"/>
      <c r="G23" s="74" t="inlineStr">
        <is>
          <t>Return on margin Rs 49,045</t>
        </is>
      </c>
      <c r="H23" s="71" t="n"/>
      <c r="I23" s="71" t="n"/>
      <c r="J23" s="71" t="n"/>
      <c r="K23" s="71" t="n"/>
      <c r="L23" s="71" t="n"/>
      <c r="M23" s="71" t="n"/>
      <c r="N23" s="72" t="n"/>
    </row>
    <row r="24" ht="22" customHeight="1">
      <c r="A24" s="89" t="inlineStr">
        <is>
          <t>Expected PnL ?</t>
        </is>
      </c>
      <c r="B24" s="71" t="n"/>
      <c r="C24" s="72" t="n"/>
      <c r="D24" s="76" t="inlineStr">
        <is>
          <t>Rs 19,949.22</t>
        </is>
      </c>
      <c r="E24" s="71" t="n"/>
      <c r="F24" s="72" t="n"/>
      <c r="G24" s="74" t="inlineStr">
        <is>
          <t>Estimated profit per 1 lot (100 qty)</t>
        </is>
      </c>
      <c r="H24" s="71" t="n"/>
      <c r="I24" s="71" t="n"/>
      <c r="J24" s="71" t="n"/>
      <c r="K24" s="71" t="n"/>
      <c r="L24" s="71" t="n"/>
      <c r="M24" s="71" t="n"/>
      <c r="N24" s="72" t="n"/>
    </row>
    <row r="25" ht="24" customHeight="1">
      <c r="A25" s="85">
        <f>== HISTORICAL (H-Win Rate ? Conservative) ===</f>
        <v/>
      </c>
      <c r="B25" s="71" t="n"/>
      <c r="C25" s="72" t="n"/>
      <c r="D25" s="86" t="inlineStr"/>
      <c r="E25" s="71" t="n"/>
      <c r="F25" s="72" t="n"/>
    </row>
    <row r="26" ht="22" customHeight="1">
      <c r="A26" s="90" t="inlineStr">
        <is>
          <t>H-Win Rate %</t>
        </is>
      </c>
      <c r="B26" s="71" t="n"/>
      <c r="C26" s="72" t="n"/>
      <c r="D26" s="91" t="inlineStr">
        <is>
          <t>77.28%</t>
        </is>
      </c>
      <c r="E26" s="71" t="n"/>
      <c r="F26" s="72" t="n"/>
      <c r="G26" s="74" t="inlineStr">
        <is>
          <t>Conservative win rate from longer history</t>
        </is>
      </c>
      <c r="H26" s="71" t="n"/>
      <c r="I26" s="71" t="n"/>
      <c r="J26" s="71" t="n"/>
      <c r="K26" s="71" t="n"/>
      <c r="L26" s="71" t="n"/>
      <c r="M26" s="71" t="n"/>
      <c r="N26" s="72" t="n"/>
    </row>
    <row r="27" ht="22" customHeight="1">
      <c r="A27" s="90" t="inlineStr">
        <is>
          <t>H-Expected ROC %</t>
        </is>
      </c>
      <c r="B27" s="71" t="n"/>
      <c r="C27" s="72" t="n"/>
      <c r="D27" s="91" t="inlineStr">
        <is>
          <t>36.61%</t>
        </is>
      </c>
      <c r="E27" s="71" t="n"/>
      <c r="F27" s="72" t="n"/>
      <c r="G27" s="74" t="inlineStr">
        <is>
          <t>Conservative ROC using H-Win rate</t>
        </is>
      </c>
      <c r="H27" s="71" t="n"/>
      <c r="I27" s="71" t="n"/>
      <c r="J27" s="71" t="n"/>
      <c r="K27" s="71" t="n"/>
      <c r="L27" s="71" t="n"/>
      <c r="M27" s="71" t="n"/>
      <c r="N27" s="72" t="n"/>
    </row>
    <row r="28" ht="22" customHeight="1">
      <c r="A28" s="90" t="inlineStr">
        <is>
          <t>H-Expected PnL ?</t>
        </is>
      </c>
      <c r="B28" s="71" t="n"/>
      <c r="C28" s="72" t="n"/>
      <c r="D28" s="91" t="inlineStr">
        <is>
          <t>Rs 17,954.30</t>
        </is>
      </c>
      <c r="E28" s="71" t="n"/>
      <c r="F28" s="72" t="n"/>
      <c r="G28" s="74" t="inlineStr">
        <is>
          <t>Conservative PnL estimate</t>
        </is>
      </c>
      <c r="H28" s="71" t="n"/>
      <c r="I28" s="71" t="n"/>
      <c r="J28" s="71" t="n"/>
      <c r="K28" s="71" t="n"/>
      <c r="L28" s="71" t="n"/>
      <c r="M28" s="71" t="n"/>
      <c r="N28" s="72" t="n"/>
    </row>
    <row r="29" ht="24" customHeight="1">
      <c r="A29" s="85">
        <f>== AVERAGES (17 Quarters) ===</f>
        <v/>
      </c>
      <c r="B29" s="71" t="n"/>
      <c r="C29" s="72" t="n"/>
      <c r="D29" s="86" t="inlineStr"/>
      <c r="E29" s="71" t="n"/>
      <c r="F29" s="72" t="n"/>
    </row>
    <row r="30" ht="22" customHeight="1">
      <c r="A30" s="89" t="inlineStr">
        <is>
          <t>Avg Win Rate (All 17Q)</t>
        </is>
      </c>
      <c r="B30" s="71" t="n"/>
      <c r="C30" s="72" t="n"/>
      <c r="D30" s="76" t="inlineStr">
        <is>
          <t>82.2%</t>
        </is>
      </c>
      <c r="E30" s="71" t="n"/>
      <c r="F30" s="72" t="n"/>
    </row>
    <row r="31" ht="22" customHeight="1">
      <c r="A31" s="87" t="inlineStr">
        <is>
          <t>Avg Win Rate (Last 4Q)</t>
        </is>
      </c>
      <c r="B31" s="71" t="n"/>
      <c r="C31" s="72" t="n"/>
      <c r="D31" s="88" t="inlineStr">
        <is>
          <t>78.7%</t>
        </is>
      </c>
      <c r="E31" s="71" t="n"/>
      <c r="F31" s="72" t="n"/>
    </row>
    <row r="32" ht="22" customHeight="1">
      <c r="A32" s="87" t="inlineStr">
        <is>
          <t>Avg Est PnL (All 17Q)</t>
        </is>
      </c>
      <c r="B32" s="71" t="n"/>
      <c r="C32" s="72" t="n"/>
      <c r="D32" s="92" t="inlineStr">
        <is>
          <t>Rs 14,443</t>
        </is>
      </c>
      <c r="E32" s="71" t="n"/>
      <c r="F32" s="72" t="n"/>
    </row>
    <row r="35" ht="26" customHeight="1">
      <c r="A35" s="117" t="inlineStr">
        <is>
          <t>ULTRACEMCO  |  17-QUARTER HISTORY  (BLUE=Current Q3 | Green=WR&gt;=85% | Yellow=WR&gt;=70% | Red=WR&lt;70%)</t>
        </is>
      </c>
    </row>
    <row r="36" ht="36" customHeight="1">
      <c r="A36" s="94" t="inlineStr">
        <is>
          <t>Quarter</t>
        </is>
      </c>
      <c r="B36" s="94" t="inlineStr">
        <is>
          <t>Q-Code</t>
        </is>
      </c>
      <c r="C36" s="94" t="inlineStr">
        <is>
          <t>Window</t>
        </is>
      </c>
      <c r="D36" s="94" t="inlineStr">
        <is>
          <t>Lead</t>
        </is>
      </c>
      <c r="E36" s="94" t="inlineStr">
        <is>
          <t>Hold</t>
        </is>
      </c>
      <c r="F36" s="94" t="inlineStr">
        <is>
          <t>Direction</t>
        </is>
      </c>
      <c r="G36" s="13" t="inlineStr">
        <is>
          <t>Q-Win %</t>
        </is>
      </c>
      <c r="H36" s="14" t="inlineStr">
        <is>
          <t>H-Win %</t>
        </is>
      </c>
      <c r="I36" s="13" t="inlineStr">
        <is>
          <t>Q-ROC %</t>
        </is>
      </c>
      <c r="J36" s="13" t="inlineStr">
        <is>
          <t>Exp PnL ?</t>
        </is>
      </c>
      <c r="K36" s="14" t="inlineStr">
        <is>
          <t>H-Est PnL ?</t>
        </is>
      </c>
      <c r="L36" s="94" t="inlineStr">
        <is>
          <t>Lot</t>
        </is>
      </c>
      <c r="M36" s="94" t="inlineStr">
        <is>
          <t>Strategy</t>
        </is>
      </c>
      <c r="N36" s="94" t="inlineStr">
        <is>
          <t>Signal</t>
        </is>
      </c>
    </row>
    <row r="37" ht="20" customHeight="1">
      <c r="A37" s="95" t="inlineStr">
        <is>
          <t>FY 2026-27 Q2 Results &lt;-- CURRENT Q3</t>
        </is>
      </c>
      <c r="B37" s="96" t="inlineStr">
        <is>
          <t>FY27_Q2</t>
        </is>
      </c>
      <c r="C37" s="96" t="inlineStr">
        <is>
          <t>T-3 to T+1</t>
        </is>
      </c>
      <c r="D37" s="96" t="n">
        <v>3</v>
      </c>
      <c r="E37" s="96" t="n">
        <v>1</v>
      </c>
      <c r="F37" s="97" t="inlineStr">
        <is>
          <t>LONG</t>
        </is>
      </c>
      <c r="G37" s="96" t="n">
        <v>81.34999999999999</v>
      </c>
      <c r="H37" s="118" t="n">
        <v>77.28</v>
      </c>
      <c r="I37" s="96" t="n">
        <v>40.68</v>
      </c>
      <c r="J37" s="99" t="n">
        <v>19949.22</v>
      </c>
      <c r="K37" s="99" t="n">
        <v>17954.3</v>
      </c>
      <c r="L37" s="96" t="n">
        <v>100</v>
      </c>
      <c r="M37" s="95" t="inlineStr">
        <is>
          <t>Pre-Quarterly Run-up (LON</t>
        </is>
      </c>
      <c r="N37" s="96" t="inlineStr">
        <is>
          <t>THIS Q3</t>
        </is>
      </c>
    </row>
    <row r="38" ht="20" customHeight="1">
      <c r="A38" s="102" t="inlineStr">
        <is>
          <t>FY 2026-27 Q1 Results</t>
        </is>
      </c>
      <c r="B38" s="103" t="inlineStr">
        <is>
          <t>FY27_Q1</t>
        </is>
      </c>
      <c r="C38" s="103" t="inlineStr">
        <is>
          <t>T-4 to T+1</t>
        </is>
      </c>
      <c r="D38" s="103" t="n">
        <v>4</v>
      </c>
      <c r="E38" s="103" t="n">
        <v>1</v>
      </c>
      <c r="F38" s="104" t="inlineStr">
        <is>
          <t>LONG</t>
        </is>
      </c>
      <c r="G38" s="104" t="n">
        <v>87.87</v>
      </c>
      <c r="H38" s="105" t="n">
        <v>83.48</v>
      </c>
      <c r="I38" s="103" t="n">
        <v>43.94</v>
      </c>
      <c r="J38" s="106" t="n">
        <v>24240.61</v>
      </c>
      <c r="K38" s="106" t="n">
        <v>21816.55</v>
      </c>
      <c r="L38" s="103" t="n">
        <v>100</v>
      </c>
      <c r="M38" s="102" t="inlineStr">
        <is>
          <t>Pre-Quarterly Run-up (LON</t>
        </is>
      </c>
      <c r="N38" s="104" t="inlineStr">
        <is>
          <t>STRONG</t>
        </is>
      </c>
    </row>
    <row r="39" ht="20" customHeight="1">
      <c r="A39" s="107" t="inlineStr">
        <is>
          <t>FY 2025-26 Q4 Results</t>
        </is>
      </c>
      <c r="B39" s="108" t="inlineStr">
        <is>
          <t>FY26_Q4</t>
        </is>
      </c>
      <c r="C39" s="108" t="inlineStr">
        <is>
          <t>T-2 to T+1</t>
        </is>
      </c>
      <c r="D39" s="108" t="n">
        <v>2</v>
      </c>
      <c r="E39" s="108" t="n">
        <v>1</v>
      </c>
      <c r="F39" s="109" t="inlineStr">
        <is>
          <t>LONG</t>
        </is>
      </c>
      <c r="G39" s="110" t="n">
        <v>69.3</v>
      </c>
      <c r="H39" s="111" t="n">
        <v>65.83</v>
      </c>
      <c r="I39" s="108" t="n">
        <v>34.65</v>
      </c>
      <c r="J39" s="112" t="n">
        <v>14123.83</v>
      </c>
      <c r="K39" s="112" t="n">
        <v>12711.45</v>
      </c>
      <c r="L39" s="108" t="n">
        <v>100</v>
      </c>
      <c r="M39" s="107" t="inlineStr">
        <is>
          <t>Pre-Quarterly Run-up (LON</t>
        </is>
      </c>
      <c r="N39" s="110" t="inlineStr">
        <is>
          <t>SKIP</t>
        </is>
      </c>
    </row>
    <row r="40" ht="20" customHeight="1">
      <c r="A40" s="46" t="inlineStr">
        <is>
          <t>FY 2025-26 Q3 Results</t>
        </is>
      </c>
      <c r="B40" s="44" t="inlineStr">
        <is>
          <t>FY26_Q3</t>
        </is>
      </c>
      <c r="C40" s="44" t="inlineStr">
        <is>
          <t>T-3 to T+2</t>
        </is>
      </c>
      <c r="D40" s="44" t="n">
        <v>3</v>
      </c>
      <c r="E40" s="44" t="n">
        <v>2</v>
      </c>
      <c r="F40" s="51" t="inlineStr">
        <is>
          <t>LONG</t>
        </is>
      </c>
      <c r="G40" s="100" t="n">
        <v>76.11</v>
      </c>
      <c r="H40" s="100" t="n">
        <v>72.3</v>
      </c>
      <c r="I40" s="44" t="n">
        <v>38.05</v>
      </c>
      <c r="J40" s="101" t="n">
        <v>7420.72</v>
      </c>
      <c r="K40" s="101" t="n">
        <v>6678.65</v>
      </c>
      <c r="L40" s="44" t="n">
        <v>100</v>
      </c>
      <c r="M40" s="46" t="inlineStr">
        <is>
          <t>Pre-Quarterly Run-up (LON</t>
        </is>
      </c>
      <c r="N40" s="100" t="inlineStr">
        <is>
          <t>BUY</t>
        </is>
      </c>
    </row>
    <row r="41" ht="20" customHeight="1">
      <c r="A41" s="102" t="inlineStr">
        <is>
          <t>FY 2025-26 Q2 Results</t>
        </is>
      </c>
      <c r="B41" s="103" t="inlineStr">
        <is>
          <t>FY26_Q2</t>
        </is>
      </c>
      <c r="C41" s="103" t="inlineStr">
        <is>
          <t>T-4 to T+2</t>
        </is>
      </c>
      <c r="D41" s="103" t="n">
        <v>4</v>
      </c>
      <c r="E41" s="103" t="n">
        <v>2</v>
      </c>
      <c r="F41" s="104" t="inlineStr">
        <is>
          <t>LONG</t>
        </is>
      </c>
      <c r="G41" s="104" t="n">
        <v>86.93000000000001</v>
      </c>
      <c r="H41" s="105" t="n">
        <v>82.58</v>
      </c>
      <c r="I41" s="103" t="n">
        <v>43.46</v>
      </c>
      <c r="J41" s="106" t="n">
        <v>22428.11</v>
      </c>
      <c r="K41" s="106" t="n">
        <v>20185.3</v>
      </c>
      <c r="L41" s="103" t="n">
        <v>100</v>
      </c>
      <c r="M41" s="102" t="inlineStr">
        <is>
          <t>Pre-Quarterly Run-up (LON</t>
        </is>
      </c>
      <c r="N41" s="104" t="inlineStr">
        <is>
          <t>STRONG</t>
        </is>
      </c>
    </row>
    <row r="42" ht="20" customHeight="1">
      <c r="A42" s="102" t="inlineStr">
        <is>
          <t>FY 2025-26 Q1 Results</t>
        </is>
      </c>
      <c r="B42" s="103" t="inlineStr">
        <is>
          <t>FY26_Q1</t>
        </is>
      </c>
      <c r="C42" s="103" t="inlineStr">
        <is>
          <t>T-5 to T+3</t>
        </is>
      </c>
      <c r="D42" s="103" t="n">
        <v>5</v>
      </c>
      <c r="E42" s="103" t="n">
        <v>3</v>
      </c>
      <c r="F42" s="104" t="inlineStr">
        <is>
          <t>LONG</t>
        </is>
      </c>
      <c r="G42" s="104" t="n">
        <v>92.36</v>
      </c>
      <c r="H42" s="105" t="n">
        <v>87.73999999999999</v>
      </c>
      <c r="I42" s="103" t="n">
        <v>46.18</v>
      </c>
      <c r="J42" s="106" t="n">
        <v>3856.31</v>
      </c>
      <c r="K42" s="106" t="n">
        <v>3470.68</v>
      </c>
      <c r="L42" s="103" t="n">
        <v>100</v>
      </c>
      <c r="M42" s="102" t="inlineStr">
        <is>
          <t>Pre-Quarterly Run-up (LON</t>
        </is>
      </c>
      <c r="N42" s="104" t="inlineStr">
        <is>
          <t>STRONG</t>
        </is>
      </c>
    </row>
    <row r="43" ht="20" customHeight="1">
      <c r="A43" s="102" t="inlineStr">
        <is>
          <t>FY 2024-25 Q4 Results</t>
        </is>
      </c>
      <c r="B43" s="103" t="inlineStr">
        <is>
          <t>FY25_Q4</t>
        </is>
      </c>
      <c r="C43" s="103" t="inlineStr">
        <is>
          <t>T-6 to T+4</t>
        </is>
      </c>
      <c r="D43" s="103" t="n">
        <v>6</v>
      </c>
      <c r="E43" s="103" t="n">
        <v>4</v>
      </c>
      <c r="F43" s="104" t="inlineStr">
        <is>
          <t>LONG</t>
        </is>
      </c>
      <c r="G43" s="104" t="n">
        <v>87.68000000000001</v>
      </c>
      <c r="H43" s="105" t="n">
        <v>83.3</v>
      </c>
      <c r="I43" s="103" t="n">
        <v>43.84</v>
      </c>
      <c r="J43" s="106" t="n">
        <v>21996.81</v>
      </c>
      <c r="K43" s="106" t="n">
        <v>19797.13</v>
      </c>
      <c r="L43" s="103" t="n">
        <v>100</v>
      </c>
      <c r="M43" s="102" t="inlineStr">
        <is>
          <t>Pre-Quarterly Run-up (LON</t>
        </is>
      </c>
      <c r="N43" s="104" t="inlineStr">
        <is>
          <t>STRONG</t>
        </is>
      </c>
    </row>
    <row r="44" ht="20" customHeight="1">
      <c r="A44" s="102" t="inlineStr">
        <is>
          <t>FY 2024-25 Q3 Results</t>
        </is>
      </c>
      <c r="B44" s="103" t="inlineStr">
        <is>
          <t>FY25_Q3</t>
        </is>
      </c>
      <c r="C44" s="103" t="inlineStr">
        <is>
          <t>T-7 to T+5</t>
        </is>
      </c>
      <c r="D44" s="103" t="n">
        <v>7</v>
      </c>
      <c r="E44" s="103" t="n">
        <v>5</v>
      </c>
      <c r="F44" s="104" t="inlineStr">
        <is>
          <t>LONG</t>
        </is>
      </c>
      <c r="G44" s="104" t="n">
        <v>91.2</v>
      </c>
      <c r="H44" s="105" t="n">
        <v>86.64</v>
      </c>
      <c r="I44" s="103" t="n">
        <v>45.6</v>
      </c>
      <c r="J44" s="106" t="n">
        <v>4452.57</v>
      </c>
      <c r="K44" s="106" t="n">
        <v>4007.31</v>
      </c>
      <c r="L44" s="103" t="n">
        <v>100</v>
      </c>
      <c r="M44" s="102" t="inlineStr">
        <is>
          <t>Pre-Quarterly Run-up (LON</t>
        </is>
      </c>
      <c r="N44" s="104" t="inlineStr">
        <is>
          <t>STRONG</t>
        </is>
      </c>
    </row>
    <row r="45" ht="20" customHeight="1">
      <c r="A45" s="102" t="inlineStr">
        <is>
          <t>FY 2024-25 Q2 Results</t>
        </is>
      </c>
      <c r="B45" s="103" t="inlineStr">
        <is>
          <t>FY25_Q2</t>
        </is>
      </c>
      <c r="C45" s="103" t="inlineStr">
        <is>
          <t>T-4 to T+5</t>
        </is>
      </c>
      <c r="D45" s="103" t="n">
        <v>4</v>
      </c>
      <c r="E45" s="103" t="n">
        <v>5</v>
      </c>
      <c r="F45" s="104" t="inlineStr">
        <is>
          <t>LONG</t>
        </is>
      </c>
      <c r="G45" s="104" t="n">
        <v>88.08</v>
      </c>
      <c r="H45" s="105" t="n">
        <v>83.68000000000001</v>
      </c>
      <c r="I45" s="103" t="n">
        <v>44.04</v>
      </c>
      <c r="J45" s="106" t="n">
        <v>3528.31</v>
      </c>
      <c r="K45" s="106" t="n">
        <v>3175.48</v>
      </c>
      <c r="L45" s="103" t="n">
        <v>100</v>
      </c>
      <c r="M45" s="102" t="inlineStr">
        <is>
          <t>Pre-Quarterly Run-up (LON</t>
        </is>
      </c>
      <c r="N45" s="104" t="inlineStr">
        <is>
          <t>STRONG</t>
        </is>
      </c>
    </row>
    <row r="46" ht="20" customHeight="1">
      <c r="A46" s="46" t="inlineStr">
        <is>
          <t>FY 2024-25 Q1 Results</t>
        </is>
      </c>
      <c r="B46" s="44" t="inlineStr">
        <is>
          <t>FY25_Q1</t>
        </is>
      </c>
      <c r="C46" s="44" t="inlineStr">
        <is>
          <t>T-5 to T+5</t>
        </is>
      </c>
      <c r="D46" s="44" t="n">
        <v>5</v>
      </c>
      <c r="E46" s="44" t="n">
        <v>5</v>
      </c>
      <c r="F46" s="51" t="inlineStr">
        <is>
          <t>LONG</t>
        </is>
      </c>
      <c r="G46" s="100" t="n">
        <v>72.13</v>
      </c>
      <c r="H46" s="100" t="n">
        <v>68.52</v>
      </c>
      <c r="I46" s="44" t="n">
        <v>36.07</v>
      </c>
      <c r="J46" s="101" t="n">
        <v>22017.83</v>
      </c>
      <c r="K46" s="101" t="n">
        <v>19816.05</v>
      </c>
      <c r="L46" s="44" t="n">
        <v>100</v>
      </c>
      <c r="M46" s="46" t="inlineStr">
        <is>
          <t>Pre-Quarterly Run-up (LON</t>
        </is>
      </c>
      <c r="N46" s="100" t="inlineStr">
        <is>
          <t>BUY</t>
        </is>
      </c>
    </row>
    <row r="47" ht="20" customHeight="1">
      <c r="A47" s="102" t="inlineStr">
        <is>
          <t>FY 2023-24 Q4 Results</t>
        </is>
      </c>
      <c r="B47" s="103" t="inlineStr">
        <is>
          <t>FY24_Q4</t>
        </is>
      </c>
      <c r="C47" s="103" t="inlineStr">
        <is>
          <t>T-3 to T+5</t>
        </is>
      </c>
      <c r="D47" s="103" t="n">
        <v>3</v>
      </c>
      <c r="E47" s="103" t="n">
        <v>5</v>
      </c>
      <c r="F47" s="104" t="inlineStr">
        <is>
          <t>LONG</t>
        </is>
      </c>
      <c r="G47" s="104" t="n">
        <v>89.88</v>
      </c>
      <c r="H47" s="105" t="n">
        <v>85.39</v>
      </c>
      <c r="I47" s="103" t="n">
        <v>44.94</v>
      </c>
      <c r="J47" s="106" t="n">
        <v>14282.74</v>
      </c>
      <c r="K47" s="106" t="n">
        <v>12854.47</v>
      </c>
      <c r="L47" s="103" t="n">
        <v>100</v>
      </c>
      <c r="M47" s="102" t="inlineStr">
        <is>
          <t>Pre-Quarterly Run-up (LON</t>
        </is>
      </c>
      <c r="N47" s="104" t="inlineStr">
        <is>
          <t>STRONG</t>
        </is>
      </c>
    </row>
    <row r="48" ht="20" customHeight="1">
      <c r="A48" s="46" t="inlineStr">
        <is>
          <t>FY 2023-24 Q3 Results</t>
        </is>
      </c>
      <c r="B48" s="44" t="inlineStr">
        <is>
          <t>FY24_Q3</t>
        </is>
      </c>
      <c r="C48" s="44" t="inlineStr">
        <is>
          <t>T-6 to T+2</t>
        </is>
      </c>
      <c r="D48" s="44" t="n">
        <v>6</v>
      </c>
      <c r="E48" s="44" t="n">
        <v>2</v>
      </c>
      <c r="F48" s="51" t="inlineStr">
        <is>
          <t>LONG</t>
        </is>
      </c>
      <c r="G48" s="100" t="n">
        <v>80.04000000000001</v>
      </c>
      <c r="H48" s="54" t="n">
        <v>76.04000000000001</v>
      </c>
      <c r="I48" s="44" t="n">
        <v>40.02</v>
      </c>
      <c r="J48" s="101" t="n">
        <v>25953.13</v>
      </c>
      <c r="K48" s="101" t="n">
        <v>23357.82</v>
      </c>
      <c r="L48" s="44" t="n">
        <v>100</v>
      </c>
      <c r="M48" s="46" t="inlineStr">
        <is>
          <t>Pre-Quarterly Run-up (LON</t>
        </is>
      </c>
      <c r="N48" s="100" t="inlineStr">
        <is>
          <t>BUY</t>
        </is>
      </c>
    </row>
    <row r="49" ht="20" customHeight="1">
      <c r="A49" s="46" t="inlineStr">
        <is>
          <t>FY 2023-24 Q2 Results</t>
        </is>
      </c>
      <c r="B49" s="44" t="inlineStr">
        <is>
          <t>FY24_Q2</t>
        </is>
      </c>
      <c r="C49" s="44" t="inlineStr">
        <is>
          <t>T-2 to T+4</t>
        </is>
      </c>
      <c r="D49" s="44" t="n">
        <v>2</v>
      </c>
      <c r="E49" s="44" t="n">
        <v>4</v>
      </c>
      <c r="F49" s="51" t="inlineStr">
        <is>
          <t>LONG</t>
        </is>
      </c>
      <c r="G49" s="100" t="n">
        <v>70.58</v>
      </c>
      <c r="H49" s="100" t="n">
        <v>67.05</v>
      </c>
      <c r="I49" s="44" t="n">
        <v>35.29</v>
      </c>
      <c r="J49" s="101" t="n">
        <v>4696.96</v>
      </c>
      <c r="K49" s="101" t="n">
        <v>4227.26</v>
      </c>
      <c r="L49" s="44" t="n">
        <v>100</v>
      </c>
      <c r="M49" s="46" t="inlineStr">
        <is>
          <t>Pre-Quarterly Run-up (LON</t>
        </is>
      </c>
      <c r="N49" s="100" t="inlineStr">
        <is>
          <t>BUY</t>
        </is>
      </c>
    </row>
    <row r="50" ht="20" customHeight="1">
      <c r="A50" s="107" t="inlineStr">
        <is>
          <t>FY 2023-24 Q1 Results</t>
        </is>
      </c>
      <c r="B50" s="108" t="inlineStr">
        <is>
          <t>FY24_Q1</t>
        </is>
      </c>
      <c r="C50" s="108" t="inlineStr">
        <is>
          <t>T-5 to T+2</t>
        </is>
      </c>
      <c r="D50" s="108" t="n">
        <v>5</v>
      </c>
      <c r="E50" s="108" t="n">
        <v>2</v>
      </c>
      <c r="F50" s="109" t="inlineStr">
        <is>
          <t>LONG</t>
        </is>
      </c>
      <c r="G50" s="110" t="n">
        <v>68.06</v>
      </c>
      <c r="H50" s="111" t="n">
        <v>64.66</v>
      </c>
      <c r="I50" s="108" t="n">
        <v>34.03</v>
      </c>
      <c r="J50" s="112" t="n">
        <v>10682.9</v>
      </c>
      <c r="K50" s="112" t="n">
        <v>9614.610000000001</v>
      </c>
      <c r="L50" s="108" t="n">
        <v>100</v>
      </c>
      <c r="M50" s="107" t="inlineStr">
        <is>
          <t>Pre-Quarterly Run-up (LON</t>
        </is>
      </c>
      <c r="N50" s="110" t="inlineStr">
        <is>
          <t>SKIP</t>
        </is>
      </c>
    </row>
    <row r="51" ht="20" customHeight="1">
      <c r="A51" s="102" t="inlineStr">
        <is>
          <t>FY 2022-23 Q4 Results</t>
        </is>
      </c>
      <c r="B51" s="103" t="inlineStr">
        <is>
          <t>FY23_Q4</t>
        </is>
      </c>
      <c r="C51" s="103" t="inlineStr">
        <is>
          <t>T-2 to T+5</t>
        </is>
      </c>
      <c r="D51" s="103" t="n">
        <v>2</v>
      </c>
      <c r="E51" s="103" t="n">
        <v>5</v>
      </c>
      <c r="F51" s="104" t="inlineStr">
        <is>
          <t>LONG</t>
        </is>
      </c>
      <c r="G51" s="104" t="n">
        <v>89.86</v>
      </c>
      <c r="H51" s="105" t="n">
        <v>85.37</v>
      </c>
      <c r="I51" s="103" t="n">
        <v>44.93</v>
      </c>
      <c r="J51" s="106" t="n">
        <v>30471.89</v>
      </c>
      <c r="K51" s="106" t="n">
        <v>27424.7</v>
      </c>
      <c r="L51" s="103" t="n">
        <v>100</v>
      </c>
      <c r="M51" s="102" t="inlineStr">
        <is>
          <t>Pre-Quarterly Run-up (LON</t>
        </is>
      </c>
      <c r="N51" s="104" t="inlineStr">
        <is>
          <t>STRONG</t>
        </is>
      </c>
    </row>
    <row r="52" ht="20" customHeight="1">
      <c r="A52" s="102" t="inlineStr">
        <is>
          <t>FY 2022-23 Q3 Results</t>
        </is>
      </c>
      <c r="B52" s="103" t="inlineStr">
        <is>
          <t>FY23_Q3</t>
        </is>
      </c>
      <c r="C52" s="103" t="inlineStr">
        <is>
          <t>T-3 to T+3</t>
        </is>
      </c>
      <c r="D52" s="103" t="n">
        <v>3</v>
      </c>
      <c r="E52" s="103" t="n">
        <v>3</v>
      </c>
      <c r="F52" s="104" t="inlineStr">
        <is>
          <t>LONG</t>
        </is>
      </c>
      <c r="G52" s="104" t="n">
        <v>92.88</v>
      </c>
      <c r="H52" s="105" t="n">
        <v>88.23999999999999</v>
      </c>
      <c r="I52" s="103" t="n">
        <v>46.44</v>
      </c>
      <c r="J52" s="106" t="n">
        <v>10247.82</v>
      </c>
      <c r="K52" s="106" t="n">
        <v>9223.040000000001</v>
      </c>
      <c r="L52" s="103" t="n">
        <v>100</v>
      </c>
      <c r="M52" s="102" t="inlineStr">
        <is>
          <t>Pre-Quarterly Run-up (LON</t>
        </is>
      </c>
      <c r="N52" s="104" t="inlineStr">
        <is>
          <t>STRONG</t>
        </is>
      </c>
    </row>
    <row r="53" ht="20" customHeight="1">
      <c r="A53" s="46" t="inlineStr">
        <is>
          <t>FY 2022-23 Q2 Results</t>
        </is>
      </c>
      <c r="B53" s="44" t="inlineStr">
        <is>
          <t>FY23_Q2</t>
        </is>
      </c>
      <c r="C53" s="44" t="inlineStr">
        <is>
          <t>T-4 to T+3</t>
        </is>
      </c>
      <c r="D53" s="44" t="n">
        <v>4</v>
      </c>
      <c r="E53" s="44" t="n">
        <v>3</v>
      </c>
      <c r="F53" s="51" t="inlineStr">
        <is>
          <t>LONG</t>
        </is>
      </c>
      <c r="G53" s="100" t="n">
        <v>73.75</v>
      </c>
      <c r="H53" s="100" t="n">
        <v>70.06</v>
      </c>
      <c r="I53" s="44" t="n">
        <v>36.87</v>
      </c>
      <c r="J53" s="101" t="n">
        <v>5182.85</v>
      </c>
      <c r="K53" s="101" t="n">
        <v>4664.57</v>
      </c>
      <c r="L53" s="44" t="n">
        <v>100</v>
      </c>
      <c r="M53" s="46" t="inlineStr">
        <is>
          <t>Pre-Quarterly Run-up (LON</t>
        </is>
      </c>
      <c r="N53" s="100" t="inlineStr">
        <is>
          <t>BUY</t>
        </is>
      </c>
    </row>
  </sheetData>
  <mergeCells count="71">
    <mergeCell ref="A25:C25"/>
    <mergeCell ref="D11:F11"/>
    <mergeCell ref="G12:N12"/>
    <mergeCell ref="D27:F27"/>
    <mergeCell ref="D13:F13"/>
    <mergeCell ref="D32:F32"/>
    <mergeCell ref="G11:N11"/>
    <mergeCell ref="A4:G4"/>
    <mergeCell ref="G22:N22"/>
    <mergeCell ref="A20:G20"/>
    <mergeCell ref="A27:C27"/>
    <mergeCell ref="D17:F17"/>
    <mergeCell ref="A21:C21"/>
    <mergeCell ref="G27:N27"/>
    <mergeCell ref="A12:C12"/>
    <mergeCell ref="D7:F7"/>
    <mergeCell ref="A26:C26"/>
    <mergeCell ref="D16:F16"/>
    <mergeCell ref="G23:N23"/>
    <mergeCell ref="A1:N1"/>
    <mergeCell ref="G8:N8"/>
    <mergeCell ref="D28:F28"/>
    <mergeCell ref="A5:C5"/>
    <mergeCell ref="G7:N7"/>
    <mergeCell ref="A23:C23"/>
    <mergeCell ref="A32:C32"/>
    <mergeCell ref="A8:C8"/>
    <mergeCell ref="A14:C14"/>
    <mergeCell ref="A22:C22"/>
    <mergeCell ref="D12:F12"/>
    <mergeCell ref="A17:C17"/>
    <mergeCell ref="D9:F9"/>
    <mergeCell ref="G10:N10"/>
    <mergeCell ref="G28:N28"/>
    <mergeCell ref="G6:N6"/>
    <mergeCell ref="G13:N13"/>
    <mergeCell ref="D8:F8"/>
    <mergeCell ref="D25:F25"/>
    <mergeCell ref="D15:F15"/>
    <mergeCell ref="A29:C29"/>
    <mergeCell ref="D30:F30"/>
    <mergeCell ref="D24:F24"/>
    <mergeCell ref="A10:C10"/>
    <mergeCell ref="A28:C28"/>
    <mergeCell ref="A13:C13"/>
    <mergeCell ref="D14:F14"/>
    <mergeCell ref="D29:F29"/>
    <mergeCell ref="D5:F5"/>
    <mergeCell ref="D23:F23"/>
    <mergeCell ref="A31:C31"/>
    <mergeCell ref="A2:N2"/>
    <mergeCell ref="G24:N24"/>
    <mergeCell ref="A9:C9"/>
    <mergeCell ref="D26:F26"/>
    <mergeCell ref="A30:C30"/>
    <mergeCell ref="G5:N5"/>
    <mergeCell ref="A15:C15"/>
    <mergeCell ref="A24:C24"/>
    <mergeCell ref="D10:F10"/>
    <mergeCell ref="G26:N26"/>
    <mergeCell ref="A11:C11"/>
    <mergeCell ref="A35:N35"/>
    <mergeCell ref="D31:F31"/>
    <mergeCell ref="A6:C6"/>
    <mergeCell ref="D22:F22"/>
    <mergeCell ref="D6:F6"/>
    <mergeCell ref="G16:N16"/>
    <mergeCell ref="D21:F21"/>
    <mergeCell ref="A7:C7"/>
    <mergeCell ref="G9:N9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4" customWidth="1" min="3" max="3"/>
    <col width="7" customWidth="1" min="4" max="4"/>
    <col width="7" customWidth="1" min="5" max="5"/>
    <col width="10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7" customWidth="1" min="12" max="12"/>
    <col width="26" customWidth="1" min="13" max="13"/>
    <col width="12" customWidth="1" min="14" max="14"/>
  </cols>
  <sheetData>
    <row r="1" ht="34" customHeight="1">
      <c r="A1" s="119" t="inlineStr">
        <is>
          <t>INFY  ?  Infosys Ltd  |  Q3 FY 2026-27 (Jul - Sep 2026)  |  Direction: LONG  |  Entry: BUY FUTURES (LONG)  |  Exit: SELL FUTURES</t>
        </is>
      </c>
    </row>
    <row r="2" ht="30" customHeight="1">
      <c r="A2" s="69" t="inlineStr">
        <is>
          <t xml:space="preserve">  TRADE DIRECTION:  LONG  |  ON ENTRY (14-Oct-2026) ? BUY FUTURES (LONG)  |  ON EXIT (29-Oct-2026) ? SELL FUTURES  |  OPTION ALTERNATIVE: BUY CALL OPTION (1% ITM, 30% SL)</t>
        </is>
      </c>
    </row>
    <row r="4" ht="26" customHeight="1">
      <c r="A4" s="6" t="inlineStr">
        <is>
          <t>A. POSITION TAKING WINDOW</t>
        </is>
      </c>
    </row>
    <row r="5" ht="24" customHeight="1">
      <c r="A5" s="70" t="inlineStr">
        <is>
          <t>Trade Direction</t>
        </is>
      </c>
      <c r="B5" s="71" t="n"/>
      <c r="C5" s="72" t="n"/>
      <c r="D5" s="73" t="inlineStr">
        <is>
          <t>LONG</t>
        </is>
      </c>
      <c r="E5" s="71" t="n"/>
      <c r="F5" s="72" t="n"/>
      <c r="G5" s="74" t="inlineStr">
        <is>
          <t>LONG = Buy to Open. SHORT = Sell to Open.</t>
        </is>
      </c>
      <c r="H5" s="71" t="n"/>
      <c r="I5" s="71" t="n"/>
      <c r="J5" s="71" t="n"/>
      <c r="K5" s="71" t="n"/>
      <c r="L5" s="71" t="n"/>
      <c r="M5" s="71" t="n"/>
      <c r="N5" s="72" t="n"/>
    </row>
    <row r="6" ht="24" customHeight="1">
      <c r="A6" s="75" t="inlineStr">
        <is>
          <t>Entry Action (Futures)</t>
        </is>
      </c>
      <c r="B6" s="71" t="n"/>
      <c r="C6" s="72" t="n"/>
      <c r="D6" s="76" t="inlineStr">
        <is>
          <t>BUY FUTURES (LONG)</t>
        </is>
      </c>
      <c r="E6" s="71" t="n"/>
      <c r="F6" s="72" t="n"/>
      <c r="G6" s="74" t="inlineStr">
        <is>
          <t>Execute this trade on Entry Date</t>
        </is>
      </c>
      <c r="H6" s="71" t="n"/>
      <c r="I6" s="71" t="n"/>
      <c r="J6" s="71" t="n"/>
      <c r="K6" s="71" t="n"/>
      <c r="L6" s="71" t="n"/>
      <c r="M6" s="71" t="n"/>
      <c r="N6" s="72" t="n"/>
    </row>
    <row r="7" ht="24" customHeight="1">
      <c r="A7" s="75" t="inlineStr">
        <is>
          <t>Exit Action (Futures)</t>
        </is>
      </c>
      <c r="B7" s="71" t="n"/>
      <c r="C7" s="72" t="n"/>
      <c r="D7" s="77" t="inlineStr">
        <is>
          <t>SELL FUTURES (Square Off)</t>
        </is>
      </c>
      <c r="E7" s="71" t="n"/>
      <c r="F7" s="72" t="n"/>
      <c r="G7" s="74" t="inlineStr">
        <is>
          <t>Execute this trade on Exit Date</t>
        </is>
      </c>
      <c r="H7" s="71" t="n"/>
      <c r="I7" s="71" t="n"/>
      <c r="J7" s="71" t="n"/>
      <c r="K7" s="71" t="n"/>
      <c r="L7" s="71" t="n"/>
      <c r="M7" s="71" t="n"/>
      <c r="N7" s="72" t="n"/>
    </row>
    <row r="8" ht="24" customHeight="1">
      <c r="A8" s="75" t="inlineStr">
        <is>
          <t>Option Alternative</t>
        </is>
      </c>
      <c r="B8" s="71" t="n"/>
      <c r="C8" s="72" t="n"/>
      <c r="D8" s="78" t="inlineStr">
        <is>
          <t>BUY CALL OPTION ? 1% ITM, SL = 30%</t>
        </is>
      </c>
      <c r="E8" s="71" t="n"/>
      <c r="F8" s="72" t="n"/>
      <c r="G8" s="74" t="inlineStr">
        <is>
          <t>Use options if futures margin is high</t>
        </is>
      </c>
      <c r="H8" s="71" t="n"/>
      <c r="I8" s="71" t="n"/>
      <c r="J8" s="71" t="n"/>
      <c r="K8" s="71" t="n"/>
      <c r="L8" s="71" t="n"/>
      <c r="M8" s="71" t="n"/>
      <c r="N8" s="72" t="n"/>
    </row>
    <row r="9" ht="24" customHeight="1">
      <c r="A9" s="75" t="inlineStr">
        <is>
          <t>NSE Result Date (T)</t>
        </is>
      </c>
      <c r="B9" s="71" t="n"/>
      <c r="C9" s="72" t="n"/>
      <c r="D9" s="79" t="inlineStr">
        <is>
          <t>23-Oct-2026 (Friday)</t>
        </is>
      </c>
      <c r="E9" s="71" t="n"/>
      <c r="F9" s="72" t="n"/>
      <c r="G9" s="74" t="inlineStr">
        <is>
          <t>Exact NSE official date. No shift applied.</t>
        </is>
      </c>
      <c r="H9" s="71" t="n"/>
      <c r="I9" s="71" t="n"/>
      <c r="J9" s="71" t="n"/>
      <c r="K9" s="71" t="n"/>
      <c r="L9" s="71" t="n"/>
      <c r="M9" s="71" t="n"/>
      <c r="N9" s="72" t="n"/>
    </row>
    <row r="10" ht="24" customHeight="1">
      <c r="A10" s="75" t="inlineStr">
        <is>
          <t>T Day Status</t>
        </is>
      </c>
      <c r="B10" s="71" t="n"/>
      <c r="C10" s="72" t="n"/>
      <c r="D10" s="80" t="inlineStr">
        <is>
          <t>Trading Day</t>
        </is>
      </c>
      <c r="E10" s="71" t="n"/>
      <c r="F10" s="72" t="n"/>
      <c r="G10" s="74" t="inlineStr">
        <is>
          <t>T is a regular trading day.</t>
        </is>
      </c>
      <c r="H10" s="71" t="n"/>
      <c r="I10" s="71" t="n"/>
      <c r="J10" s="71" t="n"/>
      <c r="K10" s="71" t="n"/>
      <c r="L10" s="71" t="n"/>
      <c r="M10" s="71" t="n"/>
      <c r="N10" s="72" t="n"/>
    </row>
    <row r="11" ht="24" customHeight="1">
      <c r="A11" s="75" t="inlineStr">
        <is>
          <t>Model Window (from dataset)</t>
        </is>
      </c>
      <c r="B11" s="71" t="n"/>
      <c r="C11" s="72" t="n"/>
      <c r="D11" s="81" t="inlineStr">
        <is>
          <t>T-5 to T+4</t>
        </is>
      </c>
      <c r="E11" s="71" t="n"/>
      <c r="F11" s="72" t="n"/>
      <c r="G11" s="74" t="inlineStr">
        <is>
          <t>Read directly from quarters_dataset.json (FY27_Q2)</t>
        </is>
      </c>
      <c r="H11" s="71" t="n"/>
      <c r="I11" s="71" t="n"/>
      <c r="J11" s="71" t="n"/>
      <c r="K11" s="71" t="n"/>
      <c r="L11" s="71" t="n"/>
      <c r="M11" s="71" t="n"/>
      <c r="N11" s="72" t="n"/>
    </row>
    <row r="12" ht="24" customHeight="1">
      <c r="A12" s="75" t="inlineStr">
        <is>
          <t>Lead n = 5 trading days</t>
        </is>
      </c>
      <c r="B12" s="71" t="n"/>
      <c r="C12" s="72" t="n"/>
      <c r="D12" s="80" t="inlineStr">
        <is>
          <t>14-Oct-2026 (Wednesday)</t>
        </is>
      </c>
      <c r="E12" s="71" t="n"/>
      <c r="F12" s="72" t="n"/>
      <c r="G12" s="74" t="inlineStr">
        <is>
          <t>ENTRY DATE: Count 5 trad days BACKWARD from T</t>
        </is>
      </c>
      <c r="H12" s="71" t="n"/>
      <c r="I12" s="71" t="n"/>
      <c r="J12" s="71" t="n"/>
      <c r="K12" s="71" t="n"/>
      <c r="L12" s="71" t="n"/>
      <c r="M12" s="71" t="n"/>
      <c r="N12" s="72" t="n"/>
    </row>
    <row r="13" ht="24" customHeight="1">
      <c r="A13" s="75" t="inlineStr">
        <is>
          <t>Hold m = 4 trading days</t>
        </is>
      </c>
      <c r="B13" s="71" t="n"/>
      <c r="C13" s="72" t="n"/>
      <c r="D13" s="78" t="inlineStr">
        <is>
          <t>29-Oct-2026 (Thursday)</t>
        </is>
      </c>
      <c r="E13" s="71" t="n"/>
      <c r="F13" s="72" t="n"/>
      <c r="G13" s="74" t="inlineStr">
        <is>
          <t>EXIT DATE:  Count 4 trad days FORWARD from T</t>
        </is>
      </c>
      <c r="H13" s="71" t="n"/>
      <c r="I13" s="71" t="n"/>
      <c r="J13" s="71" t="n"/>
      <c r="K13" s="71" t="n"/>
      <c r="L13" s="71" t="n"/>
      <c r="M13" s="71" t="n"/>
      <c r="N13" s="72" t="n"/>
    </row>
    <row r="14" ht="24" customHeight="1">
      <c r="A14" s="75" t="inlineStr">
        <is>
          <t>Days to Entry (from today)</t>
        </is>
      </c>
      <c r="B14" s="71" t="n"/>
      <c r="C14" s="72" t="n"/>
      <c r="D14" s="82" t="inlineStr">
        <is>
          <t>23 days  ?  Enter: 14-Oct-2026</t>
        </is>
      </c>
      <c r="E14" s="71" t="n"/>
      <c r="F14" s="72" t="n"/>
    </row>
    <row r="15" ht="24" customHeight="1">
      <c r="A15" s="75" t="inlineStr">
        <is>
          <t>Lot Size</t>
        </is>
      </c>
      <c r="B15" s="71" t="n"/>
      <c r="C15" s="72" t="n"/>
      <c r="D15" s="83" t="inlineStr">
        <is>
          <t>400</t>
        </is>
      </c>
      <c r="E15" s="71" t="n"/>
      <c r="F15" s="72" t="n"/>
    </row>
    <row r="16" ht="24" customHeight="1">
      <c r="A16" s="75" t="inlineStr">
        <is>
          <t>Margin Required (20% SPAN)</t>
        </is>
      </c>
      <c r="B16" s="71" t="n"/>
      <c r="C16" s="72" t="n"/>
      <c r="D16" s="83" t="inlineStr">
        <is>
          <t>Rs 139,014</t>
        </is>
      </c>
      <c r="E16" s="71" t="n"/>
      <c r="F16" s="72" t="n"/>
      <c r="G16" s="74" t="inlineStr">
        <is>
          <t>Approximate margin per lot</t>
        </is>
      </c>
      <c r="H16" s="71" t="n"/>
      <c r="I16" s="71" t="n"/>
      <c r="J16" s="71" t="n"/>
      <c r="K16" s="71" t="n"/>
      <c r="L16" s="71" t="n"/>
      <c r="M16" s="71" t="n"/>
      <c r="N16" s="72" t="n"/>
    </row>
    <row r="17" ht="24" customHeight="1">
      <c r="A17" s="75" t="inlineStr">
        <is>
          <t>Strategy</t>
        </is>
      </c>
      <c r="B17" s="71" t="n"/>
      <c r="C17" s="72" t="n"/>
      <c r="D17" s="84" t="inlineStr">
        <is>
          <t>Pre-Quarterly Run-up (LONG)</t>
        </is>
      </c>
      <c r="E17" s="71" t="n"/>
      <c r="F17" s="72" t="n"/>
    </row>
    <row r="20" ht="26" customHeight="1">
      <c r="A20" s="7" t="inlineStr">
        <is>
          <t>B. EXPECTED RETURNS  (Model Estimates ? Q3 FY 2026-27)</t>
        </is>
      </c>
    </row>
    <row r="21" ht="24" customHeight="1">
      <c r="A21" s="85">
        <f>== EXPECTED (Q-Win Rate Model) ===</f>
        <v/>
      </c>
      <c r="B21" s="71" t="n"/>
      <c r="C21" s="72" t="n"/>
      <c r="D21" s="86" t="inlineStr"/>
      <c r="E21" s="71" t="n"/>
      <c r="F21" s="72" t="n"/>
    </row>
    <row r="22" ht="22" customHeight="1">
      <c r="A22" s="89" t="inlineStr">
        <is>
          <t>Q-Win Rate %</t>
        </is>
      </c>
      <c r="B22" s="71" t="n"/>
      <c r="C22" s="72" t="n"/>
      <c r="D22" s="76" t="inlineStr">
        <is>
          <t>92.09%</t>
        </is>
      </c>
      <c r="E22" s="71" t="n"/>
      <c r="F22" s="72" t="n"/>
      <c r="G22" s="74" t="inlineStr">
        <is>
          <t>Win probability for Q3 trade</t>
        </is>
      </c>
      <c r="H22" s="71" t="n"/>
      <c r="I22" s="71" t="n"/>
      <c r="J22" s="71" t="n"/>
      <c r="K22" s="71" t="n"/>
      <c r="L22" s="71" t="n"/>
      <c r="M22" s="71" t="n"/>
      <c r="N22" s="72" t="n"/>
    </row>
    <row r="23" ht="22" customHeight="1">
      <c r="A23" s="89" t="inlineStr">
        <is>
          <t>Expected ROC %</t>
        </is>
      </c>
      <c r="B23" s="71" t="n"/>
      <c r="C23" s="72" t="n"/>
      <c r="D23" s="76" t="inlineStr">
        <is>
          <t>46.04%</t>
        </is>
      </c>
      <c r="E23" s="71" t="n"/>
      <c r="F23" s="72" t="n"/>
      <c r="G23" s="74" t="inlineStr">
        <is>
          <t>Return on margin Rs 139,014</t>
        </is>
      </c>
      <c r="H23" s="71" t="n"/>
      <c r="I23" s="71" t="n"/>
      <c r="J23" s="71" t="n"/>
      <c r="K23" s="71" t="n"/>
      <c r="L23" s="71" t="n"/>
      <c r="M23" s="71" t="n"/>
      <c r="N23" s="72" t="n"/>
    </row>
    <row r="24" ht="22" customHeight="1">
      <c r="A24" s="89" t="inlineStr">
        <is>
          <t>Expected PnL ?</t>
        </is>
      </c>
      <c r="B24" s="71" t="n"/>
      <c r="C24" s="72" t="n"/>
      <c r="D24" s="76" t="inlineStr">
        <is>
          <t>Rs 64,009.18</t>
        </is>
      </c>
      <c r="E24" s="71" t="n"/>
      <c r="F24" s="72" t="n"/>
      <c r="G24" s="74" t="inlineStr">
        <is>
          <t>Estimated profit per 1 lot (400 qty)</t>
        </is>
      </c>
      <c r="H24" s="71" t="n"/>
      <c r="I24" s="71" t="n"/>
      <c r="J24" s="71" t="n"/>
      <c r="K24" s="71" t="n"/>
      <c r="L24" s="71" t="n"/>
      <c r="M24" s="71" t="n"/>
      <c r="N24" s="72" t="n"/>
    </row>
    <row r="25" ht="24" customHeight="1">
      <c r="A25" s="85">
        <f>== HISTORICAL (H-Win Rate ? Conservative) ===</f>
        <v/>
      </c>
      <c r="B25" s="71" t="n"/>
      <c r="C25" s="72" t="n"/>
      <c r="D25" s="86" t="inlineStr"/>
      <c r="E25" s="71" t="n"/>
      <c r="F25" s="72" t="n"/>
    </row>
    <row r="26" ht="22" customHeight="1">
      <c r="A26" s="90" t="inlineStr">
        <is>
          <t>H-Win Rate %</t>
        </is>
      </c>
      <c r="B26" s="71" t="n"/>
      <c r="C26" s="72" t="n"/>
      <c r="D26" s="91" t="inlineStr">
        <is>
          <t>87.49%</t>
        </is>
      </c>
      <c r="E26" s="71" t="n"/>
      <c r="F26" s="72" t="n"/>
      <c r="G26" s="74" t="inlineStr">
        <is>
          <t>Conservative win rate from longer history</t>
        </is>
      </c>
      <c r="H26" s="71" t="n"/>
      <c r="I26" s="71" t="n"/>
      <c r="J26" s="71" t="n"/>
      <c r="K26" s="71" t="n"/>
      <c r="L26" s="71" t="n"/>
      <c r="M26" s="71" t="n"/>
      <c r="N26" s="72" t="n"/>
    </row>
    <row r="27" ht="22" customHeight="1">
      <c r="A27" s="90" t="inlineStr">
        <is>
          <t>H-Expected ROC %</t>
        </is>
      </c>
      <c r="B27" s="71" t="n"/>
      <c r="C27" s="72" t="n"/>
      <c r="D27" s="91" t="inlineStr">
        <is>
          <t>41.44%</t>
        </is>
      </c>
      <c r="E27" s="71" t="n"/>
      <c r="F27" s="72" t="n"/>
      <c r="G27" s="74" t="inlineStr">
        <is>
          <t>Conservative ROC using H-Win rate</t>
        </is>
      </c>
      <c r="H27" s="71" t="n"/>
      <c r="I27" s="71" t="n"/>
      <c r="J27" s="71" t="n"/>
      <c r="K27" s="71" t="n"/>
      <c r="L27" s="71" t="n"/>
      <c r="M27" s="71" t="n"/>
      <c r="N27" s="72" t="n"/>
    </row>
    <row r="28" ht="22" customHeight="1">
      <c r="A28" s="90" t="inlineStr">
        <is>
          <t>H-Expected PnL ?</t>
        </is>
      </c>
      <c r="B28" s="71" t="n"/>
      <c r="C28" s="72" t="n"/>
      <c r="D28" s="91" t="inlineStr">
        <is>
          <t>Rs 57,608.26</t>
        </is>
      </c>
      <c r="E28" s="71" t="n"/>
      <c r="F28" s="72" t="n"/>
      <c r="G28" s="74" t="inlineStr">
        <is>
          <t>Conservative PnL estimate</t>
        </is>
      </c>
      <c r="H28" s="71" t="n"/>
      <c r="I28" s="71" t="n"/>
      <c r="J28" s="71" t="n"/>
      <c r="K28" s="71" t="n"/>
      <c r="L28" s="71" t="n"/>
      <c r="M28" s="71" t="n"/>
      <c r="N28" s="72" t="n"/>
    </row>
    <row r="29" ht="24" customHeight="1">
      <c r="A29" s="85">
        <f>== AVERAGES (17 Quarters) ===</f>
        <v/>
      </c>
      <c r="B29" s="71" t="n"/>
      <c r="C29" s="72" t="n"/>
      <c r="D29" s="86" t="inlineStr"/>
      <c r="E29" s="71" t="n"/>
      <c r="F29" s="72" t="n"/>
    </row>
    <row r="30" ht="22" customHeight="1">
      <c r="A30" s="89" t="inlineStr">
        <is>
          <t>Avg Win Rate (All 17Q)</t>
        </is>
      </c>
      <c r="B30" s="71" t="n"/>
      <c r="C30" s="72" t="n"/>
      <c r="D30" s="76" t="inlineStr">
        <is>
          <t>84.6%</t>
        </is>
      </c>
      <c r="E30" s="71" t="n"/>
      <c r="F30" s="72" t="n"/>
    </row>
    <row r="31" ht="22" customHeight="1">
      <c r="A31" s="89" t="inlineStr">
        <is>
          <t>Avg Win Rate (Last 4Q)</t>
        </is>
      </c>
      <c r="B31" s="71" t="n"/>
      <c r="C31" s="72" t="n"/>
      <c r="D31" s="76" t="inlineStr">
        <is>
          <t>82.4%</t>
        </is>
      </c>
      <c r="E31" s="71" t="n"/>
      <c r="F31" s="72" t="n"/>
    </row>
    <row r="32" ht="22" customHeight="1">
      <c r="A32" s="87" t="inlineStr">
        <is>
          <t>Avg Est PnL (All 17Q)</t>
        </is>
      </c>
      <c r="B32" s="71" t="n"/>
      <c r="C32" s="72" t="n"/>
      <c r="D32" s="92" t="inlineStr">
        <is>
          <t>Rs 64,414</t>
        </is>
      </c>
      <c r="E32" s="71" t="n"/>
      <c r="F32" s="72" t="n"/>
    </row>
    <row r="35" ht="26" customHeight="1">
      <c r="A35" s="120" t="inlineStr">
        <is>
          <t>INFY  |  17-QUARTER HISTORY  (BLUE=Current Q3 | Green=WR&gt;=85% | Yellow=WR&gt;=70% | Red=WR&lt;70%)</t>
        </is>
      </c>
    </row>
    <row r="36" ht="36" customHeight="1">
      <c r="A36" s="94" t="inlineStr">
        <is>
          <t>Quarter</t>
        </is>
      </c>
      <c r="B36" s="94" t="inlineStr">
        <is>
          <t>Q-Code</t>
        </is>
      </c>
      <c r="C36" s="94" t="inlineStr">
        <is>
          <t>Window</t>
        </is>
      </c>
      <c r="D36" s="94" t="inlineStr">
        <is>
          <t>Lead</t>
        </is>
      </c>
      <c r="E36" s="94" t="inlineStr">
        <is>
          <t>Hold</t>
        </is>
      </c>
      <c r="F36" s="94" t="inlineStr">
        <is>
          <t>Direction</t>
        </is>
      </c>
      <c r="G36" s="13" t="inlineStr">
        <is>
          <t>Q-Win %</t>
        </is>
      </c>
      <c r="H36" s="14" t="inlineStr">
        <is>
          <t>H-Win %</t>
        </is>
      </c>
      <c r="I36" s="13" t="inlineStr">
        <is>
          <t>Q-ROC %</t>
        </is>
      </c>
      <c r="J36" s="13" t="inlineStr">
        <is>
          <t>Exp PnL ?</t>
        </is>
      </c>
      <c r="K36" s="14" t="inlineStr">
        <is>
          <t>H-Est PnL ?</t>
        </is>
      </c>
      <c r="L36" s="94" t="inlineStr">
        <is>
          <t>Lot</t>
        </is>
      </c>
      <c r="M36" s="94" t="inlineStr">
        <is>
          <t>Strategy</t>
        </is>
      </c>
      <c r="N36" s="94" t="inlineStr">
        <is>
          <t>Signal</t>
        </is>
      </c>
    </row>
    <row r="37" ht="20" customHeight="1">
      <c r="A37" s="95" t="inlineStr">
        <is>
          <t>FY 2026-27 Q2 Results &lt;-- CURRENT Q3</t>
        </is>
      </c>
      <c r="B37" s="96" t="inlineStr">
        <is>
          <t>FY27_Q2</t>
        </is>
      </c>
      <c r="C37" s="96" t="inlineStr">
        <is>
          <t>T-5 to T+4</t>
        </is>
      </c>
      <c r="D37" s="96" t="n">
        <v>5</v>
      </c>
      <c r="E37" s="96" t="n">
        <v>4</v>
      </c>
      <c r="F37" s="97" t="inlineStr">
        <is>
          <t>LONG</t>
        </is>
      </c>
      <c r="G37" s="96" t="n">
        <v>92.09</v>
      </c>
      <c r="H37" s="118" t="n">
        <v>87.48999999999999</v>
      </c>
      <c r="I37" s="96" t="n">
        <v>46.04</v>
      </c>
      <c r="J37" s="99" t="n">
        <v>64009.18</v>
      </c>
      <c r="K37" s="99" t="n">
        <v>57608.26</v>
      </c>
      <c r="L37" s="96" t="n">
        <v>400</v>
      </c>
      <c r="M37" s="95" t="inlineStr">
        <is>
          <t>Pre-Quarterly Run-up (LON</t>
        </is>
      </c>
      <c r="N37" s="96" t="inlineStr">
        <is>
          <t>THIS Q3</t>
        </is>
      </c>
    </row>
    <row r="38" ht="20" customHeight="1">
      <c r="A38" s="46" t="inlineStr">
        <is>
          <t>FY 2026-27 Q1 Results</t>
        </is>
      </c>
      <c r="B38" s="44" t="inlineStr">
        <is>
          <t>FY27_Q1</t>
        </is>
      </c>
      <c r="C38" s="44" t="inlineStr">
        <is>
          <t>T-6 to T+3</t>
        </is>
      </c>
      <c r="D38" s="44" t="n">
        <v>6</v>
      </c>
      <c r="E38" s="44" t="n">
        <v>3</v>
      </c>
      <c r="F38" s="51" t="inlineStr">
        <is>
          <t>LONG</t>
        </is>
      </c>
      <c r="G38" s="100" t="n">
        <v>73.31</v>
      </c>
      <c r="H38" s="100" t="n">
        <v>69.64</v>
      </c>
      <c r="I38" s="44" t="n">
        <v>36.65</v>
      </c>
      <c r="J38" s="101" t="n">
        <v>62054.86</v>
      </c>
      <c r="K38" s="101" t="n">
        <v>55849.37</v>
      </c>
      <c r="L38" s="44" t="n">
        <v>400</v>
      </c>
      <c r="M38" s="46" t="inlineStr">
        <is>
          <t>Pre-Quarterly Run-up (LON</t>
        </is>
      </c>
      <c r="N38" s="100" t="inlineStr">
        <is>
          <t>BUY</t>
        </is>
      </c>
    </row>
    <row r="39" ht="20" customHeight="1">
      <c r="A39" s="46" t="inlineStr">
        <is>
          <t>FY 2025-26 Q4 Results</t>
        </is>
      </c>
      <c r="B39" s="44" t="inlineStr">
        <is>
          <t>FY26_Q4</t>
        </is>
      </c>
      <c r="C39" s="44" t="inlineStr">
        <is>
          <t>T-7 to T+2</t>
        </is>
      </c>
      <c r="D39" s="44" t="n">
        <v>7</v>
      </c>
      <c r="E39" s="44" t="n">
        <v>2</v>
      </c>
      <c r="F39" s="51" t="inlineStr">
        <is>
          <t>LONG</t>
        </is>
      </c>
      <c r="G39" s="100" t="n">
        <v>84.27</v>
      </c>
      <c r="H39" s="54" t="n">
        <v>80.06</v>
      </c>
      <c r="I39" s="44" t="n">
        <v>42.13</v>
      </c>
      <c r="J39" s="101" t="n">
        <v>48856.71</v>
      </c>
      <c r="K39" s="101" t="n">
        <v>43971.04</v>
      </c>
      <c r="L39" s="44" t="n">
        <v>400</v>
      </c>
      <c r="M39" s="46" t="inlineStr">
        <is>
          <t>Pre-Quarterly Run-up (LON</t>
        </is>
      </c>
      <c r="N39" s="100" t="inlineStr">
        <is>
          <t>BUY</t>
        </is>
      </c>
    </row>
    <row r="40" ht="20" customHeight="1">
      <c r="A40" s="46" t="inlineStr">
        <is>
          <t>FY 2025-26 Q3 Results</t>
        </is>
      </c>
      <c r="B40" s="44" t="inlineStr">
        <is>
          <t>FY26_Q3</t>
        </is>
      </c>
      <c r="C40" s="44" t="inlineStr">
        <is>
          <t>T-3 to T+1</t>
        </is>
      </c>
      <c r="D40" s="44" t="n">
        <v>3</v>
      </c>
      <c r="E40" s="44" t="n">
        <v>1</v>
      </c>
      <c r="F40" s="51" t="inlineStr">
        <is>
          <t>LONG</t>
        </is>
      </c>
      <c r="G40" s="100" t="n">
        <v>79.84</v>
      </c>
      <c r="H40" s="54" t="n">
        <v>75.84999999999999</v>
      </c>
      <c r="I40" s="44" t="n">
        <v>39.92</v>
      </c>
      <c r="J40" s="101" t="n">
        <v>88286.42999999999</v>
      </c>
      <c r="K40" s="101" t="n">
        <v>79457.78999999999</v>
      </c>
      <c r="L40" s="44" t="n">
        <v>400</v>
      </c>
      <c r="M40" s="46" t="inlineStr">
        <is>
          <t>Pre-Quarterly Run-up (LON</t>
        </is>
      </c>
      <c r="N40" s="100" t="inlineStr">
        <is>
          <t>BUY</t>
        </is>
      </c>
    </row>
    <row r="41" ht="20" customHeight="1">
      <c r="A41" s="102" t="inlineStr">
        <is>
          <t>FY 2025-26 Q2 Results</t>
        </is>
      </c>
      <c r="B41" s="103" t="inlineStr">
        <is>
          <t>FY26_Q2</t>
        </is>
      </c>
      <c r="C41" s="103" t="inlineStr">
        <is>
          <t>T-4 to T+1</t>
        </is>
      </c>
      <c r="D41" s="103" t="n">
        <v>4</v>
      </c>
      <c r="E41" s="103" t="n">
        <v>1</v>
      </c>
      <c r="F41" s="104" t="inlineStr">
        <is>
          <t>LONG</t>
        </is>
      </c>
      <c r="G41" s="104" t="n">
        <v>85.66</v>
      </c>
      <c r="H41" s="105" t="n">
        <v>81.38</v>
      </c>
      <c r="I41" s="103" t="n">
        <v>42.83</v>
      </c>
      <c r="J41" s="106" t="n">
        <v>100718.69</v>
      </c>
      <c r="K41" s="106" t="n">
        <v>90646.82000000001</v>
      </c>
      <c r="L41" s="103" t="n">
        <v>400</v>
      </c>
      <c r="M41" s="102" t="inlineStr">
        <is>
          <t>Pre-Quarterly Run-up (LON</t>
        </is>
      </c>
      <c r="N41" s="104" t="inlineStr">
        <is>
          <t>STRONG</t>
        </is>
      </c>
    </row>
    <row r="42" ht="20" customHeight="1">
      <c r="A42" s="102" t="inlineStr">
        <is>
          <t>FY 2025-26 Q1 Results</t>
        </is>
      </c>
      <c r="B42" s="103" t="inlineStr">
        <is>
          <t>FY26_Q1</t>
        </is>
      </c>
      <c r="C42" s="103" t="inlineStr">
        <is>
          <t>T-2 to T+1</t>
        </is>
      </c>
      <c r="D42" s="103" t="n">
        <v>2</v>
      </c>
      <c r="E42" s="103" t="n">
        <v>1</v>
      </c>
      <c r="F42" s="104" t="inlineStr">
        <is>
          <t>LONG</t>
        </is>
      </c>
      <c r="G42" s="104" t="n">
        <v>88.01000000000001</v>
      </c>
      <c r="H42" s="105" t="n">
        <v>83.61</v>
      </c>
      <c r="I42" s="103" t="n">
        <v>44.01</v>
      </c>
      <c r="J42" s="106" t="n">
        <v>24107.7</v>
      </c>
      <c r="K42" s="106" t="n">
        <v>21696.93</v>
      </c>
      <c r="L42" s="103" t="n">
        <v>400</v>
      </c>
      <c r="M42" s="102" t="inlineStr">
        <is>
          <t>Pre-Quarterly Run-up (LON</t>
        </is>
      </c>
      <c r="N42" s="104" t="inlineStr">
        <is>
          <t>STRONG</t>
        </is>
      </c>
    </row>
    <row r="43" ht="20" customHeight="1">
      <c r="A43" s="102" t="inlineStr">
        <is>
          <t>FY 2024-25 Q4 Results</t>
        </is>
      </c>
      <c r="B43" s="103" t="inlineStr">
        <is>
          <t>FY25_Q4</t>
        </is>
      </c>
      <c r="C43" s="103" t="inlineStr">
        <is>
          <t>T-3 to T+2</t>
        </is>
      </c>
      <c r="D43" s="103" t="n">
        <v>3</v>
      </c>
      <c r="E43" s="103" t="n">
        <v>2</v>
      </c>
      <c r="F43" s="104" t="inlineStr">
        <is>
          <t>LONG</t>
        </is>
      </c>
      <c r="G43" s="104" t="n">
        <v>86.92</v>
      </c>
      <c r="H43" s="105" t="n">
        <v>82.56999999999999</v>
      </c>
      <c r="I43" s="103" t="n">
        <v>43.46</v>
      </c>
      <c r="J43" s="106" t="n">
        <v>40684.12</v>
      </c>
      <c r="K43" s="106" t="n">
        <v>36615.71</v>
      </c>
      <c r="L43" s="103" t="n">
        <v>400</v>
      </c>
      <c r="M43" s="102" t="inlineStr">
        <is>
          <t>Pre-Quarterly Run-up (LON</t>
        </is>
      </c>
      <c r="N43" s="104" t="inlineStr">
        <is>
          <t>STRONG</t>
        </is>
      </c>
    </row>
    <row r="44" ht="20" customHeight="1">
      <c r="A44" s="102" t="inlineStr">
        <is>
          <t>FY 2024-25 Q3 Results</t>
        </is>
      </c>
      <c r="B44" s="103" t="inlineStr">
        <is>
          <t>FY25_Q3</t>
        </is>
      </c>
      <c r="C44" s="103" t="inlineStr">
        <is>
          <t>T-4 to T+2</t>
        </is>
      </c>
      <c r="D44" s="103" t="n">
        <v>4</v>
      </c>
      <c r="E44" s="103" t="n">
        <v>2</v>
      </c>
      <c r="F44" s="104" t="inlineStr">
        <is>
          <t>LONG</t>
        </is>
      </c>
      <c r="G44" s="104" t="n">
        <v>88.42</v>
      </c>
      <c r="H44" s="105" t="n">
        <v>84</v>
      </c>
      <c r="I44" s="103" t="n">
        <v>44.21</v>
      </c>
      <c r="J44" s="106" t="n">
        <v>106250.42</v>
      </c>
      <c r="K44" s="106" t="n">
        <v>95625.38</v>
      </c>
      <c r="L44" s="103" t="n">
        <v>400</v>
      </c>
      <c r="M44" s="102" t="inlineStr">
        <is>
          <t>Pre-Quarterly Run-up (LON</t>
        </is>
      </c>
      <c r="N44" s="104" t="inlineStr">
        <is>
          <t>STRONG</t>
        </is>
      </c>
    </row>
    <row r="45" ht="20" customHeight="1">
      <c r="A45" s="46" t="inlineStr">
        <is>
          <t>FY 2024-25 Q2 Results</t>
        </is>
      </c>
      <c r="B45" s="44" t="inlineStr">
        <is>
          <t>FY25_Q2</t>
        </is>
      </c>
      <c r="C45" s="44" t="inlineStr">
        <is>
          <t>T-5 to T+3</t>
        </is>
      </c>
      <c r="D45" s="44" t="n">
        <v>5</v>
      </c>
      <c r="E45" s="44" t="n">
        <v>3</v>
      </c>
      <c r="F45" s="51" t="inlineStr">
        <is>
          <t>LONG</t>
        </is>
      </c>
      <c r="G45" s="100" t="n">
        <v>71.23</v>
      </c>
      <c r="H45" s="100" t="n">
        <v>67.67</v>
      </c>
      <c r="I45" s="44" t="n">
        <v>35.61</v>
      </c>
      <c r="J45" s="101" t="n">
        <v>96729.77</v>
      </c>
      <c r="K45" s="101" t="n">
        <v>87056.78999999999</v>
      </c>
      <c r="L45" s="44" t="n">
        <v>400</v>
      </c>
      <c r="M45" s="46" t="inlineStr">
        <is>
          <t>Pre-Quarterly Run-up (LON</t>
        </is>
      </c>
      <c r="N45" s="100" t="inlineStr">
        <is>
          <t>BUY</t>
        </is>
      </c>
    </row>
    <row r="46" ht="20" customHeight="1">
      <c r="A46" s="102" t="inlineStr">
        <is>
          <t>FY 2024-25 Q1 Results</t>
        </is>
      </c>
      <c r="B46" s="103" t="inlineStr">
        <is>
          <t>FY25_Q1</t>
        </is>
      </c>
      <c r="C46" s="103" t="inlineStr">
        <is>
          <t>T-6 to T+4</t>
        </is>
      </c>
      <c r="D46" s="103" t="n">
        <v>6</v>
      </c>
      <c r="E46" s="103" t="n">
        <v>4</v>
      </c>
      <c r="F46" s="104" t="inlineStr">
        <is>
          <t>LONG</t>
        </is>
      </c>
      <c r="G46" s="104" t="n">
        <v>86.18000000000001</v>
      </c>
      <c r="H46" s="105" t="n">
        <v>81.87</v>
      </c>
      <c r="I46" s="103" t="n">
        <v>43.09</v>
      </c>
      <c r="J46" s="106" t="n">
        <v>119237.96</v>
      </c>
      <c r="K46" s="106" t="n">
        <v>107314.16</v>
      </c>
      <c r="L46" s="103" t="n">
        <v>400</v>
      </c>
      <c r="M46" s="102" t="inlineStr">
        <is>
          <t>Pre-Quarterly Run-up (LON</t>
        </is>
      </c>
      <c r="N46" s="104" t="inlineStr">
        <is>
          <t>STRONG</t>
        </is>
      </c>
    </row>
    <row r="47" ht="20" customHeight="1">
      <c r="A47" s="102" t="inlineStr">
        <is>
          <t>FY 2023-24 Q4 Results</t>
        </is>
      </c>
      <c r="B47" s="103" t="inlineStr">
        <is>
          <t>FY24_Q4</t>
        </is>
      </c>
      <c r="C47" s="103" t="inlineStr">
        <is>
          <t>T-7 to T+5</t>
        </is>
      </c>
      <c r="D47" s="103" t="n">
        <v>7</v>
      </c>
      <c r="E47" s="103" t="n">
        <v>5</v>
      </c>
      <c r="F47" s="104" t="inlineStr">
        <is>
          <t>LONG</t>
        </is>
      </c>
      <c r="G47" s="104" t="n">
        <v>91.26000000000001</v>
      </c>
      <c r="H47" s="105" t="n">
        <v>86.7</v>
      </c>
      <c r="I47" s="103" t="n">
        <v>45.63</v>
      </c>
      <c r="J47" s="106" t="n">
        <v>111739.47</v>
      </c>
      <c r="K47" s="106" t="n">
        <v>100565.52</v>
      </c>
      <c r="L47" s="103" t="n">
        <v>400</v>
      </c>
      <c r="M47" s="102" t="inlineStr">
        <is>
          <t>Pre-Quarterly Run-up (LON</t>
        </is>
      </c>
      <c r="N47" s="104" t="inlineStr">
        <is>
          <t>STRONG</t>
        </is>
      </c>
    </row>
    <row r="48" ht="20" customHeight="1">
      <c r="A48" s="102" t="inlineStr">
        <is>
          <t>FY 2023-24 Q3 Results</t>
        </is>
      </c>
      <c r="B48" s="103" t="inlineStr">
        <is>
          <t>FY24_Q3</t>
        </is>
      </c>
      <c r="C48" s="103" t="inlineStr">
        <is>
          <t>T-4 to T+5</t>
        </is>
      </c>
      <c r="D48" s="103" t="n">
        <v>4</v>
      </c>
      <c r="E48" s="103" t="n">
        <v>5</v>
      </c>
      <c r="F48" s="104" t="inlineStr">
        <is>
          <t>LONG</t>
        </is>
      </c>
      <c r="G48" s="104" t="n">
        <v>88.27</v>
      </c>
      <c r="H48" s="105" t="n">
        <v>83.86</v>
      </c>
      <c r="I48" s="103" t="n">
        <v>44.14</v>
      </c>
      <c r="J48" s="106" t="n">
        <v>30527.3</v>
      </c>
      <c r="K48" s="106" t="n">
        <v>27474.57</v>
      </c>
      <c r="L48" s="103" t="n">
        <v>400</v>
      </c>
      <c r="M48" s="102" t="inlineStr">
        <is>
          <t>Pre-Quarterly Run-up (LON</t>
        </is>
      </c>
      <c r="N48" s="104" t="inlineStr">
        <is>
          <t>STRONG</t>
        </is>
      </c>
    </row>
    <row r="49" ht="20" customHeight="1">
      <c r="A49" s="102" t="inlineStr">
        <is>
          <t>FY 2023-24 Q2 Results</t>
        </is>
      </c>
      <c r="B49" s="103" t="inlineStr">
        <is>
          <t>FY24_Q2</t>
        </is>
      </c>
      <c r="C49" s="103" t="inlineStr">
        <is>
          <t>T-5 to T+5</t>
        </is>
      </c>
      <c r="D49" s="103" t="n">
        <v>5</v>
      </c>
      <c r="E49" s="103" t="n">
        <v>5</v>
      </c>
      <c r="F49" s="104" t="inlineStr">
        <is>
          <t>LONG</t>
        </is>
      </c>
      <c r="G49" s="104" t="n">
        <v>88.25</v>
      </c>
      <c r="H49" s="105" t="n">
        <v>83.84</v>
      </c>
      <c r="I49" s="103" t="n">
        <v>44.12</v>
      </c>
      <c r="J49" s="106" t="n">
        <v>25826.89</v>
      </c>
      <c r="K49" s="106" t="n">
        <v>23244.2</v>
      </c>
      <c r="L49" s="103" t="n">
        <v>400</v>
      </c>
      <c r="M49" s="102" t="inlineStr">
        <is>
          <t>Pre-Quarterly Run-up (LON</t>
        </is>
      </c>
      <c r="N49" s="104" t="inlineStr">
        <is>
          <t>STRONG</t>
        </is>
      </c>
    </row>
    <row r="50" ht="20" customHeight="1">
      <c r="A50" s="102" t="inlineStr">
        <is>
          <t>FY 2023-24 Q1 Results</t>
        </is>
      </c>
      <c r="B50" s="103" t="inlineStr">
        <is>
          <t>FY24_Q1</t>
        </is>
      </c>
      <c r="C50" s="103" t="inlineStr">
        <is>
          <t>T-3 to T+5</t>
        </is>
      </c>
      <c r="D50" s="103" t="n">
        <v>3</v>
      </c>
      <c r="E50" s="103" t="n">
        <v>5</v>
      </c>
      <c r="F50" s="104" t="inlineStr">
        <is>
          <t>LONG</t>
        </is>
      </c>
      <c r="G50" s="104" t="n">
        <v>86.39</v>
      </c>
      <c r="H50" s="105" t="n">
        <v>82.06999999999999</v>
      </c>
      <c r="I50" s="103" t="n">
        <v>43.19</v>
      </c>
      <c r="J50" s="106" t="n">
        <v>34842.12</v>
      </c>
      <c r="K50" s="106" t="n">
        <v>31357.91</v>
      </c>
      <c r="L50" s="103" t="n">
        <v>400</v>
      </c>
      <c r="M50" s="102" t="inlineStr">
        <is>
          <t>Pre-Quarterly Run-up (LON</t>
        </is>
      </c>
      <c r="N50" s="104" t="inlineStr">
        <is>
          <t>STRONG</t>
        </is>
      </c>
    </row>
    <row r="51" ht="20" customHeight="1">
      <c r="A51" s="46" t="inlineStr">
        <is>
          <t>FY 2022-23 Q4 Results</t>
        </is>
      </c>
      <c r="B51" s="44" t="inlineStr">
        <is>
          <t>FY23_Q4</t>
        </is>
      </c>
      <c r="C51" s="44" t="inlineStr">
        <is>
          <t>T-6 to T+2</t>
        </is>
      </c>
      <c r="D51" s="44" t="n">
        <v>6</v>
      </c>
      <c r="E51" s="44" t="n">
        <v>2</v>
      </c>
      <c r="F51" s="51" t="inlineStr">
        <is>
          <t>LONG</t>
        </is>
      </c>
      <c r="G51" s="100" t="n">
        <v>83.56999999999999</v>
      </c>
      <c r="H51" s="54" t="n">
        <v>79.39</v>
      </c>
      <c r="I51" s="44" t="n">
        <v>41.78</v>
      </c>
      <c r="J51" s="101" t="n">
        <v>84306.75</v>
      </c>
      <c r="K51" s="101" t="n">
        <v>75876.07000000001</v>
      </c>
      <c r="L51" s="44" t="n">
        <v>400</v>
      </c>
      <c r="M51" s="46" t="inlineStr">
        <is>
          <t>Pre-Quarterly Run-up (LON</t>
        </is>
      </c>
      <c r="N51" s="100" t="inlineStr">
        <is>
          <t>BUY</t>
        </is>
      </c>
    </row>
    <row r="52" ht="20" customHeight="1">
      <c r="A52" s="46" t="inlineStr">
        <is>
          <t>FY 2022-23 Q3 Results</t>
        </is>
      </c>
      <c r="B52" s="44" t="inlineStr">
        <is>
          <t>FY23_Q3</t>
        </is>
      </c>
      <c r="C52" s="44" t="inlineStr">
        <is>
          <t>T-2 to T+4</t>
        </is>
      </c>
      <c r="D52" s="44" t="n">
        <v>2</v>
      </c>
      <c r="E52" s="44" t="n">
        <v>4</v>
      </c>
      <c r="F52" s="51" t="inlineStr">
        <is>
          <t>LONG</t>
        </is>
      </c>
      <c r="G52" s="100" t="n">
        <v>82.94</v>
      </c>
      <c r="H52" s="54" t="n">
        <v>78.79000000000001</v>
      </c>
      <c r="I52" s="44" t="n">
        <v>41.47</v>
      </c>
      <c r="J52" s="101" t="n">
        <v>41545.31</v>
      </c>
      <c r="K52" s="101" t="n">
        <v>37390.78</v>
      </c>
      <c r="L52" s="44" t="n">
        <v>400</v>
      </c>
      <c r="M52" s="46" t="inlineStr">
        <is>
          <t>Pre-Quarterly Run-up (LON</t>
        </is>
      </c>
      <c r="N52" s="100" t="inlineStr">
        <is>
          <t>BUY</t>
        </is>
      </c>
    </row>
    <row r="53" ht="20" customHeight="1">
      <c r="A53" s="46" t="inlineStr">
        <is>
          <t>FY 2022-23 Q2 Results</t>
        </is>
      </c>
      <c r="B53" s="44" t="inlineStr">
        <is>
          <t>FY23_Q2</t>
        </is>
      </c>
      <c r="C53" s="44" t="inlineStr">
        <is>
          <t>T-5 to T+2</t>
        </is>
      </c>
      <c r="D53" s="44" t="n">
        <v>5</v>
      </c>
      <c r="E53" s="44" t="n">
        <v>2</v>
      </c>
      <c r="F53" s="51" t="inlineStr">
        <is>
          <t>LONG</t>
        </is>
      </c>
      <c r="G53" s="100" t="n">
        <v>81.59</v>
      </c>
      <c r="H53" s="54" t="n">
        <v>77.51000000000001</v>
      </c>
      <c r="I53" s="44" t="n">
        <v>40.79</v>
      </c>
      <c r="J53" s="101" t="n">
        <v>15322.6</v>
      </c>
      <c r="K53" s="101" t="n">
        <v>13790.34</v>
      </c>
      <c r="L53" s="44" t="n">
        <v>400</v>
      </c>
      <c r="M53" s="46" t="inlineStr">
        <is>
          <t>Pre-Quarterly Run-up (LON</t>
        </is>
      </c>
      <c r="N53" s="100" t="inlineStr">
        <is>
          <t>BUY</t>
        </is>
      </c>
    </row>
  </sheetData>
  <mergeCells count="71">
    <mergeCell ref="A25:C25"/>
    <mergeCell ref="D11:F11"/>
    <mergeCell ref="G12:N12"/>
    <mergeCell ref="D27:F27"/>
    <mergeCell ref="D13:F13"/>
    <mergeCell ref="D32:F32"/>
    <mergeCell ref="G11:N11"/>
    <mergeCell ref="A4:G4"/>
    <mergeCell ref="G22:N22"/>
    <mergeCell ref="A20:G20"/>
    <mergeCell ref="A27:C27"/>
    <mergeCell ref="D17:F17"/>
    <mergeCell ref="A21:C21"/>
    <mergeCell ref="G27:N27"/>
    <mergeCell ref="A12:C12"/>
    <mergeCell ref="D7:F7"/>
    <mergeCell ref="A26:C26"/>
    <mergeCell ref="D16:F16"/>
    <mergeCell ref="G23:N23"/>
    <mergeCell ref="A1:N1"/>
    <mergeCell ref="G8:N8"/>
    <mergeCell ref="D28:F28"/>
    <mergeCell ref="A5:C5"/>
    <mergeCell ref="G7:N7"/>
    <mergeCell ref="A23:C23"/>
    <mergeCell ref="A32:C32"/>
    <mergeCell ref="A8:C8"/>
    <mergeCell ref="A14:C14"/>
    <mergeCell ref="A22:C22"/>
    <mergeCell ref="D12:F12"/>
    <mergeCell ref="A17:C17"/>
    <mergeCell ref="D9:F9"/>
    <mergeCell ref="G10:N10"/>
    <mergeCell ref="G28:N28"/>
    <mergeCell ref="G6:N6"/>
    <mergeCell ref="G13:N13"/>
    <mergeCell ref="D8:F8"/>
    <mergeCell ref="D25:F25"/>
    <mergeCell ref="D15:F15"/>
    <mergeCell ref="A29:C29"/>
    <mergeCell ref="D30:F30"/>
    <mergeCell ref="D24:F24"/>
    <mergeCell ref="A10:C10"/>
    <mergeCell ref="A28:C28"/>
    <mergeCell ref="A13:C13"/>
    <mergeCell ref="D14:F14"/>
    <mergeCell ref="D29:F29"/>
    <mergeCell ref="D5:F5"/>
    <mergeCell ref="D23:F23"/>
    <mergeCell ref="A31:C31"/>
    <mergeCell ref="A2:N2"/>
    <mergeCell ref="G24:N24"/>
    <mergeCell ref="A9:C9"/>
    <mergeCell ref="D26:F26"/>
    <mergeCell ref="A30:C30"/>
    <mergeCell ref="G5:N5"/>
    <mergeCell ref="A15:C15"/>
    <mergeCell ref="A24:C24"/>
    <mergeCell ref="D10:F10"/>
    <mergeCell ref="G26:N26"/>
    <mergeCell ref="A11:C11"/>
    <mergeCell ref="A35:N35"/>
    <mergeCell ref="D31:F31"/>
    <mergeCell ref="A6:C6"/>
    <mergeCell ref="D22:F22"/>
    <mergeCell ref="D6:F6"/>
    <mergeCell ref="G16:N16"/>
    <mergeCell ref="D21:F21"/>
    <mergeCell ref="A7:C7"/>
    <mergeCell ref="G9:N9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2" customWidth="1" min="4" max="4"/>
    <col width="26" customWidth="1" min="5" max="5"/>
    <col width="22" customWidth="1" min="6" max="6"/>
    <col width="22" customWidth="1" min="7" max="7"/>
    <col width="12" customWidth="1" min="8" max="8"/>
    <col width="22" customWidth="1" min="9" max="9"/>
    <col width="12" customWidth="1" min="10" max="10"/>
    <col width="22" customWidth="1" min="11" max="11"/>
    <col width="13" customWidth="1" min="12" max="12"/>
    <col width="16" customWidth="1" min="13" max="13"/>
  </cols>
  <sheetData>
    <row r="1" ht="36" customHeight="1">
      <c r="A1" s="121" t="inlineStr">
        <is>
          <t>Q3 FY 2026-27 ? EXECUTION CALENDAR  |  ? REAL FUND ? Verify Direction Before Placing Orders</t>
        </is>
      </c>
    </row>
    <row r="3" ht="22" customHeight="1">
      <c r="A3" s="3" t="inlineStr">
        <is>
          <t>STOCK</t>
        </is>
      </c>
      <c r="D3" s="4" t="inlineStr">
        <is>
          <t>TRADE DIRECTION</t>
        </is>
      </c>
      <c r="G3" s="5" t="inlineStr">
        <is>
          <t>NSE RESULT DATE</t>
        </is>
      </c>
      <c r="I3" s="6" t="inlineStr">
        <is>
          <t>POSITION WINDOW</t>
        </is>
      </c>
      <c r="L3" s="7" t="inlineStr">
        <is>
          <t>EXPECTED RETURN</t>
        </is>
      </c>
    </row>
    <row r="4" ht="52" customHeight="1">
      <c r="A4" s="9" t="inlineStr">
        <is>
          <t>Rank</t>
        </is>
      </c>
      <c r="B4" s="9" t="inlineStr">
        <is>
          <t>Symbol</t>
        </is>
      </c>
      <c r="C4" s="9" t="inlineStr">
        <is>
          <t>Company</t>
        </is>
      </c>
      <c r="D4" s="10" t="inlineStr">
        <is>
          <t>DIRECTION
(LONG/SHORT)</t>
        </is>
      </c>
      <c r="E4" s="10" t="inlineStr">
        <is>
          <t>ENTRY ACTION
(On Entry Date)</t>
        </is>
      </c>
      <c r="F4" s="10" t="inlineStr">
        <is>
          <t>EXIT ACTION
(On Exit Date)</t>
        </is>
      </c>
      <c r="G4" s="11" t="inlineStr">
        <is>
          <t>Result Date
(NSE Exact)</t>
        </is>
      </c>
      <c r="H4" s="11" t="inlineStr">
        <is>
          <t>T Type</t>
        </is>
      </c>
      <c r="I4" s="12" t="inlineStr">
        <is>
          <t>Entry Date
(T-n)</t>
        </is>
      </c>
      <c r="J4" s="12" t="inlineStr">
        <is>
          <t>Window</t>
        </is>
      </c>
      <c r="K4" s="12" t="inlineStr">
        <is>
          <t>Exit Date
(T+m)</t>
        </is>
      </c>
      <c r="L4" s="13" t="inlineStr">
        <is>
          <t>Q-Win Rate %</t>
        </is>
      </c>
      <c r="M4" s="13" t="inlineStr">
        <is>
          <t>Exp PnL ?</t>
        </is>
      </c>
    </row>
    <row r="5" ht="32" customHeight="1">
      <c r="A5" s="122" t="n">
        <v>132</v>
      </c>
      <c r="B5" s="16" t="inlineStr">
        <is>
          <t>HCLTECH</t>
        </is>
      </c>
      <c r="C5" s="123" t="inlineStr">
        <is>
          <t>HCL Technologies Ltd</t>
        </is>
      </c>
      <c r="D5" s="18" t="inlineStr">
        <is>
          <t>LONG</t>
        </is>
      </c>
      <c r="E5" s="19" t="inlineStr">
        <is>
          <t>BUY FUTURES (LONG)</t>
        </is>
      </c>
      <c r="F5" s="20" t="inlineStr">
        <is>
          <t>SELL FUTURES</t>
        </is>
      </c>
      <c r="G5" s="22" t="inlineStr">
        <is>
          <t>12-Oct-2026 (Mon)</t>
        </is>
      </c>
      <c r="H5" s="23" t="inlineStr">
        <is>
          <t>Trading</t>
        </is>
      </c>
      <c r="I5" s="25" t="inlineStr">
        <is>
          <t>06-Oct-2026 (Tue)</t>
        </is>
      </c>
      <c r="J5" s="124" t="inlineStr">
        <is>
          <t>T-4 to T+3</t>
        </is>
      </c>
      <c r="K5" s="21" t="inlineStr">
        <is>
          <t>15-Oct-2026 (Thu)</t>
        </is>
      </c>
      <c r="L5" s="26" t="n">
        <v>77.19</v>
      </c>
      <c r="M5" s="125" t="n">
        <v>52009.46</v>
      </c>
    </row>
    <row r="6" ht="32" customHeight="1">
      <c r="A6" s="126" t="n">
        <v>12</v>
      </c>
      <c r="B6" s="33" t="inlineStr">
        <is>
          <t>AXISBANK</t>
        </is>
      </c>
      <c r="C6" s="127" t="inlineStr">
        <is>
          <t>Axis Bank Ltd</t>
        </is>
      </c>
      <c r="D6" s="18" t="inlineStr">
        <is>
          <t>LONG</t>
        </is>
      </c>
      <c r="E6" s="19" t="inlineStr">
        <is>
          <t>BUY FUTURES (LONG)</t>
        </is>
      </c>
      <c r="F6" s="20" t="inlineStr">
        <is>
          <t>SELL FUTURES</t>
        </is>
      </c>
      <c r="G6" s="36" t="inlineStr">
        <is>
          <t>17-Oct-2026 (Sat)</t>
        </is>
      </c>
      <c r="H6" s="37" t="inlineStr">
        <is>
          <t>Weekend</t>
        </is>
      </c>
      <c r="I6" s="39" t="inlineStr">
        <is>
          <t>15-Oct-2026 (Thu)</t>
        </is>
      </c>
      <c r="J6" s="128" t="inlineStr">
        <is>
          <t>T-2 to T+1</t>
        </is>
      </c>
      <c r="K6" s="35" t="inlineStr">
        <is>
          <t>19-Oct-2026 (Mon)</t>
        </is>
      </c>
      <c r="L6" s="129" t="n">
        <v>68.25</v>
      </c>
      <c r="M6" s="125" t="n">
        <v>146961.87</v>
      </c>
    </row>
    <row r="7" ht="32" customHeight="1">
      <c r="A7" s="130" t="n">
        <v>191</v>
      </c>
      <c r="B7" s="45" t="inlineStr">
        <is>
          <t>ULTRACEMCO</t>
        </is>
      </c>
      <c r="C7" s="131" t="inlineStr">
        <is>
          <t>UltraTech Cement Ltd</t>
        </is>
      </c>
      <c r="D7" s="18" t="inlineStr">
        <is>
          <t>LONG</t>
        </is>
      </c>
      <c r="E7" s="19" t="inlineStr">
        <is>
          <t>BUY FUTURES (LONG)</t>
        </is>
      </c>
      <c r="F7" s="20" t="inlineStr">
        <is>
          <t>SELL FUTURES</t>
        </is>
      </c>
      <c r="G7" s="48" t="inlineStr">
        <is>
          <t>19-Oct-2026 (Mon)</t>
        </is>
      </c>
      <c r="H7" s="49" t="inlineStr">
        <is>
          <t>Trading</t>
        </is>
      </c>
      <c r="I7" s="51" t="inlineStr">
        <is>
          <t>14-Oct-2026 (Wed)</t>
        </is>
      </c>
      <c r="J7" s="132" t="inlineStr">
        <is>
          <t>T-3 to T+1</t>
        </is>
      </c>
      <c r="K7" s="47" t="inlineStr">
        <is>
          <t>20-Oct-2026 (Tue)</t>
        </is>
      </c>
      <c r="L7" s="52" t="n">
        <v>81.34999999999999</v>
      </c>
      <c r="M7" s="125" t="n">
        <v>19949.22</v>
      </c>
    </row>
    <row r="8" ht="32" customHeight="1">
      <c r="A8" s="133" t="n">
        <v>109</v>
      </c>
      <c r="B8" s="57" t="inlineStr">
        <is>
          <t>INFY</t>
        </is>
      </c>
      <c r="C8" s="134" t="inlineStr">
        <is>
          <t>Infosys Ltd</t>
        </is>
      </c>
      <c r="D8" s="18" t="inlineStr">
        <is>
          <t>LONG</t>
        </is>
      </c>
      <c r="E8" s="19" t="inlineStr">
        <is>
          <t>BUY FUTURES (LONG)</t>
        </is>
      </c>
      <c r="F8" s="20" t="inlineStr">
        <is>
          <t>SELL FUTURES</t>
        </is>
      </c>
      <c r="G8" s="60" t="inlineStr">
        <is>
          <t>23-Oct-2026 (Fri)</t>
        </is>
      </c>
      <c r="H8" s="61" t="inlineStr">
        <is>
          <t>Trading</t>
        </is>
      </c>
      <c r="I8" s="63" t="inlineStr">
        <is>
          <t>14-Oct-2026 (Wed)</t>
        </is>
      </c>
      <c r="J8" s="135" t="inlineStr">
        <is>
          <t>T-5 to T+4</t>
        </is>
      </c>
      <c r="K8" s="59" t="inlineStr">
        <is>
          <t>29-Oct-2026 (Thu)</t>
        </is>
      </c>
      <c r="L8" s="64" t="n">
        <v>92.09</v>
      </c>
      <c r="M8" s="125" t="n">
        <v>64009.18</v>
      </c>
    </row>
  </sheetData>
  <mergeCells count="6">
    <mergeCell ref="L3:M3"/>
    <mergeCell ref="A1:M1"/>
    <mergeCell ref="D3:F3"/>
    <mergeCell ref="A3:C3"/>
    <mergeCell ref="I3:K3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2026-09-21T04:53:41Z</dcterms:created>
  <dcterms:modified xmlns:dcterms="http://purl.org/dc/terms/" xmlns:xsi="http://www.w3.org/2001/XMLSchema-instance" xsi:type="dcterms:W3CDTF">2026-09-21T05:24:43Z</dcterms:modified>
</cp:coreProperties>
</file>