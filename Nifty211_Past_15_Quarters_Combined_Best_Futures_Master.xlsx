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  <sheet xmlns:r="http://schemas.openxmlformats.org/officeDocument/2006/relationships" name="Q2 2025-26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3 2024-25" sheetId="9" state="visible" r:id="rId9"/>
    <sheet xmlns:r="http://schemas.openxmlformats.org/officeDocument/2006/relationships" name="Q2 2024-25" sheetId="10" state="visible" r:id="rId10"/>
    <sheet xmlns:r="http://schemas.openxmlformats.org/officeDocument/2006/relationships" name="Q1 2024-25" sheetId="11" state="visible" r:id="rId11"/>
    <sheet xmlns:r="http://schemas.openxmlformats.org/officeDocument/2006/relationships" name="Q4 2023-24" sheetId="12" state="visible" r:id="rId12"/>
    <sheet xmlns:r="http://schemas.openxmlformats.org/officeDocument/2006/relationships" name="Q3 2023-24" sheetId="13" state="visible" r:id="rId13"/>
    <sheet xmlns:r="http://schemas.openxmlformats.org/officeDocument/2006/relationships" name="Q2 2023-24" sheetId="14" state="visible" r:id="rId14"/>
    <sheet xmlns:r="http://schemas.openxmlformats.org/officeDocument/2006/relationships" name="Q1 2023-24" sheetId="15" state="visible" r:id="rId15"/>
    <sheet xmlns:r="http://schemas.openxmlformats.org/officeDocument/2006/relationships" name="Q4 2022-2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6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6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 ht="38" customHeight="1">
      <c r="A1" s="1" t="inlineStr">
        <is>
          <t>NIFTY 211 STOCKS - PAST 15 QUARTERS COMBINED BEST FUTURES SUMMARY</t>
        </is>
      </c>
    </row>
    <row r="2"/>
    <row r="3">
      <c r="A3" s="2" t="inlineStr">
        <is>
          <t>TOTAL PORTFOLIO MARGIN CAPITAL
₹42,511,150.11</t>
        </is>
      </c>
      <c r="E3" s="2" t="inlineStr">
        <is>
          <t>ENDING REINVESTED CAPITAL
₹58,860,414.75</t>
        </is>
      </c>
      <c r="I3" s="2" t="inlineStr">
        <is>
          <t>15-QUARTER CUMULATIVE RETURN %
38.46%</t>
        </is>
      </c>
      <c r="M3" s="2" t="inlineStr">
        <is>
          <t>15-QUARTER NET REALISED P&amp;L
₹16,349,264.64</t>
        </is>
      </c>
      <c r="Q3" s="2" t="inlineStr">
        <is>
          <t>GLOBAL EMPIRICAL WIN RATE %
55.23%</t>
        </is>
      </c>
    </row>
    <row r="4"/>
    <row r="5"/>
    <row r="6"/>
    <row r="7">
      <c r="A7" s="3" t="inlineStr">
        <is>
          <t>PAST 15 QUARTERS SIDE-BY-SIDE MATRIX (ALL VS QUALIFIED)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Q2 2025-26</t>
        </is>
      </c>
      <c r="L8" s="5" t="inlineStr">
        <is>
          <t>Q1 2025-26</t>
        </is>
      </c>
      <c r="N8" s="5" t="inlineStr">
        <is>
          <t>Q4 2024-25</t>
        </is>
      </c>
      <c r="P8" s="5" t="inlineStr">
        <is>
          <t>Q3 2024-25</t>
        </is>
      </c>
      <c r="R8" s="5" t="inlineStr">
        <is>
          <t>Q2 2024-25</t>
        </is>
      </c>
      <c r="T8" s="5" t="inlineStr">
        <is>
          <t>Q1 2024-25</t>
        </is>
      </c>
      <c r="V8" s="5" t="inlineStr">
        <is>
          <t>Q4 2023-24</t>
        </is>
      </c>
      <c r="X8" s="5" t="inlineStr">
        <is>
          <t>Q3 2023-24</t>
        </is>
      </c>
      <c r="Z8" s="5" t="inlineStr">
        <is>
          <t>Q2 2023-24</t>
        </is>
      </c>
      <c r="AB8" s="5" t="inlineStr">
        <is>
          <t>Q1 2023-24</t>
        </is>
      </c>
      <c r="AD8" s="5" t="inlineStr">
        <is>
          <t>Q4 2022-23</t>
        </is>
      </c>
      <c r="AF8" s="5" t="inlineStr">
        <is>
          <t>15-QTR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  <c r="L9" s="7" t="inlineStr">
        <is>
          <t>ALL STOCKS</t>
        </is>
      </c>
      <c r="M9" s="7" t="inlineStr">
        <is>
          <t>QUALIFIED ONLY</t>
        </is>
      </c>
      <c r="N9" s="7" t="inlineStr">
        <is>
          <t>ALL STOCKS</t>
        </is>
      </c>
      <c r="O9" s="7" t="inlineStr">
        <is>
          <t>QUALIFIED ONLY</t>
        </is>
      </c>
      <c r="P9" s="7" t="inlineStr">
        <is>
          <t>ALL STOCKS</t>
        </is>
      </c>
      <c r="Q9" s="7" t="inlineStr">
        <is>
          <t>QUALIFIED ONLY</t>
        </is>
      </c>
      <c r="R9" s="7" t="inlineStr">
        <is>
          <t>ALL STOCKS</t>
        </is>
      </c>
      <c r="S9" s="7" t="inlineStr">
        <is>
          <t>QUALIFIED ONLY</t>
        </is>
      </c>
      <c r="T9" s="7" t="inlineStr">
        <is>
          <t>ALL STOCKS</t>
        </is>
      </c>
      <c r="U9" s="7" t="inlineStr">
        <is>
          <t>QUALIFIED ONLY</t>
        </is>
      </c>
      <c r="V9" s="7" t="inlineStr">
        <is>
          <t>ALL STOCKS</t>
        </is>
      </c>
      <c r="W9" s="7" t="inlineStr">
        <is>
          <t>QUALIFIED ONLY</t>
        </is>
      </c>
      <c r="X9" s="7" t="inlineStr">
        <is>
          <t>ALL STOCKS</t>
        </is>
      </c>
      <c r="Y9" s="7" t="inlineStr">
        <is>
          <t>QUALIFIED ONLY</t>
        </is>
      </c>
      <c r="Z9" s="7" t="inlineStr">
        <is>
          <t>ALL STOCKS</t>
        </is>
      </c>
      <c r="AA9" s="7" t="inlineStr">
        <is>
          <t>QUALIFIED ONLY</t>
        </is>
      </c>
      <c r="AB9" s="7" t="inlineStr">
        <is>
          <t>ALL STOCKS</t>
        </is>
      </c>
      <c r="AC9" s="7" t="inlineStr">
        <is>
          <t>QUALIFIED ONLY</t>
        </is>
      </c>
      <c r="AD9" s="7" t="inlineStr">
        <is>
          <t>ALL STOCKS</t>
        </is>
      </c>
      <c r="AE9" s="7" t="inlineStr">
        <is>
          <t>QUALIFIED ONLY</t>
        </is>
      </c>
      <c r="AF9" s="7" t="inlineStr">
        <is>
          <t>ALL STOCKS</t>
        </is>
      </c>
      <c r="AG9" s="7" t="inlineStr">
        <is>
          <t>QUALIFIED ONLY</t>
        </is>
      </c>
    </row>
    <row r="10">
      <c r="A10" s="8" t="inlineStr">
        <is>
          <t>Average Predicted Return (%)</t>
        </is>
      </c>
      <c r="B10" s="9" t="inlineStr">
        <is>
          <t>1.99%</t>
        </is>
      </c>
      <c r="C10" s="9" t="inlineStr">
        <is>
          <t>1.99%</t>
        </is>
      </c>
      <c r="D10" s="9" t="inlineStr">
        <is>
          <t>1.99%</t>
        </is>
      </c>
      <c r="E10" s="9" t="inlineStr">
        <is>
          <t>1.99%</t>
        </is>
      </c>
      <c r="F10" s="9" t="inlineStr">
        <is>
          <t>1.99%</t>
        </is>
      </c>
      <c r="G10" s="9" t="inlineStr">
        <is>
          <t>1.99%</t>
        </is>
      </c>
      <c r="H10" s="9" t="inlineStr">
        <is>
          <t>1.99%</t>
        </is>
      </c>
      <c r="I10" s="9" t="inlineStr">
        <is>
          <t>1.99%</t>
        </is>
      </c>
      <c r="J10" s="9" t="inlineStr">
        <is>
          <t>1.99%</t>
        </is>
      </c>
      <c r="K10" s="9" t="inlineStr">
        <is>
          <t>1.99%</t>
        </is>
      </c>
      <c r="L10" s="9" t="inlineStr">
        <is>
          <t>1.99%</t>
        </is>
      </c>
      <c r="M10" s="9" t="inlineStr">
        <is>
          <t>1.99%</t>
        </is>
      </c>
      <c r="N10" s="9" t="inlineStr">
        <is>
          <t>1.99%</t>
        </is>
      </c>
      <c r="O10" s="9" t="inlineStr">
        <is>
          <t>1.99%</t>
        </is>
      </c>
      <c r="P10" s="9" t="inlineStr">
        <is>
          <t>1.99%</t>
        </is>
      </c>
      <c r="Q10" s="9" t="inlineStr">
        <is>
          <t>1.99%</t>
        </is>
      </c>
      <c r="R10" s="9" t="inlineStr">
        <is>
          <t>1.99%</t>
        </is>
      </c>
      <c r="S10" s="9" t="inlineStr">
        <is>
          <t>1.99%</t>
        </is>
      </c>
      <c r="T10" s="9" t="inlineStr">
        <is>
          <t>1.99%</t>
        </is>
      </c>
      <c r="U10" s="9" t="inlineStr">
        <is>
          <t>1.99%</t>
        </is>
      </c>
      <c r="V10" s="9" t="inlineStr">
        <is>
          <t>1.99%</t>
        </is>
      </c>
      <c r="W10" s="9" t="inlineStr">
        <is>
          <t>1.99%</t>
        </is>
      </c>
      <c r="X10" s="9" t="inlineStr">
        <is>
          <t>1.99%</t>
        </is>
      </c>
      <c r="Y10" s="9" t="inlineStr">
        <is>
          <t>1.99%</t>
        </is>
      </c>
      <c r="Z10" s="9" t="inlineStr">
        <is>
          <t>1.99%</t>
        </is>
      </c>
      <c r="AA10" s="9" t="inlineStr">
        <is>
          <t>1.99%</t>
        </is>
      </c>
      <c r="AB10" s="9" t="inlineStr">
        <is>
          <t>1.99%</t>
        </is>
      </c>
      <c r="AC10" s="9" t="inlineStr">
        <is>
          <t>1.99%</t>
        </is>
      </c>
      <c r="AD10" s="9" t="inlineStr">
        <is>
          <t>1.99%</t>
        </is>
      </c>
      <c r="AE10" s="9" t="inlineStr">
        <is>
          <t>1.99%</t>
        </is>
      </c>
      <c r="AF10" s="9" t="inlineStr">
        <is>
          <t>2.50%</t>
        </is>
      </c>
      <c r="AG10" s="9" t="inlineStr">
        <is>
          <t>2.50%</t>
        </is>
      </c>
    </row>
    <row r="11">
      <c r="A11" s="8" t="inlineStr">
        <is>
          <t>Average Actual Realised Return (%)</t>
        </is>
      </c>
      <c r="B11" s="9" t="inlineStr">
        <is>
          <t>1.56%</t>
        </is>
      </c>
      <c r="C11" s="9" t="inlineStr">
        <is>
          <t>1.56%</t>
        </is>
      </c>
      <c r="D11" s="9" t="inlineStr">
        <is>
          <t>1.86%</t>
        </is>
      </c>
      <c r="E11" s="9" t="inlineStr">
        <is>
          <t>1.86%</t>
        </is>
      </c>
      <c r="F11" s="9" t="inlineStr">
        <is>
          <t>1.82%</t>
        </is>
      </c>
      <c r="G11" s="9" t="inlineStr">
        <is>
          <t>1.82%</t>
        </is>
      </c>
      <c r="H11" s="9" t="inlineStr">
        <is>
          <t>1.88%</t>
        </is>
      </c>
      <c r="I11" s="9" t="inlineStr">
        <is>
          <t>1.88%</t>
        </is>
      </c>
      <c r="J11" s="9" t="inlineStr">
        <is>
          <t>0.9%</t>
        </is>
      </c>
      <c r="K11" s="9" t="inlineStr">
        <is>
          <t>0.9%</t>
        </is>
      </c>
      <c r="L11" s="9" t="inlineStr">
        <is>
          <t>-0.39%</t>
        </is>
      </c>
      <c r="M11" s="9" t="inlineStr">
        <is>
          <t>-0.39%</t>
        </is>
      </c>
      <c r="N11" s="9" t="inlineStr">
        <is>
          <t>0.1%</t>
        </is>
      </c>
      <c r="O11" s="9" t="inlineStr">
        <is>
          <t>0.1%</t>
        </is>
      </c>
      <c r="P11" s="9" t="inlineStr">
        <is>
          <t>1.43%</t>
        </is>
      </c>
      <c r="Q11" s="9" t="inlineStr">
        <is>
          <t>1.43%</t>
        </is>
      </c>
      <c r="R11" s="9" t="inlineStr">
        <is>
          <t>0.56%</t>
        </is>
      </c>
      <c r="S11" s="9" t="inlineStr">
        <is>
          <t>0.56%</t>
        </is>
      </c>
      <c r="T11" s="9" t="inlineStr">
        <is>
          <t>-0.46%</t>
        </is>
      </c>
      <c r="U11" s="9" t="inlineStr">
        <is>
          <t>-0.46%</t>
        </is>
      </c>
      <c r="V11" s="9" t="inlineStr">
        <is>
          <t>0.14%</t>
        </is>
      </c>
      <c r="W11" s="9" t="inlineStr">
        <is>
          <t>0.14%</t>
        </is>
      </c>
      <c r="X11" s="9" t="inlineStr">
        <is>
          <t>0.91%</t>
        </is>
      </c>
      <c r="Y11" s="9" t="inlineStr">
        <is>
          <t>0.91%</t>
        </is>
      </c>
      <c r="Z11" s="9" t="inlineStr">
        <is>
          <t>0.4%</t>
        </is>
      </c>
      <c r="AA11" s="9" t="inlineStr">
        <is>
          <t>0.4%</t>
        </is>
      </c>
      <c r="AB11" s="9" t="inlineStr">
        <is>
          <t>-0.2%</t>
        </is>
      </c>
      <c r="AC11" s="9" t="inlineStr">
        <is>
          <t>-0.2%</t>
        </is>
      </c>
      <c r="AD11" s="9" t="inlineStr">
        <is>
          <t>0.7%</t>
        </is>
      </c>
      <c r="AE11" s="9" t="inlineStr">
        <is>
          <t>0.7%</t>
        </is>
      </c>
      <c r="AF11" s="9" t="inlineStr">
        <is>
          <t>0.3%</t>
        </is>
      </c>
      <c r="AG11" s="9" t="inlineStr">
        <is>
          <t>0.32%</t>
        </is>
      </c>
    </row>
    <row r="12">
      <c r="A12" s="8" t="inlineStr">
        <is>
          <t>Total Portfolio Trades Analyzed</t>
        </is>
      </c>
      <c r="B12" s="9" t="n">
        <v>211</v>
      </c>
      <c r="C12" s="9" t="n">
        <v>69</v>
      </c>
      <c r="D12" s="9" t="n">
        <v>211</v>
      </c>
      <c r="E12" s="9" t="n">
        <v>69</v>
      </c>
      <c r="F12" s="9" t="n">
        <v>211</v>
      </c>
      <c r="G12" s="9" t="n">
        <v>69</v>
      </c>
      <c r="H12" s="9" t="n">
        <v>211</v>
      </c>
      <c r="I12" s="9" t="n">
        <v>69</v>
      </c>
      <c r="J12" s="9" t="n">
        <v>211</v>
      </c>
      <c r="K12" s="9" t="n">
        <v>69</v>
      </c>
      <c r="L12" s="9" t="n">
        <v>211</v>
      </c>
      <c r="M12" s="9" t="n">
        <v>69</v>
      </c>
      <c r="N12" s="9" t="n">
        <v>211</v>
      </c>
      <c r="O12" s="9" t="n">
        <v>69</v>
      </c>
      <c r="P12" s="9" t="n">
        <v>211</v>
      </c>
      <c r="Q12" s="9" t="n">
        <v>69</v>
      </c>
      <c r="R12" s="9" t="n">
        <v>211</v>
      </c>
      <c r="S12" s="9" t="n">
        <v>69</v>
      </c>
      <c r="T12" s="9" t="n">
        <v>211</v>
      </c>
      <c r="U12" s="9" t="n">
        <v>69</v>
      </c>
      <c r="V12" s="9" t="n">
        <v>211</v>
      </c>
      <c r="W12" s="9" t="n">
        <v>69</v>
      </c>
      <c r="X12" s="9" t="n">
        <v>211</v>
      </c>
      <c r="Y12" s="9" t="n">
        <v>69</v>
      </c>
      <c r="Z12" s="9" t="n">
        <v>211</v>
      </c>
      <c r="AA12" s="9" t="n">
        <v>69</v>
      </c>
      <c r="AB12" s="9" t="n">
        <v>211</v>
      </c>
      <c r="AC12" s="9" t="n">
        <v>69</v>
      </c>
      <c r="AD12" s="9" t="n">
        <v>211</v>
      </c>
      <c r="AE12" s="9" t="n">
        <v>69</v>
      </c>
      <c r="AF12" s="9" t="n">
        <v>3165</v>
      </c>
      <c r="AG12" s="9" t="n">
        <v>1035</v>
      </c>
    </row>
    <row r="13">
      <c r="A13" s="8" t="inlineStr">
        <is>
          <t>Winning Trades (Net P&amp;L &gt; 0)</t>
        </is>
      </c>
      <c r="B13" s="9" t="n">
        <v>133</v>
      </c>
      <c r="C13" s="9" t="n">
        <v>34</v>
      </c>
      <c r="D13" s="9" t="n">
        <v>134</v>
      </c>
      <c r="E13" s="9" t="n">
        <v>32</v>
      </c>
      <c r="F13" s="9" t="n">
        <v>137</v>
      </c>
      <c r="G13" s="9" t="n">
        <v>40</v>
      </c>
      <c r="H13" s="9" t="n">
        <v>130</v>
      </c>
      <c r="I13" s="9" t="n">
        <v>41</v>
      </c>
      <c r="J13" s="9" t="n">
        <v>129</v>
      </c>
      <c r="K13" s="9" t="n">
        <v>40</v>
      </c>
      <c r="L13" s="9" t="n">
        <v>101</v>
      </c>
      <c r="M13" s="9" t="n">
        <v>39</v>
      </c>
      <c r="N13" s="9" t="n">
        <v>101</v>
      </c>
      <c r="O13" s="9" t="n">
        <v>41</v>
      </c>
      <c r="P13" s="9" t="n">
        <v>122</v>
      </c>
      <c r="Q13" s="9" t="n">
        <v>46</v>
      </c>
      <c r="R13" s="9" t="n">
        <v>110</v>
      </c>
      <c r="S13" s="9" t="n">
        <v>40</v>
      </c>
      <c r="T13" s="9" t="n">
        <v>94</v>
      </c>
      <c r="U13" s="9" t="n">
        <v>41</v>
      </c>
      <c r="V13" s="9" t="n">
        <v>115</v>
      </c>
      <c r="W13" s="9" t="n">
        <v>40</v>
      </c>
      <c r="X13" s="9" t="n">
        <v>115</v>
      </c>
      <c r="Y13" s="9" t="n">
        <v>36</v>
      </c>
      <c r="Z13" s="9" t="n">
        <v>109</v>
      </c>
      <c r="AA13" s="9" t="n">
        <v>43</v>
      </c>
      <c r="AB13" s="9" t="n">
        <v>106</v>
      </c>
      <c r="AC13" s="9" t="n">
        <v>41</v>
      </c>
      <c r="AD13" s="9" t="n">
        <v>112</v>
      </c>
      <c r="AE13" s="9" t="n">
        <v>42</v>
      </c>
      <c r="AF13" s="9" t="n">
        <v>1748</v>
      </c>
      <c r="AG13" s="9" t="n">
        <v>596</v>
      </c>
    </row>
    <row r="14">
      <c r="A14" s="8" t="inlineStr">
        <is>
          <t>Losing Trades (Net P&amp;L &lt;= 0)</t>
        </is>
      </c>
      <c r="B14" s="9" t="n">
        <v>78</v>
      </c>
      <c r="C14" s="9" t="n">
        <v>35</v>
      </c>
      <c r="D14" s="9" t="n">
        <v>77</v>
      </c>
      <c r="E14" s="9" t="n">
        <v>37</v>
      </c>
      <c r="F14" s="9" t="n">
        <v>74</v>
      </c>
      <c r="G14" s="9" t="n">
        <v>29</v>
      </c>
      <c r="H14" s="9" t="n">
        <v>81</v>
      </c>
      <c r="I14" s="9" t="n">
        <v>28</v>
      </c>
      <c r="J14" s="9" t="n">
        <v>82</v>
      </c>
      <c r="K14" s="9" t="n">
        <v>29</v>
      </c>
      <c r="L14" s="9" t="n">
        <v>110</v>
      </c>
      <c r="M14" s="9" t="n">
        <v>30</v>
      </c>
      <c r="N14" s="9" t="n">
        <v>110</v>
      </c>
      <c r="O14" s="9" t="n">
        <v>28</v>
      </c>
      <c r="P14" s="9" t="n">
        <v>89</v>
      </c>
      <c r="Q14" s="9" t="n">
        <v>23</v>
      </c>
      <c r="R14" s="9" t="n">
        <v>101</v>
      </c>
      <c r="S14" s="9" t="n">
        <v>29</v>
      </c>
      <c r="T14" s="9" t="n">
        <v>117</v>
      </c>
      <c r="U14" s="9" t="n">
        <v>28</v>
      </c>
      <c r="V14" s="9" t="n">
        <v>96</v>
      </c>
      <c r="W14" s="9" t="n">
        <v>29</v>
      </c>
      <c r="X14" s="9" t="n">
        <v>96</v>
      </c>
      <c r="Y14" s="9" t="n">
        <v>33</v>
      </c>
      <c r="Z14" s="9" t="n">
        <v>102</v>
      </c>
      <c r="AA14" s="9" t="n">
        <v>26</v>
      </c>
      <c r="AB14" s="9" t="n">
        <v>105</v>
      </c>
      <c r="AC14" s="9" t="n">
        <v>28</v>
      </c>
      <c r="AD14" s="9" t="n">
        <v>99</v>
      </c>
      <c r="AE14" s="9" t="n">
        <v>27</v>
      </c>
      <c r="AF14" s="9" t="n">
        <v>1417</v>
      </c>
      <c r="AG14" s="9" t="n">
        <v>439</v>
      </c>
    </row>
    <row r="15">
      <c r="A15" s="8" t="inlineStr">
        <is>
          <t>Combined Win Rate (%)</t>
        </is>
      </c>
      <c r="B15" s="9" t="inlineStr">
        <is>
          <t>63.03%</t>
        </is>
      </c>
      <c r="C15" s="9" t="inlineStr">
        <is>
          <t>49.28%</t>
        </is>
      </c>
      <c r="D15" s="9" t="inlineStr">
        <is>
          <t>63.51%</t>
        </is>
      </c>
      <c r="E15" s="9" t="inlineStr">
        <is>
          <t>46.38%</t>
        </is>
      </c>
      <c r="F15" s="9" t="inlineStr">
        <is>
          <t>64.93%</t>
        </is>
      </c>
      <c r="G15" s="9" t="inlineStr">
        <is>
          <t>57.97%</t>
        </is>
      </c>
      <c r="H15" s="9" t="inlineStr">
        <is>
          <t>61.61%</t>
        </is>
      </c>
      <c r="I15" s="9" t="inlineStr">
        <is>
          <t>59.42%</t>
        </is>
      </c>
      <c r="J15" s="9" t="inlineStr">
        <is>
          <t>61.14%</t>
        </is>
      </c>
      <c r="K15" s="9" t="inlineStr">
        <is>
          <t>57.97%</t>
        </is>
      </c>
      <c r="L15" s="9" t="inlineStr">
        <is>
          <t>47.87%</t>
        </is>
      </c>
      <c r="M15" s="9" t="inlineStr">
        <is>
          <t>56.52%</t>
        </is>
      </c>
      <c r="N15" s="9" t="inlineStr">
        <is>
          <t>47.87%</t>
        </is>
      </c>
      <c r="O15" s="9" t="inlineStr">
        <is>
          <t>59.42%</t>
        </is>
      </c>
      <c r="P15" s="9" t="inlineStr">
        <is>
          <t>57.82%</t>
        </is>
      </c>
      <c r="Q15" s="9" t="inlineStr">
        <is>
          <t>66.67%</t>
        </is>
      </c>
      <c r="R15" s="9" t="inlineStr">
        <is>
          <t>52.13%</t>
        </is>
      </c>
      <c r="S15" s="9" t="inlineStr">
        <is>
          <t>57.97%</t>
        </is>
      </c>
      <c r="T15" s="9" t="inlineStr">
        <is>
          <t>44.55%</t>
        </is>
      </c>
      <c r="U15" s="9" t="inlineStr">
        <is>
          <t>59.42%</t>
        </is>
      </c>
      <c r="V15" s="9" t="inlineStr">
        <is>
          <t>54.5%</t>
        </is>
      </c>
      <c r="W15" s="9" t="inlineStr">
        <is>
          <t>57.97%</t>
        </is>
      </c>
      <c r="X15" s="9" t="inlineStr">
        <is>
          <t>54.5%</t>
        </is>
      </c>
      <c r="Y15" s="9" t="inlineStr">
        <is>
          <t>52.17%</t>
        </is>
      </c>
      <c r="Z15" s="9" t="inlineStr">
        <is>
          <t>51.66%</t>
        </is>
      </c>
      <c r="AA15" s="9" t="inlineStr">
        <is>
          <t>62.32%</t>
        </is>
      </c>
      <c r="AB15" s="9" t="inlineStr">
        <is>
          <t>50.24%</t>
        </is>
      </c>
      <c r="AC15" s="9" t="inlineStr">
        <is>
          <t>59.42%</t>
        </is>
      </c>
      <c r="AD15" s="9" t="inlineStr">
        <is>
          <t>53.08%</t>
        </is>
      </c>
      <c r="AE15" s="9" t="inlineStr">
        <is>
          <t>60.87%</t>
        </is>
      </c>
      <c r="AF15" s="9" t="inlineStr">
        <is>
          <t>55.23%</t>
        </is>
      </c>
      <c r="AG15" s="9" t="inlineStr">
        <is>
          <t>57.58%</t>
        </is>
      </c>
    </row>
    <row r="16">
      <c r="A16" s="8" t="inlineStr">
        <is>
          <t>Total Net Realised P&amp;L (₹)</t>
        </is>
      </c>
      <c r="B16" s="9" t="inlineStr">
        <is>
          <t>₹3,530,935.85</t>
        </is>
      </c>
      <c r="C16" s="9" t="inlineStr">
        <is>
          <t>₹-290,471.61</t>
        </is>
      </c>
      <c r="D16" s="9" t="inlineStr">
        <is>
          <t>₹2,716,539.69</t>
        </is>
      </c>
      <c r="E16" s="9" t="inlineStr">
        <is>
          <t>₹-578,791.25</t>
        </is>
      </c>
      <c r="F16" s="9" t="inlineStr">
        <is>
          <t>₹2,723,091.32</t>
        </is>
      </c>
      <c r="G16" s="9" t="inlineStr">
        <is>
          <t>₹-231,677.48</t>
        </is>
      </c>
      <c r="H16" s="9" t="inlineStr">
        <is>
          <t>₹2,864,307.89</t>
        </is>
      </c>
      <c r="I16" s="9" t="inlineStr">
        <is>
          <t>₹-106,115.18</t>
        </is>
      </c>
      <c r="J16" s="9" t="inlineStr">
        <is>
          <t>₹1,789,894.91</t>
        </is>
      </c>
      <c r="K16" s="9" t="inlineStr">
        <is>
          <t>₹387,373.71</t>
        </is>
      </c>
      <c r="L16" s="9" t="inlineStr">
        <is>
          <t>₹-341,520.83</t>
        </is>
      </c>
      <c r="M16" s="9" t="inlineStr">
        <is>
          <t>₹846,592.10</t>
        </is>
      </c>
      <c r="N16" s="9" t="inlineStr">
        <is>
          <t>₹206,957.16</t>
        </is>
      </c>
      <c r="O16" s="9" t="inlineStr">
        <is>
          <t>₹770,320.53</t>
        </is>
      </c>
      <c r="P16" s="9" t="inlineStr">
        <is>
          <t>₹2,221,066.32</t>
        </is>
      </c>
      <c r="Q16" s="9" t="inlineStr">
        <is>
          <t>₹784,842.97</t>
        </is>
      </c>
      <c r="R16" s="9" t="inlineStr">
        <is>
          <t>₹975,390.29</t>
        </is>
      </c>
      <c r="S16" s="9" t="inlineStr">
        <is>
          <t>₹513,517.83</t>
        </is>
      </c>
      <c r="T16" s="9" t="inlineStr">
        <is>
          <t>₹-1,602,703.04</t>
        </is>
      </c>
      <c r="U16" s="9" t="inlineStr">
        <is>
          <t>₹341,123.17</t>
        </is>
      </c>
      <c r="V16" s="9" t="inlineStr">
        <is>
          <t>₹534,414.14</t>
        </is>
      </c>
      <c r="W16" s="9" t="inlineStr">
        <is>
          <t>₹546,213.43</t>
        </is>
      </c>
      <c r="X16" s="9" t="inlineStr">
        <is>
          <t>₹828,918.08</t>
        </is>
      </c>
      <c r="Y16" s="9" t="inlineStr">
        <is>
          <t>₹436,614.59</t>
        </is>
      </c>
      <c r="Z16" s="9" t="inlineStr">
        <is>
          <t>₹323,626.65</t>
        </is>
      </c>
      <c r="AA16" s="9" t="inlineStr">
        <is>
          <t>₹649,994.52</t>
        </is>
      </c>
      <c r="AB16" s="9" t="inlineStr">
        <is>
          <t>₹-1,164,234.15</t>
        </is>
      </c>
      <c r="AC16" s="9" t="inlineStr">
        <is>
          <t>₹285,374.07</t>
        </is>
      </c>
      <c r="AD16" s="9" t="inlineStr">
        <is>
          <t>₹742,580.36</t>
        </is>
      </c>
      <c r="AE16" s="9" t="inlineStr">
        <is>
          <t>₹661,834.52</t>
        </is>
      </c>
      <c r="AF16" s="9" t="inlineStr">
        <is>
          <t>₹16,349,264.64</t>
        </is>
      </c>
      <c r="AG16" s="9" t="inlineStr">
        <is>
          <t>₹5,016,745.92</t>
        </is>
      </c>
    </row>
    <row r="17">
      <c r="A17" s="8" t="inlineStr">
        <is>
          <t>Total Combined Turnover (₹)</t>
        </is>
      </c>
      <c r="B17" s="9" t="inlineStr">
        <is>
          <t>₹391,770,211.25</t>
        </is>
      </c>
      <c r="C17" s="9" t="inlineStr">
        <is>
          <t>₹111,443,681.86</t>
        </is>
      </c>
      <c r="D17" s="9" t="inlineStr">
        <is>
          <t>₹409,897,206.13</t>
        </is>
      </c>
      <c r="E17" s="9" t="inlineStr">
        <is>
          <t>₹112,444,004.26</t>
        </is>
      </c>
      <c r="F17" s="9" t="inlineStr">
        <is>
          <t>₹416,977,118.16</t>
        </is>
      </c>
      <c r="G17" s="9" t="inlineStr">
        <is>
          <t>₹117,193,823.59</t>
        </is>
      </c>
      <c r="H17" s="9" t="inlineStr">
        <is>
          <t>₹387,235,950.31</t>
        </is>
      </c>
      <c r="I17" s="9" t="inlineStr">
        <is>
          <t>₹117,478,722.77</t>
        </is>
      </c>
      <c r="J17" s="9" t="inlineStr">
        <is>
          <t>₹363,496,207.50</t>
        </is>
      </c>
      <c r="K17" s="9" t="inlineStr">
        <is>
          <t>₹116,577,337.78</t>
        </is>
      </c>
      <c r="L17" s="9" t="inlineStr">
        <is>
          <t>₹394,013,634.63</t>
        </is>
      </c>
      <c r="M17" s="9" t="inlineStr">
        <is>
          <t>₹115,550,368.24</t>
        </is>
      </c>
      <c r="N17" s="9" t="inlineStr">
        <is>
          <t>₹391,784,051.97</t>
        </is>
      </c>
      <c r="O17" s="9" t="inlineStr">
        <is>
          <t>₹107,521,211.45</t>
        </is>
      </c>
      <c r="P17" s="9" t="inlineStr">
        <is>
          <t>₹410,838,401.34</t>
        </is>
      </c>
      <c r="Q17" s="9" t="inlineStr">
        <is>
          <t>₹106,139,883.23</t>
        </is>
      </c>
      <c r="R17" s="9" t="inlineStr">
        <is>
          <t>₹410,293,642.75</t>
        </is>
      </c>
      <c r="S17" s="9" t="inlineStr">
        <is>
          <t>₹103,123,333.15</t>
        </is>
      </c>
      <c r="T17" s="9" t="inlineStr">
        <is>
          <t>₹367,646,829.09</t>
        </is>
      </c>
      <c r="U17" s="9" t="inlineStr">
        <is>
          <t>₹102,379,094.31</t>
        </is>
      </c>
      <c r="V17" s="9" t="inlineStr">
        <is>
          <t>₹341,561,448.69</t>
        </is>
      </c>
      <c r="W17" s="9" t="inlineStr">
        <is>
          <t>₹97,767,511.21</t>
        </is>
      </c>
      <c r="X17" s="9" t="inlineStr">
        <is>
          <t>₹306,554,508.34</t>
        </is>
      </c>
      <c r="Y17" s="9" t="inlineStr">
        <is>
          <t>₹97,340,159.75</t>
        </is>
      </c>
      <c r="Z17" s="9" t="inlineStr">
        <is>
          <t>₹286,017,993.16</t>
        </is>
      </c>
      <c r="AA17" s="9" t="inlineStr">
        <is>
          <t>₹87,768,493.91</t>
        </is>
      </c>
      <c r="AB17" s="9" t="inlineStr">
        <is>
          <t>₹259,419,000.68</t>
        </is>
      </c>
      <c r="AC17" s="9" t="inlineStr">
        <is>
          <t>₹86,929,948.95</t>
        </is>
      </c>
      <c r="AD17" s="9" t="inlineStr">
        <is>
          <t>₹257,514,916.00</t>
        </is>
      </c>
      <c r="AE17" s="9" t="inlineStr">
        <is>
          <t>₹84,920,618.53</t>
        </is>
      </c>
      <c r="AF17" s="9" t="inlineStr">
        <is>
          <t>₹5,395,021,120.00</t>
        </is>
      </c>
      <c r="AG17" s="9" t="inlineStr">
        <is>
          <t>₹1,564,578,192.99</t>
        </is>
      </c>
    </row>
    <row r="18"/>
    <row r="19"/>
    <row r="20">
      <c r="A20" s="3" t="inlineStr">
        <is>
          <t>INDIVIDUAL QUARTER EXECUTIVE SUMMARY TABLES (ALL 15 QUARTERS)</t>
        </is>
      </c>
    </row>
    <row r="21">
      <c r="A21" s="6" t="inlineStr">
        <is>
          <t>Q2 2026-27 EXECUTIVE SUMMARY</t>
        </is>
      </c>
    </row>
    <row r="22">
      <c r="A22" s="10" t="inlineStr">
        <is>
          <t>METRIC NAME</t>
        </is>
      </c>
      <c r="B22" s="10" t="inlineStr">
        <is>
          <t>ALL 211 STOCKS</t>
        </is>
      </c>
      <c r="C22" s="10" t="inlineStr">
        <is>
          <t>QUALIFIED ONLY</t>
        </is>
      </c>
    </row>
    <row r="23">
      <c r="A23" s="8" t="inlineStr">
        <is>
          <t>Average Predicted Return (%)</t>
        </is>
      </c>
      <c r="B23" s="9" t="inlineStr">
        <is>
          <t>1.99%</t>
        </is>
      </c>
      <c r="C23" s="11" t="inlineStr">
        <is>
          <t>1.99%</t>
        </is>
      </c>
    </row>
    <row r="24">
      <c r="A24" s="8" t="inlineStr">
        <is>
          <t>Average Actual Return (%)</t>
        </is>
      </c>
      <c r="B24" s="9" t="inlineStr">
        <is>
          <t>1.56%</t>
        </is>
      </c>
      <c r="C24" s="11" t="inlineStr">
        <is>
          <t>1.56%</t>
        </is>
      </c>
    </row>
    <row r="25">
      <c r="A25" s="8" t="inlineStr">
        <is>
          <t>Total Trades</t>
        </is>
      </c>
      <c r="B25" s="9" t="n">
        <v>211</v>
      </c>
      <c r="C25" s="11" t="n">
        <v>69</v>
      </c>
    </row>
    <row r="26">
      <c r="A26" s="8" t="inlineStr">
        <is>
          <t>Winning Trades</t>
        </is>
      </c>
      <c r="B26" s="9" t="n">
        <v>133</v>
      </c>
      <c r="C26" s="11" t="n">
        <v>34</v>
      </c>
    </row>
    <row r="27">
      <c r="A27" s="8" t="inlineStr">
        <is>
          <t>Losing Trades</t>
        </is>
      </c>
      <c r="B27" s="9" t="n">
        <v>78</v>
      </c>
      <c r="C27" s="11" t="n">
        <v>35</v>
      </c>
    </row>
    <row r="28">
      <c r="A28" s="8" t="inlineStr">
        <is>
          <t>Empirical Win Rate (%)</t>
        </is>
      </c>
      <c r="B28" s="9" t="inlineStr">
        <is>
          <t>63.03%</t>
        </is>
      </c>
      <c r="C28" s="11" t="inlineStr">
        <is>
          <t>49.28%</t>
        </is>
      </c>
    </row>
    <row r="29">
      <c r="A29" s="8" t="inlineStr">
        <is>
          <t>Net Realised P&amp;L (₹)</t>
        </is>
      </c>
      <c r="B29" s="9" t="inlineStr">
        <is>
          <t>₹3,530,935.85</t>
        </is>
      </c>
      <c r="C29" s="11" t="inlineStr">
        <is>
          <t>₹-290,471.61</t>
        </is>
      </c>
    </row>
    <row r="30">
      <c r="A30" s="8" t="inlineStr">
        <is>
          <t>Combined Turnover (₹)</t>
        </is>
      </c>
      <c r="B30" s="9" t="inlineStr">
        <is>
          <t>₹391,770,211.25</t>
        </is>
      </c>
      <c r="C30" s="11" t="inlineStr">
        <is>
          <t>₹111,443,681.86</t>
        </is>
      </c>
    </row>
    <row r="31"/>
    <row r="32"/>
    <row r="33">
      <c r="A33" s="6" t="inlineStr">
        <is>
          <t>Q1 2026-27 EXECUTIVE SUMMARY</t>
        </is>
      </c>
    </row>
    <row r="34">
      <c r="A34" s="10" t="inlineStr">
        <is>
          <t>METRIC NAME</t>
        </is>
      </c>
      <c r="B34" s="10" t="inlineStr">
        <is>
          <t>ALL 211 STOCKS</t>
        </is>
      </c>
      <c r="C34" s="10" t="inlineStr">
        <is>
          <t>QUALIFIED ONLY</t>
        </is>
      </c>
    </row>
    <row r="35">
      <c r="A35" s="8" t="inlineStr">
        <is>
          <t>Average Predicted Return (%)</t>
        </is>
      </c>
      <c r="B35" s="9" t="inlineStr">
        <is>
          <t>1.99%</t>
        </is>
      </c>
      <c r="C35" s="11" t="inlineStr">
        <is>
          <t>1.99%</t>
        </is>
      </c>
    </row>
    <row r="36">
      <c r="A36" s="8" t="inlineStr">
        <is>
          <t>Average Actual Return (%)</t>
        </is>
      </c>
      <c r="B36" s="9" t="inlineStr">
        <is>
          <t>1.86%</t>
        </is>
      </c>
      <c r="C36" s="11" t="inlineStr">
        <is>
          <t>1.86%</t>
        </is>
      </c>
    </row>
    <row r="37">
      <c r="A37" s="8" t="inlineStr">
        <is>
          <t>Total Trades</t>
        </is>
      </c>
      <c r="B37" s="9" t="n">
        <v>211</v>
      </c>
      <c r="C37" s="11" t="n">
        <v>69</v>
      </c>
    </row>
    <row r="38">
      <c r="A38" s="8" t="inlineStr">
        <is>
          <t>Winning Trades</t>
        </is>
      </c>
      <c r="B38" s="9" t="n">
        <v>134</v>
      </c>
      <c r="C38" s="11" t="n">
        <v>32</v>
      </c>
    </row>
    <row r="39">
      <c r="A39" s="8" t="inlineStr">
        <is>
          <t>Losing Trades</t>
        </is>
      </c>
      <c r="B39" s="9" t="n">
        <v>77</v>
      </c>
      <c r="C39" s="11" t="n">
        <v>37</v>
      </c>
    </row>
    <row r="40">
      <c r="A40" s="8" t="inlineStr">
        <is>
          <t>Empirical Win Rate (%)</t>
        </is>
      </c>
      <c r="B40" s="9" t="inlineStr">
        <is>
          <t>63.51%</t>
        </is>
      </c>
      <c r="C40" s="11" t="inlineStr">
        <is>
          <t>46.38%</t>
        </is>
      </c>
    </row>
    <row r="41">
      <c r="A41" s="8" t="inlineStr">
        <is>
          <t>Net Realised P&amp;L (₹)</t>
        </is>
      </c>
      <c r="B41" s="9" t="inlineStr">
        <is>
          <t>₹2,716,539.69</t>
        </is>
      </c>
      <c r="C41" s="11" t="inlineStr">
        <is>
          <t>₹-578,791.25</t>
        </is>
      </c>
    </row>
    <row r="42">
      <c r="A42" s="8" t="inlineStr">
        <is>
          <t>Combined Turnover (₹)</t>
        </is>
      </c>
      <c r="B42" s="9" t="inlineStr">
        <is>
          <t>₹409,897,206.13</t>
        </is>
      </c>
      <c r="C42" s="11" t="inlineStr">
        <is>
          <t>₹112,444,004.26</t>
        </is>
      </c>
    </row>
    <row r="43"/>
    <row r="44"/>
    <row r="45">
      <c r="A45" s="6" t="inlineStr">
        <is>
          <t>Q4 2025-26 EXECUTIVE SUMMARY</t>
        </is>
      </c>
    </row>
    <row r="46">
      <c r="A46" s="10" t="inlineStr">
        <is>
          <t>METRIC NAME</t>
        </is>
      </c>
      <c r="B46" s="10" t="inlineStr">
        <is>
          <t>ALL 211 STOCKS</t>
        </is>
      </c>
      <c r="C46" s="10" t="inlineStr">
        <is>
          <t>QUALIFIED ONLY</t>
        </is>
      </c>
    </row>
    <row r="47">
      <c r="A47" s="8" t="inlineStr">
        <is>
          <t>Average Predicted Return (%)</t>
        </is>
      </c>
      <c r="B47" s="9" t="inlineStr">
        <is>
          <t>1.99%</t>
        </is>
      </c>
      <c r="C47" s="11" t="inlineStr">
        <is>
          <t>1.99%</t>
        </is>
      </c>
    </row>
    <row r="48">
      <c r="A48" s="8" t="inlineStr">
        <is>
          <t>Average Actual Return (%)</t>
        </is>
      </c>
      <c r="B48" s="9" t="inlineStr">
        <is>
          <t>1.82%</t>
        </is>
      </c>
      <c r="C48" s="11" t="inlineStr">
        <is>
          <t>1.82%</t>
        </is>
      </c>
    </row>
    <row r="49">
      <c r="A49" s="8" t="inlineStr">
        <is>
          <t>Total Trades</t>
        </is>
      </c>
      <c r="B49" s="9" t="n">
        <v>211</v>
      </c>
      <c r="C49" s="11" t="n">
        <v>69</v>
      </c>
    </row>
    <row r="50">
      <c r="A50" s="8" t="inlineStr">
        <is>
          <t>Winning Trades</t>
        </is>
      </c>
      <c r="B50" s="9" t="n">
        <v>137</v>
      </c>
      <c r="C50" s="11" t="n">
        <v>40</v>
      </c>
    </row>
    <row r="51">
      <c r="A51" s="8" t="inlineStr">
        <is>
          <t>Losing Trades</t>
        </is>
      </c>
      <c r="B51" s="9" t="n">
        <v>74</v>
      </c>
      <c r="C51" s="11" t="n">
        <v>29</v>
      </c>
    </row>
    <row r="52">
      <c r="A52" s="8" t="inlineStr">
        <is>
          <t>Empirical Win Rate (%)</t>
        </is>
      </c>
      <c r="B52" s="9" t="inlineStr">
        <is>
          <t>64.93%</t>
        </is>
      </c>
      <c r="C52" s="11" t="inlineStr">
        <is>
          <t>57.97%</t>
        </is>
      </c>
    </row>
    <row r="53">
      <c r="A53" s="8" t="inlineStr">
        <is>
          <t>Net Realised P&amp;L (₹)</t>
        </is>
      </c>
      <c r="B53" s="9" t="inlineStr">
        <is>
          <t>₹2,723,091.32</t>
        </is>
      </c>
      <c r="C53" s="11" t="inlineStr">
        <is>
          <t>₹-231,677.48</t>
        </is>
      </c>
    </row>
    <row r="54">
      <c r="A54" s="8" t="inlineStr">
        <is>
          <t>Combined Turnover (₹)</t>
        </is>
      </c>
      <c r="B54" s="9" t="inlineStr">
        <is>
          <t>₹416,977,118.16</t>
        </is>
      </c>
      <c r="C54" s="11" t="inlineStr">
        <is>
          <t>₹117,193,823.59</t>
        </is>
      </c>
    </row>
    <row r="55"/>
    <row r="56"/>
    <row r="57">
      <c r="A57" s="6" t="inlineStr">
        <is>
          <t>Q3 2025-26 EXECUTIVE SUMMARY</t>
        </is>
      </c>
    </row>
    <row r="58">
      <c r="A58" s="10" t="inlineStr">
        <is>
          <t>METRIC NAME</t>
        </is>
      </c>
      <c r="B58" s="10" t="inlineStr">
        <is>
          <t>ALL 211 STOCKS</t>
        </is>
      </c>
      <c r="C58" s="10" t="inlineStr">
        <is>
          <t>QUALIFIED ONLY</t>
        </is>
      </c>
    </row>
    <row r="59">
      <c r="A59" s="8" t="inlineStr">
        <is>
          <t>Average Predicted Return (%)</t>
        </is>
      </c>
      <c r="B59" s="9" t="inlineStr">
        <is>
          <t>1.99%</t>
        </is>
      </c>
      <c r="C59" s="11" t="inlineStr">
        <is>
          <t>1.99%</t>
        </is>
      </c>
    </row>
    <row r="60">
      <c r="A60" s="8" t="inlineStr">
        <is>
          <t>Average Actual Return (%)</t>
        </is>
      </c>
      <c r="B60" s="9" t="inlineStr">
        <is>
          <t>1.88%</t>
        </is>
      </c>
      <c r="C60" s="11" t="inlineStr">
        <is>
          <t>1.88%</t>
        </is>
      </c>
    </row>
    <row r="61">
      <c r="A61" s="8" t="inlineStr">
        <is>
          <t>Total Trades</t>
        </is>
      </c>
      <c r="B61" s="9" t="n">
        <v>211</v>
      </c>
      <c r="C61" s="11" t="n">
        <v>69</v>
      </c>
    </row>
    <row r="62">
      <c r="A62" s="8" t="inlineStr">
        <is>
          <t>Winning Trades</t>
        </is>
      </c>
      <c r="B62" s="9" t="n">
        <v>130</v>
      </c>
      <c r="C62" s="11" t="n">
        <v>41</v>
      </c>
    </row>
    <row r="63">
      <c r="A63" s="8" t="inlineStr">
        <is>
          <t>Losing Trades</t>
        </is>
      </c>
      <c r="B63" s="9" t="n">
        <v>81</v>
      </c>
      <c r="C63" s="11" t="n">
        <v>28</v>
      </c>
    </row>
    <row r="64">
      <c r="A64" s="8" t="inlineStr">
        <is>
          <t>Empirical Win Rate (%)</t>
        </is>
      </c>
      <c r="B64" s="9" t="inlineStr">
        <is>
          <t>61.61%</t>
        </is>
      </c>
      <c r="C64" s="11" t="inlineStr">
        <is>
          <t>59.42%</t>
        </is>
      </c>
    </row>
    <row r="65">
      <c r="A65" s="8" t="inlineStr">
        <is>
          <t>Net Realised P&amp;L (₹)</t>
        </is>
      </c>
      <c r="B65" s="9" t="inlineStr">
        <is>
          <t>₹2,864,307.89</t>
        </is>
      </c>
      <c r="C65" s="11" t="inlineStr">
        <is>
          <t>₹-106,115.18</t>
        </is>
      </c>
    </row>
    <row r="66">
      <c r="A66" s="8" t="inlineStr">
        <is>
          <t>Combined Turnover (₹)</t>
        </is>
      </c>
      <c r="B66" s="9" t="inlineStr">
        <is>
          <t>₹387,235,950.31</t>
        </is>
      </c>
      <c r="C66" s="11" t="inlineStr">
        <is>
          <t>₹117,478,722.77</t>
        </is>
      </c>
    </row>
    <row r="67"/>
    <row r="68"/>
    <row r="69">
      <c r="A69" s="6" t="inlineStr">
        <is>
          <t>Q2 2025-26 EXECUTIVE SUMMARY</t>
        </is>
      </c>
    </row>
    <row r="70">
      <c r="A70" s="10" t="inlineStr">
        <is>
          <t>METRIC NAME</t>
        </is>
      </c>
      <c r="B70" s="10" t="inlineStr">
        <is>
          <t>ALL 211 STOCKS</t>
        </is>
      </c>
      <c r="C70" s="10" t="inlineStr">
        <is>
          <t>QUALIFIED ONLY</t>
        </is>
      </c>
    </row>
    <row r="71">
      <c r="A71" s="8" t="inlineStr">
        <is>
          <t>Average Predicted Return (%)</t>
        </is>
      </c>
      <c r="B71" s="9" t="inlineStr">
        <is>
          <t>1.99%</t>
        </is>
      </c>
      <c r="C71" s="11" t="inlineStr">
        <is>
          <t>1.99%</t>
        </is>
      </c>
    </row>
    <row r="72">
      <c r="A72" s="8" t="inlineStr">
        <is>
          <t>Average Actual Return (%)</t>
        </is>
      </c>
      <c r="B72" s="9" t="inlineStr">
        <is>
          <t>0.9%</t>
        </is>
      </c>
      <c r="C72" s="11" t="inlineStr">
        <is>
          <t>0.9%</t>
        </is>
      </c>
    </row>
    <row r="73">
      <c r="A73" s="8" t="inlineStr">
        <is>
          <t>Total Trades</t>
        </is>
      </c>
      <c r="B73" s="9" t="n">
        <v>211</v>
      </c>
      <c r="C73" s="11" t="n">
        <v>69</v>
      </c>
    </row>
    <row r="74">
      <c r="A74" s="8" t="inlineStr">
        <is>
          <t>Winning Trades</t>
        </is>
      </c>
      <c r="B74" s="9" t="n">
        <v>129</v>
      </c>
      <c r="C74" s="11" t="n">
        <v>40</v>
      </c>
    </row>
    <row r="75">
      <c r="A75" s="8" t="inlineStr">
        <is>
          <t>Losing Trades</t>
        </is>
      </c>
      <c r="B75" s="9" t="n">
        <v>82</v>
      </c>
      <c r="C75" s="11" t="n">
        <v>29</v>
      </c>
    </row>
    <row r="76">
      <c r="A76" s="8" t="inlineStr">
        <is>
          <t>Empirical Win Rate (%)</t>
        </is>
      </c>
      <c r="B76" s="9" t="inlineStr">
        <is>
          <t>61.14%</t>
        </is>
      </c>
      <c r="C76" s="11" t="inlineStr">
        <is>
          <t>57.97%</t>
        </is>
      </c>
    </row>
    <row r="77">
      <c r="A77" s="8" t="inlineStr">
        <is>
          <t>Net Realised P&amp;L (₹)</t>
        </is>
      </c>
      <c r="B77" s="9" t="inlineStr">
        <is>
          <t>₹1,789,894.91</t>
        </is>
      </c>
      <c r="C77" s="11" t="inlineStr">
        <is>
          <t>₹387,373.71</t>
        </is>
      </c>
    </row>
    <row r="78">
      <c r="A78" s="8" t="inlineStr">
        <is>
          <t>Combined Turnover (₹)</t>
        </is>
      </c>
      <c r="B78" s="9" t="inlineStr">
        <is>
          <t>₹363,496,207.50</t>
        </is>
      </c>
      <c r="C78" s="11" t="inlineStr">
        <is>
          <t>₹116,577,337.78</t>
        </is>
      </c>
    </row>
    <row r="79"/>
    <row r="80"/>
    <row r="81">
      <c r="A81" s="6" t="inlineStr">
        <is>
          <t>Q1 2025-26 EXECUTIVE SUMMARY</t>
        </is>
      </c>
    </row>
    <row r="82">
      <c r="A82" s="10" t="inlineStr">
        <is>
          <t>METRIC NAME</t>
        </is>
      </c>
      <c r="B82" s="10" t="inlineStr">
        <is>
          <t>ALL 211 STOCKS</t>
        </is>
      </c>
      <c r="C82" s="10" t="inlineStr">
        <is>
          <t>QUALIFIED ONLY</t>
        </is>
      </c>
    </row>
    <row r="83">
      <c r="A83" s="8" t="inlineStr">
        <is>
          <t>Average Predicted Return (%)</t>
        </is>
      </c>
      <c r="B83" s="9" t="inlineStr">
        <is>
          <t>1.99%</t>
        </is>
      </c>
      <c r="C83" s="11" t="inlineStr">
        <is>
          <t>1.99%</t>
        </is>
      </c>
    </row>
    <row r="84">
      <c r="A84" s="8" t="inlineStr">
        <is>
          <t>Average Actual Return (%)</t>
        </is>
      </c>
      <c r="B84" s="9" t="inlineStr">
        <is>
          <t>-0.39%</t>
        </is>
      </c>
      <c r="C84" s="11" t="inlineStr">
        <is>
          <t>-0.39%</t>
        </is>
      </c>
    </row>
    <row r="85">
      <c r="A85" s="8" t="inlineStr">
        <is>
          <t>Total Trades</t>
        </is>
      </c>
      <c r="B85" s="9" t="n">
        <v>211</v>
      </c>
      <c r="C85" s="11" t="n">
        <v>69</v>
      </c>
    </row>
    <row r="86">
      <c r="A86" s="8" t="inlineStr">
        <is>
          <t>Winning Trades</t>
        </is>
      </c>
      <c r="B86" s="9" t="n">
        <v>101</v>
      </c>
      <c r="C86" s="11" t="n">
        <v>39</v>
      </c>
    </row>
    <row r="87">
      <c r="A87" s="8" t="inlineStr">
        <is>
          <t>Losing Trades</t>
        </is>
      </c>
      <c r="B87" s="9" t="n">
        <v>110</v>
      </c>
      <c r="C87" s="11" t="n">
        <v>30</v>
      </c>
    </row>
    <row r="88">
      <c r="A88" s="8" t="inlineStr">
        <is>
          <t>Empirical Win Rate (%)</t>
        </is>
      </c>
      <c r="B88" s="9" t="inlineStr">
        <is>
          <t>47.87%</t>
        </is>
      </c>
      <c r="C88" s="11" t="inlineStr">
        <is>
          <t>56.52%</t>
        </is>
      </c>
    </row>
    <row r="89">
      <c r="A89" s="8" t="inlineStr">
        <is>
          <t>Net Realised P&amp;L (₹)</t>
        </is>
      </c>
      <c r="B89" s="9" t="inlineStr">
        <is>
          <t>₹-341,520.83</t>
        </is>
      </c>
      <c r="C89" s="11" t="inlineStr">
        <is>
          <t>₹846,592.10</t>
        </is>
      </c>
    </row>
    <row r="90">
      <c r="A90" s="8" t="inlineStr">
        <is>
          <t>Combined Turnover (₹)</t>
        </is>
      </c>
      <c r="B90" s="9" t="inlineStr">
        <is>
          <t>₹394,013,634.63</t>
        </is>
      </c>
      <c r="C90" s="11" t="inlineStr">
        <is>
          <t>₹115,550,368.24</t>
        </is>
      </c>
    </row>
    <row r="91"/>
    <row r="92"/>
    <row r="93">
      <c r="A93" s="6" t="inlineStr">
        <is>
          <t>Q4 2024-25 EXECUTIVE SUMMARY</t>
        </is>
      </c>
    </row>
    <row r="94">
      <c r="A94" s="10" t="inlineStr">
        <is>
          <t>METRIC NAME</t>
        </is>
      </c>
      <c r="B94" s="10" t="inlineStr">
        <is>
          <t>ALL 211 STOCKS</t>
        </is>
      </c>
      <c r="C94" s="10" t="inlineStr">
        <is>
          <t>QUALIFIED ONLY</t>
        </is>
      </c>
    </row>
    <row r="95">
      <c r="A95" s="8" t="inlineStr">
        <is>
          <t>Average Predicted Return (%)</t>
        </is>
      </c>
      <c r="B95" s="9" t="inlineStr">
        <is>
          <t>1.99%</t>
        </is>
      </c>
      <c r="C95" s="11" t="inlineStr">
        <is>
          <t>1.99%</t>
        </is>
      </c>
    </row>
    <row r="96">
      <c r="A96" s="8" t="inlineStr">
        <is>
          <t>Average Actual Return (%)</t>
        </is>
      </c>
      <c r="B96" s="9" t="inlineStr">
        <is>
          <t>0.1%</t>
        </is>
      </c>
      <c r="C96" s="11" t="inlineStr">
        <is>
          <t>0.1%</t>
        </is>
      </c>
    </row>
    <row r="97">
      <c r="A97" s="8" t="inlineStr">
        <is>
          <t>Total Trades</t>
        </is>
      </c>
      <c r="B97" s="9" t="n">
        <v>211</v>
      </c>
      <c r="C97" s="11" t="n">
        <v>69</v>
      </c>
    </row>
    <row r="98">
      <c r="A98" s="8" t="inlineStr">
        <is>
          <t>Winning Trades</t>
        </is>
      </c>
      <c r="B98" s="9" t="n">
        <v>101</v>
      </c>
      <c r="C98" s="11" t="n">
        <v>41</v>
      </c>
    </row>
    <row r="99">
      <c r="A99" s="8" t="inlineStr">
        <is>
          <t>Losing Trades</t>
        </is>
      </c>
      <c r="B99" s="9" t="n">
        <v>110</v>
      </c>
      <c r="C99" s="11" t="n">
        <v>28</v>
      </c>
    </row>
    <row r="100">
      <c r="A100" s="8" t="inlineStr">
        <is>
          <t>Empirical Win Rate (%)</t>
        </is>
      </c>
      <c r="B100" s="9" t="inlineStr">
        <is>
          <t>47.87%</t>
        </is>
      </c>
      <c r="C100" s="11" t="inlineStr">
        <is>
          <t>59.42%</t>
        </is>
      </c>
    </row>
    <row r="101">
      <c r="A101" s="8" t="inlineStr">
        <is>
          <t>Net Realised P&amp;L (₹)</t>
        </is>
      </c>
      <c r="B101" s="9" t="inlineStr">
        <is>
          <t>₹206,957.16</t>
        </is>
      </c>
      <c r="C101" s="11" t="inlineStr">
        <is>
          <t>₹770,320.53</t>
        </is>
      </c>
    </row>
    <row r="102">
      <c r="A102" s="8" t="inlineStr">
        <is>
          <t>Combined Turnover (₹)</t>
        </is>
      </c>
      <c r="B102" s="9" t="inlineStr">
        <is>
          <t>₹391,784,051.97</t>
        </is>
      </c>
      <c r="C102" s="11" t="inlineStr">
        <is>
          <t>₹107,521,211.45</t>
        </is>
      </c>
    </row>
    <row r="103"/>
    <row r="104"/>
    <row r="105">
      <c r="A105" s="6" t="inlineStr">
        <is>
          <t>Q3 2024-25 EXECUTIVE SUMMARY</t>
        </is>
      </c>
    </row>
    <row r="106">
      <c r="A106" s="10" t="inlineStr">
        <is>
          <t>METRIC NAME</t>
        </is>
      </c>
      <c r="B106" s="10" t="inlineStr">
        <is>
          <t>ALL 211 STOCKS</t>
        </is>
      </c>
      <c r="C106" s="10" t="inlineStr">
        <is>
          <t>QUALIFIED ONLY</t>
        </is>
      </c>
    </row>
    <row r="107">
      <c r="A107" s="8" t="inlineStr">
        <is>
          <t>Average Predicted Return (%)</t>
        </is>
      </c>
      <c r="B107" s="9" t="inlineStr">
        <is>
          <t>1.99%</t>
        </is>
      </c>
      <c r="C107" s="11" t="inlineStr">
        <is>
          <t>1.99%</t>
        </is>
      </c>
    </row>
    <row r="108">
      <c r="A108" s="8" t="inlineStr">
        <is>
          <t>Average Actual Return (%)</t>
        </is>
      </c>
      <c r="B108" s="9" t="inlineStr">
        <is>
          <t>1.43%</t>
        </is>
      </c>
      <c r="C108" s="11" t="inlineStr">
        <is>
          <t>1.43%</t>
        </is>
      </c>
    </row>
    <row r="109">
      <c r="A109" s="8" t="inlineStr">
        <is>
          <t>Total Trades</t>
        </is>
      </c>
      <c r="B109" s="9" t="n">
        <v>211</v>
      </c>
      <c r="C109" s="11" t="n">
        <v>69</v>
      </c>
    </row>
    <row r="110">
      <c r="A110" s="8" t="inlineStr">
        <is>
          <t>Winning Trades</t>
        </is>
      </c>
      <c r="B110" s="9" t="n">
        <v>122</v>
      </c>
      <c r="C110" s="11" t="n">
        <v>46</v>
      </c>
    </row>
    <row r="111">
      <c r="A111" s="8" t="inlineStr">
        <is>
          <t>Losing Trades</t>
        </is>
      </c>
      <c r="B111" s="9" t="n">
        <v>89</v>
      </c>
      <c r="C111" s="11" t="n">
        <v>23</v>
      </c>
    </row>
    <row r="112">
      <c r="A112" s="8" t="inlineStr">
        <is>
          <t>Empirical Win Rate (%)</t>
        </is>
      </c>
      <c r="B112" s="9" t="inlineStr">
        <is>
          <t>57.82%</t>
        </is>
      </c>
      <c r="C112" s="11" t="inlineStr">
        <is>
          <t>66.67%</t>
        </is>
      </c>
    </row>
    <row r="113">
      <c r="A113" s="8" t="inlineStr">
        <is>
          <t>Net Realised P&amp;L (₹)</t>
        </is>
      </c>
      <c r="B113" s="9" t="inlineStr">
        <is>
          <t>₹2,221,066.32</t>
        </is>
      </c>
      <c r="C113" s="11" t="inlineStr">
        <is>
          <t>₹784,842.97</t>
        </is>
      </c>
    </row>
    <row r="114">
      <c r="A114" s="8" t="inlineStr">
        <is>
          <t>Combined Turnover (₹)</t>
        </is>
      </c>
      <c r="B114" s="9" t="inlineStr">
        <is>
          <t>₹410,838,401.34</t>
        </is>
      </c>
      <c r="C114" s="11" t="inlineStr">
        <is>
          <t>₹106,139,883.23</t>
        </is>
      </c>
    </row>
    <row r="115"/>
    <row r="116"/>
    <row r="117">
      <c r="A117" s="6" t="inlineStr">
        <is>
          <t>Q2 2024-25 EXECUTIVE SUMMARY</t>
        </is>
      </c>
    </row>
    <row r="118">
      <c r="A118" s="10" t="inlineStr">
        <is>
          <t>METRIC NAME</t>
        </is>
      </c>
      <c r="B118" s="10" t="inlineStr">
        <is>
          <t>ALL 211 STOCKS</t>
        </is>
      </c>
      <c r="C118" s="10" t="inlineStr">
        <is>
          <t>QUALIFIED ONLY</t>
        </is>
      </c>
    </row>
    <row r="119">
      <c r="A119" s="8" t="inlineStr">
        <is>
          <t>Average Predicted Return (%)</t>
        </is>
      </c>
      <c r="B119" s="9" t="inlineStr">
        <is>
          <t>1.99%</t>
        </is>
      </c>
      <c r="C119" s="11" t="inlineStr">
        <is>
          <t>1.99%</t>
        </is>
      </c>
    </row>
    <row r="120">
      <c r="A120" s="8" t="inlineStr">
        <is>
          <t>Average Actual Return (%)</t>
        </is>
      </c>
      <c r="B120" s="9" t="inlineStr">
        <is>
          <t>0.56%</t>
        </is>
      </c>
      <c r="C120" s="11" t="inlineStr">
        <is>
          <t>0.56%</t>
        </is>
      </c>
    </row>
    <row r="121">
      <c r="A121" s="8" t="inlineStr">
        <is>
          <t>Total Trades</t>
        </is>
      </c>
      <c r="B121" s="9" t="n">
        <v>211</v>
      </c>
      <c r="C121" s="11" t="n">
        <v>69</v>
      </c>
    </row>
    <row r="122">
      <c r="A122" s="8" t="inlineStr">
        <is>
          <t>Winning Trades</t>
        </is>
      </c>
      <c r="B122" s="9" t="n">
        <v>110</v>
      </c>
      <c r="C122" s="11" t="n">
        <v>40</v>
      </c>
    </row>
    <row r="123">
      <c r="A123" s="8" t="inlineStr">
        <is>
          <t>Losing Trades</t>
        </is>
      </c>
      <c r="B123" s="9" t="n">
        <v>101</v>
      </c>
      <c r="C123" s="11" t="n">
        <v>29</v>
      </c>
    </row>
    <row r="124">
      <c r="A124" s="8" t="inlineStr">
        <is>
          <t>Empirical Win Rate (%)</t>
        </is>
      </c>
      <c r="B124" s="9" t="inlineStr">
        <is>
          <t>52.13%</t>
        </is>
      </c>
      <c r="C124" s="11" t="inlineStr">
        <is>
          <t>57.97%</t>
        </is>
      </c>
    </row>
    <row r="125">
      <c r="A125" s="8" t="inlineStr">
        <is>
          <t>Net Realised P&amp;L (₹)</t>
        </is>
      </c>
      <c r="B125" s="9" t="inlineStr">
        <is>
          <t>₹975,390.29</t>
        </is>
      </c>
      <c r="C125" s="11" t="inlineStr">
        <is>
          <t>₹513,517.83</t>
        </is>
      </c>
    </row>
    <row r="126">
      <c r="A126" s="8" t="inlineStr">
        <is>
          <t>Combined Turnover (₹)</t>
        </is>
      </c>
      <c r="B126" s="9" t="inlineStr">
        <is>
          <t>₹410,293,642.75</t>
        </is>
      </c>
      <c r="C126" s="11" t="inlineStr">
        <is>
          <t>₹103,123,333.15</t>
        </is>
      </c>
    </row>
    <row r="127"/>
    <row r="128"/>
    <row r="129">
      <c r="A129" s="6" t="inlineStr">
        <is>
          <t>Q1 2024-25 EXECUTIVE SUMMARY</t>
        </is>
      </c>
    </row>
    <row r="130">
      <c r="A130" s="10" t="inlineStr">
        <is>
          <t>METRIC NAME</t>
        </is>
      </c>
      <c r="B130" s="10" t="inlineStr">
        <is>
          <t>ALL 211 STOCKS</t>
        </is>
      </c>
      <c r="C130" s="10" t="inlineStr">
        <is>
          <t>QUALIFIED ONLY</t>
        </is>
      </c>
    </row>
    <row r="131">
      <c r="A131" s="8" t="inlineStr">
        <is>
          <t>Average Predicted Return (%)</t>
        </is>
      </c>
      <c r="B131" s="9" t="inlineStr">
        <is>
          <t>1.99%</t>
        </is>
      </c>
      <c r="C131" s="11" t="inlineStr">
        <is>
          <t>1.99%</t>
        </is>
      </c>
    </row>
    <row r="132">
      <c r="A132" s="8" t="inlineStr">
        <is>
          <t>Average Actual Return (%)</t>
        </is>
      </c>
      <c r="B132" s="9" t="inlineStr">
        <is>
          <t>-0.46%</t>
        </is>
      </c>
      <c r="C132" s="11" t="inlineStr">
        <is>
          <t>-0.46%</t>
        </is>
      </c>
    </row>
    <row r="133">
      <c r="A133" s="8" t="inlineStr">
        <is>
          <t>Total Trades</t>
        </is>
      </c>
      <c r="B133" s="9" t="n">
        <v>211</v>
      </c>
      <c r="C133" s="11" t="n">
        <v>69</v>
      </c>
    </row>
    <row r="134">
      <c r="A134" s="8" t="inlineStr">
        <is>
          <t>Winning Trades</t>
        </is>
      </c>
      <c r="B134" s="9" t="n">
        <v>94</v>
      </c>
      <c r="C134" s="11" t="n">
        <v>41</v>
      </c>
    </row>
    <row r="135">
      <c r="A135" s="8" t="inlineStr">
        <is>
          <t>Losing Trades</t>
        </is>
      </c>
      <c r="B135" s="9" t="n">
        <v>117</v>
      </c>
      <c r="C135" s="11" t="n">
        <v>28</v>
      </c>
    </row>
    <row r="136">
      <c r="A136" s="8" t="inlineStr">
        <is>
          <t>Empirical Win Rate (%)</t>
        </is>
      </c>
      <c r="B136" s="9" t="inlineStr">
        <is>
          <t>44.55%</t>
        </is>
      </c>
      <c r="C136" s="11" t="inlineStr">
        <is>
          <t>59.42%</t>
        </is>
      </c>
    </row>
    <row r="137">
      <c r="A137" s="8" t="inlineStr">
        <is>
          <t>Net Realised P&amp;L (₹)</t>
        </is>
      </c>
      <c r="B137" s="9" t="inlineStr">
        <is>
          <t>₹-1,602,703.04</t>
        </is>
      </c>
      <c r="C137" s="11" t="inlineStr">
        <is>
          <t>₹341,123.17</t>
        </is>
      </c>
    </row>
    <row r="138">
      <c r="A138" s="8" t="inlineStr">
        <is>
          <t>Combined Turnover (₹)</t>
        </is>
      </c>
      <c r="B138" s="9" t="inlineStr">
        <is>
          <t>₹367,646,829.09</t>
        </is>
      </c>
      <c r="C138" s="11" t="inlineStr">
        <is>
          <t>₹102,379,094.31</t>
        </is>
      </c>
    </row>
    <row r="139"/>
    <row r="140"/>
    <row r="141">
      <c r="A141" s="6" t="inlineStr">
        <is>
          <t>Q4 2023-24 EXECUTIVE SUMMARY</t>
        </is>
      </c>
    </row>
    <row r="142">
      <c r="A142" s="10" t="inlineStr">
        <is>
          <t>METRIC NAME</t>
        </is>
      </c>
      <c r="B142" s="10" t="inlineStr">
        <is>
          <t>ALL 211 STOCKS</t>
        </is>
      </c>
      <c r="C142" s="10" t="inlineStr">
        <is>
          <t>QUALIFIED ONLY</t>
        </is>
      </c>
    </row>
    <row r="143">
      <c r="A143" s="8" t="inlineStr">
        <is>
          <t>Average Predicted Return (%)</t>
        </is>
      </c>
      <c r="B143" s="9" t="inlineStr">
        <is>
          <t>1.99%</t>
        </is>
      </c>
      <c r="C143" s="11" t="inlineStr">
        <is>
          <t>1.99%</t>
        </is>
      </c>
    </row>
    <row r="144">
      <c r="A144" s="8" t="inlineStr">
        <is>
          <t>Average Actual Return (%)</t>
        </is>
      </c>
      <c r="B144" s="9" t="inlineStr">
        <is>
          <t>0.14%</t>
        </is>
      </c>
      <c r="C144" s="11" t="inlineStr">
        <is>
          <t>0.14%</t>
        </is>
      </c>
    </row>
    <row r="145">
      <c r="A145" s="8" t="inlineStr">
        <is>
          <t>Total Trades</t>
        </is>
      </c>
      <c r="B145" s="9" t="n">
        <v>211</v>
      </c>
      <c r="C145" s="11" t="n">
        <v>69</v>
      </c>
    </row>
    <row r="146">
      <c r="A146" s="8" t="inlineStr">
        <is>
          <t>Winning Trades</t>
        </is>
      </c>
      <c r="B146" s="9" t="n">
        <v>115</v>
      </c>
      <c r="C146" s="11" t="n">
        <v>40</v>
      </c>
    </row>
    <row r="147">
      <c r="A147" s="8" t="inlineStr">
        <is>
          <t>Losing Trades</t>
        </is>
      </c>
      <c r="B147" s="9" t="n">
        <v>96</v>
      </c>
      <c r="C147" s="11" t="n">
        <v>29</v>
      </c>
    </row>
    <row r="148">
      <c r="A148" s="8" t="inlineStr">
        <is>
          <t>Empirical Win Rate (%)</t>
        </is>
      </c>
      <c r="B148" s="9" t="inlineStr">
        <is>
          <t>54.5%</t>
        </is>
      </c>
      <c r="C148" s="11" t="inlineStr">
        <is>
          <t>57.97%</t>
        </is>
      </c>
    </row>
    <row r="149">
      <c r="A149" s="8" t="inlineStr">
        <is>
          <t>Net Realised P&amp;L (₹)</t>
        </is>
      </c>
      <c r="B149" s="9" t="inlineStr">
        <is>
          <t>₹534,414.14</t>
        </is>
      </c>
      <c r="C149" s="11" t="inlineStr">
        <is>
          <t>₹546,213.43</t>
        </is>
      </c>
    </row>
    <row r="150">
      <c r="A150" s="8" t="inlineStr">
        <is>
          <t>Combined Turnover (₹)</t>
        </is>
      </c>
      <c r="B150" s="9" t="inlineStr">
        <is>
          <t>₹341,561,448.69</t>
        </is>
      </c>
      <c r="C150" s="11" t="inlineStr">
        <is>
          <t>₹97,767,511.21</t>
        </is>
      </c>
    </row>
    <row r="151"/>
    <row r="152"/>
    <row r="153">
      <c r="A153" s="6" t="inlineStr">
        <is>
          <t>Q3 2023-24 EXECUTIVE SUMMARY</t>
        </is>
      </c>
    </row>
    <row r="154">
      <c r="A154" s="10" t="inlineStr">
        <is>
          <t>METRIC NAME</t>
        </is>
      </c>
      <c r="B154" s="10" t="inlineStr">
        <is>
          <t>ALL 211 STOCKS</t>
        </is>
      </c>
      <c r="C154" s="10" t="inlineStr">
        <is>
          <t>QUALIFIED ONLY</t>
        </is>
      </c>
    </row>
    <row r="155">
      <c r="A155" s="8" t="inlineStr">
        <is>
          <t>Average Predicted Return (%)</t>
        </is>
      </c>
      <c r="B155" s="9" t="inlineStr">
        <is>
          <t>1.99%</t>
        </is>
      </c>
      <c r="C155" s="11" t="inlineStr">
        <is>
          <t>1.99%</t>
        </is>
      </c>
    </row>
    <row r="156">
      <c r="A156" s="8" t="inlineStr">
        <is>
          <t>Average Actual Return (%)</t>
        </is>
      </c>
      <c r="B156" s="9" t="inlineStr">
        <is>
          <t>0.91%</t>
        </is>
      </c>
      <c r="C156" s="11" t="inlineStr">
        <is>
          <t>0.91%</t>
        </is>
      </c>
    </row>
    <row r="157">
      <c r="A157" s="8" t="inlineStr">
        <is>
          <t>Total Trades</t>
        </is>
      </c>
      <c r="B157" s="9" t="n">
        <v>211</v>
      </c>
      <c r="C157" s="11" t="n">
        <v>69</v>
      </c>
    </row>
    <row r="158">
      <c r="A158" s="8" t="inlineStr">
        <is>
          <t>Winning Trades</t>
        </is>
      </c>
      <c r="B158" s="9" t="n">
        <v>115</v>
      </c>
      <c r="C158" s="11" t="n">
        <v>36</v>
      </c>
    </row>
    <row r="159">
      <c r="A159" s="8" t="inlineStr">
        <is>
          <t>Losing Trades</t>
        </is>
      </c>
      <c r="B159" s="9" t="n">
        <v>96</v>
      </c>
      <c r="C159" s="11" t="n">
        <v>33</v>
      </c>
    </row>
    <row r="160">
      <c r="A160" s="8" t="inlineStr">
        <is>
          <t>Empirical Win Rate (%)</t>
        </is>
      </c>
      <c r="B160" s="9" t="inlineStr">
        <is>
          <t>54.5%</t>
        </is>
      </c>
      <c r="C160" s="11" t="inlineStr">
        <is>
          <t>52.17%</t>
        </is>
      </c>
    </row>
    <row r="161">
      <c r="A161" s="8" t="inlineStr">
        <is>
          <t>Net Realised P&amp;L (₹)</t>
        </is>
      </c>
      <c r="B161" s="9" t="inlineStr">
        <is>
          <t>₹828,918.08</t>
        </is>
      </c>
      <c r="C161" s="11" t="inlineStr">
        <is>
          <t>₹436,614.59</t>
        </is>
      </c>
    </row>
    <row r="162">
      <c r="A162" s="8" t="inlineStr">
        <is>
          <t>Combined Turnover (₹)</t>
        </is>
      </c>
      <c r="B162" s="9" t="inlineStr">
        <is>
          <t>₹306,554,508.34</t>
        </is>
      </c>
      <c r="C162" s="11" t="inlineStr">
        <is>
          <t>₹97,340,159.75</t>
        </is>
      </c>
    </row>
    <row r="163"/>
    <row r="164"/>
    <row r="165">
      <c r="A165" s="6" t="inlineStr">
        <is>
          <t>Q2 2023-24 EXECUTIVE SUMMARY</t>
        </is>
      </c>
    </row>
    <row r="166">
      <c r="A166" s="10" t="inlineStr">
        <is>
          <t>METRIC NAME</t>
        </is>
      </c>
      <c r="B166" s="10" t="inlineStr">
        <is>
          <t>ALL 211 STOCKS</t>
        </is>
      </c>
      <c r="C166" s="10" t="inlineStr">
        <is>
          <t>QUALIFIED ONLY</t>
        </is>
      </c>
    </row>
    <row r="167">
      <c r="A167" s="8" t="inlineStr">
        <is>
          <t>Average Predicted Return (%)</t>
        </is>
      </c>
      <c r="B167" s="9" t="inlineStr">
        <is>
          <t>1.99%</t>
        </is>
      </c>
      <c r="C167" s="11" t="inlineStr">
        <is>
          <t>1.99%</t>
        </is>
      </c>
    </row>
    <row r="168">
      <c r="A168" s="8" t="inlineStr">
        <is>
          <t>Average Actual Return (%)</t>
        </is>
      </c>
      <c r="B168" s="9" t="inlineStr">
        <is>
          <t>0.4%</t>
        </is>
      </c>
      <c r="C168" s="11" t="inlineStr">
        <is>
          <t>0.4%</t>
        </is>
      </c>
    </row>
    <row r="169">
      <c r="A169" s="8" t="inlineStr">
        <is>
          <t>Total Trades</t>
        </is>
      </c>
      <c r="B169" s="9" t="n">
        <v>211</v>
      </c>
      <c r="C169" s="11" t="n">
        <v>69</v>
      </c>
    </row>
    <row r="170">
      <c r="A170" s="8" t="inlineStr">
        <is>
          <t>Winning Trades</t>
        </is>
      </c>
      <c r="B170" s="9" t="n">
        <v>109</v>
      </c>
      <c r="C170" s="11" t="n">
        <v>43</v>
      </c>
    </row>
    <row r="171">
      <c r="A171" s="8" t="inlineStr">
        <is>
          <t>Losing Trades</t>
        </is>
      </c>
      <c r="B171" s="9" t="n">
        <v>102</v>
      </c>
      <c r="C171" s="11" t="n">
        <v>26</v>
      </c>
    </row>
    <row r="172">
      <c r="A172" s="8" t="inlineStr">
        <is>
          <t>Empirical Win Rate (%)</t>
        </is>
      </c>
      <c r="B172" s="9" t="inlineStr">
        <is>
          <t>51.66%</t>
        </is>
      </c>
      <c r="C172" s="11" t="inlineStr">
        <is>
          <t>62.32%</t>
        </is>
      </c>
    </row>
    <row r="173">
      <c r="A173" s="8" t="inlineStr">
        <is>
          <t>Net Realised P&amp;L (₹)</t>
        </is>
      </c>
      <c r="B173" s="9" t="inlineStr">
        <is>
          <t>₹323,626.65</t>
        </is>
      </c>
      <c r="C173" s="11" t="inlineStr">
        <is>
          <t>₹649,994.52</t>
        </is>
      </c>
    </row>
    <row r="174">
      <c r="A174" s="8" t="inlineStr">
        <is>
          <t>Combined Turnover (₹)</t>
        </is>
      </c>
      <c r="B174" s="9" t="inlineStr">
        <is>
          <t>₹286,017,993.16</t>
        </is>
      </c>
      <c r="C174" s="11" t="inlineStr">
        <is>
          <t>₹87,768,493.91</t>
        </is>
      </c>
    </row>
    <row r="175"/>
    <row r="176"/>
    <row r="177">
      <c r="A177" s="6" t="inlineStr">
        <is>
          <t>Q1 2023-24 EXECUTIVE SUMMARY</t>
        </is>
      </c>
    </row>
    <row r="178">
      <c r="A178" s="10" t="inlineStr">
        <is>
          <t>METRIC NAME</t>
        </is>
      </c>
      <c r="B178" s="10" t="inlineStr">
        <is>
          <t>ALL 211 STOCKS</t>
        </is>
      </c>
      <c r="C178" s="10" t="inlineStr">
        <is>
          <t>QUALIFIED ONLY</t>
        </is>
      </c>
    </row>
    <row r="179">
      <c r="A179" s="8" t="inlineStr">
        <is>
          <t>Average Predicted Return (%)</t>
        </is>
      </c>
      <c r="B179" s="9" t="inlineStr">
        <is>
          <t>1.99%</t>
        </is>
      </c>
      <c r="C179" s="11" t="inlineStr">
        <is>
          <t>1.99%</t>
        </is>
      </c>
    </row>
    <row r="180">
      <c r="A180" s="8" t="inlineStr">
        <is>
          <t>Average Actual Return (%)</t>
        </is>
      </c>
      <c r="B180" s="9" t="inlineStr">
        <is>
          <t>-0.2%</t>
        </is>
      </c>
      <c r="C180" s="11" t="inlineStr">
        <is>
          <t>-0.2%</t>
        </is>
      </c>
    </row>
    <row r="181">
      <c r="A181" s="8" t="inlineStr">
        <is>
          <t>Total Trades</t>
        </is>
      </c>
      <c r="B181" s="9" t="n">
        <v>211</v>
      </c>
      <c r="C181" s="11" t="n">
        <v>69</v>
      </c>
    </row>
    <row r="182">
      <c r="A182" s="8" t="inlineStr">
        <is>
          <t>Winning Trades</t>
        </is>
      </c>
      <c r="B182" s="9" t="n">
        <v>106</v>
      </c>
      <c r="C182" s="11" t="n">
        <v>41</v>
      </c>
    </row>
    <row r="183">
      <c r="A183" s="8" t="inlineStr">
        <is>
          <t>Losing Trades</t>
        </is>
      </c>
      <c r="B183" s="9" t="n">
        <v>105</v>
      </c>
      <c r="C183" s="11" t="n">
        <v>28</v>
      </c>
    </row>
    <row r="184">
      <c r="A184" s="8" t="inlineStr">
        <is>
          <t>Empirical Win Rate (%)</t>
        </is>
      </c>
      <c r="B184" s="9" t="inlineStr">
        <is>
          <t>50.24%</t>
        </is>
      </c>
      <c r="C184" s="11" t="inlineStr">
        <is>
          <t>59.42%</t>
        </is>
      </c>
    </row>
    <row r="185">
      <c r="A185" s="8" t="inlineStr">
        <is>
          <t>Net Realised P&amp;L (₹)</t>
        </is>
      </c>
      <c r="B185" s="9" t="inlineStr">
        <is>
          <t>₹-1,164,234.15</t>
        </is>
      </c>
      <c r="C185" s="11" t="inlineStr">
        <is>
          <t>₹285,374.07</t>
        </is>
      </c>
    </row>
    <row r="186">
      <c r="A186" s="8" t="inlineStr">
        <is>
          <t>Combined Turnover (₹)</t>
        </is>
      </c>
      <c r="B186" s="9" t="inlineStr">
        <is>
          <t>₹259,419,000.68</t>
        </is>
      </c>
      <c r="C186" s="11" t="inlineStr">
        <is>
          <t>₹86,929,948.95</t>
        </is>
      </c>
    </row>
    <row r="187"/>
    <row r="188"/>
    <row r="189">
      <c r="A189" s="6" t="inlineStr">
        <is>
          <t>Q4 2022-23 EXECUTIVE SUMMARY</t>
        </is>
      </c>
    </row>
    <row r="190">
      <c r="A190" s="10" t="inlineStr">
        <is>
          <t>METRIC NAME</t>
        </is>
      </c>
      <c r="B190" s="10" t="inlineStr">
        <is>
          <t>ALL 211 STOCKS</t>
        </is>
      </c>
      <c r="C190" s="10" t="inlineStr">
        <is>
          <t>QUALIFIED ONLY</t>
        </is>
      </c>
    </row>
    <row r="191">
      <c r="A191" s="8" t="inlineStr">
        <is>
          <t>Average Predicted Return (%)</t>
        </is>
      </c>
      <c r="B191" s="9" t="inlineStr">
        <is>
          <t>1.99%</t>
        </is>
      </c>
      <c r="C191" s="11" t="inlineStr">
        <is>
          <t>1.99%</t>
        </is>
      </c>
    </row>
    <row r="192">
      <c r="A192" s="8" t="inlineStr">
        <is>
          <t>Average Actual Return (%)</t>
        </is>
      </c>
      <c r="B192" s="9" t="inlineStr">
        <is>
          <t>0.7%</t>
        </is>
      </c>
      <c r="C192" s="11" t="inlineStr">
        <is>
          <t>0.7%</t>
        </is>
      </c>
    </row>
    <row r="193">
      <c r="A193" s="8" t="inlineStr">
        <is>
          <t>Total Trades</t>
        </is>
      </c>
      <c r="B193" s="9" t="n">
        <v>211</v>
      </c>
      <c r="C193" s="11" t="n">
        <v>69</v>
      </c>
    </row>
    <row r="194">
      <c r="A194" s="8" t="inlineStr">
        <is>
          <t>Winning Trades</t>
        </is>
      </c>
      <c r="B194" s="9" t="n">
        <v>112</v>
      </c>
      <c r="C194" s="11" t="n">
        <v>42</v>
      </c>
    </row>
    <row r="195">
      <c r="A195" s="8" t="inlineStr">
        <is>
          <t>Losing Trades</t>
        </is>
      </c>
      <c r="B195" s="9" t="n">
        <v>99</v>
      </c>
      <c r="C195" s="11" t="n">
        <v>27</v>
      </c>
    </row>
    <row r="196">
      <c r="A196" s="8" t="inlineStr">
        <is>
          <t>Empirical Win Rate (%)</t>
        </is>
      </c>
      <c r="B196" s="9" t="inlineStr">
        <is>
          <t>53.08%</t>
        </is>
      </c>
      <c r="C196" s="11" t="inlineStr">
        <is>
          <t>60.87%</t>
        </is>
      </c>
    </row>
    <row r="197">
      <c r="A197" s="8" t="inlineStr">
        <is>
          <t>Net Realised P&amp;L (₹)</t>
        </is>
      </c>
      <c r="B197" s="9" t="inlineStr">
        <is>
          <t>₹742,580.36</t>
        </is>
      </c>
      <c r="C197" s="11" t="inlineStr">
        <is>
          <t>₹661,834.52</t>
        </is>
      </c>
    </row>
    <row r="198">
      <c r="A198" s="8" t="inlineStr">
        <is>
          <t>Combined Turnover (₹)</t>
        </is>
      </c>
      <c r="B198" s="9" t="inlineStr">
        <is>
          <t>₹257,514,916.00</t>
        </is>
      </c>
      <c r="C198" s="11" t="inlineStr">
        <is>
          <t>₹84,920,618.53</t>
        </is>
      </c>
    </row>
  </sheetData>
  <mergeCells count="39">
    <mergeCell ref="A177:C177"/>
    <mergeCell ref="AD8:AE8"/>
    <mergeCell ref="A189:C189"/>
    <mergeCell ref="V8:W8"/>
    <mergeCell ref="A21:C21"/>
    <mergeCell ref="A105:C105"/>
    <mergeCell ref="X8:Y8"/>
    <mergeCell ref="A57:C57"/>
    <mergeCell ref="A129:C129"/>
    <mergeCell ref="A33:C33"/>
    <mergeCell ref="A141:C141"/>
    <mergeCell ref="I3:L4"/>
    <mergeCell ref="P8:Q8"/>
    <mergeCell ref="A3:D4"/>
    <mergeCell ref="M3:P4"/>
    <mergeCell ref="A69:C69"/>
    <mergeCell ref="L8:M8"/>
    <mergeCell ref="B8:C8"/>
    <mergeCell ref="A81:C81"/>
    <mergeCell ref="N8:O8"/>
    <mergeCell ref="F8:G8"/>
    <mergeCell ref="A165:C165"/>
    <mergeCell ref="Z8:AA8"/>
    <mergeCell ref="A117:C117"/>
    <mergeCell ref="A93:C93"/>
    <mergeCell ref="A1:AE1"/>
    <mergeCell ref="T8:U8"/>
    <mergeCell ref="AB8:AC8"/>
    <mergeCell ref="AF8:AG8"/>
    <mergeCell ref="D8:E8"/>
    <mergeCell ref="A20:K20"/>
    <mergeCell ref="A7:AE7"/>
    <mergeCell ref="A45:C45"/>
    <mergeCell ref="E3:H4"/>
    <mergeCell ref="Q3:T4"/>
    <mergeCell ref="A153:C153"/>
    <mergeCell ref="H8:I8"/>
    <mergeCell ref="J8:K8"/>
    <mergeCell ref="R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2026-27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Q2 2026-27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2.07%</t>
        </is>
      </c>
      <c r="J4" s="13" t="inlineStr">
        <is>
          <t>0.0%</t>
        </is>
      </c>
      <c r="K4" s="16" t="n">
        <v>42511150.11</v>
      </c>
      <c r="L4" s="13" t="inlineStr">
        <is>
          <t>2026-07-21</t>
        </is>
      </c>
      <c r="M4" s="13" t="inlineStr">
        <is>
          <t>2026-07-30</t>
        </is>
      </c>
      <c r="N4" s="13" t="inlineStr">
        <is>
          <t>2026-08-11</t>
        </is>
      </c>
      <c r="O4" s="9" t="n">
        <v>874</v>
      </c>
      <c r="P4" s="17" t="n">
        <v>1119.699951171875</v>
      </c>
      <c r="Q4" s="17" t="n">
        <v>1142.900024414062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Q2 2026-27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-3.19%</t>
        </is>
      </c>
      <c r="J5" s="13" t="inlineStr">
        <is>
          <t>-3.8%</t>
        </is>
      </c>
      <c r="K5" s="16">
        <f>X4</f>
        <v/>
      </c>
      <c r="L5" s="13" t="inlineStr">
        <is>
          <t>2026-07-21</t>
        </is>
      </c>
      <c r="M5" s="13" t="inlineStr">
        <is>
          <t>2026-07-30</t>
        </is>
      </c>
      <c r="N5" s="13" t="inlineStr">
        <is>
          <t>2026-07-31</t>
        </is>
      </c>
      <c r="O5" s="9" t="n">
        <v>137</v>
      </c>
      <c r="P5" s="17" t="n">
        <v>7532</v>
      </c>
      <c r="Q5" s="17" t="n">
        <v>7291.5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Q2 2026-27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-1.6%</t>
        </is>
      </c>
      <c r="J6" s="13" t="inlineStr">
        <is>
          <t>-2.92%</t>
        </is>
      </c>
      <c r="K6" s="16">
        <f>X5</f>
        <v/>
      </c>
      <c r="L6" s="13" t="inlineStr">
        <is>
          <t>2026-07-27</t>
        </is>
      </c>
      <c r="M6" s="13" t="inlineStr">
        <is>
          <t>2026-07-30</t>
        </is>
      </c>
      <c r="N6" s="13" t="inlineStr">
        <is>
          <t>2026-08-14</t>
        </is>
      </c>
      <c r="O6" s="9" t="n">
        <v>2537</v>
      </c>
      <c r="P6" s="17" t="n">
        <v>400.4500122070313</v>
      </c>
      <c r="Q6" s="17" t="n">
        <v>394.0499877929688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Q2 2026-27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-0.58%</t>
        </is>
      </c>
      <c r="J7" s="13" t="inlineStr">
        <is>
          <t>-1.3%</t>
        </is>
      </c>
      <c r="K7" s="16">
        <f>X6</f>
        <v/>
      </c>
      <c r="L7" s="13" t="inlineStr">
        <is>
          <t>2026-07-28</t>
        </is>
      </c>
      <c r="M7" s="13" t="inlineStr">
        <is>
          <t>2026-07-30</t>
        </is>
      </c>
      <c r="N7" s="13" t="inlineStr">
        <is>
          <t>2026-07-28</t>
        </is>
      </c>
      <c r="O7" s="9" t="n">
        <v>602</v>
      </c>
      <c r="P7" s="17" t="n">
        <v>1659</v>
      </c>
      <c r="Q7" s="17" t="n">
        <v>1649.5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Q2 2026-27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-1.13%</t>
        </is>
      </c>
      <c r="J8" s="13" t="inlineStr">
        <is>
          <t>-1.75%</t>
        </is>
      </c>
      <c r="K8" s="16">
        <f>X7</f>
        <v/>
      </c>
      <c r="L8" s="13" t="inlineStr">
        <is>
          <t>2025-01-31</t>
        </is>
      </c>
      <c r="M8" s="13" t="inlineStr">
        <is>
          <t>2025-02-03</t>
        </is>
      </c>
      <c r="N8" s="13" t="inlineStr">
        <is>
          <t>2025-01-31</t>
        </is>
      </c>
      <c r="O8" s="9" t="n">
        <v>300</v>
      </c>
      <c r="P8" s="17" t="n">
        <v>2285.64453125</v>
      </c>
      <c r="Q8" s="17" t="n">
        <v>2259.718994140625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Q2 2026-27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-2.93%</t>
        </is>
      </c>
      <c r="J9" s="13" t="inlineStr">
        <is>
          <t>-4.36%</t>
        </is>
      </c>
      <c r="K9" s="16">
        <f>X8</f>
        <v/>
      </c>
      <c r="L9" s="13" t="inlineStr">
        <is>
          <t>2026-07-27</t>
        </is>
      </c>
      <c r="M9" s="13" t="inlineStr">
        <is>
          <t>2026-07-30</t>
        </is>
      </c>
      <c r="N9" s="13" t="inlineStr">
        <is>
          <t>2026-08-10</t>
        </is>
      </c>
      <c r="O9" s="9" t="n">
        <v>500</v>
      </c>
      <c r="P9" s="17" t="n">
        <v>1399.699951171875</v>
      </c>
      <c r="Q9" s="17" t="n">
        <v>1358.699951171875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Q2 2026-27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3.82%</t>
        </is>
      </c>
      <c r="J10" s="13" t="inlineStr">
        <is>
          <t>3.16%</t>
        </is>
      </c>
      <c r="K10" s="16">
        <f>X9</f>
        <v/>
      </c>
      <c r="L10" s="13" t="inlineStr">
        <is>
          <t>2025-01-22</t>
        </is>
      </c>
      <c r="M10" s="13" t="inlineStr">
        <is>
          <t>2025-02-05</t>
        </is>
      </c>
      <c r="N10" s="13" t="inlineStr">
        <is>
          <t>2025-01-30</t>
        </is>
      </c>
      <c r="O10" s="9" t="n">
        <v>625</v>
      </c>
      <c r="P10" s="17" t="n">
        <v>1092.309814453125</v>
      </c>
      <c r="Q10" s="17" t="n">
        <v>1134.030151367188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Q2 2026-27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2.33%</t>
        </is>
      </c>
      <c r="J11" s="13" t="inlineStr">
        <is>
          <t>2.17%</t>
        </is>
      </c>
      <c r="K11" s="16">
        <f>X10</f>
        <v/>
      </c>
      <c r="L11" s="13" t="inlineStr">
        <is>
          <t>2026-07-27</t>
        </is>
      </c>
      <c r="M11" s="13" t="inlineStr">
        <is>
          <t>2026-07-30</t>
        </is>
      </c>
      <c r="N11" s="13" t="inlineStr">
        <is>
          <t>2026-08-14</t>
        </is>
      </c>
      <c r="O11" s="9" t="n">
        <v>4785</v>
      </c>
      <c r="P11" s="17" t="n">
        <v>208.9700012207031</v>
      </c>
      <c r="Q11" s="17" t="n">
        <v>213.9600067138672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Q2 2026-27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2.92%</t>
        </is>
      </c>
      <c r="J12" s="13" t="inlineStr">
        <is>
          <t>2.61%</t>
        </is>
      </c>
      <c r="K12" s="16">
        <f>X11</f>
        <v/>
      </c>
      <c r="L12" s="13" t="inlineStr">
        <is>
          <t>2026-07-28</t>
        </is>
      </c>
      <c r="M12" s="13" t="inlineStr">
        <is>
          <t>2026-07-30</t>
        </is>
      </c>
      <c r="N12" s="13" t="inlineStr">
        <is>
          <t>2026-08-27</t>
        </is>
      </c>
      <c r="O12" s="9" t="n">
        <v>171</v>
      </c>
      <c r="P12" s="17" t="n">
        <v>5651.5</v>
      </c>
      <c r="Q12" s="17" t="n">
        <v>5816.5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Q2 2026-27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2026-08-25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Q2 2026-27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1.51%</t>
        </is>
      </c>
      <c r="J14" s="13" t="inlineStr">
        <is>
          <t>1.26%</t>
        </is>
      </c>
      <c r="K14" s="16">
        <f>X13</f>
        <v/>
      </c>
      <c r="L14" s="13" t="inlineStr">
        <is>
          <t>2026-07-21</t>
        </is>
      </c>
      <c r="M14" s="13" t="inlineStr">
        <is>
          <t>2026-07-30</t>
        </is>
      </c>
      <c r="N14" s="13" t="inlineStr">
        <is>
          <t>2026-08-27</t>
        </is>
      </c>
      <c r="O14" s="9" t="n">
        <v>2303</v>
      </c>
      <c r="P14" s="17" t="n">
        <v>434.2000122070313</v>
      </c>
      <c r="Q14" s="17" t="n">
        <v>440.8500061035156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Q2 2026-27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-7.96%</t>
        </is>
      </c>
      <c r="J15" s="13" t="inlineStr">
        <is>
          <t>-12.87%</t>
        </is>
      </c>
      <c r="K15" s="16">
        <f>X14</f>
        <v/>
      </c>
      <c r="L15" s="13" t="inlineStr">
        <is>
          <t>2026-07-14</t>
        </is>
      </c>
      <c r="M15" s="13" t="inlineStr">
        <is>
          <t>2026-07-23</t>
        </is>
      </c>
      <c r="N15" s="13" t="inlineStr">
        <is>
          <t>2026-07-16</t>
        </is>
      </c>
      <c r="O15" s="9" t="n">
        <v>3428</v>
      </c>
      <c r="P15" s="17" t="n">
        <v>332.5216064453125</v>
      </c>
      <c r="Q15" s="17" t="n">
        <v>306.0499877929688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Q2 2026-27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2.34%</t>
        </is>
      </c>
      <c r="J16" s="13" t="inlineStr">
        <is>
          <t>1.34%</t>
        </is>
      </c>
      <c r="K16" s="16">
        <f>X15</f>
        <v/>
      </c>
      <c r="L16" s="13" t="inlineStr">
        <is>
          <t>2026-07-27</t>
        </is>
      </c>
      <c r="M16" s="13" t="inlineStr">
        <is>
          <t>2026-07-30</t>
        </is>
      </c>
      <c r="N16" s="13" t="inlineStr">
        <is>
          <t>2026-08-21</t>
        </is>
      </c>
      <c r="O16" s="9" t="n">
        <v>528</v>
      </c>
      <c r="P16" s="17" t="n">
        <v>1849.900024414062</v>
      </c>
      <c r="Q16" s="17" t="n">
        <v>1893.099975585937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Q2 2026-27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1.08%</t>
        </is>
      </c>
      <c r="J17" s="13" t="inlineStr">
        <is>
          <t>-1.55%</t>
        </is>
      </c>
      <c r="K17" s="16">
        <f>X16</f>
        <v/>
      </c>
      <c r="L17" s="13" t="inlineStr">
        <is>
          <t>2025-02-11</t>
        </is>
      </c>
      <c r="M17" s="13" t="inlineStr">
        <is>
          <t>2025-02-18</t>
        </is>
      </c>
      <c r="N17" s="13" t="inlineStr">
        <is>
          <t>2025-02-11</t>
        </is>
      </c>
      <c r="O17" s="9" t="n">
        <v>125</v>
      </c>
      <c r="P17" s="17" t="n">
        <v>6292.009765625</v>
      </c>
      <c r="Q17" s="17" t="n">
        <v>6360.25439453125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Q2 2026-27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6.56%</t>
        </is>
      </c>
      <c r="J18" s="13" t="inlineStr">
        <is>
          <t>2.08%</t>
        </is>
      </c>
      <c r="K18" s="16">
        <f>X17</f>
        <v/>
      </c>
      <c r="L18" s="13" t="inlineStr">
        <is>
          <t>2025-02-11</t>
        </is>
      </c>
      <c r="M18" s="13" t="inlineStr">
        <is>
          <t>2025-02-13</t>
        </is>
      </c>
      <c r="N18" s="13" t="inlineStr">
        <is>
          <t>2025-02-12</t>
        </is>
      </c>
      <c r="O18" s="9" t="n">
        <v>5000</v>
      </c>
      <c r="P18" s="17" t="n">
        <v>97.74370574951172</v>
      </c>
      <c r="Q18" s="17" t="n">
        <v>104.1540679931641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Q2 2026-27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-0.6%</t>
        </is>
      </c>
      <c r="J19" s="13" t="inlineStr">
        <is>
          <t>-0.44%</t>
        </is>
      </c>
      <c r="K19" s="16">
        <f>X18</f>
        <v/>
      </c>
      <c r="L19" s="13" t="inlineStr">
        <is>
          <t>2025-01-30</t>
        </is>
      </c>
      <c r="M19" s="13" t="inlineStr">
        <is>
          <t>2025-02-06</t>
        </is>
      </c>
      <c r="N19" s="13" t="inlineStr">
        <is>
          <t>2025-02-04</t>
        </is>
      </c>
      <c r="O19" s="9" t="n">
        <v>200</v>
      </c>
      <c r="P19" s="17" t="n">
        <v>2219.953369140625</v>
      </c>
      <c r="Q19" s="17" t="n">
        <v>2206.66357421875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Q2 2026-27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1.43%</t>
        </is>
      </c>
      <c r="J20" s="13" t="inlineStr">
        <is>
          <t>2.89%</t>
        </is>
      </c>
      <c r="K20" s="16">
        <f>X19</f>
        <v/>
      </c>
      <c r="L20" s="13" t="inlineStr">
        <is>
          <t>2025-01-20</t>
        </is>
      </c>
      <c r="M20" s="13" t="inlineStr">
        <is>
          <t>2025-02-04</t>
        </is>
      </c>
      <c r="N20" s="13" t="inlineStr">
        <is>
          <t>2025-01-30</t>
        </is>
      </c>
      <c r="O20" s="9" t="n">
        <v>679</v>
      </c>
      <c r="P20" s="17" t="n">
        <v>1479.450439453125</v>
      </c>
      <c r="Q20" s="17" t="n">
        <v>1500.643188476562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Q2 2026-27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19.22%</t>
        </is>
      </c>
      <c r="J21" s="13" t="inlineStr">
        <is>
          <t>3.96%</t>
        </is>
      </c>
      <c r="K21" s="16">
        <f>X20</f>
        <v/>
      </c>
      <c r="L21" s="13" t="inlineStr">
        <is>
          <t>2026-08-03</t>
        </is>
      </c>
      <c r="M21" s="13" t="inlineStr">
        <is>
          <t>2026-08-11</t>
        </is>
      </c>
      <c r="N21" s="13" t="inlineStr">
        <is>
          <t>2026-08-03</t>
        </is>
      </c>
      <c r="O21" s="9" t="n">
        <v>668</v>
      </c>
      <c r="P21" s="17" t="n">
        <v>1280</v>
      </c>
      <c r="Q21" s="17" t="n">
        <v>1526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Q2 2026-27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2.03%</t>
        </is>
      </c>
      <c r="J22" s="13" t="inlineStr">
        <is>
          <t>-6.17%</t>
        </is>
      </c>
      <c r="K22" s="16">
        <f>X21</f>
        <v/>
      </c>
      <c r="L22" s="13" t="inlineStr">
        <is>
          <t>2025-01-14</t>
        </is>
      </c>
      <c r="M22" s="13" t="inlineStr">
        <is>
          <t>2025-01-27</t>
        </is>
      </c>
      <c r="N22" s="13" t="inlineStr">
        <is>
          <t>2025-01-24</t>
        </is>
      </c>
      <c r="O22" s="9" t="n">
        <v>970</v>
      </c>
      <c r="P22" s="17" t="n">
        <v>562.7559814453125</v>
      </c>
      <c r="Q22" s="17" t="n">
        <v>574.3916015625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Q2 2026-27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4.3%</t>
        </is>
      </c>
      <c r="J23" s="13" t="inlineStr">
        <is>
          <t>4.0%</t>
        </is>
      </c>
      <c r="K23" s="16">
        <f>X22</f>
        <v/>
      </c>
      <c r="L23" s="13" t="inlineStr">
        <is>
          <t>2025-02-01</t>
        </is>
      </c>
      <c r="M23" s="13" t="inlineStr">
        <is>
          <t>2025-02-07</t>
        </is>
      </c>
      <c r="N23" s="13" t="inlineStr">
        <is>
          <t>2025-02-06</t>
        </is>
      </c>
      <c r="O23" s="9" t="n">
        <v>634</v>
      </c>
      <c r="P23" s="17" t="n">
        <v>1138.327026367188</v>
      </c>
      <c r="Q23" s="17" t="n">
        <v>1187.243286132812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Q2 2026-27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-7.38%</t>
        </is>
      </c>
      <c r="J24" s="13" t="inlineStr">
        <is>
          <t>-8.71%</t>
        </is>
      </c>
      <c r="K24" s="16">
        <f>X23</f>
        <v/>
      </c>
      <c r="L24" s="13" t="inlineStr">
        <is>
          <t>2025-01-15</t>
        </is>
      </c>
      <c r="M24" s="13" t="inlineStr">
        <is>
          <t>2025-01-23</t>
        </is>
      </c>
      <c r="N24" s="13" t="inlineStr">
        <is>
          <t>2025-01-16</t>
        </is>
      </c>
      <c r="O24" s="9" t="n">
        <v>625</v>
      </c>
      <c r="P24" s="17" t="n">
        <v>1025.132568359375</v>
      </c>
      <c r="Q24" s="17" t="n">
        <v>949.505615234375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Q2 2026-27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5.33%</t>
        </is>
      </c>
      <c r="J25" s="13" t="inlineStr">
        <is>
          <t>3.68%</t>
        </is>
      </c>
      <c r="K25" s="16">
        <f>X24</f>
        <v/>
      </c>
      <c r="L25" s="13" t="inlineStr">
        <is>
          <t>2025-01-23</t>
        </is>
      </c>
      <c r="M25" s="13" t="inlineStr">
        <is>
          <t>2025-01-31</t>
        </is>
      </c>
      <c r="N25" s="13" t="inlineStr">
        <is>
          <t>2025-01-29</t>
        </is>
      </c>
      <c r="O25" s="9" t="n">
        <v>125</v>
      </c>
      <c r="P25" s="17" t="n">
        <v>8078.63134765625</v>
      </c>
      <c r="Q25" s="17" t="n">
        <v>8509.349609375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Q2 2026-27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0.5%</t>
        </is>
      </c>
      <c r="J26" s="13" t="inlineStr">
        <is>
          <t>-0.03%</t>
        </is>
      </c>
      <c r="K26" s="16">
        <f>X25</f>
        <v/>
      </c>
      <c r="L26" s="13" t="inlineStr">
        <is>
          <t>2025-01-30</t>
        </is>
      </c>
      <c r="M26" s="13" t="inlineStr">
        <is>
          <t>2025-02-01</t>
        </is>
      </c>
      <c r="N26" s="13" t="inlineStr">
        <is>
          <t>2025-01-30</t>
        </is>
      </c>
      <c r="O26" s="9" t="n">
        <v>500</v>
      </c>
      <c r="P26" s="17" t="n">
        <v>1742.862915039062</v>
      </c>
      <c r="Q26" s="17" t="n">
        <v>1751.651123046875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Q2 2026-27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4.8%</t>
        </is>
      </c>
      <c r="J27" s="13" t="inlineStr">
        <is>
          <t>1.02%</t>
        </is>
      </c>
      <c r="K27" s="16">
        <f>X26</f>
        <v/>
      </c>
      <c r="L27" s="13" t="inlineStr">
        <is>
          <t>2025-01-23</t>
        </is>
      </c>
      <c r="M27" s="13" t="inlineStr">
        <is>
          <t>2025-02-04</t>
        </is>
      </c>
      <c r="N27" s="13" t="inlineStr">
        <is>
          <t>2025-01-30</t>
        </is>
      </c>
      <c r="O27" s="9" t="n">
        <v>100</v>
      </c>
      <c r="P27" s="17" t="n">
        <v>10984.197265625</v>
      </c>
      <c r="Q27" s="17" t="n">
        <v>11511.4697265625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Q2 2026-27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11.42%</t>
        </is>
      </c>
      <c r="J28" s="13" t="inlineStr">
        <is>
          <t>9.36%</t>
        </is>
      </c>
      <c r="K28" s="16">
        <f>X27</f>
        <v/>
      </c>
      <c r="L28" s="13" t="inlineStr">
        <is>
          <t>2025-01-28</t>
        </is>
      </c>
      <c r="M28" s="13" t="inlineStr">
        <is>
          <t>2025-02-04</t>
        </is>
      </c>
      <c r="N28" s="13" t="inlineStr">
        <is>
          <t>2025-01-29</t>
        </is>
      </c>
      <c r="O28" s="9" t="n">
        <v>125</v>
      </c>
      <c r="P28" s="17" t="n">
        <v>751.376220703125</v>
      </c>
      <c r="Q28" s="17" t="n">
        <v>837.19091796875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Q2 2026-27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1.88%</t>
        </is>
      </c>
      <c r="J29" s="13" t="inlineStr">
        <is>
          <t>0.84%</t>
        </is>
      </c>
      <c r="K29" s="16">
        <f>X28</f>
        <v/>
      </c>
      <c r="L29" s="13" t="inlineStr">
        <is>
          <t>2025-01-28</t>
        </is>
      </c>
      <c r="M29" s="13" t="inlineStr">
        <is>
          <t>2025-02-05</t>
        </is>
      </c>
      <c r="N29" s="13" t="inlineStr">
        <is>
          <t>2025-01-31</t>
        </is>
      </c>
      <c r="O29" s="9" t="n">
        <v>6099</v>
      </c>
      <c r="P29" s="17" t="n">
        <v>148.465087890625</v>
      </c>
      <c r="Q29" s="17" t="n">
        <v>151.2552032470703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Q2 2026-27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7.1%</t>
        </is>
      </c>
      <c r="J30" s="13" t="inlineStr">
        <is>
          <t>6.74%</t>
        </is>
      </c>
      <c r="K30" s="16">
        <f>X29</f>
        <v/>
      </c>
      <c r="L30" s="13" t="inlineStr">
        <is>
          <t>2025-01-23</t>
        </is>
      </c>
      <c r="M30" s="13" t="inlineStr">
        <is>
          <t>2025-02-04</t>
        </is>
      </c>
      <c r="N30" s="13" t="inlineStr">
        <is>
          <t>2025-01-30</t>
        </is>
      </c>
      <c r="O30" s="9" t="n">
        <v>4138</v>
      </c>
      <c r="P30" s="17" t="n">
        <v>199.3498687744141</v>
      </c>
      <c r="Q30" s="17" t="n">
        <v>214.5850677490234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Q2 2026-27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-11.16%</t>
        </is>
      </c>
      <c r="J31" s="13" t="inlineStr">
        <is>
          <t>-14.13%</t>
        </is>
      </c>
      <c r="K31" s="16">
        <f>X30</f>
        <v/>
      </c>
      <c r="L31" s="13" t="inlineStr">
        <is>
          <t>2025-01-21</t>
        </is>
      </c>
      <c r="M31" s="13" t="inlineStr">
        <is>
          <t>2025-01-30</t>
        </is>
      </c>
      <c r="N31" s="13" t="inlineStr">
        <is>
          <t>2025-01-24</t>
        </is>
      </c>
      <c r="O31" s="9" t="n">
        <v>7287</v>
      </c>
      <c r="P31" s="17" t="n">
        <v>103.9404830932617</v>
      </c>
      <c r="Q31" s="17" t="n">
        <v>93.50250244140624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Q2 2026-27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-13.03%</t>
        </is>
      </c>
      <c r="J32" s="13" t="inlineStr">
        <is>
          <t>-8.09%</t>
        </is>
      </c>
      <c r="K32" s="16">
        <f>X31</f>
        <v/>
      </c>
      <c r="L32" s="13" t="inlineStr">
        <is>
          <t>2025-02-24</t>
        </is>
      </c>
      <c r="M32" s="13" t="inlineStr">
        <is>
          <t>2025-03-10</t>
        </is>
      </c>
      <c r="N32" s="13" t="inlineStr">
        <is>
          <t>2025-03-07</t>
        </is>
      </c>
      <c r="O32" s="9" t="n">
        <v>793</v>
      </c>
      <c r="P32" s="17" t="n">
        <v>1138.883544921875</v>
      </c>
      <c r="Q32" s="17" t="n">
        <v>1007.554260253906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Q2 2026-27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-6.88%</t>
        </is>
      </c>
      <c r="J33" s="13" t="inlineStr">
        <is>
          <t>-5.25%</t>
        </is>
      </c>
      <c r="K33" s="16">
        <f>X32</f>
        <v/>
      </c>
      <c r="L33" s="13" t="inlineStr">
        <is>
          <t>2025-01-22</t>
        </is>
      </c>
      <c r="M33" s="13" t="inlineStr">
        <is>
          <t>2025-02-05</t>
        </is>
      </c>
      <c r="N33" s="13" t="inlineStr">
        <is>
          <t>2025-01-30</t>
        </is>
      </c>
      <c r="O33" s="9" t="n">
        <v>2438</v>
      </c>
      <c r="P33" s="17" t="n">
        <v>285.4780578613281</v>
      </c>
      <c r="Q33" s="17" t="n">
        <v>267.1015014648437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Q2 2026-27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7.98%</t>
        </is>
      </c>
      <c r="J34" s="13" t="inlineStr">
        <is>
          <t>2.35%</t>
        </is>
      </c>
      <c r="K34" s="16">
        <f>X33</f>
        <v/>
      </c>
      <c r="L34" s="13" t="inlineStr">
        <is>
          <t>2025-02-04</t>
        </is>
      </c>
      <c r="M34" s="13" t="inlineStr">
        <is>
          <t>2025-02-14</t>
        </is>
      </c>
      <c r="N34" s="13" t="inlineStr">
        <is>
          <t>2025-02-13</t>
        </is>
      </c>
      <c r="O34" s="9" t="n">
        <v>461</v>
      </c>
      <c r="P34" s="17" t="n">
        <v>1066.430786132812</v>
      </c>
      <c r="Q34" s="17" t="n">
        <v>1158.946899414062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Q2 2026-27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7.13%</t>
        </is>
      </c>
      <c r="J35" s="13" t="inlineStr">
        <is>
          <t>5.63%</t>
        </is>
      </c>
      <c r="K35" s="16">
        <f>X34</f>
        <v/>
      </c>
      <c r="L35" s="13" t="inlineStr">
        <is>
          <t>2025-01-29</t>
        </is>
      </c>
      <c r="M35" s="13" t="inlineStr">
        <is>
          <t>2025-02-13</t>
        </is>
      </c>
      <c r="N35" s="13" t="inlineStr">
        <is>
          <t>2025-02-06</t>
        </is>
      </c>
      <c r="O35" s="9" t="n">
        <v>950</v>
      </c>
      <c r="P35" s="17" t="n">
        <v>1587.181274414062</v>
      </c>
      <c r="Q35" s="17" t="n">
        <v>1700.384887695312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Q2 2026-27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2.65%</t>
        </is>
      </c>
      <c r="J36" s="13" t="inlineStr">
        <is>
          <t>1.58%</t>
        </is>
      </c>
      <c r="K36" s="16">
        <f>X35</f>
        <v/>
      </c>
      <c r="L36" s="13" t="inlineStr">
        <is>
          <t>2025-01-22</t>
        </is>
      </c>
      <c r="M36" s="13" t="inlineStr">
        <is>
          <t>2025-02-01</t>
        </is>
      </c>
      <c r="N36" s="13" t="inlineStr">
        <is>
          <t>2025-01-28</t>
        </is>
      </c>
      <c r="O36" s="9" t="n">
        <v>2481</v>
      </c>
      <c r="P36" s="17" t="n">
        <v>198.9587707519531</v>
      </c>
      <c r="Q36" s="17" t="n">
        <v>204.3699188232422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Q2 2026-27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4.54%</t>
        </is>
      </c>
      <c r="J37" s="13" t="inlineStr">
        <is>
          <t>1.62%</t>
        </is>
      </c>
      <c r="K37" s="16">
        <f>X36</f>
        <v/>
      </c>
      <c r="L37" s="13" t="inlineStr">
        <is>
          <t>2025-01-22</t>
        </is>
      </c>
      <c r="M37" s="13" t="inlineStr">
        <is>
          <t>2025-02-01</t>
        </is>
      </c>
      <c r="N37" s="13" t="inlineStr">
        <is>
          <t>2025-01-31</t>
        </is>
      </c>
      <c r="O37" s="9" t="n">
        <v>2351</v>
      </c>
      <c r="P37" s="17" t="n">
        <v>369.5134582519531</v>
      </c>
      <c r="Q37" s="17" t="n">
        <v>387.0689392089844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Q2 2026-27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6.52%</t>
        </is>
      </c>
      <c r="J38" s="13" t="inlineStr">
        <is>
          <t>5.99%</t>
        </is>
      </c>
      <c r="K38" s="16">
        <f>X37</f>
        <v/>
      </c>
      <c r="L38" s="13" t="inlineStr">
        <is>
          <t>2025-01-17</t>
        </is>
      </c>
      <c r="M38" s="13" t="inlineStr">
        <is>
          <t>2025-01-30</t>
        </is>
      </c>
      <c r="N38" s="13" t="inlineStr">
        <is>
          <t>2025-01-29</t>
        </is>
      </c>
      <c r="O38" s="9" t="n">
        <v>591</v>
      </c>
      <c r="P38" s="17" t="n">
        <v>1780.671630859375</v>
      </c>
      <c r="Q38" s="17" t="n">
        <v>1904.8134765625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Q2 2026-27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8.5%</t>
        </is>
      </c>
      <c r="J39" s="13" t="inlineStr">
        <is>
          <t>8.89%</t>
        </is>
      </c>
      <c r="K39" s="16">
        <f>X38</f>
        <v/>
      </c>
      <c r="L39" s="13" t="inlineStr">
        <is>
          <t>2025-01-16</t>
        </is>
      </c>
      <c r="M39" s="13" t="inlineStr">
        <is>
          <t>2025-02-01</t>
        </is>
      </c>
      <c r="N39" s="13" t="inlineStr">
        <is>
          <t>2025-01-28</t>
        </is>
      </c>
      <c r="O39" s="9" t="n">
        <v>100</v>
      </c>
      <c r="P39" s="17" t="n">
        <v>28305.07421875</v>
      </c>
      <c r="Q39" s="17" t="n">
        <v>30934.486328125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Q2 2026-27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4.16%</t>
        </is>
      </c>
      <c r="J40" s="13" t="inlineStr">
        <is>
          <t>5.29%</t>
        </is>
      </c>
      <c r="K40" s="16">
        <f>X39</f>
        <v/>
      </c>
      <c r="L40" s="13" t="inlineStr">
        <is>
          <t>2025-01-17</t>
        </is>
      </c>
      <c r="M40" s="13" t="inlineStr">
        <is>
          <t>2025-01-30</t>
        </is>
      </c>
      <c r="N40" s="13" t="inlineStr">
        <is>
          <t>2025-01-23</t>
        </is>
      </c>
      <c r="O40" s="9" t="n">
        <v>1800</v>
      </c>
      <c r="P40" s="17" t="n">
        <v>241.3629608154297</v>
      </c>
      <c r="Q40" s="17" t="n">
        <v>251.8272247314453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Q2 2026-27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-0.94%</t>
        </is>
      </c>
      <c r="J41" s="13" t="inlineStr">
        <is>
          <t>-1.54%</t>
        </is>
      </c>
      <c r="K41" s="16">
        <f>X40</f>
        <v/>
      </c>
      <c r="L41" s="13" t="inlineStr">
        <is>
          <t>2025-02-06</t>
        </is>
      </c>
      <c r="M41" s="13" t="inlineStr">
        <is>
          <t>2025-02-10</t>
        </is>
      </c>
      <c r="N41" s="13" t="inlineStr">
        <is>
          <t>2025-02-06</t>
        </is>
      </c>
      <c r="O41" s="9" t="n">
        <v>200</v>
      </c>
      <c r="P41" s="17" t="n">
        <v>4891.94091796875</v>
      </c>
      <c r="Q41" s="17" t="n">
        <v>4846.14111328125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Q2 2026-27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6.78%</t>
        </is>
      </c>
      <c r="J42" s="13" t="inlineStr">
        <is>
          <t>3.72%</t>
        </is>
      </c>
      <c r="K42" s="16">
        <f>X41</f>
        <v/>
      </c>
      <c r="L42" s="13" t="inlineStr">
        <is>
          <t>2025-01-29</t>
        </is>
      </c>
      <c r="M42" s="13" t="inlineStr">
        <is>
          <t>2025-02-07</t>
        </is>
      </c>
      <c r="N42" s="13" t="inlineStr">
        <is>
          <t>2025-02-06</t>
        </is>
      </c>
      <c r="O42" s="9" t="n">
        <v>283</v>
      </c>
      <c r="P42" s="17" t="n">
        <v>1777.280883789062</v>
      </c>
      <c r="Q42" s="17" t="n">
        <v>1897.699462890625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Q2 2026-27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4.5%</t>
        </is>
      </c>
      <c r="J43" s="13" t="inlineStr">
        <is>
          <t>0.39%</t>
        </is>
      </c>
      <c r="K43" s="16">
        <f>X42</f>
        <v/>
      </c>
      <c r="L43" s="13" t="inlineStr">
        <is>
          <t>2025-01-27</t>
        </is>
      </c>
      <c r="M43" s="13" t="inlineStr">
        <is>
          <t>2025-01-30</t>
        </is>
      </c>
      <c r="N43" s="13" t="inlineStr">
        <is>
          <t>2025-01-29</t>
        </is>
      </c>
      <c r="O43" s="9" t="n">
        <v>1260</v>
      </c>
      <c r="P43" s="17" t="n">
        <v>708.65380859375</v>
      </c>
      <c r="Q43" s="17" t="n">
        <v>742.0582885742188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Q2 2026-27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4.17%</t>
        </is>
      </c>
      <c r="J44" s="13" t="inlineStr">
        <is>
          <t>1.58%</t>
        </is>
      </c>
      <c r="K44" s="16">
        <f>X43</f>
        <v/>
      </c>
      <c r="L44" s="13" t="inlineStr">
        <is>
          <t>2025-01-16</t>
        </is>
      </c>
      <c r="M44" s="13" t="inlineStr">
        <is>
          <t>2025-01-31</t>
        </is>
      </c>
      <c r="N44" s="13" t="inlineStr">
        <is>
          <t>2025-01-27</t>
        </is>
      </c>
      <c r="O44" s="9" t="n">
        <v>8046</v>
      </c>
      <c r="P44" s="17" t="n">
        <v>87.16828918457031</v>
      </c>
      <c r="Q44" s="17" t="n">
        <v>90.9626922607422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Q2 2026-27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14.53%</t>
        </is>
      </c>
      <c r="J45" s="13" t="inlineStr">
        <is>
          <t>11.63%</t>
        </is>
      </c>
      <c r="K45" s="16">
        <f>X44</f>
        <v/>
      </c>
      <c r="L45" s="13" t="inlineStr">
        <is>
          <t>2025-01-14</t>
        </is>
      </c>
      <c r="M45" s="13" t="inlineStr">
        <is>
          <t>2025-01-27</t>
        </is>
      </c>
      <c r="N45" s="13" t="inlineStr">
        <is>
          <t>2025-01-25</t>
        </is>
      </c>
      <c r="O45" s="9" t="n">
        <v>748</v>
      </c>
      <c r="P45" s="17" t="n">
        <v>1321.129028320312</v>
      </c>
      <c r="Q45" s="17" t="n">
        <v>1545.68310546875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Q2 2026-27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-6.75%</t>
        </is>
      </c>
      <c r="J46" s="13" t="inlineStr">
        <is>
          <t>-5.88%</t>
        </is>
      </c>
      <c r="K46" s="16">
        <f>X45</f>
        <v/>
      </c>
      <c r="L46" s="13" t="inlineStr">
        <is>
          <t>2025-01-23</t>
        </is>
      </c>
      <c r="M46" s="13" t="inlineStr">
        <is>
          <t>2025-02-03</t>
        </is>
      </c>
      <c r="N46" s="13" t="inlineStr">
        <is>
          <t>2025-01-29</t>
        </is>
      </c>
      <c r="O46" s="9" t="n">
        <v>1201</v>
      </c>
      <c r="P46" s="17" t="n">
        <v>625.27294921875</v>
      </c>
      <c r="Q46" s="17" t="n">
        <v>583.0503540039062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Q2 2026-27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7.63%</t>
        </is>
      </c>
      <c r="J47" s="13" t="inlineStr">
        <is>
          <t>8.69%</t>
        </is>
      </c>
      <c r="K47" s="16">
        <f>X46</f>
        <v/>
      </c>
      <c r="L47" s="13" t="inlineStr">
        <is>
          <t>2024-10-24</t>
        </is>
      </c>
      <c r="M47" s="13" t="inlineStr">
        <is>
          <t>2024-10-28</t>
        </is>
      </c>
      <c r="N47" s="13" t="inlineStr">
        <is>
          <t>2024-10-26</t>
        </is>
      </c>
      <c r="O47" s="9" t="n">
        <v>563</v>
      </c>
      <c r="P47" s="17" t="n">
        <v>1277.113037109375</v>
      </c>
      <c r="Q47" s="17" t="n">
        <v>1382.645629882812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Q2 2026-27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-3.79%</t>
        </is>
      </c>
      <c r="J48" s="13" t="inlineStr">
        <is>
          <t>-3.85%</t>
        </is>
      </c>
      <c r="K48" s="16">
        <f>X47</f>
        <v/>
      </c>
      <c r="L48" s="13" t="inlineStr">
        <is>
          <t>2025-01-27</t>
        </is>
      </c>
      <c r="M48" s="13" t="inlineStr">
        <is>
          <t>2025-02-04</t>
        </is>
      </c>
      <c r="N48" s="13" t="inlineStr">
        <is>
          <t>2025-01-29</t>
        </is>
      </c>
      <c r="O48" s="9" t="n">
        <v>650</v>
      </c>
      <c r="P48" s="17" t="n">
        <v>1420.408813476562</v>
      </c>
      <c r="Q48" s="17" t="n">
        <v>1368.50537109375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Q2 2026-27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0.16%</t>
        </is>
      </c>
      <c r="J49" s="13" t="inlineStr">
        <is>
          <t>-0.8%</t>
        </is>
      </c>
      <c r="K49" s="16">
        <f>X48</f>
        <v/>
      </c>
      <c r="L49" s="13" t="inlineStr">
        <is>
          <t>2025-01-16</t>
        </is>
      </c>
      <c r="M49" s="13" t="inlineStr">
        <is>
          <t>2025-01-29</t>
        </is>
      </c>
      <c r="N49" s="13" t="inlineStr">
        <is>
          <t>2025-01-27</t>
        </is>
      </c>
      <c r="O49" s="9" t="n">
        <v>2100</v>
      </c>
      <c r="P49" s="17" t="n">
        <v>348.816650390625</v>
      </c>
      <c r="Q49" s="17" t="n">
        <v>349.3691101074219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Q2 2026-27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6.69%</t>
        </is>
      </c>
      <c r="J50" s="13" t="inlineStr">
        <is>
          <t>12.7%</t>
        </is>
      </c>
      <c r="K50" s="16">
        <f>X49</f>
        <v/>
      </c>
      <c r="L50" s="13" t="inlineStr">
        <is>
          <t>2025-02-01</t>
        </is>
      </c>
      <c r="M50" s="13" t="inlineStr">
        <is>
          <t>2025-02-10</t>
        </is>
      </c>
      <c r="N50" s="13" t="inlineStr">
        <is>
          <t>2025-02-07</t>
        </is>
      </c>
      <c r="O50" s="9" t="n">
        <v>713</v>
      </c>
      <c r="P50" s="17" t="n">
        <v>1358.994995117188</v>
      </c>
      <c r="Q50" s="17" t="n">
        <v>1456.448364257812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Q2 2026-27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6.3%</t>
        </is>
      </c>
      <c r="J51" s="13" t="inlineStr">
        <is>
          <t>4.71%</t>
        </is>
      </c>
      <c r="K51" s="16">
        <f>X50</f>
        <v/>
      </c>
      <c r="L51" s="13" t="inlineStr">
        <is>
          <t>2025-01-22</t>
        </is>
      </c>
      <c r="M51" s="13" t="inlineStr">
        <is>
          <t>2025-01-29</t>
        </is>
      </c>
      <c r="N51" s="13" t="inlineStr">
        <is>
          <t>2025-01-23</t>
        </is>
      </c>
      <c r="O51" s="9" t="n">
        <v>572</v>
      </c>
      <c r="P51" s="17" t="n">
        <v>1626.79345703125</v>
      </c>
      <c r="Q51" s="17" t="n">
        <v>1729.276123046875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Q2 2026-27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6.1%</t>
        </is>
      </c>
      <c r="J52" s="13" t="inlineStr">
        <is>
          <t>6.11%</t>
        </is>
      </c>
      <c r="K52" s="16">
        <f>X51</f>
        <v/>
      </c>
      <c r="L52" s="13" t="inlineStr">
        <is>
          <t>2025-01-21</t>
        </is>
      </c>
      <c r="M52" s="13" t="inlineStr">
        <is>
          <t>2025-02-01</t>
        </is>
      </c>
      <c r="N52" s="13" t="inlineStr">
        <is>
          <t>2025-01-28</t>
        </is>
      </c>
      <c r="O52" s="9" t="n">
        <v>479</v>
      </c>
      <c r="P52" s="17" t="n">
        <v>2642.43359375</v>
      </c>
      <c r="Q52" s="17" t="n">
        <v>2803.725341796875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Q2 2026-27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2.41%</t>
        </is>
      </c>
      <c r="J53" s="13" t="inlineStr">
        <is>
          <t>-0.66%</t>
        </is>
      </c>
      <c r="K53" s="16">
        <f>X52</f>
        <v/>
      </c>
      <c r="L53" s="13" t="inlineStr">
        <is>
          <t>2025-01-28</t>
        </is>
      </c>
      <c r="M53" s="13" t="inlineStr">
        <is>
          <t>2025-02-01</t>
        </is>
      </c>
      <c r="N53" s="13" t="inlineStr">
        <is>
          <t>2025-01-31</t>
        </is>
      </c>
      <c r="O53" s="9" t="n">
        <v>1904</v>
      </c>
      <c r="P53" s="17" t="n">
        <v>577.1287841796875</v>
      </c>
      <c r="Q53" s="17" t="n">
        <v>591.0458374023438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Q2 2026-27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5.63%</t>
        </is>
      </c>
      <c r="J54" s="13" t="inlineStr">
        <is>
          <t>7.44%</t>
        </is>
      </c>
      <c r="K54" s="16">
        <f>X53</f>
        <v/>
      </c>
      <c r="L54" s="13" t="inlineStr">
        <is>
          <t>2025-02-06</t>
        </is>
      </c>
      <c r="M54" s="13" t="inlineStr">
        <is>
          <t>2025-02-13</t>
        </is>
      </c>
      <c r="N54" s="13" t="inlineStr">
        <is>
          <t>2025-02-12</t>
        </is>
      </c>
      <c r="O54" s="9" t="n">
        <v>3841</v>
      </c>
      <c r="P54" s="17" t="n">
        <v>335.1989135742188</v>
      </c>
      <c r="Q54" s="17" t="n">
        <v>355.1785888671875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Q2 2026-27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-0.48%</t>
        </is>
      </c>
      <c r="J55" s="13" t="inlineStr">
        <is>
          <t>-1.27%</t>
        </is>
      </c>
      <c r="K55" s="16">
        <f>X54</f>
        <v/>
      </c>
      <c r="L55" s="13" t="inlineStr">
        <is>
          <t>2025-02-01</t>
        </is>
      </c>
      <c r="M55" s="13" t="inlineStr">
        <is>
          <t>2025-02-12</t>
        </is>
      </c>
      <c r="N55" s="13" t="inlineStr">
        <is>
          <t>2025-02-06</t>
        </is>
      </c>
      <c r="O55" s="9" t="n">
        <v>185</v>
      </c>
      <c r="P55" s="17" t="n">
        <v>2731.55908203125</v>
      </c>
      <c r="Q55" s="17" t="n">
        <v>2718.488525390625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Q2 2026-27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1.0%</t>
        </is>
      </c>
      <c r="J56" s="13" t="inlineStr">
        <is>
          <t>-0.5%</t>
        </is>
      </c>
      <c r="K56" s="16">
        <f>X55</f>
        <v/>
      </c>
      <c r="L56" s="13" t="inlineStr">
        <is>
          <t>2025-01-23</t>
        </is>
      </c>
      <c r="M56" s="13" t="inlineStr">
        <is>
          <t>2025-01-31</t>
        </is>
      </c>
      <c r="N56" s="13" t="inlineStr">
        <is>
          <t>2025-01-30</t>
        </is>
      </c>
      <c r="O56" s="9" t="n">
        <v>2346</v>
      </c>
      <c r="P56" s="17" t="n">
        <v>510.0463562011719</v>
      </c>
      <c r="Q56" s="17" t="n">
        <v>515.1507568359375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Q2 2026-27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9.47%</t>
        </is>
      </c>
      <c r="J57" s="13" t="inlineStr">
        <is>
          <t>4.58%</t>
        </is>
      </c>
      <c r="K57" s="16">
        <f>X56</f>
        <v/>
      </c>
      <c r="L57" s="13" t="inlineStr">
        <is>
          <t>2025-02-05</t>
        </is>
      </c>
      <c r="M57" s="13" t="inlineStr">
        <is>
          <t>2025-02-10</t>
        </is>
      </c>
      <c r="N57" s="13" t="inlineStr">
        <is>
          <t>2025-02-07</t>
        </is>
      </c>
      <c r="O57" s="9" t="n">
        <v>2135</v>
      </c>
      <c r="P57" s="17" t="n">
        <v>297.25</v>
      </c>
      <c r="Q57" s="17" t="n">
        <v>328.3500061035156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Q2 2026-27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12.68%</t>
        </is>
      </c>
      <c r="J58" s="13" t="inlineStr">
        <is>
          <t>8.01%</t>
        </is>
      </c>
      <c r="K58" s="16">
        <f>X57</f>
        <v/>
      </c>
      <c r="L58" s="13" t="inlineStr">
        <is>
          <t>2025-01-28</t>
        </is>
      </c>
      <c r="M58" s="13" t="inlineStr">
        <is>
          <t>2025-02-04</t>
        </is>
      </c>
      <c r="N58" s="13" t="inlineStr">
        <is>
          <t>2025-02-03</t>
        </is>
      </c>
      <c r="O58" s="9" t="n">
        <v>200</v>
      </c>
      <c r="P58" s="17" t="n">
        <v>5363.5595703125</v>
      </c>
      <c r="Q58" s="17" t="n">
        <v>6043.69482421875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Q2 2026-27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10.14%</t>
        </is>
      </c>
      <c r="J59" s="13" t="inlineStr">
        <is>
          <t>6.76%</t>
        </is>
      </c>
      <c r="K59" s="16">
        <f>X58</f>
        <v/>
      </c>
      <c r="L59" s="13" t="inlineStr">
        <is>
          <t>2025-01-09</t>
        </is>
      </c>
      <c r="M59" s="13" t="inlineStr">
        <is>
          <t>2025-01-21</t>
        </is>
      </c>
      <c r="N59" s="13" t="inlineStr">
        <is>
          <t>2025-01-20</t>
        </is>
      </c>
      <c r="O59" s="9" t="n">
        <v>100</v>
      </c>
      <c r="P59" s="17" t="n">
        <v>15137.61328125</v>
      </c>
      <c r="Q59" s="17" t="n">
        <v>16845.203125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Q2 2026-27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4.61%</t>
        </is>
      </c>
      <c r="J60" s="13" t="inlineStr">
        <is>
          <t>3.08%</t>
        </is>
      </c>
      <c r="K60" s="16">
        <f>X59</f>
        <v/>
      </c>
      <c r="L60" s="13" t="inlineStr">
        <is>
          <t>2025-01-21</t>
        </is>
      </c>
      <c r="M60" s="13" t="inlineStr">
        <is>
          <t>2025-01-27</t>
        </is>
      </c>
      <c r="N60" s="13" t="inlineStr">
        <is>
          <t>2025-01-24</t>
        </is>
      </c>
      <c r="O60" s="9" t="n">
        <v>1527</v>
      </c>
      <c r="P60" s="17" t="n">
        <v>690.1243286132812</v>
      </c>
      <c r="Q60" s="17" t="n">
        <v>723.458984375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Q2 2026-27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8.73%</t>
        </is>
      </c>
      <c r="J61" s="13" t="inlineStr">
        <is>
          <t>5.81%</t>
        </is>
      </c>
      <c r="K61" s="16">
        <f>X60</f>
        <v/>
      </c>
      <c r="L61" s="13" t="inlineStr">
        <is>
          <t>2025-01-08</t>
        </is>
      </c>
      <c r="M61" s="13" t="inlineStr">
        <is>
          <t>2025-01-13</t>
        </is>
      </c>
      <c r="N61" s="13" t="inlineStr">
        <is>
          <t>2025-01-11</t>
        </is>
      </c>
      <c r="O61" s="9" t="n">
        <v>258</v>
      </c>
      <c r="P61" s="17" t="n">
        <v>3507.449951171875</v>
      </c>
      <c r="Q61" s="17" t="n">
        <v>3843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Q2 2026-27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10.44%</t>
        </is>
      </c>
      <c r="J62" s="13" t="inlineStr">
        <is>
          <t>9.71%</t>
        </is>
      </c>
      <c r="K62" s="16">
        <f>X61</f>
        <v/>
      </c>
      <c r="L62" s="13" t="inlineStr">
        <is>
          <t>2025-01-15</t>
        </is>
      </c>
      <c r="M62" s="13" t="inlineStr">
        <is>
          <t>2025-01-27</t>
        </is>
      </c>
      <c r="N62" s="13" t="inlineStr">
        <is>
          <t>2025-01-24</t>
        </is>
      </c>
      <c r="O62" s="9" t="n">
        <v>125</v>
      </c>
      <c r="P62" s="17" t="n">
        <v>1182.6025390625</v>
      </c>
      <c r="Q62" s="17" t="n">
        <v>1320.399169921875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Q2 2026-27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-10.57%</t>
        </is>
      </c>
      <c r="J63" s="13" t="inlineStr">
        <is>
          <t>-12.87%</t>
        </is>
      </c>
      <c r="K63" s="16">
        <f>X62</f>
        <v/>
      </c>
      <c r="L63" s="13" t="inlineStr">
        <is>
          <t>2025-02-01</t>
        </is>
      </c>
      <c r="M63" s="13" t="inlineStr">
        <is>
          <t>2025-02-13</t>
        </is>
      </c>
      <c r="N63" s="13" t="inlineStr">
        <is>
          <t>2025-02-11</t>
        </is>
      </c>
      <c r="O63" s="9" t="n">
        <v>175</v>
      </c>
      <c r="P63" s="17" t="n">
        <v>5321.15283203125</v>
      </c>
      <c r="Q63" s="17" t="n">
        <v>4758.69580078125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Q2 2026-27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-10.87%</t>
        </is>
      </c>
      <c r="J64" s="13" t="inlineStr">
        <is>
          <t>-16.7%</t>
        </is>
      </c>
      <c r="K64" s="16">
        <f>X63</f>
        <v/>
      </c>
      <c r="L64" s="13" t="inlineStr">
        <is>
          <t>2025-01-16</t>
        </is>
      </c>
      <c r="M64" s="13" t="inlineStr">
        <is>
          <t>2025-01-24</t>
        </is>
      </c>
      <c r="N64" s="13" t="inlineStr">
        <is>
          <t>2025-01-20</t>
        </is>
      </c>
      <c r="O64" s="9" t="n">
        <v>3399</v>
      </c>
      <c r="P64" s="17" t="n">
        <v>241.8999938964844</v>
      </c>
      <c r="Q64" s="17" t="n">
        <v>215.6000061035156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Q2 2026-27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-2.4%</t>
        </is>
      </c>
      <c r="J65" s="13" t="inlineStr">
        <is>
          <t>-4.38%</t>
        </is>
      </c>
      <c r="K65" s="16">
        <f>X64</f>
        <v/>
      </c>
      <c r="L65" s="13" t="inlineStr">
        <is>
          <t>2025-01-23</t>
        </is>
      </c>
      <c r="M65" s="13" t="inlineStr">
        <is>
          <t>2025-01-29</t>
        </is>
      </c>
      <c r="N65" s="13" t="inlineStr">
        <is>
          <t>2025-01-28</t>
        </is>
      </c>
      <c r="O65" s="9" t="n">
        <v>2823</v>
      </c>
      <c r="P65" s="17" t="n">
        <v>189.6022338867188</v>
      </c>
      <c r="Q65" s="17" t="n">
        <v>185.0597229003907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Q2 2026-27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2.45%</t>
        </is>
      </c>
      <c r="J66" s="13" t="inlineStr">
        <is>
          <t>0.04%</t>
        </is>
      </c>
      <c r="K66" s="16">
        <f>X65</f>
        <v/>
      </c>
      <c r="L66" s="13" t="inlineStr">
        <is>
          <t>2026-07-28</t>
        </is>
      </c>
      <c r="M66" s="13" t="inlineStr">
        <is>
          <t>2026-07-30</t>
        </is>
      </c>
      <c r="N66" s="13" t="inlineStr">
        <is>
          <t>2026-07-29</t>
        </is>
      </c>
      <c r="O66" s="9" t="n">
        <v>100</v>
      </c>
      <c r="P66" s="17" t="n">
        <v>17197</v>
      </c>
      <c r="Q66" s="17" t="n">
        <v>17618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Q2 2026-27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-2.4%</t>
        </is>
      </c>
      <c r="J67" s="13" t="inlineStr">
        <is>
          <t>-2.95%</t>
        </is>
      </c>
      <c r="K67" s="16">
        <f>X66</f>
        <v/>
      </c>
      <c r="L67" s="13" t="inlineStr">
        <is>
          <t>2025-02-01</t>
        </is>
      </c>
      <c r="M67" s="13" t="inlineStr">
        <is>
          <t>2025-02-13</t>
        </is>
      </c>
      <c r="N67" s="13" t="inlineStr">
        <is>
          <t>2025-02-07</t>
        </is>
      </c>
      <c r="O67" s="9" t="n">
        <v>1053</v>
      </c>
      <c r="P67" s="17" t="n">
        <v>625.4459838867188</v>
      </c>
      <c r="Q67" s="17" t="n">
        <v>610.4297485351562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Q2 2026-27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8.64%</t>
        </is>
      </c>
      <c r="J68" s="13" t="inlineStr">
        <is>
          <t>6.18%</t>
        </is>
      </c>
      <c r="K68" s="16">
        <f>X67</f>
        <v/>
      </c>
      <c r="L68" s="13" t="inlineStr">
        <is>
          <t>2025-01-29</t>
        </is>
      </c>
      <c r="M68" s="13" t="inlineStr">
        <is>
          <t>2025-02-05</t>
        </is>
      </c>
      <c r="N68" s="13" t="inlineStr">
        <is>
          <t>2025-01-31</t>
        </is>
      </c>
      <c r="O68" s="9" t="n">
        <v>5759</v>
      </c>
      <c r="P68" s="17" t="n">
        <v>153.5029602050781</v>
      </c>
      <c r="Q68" s="17" t="n">
        <v>166.7702484130859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Q2 2026-27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-4.07%</t>
        </is>
      </c>
      <c r="J69" s="13" t="inlineStr">
        <is>
          <t>-8.43%</t>
        </is>
      </c>
      <c r="K69" s="16">
        <f>X68</f>
        <v/>
      </c>
      <c r="L69" s="13" t="inlineStr">
        <is>
          <t>2025-02-12</t>
        </is>
      </c>
      <c r="M69" s="13" t="inlineStr">
        <is>
          <t>2025-02-20</t>
        </is>
      </c>
      <c r="N69" s="13" t="inlineStr">
        <is>
          <t>2025-02-14</t>
        </is>
      </c>
      <c r="O69" s="9" t="n">
        <v>456</v>
      </c>
      <c r="P69" s="17" t="n">
        <v>1402.709350585938</v>
      </c>
      <c r="Q69" s="17" t="n">
        <v>1345.649291992188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Q2 2026-27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-4.21%</t>
        </is>
      </c>
      <c r="J70" s="13" t="inlineStr">
        <is>
          <t>-2.98%</t>
        </is>
      </c>
      <c r="K70" s="16">
        <f>X69</f>
        <v/>
      </c>
      <c r="L70" s="13" t="inlineStr">
        <is>
          <t>2025-01-27</t>
        </is>
      </c>
      <c r="M70" s="13" t="inlineStr">
        <is>
          <t>2025-02-03</t>
        </is>
      </c>
      <c r="N70" s="13" t="inlineStr">
        <is>
          <t>2025-01-29</t>
        </is>
      </c>
      <c r="O70" s="9" t="n">
        <v>9623</v>
      </c>
      <c r="P70" s="17" t="n">
        <v>73.48000335693359</v>
      </c>
      <c r="Q70" s="17" t="n">
        <v>70.51000213623047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Q2 2026-27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17.53%</t>
        </is>
      </c>
      <c r="J71" s="13" t="inlineStr">
        <is>
          <t>14.35%</t>
        </is>
      </c>
      <c r="K71" s="16">
        <f>X70</f>
        <v/>
      </c>
      <c r="L71" s="13" t="inlineStr">
        <is>
          <t>2025-02-10</t>
        </is>
      </c>
      <c r="M71" s="13" t="inlineStr">
        <is>
          <t>2025-02-19</t>
        </is>
      </c>
      <c r="N71" s="13" t="inlineStr">
        <is>
          <t>2025-02-13</t>
        </is>
      </c>
      <c r="O71" s="9" t="n">
        <v>469</v>
      </c>
      <c r="P71" s="17" t="n">
        <v>1839.918212890625</v>
      </c>
      <c r="Q71" s="17" t="n">
        <v>2162.44287109375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Q2 2026-27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-5.14%</t>
        </is>
      </c>
      <c r="J72" s="13" t="inlineStr">
        <is>
          <t>-7.79%</t>
        </is>
      </c>
      <c r="K72" s="16">
        <f>X71</f>
        <v/>
      </c>
      <c r="L72" s="13" t="inlineStr">
        <is>
          <t>2025-01-17</t>
        </is>
      </c>
      <c r="M72" s="13" t="inlineStr">
        <is>
          <t>2025-01-27</t>
        </is>
      </c>
      <c r="N72" s="13" t="inlineStr">
        <is>
          <t>2025-01-24</t>
        </is>
      </c>
      <c r="O72" s="9" t="n">
        <v>932</v>
      </c>
      <c r="P72" s="17" t="n">
        <v>1157.346069335938</v>
      </c>
      <c r="Q72" s="17" t="n">
        <v>1097.809936523438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Q2 2026-27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-9.81%</t>
        </is>
      </c>
      <c r="J73" s="13" t="inlineStr">
        <is>
          <t>-7.49%</t>
        </is>
      </c>
      <c r="K73" s="16">
        <f>X72</f>
        <v/>
      </c>
      <c r="L73" s="13" t="inlineStr">
        <is>
          <t>2025-01-27</t>
        </is>
      </c>
      <c r="M73" s="13" t="inlineStr">
        <is>
          <t>2025-02-05</t>
        </is>
      </c>
      <c r="N73" s="13" t="inlineStr">
        <is>
          <t>2025-02-04</t>
        </is>
      </c>
      <c r="O73" s="9" t="n">
        <v>473</v>
      </c>
      <c r="P73" s="17" t="n">
        <v>2290.279541015625</v>
      </c>
      <c r="Q73" s="17" t="n">
        <v>2085.66845703125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Q2 2026-27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1.05%</t>
        </is>
      </c>
      <c r="J74" s="13" t="inlineStr">
        <is>
          <t>1.09%</t>
        </is>
      </c>
      <c r="K74" s="16">
        <f>X73</f>
        <v/>
      </c>
      <c r="L74" s="13" t="inlineStr">
        <is>
          <t>2025-02-05</t>
        </is>
      </c>
      <c r="M74" s="13" t="inlineStr">
        <is>
          <t>2025-02-17</t>
        </is>
      </c>
      <c r="N74" s="13" t="inlineStr">
        <is>
          <t>2025-02-10</t>
        </is>
      </c>
      <c r="O74" s="9" t="n">
        <v>250</v>
      </c>
      <c r="P74" s="17" t="n">
        <v>2454.919677734375</v>
      </c>
      <c r="Q74" s="17" t="n">
        <v>2480.974609375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Q2 2026-27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-9.17%</t>
        </is>
      </c>
      <c r="J75" s="13" t="inlineStr">
        <is>
          <t>-15.28%</t>
        </is>
      </c>
      <c r="K75" s="16">
        <f>X74</f>
        <v/>
      </c>
      <c r="L75" s="13" t="inlineStr">
        <is>
          <t>2025-02-01</t>
        </is>
      </c>
      <c r="M75" s="13" t="inlineStr">
        <is>
          <t>2025-02-11</t>
        </is>
      </c>
      <c r="N75" s="13" t="inlineStr">
        <is>
          <t>2025-02-05</t>
        </is>
      </c>
      <c r="O75" s="9" t="n">
        <v>237</v>
      </c>
      <c r="P75" s="17" t="n">
        <v>1767.86083984375</v>
      </c>
      <c r="Q75" s="17" t="n">
        <v>1605.757934570312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Q2 2026-27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-10.69%</t>
        </is>
      </c>
      <c r="J76" s="13" t="inlineStr">
        <is>
          <t>-13.94%</t>
        </is>
      </c>
      <c r="K76" s="16">
        <f>X75</f>
        <v/>
      </c>
      <c r="L76" s="13" t="inlineStr">
        <is>
          <t>2025-02-06</t>
        </is>
      </c>
      <c r="M76" s="13" t="inlineStr">
        <is>
          <t>2025-02-18</t>
        </is>
      </c>
      <c r="N76" s="13" t="inlineStr">
        <is>
          <t>2025-02-12</t>
        </is>
      </c>
      <c r="O76" s="9" t="n">
        <v>218</v>
      </c>
      <c r="P76" s="17" t="n">
        <v>3701.4453125</v>
      </c>
      <c r="Q76" s="17" t="n">
        <v>3305.90576171875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Q2 2026-27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4.45%</t>
        </is>
      </c>
      <c r="J77" s="13" t="inlineStr">
        <is>
          <t>-0.1%</t>
        </is>
      </c>
      <c r="K77" s="16">
        <f>X76</f>
        <v/>
      </c>
      <c r="L77" s="13" t="inlineStr">
        <is>
          <t>2025-01-09</t>
        </is>
      </c>
      <c r="M77" s="13" t="inlineStr">
        <is>
          <t>2025-01-22</t>
        </is>
      </c>
      <c r="N77" s="13" t="inlineStr">
        <is>
          <t>2025-01-16</t>
        </is>
      </c>
      <c r="O77" s="9" t="n">
        <v>792</v>
      </c>
      <c r="P77" s="17" t="n">
        <v>1535.32666015625</v>
      </c>
      <c r="Q77" s="17" t="n">
        <v>1606.88623046875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Q2 2026-27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-5.9%</t>
        </is>
      </c>
      <c r="J78" s="13" t="inlineStr">
        <is>
          <t>-6.24%</t>
        </is>
      </c>
      <c r="K78" s="16">
        <f>X77</f>
        <v/>
      </c>
      <c r="L78" s="13" t="inlineStr">
        <is>
          <t>2025-01-09</t>
        </is>
      </c>
      <c r="M78" s="13" t="inlineStr">
        <is>
          <t>2025-01-21</t>
        </is>
      </c>
      <c r="N78" s="13" t="inlineStr">
        <is>
          <t>2025-01-14</t>
        </is>
      </c>
      <c r="O78" s="9" t="n">
        <v>350</v>
      </c>
      <c r="P78" s="17" t="n">
        <v>1815.755859375</v>
      </c>
      <c r="Q78" s="17" t="n">
        <v>1708.662719726562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Q2 2026-27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0.37%</t>
        </is>
      </c>
      <c r="J79" s="13" t="inlineStr">
        <is>
          <t>2.66%</t>
        </is>
      </c>
      <c r="K79" s="16">
        <f>X78</f>
        <v/>
      </c>
      <c r="L79" s="13" t="inlineStr">
        <is>
          <t>2025-01-08</t>
        </is>
      </c>
      <c r="M79" s="13" t="inlineStr">
        <is>
          <t>2025-01-15</t>
        </is>
      </c>
      <c r="N79" s="13" t="inlineStr">
        <is>
          <t>2025-01-14</t>
        </is>
      </c>
      <c r="O79" s="9" t="n">
        <v>392</v>
      </c>
      <c r="P79" s="17" t="n">
        <v>1943.95263671875</v>
      </c>
      <c r="Q79" s="17" t="n">
        <v>1951.1328125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Q2 2026-27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2.95%</t>
        </is>
      </c>
      <c r="J80" s="13" t="inlineStr">
        <is>
          <t>2.71%</t>
        </is>
      </c>
      <c r="K80" s="16">
        <f>X79</f>
        <v/>
      </c>
      <c r="L80" s="13" t="inlineStr">
        <is>
          <t>2025-01-15</t>
        </is>
      </c>
      <c r="M80" s="13" t="inlineStr">
        <is>
          <t>2025-01-30</t>
        </is>
      </c>
      <c r="N80" s="13" t="inlineStr">
        <is>
          <t>2025-01-23</t>
        </is>
      </c>
      <c r="O80" s="9" t="n">
        <v>550</v>
      </c>
      <c r="P80" s="17" t="n">
        <v>797.3803100585938</v>
      </c>
      <c r="Q80" s="17" t="n">
        <v>820.8933715820312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Q2 2026-27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-4.04%</t>
        </is>
      </c>
      <c r="J81" s="13" t="inlineStr">
        <is>
          <t>-4.75%</t>
        </is>
      </c>
      <c r="K81" s="16">
        <f>X80</f>
        <v/>
      </c>
      <c r="L81" s="13" t="inlineStr">
        <is>
          <t>2025-01-13</t>
        </is>
      </c>
      <c r="M81" s="13" t="inlineStr">
        <is>
          <t>2025-01-21</t>
        </is>
      </c>
      <c r="N81" s="13" t="inlineStr">
        <is>
          <t>2025-01-15</t>
        </is>
      </c>
      <c r="O81" s="9" t="n">
        <v>1100</v>
      </c>
      <c r="P81" s="17" t="n">
        <v>620.0699462890625</v>
      </c>
      <c r="Q81" s="17" t="n">
        <v>595.97265625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Q2 2026-27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-4.28%</t>
        </is>
      </c>
      <c r="J82" s="13" t="inlineStr">
        <is>
          <t>-5.57%</t>
        </is>
      </c>
      <c r="K82" s="16">
        <f>X81</f>
        <v/>
      </c>
      <c r="L82" s="13" t="inlineStr">
        <is>
          <t>2025-02-04</t>
        </is>
      </c>
      <c r="M82" s="13" t="inlineStr">
        <is>
          <t>2025-02-13</t>
        </is>
      </c>
      <c r="N82" s="13" t="inlineStr">
        <is>
          <t>2025-02-06</t>
        </is>
      </c>
      <c r="O82" s="9" t="n">
        <v>150</v>
      </c>
      <c r="P82" s="17" t="n">
        <v>3993.972900390625</v>
      </c>
      <c r="Q82" s="17" t="n">
        <v>3823.09716796875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Q2 2026-27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-2.52%</t>
        </is>
      </c>
      <c r="J83" s="13" t="inlineStr">
        <is>
          <t>-2.38%</t>
        </is>
      </c>
      <c r="K83" s="16">
        <f>X82</f>
        <v/>
      </c>
      <c r="L83" s="13" t="inlineStr">
        <is>
          <t>2025-02-11</t>
        </is>
      </c>
      <c r="M83" s="13" t="inlineStr">
        <is>
          <t>2025-02-17</t>
        </is>
      </c>
      <c r="N83" s="13" t="inlineStr">
        <is>
          <t>2025-02-13</t>
        </is>
      </c>
      <c r="O83" s="9" t="n">
        <v>1400</v>
      </c>
      <c r="P83" s="17" t="n">
        <v>603.255859375</v>
      </c>
      <c r="Q83" s="17" t="n">
        <v>588.4423828125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Q2 2026-27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6.71%</t>
        </is>
      </c>
      <c r="J84" s="13" t="inlineStr">
        <is>
          <t>5.36%</t>
        </is>
      </c>
      <c r="K84" s="16">
        <f>X83</f>
        <v/>
      </c>
      <c r="L84" s="13" t="inlineStr">
        <is>
          <t>2025-01-22</t>
        </is>
      </c>
      <c r="M84" s="13" t="inlineStr">
        <is>
          <t>2025-01-29</t>
        </is>
      </c>
      <c r="N84" s="13" t="inlineStr">
        <is>
          <t>2025-01-23</t>
        </is>
      </c>
      <c r="O84" s="9" t="n">
        <v>2574</v>
      </c>
      <c r="P84" s="17" t="n">
        <v>332.9624633789062</v>
      </c>
      <c r="Q84" s="17" t="n">
        <v>356.9280395507812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Q2 2026-27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-0.68%</t>
        </is>
      </c>
      <c r="J85" s="13" t="inlineStr">
        <is>
          <t>-0.57%</t>
        </is>
      </c>
      <c r="K85" s="16">
        <f>X84</f>
        <v/>
      </c>
      <c r="L85" s="13" t="inlineStr">
        <is>
          <t>2025-01-14</t>
        </is>
      </c>
      <c r="M85" s="13" t="inlineStr">
        <is>
          <t>2025-01-29</t>
        </is>
      </c>
      <c r="N85" s="13" t="inlineStr">
        <is>
          <t>2025-01-22</t>
        </is>
      </c>
      <c r="O85" s="9" t="n">
        <v>300</v>
      </c>
      <c r="P85" s="17" t="n">
        <v>2317.1708984375</v>
      </c>
      <c r="Q85" s="17" t="n">
        <v>2301.619140625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Q2 2026-27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5.93%</t>
        </is>
      </c>
      <c r="J86" s="13" t="inlineStr">
        <is>
          <t>4.22%</t>
        </is>
      </c>
      <c r="K86" s="16">
        <f>X85</f>
        <v/>
      </c>
      <c r="L86" s="13" t="inlineStr">
        <is>
          <t>2025-01-23</t>
        </is>
      </c>
      <c r="M86" s="13" t="inlineStr">
        <is>
          <t>2025-02-01</t>
        </is>
      </c>
      <c r="N86" s="13" t="inlineStr">
        <is>
          <t>2025-01-28</t>
        </is>
      </c>
      <c r="O86" s="9" t="n">
        <v>1866</v>
      </c>
      <c r="P86" s="17" t="n">
        <v>429.4585876464844</v>
      </c>
      <c r="Q86" s="17" t="n">
        <v>456.5164184570313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Q2 2026-27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3.27%</t>
        </is>
      </c>
      <c r="J87" s="13" t="inlineStr">
        <is>
          <t>0.09%</t>
        </is>
      </c>
      <c r="K87" s="16">
        <f>X86</f>
        <v/>
      </c>
      <c r="L87" s="13" t="inlineStr">
        <is>
          <t>2025-01-24</t>
        </is>
      </c>
      <c r="M87" s="13" t="inlineStr">
        <is>
          <t>2025-01-29</t>
        </is>
      </c>
      <c r="N87" s="13" t="inlineStr">
        <is>
          <t>2025-01-28</t>
        </is>
      </c>
      <c r="O87" s="9" t="n">
        <v>495</v>
      </c>
      <c r="P87" s="17" t="n">
        <v>1633.677124023438</v>
      </c>
      <c r="Q87" s="17" t="n">
        <v>1688.94189453125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Q2 2026-27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1.18%</t>
        </is>
      </c>
      <c r="J88" s="13" t="inlineStr">
        <is>
          <t>-1.28%</t>
        </is>
      </c>
      <c r="K88" s="16">
        <f>X87</f>
        <v/>
      </c>
      <c r="L88" s="13" t="inlineStr">
        <is>
          <t>2025-01-15</t>
        </is>
      </c>
      <c r="M88" s="13" t="inlineStr">
        <is>
          <t>2025-01-31</t>
        </is>
      </c>
      <c r="N88" s="13" t="inlineStr">
        <is>
          <t>2025-01-25</t>
        </is>
      </c>
      <c r="O88" s="9" t="n">
        <v>700</v>
      </c>
      <c r="P88" s="17" t="n">
        <v>1228.768676757812</v>
      </c>
      <c r="Q88" s="17" t="n">
        <v>1243.207397460938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Q2 2026-27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10.84%</t>
        </is>
      </c>
      <c r="J89" s="13" t="inlineStr">
        <is>
          <t>8.82%</t>
        </is>
      </c>
      <c r="K89" s="16">
        <f>X88</f>
        <v/>
      </c>
      <c r="L89" s="13" t="inlineStr">
        <is>
          <t>2026-07-06</t>
        </is>
      </c>
      <c r="M89" s="13" t="inlineStr">
        <is>
          <t>2026-07-22</t>
        </is>
      </c>
      <c r="N89" s="13" t="inlineStr">
        <is>
          <t>2026-07-15</t>
        </is>
      </c>
      <c r="O89" s="9" t="n">
        <v>629</v>
      </c>
      <c r="P89" s="17" t="n">
        <v>1590.6</v>
      </c>
      <c r="Q89" s="17" t="n">
        <v>1784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Q2 2026-27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-2.97%</t>
        </is>
      </c>
      <c r="J90" s="13" t="inlineStr">
        <is>
          <t>-2.48%</t>
        </is>
      </c>
      <c r="K90" s="16">
        <f>X89</f>
        <v/>
      </c>
      <c r="L90" s="13" t="inlineStr">
        <is>
          <t>2026-07-06</t>
        </is>
      </c>
      <c r="M90" s="13" t="inlineStr">
        <is>
          <t>2026-07-22</t>
        </is>
      </c>
      <c r="N90" s="13" t="inlineStr">
        <is>
          <t>2026-07-15</t>
        </is>
      </c>
      <c r="O90" s="9" t="n">
        <v>1958</v>
      </c>
      <c r="P90" s="17" t="n">
        <v>499.5</v>
      </c>
      <c r="Q90" s="17" t="n">
        <v>485.1000061035156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Q2 2026-27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12.02%</t>
        </is>
      </c>
      <c r="J91" s="13" t="inlineStr">
        <is>
          <t>8.12%</t>
        </is>
      </c>
      <c r="K91" s="16">
        <f>X90</f>
        <v/>
      </c>
      <c r="L91" s="13" t="inlineStr">
        <is>
          <t>2025-02-04</t>
        </is>
      </c>
      <c r="M91" s="13" t="inlineStr">
        <is>
          <t>2025-02-17</t>
        </is>
      </c>
      <c r="N91" s="13" t="inlineStr">
        <is>
          <t>2025-02-11</t>
        </is>
      </c>
      <c r="O91" s="9" t="n">
        <v>77700</v>
      </c>
      <c r="P91" s="17" t="n">
        <v>8.270000457763672</v>
      </c>
      <c r="Q91" s="17" t="n">
        <v>9.399999618530272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Q2 2026-27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8.53%</t>
        </is>
      </c>
      <c r="J92" s="13" t="inlineStr">
        <is>
          <t>3.86%</t>
        </is>
      </c>
      <c r="K92" s="16">
        <f>X91</f>
        <v/>
      </c>
      <c r="L92" s="13" t="inlineStr">
        <is>
          <t>2025-01-15</t>
        </is>
      </c>
      <c r="M92" s="13" t="inlineStr">
        <is>
          <t>2025-01-27</t>
        </is>
      </c>
      <c r="N92" s="13" t="inlineStr">
        <is>
          <t>2025-01-25</t>
        </is>
      </c>
      <c r="O92" s="9" t="n">
        <v>11798</v>
      </c>
      <c r="P92" s="17" t="n">
        <v>56.544921875</v>
      </c>
      <c r="Q92" s="17" t="n">
        <v>61.81766510009766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Q2 2026-27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0.68%</t>
        </is>
      </c>
      <c r="J93" s="13" t="inlineStr">
        <is>
          <t>-1.13%</t>
        </is>
      </c>
      <c r="K93" s="16">
        <f>X92</f>
        <v/>
      </c>
      <c r="L93" s="13" t="inlineStr">
        <is>
          <t>2025-01-22</t>
        </is>
      </c>
      <c r="M93" s="13" t="inlineStr">
        <is>
          <t>2025-01-24</t>
        </is>
      </c>
      <c r="N93" s="13" t="inlineStr">
        <is>
          <t>2025-01-23</t>
        </is>
      </c>
      <c r="O93" s="9" t="n">
        <v>7610</v>
      </c>
      <c r="P93" s="17" t="n">
        <v>160.9623870849609</v>
      </c>
      <c r="Q93" s="17" t="n">
        <v>162.0630493164062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Q2 2026-27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-0.81%</t>
        </is>
      </c>
      <c r="J94" s="13" t="inlineStr">
        <is>
          <t>-3.77%</t>
        </is>
      </c>
      <c r="K94" s="16">
        <f>X93</f>
        <v/>
      </c>
      <c r="L94" s="13" t="inlineStr">
        <is>
          <t>2025-01-14</t>
        </is>
      </c>
      <c r="M94" s="13" t="inlineStr">
        <is>
          <t>2025-01-23</t>
        </is>
      </c>
      <c r="N94" s="13" t="inlineStr">
        <is>
          <t>2025-01-17</t>
        </is>
      </c>
      <c r="O94" s="9" t="n">
        <v>1334</v>
      </c>
      <c r="P94" s="17" t="n">
        <v>775.654541015625</v>
      </c>
      <c r="Q94" s="17" t="n">
        <v>769.40087890625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Q2 2026-27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3.82%</t>
        </is>
      </c>
      <c r="J95" s="13" t="inlineStr">
        <is>
          <t>-2.49%</t>
        </is>
      </c>
      <c r="K95" s="16">
        <f>X94</f>
        <v/>
      </c>
      <c r="L95" s="13" t="inlineStr">
        <is>
          <t>2025-01-24</t>
        </is>
      </c>
      <c r="M95" s="13" t="inlineStr">
        <is>
          <t>2025-02-03</t>
        </is>
      </c>
      <c r="N95" s="13" t="inlineStr">
        <is>
          <t>2025-01-29</t>
        </is>
      </c>
      <c r="O95" s="9" t="n">
        <v>1208</v>
      </c>
      <c r="P95" s="17" t="n">
        <v>478.5587768554688</v>
      </c>
      <c r="Q95" s="17" t="n">
        <v>496.8418884277344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Q2 2026-27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2.7%</t>
        </is>
      </c>
      <c r="J96" s="13" t="inlineStr">
        <is>
          <t>3.26%</t>
        </is>
      </c>
      <c r="K96" s="16">
        <f>X95</f>
        <v/>
      </c>
      <c r="L96" s="13" t="inlineStr">
        <is>
          <t>2025-01-15</t>
        </is>
      </c>
      <c r="M96" s="13" t="inlineStr">
        <is>
          <t>2025-01-27</t>
        </is>
      </c>
      <c r="N96" s="13" t="inlineStr">
        <is>
          <t>2025-01-24</t>
        </is>
      </c>
      <c r="O96" s="9" t="n">
        <v>196</v>
      </c>
      <c r="P96" s="17" t="n">
        <v>4059.140380859375</v>
      </c>
      <c r="Q96" s="17" t="n">
        <v>4168.705078125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Q2 2026-27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11.34%</t>
        </is>
      </c>
      <c r="J97" s="13" t="inlineStr">
        <is>
          <t>10.44%</t>
        </is>
      </c>
      <c r="K97" s="16">
        <f>X96</f>
        <v/>
      </c>
      <c r="L97" s="13" t="inlineStr">
        <is>
          <t>2025-01-30</t>
        </is>
      </c>
      <c r="M97" s="13" t="inlineStr">
        <is>
          <t>2025-02-06</t>
        </is>
      </c>
      <c r="N97" s="13" t="inlineStr">
        <is>
          <t>2025-01-31</t>
        </is>
      </c>
      <c r="O97" s="9" t="n">
        <v>500</v>
      </c>
      <c r="P97" s="17" t="n">
        <v>955.5023803710938</v>
      </c>
      <c r="Q97" s="17" t="n">
        <v>1063.827026367188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Q2 2026-27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3.51%</t>
        </is>
      </c>
      <c r="J98" s="13" t="inlineStr">
        <is>
          <t>1.25%</t>
        </is>
      </c>
      <c r="K98" s="16">
        <f>X97</f>
        <v/>
      </c>
      <c r="L98" s="13" t="inlineStr">
        <is>
          <t>2025-01-21</t>
        </is>
      </c>
      <c r="M98" s="13" t="inlineStr">
        <is>
          <t>2025-01-27</t>
        </is>
      </c>
      <c r="N98" s="13" t="inlineStr">
        <is>
          <t>2025-01-24</t>
        </is>
      </c>
      <c r="O98" s="9" t="n">
        <v>2545</v>
      </c>
      <c r="P98" s="17" t="n">
        <v>348.9500122070312</v>
      </c>
      <c r="Q98" s="17" t="n">
        <v>361.6499938964844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Q2 2026-27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7.81%</t>
        </is>
      </c>
      <c r="J99" s="13" t="inlineStr">
        <is>
          <t>6.97%</t>
        </is>
      </c>
      <c r="K99" s="16">
        <f>X98</f>
        <v/>
      </c>
      <c r="L99" s="13" t="inlineStr">
        <is>
          <t>2025-01-10</t>
        </is>
      </c>
      <c r="M99" s="13" t="inlineStr">
        <is>
          <t>2025-01-20</t>
        </is>
      </c>
      <c r="N99" s="13" t="inlineStr">
        <is>
          <t>2025-01-16</t>
        </is>
      </c>
      <c r="O99" s="9" t="n">
        <v>400</v>
      </c>
      <c r="P99" s="17" t="n">
        <v>1723.87548828125</v>
      </c>
      <c r="Q99" s="17" t="n">
        <v>1869.947998046875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Q2 2026-27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5.24%</t>
        </is>
      </c>
      <c r="J100" s="13" t="inlineStr">
        <is>
          <t>-0.11%</t>
        </is>
      </c>
      <c r="K100" s="16">
        <f>X99</f>
        <v/>
      </c>
      <c r="L100" s="13" t="inlineStr">
        <is>
          <t>2025-02-27</t>
        </is>
      </c>
      <c r="M100" s="13" t="inlineStr">
        <is>
          <t>2025-03-11</t>
        </is>
      </c>
      <c r="N100" s="13" t="inlineStr">
        <is>
          <t>2025-03-10</t>
        </is>
      </c>
      <c r="O100" s="9" t="n">
        <v>13336</v>
      </c>
      <c r="P100" s="17" t="n">
        <v>156.3999938964844</v>
      </c>
      <c r="Q100" s="17" t="n">
        <v>164.5899963378906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Q2 2026-27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1.54%</t>
        </is>
      </c>
      <c r="J101" s="13" t="inlineStr">
        <is>
          <t>-0.58%</t>
        </is>
      </c>
      <c r="K101" s="16">
        <f>X100</f>
        <v/>
      </c>
      <c r="L101" s="13" t="inlineStr">
        <is>
          <t>2025-01-20</t>
        </is>
      </c>
      <c r="M101" s="13" t="inlineStr">
        <is>
          <t>2025-01-31</t>
        </is>
      </c>
      <c r="N101" s="13" t="inlineStr">
        <is>
          <t>2025-01-27</t>
        </is>
      </c>
      <c r="O101" s="9" t="n">
        <v>7145</v>
      </c>
      <c r="P101" s="17" t="n">
        <v>120.5101470947266</v>
      </c>
      <c r="Q101" s="17" t="n">
        <v>122.3953094482422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Q2 2026-27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-6.82%</t>
        </is>
      </c>
      <c r="J102" s="13" t="inlineStr">
        <is>
          <t>-27.19%</t>
        </is>
      </c>
      <c r="K102" s="16">
        <f>X101</f>
        <v/>
      </c>
      <c r="L102" s="13" t="inlineStr">
        <is>
          <t>2024-12-30</t>
        </is>
      </c>
      <c r="M102" s="13" t="inlineStr">
        <is>
          <t>2025-01-15</t>
        </is>
      </c>
      <c r="N102" s="13" t="inlineStr">
        <is>
          <t>2025-01-09</t>
        </is>
      </c>
      <c r="O102" s="9" t="n">
        <v>8341</v>
      </c>
      <c r="P102" s="17" t="n">
        <v>217.3177337646484</v>
      </c>
      <c r="Q102" s="17" t="n">
        <v>202.4863739013672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Q2 2026-27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0.37%</t>
        </is>
      </c>
      <c r="J103" s="13" t="inlineStr">
        <is>
          <t>-0.49%</t>
        </is>
      </c>
      <c r="K103" s="16">
        <f>X102</f>
        <v/>
      </c>
      <c r="L103" s="13" t="inlineStr">
        <is>
          <t>2025-01-16</t>
        </is>
      </c>
      <c r="M103" s="13" t="inlineStr">
        <is>
          <t>2025-01-21</t>
        </is>
      </c>
      <c r="N103" s="13" t="inlineStr">
        <is>
          <t>2025-01-20</t>
        </is>
      </c>
      <c r="O103" s="9" t="n">
        <v>11813</v>
      </c>
      <c r="P103" s="17" t="n">
        <v>142.47</v>
      </c>
      <c r="Q103" s="17" t="n">
        <v>143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Q2 2026-27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1.42%</t>
        </is>
      </c>
      <c r="J104" s="13" t="inlineStr">
        <is>
          <t>1.43%</t>
        </is>
      </c>
      <c r="K104" s="16">
        <f>X103</f>
        <v/>
      </c>
      <c r="L104" s="13" t="inlineStr">
        <is>
          <t>2025-01-29</t>
        </is>
      </c>
      <c r="M104" s="13" t="inlineStr">
        <is>
          <t>2025-02-10</t>
        </is>
      </c>
      <c r="N104" s="13" t="inlineStr">
        <is>
          <t>2025-02-06</t>
        </is>
      </c>
      <c r="O104" s="9" t="n">
        <v>1600</v>
      </c>
      <c r="P104" s="17" t="n">
        <v>393.7491149902344</v>
      </c>
      <c r="Q104" s="17" t="n">
        <v>399.4175415039063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Q2 2026-27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-7.7%</t>
        </is>
      </c>
      <c r="J105" s="13" t="inlineStr">
        <is>
          <t>-9.8%</t>
        </is>
      </c>
      <c r="K105" s="16">
        <f>X104</f>
        <v/>
      </c>
      <c r="L105" s="13" t="inlineStr">
        <is>
          <t>2025-01-28</t>
        </is>
      </c>
      <c r="M105" s="13" t="inlineStr">
        <is>
          <t>2025-02-01</t>
        </is>
      </c>
      <c r="N105" s="13" t="inlineStr">
        <is>
          <t>2025-01-31</t>
        </is>
      </c>
      <c r="O105" s="9" t="n">
        <v>914</v>
      </c>
      <c r="P105" s="17" t="n">
        <v>839.4346923828125</v>
      </c>
      <c r="Q105" s="17" t="n">
        <v>774.8128662109375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Q2 2026-27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7.57%</t>
        </is>
      </c>
      <c r="J106" s="13" t="inlineStr">
        <is>
          <t>3.87%</t>
        </is>
      </c>
      <c r="K106" s="16">
        <f>X105</f>
        <v/>
      </c>
      <c r="L106" s="13" t="inlineStr">
        <is>
          <t>2025-01-16</t>
        </is>
      </c>
      <c r="M106" s="13" t="inlineStr">
        <is>
          <t>2025-01-23</t>
        </is>
      </c>
      <c r="N106" s="13" t="inlineStr">
        <is>
          <t>2025-01-17</t>
        </is>
      </c>
      <c r="O106" s="9" t="n">
        <v>4127</v>
      </c>
      <c r="P106" s="17" t="n">
        <v>255.45166015625</v>
      </c>
      <c r="Q106" s="17" t="n">
        <v>276.3690185546875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Q2 2026-27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14.85%</t>
        </is>
      </c>
      <c r="J107" s="13" t="inlineStr">
        <is>
          <t>10.69%</t>
        </is>
      </c>
      <c r="K107" s="16">
        <f>X106</f>
        <v/>
      </c>
      <c r="L107" s="13" t="inlineStr">
        <is>
          <t>2025-01-21</t>
        </is>
      </c>
      <c r="M107" s="13" t="inlineStr">
        <is>
          <t>2025-01-29</t>
        </is>
      </c>
      <c r="N107" s="13" t="inlineStr">
        <is>
          <t>2025-01-28</t>
        </is>
      </c>
      <c r="O107" s="9" t="n">
        <v>1839</v>
      </c>
      <c r="P107" s="17" t="n">
        <v>471.2784423828125</v>
      </c>
      <c r="Q107" s="17" t="n">
        <v>553.4729614257812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Q2 2026-27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4.65%</t>
        </is>
      </c>
      <c r="J108" s="13" t="inlineStr">
        <is>
          <t>2.98%</t>
        </is>
      </c>
      <c r="K108" s="16">
        <f>X107</f>
        <v/>
      </c>
      <c r="L108" s="13" t="inlineStr">
        <is>
          <t>2025-01-17</t>
        </is>
      </c>
      <c r="M108" s="13" t="inlineStr">
        <is>
          <t>2025-01-30</t>
        </is>
      </c>
      <c r="N108" s="13" t="inlineStr">
        <is>
          <t>2025-01-24</t>
        </is>
      </c>
      <c r="O108" s="9" t="n">
        <v>675</v>
      </c>
      <c r="P108" s="17" t="n">
        <v>900.9846801757812</v>
      </c>
      <c r="Q108" s="17" t="n">
        <v>942.880615234375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Q2 2026-27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-4.41%</t>
        </is>
      </c>
      <c r="J109" s="13" t="inlineStr">
        <is>
          <t>-5.65%</t>
        </is>
      </c>
      <c r="K109" s="16">
        <f>X108</f>
        <v/>
      </c>
      <c r="L109" s="13" t="inlineStr">
        <is>
          <t>2025-02-05</t>
        </is>
      </c>
      <c r="M109" s="13" t="inlineStr">
        <is>
          <t>2025-02-18</t>
        </is>
      </c>
      <c r="N109" s="13" t="inlineStr">
        <is>
          <t>2025-02-12</t>
        </is>
      </c>
      <c r="O109" s="9" t="n">
        <v>2273</v>
      </c>
      <c r="P109" s="17" t="n">
        <v>721.7355346679688</v>
      </c>
      <c r="Q109" s="17" t="n">
        <v>689.8818359375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Q2 2026-27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-15.39%</t>
        </is>
      </c>
      <c r="J110" s="13" t="inlineStr">
        <is>
          <t>-14.79%</t>
        </is>
      </c>
      <c r="K110" s="16">
        <f>X109</f>
        <v/>
      </c>
      <c r="L110" s="13" t="inlineStr">
        <is>
          <t>2025-01-28</t>
        </is>
      </c>
      <c r="M110" s="13" t="inlineStr">
        <is>
          <t>2025-02-01</t>
        </is>
      </c>
      <c r="N110" s="13" t="inlineStr">
        <is>
          <t>2025-01-31</t>
        </is>
      </c>
      <c r="O110" s="9" t="n">
        <v>1575</v>
      </c>
      <c r="P110" s="17" t="n">
        <v>503.9752502441406</v>
      </c>
      <c r="Q110" s="17" t="n">
        <v>436.7718811035156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Q2 2026-27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-12.56%</t>
        </is>
      </c>
      <c r="J111" s="13" t="inlineStr">
        <is>
          <t>-18.65%</t>
        </is>
      </c>
      <c r="K111" s="16">
        <f>X110</f>
        <v/>
      </c>
      <c r="L111" s="13" t="inlineStr">
        <is>
          <t>2025-01-23</t>
        </is>
      </c>
      <c r="M111" s="13" t="inlineStr">
        <is>
          <t>2025-02-01</t>
        </is>
      </c>
      <c r="N111" s="13" t="inlineStr">
        <is>
          <t>2025-01-28</t>
        </is>
      </c>
      <c r="O111" s="9" t="n">
        <v>276</v>
      </c>
      <c r="P111" s="17" t="n">
        <v>5595.5</v>
      </c>
      <c r="Q111" s="17" t="n">
        <v>4892.85009765625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Q2 2026-27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4.77%</t>
        </is>
      </c>
      <c r="J112" s="13" t="inlineStr">
        <is>
          <t>1.03%</t>
        </is>
      </c>
      <c r="K112" s="16">
        <f>X111</f>
        <v/>
      </c>
      <c r="L112" s="13" t="inlineStr">
        <is>
          <t>2025-01-09</t>
        </is>
      </c>
      <c r="M112" s="13" t="inlineStr">
        <is>
          <t>2025-01-27</t>
        </is>
      </c>
      <c r="N112" s="13" t="inlineStr">
        <is>
          <t>2025-01-21</t>
        </is>
      </c>
      <c r="O112" s="9" t="n">
        <v>208</v>
      </c>
      <c r="P112" s="17" t="n">
        <v>3993.8212890625</v>
      </c>
      <c r="Q112" s="17" t="n">
        <v>4194.03173828125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Q2 2026-27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-7.19%</t>
        </is>
      </c>
      <c r="J113" s="13" t="inlineStr">
        <is>
          <t>-9.69%</t>
        </is>
      </c>
      <c r="K113" s="16">
        <f>X112</f>
        <v/>
      </c>
      <c r="L113" s="13" t="inlineStr">
        <is>
          <t>2025-01-13</t>
        </is>
      </c>
      <c r="M113" s="13" t="inlineStr">
        <is>
          <t>2025-01-24</t>
        </is>
      </c>
      <c r="N113" s="13" t="inlineStr">
        <is>
          <t>2025-01-23</t>
        </is>
      </c>
      <c r="O113" s="9" t="n">
        <v>1063</v>
      </c>
      <c r="P113" s="17" t="n">
        <v>1230.14599609375</v>
      </c>
      <c r="Q113" s="17" t="n">
        <v>1141.69384765625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Q2 2026-27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-1.06%</t>
        </is>
      </c>
      <c r="J114" s="13" t="inlineStr">
        <is>
          <t>-1.16%</t>
        </is>
      </c>
      <c r="K114" s="16">
        <f>X113</f>
        <v/>
      </c>
      <c r="L114" s="13" t="inlineStr">
        <is>
          <t>2025-01-27</t>
        </is>
      </c>
      <c r="M114" s="13" t="inlineStr">
        <is>
          <t>2025-01-31</t>
        </is>
      </c>
      <c r="N114" s="13" t="inlineStr">
        <is>
          <t>2025-01-29</t>
        </is>
      </c>
      <c r="O114" s="9" t="n">
        <v>400</v>
      </c>
      <c r="P114" s="17" t="n">
        <v>379.8220825195313</v>
      </c>
      <c r="Q114" s="17" t="n">
        <v>375.8466796875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Q2 2026-27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10.64%</t>
        </is>
      </c>
      <c r="J115" s="13" t="inlineStr">
        <is>
          <t>11.79%</t>
        </is>
      </c>
      <c r="K115" s="16">
        <f>X114</f>
        <v/>
      </c>
      <c r="L115" s="13" t="inlineStr">
        <is>
          <t>2025-01-22</t>
        </is>
      </c>
      <c r="M115" s="13" t="inlineStr">
        <is>
          <t>2025-01-30</t>
        </is>
      </c>
      <c r="N115" s="13" t="inlineStr">
        <is>
          <t>2025-01-29</t>
        </is>
      </c>
      <c r="O115" s="9" t="n">
        <v>1695</v>
      </c>
      <c r="P115" s="17" t="n">
        <v>1283.663330078125</v>
      </c>
      <c r="Q115" s="17" t="n">
        <v>1420.1865234375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Q2 2026-27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8.49%</t>
        </is>
      </c>
      <c r="J116" s="13" t="inlineStr">
        <is>
          <t>5.68%</t>
        </is>
      </c>
      <c r="K116" s="16">
        <f>X115</f>
        <v/>
      </c>
      <c r="L116" s="13" t="inlineStr">
        <is>
          <t>2025-01-20</t>
        </is>
      </c>
      <c r="M116" s="13" t="inlineStr">
        <is>
          <t>2025-01-27</t>
        </is>
      </c>
      <c r="N116" s="13" t="inlineStr">
        <is>
          <t>2025-01-24</t>
        </is>
      </c>
      <c r="O116" s="9" t="n">
        <v>561</v>
      </c>
      <c r="P116" s="17" t="n">
        <v>532.9501953125</v>
      </c>
      <c r="Q116" s="17" t="n">
        <v>582.3925170898438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Q2 2026-27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-0.09%</t>
        </is>
      </c>
      <c r="J117" s="13" t="inlineStr">
        <is>
          <t>0.49%</t>
        </is>
      </c>
      <c r="K117" s="16">
        <f>X116</f>
        <v/>
      </c>
      <c r="L117" s="13" t="inlineStr">
        <is>
          <t>2025-01-29</t>
        </is>
      </c>
      <c r="M117" s="13" t="inlineStr">
        <is>
          <t>2025-02-05</t>
        </is>
      </c>
      <c r="N117" s="13" t="inlineStr">
        <is>
          <t>2025-01-31</t>
        </is>
      </c>
      <c r="O117" s="9" t="n">
        <v>1848</v>
      </c>
      <c r="P117" s="17" t="n">
        <v>564.6561889648438</v>
      </c>
      <c r="Q117" s="17" t="n">
        <v>564.1648559570312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Q2 2026-27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0.34%</t>
        </is>
      </c>
      <c r="J118" s="13" t="inlineStr">
        <is>
          <t>-0.61%</t>
        </is>
      </c>
      <c r="K118" s="16">
        <f>X117</f>
        <v/>
      </c>
      <c r="L118" s="13" t="inlineStr">
        <is>
          <t>2026-07-23</t>
        </is>
      </c>
      <c r="M118" s="13" t="inlineStr">
        <is>
          <t>2026-07-30</t>
        </is>
      </c>
      <c r="N118" s="13" t="inlineStr">
        <is>
          <t>2026-08-06</t>
        </is>
      </c>
      <c r="O118" s="9" t="n">
        <v>2364</v>
      </c>
      <c r="P118" s="17" t="n">
        <v>421.3999938964844</v>
      </c>
      <c r="Q118" s="17" t="n">
        <v>422.8500061035156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Q2 2026-27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6.14%</t>
        </is>
      </c>
      <c r="J119" s="13" t="inlineStr">
        <is>
          <t>1.89%</t>
        </is>
      </c>
      <c r="K119" s="16">
        <f>X118</f>
        <v/>
      </c>
      <c r="L119" s="13" t="inlineStr">
        <is>
          <t>2025-03-05</t>
        </is>
      </c>
      <c r="M119" s="13" t="inlineStr">
        <is>
          <t>2025-03-12</t>
        </is>
      </c>
      <c r="N119" s="13" t="inlineStr">
        <is>
          <t>2025-03-11</t>
        </is>
      </c>
      <c r="O119" s="9" t="n">
        <v>776</v>
      </c>
      <c r="P119" s="17" t="n">
        <v>1078.146118164062</v>
      </c>
      <c r="Q119" s="17" t="n">
        <v>1148.713623046875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Q2 2026-27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-7.8%</t>
        </is>
      </c>
      <c r="J120" s="13" t="inlineStr">
        <is>
          <t>-8.36%</t>
        </is>
      </c>
      <c r="K120" s="16">
        <f>X119</f>
        <v/>
      </c>
      <c r="L120" s="13" t="inlineStr">
        <is>
          <t>2025-01-31</t>
        </is>
      </c>
      <c r="M120" s="13" t="inlineStr">
        <is>
          <t>2025-02-03</t>
        </is>
      </c>
      <c r="N120" s="13" t="inlineStr">
        <is>
          <t>2025-01-31</t>
        </is>
      </c>
      <c r="O120" s="9" t="n">
        <v>300</v>
      </c>
      <c r="P120" s="17" t="n">
        <v>3500.248291015625</v>
      </c>
      <c r="Q120" s="17" t="n">
        <v>3227.285400390625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Q2 2026-27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-2.13%</t>
        </is>
      </c>
      <c r="J121" s="13" t="inlineStr">
        <is>
          <t>-3.59%</t>
        </is>
      </c>
      <c r="K121" s="16">
        <f>X120</f>
        <v/>
      </c>
      <c r="L121" s="13" t="inlineStr">
        <is>
          <t>2025-01-17</t>
        </is>
      </c>
      <c r="M121" s="13" t="inlineStr">
        <is>
          <t>2025-01-21</t>
        </is>
      </c>
      <c r="N121" s="13" t="inlineStr">
        <is>
          <t>2025-01-20</t>
        </is>
      </c>
      <c r="O121" s="9" t="n">
        <v>3265</v>
      </c>
      <c r="P121" s="17" t="n">
        <v>142.3001861572266</v>
      </c>
      <c r="Q121" s="17" t="n">
        <v>139.338623046875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Q2 2026-27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-0.21%</t>
        </is>
      </c>
      <c r="J122" s="13" t="inlineStr">
        <is>
          <t>-2.78%</t>
        </is>
      </c>
      <c r="K122" s="16">
        <f>X121</f>
        <v/>
      </c>
      <c r="L122" s="13" t="inlineStr">
        <is>
          <t>2025-01-15</t>
        </is>
      </c>
      <c r="M122" s="13" t="inlineStr">
        <is>
          <t>2025-01-22</t>
        </is>
      </c>
      <c r="N122" s="13" t="inlineStr">
        <is>
          <t>2025-01-16</t>
        </is>
      </c>
      <c r="O122" s="9" t="n">
        <v>225</v>
      </c>
      <c r="P122" s="17" t="n">
        <v>5698.419921875</v>
      </c>
      <c r="Q122" s="17" t="n">
        <v>5686.3896484375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Q2 2026-27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-0.05%</t>
        </is>
      </c>
      <c r="J123" s="13" t="inlineStr">
        <is>
          <t>-3.84%</t>
        </is>
      </c>
      <c r="K123" s="16">
        <f>X122</f>
        <v/>
      </c>
      <c r="L123" s="13" t="inlineStr">
        <is>
          <t>2025-02-01</t>
        </is>
      </c>
      <c r="M123" s="13" t="inlineStr">
        <is>
          <t>2025-02-13</t>
        </is>
      </c>
      <c r="N123" s="13" t="inlineStr">
        <is>
          <t>2025-02-12</t>
        </is>
      </c>
      <c r="O123" s="9" t="n">
        <v>413</v>
      </c>
      <c r="P123" s="17" t="n">
        <v>2028.829467773437</v>
      </c>
      <c r="Q123" s="17" t="n">
        <v>2027.8427734375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Q2 2026-27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-1.14%</t>
        </is>
      </c>
      <c r="J124" s="13" t="inlineStr">
        <is>
          <t>-3.41%</t>
        </is>
      </c>
      <c r="K124" s="16">
        <f>X123</f>
        <v/>
      </c>
      <c r="L124" s="13" t="inlineStr">
        <is>
          <t>2025-02-03</t>
        </is>
      </c>
      <c r="M124" s="13" t="inlineStr">
        <is>
          <t>2025-02-10</t>
        </is>
      </c>
      <c r="N124" s="13" t="inlineStr">
        <is>
          <t>2025-02-07</t>
        </is>
      </c>
      <c r="O124" s="9" t="n">
        <v>350</v>
      </c>
      <c r="P124" s="17" t="n">
        <v>3115.29345703125</v>
      </c>
      <c r="Q124" s="17" t="n">
        <v>3079.902587890625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Q2 2026-27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4.52%</t>
        </is>
      </c>
      <c r="J125" s="13" t="inlineStr">
        <is>
          <t>0.14%</t>
        </is>
      </c>
      <c r="K125" s="16">
        <f>X124</f>
        <v/>
      </c>
      <c r="L125" s="13" t="inlineStr">
        <is>
          <t>2025-01-09</t>
        </is>
      </c>
      <c r="M125" s="13" t="inlineStr">
        <is>
          <t>2025-01-21</t>
        </is>
      </c>
      <c r="N125" s="13" t="inlineStr">
        <is>
          <t>2025-01-15</t>
        </is>
      </c>
      <c r="O125" s="9" t="n">
        <v>12616</v>
      </c>
      <c r="P125" s="17" t="n">
        <v>46.2484130859375</v>
      </c>
      <c r="Q125" s="17" t="n">
        <v>48.33820724487305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Q2 2026-27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0.98%</t>
        </is>
      </c>
      <c r="J126" s="13" t="inlineStr">
        <is>
          <t>0.41%</t>
        </is>
      </c>
      <c r="K126" s="16">
        <f>X125</f>
        <v/>
      </c>
      <c r="L126" s="13" t="inlineStr">
        <is>
          <t>2025-02-12</t>
        </is>
      </c>
      <c r="M126" s="13" t="inlineStr">
        <is>
          <t>2025-02-17</t>
        </is>
      </c>
      <c r="N126" s="13" t="inlineStr">
        <is>
          <t>2025-02-14</t>
        </is>
      </c>
      <c r="O126" s="9" t="n">
        <v>2714</v>
      </c>
      <c r="P126" s="17" t="n">
        <v>188.7413330078125</v>
      </c>
      <c r="Q126" s="17" t="n">
        <v>190.5851745605469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Q2 2026-27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9.27%</t>
        </is>
      </c>
      <c r="J127" s="13" t="inlineStr">
        <is>
          <t>6.17%</t>
        </is>
      </c>
      <c r="K127" s="16">
        <f>X126</f>
        <v/>
      </c>
      <c r="L127" s="13" t="inlineStr">
        <is>
          <t>2025-01-20</t>
        </is>
      </c>
      <c r="M127" s="13" t="inlineStr">
        <is>
          <t>2025-01-27</t>
        </is>
      </c>
      <c r="N127" s="13" t="inlineStr">
        <is>
          <t>2025-01-24</t>
        </is>
      </c>
      <c r="O127" s="9" t="n">
        <v>388</v>
      </c>
      <c r="P127" s="17" t="n">
        <v>2452.98291015625</v>
      </c>
      <c r="Q127" s="17" t="n">
        <v>2703.63427734375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Q2 2026-27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0.38%</t>
        </is>
      </c>
      <c r="J128" s="13" t="inlineStr">
        <is>
          <t>-1.01%</t>
        </is>
      </c>
      <c r="K128" s="16">
        <f>X127</f>
        <v/>
      </c>
      <c r="L128" s="13" t="inlineStr">
        <is>
          <t>2025-01-24</t>
        </is>
      </c>
      <c r="M128" s="13" t="inlineStr">
        <is>
          <t>2025-02-05</t>
        </is>
      </c>
      <c r="N128" s="13" t="inlineStr">
        <is>
          <t>2025-01-31</t>
        </is>
      </c>
      <c r="O128" s="9" t="n">
        <v>1129</v>
      </c>
      <c r="P128" s="17" t="n">
        <v>653.1532592773438</v>
      </c>
      <c r="Q128" s="17" t="n">
        <v>655.6533813476562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Q2 2026-27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-2.64%</t>
        </is>
      </c>
      <c r="J129" s="13" t="inlineStr">
        <is>
          <t>-3.35%</t>
        </is>
      </c>
      <c r="K129" s="16">
        <f>X128</f>
        <v/>
      </c>
      <c r="L129" s="13" t="inlineStr">
        <is>
          <t>2025-01-27</t>
        </is>
      </c>
      <c r="M129" s="13" t="inlineStr">
        <is>
          <t>2025-01-31</t>
        </is>
      </c>
      <c r="N129" s="13" t="inlineStr">
        <is>
          <t>2025-01-29</t>
        </is>
      </c>
      <c r="O129" s="9" t="n">
        <v>100</v>
      </c>
      <c r="P129" s="17" t="n">
        <v>12178.833984375</v>
      </c>
      <c r="Q129" s="17" t="n">
        <v>11865.42578125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Q2 2026-27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0.52%</t>
        </is>
      </c>
      <c r="J130" s="13" t="inlineStr">
        <is>
          <t>-2.1%</t>
        </is>
      </c>
      <c r="K130" s="16">
        <f>X129</f>
        <v/>
      </c>
      <c r="L130" s="13" t="inlineStr">
        <is>
          <t>2025-01-24</t>
        </is>
      </c>
      <c r="M130" s="13" t="inlineStr">
        <is>
          <t>2025-01-31</t>
        </is>
      </c>
      <c r="N130" s="13" t="inlineStr">
        <is>
          <t>2025-01-30</t>
        </is>
      </c>
      <c r="O130" s="9" t="n">
        <v>922</v>
      </c>
      <c r="P130" s="17" t="n">
        <v>1052.662353515625</v>
      </c>
      <c r="Q130" s="17" t="n">
        <v>1058.146240234375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Q2 2026-27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1.02%</t>
        </is>
      </c>
      <c r="J131" s="13" t="inlineStr">
        <is>
          <t>-3.97%</t>
        </is>
      </c>
      <c r="K131" s="16">
        <f>X130</f>
        <v/>
      </c>
      <c r="L131" s="13" t="inlineStr">
        <is>
          <t>2025-02-03</t>
        </is>
      </c>
      <c r="M131" s="13" t="inlineStr">
        <is>
          <t>2025-02-13</t>
        </is>
      </c>
      <c r="N131" s="13" t="inlineStr">
        <is>
          <t>2025-02-07</t>
        </is>
      </c>
      <c r="O131" s="9" t="n">
        <v>431</v>
      </c>
      <c r="P131" s="17" t="n">
        <v>2195.34423828125</v>
      </c>
      <c r="Q131" s="17" t="n">
        <v>2217.9775390625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Q2 2026-27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5.12%</t>
        </is>
      </c>
      <c r="J132" s="13" t="inlineStr">
        <is>
          <t>-5.24%</t>
        </is>
      </c>
      <c r="K132" s="16">
        <f>X131</f>
        <v/>
      </c>
      <c r="L132" s="13" t="inlineStr">
        <is>
          <t>2016-06-22</t>
        </is>
      </c>
      <c r="M132" s="13" t="inlineStr">
        <is>
          <t>2016-07-04</t>
        </is>
      </c>
      <c r="N132" s="13" t="inlineStr">
        <is>
          <t>2016-06-30</t>
        </is>
      </c>
      <c r="O132" s="9" t="n">
        <v>373</v>
      </c>
      <c r="P132" s="17" t="n">
        <v>171.3801422119141</v>
      </c>
      <c r="Q132" s="17" t="n">
        <v>180.1510314941407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Q2 2026-27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0.42%</t>
        </is>
      </c>
      <c r="J133" s="13" t="inlineStr">
        <is>
          <t>1.9%</t>
        </is>
      </c>
      <c r="K133" s="16">
        <f>X132</f>
        <v/>
      </c>
      <c r="L133" s="13" t="inlineStr">
        <is>
          <t>2025-02-01</t>
        </is>
      </c>
      <c r="M133" s="13" t="inlineStr">
        <is>
          <t>2025-02-05</t>
        </is>
      </c>
      <c r="N133" s="13" t="inlineStr">
        <is>
          <t>2025-02-04</t>
        </is>
      </c>
      <c r="O133" s="9" t="n">
        <v>661</v>
      </c>
      <c r="P133" s="17" t="n">
        <v>1118.5</v>
      </c>
      <c r="Q133" s="17" t="n">
        <v>1123.25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Q2 2026-27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2.72%</t>
        </is>
      </c>
      <c r="J134" s="13" t="inlineStr">
        <is>
          <t>0.74%</t>
        </is>
      </c>
      <c r="K134" s="16">
        <f>X133</f>
        <v/>
      </c>
      <c r="L134" s="13" t="inlineStr">
        <is>
          <t>2025-02-10</t>
        </is>
      </c>
      <c r="M134" s="13" t="inlineStr">
        <is>
          <t>2025-02-20</t>
        </is>
      </c>
      <c r="N134" s="13" t="inlineStr">
        <is>
          <t>2025-02-14</t>
        </is>
      </c>
      <c r="O134" s="9" t="n">
        <v>6815</v>
      </c>
      <c r="P134" s="17" t="n">
        <v>86.91497802734375</v>
      </c>
      <c r="Q134" s="17" t="n">
        <v>89.34814453125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Q2 2026-27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-0.03%</t>
        </is>
      </c>
      <c r="J135" s="13" t="inlineStr">
        <is>
          <t>-5.15%</t>
        </is>
      </c>
      <c r="K135" s="16">
        <f>X134</f>
        <v/>
      </c>
      <c r="L135" s="13" t="inlineStr">
        <is>
          <t>2025-01-28</t>
        </is>
      </c>
      <c r="M135" s="13" t="inlineStr">
        <is>
          <t>2025-01-30</t>
        </is>
      </c>
      <c r="N135" s="13" t="inlineStr">
        <is>
          <t>2025-01-29</t>
        </is>
      </c>
      <c r="O135" s="9" t="n">
        <v>1194</v>
      </c>
      <c r="P135" s="17" t="n">
        <v>635.8660278320312</v>
      </c>
      <c r="Q135" s="17" t="n">
        <v>635.6691284179688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Q2 2026-27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3.16%</t>
        </is>
      </c>
      <c r="J136" s="13" t="inlineStr">
        <is>
          <t>0.25%</t>
        </is>
      </c>
      <c r="K136" s="16">
        <f>X135</f>
        <v/>
      </c>
      <c r="L136" s="13" t="inlineStr">
        <is>
          <t>2025-01-15</t>
        </is>
      </c>
      <c r="M136" s="13" t="inlineStr">
        <is>
          <t>2025-01-30</t>
        </is>
      </c>
      <c r="N136" s="13" t="inlineStr">
        <is>
          <t>2025-01-24</t>
        </is>
      </c>
      <c r="O136" s="9" t="n">
        <v>426</v>
      </c>
      <c r="P136" s="17" t="n">
        <v>2654.13720703125</v>
      </c>
      <c r="Q136" s="17" t="n">
        <v>2738.017578125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Q2 2026-27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-0.57%</t>
        </is>
      </c>
      <c r="J137" s="13" t="inlineStr">
        <is>
          <t>-1.43%</t>
        </is>
      </c>
      <c r="K137" s="16">
        <f>X136</f>
        <v/>
      </c>
      <c r="L137" s="13" t="inlineStr">
        <is>
          <t>2026-07-27</t>
        </is>
      </c>
      <c r="M137" s="13" t="inlineStr">
        <is>
          <t>2026-07-30</t>
        </is>
      </c>
      <c r="N137" s="13" t="inlineStr">
        <is>
          <t>2026-08-03</t>
        </is>
      </c>
      <c r="O137" s="9" t="n">
        <v>332</v>
      </c>
      <c r="P137" s="17" t="n">
        <v>3025.89990234375</v>
      </c>
      <c r="Q137" s="17" t="n">
        <v>3008.699951171875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Q2 2026-27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3.41%</t>
        </is>
      </c>
      <c r="J138" s="13" t="inlineStr">
        <is>
          <t>2.9%</t>
        </is>
      </c>
      <c r="K138" s="16">
        <f>X137</f>
        <v/>
      </c>
      <c r="L138" s="13" t="inlineStr">
        <is>
          <t>2025-01-22</t>
        </is>
      </c>
      <c r="M138" s="13" t="inlineStr">
        <is>
          <t>2025-01-24</t>
        </is>
      </c>
      <c r="N138" s="13" t="inlineStr">
        <is>
          <t>2025-01-23</t>
        </is>
      </c>
      <c r="O138" s="9" t="n">
        <v>871</v>
      </c>
      <c r="P138" s="17" t="n">
        <v>600.4056396484375</v>
      </c>
      <c r="Q138" s="17" t="n">
        <v>621.6294555664062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Q2 2026-27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8.18%</t>
        </is>
      </c>
      <c r="J139" s="13" t="inlineStr">
        <is>
          <t>2.66%</t>
        </is>
      </c>
      <c r="K139" s="16">
        <f>X138</f>
        <v/>
      </c>
      <c r="L139" s="13" t="inlineStr">
        <is>
          <t>2025-02-05</t>
        </is>
      </c>
      <c r="M139" s="13" t="inlineStr">
        <is>
          <t>2025-02-11</t>
        </is>
      </c>
      <c r="N139" s="13" t="inlineStr">
        <is>
          <t>2025-02-10</t>
        </is>
      </c>
      <c r="O139" s="9" t="n">
        <v>2876</v>
      </c>
      <c r="P139" s="17" t="n">
        <v>171.7241363525391</v>
      </c>
      <c r="Q139" s="17" t="n">
        <v>187.0220184326172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Q2 2026-27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4.24%</t>
        </is>
      </c>
      <c r="J140" s="13" t="inlineStr">
        <is>
          <t>2.63%</t>
        </is>
      </c>
      <c r="K140" s="16">
        <f>X139</f>
        <v/>
      </c>
      <c r="L140" s="13" t="inlineStr">
        <is>
          <t>2025-01-31</t>
        </is>
      </c>
      <c r="M140" s="13" t="inlineStr">
        <is>
          <t>2025-02-06</t>
        </is>
      </c>
      <c r="N140" s="13" t="inlineStr">
        <is>
          <t>2025-02-05</t>
        </is>
      </c>
      <c r="O140" s="9" t="n">
        <v>803</v>
      </c>
      <c r="P140" s="17" t="n">
        <v>1530.119140625</v>
      </c>
      <c r="Q140" s="17" t="n">
        <v>1594.999267578125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Q2 2026-27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4.94%</t>
        </is>
      </c>
      <c r="J141" s="13" t="inlineStr">
        <is>
          <t>2.85%</t>
        </is>
      </c>
      <c r="K141" s="16">
        <f>X140</f>
        <v/>
      </c>
      <c r="L141" s="13" t="inlineStr">
        <is>
          <t>2025-02-10</t>
        </is>
      </c>
      <c r="M141" s="13" t="inlineStr">
        <is>
          <t>2025-02-13</t>
        </is>
      </c>
      <c r="N141" s="13" t="inlineStr">
        <is>
          <t>2025-02-12</t>
        </is>
      </c>
      <c r="O141" s="9" t="n">
        <v>10687</v>
      </c>
      <c r="P141" s="17" t="n">
        <v>84.64536285400391</v>
      </c>
      <c r="Q141" s="17" t="n">
        <v>89.04791259765625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Q2 2026-27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0.17%</t>
        </is>
      </c>
      <c r="J142" s="13" t="inlineStr">
        <is>
          <t>0.3%</t>
        </is>
      </c>
      <c r="K142" s="16">
        <f>X141</f>
        <v/>
      </c>
      <c r="L142" s="13" t="inlineStr">
        <is>
          <t>2025-01-31</t>
        </is>
      </c>
      <c r="M142" s="13" t="inlineStr">
        <is>
          <t>2025-02-03</t>
        </is>
      </c>
      <c r="N142" s="13" t="inlineStr">
        <is>
          <t>2025-01-31</t>
        </is>
      </c>
      <c r="O142" s="9" t="n">
        <v>200</v>
      </c>
      <c r="P142" s="17" t="n">
        <v>1132.837280273438</v>
      </c>
      <c r="Q142" s="17" t="n">
        <v>1134.747192382812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Q2 2026-27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-0.03%</t>
        </is>
      </c>
      <c r="J143" s="13" t="inlineStr">
        <is>
          <t>-2.81%</t>
        </is>
      </c>
      <c r="K143" s="16">
        <f>X142</f>
        <v/>
      </c>
      <c r="L143" s="13" t="inlineStr">
        <is>
          <t>2025-02-03</t>
        </is>
      </c>
      <c r="M143" s="13" t="inlineStr">
        <is>
          <t>2025-02-13</t>
        </is>
      </c>
      <c r="N143" s="13" t="inlineStr">
        <is>
          <t>2025-02-07</t>
        </is>
      </c>
      <c r="O143" s="9" t="n">
        <v>12809</v>
      </c>
      <c r="P143" s="17" t="n">
        <v>73.52066802978516</v>
      </c>
      <c r="Q143" s="17" t="n">
        <v>73.50145721435547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Q2 2026-27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3.54%</t>
        </is>
      </c>
      <c r="J144" s="13" t="inlineStr">
        <is>
          <t>4.39%</t>
        </is>
      </c>
      <c r="K144" s="16">
        <f>X143</f>
        <v/>
      </c>
      <c r="L144" s="13" t="inlineStr">
        <is>
          <t>2025-02-01</t>
        </is>
      </c>
      <c r="M144" s="13" t="inlineStr">
        <is>
          <t>2025-02-07</t>
        </is>
      </c>
      <c r="N144" s="13" t="inlineStr">
        <is>
          <t>2025-02-06</t>
        </is>
      </c>
      <c r="O144" s="9" t="n">
        <v>11763</v>
      </c>
      <c r="P144" s="17" t="n">
        <v>59.55953979492188</v>
      </c>
      <c r="Q144" s="17" t="n">
        <v>61.66883087158203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Q2 2026-27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-0.32%</t>
        </is>
      </c>
      <c r="J145" s="13" t="inlineStr">
        <is>
          <t>1.17%</t>
        </is>
      </c>
      <c r="K145" s="16">
        <f>X144</f>
        <v/>
      </c>
      <c r="L145" s="13" t="inlineStr">
        <is>
          <t>2025-01-16</t>
        </is>
      </c>
      <c r="M145" s="13" t="inlineStr">
        <is>
          <t>2025-01-31</t>
        </is>
      </c>
      <c r="N145" s="13" t="inlineStr">
        <is>
          <t>2025-01-25</t>
        </is>
      </c>
      <c r="O145" s="9" t="n">
        <v>1500</v>
      </c>
      <c r="P145" s="17" t="n">
        <v>315.6691284179688</v>
      </c>
      <c r="Q145" s="17" t="n">
        <v>314.6759948730469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Q2 2026-27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2.05%</t>
        </is>
      </c>
      <c r="J146" s="13" t="inlineStr">
        <is>
          <t>-0.81%</t>
        </is>
      </c>
      <c r="K146" s="16">
        <f>X145</f>
        <v/>
      </c>
      <c r="L146" s="13" t="inlineStr">
        <is>
          <t>2025-02-01</t>
        </is>
      </c>
      <c r="M146" s="13" t="inlineStr">
        <is>
          <t>2025-02-12</t>
        </is>
      </c>
      <c r="N146" s="13" t="inlineStr">
        <is>
          <t>2025-02-11</t>
        </is>
      </c>
      <c r="O146" s="9" t="n">
        <v>2996</v>
      </c>
      <c r="P146" s="17" t="n">
        <v>171.9299926757812</v>
      </c>
      <c r="Q146" s="17" t="n">
        <v>175.5299987792969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Q2 2026-27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-14.6%</t>
        </is>
      </c>
      <c r="J147" s="13" t="inlineStr">
        <is>
          <t>-12.84%</t>
        </is>
      </c>
      <c r="K147" s="16">
        <f>X146</f>
        <v/>
      </c>
      <c r="L147" s="13" t="inlineStr">
        <is>
          <t>2025-01-14</t>
        </is>
      </c>
      <c r="M147" s="13" t="inlineStr">
        <is>
          <t>2025-01-27</t>
        </is>
      </c>
      <c r="N147" s="13" t="inlineStr">
        <is>
          <t>2025-01-21</t>
        </is>
      </c>
      <c r="O147" s="9" t="n">
        <v>551</v>
      </c>
      <c r="P147" s="17" t="n">
        <v>1958.851684570312</v>
      </c>
      <c r="Q147" s="17" t="n">
        <v>1672.8974609375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Q2 2026-27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21.99%</t>
        </is>
      </c>
      <c r="J148" s="13" t="inlineStr">
        <is>
          <t>26.54%</t>
        </is>
      </c>
      <c r="K148" s="16">
        <f>X147</f>
        <v/>
      </c>
      <c r="L148" s="13" t="inlineStr">
        <is>
          <t>2025-01-03</t>
        </is>
      </c>
      <c r="M148" s="13" t="inlineStr">
        <is>
          <t>2025-01-21</t>
        </is>
      </c>
      <c r="N148" s="13" t="inlineStr">
        <is>
          <t>2025-01-15</t>
        </is>
      </c>
      <c r="O148" s="9" t="n">
        <v>100</v>
      </c>
      <c r="P148" s="17" t="n">
        <v>9058.5751953125</v>
      </c>
      <c r="Q148" s="17" t="n">
        <v>11611.3916015625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Q2 2026-27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-0.05%</t>
        </is>
      </c>
      <c r="J149" s="13" t="inlineStr">
        <is>
          <t>-8.14%</t>
        </is>
      </c>
      <c r="K149" s="16">
        <f>X148</f>
        <v/>
      </c>
      <c r="L149" s="13" t="inlineStr">
        <is>
          <t>2025-02-04</t>
        </is>
      </c>
      <c r="M149" s="13" t="inlineStr">
        <is>
          <t>2025-02-10</t>
        </is>
      </c>
      <c r="N149" s="13" t="inlineStr">
        <is>
          <t>2025-02-08</t>
        </is>
      </c>
      <c r="O149" s="9" t="n">
        <v>2188</v>
      </c>
      <c r="P149" s="17" t="n">
        <v>387.6926879882813</v>
      </c>
      <c r="Q149" s="17" t="n">
        <v>387.5014343261719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Q2 2026-27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2.62%</t>
        </is>
      </c>
      <c r="J150" s="13" t="inlineStr">
        <is>
          <t>1.87%</t>
        </is>
      </c>
      <c r="K150" s="16">
        <f>X149</f>
        <v/>
      </c>
      <c r="L150" s="13" t="inlineStr">
        <is>
          <t>2025-01-23</t>
        </is>
      </c>
      <c r="M150" s="13" t="inlineStr">
        <is>
          <t>2025-02-06</t>
        </is>
      </c>
      <c r="N150" s="13" t="inlineStr">
        <is>
          <t>2025-01-31</t>
        </is>
      </c>
      <c r="O150" s="9" t="n">
        <v>3750</v>
      </c>
      <c r="P150" s="17" t="n">
        <v>238.2545471191407</v>
      </c>
      <c r="Q150" s="17" t="n">
        <v>244.6724853515625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Q2 2026-27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5.12%</t>
        </is>
      </c>
      <c r="J151" s="13" t="inlineStr">
        <is>
          <t>5.21%</t>
        </is>
      </c>
      <c r="K151" s="16">
        <f>X150</f>
        <v/>
      </c>
      <c r="L151" s="13" t="inlineStr">
        <is>
          <t>2025-01-24</t>
        </is>
      </c>
      <c r="M151" s="13" t="inlineStr">
        <is>
          <t>2025-02-06</t>
        </is>
      </c>
      <c r="N151" s="13" t="inlineStr">
        <is>
          <t>2025-02-05</t>
        </is>
      </c>
      <c r="O151" s="9" t="n">
        <v>100</v>
      </c>
      <c r="P151" s="17" t="n">
        <v>43950</v>
      </c>
      <c r="Q151" s="17" t="n">
        <v>46321.6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Q2 2026-27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-1.42%</t>
        </is>
      </c>
      <c r="J152" s="13" t="inlineStr">
        <is>
          <t>-2.86%</t>
        </is>
      </c>
      <c r="K152" s="16">
        <f>X151</f>
        <v/>
      </c>
      <c r="L152" s="13" t="inlineStr">
        <is>
          <t>2025-02-03</t>
        </is>
      </c>
      <c r="M152" s="13" t="inlineStr">
        <is>
          <t>2025-02-11</t>
        </is>
      </c>
      <c r="N152" s="13" t="inlineStr">
        <is>
          <t>2025-02-10</t>
        </is>
      </c>
      <c r="O152" s="9" t="n">
        <v>2806</v>
      </c>
      <c r="P152" s="17" t="n">
        <v>603.7741088867188</v>
      </c>
      <c r="Q152" s="17" t="n">
        <v>595.3237915039062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Q2 2026-27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1.28%</t>
        </is>
      </c>
      <c r="J153" s="13" t="inlineStr">
        <is>
          <t>2.87%</t>
        </is>
      </c>
      <c r="K153" s="16">
        <f>X152</f>
        <v/>
      </c>
      <c r="L153" s="13" t="inlineStr">
        <is>
          <t>2025-01-14</t>
        </is>
      </c>
      <c r="M153" s="13" t="inlineStr">
        <is>
          <t>2025-01-24</t>
        </is>
      </c>
      <c r="N153" s="13" t="inlineStr">
        <is>
          <t>2025-01-20</t>
        </is>
      </c>
      <c r="O153" s="9" t="n">
        <v>750</v>
      </c>
      <c r="P153" s="17" t="n">
        <v>807.4500122070312</v>
      </c>
      <c r="Q153" s="17" t="n">
        <v>817.9000244140625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Q2 2026-27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-1.55%</t>
        </is>
      </c>
      <c r="J154" s="13" t="inlineStr">
        <is>
          <t>-3.6%</t>
        </is>
      </c>
      <c r="K154" s="16">
        <f>X153</f>
        <v/>
      </c>
      <c r="L154" s="13" t="inlineStr">
        <is>
          <t>2025-01-13</t>
        </is>
      </c>
      <c r="M154" s="13" t="inlineStr">
        <is>
          <t>2025-01-28</t>
        </is>
      </c>
      <c r="N154" s="13" t="inlineStr">
        <is>
          <t>2025-01-22</t>
        </is>
      </c>
      <c r="O154" s="9" t="n">
        <v>181</v>
      </c>
      <c r="P154" s="17" t="n">
        <v>5925.576171875</v>
      </c>
      <c r="Q154" s="17" t="n">
        <v>5833.68310546875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Q2 2026-27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5.1%</t>
        </is>
      </c>
      <c r="J155" s="13" t="inlineStr">
        <is>
          <t>5.58%</t>
        </is>
      </c>
      <c r="K155" s="16">
        <f>X154</f>
        <v/>
      </c>
      <c r="L155" s="13" t="inlineStr">
        <is>
          <t>2025-01-21</t>
        </is>
      </c>
      <c r="M155" s="13" t="inlineStr">
        <is>
          <t>2025-02-01</t>
        </is>
      </c>
      <c r="N155" s="13" t="inlineStr">
        <is>
          <t>2025-01-28</t>
        </is>
      </c>
      <c r="O155" s="9" t="n">
        <v>3585</v>
      </c>
      <c r="P155" s="17" t="n">
        <v>294.64892578125</v>
      </c>
      <c r="Q155" s="17" t="n">
        <v>310.4881896972656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Q2 2026-27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7.07%</t>
        </is>
      </c>
      <c r="J156" s="13" t="inlineStr">
        <is>
          <t>8.38%</t>
        </is>
      </c>
      <c r="K156" s="16">
        <f>X155</f>
        <v/>
      </c>
      <c r="L156" s="13" t="inlineStr">
        <is>
          <t>2025-02-01</t>
        </is>
      </c>
      <c r="M156" s="13" t="inlineStr">
        <is>
          <t>2025-02-18</t>
        </is>
      </c>
      <c r="N156" s="13" t="inlineStr">
        <is>
          <t>2025-02-12</t>
        </is>
      </c>
      <c r="O156" s="9" t="n">
        <v>2346</v>
      </c>
      <c r="P156" s="17" t="n">
        <v>353.6123657226562</v>
      </c>
      <c r="Q156" s="17" t="n">
        <v>380.4982299804688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Q2 2026-27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10.36%</t>
        </is>
      </c>
      <c r="J157" s="13" t="inlineStr">
        <is>
          <t>0.16%</t>
        </is>
      </c>
      <c r="K157" s="16">
        <f>X156</f>
        <v/>
      </c>
      <c r="L157" s="13" t="inlineStr">
        <is>
          <t>2025-01-31</t>
        </is>
      </c>
      <c r="M157" s="13" t="inlineStr">
        <is>
          <t>2025-02-07</t>
        </is>
      </c>
      <c r="N157" s="13" t="inlineStr">
        <is>
          <t>2025-02-06</t>
        </is>
      </c>
      <c r="O157" s="9" t="n">
        <v>1631</v>
      </c>
      <c r="P157" s="17" t="n">
        <v>782.1552124023438</v>
      </c>
      <c r="Q157" s="17" t="n">
        <v>863.219482421875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Q2 2026-27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-12.26%</t>
        </is>
      </c>
      <c r="J158" s="13" t="inlineStr">
        <is>
          <t>-11.22%</t>
        </is>
      </c>
      <c r="K158" s="16">
        <f>X157</f>
        <v/>
      </c>
      <c r="L158" s="13" t="inlineStr">
        <is>
          <t>2025-01-28</t>
        </is>
      </c>
      <c r="M158" s="13" t="inlineStr">
        <is>
          <t>2025-02-05</t>
        </is>
      </c>
      <c r="N158" s="13" t="inlineStr">
        <is>
          <t>2025-01-31</t>
        </is>
      </c>
      <c r="O158" s="9" t="n">
        <v>529</v>
      </c>
      <c r="P158" s="17" t="n">
        <v>1697.275756835938</v>
      </c>
      <c r="Q158" s="17" t="n">
        <v>1511.873413085938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Q2 2026-27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2.4%</t>
        </is>
      </c>
      <c r="J159" s="13" t="inlineStr">
        <is>
          <t>3.13%</t>
        </is>
      </c>
      <c r="K159" s="16">
        <f>X158</f>
        <v/>
      </c>
      <c r="L159" s="13" t="inlineStr">
        <is>
          <t>2025-01-20</t>
        </is>
      </c>
      <c r="M159" s="13" t="inlineStr">
        <is>
          <t>2025-01-24</t>
        </is>
      </c>
      <c r="N159" s="13" t="inlineStr">
        <is>
          <t>2025-01-23</t>
        </is>
      </c>
      <c r="O159" s="9" t="n">
        <v>613</v>
      </c>
      <c r="P159" s="17" t="n">
        <v>1374.477416992188</v>
      </c>
      <c r="Q159" s="17" t="n">
        <v>1407.41259765625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Q2 2026-27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1.96%</t>
        </is>
      </c>
      <c r="J160" s="13" t="inlineStr">
        <is>
          <t>2.09%</t>
        </is>
      </c>
      <c r="K160" s="16">
        <f>X159</f>
        <v/>
      </c>
      <c r="L160" s="13" t="inlineStr">
        <is>
          <t>2025-01-30</t>
        </is>
      </c>
      <c r="M160" s="13" t="inlineStr">
        <is>
          <t>2025-02-10</t>
        </is>
      </c>
      <c r="N160" s="13" t="inlineStr">
        <is>
          <t>2025-02-07</t>
        </is>
      </c>
      <c r="O160" s="9" t="n">
        <v>360</v>
      </c>
      <c r="P160" s="17" t="n">
        <v>3436.080322265625</v>
      </c>
      <c r="Q160" s="17" t="n">
        <v>3503.279052734375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Q2 2026-27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0.97%</t>
        </is>
      </c>
      <c r="J161" s="13" t="inlineStr">
        <is>
          <t>-1.74%</t>
        </is>
      </c>
      <c r="K161" s="16">
        <f>X160</f>
        <v/>
      </c>
      <c r="L161" s="13" t="inlineStr">
        <is>
          <t>2025-01-21</t>
        </is>
      </c>
      <c r="M161" s="13" t="inlineStr">
        <is>
          <t>2025-02-01</t>
        </is>
      </c>
      <c r="N161" s="13" t="inlineStr">
        <is>
          <t>2025-01-31</t>
        </is>
      </c>
      <c r="O161" s="9" t="n">
        <v>8957</v>
      </c>
      <c r="P161" s="17" t="n">
        <v>93.82398986816406</v>
      </c>
      <c r="Q161" s="17" t="n">
        <v>94.7400360107422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Q2 2026-27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1.58%</t>
        </is>
      </c>
      <c r="J162" s="13" t="inlineStr">
        <is>
          <t>2.24%</t>
        </is>
      </c>
      <c r="K162" s="16">
        <f>X161</f>
        <v/>
      </c>
      <c r="L162" s="13" t="inlineStr">
        <is>
          <t>2025-01-15</t>
        </is>
      </c>
      <c r="M162" s="13" t="inlineStr">
        <is>
          <t>2025-01-28</t>
        </is>
      </c>
      <c r="N162" s="13" t="inlineStr">
        <is>
          <t>2025-01-22</t>
        </is>
      </c>
      <c r="O162" s="9" t="n">
        <v>967</v>
      </c>
      <c r="P162" s="17" t="n">
        <v>838.7757568359375</v>
      </c>
      <c r="Q162" s="17" t="n">
        <v>852.2570190429688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Q2 2026-27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2.37%</t>
        </is>
      </c>
      <c r="J163" s="13" t="inlineStr">
        <is>
          <t>-1.16%</t>
        </is>
      </c>
      <c r="K163" s="16">
        <f>X162</f>
        <v/>
      </c>
      <c r="L163" s="13" t="inlineStr">
        <is>
          <t>2025-01-23</t>
        </is>
      </c>
      <c r="M163" s="13" t="inlineStr">
        <is>
          <t>2025-01-31</t>
        </is>
      </c>
      <c r="N163" s="13" t="inlineStr">
        <is>
          <t>2025-01-30</t>
        </is>
      </c>
      <c r="O163" s="9" t="n">
        <v>627</v>
      </c>
      <c r="P163" s="17" t="n">
        <v>1686.800048828125</v>
      </c>
      <c r="Q163" s="17" t="n">
        <v>1726.800048828125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Q2 2026-27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7.8%</t>
        </is>
      </c>
      <c r="J164" s="13" t="inlineStr">
        <is>
          <t>7.78%</t>
        </is>
      </c>
      <c r="K164" s="16">
        <f>X163</f>
        <v/>
      </c>
      <c r="L164" s="13" t="inlineStr">
        <is>
          <t>2025-01-17</t>
        </is>
      </c>
      <c r="M164" s="13" t="inlineStr">
        <is>
          <t>2025-01-23</t>
        </is>
      </c>
      <c r="N164" s="13" t="inlineStr">
        <is>
          <t>2025-01-22</t>
        </is>
      </c>
      <c r="O164" s="9" t="n">
        <v>112</v>
      </c>
      <c r="P164" s="17" t="n">
        <v>6186.759765625</v>
      </c>
      <c r="Q164" s="17" t="n">
        <v>6710.1337890625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Q2 2026-27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6.8%</t>
        </is>
      </c>
      <c r="J165" s="13" t="inlineStr">
        <is>
          <t>7.33%</t>
        </is>
      </c>
      <c r="K165" s="16">
        <f>X164</f>
        <v/>
      </c>
      <c r="L165" s="13" t="inlineStr">
        <is>
          <t>2025-02-03</t>
        </is>
      </c>
      <c r="M165" s="13" t="inlineStr">
        <is>
          <t>2025-02-11</t>
        </is>
      </c>
      <c r="N165" s="13" t="inlineStr">
        <is>
          <t>2025-02-04</t>
        </is>
      </c>
      <c r="O165" s="9" t="n">
        <v>1800</v>
      </c>
      <c r="P165" s="17" t="n">
        <v>253.1753997802734</v>
      </c>
      <c r="Q165" s="17" t="n">
        <v>271.6412048339844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Q2 2026-27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2025-01-29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Q2 2026-27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4.62%</t>
        </is>
      </c>
      <c r="J167" s="13" t="inlineStr">
        <is>
          <t>-0.09%</t>
        </is>
      </c>
      <c r="K167" s="16">
        <f>X166</f>
        <v/>
      </c>
      <c r="L167" s="13" t="inlineStr">
        <is>
          <t>2025-02-03</t>
        </is>
      </c>
      <c r="M167" s="13" t="inlineStr">
        <is>
          <t>2025-02-05</t>
        </is>
      </c>
      <c r="N167" s="13" t="inlineStr">
        <is>
          <t>2025-02-04</t>
        </is>
      </c>
      <c r="O167" s="9" t="n">
        <v>1017</v>
      </c>
      <c r="P167" s="17" t="n">
        <v>1018.982727050781</v>
      </c>
      <c r="Q167" s="17" t="n">
        <v>1068.285034179688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Q2 2026-27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-9.85%</t>
        </is>
      </c>
      <c r="J168" s="13" t="inlineStr">
        <is>
          <t>-13.63%</t>
        </is>
      </c>
      <c r="K168" s="16">
        <f>X167</f>
        <v/>
      </c>
      <c r="L168" s="13" t="inlineStr">
        <is>
          <t>2025-01-24</t>
        </is>
      </c>
      <c r="M168" s="13" t="inlineStr">
        <is>
          <t>2025-02-05</t>
        </is>
      </c>
      <c r="N168" s="13" t="inlineStr">
        <is>
          <t>2025-01-31</t>
        </is>
      </c>
      <c r="O168" s="9" t="n">
        <v>627</v>
      </c>
      <c r="P168" s="17" t="n">
        <v>1377.76416015625</v>
      </c>
      <c r="Q168" s="17" t="n">
        <v>1254.206420898438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Q2 2026-27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3.68%</t>
        </is>
      </c>
      <c r="J169" s="13" t="inlineStr">
        <is>
          <t>2.66%</t>
        </is>
      </c>
      <c r="K169" s="16">
        <f>X168</f>
        <v/>
      </c>
      <c r="L169" s="13" t="inlineStr">
        <is>
          <t>2025-01-17</t>
        </is>
      </c>
      <c r="M169" s="13" t="inlineStr">
        <is>
          <t>2025-01-30</t>
        </is>
      </c>
      <c r="N169" s="13" t="inlineStr">
        <is>
          <t>2025-01-29</t>
        </is>
      </c>
      <c r="O169" s="9" t="n">
        <v>229</v>
      </c>
      <c r="P169" s="17" t="n">
        <v>2190.755126953125</v>
      </c>
      <c r="Q169" s="17" t="n">
        <v>2274.39794921875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Q2 2026-27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-2.77%</t>
        </is>
      </c>
      <c r="J170" s="13" t="inlineStr">
        <is>
          <t>-8.41%</t>
        </is>
      </c>
      <c r="K170" s="16">
        <f>X169</f>
        <v/>
      </c>
      <c r="L170" s="13" t="inlineStr">
        <is>
          <t>2025-01-14</t>
        </is>
      </c>
      <c r="M170" s="13" t="inlineStr">
        <is>
          <t>2025-01-20</t>
        </is>
      </c>
      <c r="N170" s="13" t="inlineStr">
        <is>
          <t>2025-01-18</t>
        </is>
      </c>
      <c r="O170" s="9" t="n">
        <v>2645</v>
      </c>
      <c r="P170" s="17" t="n">
        <v>157.6068725585938</v>
      </c>
      <c r="Q170" s="17" t="n">
        <v>153.3623199462891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Q2 2026-27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2.08%</t>
        </is>
      </c>
      <c r="J171" s="13" t="inlineStr">
        <is>
          <t>0.56%</t>
        </is>
      </c>
      <c r="K171" s="16">
        <f>X170</f>
        <v/>
      </c>
      <c r="L171" s="13" t="inlineStr">
        <is>
          <t>2026-07-22</t>
        </is>
      </c>
      <c r="M171" s="13" t="inlineStr">
        <is>
          <t>2026-07-27</t>
        </is>
      </c>
      <c r="N171" s="13" t="inlineStr">
        <is>
          <t>2026-07-24</t>
        </is>
      </c>
      <c r="O171" s="9" t="n">
        <v>2667</v>
      </c>
      <c r="P171" s="17" t="n">
        <v>360.6499938964844</v>
      </c>
      <c r="Q171" s="17" t="n">
        <v>368.1499938964844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Q2 2026-27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-0.91%</t>
        </is>
      </c>
      <c r="J172" s="13" t="inlineStr">
        <is>
          <t>-2.14%</t>
        </is>
      </c>
      <c r="K172" s="16">
        <f>X171</f>
        <v/>
      </c>
      <c r="L172" s="13" t="inlineStr">
        <is>
          <t>2025-01-15</t>
        </is>
      </c>
      <c r="M172" s="13" t="inlineStr">
        <is>
          <t>2025-01-23</t>
        </is>
      </c>
      <c r="N172" s="13" t="inlineStr">
        <is>
          <t>2025-01-16</t>
        </is>
      </c>
      <c r="O172" s="9" t="n">
        <v>250</v>
      </c>
      <c r="P172" s="17" t="n">
        <v>1252.83056640625</v>
      </c>
      <c r="Q172" s="17" t="n">
        <v>1241.478515625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Q2 2026-27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14.41%</t>
        </is>
      </c>
      <c r="J173" s="13" t="inlineStr">
        <is>
          <t>12.3%</t>
        </is>
      </c>
      <c r="K173" s="16">
        <f>X172</f>
        <v/>
      </c>
      <c r="L173" s="13" t="inlineStr">
        <is>
          <t>2025-02-04</t>
        </is>
      </c>
      <c r="M173" s="13" t="inlineStr">
        <is>
          <t>2025-02-17</t>
        </is>
      </c>
      <c r="N173" s="13" t="inlineStr">
        <is>
          <t>2025-02-14</t>
        </is>
      </c>
      <c r="O173" s="9" t="n">
        <v>4486</v>
      </c>
      <c r="P173" s="17" t="n">
        <v>339.60302734375</v>
      </c>
      <c r="Q173" s="17" t="n">
        <v>396.7737426757813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Q2 2026-27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4.79%</t>
        </is>
      </c>
      <c r="J174" s="13" t="inlineStr">
        <is>
          <t>-3.41%</t>
        </is>
      </c>
      <c r="K174" s="16">
        <f>X173</f>
        <v/>
      </c>
      <c r="L174" s="13" t="inlineStr">
        <is>
          <t>2025-02-03</t>
        </is>
      </c>
      <c r="M174" s="13" t="inlineStr">
        <is>
          <t>2025-02-06</t>
        </is>
      </c>
      <c r="N174" s="13" t="inlineStr">
        <is>
          <t>2025-02-05</t>
        </is>
      </c>
      <c r="O174" s="9" t="n">
        <v>21748</v>
      </c>
      <c r="P174" s="17" t="n">
        <v>50.26974868774414</v>
      </c>
      <c r="Q174" s="17" t="n">
        <v>52.67734146118164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Q2 2026-27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3.32%</t>
        </is>
      </c>
      <c r="J175" s="13" t="inlineStr">
        <is>
          <t>-0.8%</t>
        </is>
      </c>
      <c r="K175" s="16">
        <f>X174</f>
        <v/>
      </c>
      <c r="L175" s="13" t="inlineStr">
        <is>
          <t>2025-02-06</t>
        </is>
      </c>
      <c r="M175" s="13" t="inlineStr">
        <is>
          <t>2025-02-18</t>
        </is>
      </c>
      <c r="N175" s="13" t="inlineStr">
        <is>
          <t>2025-02-12</t>
        </is>
      </c>
      <c r="O175" s="9" t="n">
        <v>5915</v>
      </c>
      <c r="P175" s="17" t="n">
        <v>103.0978469848633</v>
      </c>
      <c r="Q175" s="17" t="n">
        <v>106.6434097290039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Q2 2026-27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-0.01%</t>
        </is>
      </c>
      <c r="J176" s="13" t="inlineStr">
        <is>
          <t>-4.22%</t>
        </is>
      </c>
      <c r="K176" s="16">
        <f>X175</f>
        <v/>
      </c>
      <c r="L176" s="13" t="inlineStr">
        <is>
          <t>2025-01-16</t>
        </is>
      </c>
      <c r="M176" s="13" t="inlineStr">
        <is>
          <t>2025-01-29</t>
        </is>
      </c>
      <c r="N176" s="13" t="inlineStr">
        <is>
          <t>2025-01-28</t>
        </is>
      </c>
      <c r="O176" s="9" t="n">
        <v>1550</v>
      </c>
      <c r="P176" s="17" t="n">
        <v>763</v>
      </c>
      <c r="Q176" s="17" t="n">
        <v>762.95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Q2 2026-27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-0.92%</t>
        </is>
      </c>
      <c r="J177" s="13" t="inlineStr">
        <is>
          <t>-1.91%</t>
        </is>
      </c>
      <c r="K177" s="16">
        <f>X176</f>
        <v/>
      </c>
      <c r="L177" s="13" t="inlineStr">
        <is>
          <t>2025-01-16</t>
        </is>
      </c>
      <c r="M177" s="13" t="inlineStr">
        <is>
          <t>2025-01-20</t>
        </is>
      </c>
      <c r="N177" s="13" t="inlineStr">
        <is>
          <t>2025-01-17</t>
        </is>
      </c>
      <c r="O177" s="9" t="n">
        <v>375</v>
      </c>
      <c r="P177" s="17" t="n">
        <v>1508.62744140625</v>
      </c>
      <c r="Q177" s="17" t="n">
        <v>1494.773071289062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Q2 2026-27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-2.05%</t>
        </is>
      </c>
      <c r="J178" s="13" t="inlineStr">
        <is>
          <t>-2.52%</t>
        </is>
      </c>
      <c r="K178" s="16">
        <f>X177</f>
        <v/>
      </c>
      <c r="L178" s="13" t="inlineStr">
        <is>
          <t>2025-02-06</t>
        </is>
      </c>
      <c r="M178" s="13" t="inlineStr">
        <is>
          <t>2025-02-10</t>
        </is>
      </c>
      <c r="N178" s="13" t="inlineStr">
        <is>
          <t>2025-02-06</t>
        </is>
      </c>
      <c r="O178" s="9" t="n">
        <v>1500</v>
      </c>
      <c r="P178" s="17" t="n">
        <v>724.3853759765625</v>
      </c>
      <c r="Q178" s="17" t="n">
        <v>709.5076904296875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Q2 2026-27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10.54%</t>
        </is>
      </c>
      <c r="J179" s="13" t="inlineStr">
        <is>
          <t>7.48%</t>
        </is>
      </c>
      <c r="K179" s="16">
        <f>X178</f>
        <v/>
      </c>
      <c r="L179" s="13" t="inlineStr">
        <is>
          <t>2025-01-20</t>
        </is>
      </c>
      <c r="M179" s="13" t="inlineStr">
        <is>
          <t>2025-01-31</t>
        </is>
      </c>
      <c r="N179" s="13" t="inlineStr">
        <is>
          <t>2025-01-30</t>
        </is>
      </c>
      <c r="O179" s="9" t="n">
        <v>100</v>
      </c>
      <c r="P179" s="17" t="n">
        <v>24916.515625</v>
      </c>
      <c r="Q179" s="17" t="n">
        <v>27542.234375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Q2 2026-27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1.6%</t>
        </is>
      </c>
      <c r="J180" s="13" t="inlineStr">
        <is>
          <t>-0.37%</t>
        </is>
      </c>
      <c r="K180" s="16">
        <f>X179</f>
        <v/>
      </c>
      <c r="L180" s="13" t="inlineStr">
        <is>
          <t>2025-01-23</t>
        </is>
      </c>
      <c r="M180" s="13" t="inlineStr">
        <is>
          <t>2025-01-30</t>
        </is>
      </c>
      <c r="N180" s="13" t="inlineStr">
        <is>
          <t>2025-01-24</t>
        </is>
      </c>
      <c r="O180" s="9" t="n">
        <v>957</v>
      </c>
      <c r="P180" s="17" t="n">
        <v>518.8695678710938</v>
      </c>
      <c r="Q180" s="17" t="n">
        <v>527.1942138671875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Q2 2026-27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-11.19%</t>
        </is>
      </c>
      <c r="J181" s="13" t="inlineStr">
        <is>
          <t>-13.31%</t>
        </is>
      </c>
      <c r="K181" s="16">
        <f>X180</f>
        <v/>
      </c>
      <c r="L181" s="13" t="inlineStr">
        <is>
          <t>2025-02-01</t>
        </is>
      </c>
      <c r="M181" s="13" t="inlineStr">
        <is>
          <t>2025-02-13</t>
        </is>
      </c>
      <c r="N181" s="13" t="inlineStr">
        <is>
          <t>2025-02-12</t>
        </is>
      </c>
      <c r="O181" s="9" t="n">
        <v>273</v>
      </c>
      <c r="P181" s="17" t="n">
        <v>3357.719970703125</v>
      </c>
      <c r="Q181" s="17" t="n">
        <v>2982.125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Q2 2026-27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-6.39%</t>
        </is>
      </c>
      <c r="J182" s="13" t="inlineStr">
        <is>
          <t>-8.78%</t>
        </is>
      </c>
      <c r="K182" s="16">
        <f>X181</f>
        <v/>
      </c>
      <c r="L182" s="13" t="inlineStr">
        <is>
          <t>2025-01-29</t>
        </is>
      </c>
      <c r="M182" s="13" t="inlineStr">
        <is>
          <t>2025-02-12</t>
        </is>
      </c>
      <c r="N182" s="13" t="inlineStr">
        <is>
          <t>2025-02-06</t>
        </is>
      </c>
      <c r="O182" s="9" t="n">
        <v>100</v>
      </c>
      <c r="P182" s="17" t="n">
        <v>9557.1787109375</v>
      </c>
      <c r="Q182" s="17" t="n">
        <v>8946.15625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Q2 2026-27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13.81%</t>
        </is>
      </c>
      <c r="J183" s="13" t="inlineStr">
        <is>
          <t>8.97%</t>
        </is>
      </c>
      <c r="K183" s="16">
        <f>X182</f>
        <v/>
      </c>
      <c r="L183" s="13" t="inlineStr">
        <is>
          <t>2025-01-16</t>
        </is>
      </c>
      <c r="M183" s="13" t="inlineStr">
        <is>
          <t>2025-01-29</t>
        </is>
      </c>
      <c r="N183" s="13" t="inlineStr">
        <is>
          <t>2025-01-23</t>
        </is>
      </c>
      <c r="O183" s="9" t="n">
        <v>1309</v>
      </c>
      <c r="P183" s="17" t="n">
        <v>495.9219665527344</v>
      </c>
      <c r="Q183" s="17" t="n">
        <v>575.3583984375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Q2 2026-27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-13.88%</t>
        </is>
      </c>
      <c r="J184" s="13" t="inlineStr">
        <is>
          <t>-13.9%</t>
        </is>
      </c>
      <c r="K184" s="16">
        <f>X183</f>
        <v/>
      </c>
      <c r="L184" s="13" t="inlineStr">
        <is>
          <t>2025-01-24</t>
        </is>
      </c>
      <c r="M184" s="13" t="inlineStr">
        <is>
          <t>2025-02-03</t>
        </is>
      </c>
      <c r="N184" s="13" t="inlineStr">
        <is>
          <t>2025-01-29</t>
        </is>
      </c>
      <c r="O184" s="9" t="n">
        <v>383</v>
      </c>
      <c r="P184" s="17" t="n">
        <v>2924.289306640625</v>
      </c>
      <c r="Q184" s="17" t="n">
        <v>2567.78369140625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Q2 2026-27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-4.42%</t>
        </is>
      </c>
      <c r="J185" s="13" t="inlineStr">
        <is>
          <t>-4.98%</t>
        </is>
      </c>
      <c r="K185" s="16">
        <f>X184</f>
        <v/>
      </c>
      <c r="L185" s="13" t="inlineStr">
        <is>
          <t>2025-01-23</t>
        </is>
      </c>
      <c r="M185" s="13" t="inlineStr">
        <is>
          <t>2025-02-06</t>
        </is>
      </c>
      <c r="N185" s="13" t="inlineStr">
        <is>
          <t>2025-01-31</t>
        </is>
      </c>
      <c r="O185" s="9" t="n">
        <v>350</v>
      </c>
      <c r="P185" s="17" t="n">
        <v>1800.193237304688</v>
      </c>
      <c r="Q185" s="17" t="n">
        <v>1720.5693359375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Q2 2026-27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15.24%</t>
        </is>
      </c>
      <c r="J186" s="13" t="inlineStr">
        <is>
          <t>11.93%</t>
        </is>
      </c>
      <c r="K186" s="16">
        <f>X185</f>
        <v/>
      </c>
      <c r="L186" s="13" t="inlineStr">
        <is>
          <t>2025-01-09</t>
        </is>
      </c>
      <c r="M186" s="13" t="inlineStr">
        <is>
          <t>2025-01-21</t>
        </is>
      </c>
      <c r="N186" s="13" t="inlineStr">
        <is>
          <t>2025-01-20</t>
        </is>
      </c>
      <c r="O186" s="9" t="n">
        <v>289</v>
      </c>
      <c r="P186" s="17" t="n">
        <v>3898.72607421875</v>
      </c>
      <c r="Q186" s="17" t="n">
        <v>4599.53271484375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Q2 2026-27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2.32%</t>
        </is>
      </c>
      <c r="J187" s="13" t="inlineStr">
        <is>
          <t>-4.33%</t>
        </is>
      </c>
      <c r="K187" s="16">
        <f>X186</f>
        <v/>
      </c>
      <c r="L187" s="13" t="inlineStr">
        <is>
          <t>2025-01-17</t>
        </is>
      </c>
      <c r="M187" s="13" t="inlineStr">
        <is>
          <t>2025-02-01</t>
        </is>
      </c>
      <c r="N187" s="13" t="inlineStr">
        <is>
          <t>2025-01-28</t>
        </is>
      </c>
      <c r="O187" s="9" t="n">
        <v>21097</v>
      </c>
      <c r="P187" s="17" t="n">
        <v>56.84000015258789</v>
      </c>
      <c r="Q187" s="17" t="n">
        <v>58.15999984741211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Q2 2026-27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-15.21%</t>
        </is>
      </c>
      <c r="J188" s="13" t="inlineStr">
        <is>
          <t>-12.3%</t>
        </is>
      </c>
      <c r="K188" s="16">
        <f>X187</f>
        <v/>
      </c>
      <c r="L188" s="13" t="inlineStr">
        <is>
          <t>2025-02-03</t>
        </is>
      </c>
      <c r="M188" s="13" t="inlineStr">
        <is>
          <t>2025-02-06</t>
        </is>
      </c>
      <c r="N188" s="13" t="inlineStr">
        <is>
          <t>2025-02-05</t>
        </is>
      </c>
      <c r="O188" s="9" t="n">
        <v>3379</v>
      </c>
      <c r="P188" s="17" t="n">
        <v>458.3999938964844</v>
      </c>
      <c r="Q188" s="17" t="n">
        <v>388.7000122070313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Q2 2026-27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-5.62%</t>
        </is>
      </c>
      <c r="J189" s="13" t="inlineStr">
        <is>
          <t>-5.47%</t>
        </is>
      </c>
      <c r="K189" s="16">
        <f>X188</f>
        <v/>
      </c>
      <c r="L189" s="13" t="inlineStr">
        <is>
          <t>2025-01-28</t>
        </is>
      </c>
      <c r="M189" s="13" t="inlineStr">
        <is>
          <t>2025-02-05</t>
        </is>
      </c>
      <c r="N189" s="13" t="inlineStr">
        <is>
          <t>2025-01-30</t>
        </is>
      </c>
      <c r="O189" s="9" t="n">
        <v>450</v>
      </c>
      <c r="P189" s="17" t="n">
        <v>999.3742065429688</v>
      </c>
      <c r="Q189" s="17" t="n">
        <v>946.1719970703124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Q2 2026-27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10.02%</t>
        </is>
      </c>
      <c r="J190" s="13" t="inlineStr">
        <is>
          <t>2.52%</t>
        </is>
      </c>
      <c r="K190" s="16">
        <f>X189</f>
        <v/>
      </c>
      <c r="L190" s="13" t="inlineStr">
        <is>
          <t>2024-12-31</t>
        </is>
      </c>
      <c r="M190" s="13" t="inlineStr">
        <is>
          <t>2025-01-15</t>
        </is>
      </c>
      <c r="N190" s="13" t="inlineStr">
        <is>
          <t>2025-01-09</t>
        </is>
      </c>
      <c r="O190" s="9" t="n">
        <v>273</v>
      </c>
      <c r="P190" s="17" t="n">
        <v>5940.8037109375</v>
      </c>
      <c r="Q190" s="17" t="n">
        <v>6602.12841796875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Q2 2026-27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3.22%</t>
        </is>
      </c>
      <c r="J191" s="13" t="inlineStr">
        <is>
          <t>0.0%</t>
        </is>
      </c>
      <c r="K191" s="16">
        <f>X190</f>
        <v/>
      </c>
      <c r="L191" s="13" t="inlineStr">
        <is>
          <t>2025-01-13</t>
        </is>
      </c>
      <c r="M191" s="13" t="inlineStr">
        <is>
          <t>2025-01-16</t>
        </is>
      </c>
      <c r="N191" s="13" t="inlineStr">
        <is>
          <t>2025-01-15</t>
        </is>
      </c>
      <c r="O191" s="9" t="n">
        <v>1425</v>
      </c>
      <c r="P191" s="17" t="n">
        <v>751.15</v>
      </c>
      <c r="Q191" s="17" t="n">
        <v>775.35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Q2 2026-27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-2.07%</t>
        </is>
      </c>
      <c r="J192" s="13" t="inlineStr">
        <is>
          <t>-4.39%</t>
        </is>
      </c>
      <c r="K192" s="16">
        <f>X191</f>
        <v/>
      </c>
      <c r="L192" s="13" t="inlineStr">
        <is>
          <t>2025-01-29</t>
        </is>
      </c>
      <c r="M192" s="13" t="inlineStr">
        <is>
          <t>2025-02-10</t>
        </is>
      </c>
      <c r="N192" s="13" t="inlineStr">
        <is>
          <t>2025-02-04</t>
        </is>
      </c>
      <c r="O192" s="9" t="n">
        <v>2659</v>
      </c>
      <c r="P192" s="17" t="n">
        <v>353.9111633300781</v>
      </c>
      <c r="Q192" s="17" t="n">
        <v>346.7479553222656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Q2 2026-27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-4.04%</t>
        </is>
      </c>
      <c r="J193" s="13" t="inlineStr">
        <is>
          <t>-3.38%</t>
        </is>
      </c>
      <c r="K193" s="16">
        <f>X192</f>
        <v/>
      </c>
      <c r="L193" s="13" t="inlineStr">
        <is>
          <t>2025-01-16</t>
        </is>
      </c>
      <c r="M193" s="13" t="inlineStr">
        <is>
          <t>2025-02-01</t>
        </is>
      </c>
      <c r="N193" s="13" t="inlineStr">
        <is>
          <t>2025-01-27</t>
        </is>
      </c>
      <c r="O193" s="9" t="n">
        <v>5500</v>
      </c>
      <c r="P193" s="17" t="n">
        <v>127.3141555786133</v>
      </c>
      <c r="Q193" s="17" t="n">
        <v>122.3736343383789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Q2 2026-27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-4.79%</t>
        </is>
      </c>
      <c r="J194" s="13" t="inlineStr">
        <is>
          <t>-4.51%</t>
        </is>
      </c>
      <c r="K194" s="16">
        <f>X193</f>
        <v/>
      </c>
      <c r="L194" s="13" t="inlineStr">
        <is>
          <t>2025-01-06</t>
        </is>
      </c>
      <c r="M194" s="13" t="inlineStr">
        <is>
          <t>2025-01-13</t>
        </is>
      </c>
      <c r="N194" s="13" t="inlineStr">
        <is>
          <t>2025-01-09</t>
        </is>
      </c>
      <c r="O194" s="9" t="n">
        <v>175</v>
      </c>
      <c r="P194" s="17" t="n">
        <v>4018.330322265625</v>
      </c>
      <c r="Q194" s="17" t="n">
        <v>3834.6953125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Q2 2026-27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-2.23%</t>
        </is>
      </c>
      <c r="J195" s="13" t="inlineStr">
        <is>
          <t>-3.39%</t>
        </is>
      </c>
      <c r="K195" s="16">
        <f>X194</f>
        <v/>
      </c>
      <c r="L195" s="13" t="inlineStr">
        <is>
          <t>2025-01-15</t>
        </is>
      </c>
      <c r="M195" s="13" t="inlineStr">
        <is>
          <t>2025-01-23</t>
        </is>
      </c>
      <c r="N195" s="13" t="inlineStr">
        <is>
          <t>2025-01-17</t>
        </is>
      </c>
      <c r="O195" s="9" t="n">
        <v>600</v>
      </c>
      <c r="P195" s="17" t="n">
        <v>1623.04150390625</v>
      </c>
      <c r="Q195" s="17" t="n">
        <v>1587.566284179688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Q2 2026-27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3.34%</t>
        </is>
      </c>
      <c r="J196" s="13" t="inlineStr">
        <is>
          <t>-2.48%</t>
        </is>
      </c>
      <c r="K196" s="16">
        <f>X195</f>
        <v/>
      </c>
      <c r="L196" s="13" t="inlineStr">
        <is>
          <t>2025-01-29</t>
        </is>
      </c>
      <c r="M196" s="13" t="inlineStr">
        <is>
          <t>2025-02-04</t>
        </is>
      </c>
      <c r="N196" s="13" t="inlineStr">
        <is>
          <t>2025-02-03</t>
        </is>
      </c>
      <c r="O196" s="9" t="n">
        <v>371</v>
      </c>
      <c r="P196" s="17" t="n">
        <v>3086.3212890625</v>
      </c>
      <c r="Q196" s="17" t="n">
        <v>3192.954345703125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Q2 2026-27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5.2%</t>
        </is>
      </c>
      <c r="J197" s="13" t="inlineStr">
        <is>
          <t>4.98%</t>
        </is>
      </c>
      <c r="K197" s="16">
        <f>X196</f>
        <v/>
      </c>
      <c r="L197" s="13" t="inlineStr">
        <is>
          <t>2025-02-04</t>
        </is>
      </c>
      <c r="M197" s="13" t="inlineStr">
        <is>
          <t>2025-02-06</t>
        </is>
      </c>
      <c r="N197" s="13" t="inlineStr">
        <is>
          <t>2025-02-04</t>
        </is>
      </c>
      <c r="O197" s="9" t="n">
        <v>175</v>
      </c>
      <c r="P197" s="17" t="n">
        <v>3389.394775390625</v>
      </c>
      <c r="Q197" s="17" t="n">
        <v>3575.174072265625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Q2 2026-27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0.73%</t>
        </is>
      </c>
      <c r="J198" s="13" t="inlineStr">
        <is>
          <t>-0.11%</t>
        </is>
      </c>
      <c r="K198" s="16">
        <f>X197</f>
        <v/>
      </c>
      <c r="L198" s="13" t="inlineStr">
        <is>
          <t>2012-11-06</t>
        </is>
      </c>
      <c r="M198" s="13" t="inlineStr">
        <is>
          <t>2012-11-16</t>
        </is>
      </c>
      <c r="N198" s="13" t="inlineStr">
        <is>
          <t>2012-11-07</t>
        </is>
      </c>
      <c r="O198" s="9" t="n">
        <v>3054</v>
      </c>
      <c r="P198" s="17" t="n">
        <v>252.5224914550781</v>
      </c>
      <c r="Q198" s="17" t="n">
        <v>254.3806304931641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Q2 2026-27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2.9%</t>
        </is>
      </c>
      <c r="J199" s="13" t="inlineStr">
        <is>
          <t>1.12%</t>
        </is>
      </c>
      <c r="K199" s="16">
        <f>X198</f>
        <v/>
      </c>
      <c r="L199" s="13" t="inlineStr">
        <is>
          <t>2025-01-23</t>
        </is>
      </c>
      <c r="M199" s="13" t="inlineStr">
        <is>
          <t>2025-01-30</t>
        </is>
      </c>
      <c r="N199" s="13" t="inlineStr">
        <is>
          <t>2025-01-24</t>
        </is>
      </c>
      <c r="O199" s="9" t="n">
        <v>205</v>
      </c>
      <c r="P199" s="17" t="n">
        <v>3203.9609375</v>
      </c>
      <c r="Q199" s="17" t="n">
        <v>3296.729736328125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Q2 2026-27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-8.58%</t>
        </is>
      </c>
      <c r="J200" s="13" t="inlineStr">
        <is>
          <t>-9.96%</t>
        </is>
      </c>
      <c r="K200" s="16">
        <f>X199</f>
        <v/>
      </c>
      <c r="L200" s="13" t="inlineStr">
        <is>
          <t>2025-02-05</t>
        </is>
      </c>
      <c r="M200" s="13" t="inlineStr">
        <is>
          <t>2025-02-13</t>
        </is>
      </c>
      <c r="N200" s="13" t="inlineStr">
        <is>
          <t>2025-02-06</t>
        </is>
      </c>
      <c r="O200" s="9" t="n">
        <v>345</v>
      </c>
      <c r="P200" s="17" t="n">
        <v>5738.1533203125</v>
      </c>
      <c r="Q200" s="17" t="n">
        <v>5246.0146484375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Q2 2026-27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-8.42%</t>
        </is>
      </c>
      <c r="J201" s="13" t="inlineStr">
        <is>
          <t>-8.7%</t>
        </is>
      </c>
      <c r="K201" s="16">
        <f>X200</f>
        <v/>
      </c>
      <c r="L201" s="13" t="inlineStr">
        <is>
          <t>2025-01-22</t>
        </is>
      </c>
      <c r="M201" s="13" t="inlineStr">
        <is>
          <t>2025-01-29</t>
        </is>
      </c>
      <c r="N201" s="13" t="inlineStr">
        <is>
          <t>2025-01-28</t>
        </is>
      </c>
      <c r="O201" s="9" t="n">
        <v>237</v>
      </c>
      <c r="P201" s="17" t="n">
        <v>2446.02197265625</v>
      </c>
      <c r="Q201" s="17" t="n">
        <v>2255.97705078125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Q2 2026-27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-8.5%</t>
        </is>
      </c>
      <c r="J202" s="13" t="inlineStr">
        <is>
          <t>-9.48%</t>
        </is>
      </c>
      <c r="K202" s="16">
        <f>X201</f>
        <v/>
      </c>
      <c r="L202" s="13" t="inlineStr">
        <is>
          <t>2025-01-17</t>
        </is>
      </c>
      <c r="M202" s="13" t="inlineStr">
        <is>
          <t>2025-01-30</t>
        </is>
      </c>
      <c r="N202" s="13" t="inlineStr">
        <is>
          <t>2025-01-23</t>
        </is>
      </c>
      <c r="O202" s="9" t="n">
        <v>100</v>
      </c>
      <c r="P202" s="17" t="n">
        <v>11407.09375</v>
      </c>
      <c r="Q202" s="17" t="n">
        <v>10513.359375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Q2 2026-27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4.79%</t>
        </is>
      </c>
      <c r="J203" s="13" t="inlineStr">
        <is>
          <t>3.24%</t>
        </is>
      </c>
      <c r="K203" s="16">
        <f>X202</f>
        <v/>
      </c>
      <c r="L203" s="13" t="inlineStr">
        <is>
          <t>2025-01-24</t>
        </is>
      </c>
      <c r="M203" s="13" t="inlineStr">
        <is>
          <t>2025-02-01</t>
        </is>
      </c>
      <c r="N203" s="13" t="inlineStr">
        <is>
          <t>2025-01-28</t>
        </is>
      </c>
      <c r="O203" s="9" t="n">
        <v>5868</v>
      </c>
      <c r="P203" s="17" t="n">
        <v>100.8079605102539</v>
      </c>
      <c r="Q203" s="17" t="n">
        <v>105.6369705200195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Q2 2026-27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-0.03%</t>
        </is>
      </c>
      <c r="J204" s="13" t="inlineStr">
        <is>
          <t>0.17%</t>
        </is>
      </c>
      <c r="K204" s="16">
        <f>X203</f>
        <v/>
      </c>
      <c r="L204" s="13" t="inlineStr">
        <is>
          <t>2025-01-17</t>
        </is>
      </c>
      <c r="M204" s="13" t="inlineStr">
        <is>
          <t>2025-01-29</t>
        </is>
      </c>
      <c r="N204" s="13" t="inlineStr">
        <is>
          <t>2025-01-23</t>
        </is>
      </c>
      <c r="O204" s="9" t="n">
        <v>652</v>
      </c>
      <c r="P204" s="17" t="n">
        <v>1398.328491210938</v>
      </c>
      <c r="Q204" s="17" t="n">
        <v>1397.936767578125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Q2 2026-27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10.75%</t>
        </is>
      </c>
      <c r="J205" s="13" t="inlineStr">
        <is>
          <t>5.76%</t>
        </is>
      </c>
      <c r="K205" s="16">
        <f>X204</f>
        <v/>
      </c>
      <c r="L205" s="13" t="inlineStr">
        <is>
          <t>2025-01-29</t>
        </is>
      </c>
      <c r="M205" s="13" t="inlineStr">
        <is>
          <t>2025-02-12</t>
        </is>
      </c>
      <c r="N205" s="13" t="inlineStr">
        <is>
          <t>2025-02-06</t>
        </is>
      </c>
      <c r="O205" s="9" t="n">
        <v>852</v>
      </c>
      <c r="P205" s="17" t="n">
        <v>891.053955078125</v>
      </c>
      <c r="Q205" s="17" t="n">
        <v>986.8226928710938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Q2 2026-27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-19.01%</t>
        </is>
      </c>
      <c r="J206" s="13" t="inlineStr">
        <is>
          <t>-18.32%</t>
        </is>
      </c>
      <c r="K206" s="16">
        <f>X205</f>
        <v/>
      </c>
      <c r="L206" s="13" t="inlineStr">
        <is>
          <t>2025-01-27</t>
        </is>
      </c>
      <c r="M206" s="13" t="inlineStr">
        <is>
          <t>2025-02-05</t>
        </is>
      </c>
      <c r="N206" s="13" t="inlineStr">
        <is>
          <t>2025-01-31</t>
        </is>
      </c>
      <c r="O206" s="9" t="n">
        <v>1659</v>
      </c>
      <c r="P206" s="17" t="n">
        <v>633.465087890625</v>
      </c>
      <c r="Q206" s="17" t="n">
        <v>532.2794799804688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Q2 2026-27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10.85%</t>
        </is>
      </c>
      <c r="J207" s="13" t="inlineStr">
        <is>
          <t>10.0%</t>
        </is>
      </c>
      <c r="K207" s="16">
        <f>X206</f>
        <v/>
      </c>
      <c r="L207" s="13" t="inlineStr">
        <is>
          <t>2025-02-05</t>
        </is>
      </c>
      <c r="M207" s="13" t="inlineStr">
        <is>
          <t>2025-02-11</t>
        </is>
      </c>
      <c r="N207" s="13" t="inlineStr">
        <is>
          <t>2025-02-10</t>
        </is>
      </c>
      <c r="O207" s="9" t="n">
        <v>2215</v>
      </c>
      <c r="P207" s="17" t="n">
        <v>517.727294921875</v>
      </c>
      <c r="Q207" s="17" t="n">
        <v>580.708251953125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Q2 2026-27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3.22%</t>
        </is>
      </c>
      <c r="J208" s="13" t="inlineStr">
        <is>
          <t>1.95%</t>
        </is>
      </c>
      <c r="K208" s="16">
        <f>X207</f>
        <v/>
      </c>
      <c r="L208" s="13" t="inlineStr">
        <is>
          <t>2025-01-29</t>
        </is>
      </c>
      <c r="M208" s="13" t="inlineStr">
        <is>
          <t>2025-02-05</t>
        </is>
      </c>
      <c r="N208" s="13" t="inlineStr">
        <is>
          <t>2025-01-31</t>
        </is>
      </c>
      <c r="O208" s="9" t="n">
        <v>3738</v>
      </c>
      <c r="P208" s="17" t="n">
        <v>402.1217956542969</v>
      </c>
      <c r="Q208" s="17" t="n">
        <v>415.0558166503906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Q2 2026-27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12.11%</t>
        </is>
      </c>
      <c r="J209" s="13" t="inlineStr">
        <is>
          <t>0.0%</t>
        </is>
      </c>
      <c r="K209" s="16">
        <f>X208</f>
        <v/>
      </c>
      <c r="L209" s="13" t="inlineStr">
        <is>
          <t>2025-01-24</t>
        </is>
      </c>
      <c r="M209" s="13" t="inlineStr">
        <is>
          <t>2025-02-01</t>
        </is>
      </c>
      <c r="N209" s="13" t="inlineStr">
        <is>
          <t>2025-01-31</t>
        </is>
      </c>
      <c r="O209" s="9" t="n">
        <v>9268</v>
      </c>
      <c r="P209" s="17" t="n">
        <v>102.8099975585938</v>
      </c>
      <c r="Q209" s="17" t="n">
        <v>115.2600021362305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Q2 2026-27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3.8%</t>
        </is>
      </c>
      <c r="J210" s="13" t="inlineStr">
        <is>
          <t>2.18%</t>
        </is>
      </c>
      <c r="K210" s="16">
        <f>X209</f>
        <v/>
      </c>
      <c r="L210" s="13" t="inlineStr">
        <is>
          <t>2025-01-24</t>
        </is>
      </c>
      <c r="M210" s="13" t="inlineStr">
        <is>
          <t>2025-02-03</t>
        </is>
      </c>
      <c r="N210" s="13" t="inlineStr">
        <is>
          <t>2025-01-29</t>
        </is>
      </c>
      <c r="O210" s="9" t="n">
        <v>750</v>
      </c>
      <c r="P210" s="17" t="n">
        <v>1389.1572265625</v>
      </c>
      <c r="Q210" s="17" t="n">
        <v>1443.977905273438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Q2 2026-27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10.68%</t>
        </is>
      </c>
      <c r="J211" s="13" t="inlineStr">
        <is>
          <t>-9.93%</t>
        </is>
      </c>
      <c r="K211" s="16">
        <f>X210</f>
        <v/>
      </c>
      <c r="L211" s="13" t="inlineStr">
        <is>
          <t>2025-01-20</t>
        </is>
      </c>
      <c r="M211" s="13" t="inlineStr">
        <is>
          <t>2025-02-04</t>
        </is>
      </c>
      <c r="N211" s="13" t="inlineStr">
        <is>
          <t>2025-01-30</t>
        </is>
      </c>
      <c r="O211" s="9" t="n">
        <v>380</v>
      </c>
      <c r="P211" s="17" t="n">
        <v>2351.980712890625</v>
      </c>
      <c r="Q211" s="17" t="n">
        <v>2633.123046875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Q2 2026-27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5.71%</t>
        </is>
      </c>
      <c r="J212" s="13" t="inlineStr">
        <is>
          <t>4.86%</t>
        </is>
      </c>
      <c r="K212" s="16">
        <f>X211</f>
        <v/>
      </c>
      <c r="L212" s="13" t="inlineStr">
        <is>
          <t>2025-01-10</t>
        </is>
      </c>
      <c r="M212" s="13" t="inlineStr">
        <is>
          <t>2025-01-23</t>
        </is>
      </c>
      <c r="N212" s="13" t="inlineStr">
        <is>
          <t>2025-01-17</t>
        </is>
      </c>
      <c r="O212" s="9" t="n">
        <v>1500</v>
      </c>
      <c r="P212" s="17" t="n">
        <v>281.7357482910156</v>
      </c>
      <c r="Q212" s="17" t="n">
        <v>297.8121948242188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Q2 2026-27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-5.16%</t>
        </is>
      </c>
      <c r="J213" s="13" t="inlineStr">
        <is>
          <t>-5.68%</t>
        </is>
      </c>
      <c r="K213" s="16">
        <f>X212</f>
        <v/>
      </c>
      <c r="L213" s="13" t="inlineStr">
        <is>
          <t>2025-01-14</t>
        </is>
      </c>
      <c r="M213" s="13" t="inlineStr">
        <is>
          <t>2025-01-30</t>
        </is>
      </c>
      <c r="N213" s="13" t="inlineStr">
        <is>
          <t>2025-01-25</t>
        </is>
      </c>
      <c r="O213" s="9" t="n">
        <v>44365</v>
      </c>
      <c r="P213" s="17" t="n">
        <v>18.95000076293945</v>
      </c>
      <c r="Q213" s="17" t="n">
        <v>18.02000045776367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Q2 2026-27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2.89%</t>
        </is>
      </c>
      <c r="J214" s="13" t="inlineStr">
        <is>
          <t>5.49%</t>
        </is>
      </c>
      <c r="K214" s="16">
        <f>X213</f>
        <v/>
      </c>
      <c r="L214" s="13" t="inlineStr">
        <is>
          <t>2025-01-31</t>
        </is>
      </c>
      <c r="M214" s="13" t="inlineStr">
        <is>
          <t>2025-02-11</t>
        </is>
      </c>
      <c r="N214" s="13" t="inlineStr">
        <is>
          <t>2025-02-05</t>
        </is>
      </c>
      <c r="O214" s="9" t="n">
        <v>896</v>
      </c>
      <c r="P214" s="17" t="n">
        <v>930.7420654296876</v>
      </c>
      <c r="Q214" s="17" t="n">
        <v>958.4000854492188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2026-27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Q1 2026-27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1.46%</t>
        </is>
      </c>
      <c r="J4" s="13" t="inlineStr">
        <is>
          <t>-0.61%</t>
        </is>
      </c>
      <c r="K4" s="16" t="n">
        <v>42511150.11</v>
      </c>
      <c r="L4" s="13" t="inlineStr">
        <is>
          <t>2026-07-20</t>
        </is>
      </c>
      <c r="M4" s="13" t="inlineStr">
        <is>
          <t>2026-07-30</t>
        </is>
      </c>
      <c r="N4" s="13" t="inlineStr">
        <is>
          <t>2026-07-28</t>
        </is>
      </c>
      <c r="O4" s="9" t="n">
        <v>874</v>
      </c>
      <c r="P4" s="17" t="n">
        <v>1126.5</v>
      </c>
      <c r="Q4" s="17" t="n">
        <v>1142.900024414062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Q1 2026-27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-3.19%</t>
        </is>
      </c>
      <c r="J5" s="13" t="inlineStr">
        <is>
          <t>-3.8%</t>
        </is>
      </c>
      <c r="K5" s="16">
        <f>X4</f>
        <v/>
      </c>
      <c r="L5" s="13" t="inlineStr">
        <is>
          <t>2026-07-21</t>
        </is>
      </c>
      <c r="M5" s="13" t="inlineStr">
        <is>
          <t>2026-07-30</t>
        </is>
      </c>
      <c r="N5" s="13" t="inlineStr">
        <is>
          <t>2026-07-31</t>
        </is>
      </c>
      <c r="O5" s="9" t="n">
        <v>137</v>
      </c>
      <c r="P5" s="17" t="n">
        <v>7532</v>
      </c>
      <c r="Q5" s="17" t="n">
        <v>7291.5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Q1 2026-27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-1.6%</t>
        </is>
      </c>
      <c r="J6" s="13" t="inlineStr">
        <is>
          <t>-2.92%</t>
        </is>
      </c>
      <c r="K6" s="16">
        <f>X5</f>
        <v/>
      </c>
      <c r="L6" s="13" t="inlineStr">
        <is>
          <t>2026-07-27</t>
        </is>
      </c>
      <c r="M6" s="13" t="inlineStr">
        <is>
          <t>2026-07-30</t>
        </is>
      </c>
      <c r="N6" s="13" t="inlineStr">
        <is>
          <t>2026-08-14</t>
        </is>
      </c>
      <c r="O6" s="9" t="n">
        <v>2537</v>
      </c>
      <c r="P6" s="17" t="n">
        <v>400.4500122070313</v>
      </c>
      <c r="Q6" s="17" t="n">
        <v>394.0499877929688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Q1 2026-27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3.1%</t>
        </is>
      </c>
      <c r="J7" s="13" t="inlineStr">
        <is>
          <t>2.38%</t>
        </is>
      </c>
      <c r="K7" s="16">
        <f>X6</f>
        <v/>
      </c>
      <c r="L7" s="13" t="inlineStr">
        <is>
          <t>2026-07-24</t>
        </is>
      </c>
      <c r="M7" s="13" t="inlineStr">
        <is>
          <t>2026-07-28</t>
        </is>
      </c>
      <c r="N7" s="13" t="inlineStr">
        <is>
          <t>2026-07-25</t>
        </is>
      </c>
      <c r="O7" s="9" t="n">
        <v>602</v>
      </c>
      <c r="P7" s="17" t="n">
        <v>1649.5</v>
      </c>
      <c r="Q7" s="17" t="n">
        <v>1702.199951171875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Q1 2026-27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-1.13%</t>
        </is>
      </c>
      <c r="J8" s="13" t="inlineStr">
        <is>
          <t>-1.75%</t>
        </is>
      </c>
      <c r="K8" s="16">
        <f>X7</f>
        <v/>
      </c>
      <c r="L8" s="13" t="inlineStr">
        <is>
          <t>2025-01-31</t>
        </is>
      </c>
      <c r="M8" s="13" t="inlineStr">
        <is>
          <t>2025-02-03</t>
        </is>
      </c>
      <c r="N8" s="13" t="inlineStr">
        <is>
          <t>2025-01-31</t>
        </is>
      </c>
      <c r="O8" s="9" t="n">
        <v>300</v>
      </c>
      <c r="P8" s="17" t="n">
        <v>2285.64453125</v>
      </c>
      <c r="Q8" s="17" t="n">
        <v>2259.718994140625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Q1 2026-27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-8.82%</t>
        </is>
      </c>
      <c r="J9" s="13" t="inlineStr">
        <is>
          <t>-10.25%</t>
        </is>
      </c>
      <c r="K9" s="16">
        <f>X8</f>
        <v/>
      </c>
      <c r="L9" s="13" t="inlineStr">
        <is>
          <t>2026-07-20</t>
        </is>
      </c>
      <c r="M9" s="13" t="inlineStr">
        <is>
          <t>2026-07-24</t>
        </is>
      </c>
      <c r="N9" s="13" t="inlineStr">
        <is>
          <t>2026-07-22</t>
        </is>
      </c>
      <c r="O9" s="9" t="n">
        <v>500</v>
      </c>
      <c r="P9" s="17" t="n">
        <v>1530</v>
      </c>
      <c r="Q9" s="17" t="n">
        <v>1395.099975585938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Q1 2026-27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3.82%</t>
        </is>
      </c>
      <c r="J10" s="13" t="inlineStr">
        <is>
          <t>3.16%</t>
        </is>
      </c>
      <c r="K10" s="16">
        <f>X9</f>
        <v/>
      </c>
      <c r="L10" s="13" t="inlineStr">
        <is>
          <t>2025-01-22</t>
        </is>
      </c>
      <c r="M10" s="13" t="inlineStr">
        <is>
          <t>2025-02-05</t>
        </is>
      </c>
      <c r="N10" s="13" t="inlineStr">
        <is>
          <t>2025-01-30</t>
        </is>
      </c>
      <c r="O10" s="9" t="n">
        <v>625</v>
      </c>
      <c r="P10" s="17" t="n">
        <v>1092.309814453125</v>
      </c>
      <c r="Q10" s="17" t="n">
        <v>1134.030151367188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Q1 2026-27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2.33%</t>
        </is>
      </c>
      <c r="J11" s="13" t="inlineStr">
        <is>
          <t>2.17%</t>
        </is>
      </c>
      <c r="K11" s="16">
        <f>X10</f>
        <v/>
      </c>
      <c r="L11" s="13" t="inlineStr">
        <is>
          <t>2026-07-27</t>
        </is>
      </c>
      <c r="M11" s="13" t="inlineStr">
        <is>
          <t>2026-07-30</t>
        </is>
      </c>
      <c r="N11" s="13" t="inlineStr">
        <is>
          <t>2026-08-14</t>
        </is>
      </c>
      <c r="O11" s="9" t="n">
        <v>4785</v>
      </c>
      <c r="P11" s="17" t="n">
        <v>208.9700012207031</v>
      </c>
      <c r="Q11" s="17" t="n">
        <v>213.9600067138672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Q1 2026-27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2.92%</t>
        </is>
      </c>
      <c r="J12" s="13" t="inlineStr">
        <is>
          <t>2.61%</t>
        </is>
      </c>
      <c r="K12" s="16">
        <f>X11</f>
        <v/>
      </c>
      <c r="L12" s="13" t="inlineStr">
        <is>
          <t>2026-07-28</t>
        </is>
      </c>
      <c r="M12" s="13" t="inlineStr">
        <is>
          <t>2026-07-30</t>
        </is>
      </c>
      <c r="N12" s="13" t="inlineStr">
        <is>
          <t>2026-08-17</t>
        </is>
      </c>
      <c r="O12" s="9" t="n">
        <v>171</v>
      </c>
      <c r="P12" s="17" t="n">
        <v>5651.5</v>
      </c>
      <c r="Q12" s="17" t="n">
        <v>5816.5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Q1 2026-27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2026-08-22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Q1 2026-27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1.51%</t>
        </is>
      </c>
      <c r="J14" s="13" t="inlineStr">
        <is>
          <t>1.26%</t>
        </is>
      </c>
      <c r="K14" s="16">
        <f>X13</f>
        <v/>
      </c>
      <c r="L14" s="13" t="inlineStr">
        <is>
          <t>2026-07-21</t>
        </is>
      </c>
      <c r="M14" s="13" t="inlineStr">
        <is>
          <t>2026-07-30</t>
        </is>
      </c>
      <c r="N14" s="13" t="inlineStr">
        <is>
          <t>2026-08-26</t>
        </is>
      </c>
      <c r="O14" s="9" t="n">
        <v>2303</v>
      </c>
      <c r="P14" s="17" t="n">
        <v>434.2000122070313</v>
      </c>
      <c r="Q14" s="17" t="n">
        <v>440.8500061035156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Q1 2026-27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-7.9%</t>
        </is>
      </c>
      <c r="J15" s="13" t="inlineStr">
        <is>
          <t>-12.81%</t>
        </is>
      </c>
      <c r="K15" s="16">
        <f>X14</f>
        <v/>
      </c>
      <c r="L15" s="13" t="inlineStr">
        <is>
          <t>2026-07-13</t>
        </is>
      </c>
      <c r="M15" s="13" t="inlineStr">
        <is>
          <t>2026-07-22</t>
        </is>
      </c>
      <c r="N15" s="13" t="inlineStr">
        <is>
          <t>2026-07-15</t>
        </is>
      </c>
      <c r="O15" s="9" t="n">
        <v>3428</v>
      </c>
      <c r="P15" s="17" t="n">
        <v>339.2009582519531</v>
      </c>
      <c r="Q15" s="17" t="n">
        <v>312.3999938964844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Q1 2026-27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2.34%</t>
        </is>
      </c>
      <c r="J16" s="13" t="inlineStr">
        <is>
          <t>1.34%</t>
        </is>
      </c>
      <c r="K16" s="16">
        <f>X15</f>
        <v/>
      </c>
      <c r="L16" s="13" t="inlineStr">
        <is>
          <t>2026-07-27</t>
        </is>
      </c>
      <c r="M16" s="13" t="inlineStr">
        <is>
          <t>2026-07-30</t>
        </is>
      </c>
      <c r="N16" s="13" t="inlineStr">
        <is>
          <t>2026-08-01</t>
        </is>
      </c>
      <c r="O16" s="9" t="n">
        <v>528</v>
      </c>
      <c r="P16" s="17" t="n">
        <v>1849.900024414062</v>
      </c>
      <c r="Q16" s="17" t="n">
        <v>1893.099975585937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Q1 2026-27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1.08%</t>
        </is>
      </c>
      <c r="J17" s="13" t="inlineStr">
        <is>
          <t>-1.55%</t>
        </is>
      </c>
      <c r="K17" s="16">
        <f>X16</f>
        <v/>
      </c>
      <c r="L17" s="13" t="inlineStr">
        <is>
          <t>2025-02-11</t>
        </is>
      </c>
      <c r="M17" s="13" t="inlineStr">
        <is>
          <t>2025-02-18</t>
        </is>
      </c>
      <c r="N17" s="13" t="inlineStr">
        <is>
          <t>2025-02-11</t>
        </is>
      </c>
      <c r="O17" s="9" t="n">
        <v>125</v>
      </c>
      <c r="P17" s="17" t="n">
        <v>6292.009765625</v>
      </c>
      <c r="Q17" s="17" t="n">
        <v>6360.25439453125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Q1 2026-27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3.91%</t>
        </is>
      </c>
      <c r="J18" s="13" t="inlineStr">
        <is>
          <t>-0.57%</t>
        </is>
      </c>
      <c r="K18" s="16">
        <f>X17</f>
        <v/>
      </c>
      <c r="L18" s="13" t="inlineStr">
        <is>
          <t>2024-11-07</t>
        </is>
      </c>
      <c r="M18" s="13" t="inlineStr">
        <is>
          <t>2024-11-11</t>
        </is>
      </c>
      <c r="N18" s="13" t="inlineStr">
        <is>
          <t>2024-11-08</t>
        </is>
      </c>
      <c r="O18" s="9" t="n">
        <v>5000</v>
      </c>
      <c r="P18" s="17" t="n">
        <v>102.6519927978516</v>
      </c>
      <c r="Q18" s="17" t="n">
        <v>106.6648864746094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Q1 2026-27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-0.6%</t>
        </is>
      </c>
      <c r="J19" s="13" t="inlineStr">
        <is>
          <t>-0.44%</t>
        </is>
      </c>
      <c r="K19" s="16">
        <f>X18</f>
        <v/>
      </c>
      <c r="L19" s="13" t="inlineStr">
        <is>
          <t>2025-01-30</t>
        </is>
      </c>
      <c r="M19" s="13" t="inlineStr">
        <is>
          <t>2025-02-06</t>
        </is>
      </c>
      <c r="N19" s="13" t="inlineStr">
        <is>
          <t>2025-02-04</t>
        </is>
      </c>
      <c r="O19" s="9" t="n">
        <v>200</v>
      </c>
      <c r="P19" s="17" t="n">
        <v>2219.953369140625</v>
      </c>
      <c r="Q19" s="17" t="n">
        <v>2206.66357421875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Q1 2026-27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-3.63%</t>
        </is>
      </c>
      <c r="J20" s="13" t="inlineStr">
        <is>
          <t>-2.17%</t>
        </is>
      </c>
      <c r="K20" s="16">
        <f>X19</f>
        <v/>
      </c>
      <c r="L20" s="13" t="inlineStr">
        <is>
          <t>2024-10-28</t>
        </is>
      </c>
      <c r="M20" s="13" t="inlineStr">
        <is>
          <t>2024-11-13</t>
        </is>
      </c>
      <c r="N20" s="13" t="inlineStr">
        <is>
          <t>2024-11-07</t>
        </is>
      </c>
      <c r="O20" s="9" t="n">
        <v>679</v>
      </c>
      <c r="P20" s="17" t="n">
        <v>1788.857421875</v>
      </c>
      <c r="Q20" s="17" t="n">
        <v>1723.939453125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Q1 2026-27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2026-07-15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Q1 2026-27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13.77%</t>
        </is>
      </c>
      <c r="J22" s="13" t="inlineStr">
        <is>
          <t>5.57%</t>
        </is>
      </c>
      <c r="K22" s="16">
        <f>X21</f>
        <v/>
      </c>
      <c r="L22" s="13" t="inlineStr">
        <is>
          <t>2024-10-14</t>
        </is>
      </c>
      <c r="M22" s="13" t="inlineStr">
        <is>
          <t>2024-10-25</t>
        </is>
      </c>
      <c r="N22" s="13" t="inlineStr">
        <is>
          <t>2024-10-24</t>
        </is>
      </c>
      <c r="O22" s="9" t="n">
        <v>970</v>
      </c>
      <c r="P22" s="17" t="n">
        <v>603.7554321289062</v>
      </c>
      <c r="Q22" s="17" t="n">
        <v>700.1365356445312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Q1 2026-27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-8.4%</t>
        </is>
      </c>
      <c r="J23" s="13" t="inlineStr">
        <is>
          <t>-8.7%</t>
        </is>
      </c>
      <c r="K23" s="16">
        <f>X22</f>
        <v/>
      </c>
      <c r="L23" s="13" t="inlineStr">
        <is>
          <t>2024-11-04</t>
        </is>
      </c>
      <c r="M23" s="13" t="inlineStr">
        <is>
          <t>2024-11-11</t>
        </is>
      </c>
      <c r="N23" s="13" t="inlineStr">
        <is>
          <t>2024-11-09</t>
        </is>
      </c>
      <c r="O23" s="9" t="n">
        <v>634</v>
      </c>
      <c r="P23" s="17" t="n">
        <v>1401.937377929688</v>
      </c>
      <c r="Q23" s="17" t="n">
        <v>1284.229370117188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Q1 2026-27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-7.38%</t>
        </is>
      </c>
      <c r="J24" s="13" t="inlineStr">
        <is>
          <t>-8.71%</t>
        </is>
      </c>
      <c r="K24" s="16">
        <f>X23</f>
        <v/>
      </c>
      <c r="L24" s="13" t="inlineStr">
        <is>
          <t>2025-01-15</t>
        </is>
      </c>
      <c r="M24" s="13" t="inlineStr">
        <is>
          <t>2025-01-23</t>
        </is>
      </c>
      <c r="N24" s="13" t="inlineStr">
        <is>
          <t>2025-01-16</t>
        </is>
      </c>
      <c r="O24" s="9" t="n">
        <v>625</v>
      </c>
      <c r="P24" s="17" t="n">
        <v>1025.132568359375</v>
      </c>
      <c r="Q24" s="17" t="n">
        <v>949.505615234375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Q1 2026-27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5.33%</t>
        </is>
      </c>
      <c r="J25" s="13" t="inlineStr">
        <is>
          <t>3.68%</t>
        </is>
      </c>
      <c r="K25" s="16">
        <f>X24</f>
        <v/>
      </c>
      <c r="L25" s="13" t="inlineStr">
        <is>
          <t>2025-01-23</t>
        </is>
      </c>
      <c r="M25" s="13" t="inlineStr">
        <is>
          <t>2025-01-31</t>
        </is>
      </c>
      <c r="N25" s="13" t="inlineStr">
        <is>
          <t>2025-01-29</t>
        </is>
      </c>
      <c r="O25" s="9" t="n">
        <v>125</v>
      </c>
      <c r="P25" s="17" t="n">
        <v>8078.63134765625</v>
      </c>
      <c r="Q25" s="17" t="n">
        <v>8509.349609375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Q1 2026-27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0.5%</t>
        </is>
      </c>
      <c r="J26" s="13" t="inlineStr">
        <is>
          <t>-0.03%</t>
        </is>
      </c>
      <c r="K26" s="16">
        <f>X25</f>
        <v/>
      </c>
      <c r="L26" s="13" t="inlineStr">
        <is>
          <t>2025-01-30</t>
        </is>
      </c>
      <c r="M26" s="13" t="inlineStr">
        <is>
          <t>2025-02-01</t>
        </is>
      </c>
      <c r="N26" s="13" t="inlineStr">
        <is>
          <t>2025-01-30</t>
        </is>
      </c>
      <c r="O26" s="9" t="n">
        <v>500</v>
      </c>
      <c r="P26" s="17" t="n">
        <v>1742.862915039062</v>
      </c>
      <c r="Q26" s="17" t="n">
        <v>1751.651123046875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Q1 2026-27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8.91%</t>
        </is>
      </c>
      <c r="J27" s="13" t="inlineStr">
        <is>
          <t>5.13%</t>
        </is>
      </c>
      <c r="K27" s="16">
        <f>X26</f>
        <v/>
      </c>
      <c r="L27" s="13" t="inlineStr">
        <is>
          <t>2019-01-25</t>
        </is>
      </c>
      <c r="M27" s="13" t="inlineStr">
        <is>
          <t>2019-02-07</t>
        </is>
      </c>
      <c r="N27" s="13" t="inlineStr">
        <is>
          <t>2019-02-01</t>
        </is>
      </c>
      <c r="O27" s="9" t="n">
        <v>100</v>
      </c>
      <c r="P27" s="17" t="n">
        <v>2548.026123046875</v>
      </c>
      <c r="Q27" s="17" t="n">
        <v>2775.111328125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Q1 2026-27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11.42%</t>
        </is>
      </c>
      <c r="J28" s="13" t="inlineStr">
        <is>
          <t>9.36%</t>
        </is>
      </c>
      <c r="K28" s="16">
        <f>X27</f>
        <v/>
      </c>
      <c r="L28" s="13" t="inlineStr">
        <is>
          <t>2025-01-28</t>
        </is>
      </c>
      <c r="M28" s="13" t="inlineStr">
        <is>
          <t>2025-02-04</t>
        </is>
      </c>
      <c r="N28" s="13" t="inlineStr">
        <is>
          <t>2025-01-29</t>
        </is>
      </c>
      <c r="O28" s="9" t="n">
        <v>125</v>
      </c>
      <c r="P28" s="17" t="n">
        <v>751.376220703125</v>
      </c>
      <c r="Q28" s="17" t="n">
        <v>837.19091796875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Q1 2026-27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4.84%</t>
        </is>
      </c>
      <c r="J29" s="13" t="inlineStr">
        <is>
          <t>3.8%</t>
        </is>
      </c>
      <c r="K29" s="16">
        <f>X28</f>
        <v/>
      </c>
      <c r="L29" s="13" t="inlineStr">
        <is>
          <t>2024-10-22</t>
        </is>
      </c>
      <c r="M29" s="13" t="inlineStr">
        <is>
          <t>2024-10-31</t>
        </is>
      </c>
      <c r="N29" s="13" t="inlineStr">
        <is>
          <t>2024-10-25</t>
        </is>
      </c>
      <c r="O29" s="9" t="n">
        <v>6099</v>
      </c>
      <c r="P29" s="17" t="n">
        <v>170.7466430664062</v>
      </c>
      <c r="Q29" s="17" t="n">
        <v>179.0088958740234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Q1 2026-27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-1.21%</t>
        </is>
      </c>
      <c r="J30" s="13" t="inlineStr">
        <is>
          <t>-1.57%</t>
        </is>
      </c>
      <c r="K30" s="16">
        <f>X29</f>
        <v/>
      </c>
      <c r="L30" s="13" t="inlineStr">
        <is>
          <t>2024-10-18</t>
        </is>
      </c>
      <c r="M30" s="13" t="inlineStr">
        <is>
          <t>2024-10-31</t>
        </is>
      </c>
      <c r="N30" s="13" t="inlineStr">
        <is>
          <t>2024-10-25</t>
        </is>
      </c>
      <c r="O30" s="9" t="n">
        <v>4138</v>
      </c>
      <c r="P30" s="17" t="n">
        <v>234.998550415039</v>
      </c>
      <c r="Q30" s="17" t="n">
        <v>232.1987152099609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Q1 2026-27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9.4%</t>
        </is>
      </c>
      <c r="J31" s="13" t="inlineStr">
        <is>
          <t>6.43%</t>
        </is>
      </c>
      <c r="K31" s="16">
        <f>X30</f>
        <v/>
      </c>
      <c r="L31" s="13" t="inlineStr">
        <is>
          <t>2024-11-06</t>
        </is>
      </c>
      <c r="M31" s="13" t="inlineStr">
        <is>
          <t>2024-11-18</t>
        </is>
      </c>
      <c r="N31" s="13" t="inlineStr">
        <is>
          <t>2024-11-11</t>
        </is>
      </c>
      <c r="O31" s="9" t="n">
        <v>7287</v>
      </c>
      <c r="P31" s="17" t="n">
        <v>96.31524658203124</v>
      </c>
      <c r="Q31" s="17" t="n">
        <v>106.3046722412109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Q1 2026-27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2.44%</t>
        </is>
      </c>
      <c r="J32" s="13" t="inlineStr">
        <is>
          <t>7.38%</t>
        </is>
      </c>
      <c r="K32" s="16">
        <f>X31</f>
        <v/>
      </c>
      <c r="L32" s="13" t="inlineStr">
        <is>
          <t>2025-01-29</t>
        </is>
      </c>
      <c r="M32" s="13" t="inlineStr">
        <is>
          <t>2025-02-10</t>
        </is>
      </c>
      <c r="N32" s="13" t="inlineStr">
        <is>
          <t>2025-02-07</t>
        </is>
      </c>
      <c r="O32" s="9" t="n">
        <v>793</v>
      </c>
      <c r="P32" s="17" t="n">
        <v>1190.56640625</v>
      </c>
      <c r="Q32" s="17" t="n">
        <v>1220.395141601562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Q1 2026-27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-6.88%</t>
        </is>
      </c>
      <c r="J33" s="13" t="inlineStr">
        <is>
          <t>-5.25%</t>
        </is>
      </c>
      <c r="K33" s="16">
        <f>X32</f>
        <v/>
      </c>
      <c r="L33" s="13" t="inlineStr">
        <is>
          <t>2025-01-22</t>
        </is>
      </c>
      <c r="M33" s="13" t="inlineStr">
        <is>
          <t>2025-02-05</t>
        </is>
      </c>
      <c r="N33" s="13" t="inlineStr">
        <is>
          <t>2025-01-30</t>
        </is>
      </c>
      <c r="O33" s="9" t="n">
        <v>2438</v>
      </c>
      <c r="P33" s="17" t="n">
        <v>285.4780578613281</v>
      </c>
      <c r="Q33" s="17" t="n">
        <v>267.1015014648437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Q1 2026-27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10.7%</t>
        </is>
      </c>
      <c r="J34" s="13" t="inlineStr">
        <is>
          <t>5.07%</t>
        </is>
      </c>
      <c r="K34" s="16">
        <f>X33</f>
        <v/>
      </c>
      <c r="L34" s="13" t="inlineStr">
        <is>
          <t>2024-11-05</t>
        </is>
      </c>
      <c r="M34" s="13" t="inlineStr">
        <is>
          <t>2024-11-18</t>
        </is>
      </c>
      <c r="N34" s="13" t="inlineStr">
        <is>
          <t>2024-11-14</t>
        </is>
      </c>
      <c r="O34" s="9" t="n">
        <v>461</v>
      </c>
      <c r="P34" s="17" t="n">
        <v>1290.130615234375</v>
      </c>
      <c r="Q34" s="17" t="n">
        <v>1444.653442382812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Q1 2026-27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7.13%</t>
        </is>
      </c>
      <c r="J35" s="13" t="inlineStr">
        <is>
          <t>5.63%</t>
        </is>
      </c>
      <c r="K35" s="16">
        <f>X34</f>
        <v/>
      </c>
      <c r="L35" s="13" t="inlineStr">
        <is>
          <t>2025-01-29</t>
        </is>
      </c>
      <c r="M35" s="13" t="inlineStr">
        <is>
          <t>2025-02-13</t>
        </is>
      </c>
      <c r="N35" s="13" t="inlineStr">
        <is>
          <t>2025-02-06</t>
        </is>
      </c>
      <c r="O35" s="9" t="n">
        <v>950</v>
      </c>
      <c r="P35" s="17" t="n">
        <v>1587.181274414062</v>
      </c>
      <c r="Q35" s="17" t="n">
        <v>1700.384887695312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Q1 2026-27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-3.94%</t>
        </is>
      </c>
      <c r="J36" s="13" t="inlineStr">
        <is>
          <t>-5.01%</t>
        </is>
      </c>
      <c r="K36" s="16">
        <f>X35</f>
        <v/>
      </c>
      <c r="L36" s="13" t="inlineStr">
        <is>
          <t>2024-10-22</t>
        </is>
      </c>
      <c r="M36" s="13" t="inlineStr">
        <is>
          <t>2024-11-01</t>
        </is>
      </c>
      <c r="N36" s="13" t="inlineStr">
        <is>
          <t>2024-10-28</t>
        </is>
      </c>
      <c r="O36" s="9" t="n">
        <v>2481</v>
      </c>
      <c r="P36" s="17" t="n">
        <v>240.6862030029297</v>
      </c>
      <c r="Q36" s="17" t="n">
        <v>231.5648651123047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Q1 2026-27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6.31%</t>
        </is>
      </c>
      <c r="J37" s="13" t="inlineStr">
        <is>
          <t>3.39%</t>
        </is>
      </c>
      <c r="K37" s="16">
        <f>X36</f>
        <v/>
      </c>
      <c r="L37" s="13" t="inlineStr">
        <is>
          <t>2024-10-21</t>
        </is>
      </c>
      <c r="M37" s="13" t="inlineStr">
        <is>
          <t>2024-10-31</t>
        </is>
      </c>
      <c r="N37" s="13" t="inlineStr">
        <is>
          <t>2024-10-30</t>
        </is>
      </c>
      <c r="O37" s="9" t="n">
        <v>2351</v>
      </c>
      <c r="P37" s="17" t="n">
        <v>315.3008728027344</v>
      </c>
      <c r="Q37" s="17" t="n">
        <v>336.5469970703125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Q1 2026-27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3.82%</t>
        </is>
      </c>
      <c r="J38" s="13" t="inlineStr">
        <is>
          <t>3.29%</t>
        </is>
      </c>
      <c r="K38" s="16">
        <f>X37</f>
        <v/>
      </c>
      <c r="L38" s="13" t="inlineStr">
        <is>
          <t>2024-10-25</t>
        </is>
      </c>
      <c r="M38" s="13" t="inlineStr">
        <is>
          <t>2024-11-07</t>
        </is>
      </c>
      <c r="N38" s="13" t="inlineStr">
        <is>
          <t>2024-11-06</t>
        </is>
      </c>
      <c r="O38" s="9" t="n">
        <v>591</v>
      </c>
      <c r="P38" s="17" t="n">
        <v>1761.408935546875</v>
      </c>
      <c r="Q38" s="17" t="n">
        <v>1831.32861328125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Q1 2026-27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2.33%</t>
        </is>
      </c>
      <c r="J39" s="13" t="inlineStr">
        <is>
          <t>2.72%</t>
        </is>
      </c>
      <c r="K39" s="16">
        <f>X38</f>
        <v/>
      </c>
      <c r="L39" s="13" t="inlineStr">
        <is>
          <t>2024-10-31</t>
        </is>
      </c>
      <c r="M39" s="13" t="inlineStr">
        <is>
          <t>2024-11-19</t>
        </is>
      </c>
      <c r="N39" s="13" t="inlineStr">
        <is>
          <t>2024-11-12</t>
        </is>
      </c>
      <c r="O39" s="9" t="n">
        <v>100</v>
      </c>
      <c r="P39" s="17" t="n">
        <v>33842.6640625</v>
      </c>
      <c r="Q39" s="17" t="n">
        <v>34651.29296875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Q1 2026-27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4.16%</t>
        </is>
      </c>
      <c r="J40" s="13" t="inlineStr">
        <is>
          <t>5.29%</t>
        </is>
      </c>
      <c r="K40" s="16">
        <f>X39</f>
        <v/>
      </c>
      <c r="L40" s="13" t="inlineStr">
        <is>
          <t>2025-01-17</t>
        </is>
      </c>
      <c r="M40" s="13" t="inlineStr">
        <is>
          <t>2025-01-30</t>
        </is>
      </c>
      <c r="N40" s="13" t="inlineStr">
        <is>
          <t>2025-01-23</t>
        </is>
      </c>
      <c r="O40" s="9" t="n">
        <v>1800</v>
      </c>
      <c r="P40" s="17" t="n">
        <v>241.3629608154297</v>
      </c>
      <c r="Q40" s="17" t="n">
        <v>251.8272247314453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Q1 2026-27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-0.94%</t>
        </is>
      </c>
      <c r="J41" s="13" t="inlineStr">
        <is>
          <t>-1.54%</t>
        </is>
      </c>
      <c r="K41" s="16">
        <f>X40</f>
        <v/>
      </c>
      <c r="L41" s="13" t="inlineStr">
        <is>
          <t>2025-02-06</t>
        </is>
      </c>
      <c r="M41" s="13" t="inlineStr">
        <is>
          <t>2025-02-10</t>
        </is>
      </c>
      <c r="N41" s="13" t="inlineStr">
        <is>
          <t>2025-02-06</t>
        </is>
      </c>
      <c r="O41" s="9" t="n">
        <v>200</v>
      </c>
      <c r="P41" s="17" t="n">
        <v>4891.94091796875</v>
      </c>
      <c r="Q41" s="17" t="n">
        <v>4846.14111328125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Q1 2026-27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0.63%</t>
        </is>
      </c>
      <c r="J42" s="13" t="inlineStr">
        <is>
          <t>-2.43%</t>
        </is>
      </c>
      <c r="K42" s="16">
        <f>X41</f>
        <v/>
      </c>
      <c r="L42" s="13" t="inlineStr">
        <is>
          <t>2024-11-01</t>
        </is>
      </c>
      <c r="M42" s="13" t="inlineStr">
        <is>
          <t>2024-11-13</t>
        </is>
      </c>
      <c r="N42" s="13" t="inlineStr">
        <is>
          <t>2024-11-12</t>
        </is>
      </c>
      <c r="O42" s="9" t="n">
        <v>283</v>
      </c>
      <c r="P42" s="17" t="n">
        <v>1479.307983398438</v>
      </c>
      <c r="Q42" s="17" t="n">
        <v>1488.637451171875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Q1 2026-27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3.77%</t>
        </is>
      </c>
      <c r="J43" s="13" t="inlineStr">
        <is>
          <t>-0.34%</t>
        </is>
      </c>
      <c r="K43" s="16">
        <f>X42</f>
        <v/>
      </c>
      <c r="L43" s="13" t="inlineStr">
        <is>
          <t>2024-10-24</t>
        </is>
      </c>
      <c r="M43" s="13" t="inlineStr">
        <is>
          <t>2024-10-29</t>
        </is>
      </c>
      <c r="N43" s="13" t="inlineStr">
        <is>
          <t>2024-10-28</t>
        </is>
      </c>
      <c r="O43" s="9" t="n">
        <v>1260</v>
      </c>
      <c r="P43" s="17" t="n">
        <v>839.3348999023438</v>
      </c>
      <c r="Q43" s="17" t="n">
        <v>872.1726684570312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Q1 2026-27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2.64%</t>
        </is>
      </c>
      <c r="J44" s="13" t="inlineStr">
        <is>
          <t>0.05%</t>
        </is>
      </c>
      <c r="K44" s="16">
        <f>X43</f>
        <v/>
      </c>
      <c r="L44" s="13" t="inlineStr">
        <is>
          <t>2024-10-18</t>
        </is>
      </c>
      <c r="M44" s="13" t="inlineStr">
        <is>
          <t>2024-11-04</t>
        </is>
      </c>
      <c r="N44" s="13" t="inlineStr">
        <is>
          <t>2024-10-29</t>
        </is>
      </c>
      <c r="O44" s="9" t="n">
        <v>8046</v>
      </c>
      <c r="P44" s="17" t="n">
        <v>95.24307250976562</v>
      </c>
      <c r="Q44" s="17" t="n">
        <v>97.82250213623048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Q1 2026-27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6.48%</t>
        </is>
      </c>
      <c r="J45" s="13" t="inlineStr">
        <is>
          <t>3.58%</t>
        </is>
      </c>
      <c r="K45" s="16">
        <f>X44</f>
        <v/>
      </c>
      <c r="L45" s="13" t="inlineStr">
        <is>
          <t>2024-10-15</t>
        </is>
      </c>
      <c r="M45" s="13" t="inlineStr">
        <is>
          <t>2024-10-28</t>
        </is>
      </c>
      <c r="N45" s="13" t="inlineStr">
        <is>
          <t>2024-10-26</t>
        </is>
      </c>
      <c r="O45" s="9" t="n">
        <v>748</v>
      </c>
      <c r="P45" s="17" t="n">
        <v>1458.348388671875</v>
      </c>
      <c r="Q45" s="17" t="n">
        <v>1559.4443359375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Q1 2026-27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-10.71%</t>
        </is>
      </c>
      <c r="J46" s="13" t="inlineStr">
        <is>
          <t>-9.84%</t>
        </is>
      </c>
      <c r="K46" s="16">
        <f>X45</f>
        <v/>
      </c>
      <c r="L46" s="13" t="inlineStr">
        <is>
          <t>2024-10-15</t>
        </is>
      </c>
      <c r="M46" s="13" t="inlineStr">
        <is>
          <t>2024-10-25</t>
        </is>
      </c>
      <c r="N46" s="13" t="inlineStr">
        <is>
          <t>2024-10-21</t>
        </is>
      </c>
      <c r="O46" s="9" t="n">
        <v>1201</v>
      </c>
      <c r="P46" s="17" t="n">
        <v>829.216064453125</v>
      </c>
      <c r="Q46" s="17" t="n">
        <v>740.3892822265625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Q1 2026-27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-5.11%</t>
        </is>
      </c>
      <c r="J47" s="13" t="inlineStr">
        <is>
          <t>-4.05%</t>
        </is>
      </c>
      <c r="K47" s="16">
        <f>X46</f>
        <v/>
      </c>
      <c r="L47" s="13" t="inlineStr">
        <is>
          <t>2024-07-25</t>
        </is>
      </c>
      <c r="M47" s="13" t="inlineStr">
        <is>
          <t>2024-07-29</t>
        </is>
      </c>
      <c r="N47" s="13" t="inlineStr">
        <is>
          <t>2024-07-27</t>
        </is>
      </c>
      <c r="O47" s="9" t="n">
        <v>563</v>
      </c>
      <c r="P47" s="17" t="n">
        <v>1429.776123046875</v>
      </c>
      <c r="Q47" s="17" t="n">
        <v>1360.202392578125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Q1 2026-27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-3.79%</t>
        </is>
      </c>
      <c r="J48" s="13" t="inlineStr">
        <is>
          <t>-3.85%</t>
        </is>
      </c>
      <c r="K48" s="16">
        <f>X47</f>
        <v/>
      </c>
      <c r="L48" s="13" t="inlineStr">
        <is>
          <t>2025-01-27</t>
        </is>
      </c>
      <c r="M48" s="13" t="inlineStr">
        <is>
          <t>2025-02-04</t>
        </is>
      </c>
      <c r="N48" s="13" t="inlineStr">
        <is>
          <t>2025-01-29</t>
        </is>
      </c>
      <c r="O48" s="9" t="n">
        <v>650</v>
      </c>
      <c r="P48" s="17" t="n">
        <v>1420.408813476562</v>
      </c>
      <c r="Q48" s="17" t="n">
        <v>1368.50537109375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Q1 2026-27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0.16%</t>
        </is>
      </c>
      <c r="J49" s="13" t="inlineStr">
        <is>
          <t>-0.8%</t>
        </is>
      </c>
      <c r="K49" s="16">
        <f>X48</f>
        <v/>
      </c>
      <c r="L49" s="13" t="inlineStr">
        <is>
          <t>2025-01-16</t>
        </is>
      </c>
      <c r="M49" s="13" t="inlineStr">
        <is>
          <t>2025-01-29</t>
        </is>
      </c>
      <c r="N49" s="13" t="inlineStr">
        <is>
          <t>2025-01-27</t>
        </is>
      </c>
      <c r="O49" s="9" t="n">
        <v>2100</v>
      </c>
      <c r="P49" s="17" t="n">
        <v>348.816650390625</v>
      </c>
      <c r="Q49" s="17" t="n">
        <v>349.3691101074219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Q1 2026-27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8.77%</t>
        </is>
      </c>
      <c r="J50" s="13" t="inlineStr">
        <is>
          <t>14.78%</t>
        </is>
      </c>
      <c r="K50" s="16">
        <f>X49</f>
        <v/>
      </c>
      <c r="L50" s="13" t="inlineStr">
        <is>
          <t>2024-11-01</t>
        </is>
      </c>
      <c r="M50" s="13" t="inlineStr">
        <is>
          <t>2024-11-11</t>
        </is>
      </c>
      <c r="N50" s="13" t="inlineStr">
        <is>
          <t>2024-11-08</t>
        </is>
      </c>
      <c r="O50" s="9" t="n">
        <v>713</v>
      </c>
      <c r="P50" s="17" t="n">
        <v>1377.0556640625</v>
      </c>
      <c r="Q50" s="17" t="n">
        <v>1509.443969726562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Q1 2026-27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14.02%</t>
        </is>
      </c>
      <c r="J51" s="13" t="inlineStr">
        <is>
          <t>12.43%</t>
        </is>
      </c>
      <c r="K51" s="16">
        <f>X50</f>
        <v/>
      </c>
      <c r="L51" s="13" t="inlineStr">
        <is>
          <t>2024-10-22</t>
        </is>
      </c>
      <c r="M51" s="13" t="inlineStr">
        <is>
          <t>2024-10-29</t>
        </is>
      </c>
      <c r="N51" s="13" t="inlineStr">
        <is>
          <t>2024-10-23</t>
        </is>
      </c>
      <c r="O51" s="9" t="n">
        <v>572</v>
      </c>
      <c r="P51" s="17" t="n">
        <v>1344.47412109375</v>
      </c>
      <c r="Q51" s="17" t="n">
        <v>1532.990234375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Q1 2026-27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-8.28%</t>
        </is>
      </c>
      <c r="J52" s="13" t="inlineStr">
        <is>
          <t>-8.27%</t>
        </is>
      </c>
      <c r="K52" s="16">
        <f>X51</f>
        <v/>
      </c>
      <c r="L52" s="13" t="inlineStr">
        <is>
          <t>2024-10-17</t>
        </is>
      </c>
      <c r="M52" s="13" t="inlineStr">
        <is>
          <t>2024-10-30</t>
        </is>
      </c>
      <c r="N52" s="13" t="inlineStr">
        <is>
          <t>2024-10-24</t>
        </is>
      </c>
      <c r="O52" s="9" t="n">
        <v>479</v>
      </c>
      <c r="P52" s="17" t="n">
        <v>3234.419677734375</v>
      </c>
      <c r="Q52" s="17" t="n">
        <v>2966.568115234375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Q1 2026-27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6.51%</t>
        </is>
      </c>
      <c r="J53" s="13" t="inlineStr">
        <is>
          <t>3.44%</t>
        </is>
      </c>
      <c r="K53" s="16">
        <f>X52</f>
        <v/>
      </c>
      <c r="L53" s="13" t="inlineStr">
        <is>
          <t>2024-10-25</t>
        </is>
      </c>
      <c r="M53" s="13" t="inlineStr">
        <is>
          <t>2024-10-31</t>
        </is>
      </c>
      <c r="N53" s="13" t="inlineStr">
        <is>
          <t>2024-10-30</t>
        </is>
      </c>
      <c r="O53" s="9" t="n">
        <v>1904</v>
      </c>
      <c r="P53" s="17" t="n">
        <v>774.7144775390625</v>
      </c>
      <c r="Q53" s="17" t="n">
        <v>825.173583984375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Q1 2026-27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3.6%</t>
        </is>
      </c>
      <c r="J54" s="13" t="inlineStr">
        <is>
          <t>5.41%</t>
        </is>
      </c>
      <c r="K54" s="16">
        <f>X53</f>
        <v/>
      </c>
      <c r="L54" s="13" t="inlineStr">
        <is>
          <t>2024-11-08</t>
        </is>
      </c>
      <c r="M54" s="13" t="inlineStr">
        <is>
          <t>2024-11-18</t>
        </is>
      </c>
      <c r="N54" s="13" t="inlineStr">
        <is>
          <t>2024-11-14</t>
        </is>
      </c>
      <c r="O54" s="9" t="n">
        <v>3841</v>
      </c>
      <c r="P54" s="17" t="n">
        <v>376.3335876464844</v>
      </c>
      <c r="Q54" s="17" t="n">
        <v>390.3879699707031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Q1 2026-27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4.2%</t>
        </is>
      </c>
      <c r="J55" s="13" t="inlineStr">
        <is>
          <t>3.41%</t>
        </is>
      </c>
      <c r="K55" s="16">
        <f>X54</f>
        <v/>
      </c>
      <c r="L55" s="13" t="inlineStr">
        <is>
          <t>2024-11-04</t>
        </is>
      </c>
      <c r="M55" s="13" t="inlineStr">
        <is>
          <t>2024-11-14</t>
        </is>
      </c>
      <c r="N55" s="13" t="inlineStr">
        <is>
          <t>2024-11-08</t>
        </is>
      </c>
      <c r="O55" s="9" t="n">
        <v>185</v>
      </c>
      <c r="P55" s="17" t="n">
        <v>3235.812744140625</v>
      </c>
      <c r="Q55" s="17" t="n">
        <v>3377.64306640625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Q1 2026-27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-3.35%</t>
        </is>
      </c>
      <c r="J56" s="13" t="inlineStr">
        <is>
          <t>-4.85%</t>
        </is>
      </c>
      <c r="K56" s="16">
        <f>X55</f>
        <v/>
      </c>
      <c r="L56" s="13" t="inlineStr">
        <is>
          <t>2024-10-23</t>
        </is>
      </c>
      <c r="M56" s="13" t="inlineStr">
        <is>
          <t>2024-10-31</t>
        </is>
      </c>
      <c r="N56" s="13" t="inlineStr">
        <is>
          <t>2024-10-30</t>
        </is>
      </c>
      <c r="O56" s="9" t="n">
        <v>2346</v>
      </c>
      <c r="P56" s="17" t="n">
        <v>540.4055786132812</v>
      </c>
      <c r="Q56" s="17" t="n">
        <v>522.3179321289062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Q1 2026-27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3.74%</t>
        </is>
      </c>
      <c r="J57" s="13" t="inlineStr">
        <is>
          <t>-1.15%</t>
        </is>
      </c>
      <c r="K57" s="16">
        <f>X56</f>
        <v/>
      </c>
      <c r="L57" s="13" t="inlineStr">
        <is>
          <t>2024-11-12</t>
        </is>
      </c>
      <c r="M57" s="13" t="inlineStr">
        <is>
          <t>2024-11-18</t>
        </is>
      </c>
      <c r="N57" s="13" t="inlineStr">
        <is>
          <t>2024-11-14</t>
        </is>
      </c>
      <c r="O57" s="9" t="n">
        <v>2135</v>
      </c>
      <c r="P57" s="17" t="n">
        <v>327.2999877929688</v>
      </c>
      <c r="Q57" s="17" t="n">
        <v>340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Q1 2026-27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-0.06%</t>
        </is>
      </c>
      <c r="J58" s="13" t="inlineStr">
        <is>
          <t>-4.73%</t>
        </is>
      </c>
      <c r="K58" s="16">
        <f>X57</f>
        <v/>
      </c>
      <c r="L58" s="13" t="inlineStr">
        <is>
          <t>2024-11-01</t>
        </is>
      </c>
      <c r="M58" s="13" t="inlineStr">
        <is>
          <t>2024-11-11</t>
        </is>
      </c>
      <c r="N58" s="13" t="inlineStr">
        <is>
          <t>2024-11-09</t>
        </is>
      </c>
      <c r="O58" s="9" t="n">
        <v>200</v>
      </c>
      <c r="P58" s="17" t="n">
        <v>5852.65576171875</v>
      </c>
      <c r="Q58" s="17" t="n">
        <v>5849.08740234375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Q1 2026-27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9.52%</t>
        </is>
      </c>
      <c r="J59" s="13" t="inlineStr">
        <is>
          <t>6.14%</t>
        </is>
      </c>
      <c r="K59" s="16">
        <f>X58</f>
        <v/>
      </c>
      <c r="L59" s="13" t="inlineStr">
        <is>
          <t>2024-10-15</t>
        </is>
      </c>
      <c r="M59" s="13" t="inlineStr">
        <is>
          <t>2024-10-25</t>
        </is>
      </c>
      <c r="N59" s="13" t="inlineStr">
        <is>
          <t>2024-10-24</t>
        </is>
      </c>
      <c r="O59" s="9" t="n">
        <v>100</v>
      </c>
      <c r="P59" s="17" t="n">
        <v>13931.0009765625</v>
      </c>
      <c r="Q59" s="17" t="n">
        <v>15397.59765625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Q1 2026-27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-0.95%</t>
        </is>
      </c>
      <c r="J60" s="13" t="inlineStr">
        <is>
          <t>-2.48%</t>
        </is>
      </c>
      <c r="K60" s="16">
        <f>X59</f>
        <v/>
      </c>
      <c r="L60" s="13" t="inlineStr">
        <is>
          <t>2024-10-22</t>
        </is>
      </c>
      <c r="M60" s="13" t="inlineStr">
        <is>
          <t>2024-10-28</t>
        </is>
      </c>
      <c r="N60" s="13" t="inlineStr">
        <is>
          <t>2024-10-25</t>
        </is>
      </c>
      <c r="O60" s="9" t="n">
        <v>1527</v>
      </c>
      <c r="P60" s="17" t="n">
        <v>806.7954711914062</v>
      </c>
      <c r="Q60" s="17" t="n">
        <v>799.1971435546875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Q1 2026-27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9.94%</t>
        </is>
      </c>
      <c r="J61" s="13" t="inlineStr">
        <is>
          <t>7.02%</t>
        </is>
      </c>
      <c r="K61" s="16">
        <f>X60</f>
        <v/>
      </c>
      <c r="L61" s="13" t="inlineStr">
        <is>
          <t>2024-10-09</t>
        </is>
      </c>
      <c r="M61" s="13" t="inlineStr">
        <is>
          <t>2024-10-14</t>
        </is>
      </c>
      <c r="N61" s="13" t="inlineStr">
        <is>
          <t>2024-10-12</t>
        </is>
      </c>
      <c r="O61" s="9" t="n">
        <v>258</v>
      </c>
      <c r="P61" s="17" t="n">
        <v>4183.60009765625</v>
      </c>
      <c r="Q61" s="17" t="n">
        <v>4645.39990234375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Q1 2026-27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10.44%</t>
        </is>
      </c>
      <c r="J62" s="13" t="inlineStr">
        <is>
          <t>9.71%</t>
        </is>
      </c>
      <c r="K62" s="16">
        <f>X61</f>
        <v/>
      </c>
      <c r="L62" s="13" t="inlineStr">
        <is>
          <t>2025-01-15</t>
        </is>
      </c>
      <c r="M62" s="13" t="inlineStr">
        <is>
          <t>2025-01-27</t>
        </is>
      </c>
      <c r="N62" s="13" t="inlineStr">
        <is>
          <t>2025-01-24</t>
        </is>
      </c>
      <c r="O62" s="9" t="n">
        <v>125</v>
      </c>
      <c r="P62" s="17" t="n">
        <v>1182.6025390625</v>
      </c>
      <c r="Q62" s="17" t="n">
        <v>1320.399169921875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Q1 2026-27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-10.57%</t>
        </is>
      </c>
      <c r="J63" s="13" t="inlineStr">
        <is>
          <t>-12.87%</t>
        </is>
      </c>
      <c r="K63" s="16">
        <f>X62</f>
        <v/>
      </c>
      <c r="L63" s="13" t="inlineStr">
        <is>
          <t>2025-02-01</t>
        </is>
      </c>
      <c r="M63" s="13" t="inlineStr">
        <is>
          <t>2025-02-13</t>
        </is>
      </c>
      <c r="N63" s="13" t="inlineStr">
        <is>
          <t>2025-02-11</t>
        </is>
      </c>
      <c r="O63" s="9" t="n">
        <v>175</v>
      </c>
      <c r="P63" s="17" t="n">
        <v>5321.15283203125</v>
      </c>
      <c r="Q63" s="17" t="n">
        <v>4758.69580078125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Q1 2026-27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-1.36%</t>
        </is>
      </c>
      <c r="J64" s="13" t="inlineStr">
        <is>
          <t>-7.19%</t>
        </is>
      </c>
      <c r="K64" s="16">
        <f>X63</f>
        <v/>
      </c>
      <c r="L64" s="13" t="inlineStr">
        <is>
          <t>2024-10-18</t>
        </is>
      </c>
      <c r="M64" s="13" t="inlineStr">
        <is>
          <t>2024-10-28</t>
        </is>
      </c>
      <c r="N64" s="13" t="inlineStr">
        <is>
          <t>2024-10-22</t>
        </is>
      </c>
      <c r="O64" s="9" t="n">
        <v>3399</v>
      </c>
      <c r="P64" s="17" t="n">
        <v>257.4500122070312</v>
      </c>
      <c r="Q64" s="17" t="n">
        <v>253.9499969482422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Q1 2026-27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6.35%</t>
        </is>
      </c>
      <c r="J65" s="13" t="inlineStr">
        <is>
          <t>4.37%</t>
        </is>
      </c>
      <c r="K65" s="16">
        <f>X64</f>
        <v/>
      </c>
      <c r="L65" s="13" t="inlineStr">
        <is>
          <t>2024-10-23</t>
        </is>
      </c>
      <c r="M65" s="13" t="inlineStr">
        <is>
          <t>2024-10-29</t>
        </is>
      </c>
      <c r="N65" s="13" t="inlineStr">
        <is>
          <t>2024-10-28</t>
        </is>
      </c>
      <c r="O65" s="9" t="n">
        <v>2823</v>
      </c>
      <c r="P65" s="17" t="n">
        <v>187.5844421386719</v>
      </c>
      <c r="Q65" s="17" t="n">
        <v>199.4923553466797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Q1 2026-27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2.45%</t>
        </is>
      </c>
      <c r="J66" s="13" t="inlineStr">
        <is>
          <t>0.04%</t>
        </is>
      </c>
      <c r="K66" s="16">
        <f>X65</f>
        <v/>
      </c>
      <c r="L66" s="13" t="inlineStr">
        <is>
          <t>2026-07-28</t>
        </is>
      </c>
      <c r="M66" s="13" t="inlineStr">
        <is>
          <t>2026-07-30</t>
        </is>
      </c>
      <c r="N66" s="13" t="inlineStr">
        <is>
          <t>2026-07-29</t>
        </is>
      </c>
      <c r="O66" s="9" t="n">
        <v>100</v>
      </c>
      <c r="P66" s="17" t="n">
        <v>17197</v>
      </c>
      <c r="Q66" s="17" t="n">
        <v>17618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Q1 2026-27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0.59%</t>
        </is>
      </c>
      <c r="J67" s="13" t="inlineStr">
        <is>
          <t>0.04%</t>
        </is>
      </c>
      <c r="K67" s="16">
        <f>X66</f>
        <v/>
      </c>
      <c r="L67" s="13" t="inlineStr">
        <is>
          <t>2024-11-01</t>
        </is>
      </c>
      <c r="M67" s="13" t="inlineStr">
        <is>
          <t>2024-11-14</t>
        </is>
      </c>
      <c r="N67" s="13" t="inlineStr">
        <is>
          <t>2024-11-08</t>
        </is>
      </c>
      <c r="O67" s="9" t="n">
        <v>1053</v>
      </c>
      <c r="P67" s="17" t="n">
        <v>633.927001953125</v>
      </c>
      <c r="Q67" s="17" t="n">
        <v>637.6685791015625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Q1 2026-27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7.15%</t>
        </is>
      </c>
      <c r="J68" s="13" t="inlineStr">
        <is>
          <t>4.69%</t>
        </is>
      </c>
      <c r="K68" s="16">
        <f>X67</f>
        <v/>
      </c>
      <c r="L68" s="13" t="inlineStr">
        <is>
          <t>2025-01-28</t>
        </is>
      </c>
      <c r="M68" s="13" t="inlineStr">
        <is>
          <t>2025-02-04</t>
        </is>
      </c>
      <c r="N68" s="13" t="inlineStr">
        <is>
          <t>2025-01-30</t>
        </is>
      </c>
      <c r="O68" s="9" t="n">
        <v>5759</v>
      </c>
      <c r="P68" s="17" t="n">
        <v>154.3484191894531</v>
      </c>
      <c r="Q68" s="17" t="n">
        <v>165.3766174316406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Q1 2026-27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-6.27%</t>
        </is>
      </c>
      <c r="J69" s="13" t="inlineStr">
        <is>
          <t>-10.63%</t>
        </is>
      </c>
      <c r="K69" s="16">
        <f>X68</f>
        <v/>
      </c>
      <c r="L69" s="13" t="inlineStr">
        <is>
          <t>2024-11-12</t>
        </is>
      </c>
      <c r="M69" s="13" t="inlineStr">
        <is>
          <t>2024-11-22</t>
        </is>
      </c>
      <c r="N69" s="13" t="inlineStr">
        <is>
          <t>2024-11-15</t>
        </is>
      </c>
      <c r="O69" s="9" t="n">
        <v>456</v>
      </c>
      <c r="P69" s="17" t="n">
        <v>1573.191284179688</v>
      </c>
      <c r="Q69" s="17" t="n">
        <v>1474.5830078125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Q1 2026-27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3.54%</t>
        </is>
      </c>
      <c r="J70" s="13" t="inlineStr">
        <is>
          <t>4.77%</t>
        </is>
      </c>
      <c r="K70" s="16">
        <f>X69</f>
        <v/>
      </c>
      <c r="L70" s="13" t="inlineStr">
        <is>
          <t>2024-10-23</t>
        </is>
      </c>
      <c r="M70" s="13" t="inlineStr">
        <is>
          <t>2024-10-31</t>
        </is>
      </c>
      <c r="N70" s="13" t="inlineStr">
        <is>
          <t>2024-10-25</t>
        </is>
      </c>
      <c r="O70" s="9" t="n">
        <v>9623</v>
      </c>
      <c r="P70" s="17" t="n">
        <v>79.31999969482422</v>
      </c>
      <c r="Q70" s="17" t="n">
        <v>82.23000335693359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Q1 2026-27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-15.35%</t>
        </is>
      </c>
      <c r="J71" s="13" t="inlineStr">
        <is>
          <t>-18.53%</t>
        </is>
      </c>
      <c r="K71" s="16">
        <f>X70</f>
        <v/>
      </c>
      <c r="L71" s="13" t="inlineStr">
        <is>
          <t>2024-11-06</t>
        </is>
      </c>
      <c r="M71" s="13" t="inlineStr">
        <is>
          <t>2024-11-18</t>
        </is>
      </c>
      <c r="N71" s="13" t="inlineStr">
        <is>
          <t>2024-11-11</t>
        </is>
      </c>
      <c r="O71" s="9" t="n">
        <v>469</v>
      </c>
      <c r="P71" s="17" t="n">
        <v>2329.015625</v>
      </c>
      <c r="Q71" s="17" t="n">
        <v>1971.626953125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Q1 2026-27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-4.16%</t>
        </is>
      </c>
      <c r="J72" s="13" t="inlineStr">
        <is>
          <t>-6.81%</t>
        </is>
      </c>
      <c r="K72" s="16">
        <f>X71</f>
        <v/>
      </c>
      <c r="L72" s="13" t="inlineStr">
        <is>
          <t>2024-10-17</t>
        </is>
      </c>
      <c r="M72" s="13" t="inlineStr">
        <is>
          <t>2024-10-25</t>
        </is>
      </c>
      <c r="N72" s="13" t="inlineStr">
        <is>
          <t>2024-10-24</t>
        </is>
      </c>
      <c r="O72" s="9" t="n">
        <v>932</v>
      </c>
      <c r="P72" s="17" t="n">
        <v>1307.7626953125</v>
      </c>
      <c r="Q72" s="17" t="n">
        <v>1253.357421875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Q1 2026-27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5.41%</t>
        </is>
      </c>
      <c r="J73" s="13" t="inlineStr">
        <is>
          <t>7.73%</t>
        </is>
      </c>
      <c r="K73" s="16">
        <f>X72</f>
        <v/>
      </c>
      <c r="L73" s="13" t="inlineStr">
        <is>
          <t>2024-10-14</t>
        </is>
      </c>
      <c r="M73" s="13" t="inlineStr">
        <is>
          <t>2024-10-24</t>
        </is>
      </c>
      <c r="N73" s="13" t="inlineStr">
        <is>
          <t>2024-10-23</t>
        </is>
      </c>
      <c r="O73" s="9" t="n">
        <v>473</v>
      </c>
      <c r="P73" s="17" t="n">
        <v>2910.332275390625</v>
      </c>
      <c r="Q73" s="17" t="n">
        <v>3076.67822265625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Q1 2026-27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1.05%</t>
        </is>
      </c>
      <c r="J74" s="13" t="inlineStr">
        <is>
          <t>1.09%</t>
        </is>
      </c>
      <c r="K74" s="16">
        <f>X73</f>
        <v/>
      </c>
      <c r="L74" s="13" t="inlineStr">
        <is>
          <t>2025-02-05</t>
        </is>
      </c>
      <c r="M74" s="13" t="inlineStr">
        <is>
          <t>2025-02-17</t>
        </is>
      </c>
      <c r="N74" s="13" t="inlineStr">
        <is>
          <t>2025-02-10</t>
        </is>
      </c>
      <c r="O74" s="9" t="n">
        <v>250</v>
      </c>
      <c r="P74" s="17" t="n">
        <v>2454.919677734375</v>
      </c>
      <c r="Q74" s="17" t="n">
        <v>2480.974609375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Q1 2026-27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1.35%</t>
        </is>
      </c>
      <c r="J75" s="13" t="inlineStr">
        <is>
          <t>-4.76%</t>
        </is>
      </c>
      <c r="K75" s="16">
        <f>X74</f>
        <v/>
      </c>
      <c r="L75" s="13" t="inlineStr">
        <is>
          <t>2024-11-05</t>
        </is>
      </c>
      <c r="M75" s="13" t="inlineStr">
        <is>
          <t>2024-11-14</t>
        </is>
      </c>
      <c r="N75" s="13" t="inlineStr">
        <is>
          <t>2024-11-08</t>
        </is>
      </c>
      <c r="O75" s="9" t="n">
        <v>237</v>
      </c>
      <c r="P75" s="17" t="n">
        <v>1739.8623046875</v>
      </c>
      <c r="Q75" s="17" t="n">
        <v>1763.3193359375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Q1 2026-27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-6.57%</t>
        </is>
      </c>
      <c r="J76" s="13" t="inlineStr">
        <is>
          <t>-9.82%</t>
        </is>
      </c>
      <c r="K76" s="16">
        <f>X75</f>
        <v/>
      </c>
      <c r="L76" s="13" t="inlineStr">
        <is>
          <t>2024-11-08</t>
        </is>
      </c>
      <c r="M76" s="13" t="inlineStr">
        <is>
          <t>2024-11-22</t>
        </is>
      </c>
      <c r="N76" s="13" t="inlineStr">
        <is>
          <t>2024-11-14</t>
        </is>
      </c>
      <c r="O76" s="9" t="n">
        <v>218</v>
      </c>
      <c r="P76" s="17" t="n">
        <v>4318.40234375</v>
      </c>
      <c r="Q76" s="17" t="n">
        <v>4034.554931640625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Q1 2026-27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9.73%</t>
        </is>
      </c>
      <c r="J77" s="13" t="inlineStr">
        <is>
          <t>5.18%</t>
        </is>
      </c>
      <c r="K77" s="16">
        <f>X76</f>
        <v/>
      </c>
      <c r="L77" s="13" t="inlineStr">
        <is>
          <t>2024-10-10</t>
        </is>
      </c>
      <c r="M77" s="13" t="inlineStr">
        <is>
          <t>2024-10-23</t>
        </is>
      </c>
      <c r="N77" s="13" t="inlineStr">
        <is>
          <t>2024-10-17</t>
        </is>
      </c>
      <c r="O77" s="9" t="n">
        <v>792</v>
      </c>
      <c r="P77" s="17" t="n">
        <v>1724.776123046875</v>
      </c>
      <c r="Q77" s="17" t="n">
        <v>1910.580200195312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Q1 2026-27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-5.9%</t>
        </is>
      </c>
      <c r="J78" s="13" t="inlineStr">
        <is>
          <t>-6.24%</t>
        </is>
      </c>
      <c r="K78" s="16">
        <f>X77</f>
        <v/>
      </c>
      <c r="L78" s="13" t="inlineStr">
        <is>
          <t>2025-01-09</t>
        </is>
      </c>
      <c r="M78" s="13" t="inlineStr">
        <is>
          <t>2025-01-21</t>
        </is>
      </c>
      <c r="N78" s="13" t="inlineStr">
        <is>
          <t>2025-01-14</t>
        </is>
      </c>
      <c r="O78" s="9" t="n">
        <v>350</v>
      </c>
      <c r="P78" s="17" t="n">
        <v>1815.755859375</v>
      </c>
      <c r="Q78" s="17" t="n">
        <v>1708.662719726562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Q1 2026-27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-10.48%</t>
        </is>
      </c>
      <c r="J79" s="13" t="inlineStr">
        <is>
          <t>-8.19%</t>
        </is>
      </c>
      <c r="K79" s="16">
        <f>X78</f>
        <v/>
      </c>
      <c r="L79" s="13" t="inlineStr">
        <is>
          <t>2024-10-09</t>
        </is>
      </c>
      <c r="M79" s="13" t="inlineStr">
        <is>
          <t>2024-10-16</t>
        </is>
      </c>
      <c r="N79" s="13" t="inlineStr">
        <is>
          <t>2024-10-15</t>
        </is>
      </c>
      <c r="O79" s="9" t="n">
        <v>392</v>
      </c>
      <c r="P79" s="17" t="n">
        <v>2318.7666015625</v>
      </c>
      <c r="Q79" s="17" t="n">
        <v>2098.748291015625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Q1 2026-27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2.95%</t>
        </is>
      </c>
      <c r="J80" s="13" t="inlineStr">
        <is>
          <t>2.71%</t>
        </is>
      </c>
      <c r="K80" s="16">
        <f>X79</f>
        <v/>
      </c>
      <c r="L80" s="13" t="inlineStr">
        <is>
          <t>2025-01-15</t>
        </is>
      </c>
      <c r="M80" s="13" t="inlineStr">
        <is>
          <t>2025-01-30</t>
        </is>
      </c>
      <c r="N80" s="13" t="inlineStr">
        <is>
          <t>2025-01-23</t>
        </is>
      </c>
      <c r="O80" s="9" t="n">
        <v>550</v>
      </c>
      <c r="P80" s="17" t="n">
        <v>797.3803100585938</v>
      </c>
      <c r="Q80" s="17" t="n">
        <v>820.8933715820312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Q1 2026-27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-3.04%</t>
        </is>
      </c>
      <c r="J81" s="13" t="inlineStr">
        <is>
          <t>-3.75%</t>
        </is>
      </c>
      <c r="K81" s="16">
        <f>X80</f>
        <v/>
      </c>
      <c r="L81" s="13" t="inlineStr">
        <is>
          <t>2024-10-11</t>
        </is>
      </c>
      <c r="M81" s="13" t="inlineStr">
        <is>
          <t>2024-10-21</t>
        </is>
      </c>
      <c r="N81" s="13" t="inlineStr">
        <is>
          <t>2024-10-15</t>
        </is>
      </c>
      <c r="O81" s="9" t="n">
        <v>1100</v>
      </c>
      <c r="P81" s="17" t="n">
        <v>741.1524658203125</v>
      </c>
      <c r="Q81" s="17" t="n">
        <v>719.291015625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Q1 2026-27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-4.28%</t>
        </is>
      </c>
      <c r="J82" s="13" t="inlineStr">
        <is>
          <t>-5.57%</t>
        </is>
      </c>
      <c r="K82" s="16">
        <f>X81</f>
        <v/>
      </c>
      <c r="L82" s="13" t="inlineStr">
        <is>
          <t>2025-02-04</t>
        </is>
      </c>
      <c r="M82" s="13" t="inlineStr">
        <is>
          <t>2025-02-13</t>
        </is>
      </c>
      <c r="N82" s="13" t="inlineStr">
        <is>
          <t>2025-02-06</t>
        </is>
      </c>
      <c r="O82" s="9" t="n">
        <v>150</v>
      </c>
      <c r="P82" s="17" t="n">
        <v>3993.972900390625</v>
      </c>
      <c r="Q82" s="17" t="n">
        <v>3823.09716796875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Q1 2026-27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-2.52%</t>
        </is>
      </c>
      <c r="J83" s="13" t="inlineStr">
        <is>
          <t>-2.38%</t>
        </is>
      </c>
      <c r="K83" s="16">
        <f>X82</f>
        <v/>
      </c>
      <c r="L83" s="13" t="inlineStr">
        <is>
          <t>2025-02-11</t>
        </is>
      </c>
      <c r="M83" s="13" t="inlineStr">
        <is>
          <t>2025-02-17</t>
        </is>
      </c>
      <c r="N83" s="13" t="inlineStr">
        <is>
          <t>2025-02-13</t>
        </is>
      </c>
      <c r="O83" s="9" t="n">
        <v>1400</v>
      </c>
      <c r="P83" s="17" t="n">
        <v>603.255859375</v>
      </c>
      <c r="Q83" s="17" t="n">
        <v>588.4423828125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Q1 2026-27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5.89%</t>
        </is>
      </c>
      <c r="J84" s="13" t="inlineStr">
        <is>
          <t>4.54%</t>
        </is>
      </c>
      <c r="K84" s="16">
        <f>X83</f>
        <v/>
      </c>
      <c r="L84" s="13" t="inlineStr">
        <is>
          <t>2024-10-24</t>
        </is>
      </c>
      <c r="M84" s="13" t="inlineStr">
        <is>
          <t>2024-10-31</t>
        </is>
      </c>
      <c r="N84" s="13" t="inlineStr">
        <is>
          <t>2024-10-25</t>
        </is>
      </c>
      <c r="O84" s="9" t="n">
        <v>2574</v>
      </c>
      <c r="P84" s="17" t="n">
        <v>367.3436584472656</v>
      </c>
      <c r="Q84" s="17" t="n">
        <v>390.3448486328125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Q1 2026-27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-0.68%</t>
        </is>
      </c>
      <c r="J85" s="13" t="inlineStr">
        <is>
          <t>-0.57%</t>
        </is>
      </c>
      <c r="K85" s="16">
        <f>X84</f>
        <v/>
      </c>
      <c r="L85" s="13" t="inlineStr">
        <is>
          <t>2025-01-14</t>
        </is>
      </c>
      <c r="M85" s="13" t="inlineStr">
        <is>
          <t>2025-01-29</t>
        </is>
      </c>
      <c r="N85" s="13" t="inlineStr">
        <is>
          <t>2025-01-22</t>
        </is>
      </c>
      <c r="O85" s="9" t="n">
        <v>300</v>
      </c>
      <c r="P85" s="17" t="n">
        <v>2317.1708984375</v>
      </c>
      <c r="Q85" s="17" t="n">
        <v>2301.619140625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Q1 2026-27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-4.88%</t>
        </is>
      </c>
      <c r="J86" s="13" t="inlineStr">
        <is>
          <t>-6.59%</t>
        </is>
      </c>
      <c r="K86" s="16">
        <f>X85</f>
        <v/>
      </c>
      <c r="L86" s="13" t="inlineStr">
        <is>
          <t>2024-10-15</t>
        </is>
      </c>
      <c r="M86" s="13" t="inlineStr">
        <is>
          <t>2024-10-24</t>
        </is>
      </c>
      <c r="N86" s="13" t="inlineStr">
        <is>
          <t>2024-10-18</t>
        </is>
      </c>
      <c r="O86" s="9" t="n">
        <v>1866</v>
      </c>
      <c r="P86" s="17" t="n">
        <v>519.4908447265625</v>
      </c>
      <c r="Q86" s="17" t="n">
        <v>495.32177734375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Q1 2026-27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3.09%</t>
        </is>
      </c>
      <c r="J87" s="13" t="inlineStr">
        <is>
          <t>-0.09%</t>
        </is>
      </c>
      <c r="K87" s="16">
        <f>X86</f>
        <v/>
      </c>
      <c r="L87" s="13" t="inlineStr">
        <is>
          <t>2024-11-11</t>
        </is>
      </c>
      <c r="M87" s="13" t="inlineStr">
        <is>
          <t>2024-11-14</t>
        </is>
      </c>
      <c r="N87" s="13" t="inlineStr">
        <is>
          <t>2024-11-13</t>
        </is>
      </c>
      <c r="O87" s="9" t="n">
        <v>495</v>
      </c>
      <c r="P87" s="17" t="n">
        <v>1748.81201171875</v>
      </c>
      <c r="Q87" s="17" t="n">
        <v>1804.572021484375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Q1 2026-27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1.18%</t>
        </is>
      </c>
      <c r="J88" s="13" t="inlineStr">
        <is>
          <t>-1.28%</t>
        </is>
      </c>
      <c r="K88" s="16">
        <f>X87</f>
        <v/>
      </c>
      <c r="L88" s="13" t="inlineStr">
        <is>
          <t>2025-01-15</t>
        </is>
      </c>
      <c r="M88" s="13" t="inlineStr">
        <is>
          <t>2025-01-31</t>
        </is>
      </c>
      <c r="N88" s="13" t="inlineStr">
        <is>
          <t>2025-01-25</t>
        </is>
      </c>
      <c r="O88" s="9" t="n">
        <v>700</v>
      </c>
      <c r="P88" s="17" t="n">
        <v>1228.768676757812</v>
      </c>
      <c r="Q88" s="17" t="n">
        <v>1243.207397460938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Q1 2026-27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-8.03%</t>
        </is>
      </c>
      <c r="J89" s="13" t="inlineStr">
        <is>
          <t>-10.05%</t>
        </is>
      </c>
      <c r="K89" s="16">
        <f>X88</f>
        <v/>
      </c>
      <c r="L89" s="13" t="inlineStr">
        <is>
          <t>2026-04-02</t>
        </is>
      </c>
      <c r="M89" s="13" t="inlineStr">
        <is>
          <t>2026-04-22</t>
        </is>
      </c>
      <c r="N89" s="13" t="inlineStr">
        <is>
          <t>2026-04-15</t>
        </is>
      </c>
      <c r="O89" s="9" t="n">
        <v>629</v>
      </c>
      <c r="P89" s="17" t="n">
        <v>1829</v>
      </c>
      <c r="Q89" s="17" t="n">
        <v>1693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Q1 2026-27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-5.83%</t>
        </is>
      </c>
      <c r="J90" s="13" t="inlineStr">
        <is>
          <t>-5.34%</t>
        </is>
      </c>
      <c r="K90" s="16">
        <f>X89</f>
        <v/>
      </c>
      <c r="L90" s="13" t="inlineStr">
        <is>
          <t>2026-06-25</t>
        </is>
      </c>
      <c r="M90" s="13" t="inlineStr">
        <is>
          <t>2026-07-13</t>
        </is>
      </c>
      <c r="N90" s="13" t="inlineStr">
        <is>
          <t>2026-07-06</t>
        </is>
      </c>
      <c r="O90" s="9" t="n">
        <v>1958</v>
      </c>
      <c r="P90" s="17" t="n">
        <v>519.7000122070312</v>
      </c>
      <c r="Q90" s="17" t="n">
        <v>491.0499877929688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Q1 2026-27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15.42%</t>
        </is>
      </c>
      <c r="J91" s="13" t="inlineStr">
        <is>
          <t>11.52%</t>
        </is>
      </c>
      <c r="K91" s="16">
        <f>X90</f>
        <v/>
      </c>
      <c r="L91" s="13" t="inlineStr">
        <is>
          <t>2024-11-06</t>
        </is>
      </c>
      <c r="M91" s="13" t="inlineStr">
        <is>
          <t>2024-11-21</t>
        </is>
      </c>
      <c r="N91" s="13" t="inlineStr">
        <is>
          <t>2024-11-13</t>
        </is>
      </c>
      <c r="O91" s="9" t="n">
        <v>77700</v>
      </c>
      <c r="P91" s="17" t="n">
        <v>6.909999847412109</v>
      </c>
      <c r="Q91" s="17" t="n">
        <v>8.170000076293945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Q1 2026-27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7.05%</t>
        </is>
      </c>
      <c r="J92" s="13" t="inlineStr">
        <is>
          <t>2.38%</t>
        </is>
      </c>
      <c r="K92" s="16">
        <f>X91</f>
        <v/>
      </c>
      <c r="L92" s="13" t="inlineStr">
        <is>
          <t>2024-10-16</t>
        </is>
      </c>
      <c r="M92" s="13" t="inlineStr">
        <is>
          <t>2024-10-28</t>
        </is>
      </c>
      <c r="N92" s="13" t="inlineStr">
        <is>
          <t>2024-10-26</t>
        </is>
      </c>
      <c r="O92" s="9" t="n">
        <v>11798</v>
      </c>
      <c r="P92" s="17" t="n">
        <v>66.91099548339844</v>
      </c>
      <c r="Q92" s="17" t="n">
        <v>71.98439025878906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Q1 2026-27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-1.13%</t>
        </is>
      </c>
      <c r="J93" s="13" t="inlineStr">
        <is>
          <t>-2.94%</t>
        </is>
      </c>
      <c r="K93" s="16">
        <f>X92</f>
        <v/>
      </c>
      <c r="L93" s="13" t="inlineStr">
        <is>
          <t>2024-10-23</t>
        </is>
      </c>
      <c r="M93" s="13" t="inlineStr">
        <is>
          <t>2024-10-25</t>
        </is>
      </c>
      <c r="N93" s="13" t="inlineStr">
        <is>
          <t>2024-10-24</t>
        </is>
      </c>
      <c r="O93" s="9" t="n">
        <v>7610</v>
      </c>
      <c r="P93" s="17" t="n">
        <v>174.9740905761719</v>
      </c>
      <c r="Q93" s="17" t="n">
        <v>173.0024871826172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Q1 2026-27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7.14%</t>
        </is>
      </c>
      <c r="J94" s="13" t="inlineStr">
        <is>
          <t>4.18%</t>
        </is>
      </c>
      <c r="K94" s="16">
        <f>X93</f>
        <v/>
      </c>
      <c r="L94" s="13" t="inlineStr">
        <is>
          <t>2024-11-04</t>
        </is>
      </c>
      <c r="M94" s="13" t="inlineStr">
        <is>
          <t>2024-11-13</t>
        </is>
      </c>
      <c r="N94" s="13" t="inlineStr">
        <is>
          <t>2024-11-07</t>
        </is>
      </c>
      <c r="O94" s="9" t="n">
        <v>1334</v>
      </c>
      <c r="P94" s="17" t="n">
        <v>661.6489868164062</v>
      </c>
      <c r="Q94" s="17" t="n">
        <v>708.8990478515625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Q1 2026-27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16.85%</t>
        </is>
      </c>
      <c r="J95" s="13" t="inlineStr">
        <is>
          <t>10.54%</t>
        </is>
      </c>
      <c r="K95" s="16">
        <f>X94</f>
        <v/>
      </c>
      <c r="L95" s="13" t="inlineStr">
        <is>
          <t>2024-10-23</t>
        </is>
      </c>
      <c r="M95" s="13" t="inlineStr">
        <is>
          <t>2024-11-01</t>
        </is>
      </c>
      <c r="N95" s="13" t="inlineStr">
        <is>
          <t>2024-10-28</t>
        </is>
      </c>
      <c r="O95" s="9" t="n">
        <v>1208</v>
      </c>
      <c r="P95" s="17" t="n">
        <v>478.224609375</v>
      </c>
      <c r="Q95" s="17" t="n">
        <v>558.8038330078125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Q1 2026-27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-14.56%</t>
        </is>
      </c>
      <c r="J96" s="13" t="inlineStr">
        <is>
          <t>-14.0%</t>
        </is>
      </c>
      <c r="K96" s="16">
        <f>X95</f>
        <v/>
      </c>
      <c r="L96" s="13" t="inlineStr">
        <is>
          <t>2024-10-16</t>
        </is>
      </c>
      <c r="M96" s="13" t="inlineStr">
        <is>
          <t>2024-10-28</t>
        </is>
      </c>
      <c r="N96" s="13" t="inlineStr">
        <is>
          <t>2024-10-25</t>
        </is>
      </c>
      <c r="O96" s="9" t="n">
        <v>196</v>
      </c>
      <c r="P96" s="17" t="n">
        <v>4691.92138671875</v>
      </c>
      <c r="Q96" s="17" t="n">
        <v>4008.67578125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Q1 2026-27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11.34%</t>
        </is>
      </c>
      <c r="J97" s="13" t="inlineStr">
        <is>
          <t>10.44%</t>
        </is>
      </c>
      <c r="K97" s="16">
        <f>X96</f>
        <v/>
      </c>
      <c r="L97" s="13" t="inlineStr">
        <is>
          <t>2025-01-30</t>
        </is>
      </c>
      <c r="M97" s="13" t="inlineStr">
        <is>
          <t>2025-02-06</t>
        </is>
      </c>
      <c r="N97" s="13" t="inlineStr">
        <is>
          <t>2025-01-31</t>
        </is>
      </c>
      <c r="O97" s="9" t="n">
        <v>500</v>
      </c>
      <c r="P97" s="17" t="n">
        <v>955.5023803710938</v>
      </c>
      <c r="Q97" s="17" t="n">
        <v>1063.827026367188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Q1 2026-27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8.92%</t>
        </is>
      </c>
      <c r="J98" s="13" t="inlineStr">
        <is>
          <t>6.66%</t>
        </is>
      </c>
      <c r="K98" s="16">
        <f>X97</f>
        <v/>
      </c>
      <c r="L98" s="13" t="inlineStr">
        <is>
          <t>2024-10-18</t>
        </is>
      </c>
      <c r="M98" s="13" t="inlineStr">
        <is>
          <t>2024-10-24</t>
        </is>
      </c>
      <c r="N98" s="13" t="inlineStr">
        <is>
          <t>2024-10-23</t>
        </is>
      </c>
      <c r="O98" s="9" t="n">
        <v>2545</v>
      </c>
      <c r="P98" s="17" t="n">
        <v>350.25</v>
      </c>
      <c r="Q98" s="17" t="n">
        <v>384.5499877929688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Q1 2026-27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7.81%</t>
        </is>
      </c>
      <c r="J99" s="13" t="inlineStr">
        <is>
          <t>6.97%</t>
        </is>
      </c>
      <c r="K99" s="16">
        <f>X98</f>
        <v/>
      </c>
      <c r="L99" s="13" t="inlineStr">
        <is>
          <t>2025-01-10</t>
        </is>
      </c>
      <c r="M99" s="13" t="inlineStr">
        <is>
          <t>2025-01-20</t>
        </is>
      </c>
      <c r="N99" s="13" t="inlineStr">
        <is>
          <t>2025-01-16</t>
        </is>
      </c>
      <c r="O99" s="9" t="n">
        <v>400</v>
      </c>
      <c r="P99" s="17" t="n">
        <v>1723.87548828125</v>
      </c>
      <c r="Q99" s="17" t="n">
        <v>1869.947998046875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Q1 2026-27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10.0%</t>
        </is>
      </c>
      <c r="J100" s="13" t="inlineStr">
        <is>
          <t>4.65%</t>
        </is>
      </c>
      <c r="K100" s="16">
        <f>X99</f>
        <v/>
      </c>
      <c r="L100" s="13" t="inlineStr">
        <is>
          <t>2025-01-22</t>
        </is>
      </c>
      <c r="M100" s="13" t="inlineStr">
        <is>
          <t>2025-02-01</t>
        </is>
      </c>
      <c r="N100" s="13" t="inlineStr">
        <is>
          <t>2025-01-31</t>
        </is>
      </c>
      <c r="O100" s="9" t="n">
        <v>13336</v>
      </c>
      <c r="P100" s="17" t="n">
        <v>156.25</v>
      </c>
      <c r="Q100" s="17" t="n">
        <v>171.8800048828125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Q1 2026-27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9.45%</t>
        </is>
      </c>
      <c r="J101" s="13" t="inlineStr">
        <is>
          <t>7.33%</t>
        </is>
      </c>
      <c r="K101" s="16">
        <f>X100</f>
        <v/>
      </c>
      <c r="L101" s="13" t="inlineStr">
        <is>
          <t>2024-10-21</t>
        </is>
      </c>
      <c r="M101" s="13" t="inlineStr">
        <is>
          <t>2024-11-01</t>
        </is>
      </c>
      <c r="N101" s="13" t="inlineStr">
        <is>
          <t>2024-10-28</t>
        </is>
      </c>
      <c r="O101" s="9" t="n">
        <v>7145</v>
      </c>
      <c r="P101" s="17" t="n">
        <v>135.9853973388672</v>
      </c>
      <c r="Q101" s="17" t="n">
        <v>150.1757507324219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Q1 2026-27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20.95%</t>
        </is>
      </c>
      <c r="J102" s="13" t="inlineStr">
        <is>
          <t>0.58%</t>
        </is>
      </c>
      <c r="K102" s="16">
        <f>X101</f>
        <v/>
      </c>
      <c r="L102" s="13" t="inlineStr">
        <is>
          <t>2024-07-03</t>
        </is>
      </c>
      <c r="M102" s="13" t="inlineStr">
        <is>
          <t>2024-07-22</t>
        </is>
      </c>
      <c r="N102" s="13" t="inlineStr">
        <is>
          <t>2024-07-15</t>
        </is>
      </c>
      <c r="O102" s="9" t="n">
        <v>8341</v>
      </c>
      <c r="P102" s="17" t="n">
        <v>221.9332733154297</v>
      </c>
      <c r="Q102" s="17" t="n">
        <v>268.4267578125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Q1 2026-27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2024-11-04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Q1 2026-27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1.42%</t>
        </is>
      </c>
      <c r="J104" s="13" t="inlineStr">
        <is>
          <t>1.43%</t>
        </is>
      </c>
      <c r="K104" s="16">
        <f>X103</f>
        <v/>
      </c>
      <c r="L104" s="13" t="inlineStr">
        <is>
          <t>2025-01-29</t>
        </is>
      </c>
      <c r="M104" s="13" t="inlineStr">
        <is>
          <t>2025-02-10</t>
        </is>
      </c>
      <c r="N104" s="13" t="inlineStr">
        <is>
          <t>2025-02-06</t>
        </is>
      </c>
      <c r="O104" s="9" t="n">
        <v>1600</v>
      </c>
      <c r="P104" s="17" t="n">
        <v>393.7491149902344</v>
      </c>
      <c r="Q104" s="17" t="n">
        <v>399.4175415039063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Q1 2026-27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2.07%</t>
        </is>
      </c>
      <c r="J105" s="13" t="inlineStr">
        <is>
          <t>-0.03%</t>
        </is>
      </c>
      <c r="K105" s="16">
        <f>X104</f>
        <v/>
      </c>
      <c r="L105" s="13" t="inlineStr">
        <is>
          <t>2024-11-04</t>
        </is>
      </c>
      <c r="M105" s="13" t="inlineStr">
        <is>
          <t>2024-11-08</t>
        </is>
      </c>
      <c r="N105" s="13" t="inlineStr">
        <is>
          <t>2024-11-07</t>
        </is>
      </c>
      <c r="O105" s="9" t="n">
        <v>914</v>
      </c>
      <c r="P105" s="17" t="n">
        <v>907.39990234375</v>
      </c>
      <c r="Q105" s="17" t="n">
        <v>926.2125244140624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Q1 2026-27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7.57%</t>
        </is>
      </c>
      <c r="J106" s="13" t="inlineStr">
        <is>
          <t>3.87%</t>
        </is>
      </c>
      <c r="K106" s="16">
        <f>X105</f>
        <v/>
      </c>
      <c r="L106" s="13" t="inlineStr">
        <is>
          <t>2025-01-16</t>
        </is>
      </c>
      <c r="M106" s="13" t="inlineStr">
        <is>
          <t>2025-01-23</t>
        </is>
      </c>
      <c r="N106" s="13" t="inlineStr">
        <is>
          <t>2025-01-17</t>
        </is>
      </c>
      <c r="O106" s="9" t="n">
        <v>4127</v>
      </c>
      <c r="P106" s="17" t="n">
        <v>255.45166015625</v>
      </c>
      <c r="Q106" s="17" t="n">
        <v>276.3690185546875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Q1 2026-27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1.13%</t>
        </is>
      </c>
      <c r="J107" s="13" t="inlineStr">
        <is>
          <t>-3.03%</t>
        </is>
      </c>
      <c r="K107" s="16">
        <f>X106</f>
        <v/>
      </c>
      <c r="L107" s="13" t="inlineStr">
        <is>
          <t>2024-10-17</t>
        </is>
      </c>
      <c r="M107" s="13" t="inlineStr">
        <is>
          <t>2024-10-25</t>
        </is>
      </c>
      <c r="N107" s="13" t="inlineStr">
        <is>
          <t>2024-10-24</t>
        </is>
      </c>
      <c r="O107" s="9" t="n">
        <v>1839</v>
      </c>
      <c r="P107" s="17" t="n">
        <v>664.0087280273438</v>
      </c>
      <c r="Q107" s="17" t="n">
        <v>671.6027221679688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Q1 2026-27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4.65%</t>
        </is>
      </c>
      <c r="J108" s="13" t="inlineStr">
        <is>
          <t>2.98%</t>
        </is>
      </c>
      <c r="K108" s="16">
        <f>X107</f>
        <v/>
      </c>
      <c r="L108" s="13" t="inlineStr">
        <is>
          <t>2025-01-17</t>
        </is>
      </c>
      <c r="M108" s="13" t="inlineStr">
        <is>
          <t>2025-01-30</t>
        </is>
      </c>
      <c r="N108" s="13" t="inlineStr">
        <is>
          <t>2025-01-24</t>
        </is>
      </c>
      <c r="O108" s="9" t="n">
        <v>675</v>
      </c>
      <c r="P108" s="17" t="n">
        <v>900.9846801757812</v>
      </c>
      <c r="Q108" s="17" t="n">
        <v>942.880615234375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Q1 2026-27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7.06%</t>
        </is>
      </c>
      <c r="J109" s="13" t="inlineStr">
        <is>
          <t>5.82%</t>
        </is>
      </c>
      <c r="K109" s="16">
        <f>X108</f>
        <v/>
      </c>
      <c r="L109" s="13" t="inlineStr">
        <is>
          <t>2024-11-04</t>
        </is>
      </c>
      <c r="M109" s="13" t="inlineStr">
        <is>
          <t>2024-11-18</t>
        </is>
      </c>
      <c r="N109" s="13" t="inlineStr">
        <is>
          <t>2024-11-11</t>
        </is>
      </c>
      <c r="O109" s="9" t="n">
        <v>2273</v>
      </c>
      <c r="P109" s="17" t="n">
        <v>564.507568359375</v>
      </c>
      <c r="Q109" s="17" t="n">
        <v>604.37451171875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Q1 2026-27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4.56%</t>
        </is>
      </c>
      <c r="J110" s="13" t="inlineStr">
        <is>
          <t>5.16%</t>
        </is>
      </c>
      <c r="K110" s="16">
        <f>X109</f>
        <v/>
      </c>
      <c r="L110" s="13" t="inlineStr">
        <is>
          <t>2024-11-11</t>
        </is>
      </c>
      <c r="M110" s="13" t="inlineStr">
        <is>
          <t>2024-11-18</t>
        </is>
      </c>
      <c r="N110" s="13" t="inlineStr">
        <is>
          <t>2024-11-14</t>
        </is>
      </c>
      <c r="O110" s="9" t="n">
        <v>1575</v>
      </c>
      <c r="P110" s="17" t="n">
        <v>666.3002319335938</v>
      </c>
      <c r="Q110" s="17" t="n">
        <v>698.1570434570312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Q1 2026-27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-1.78%</t>
        </is>
      </c>
      <c r="J111" s="13" t="inlineStr">
        <is>
          <t>-7.87%</t>
        </is>
      </c>
      <c r="K111" s="16">
        <f>X110</f>
        <v/>
      </c>
      <c r="L111" s="13" t="inlineStr">
        <is>
          <t>2024-10-24</t>
        </is>
      </c>
      <c r="M111" s="13" t="inlineStr">
        <is>
          <t>2024-11-04</t>
        </is>
      </c>
      <c r="N111" s="13" t="inlineStr">
        <is>
          <t>2024-10-29</t>
        </is>
      </c>
      <c r="O111" s="9" t="n">
        <v>276</v>
      </c>
      <c r="P111" s="17" t="n">
        <v>5512.2998046875</v>
      </c>
      <c r="Q111" s="17" t="n">
        <v>5414.0498046875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Q1 2026-27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6.6%</t>
        </is>
      </c>
      <c r="J112" s="13" t="inlineStr">
        <is>
          <t>2.86%</t>
        </is>
      </c>
      <c r="K112" s="16">
        <f>X111</f>
        <v/>
      </c>
      <c r="L112" s="13" t="inlineStr">
        <is>
          <t>2024-10-04</t>
        </is>
      </c>
      <c r="M112" s="13" t="inlineStr">
        <is>
          <t>2024-10-22</t>
        </is>
      </c>
      <c r="N112" s="13" t="inlineStr">
        <is>
          <t>2024-10-16</t>
        </is>
      </c>
      <c r="O112" s="9" t="n">
        <v>208</v>
      </c>
      <c r="P112" s="17" t="n">
        <v>3993.9072265625</v>
      </c>
      <c r="Q112" s="17" t="n">
        <v>4276.306640625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Q1 2026-27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-12.66%</t>
        </is>
      </c>
      <c r="J113" s="13" t="inlineStr">
        <is>
          <t>-15.16%</t>
        </is>
      </c>
      <c r="K113" s="16">
        <f>X112</f>
        <v/>
      </c>
      <c r="L113" s="13" t="inlineStr">
        <is>
          <t>2024-10-16</t>
        </is>
      </c>
      <c r="M113" s="13" t="inlineStr">
        <is>
          <t>2024-10-29</t>
        </is>
      </c>
      <c r="N113" s="13" t="inlineStr">
        <is>
          <t>2024-10-28</t>
        </is>
      </c>
      <c r="O113" s="9" t="n">
        <v>1063</v>
      </c>
      <c r="P113" s="17" t="n">
        <v>1087.348388671875</v>
      </c>
      <c r="Q113" s="17" t="n">
        <v>949.6474609375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Q1 2026-27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-5.79%</t>
        </is>
      </c>
      <c r="J114" s="13" t="inlineStr">
        <is>
          <t>-5.89%</t>
        </is>
      </c>
      <c r="K114" s="16">
        <f>X113</f>
        <v/>
      </c>
      <c r="L114" s="13" t="inlineStr">
        <is>
          <t>2025-01-15</t>
        </is>
      </c>
      <c r="M114" s="13" t="inlineStr">
        <is>
          <t>2025-01-21</t>
        </is>
      </c>
      <c r="N114" s="13" t="inlineStr">
        <is>
          <t>2025-01-18</t>
        </is>
      </c>
      <c r="O114" s="9" t="n">
        <v>400</v>
      </c>
      <c r="P114" s="17" t="n">
        <v>378.2239379882813</v>
      </c>
      <c r="Q114" s="17" t="n">
        <v>357.5078125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Q1 2026-27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-19.9%</t>
        </is>
      </c>
      <c r="J115" s="13" t="inlineStr">
        <is>
          <t>-18.75%</t>
        </is>
      </c>
      <c r="K115" s="16">
        <f>X114</f>
        <v/>
      </c>
      <c r="L115" s="13" t="inlineStr">
        <is>
          <t>2024-10-16</t>
        </is>
      </c>
      <c r="M115" s="13" t="inlineStr">
        <is>
          <t>2024-10-24</t>
        </is>
      </c>
      <c r="N115" s="13" t="inlineStr">
        <is>
          <t>2024-10-23</t>
        </is>
      </c>
      <c r="O115" s="9" t="n">
        <v>1695</v>
      </c>
      <c r="P115" s="17" t="n">
        <v>1745.760375976562</v>
      </c>
      <c r="Q115" s="17" t="n">
        <v>1398.283325195312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Q1 2026-27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1.97%</t>
        </is>
      </c>
      <c r="J116" s="13" t="inlineStr">
        <is>
          <t>-0.84%</t>
        </is>
      </c>
      <c r="K116" s="16">
        <f>X115</f>
        <v/>
      </c>
      <c r="L116" s="13" t="inlineStr">
        <is>
          <t>2024-10-18</t>
        </is>
      </c>
      <c r="M116" s="13" t="inlineStr">
        <is>
          <t>2024-10-25</t>
        </is>
      </c>
      <c r="N116" s="13" t="inlineStr">
        <is>
          <t>2024-10-24</t>
        </is>
      </c>
      <c r="O116" s="9" t="n">
        <v>561</v>
      </c>
      <c r="P116" s="17" t="n">
        <v>463.9394836425781</v>
      </c>
      <c r="Q116" s="17" t="n">
        <v>473.2521057128906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Q1 2026-27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5.63%</t>
        </is>
      </c>
      <c r="J117" s="13" t="inlineStr">
        <is>
          <t>6.21%</t>
        </is>
      </c>
      <c r="K117" s="16">
        <f>X116</f>
        <v/>
      </c>
      <c r="L117" s="13" t="inlineStr">
        <is>
          <t>2024-10-24</t>
        </is>
      </c>
      <c r="M117" s="13" t="inlineStr">
        <is>
          <t>2024-11-01</t>
        </is>
      </c>
      <c r="N117" s="13" t="inlineStr">
        <is>
          <t>2024-10-28</t>
        </is>
      </c>
      <c r="O117" s="9" t="n">
        <v>1848</v>
      </c>
      <c r="P117" s="17" t="n">
        <v>589.8623657226562</v>
      </c>
      <c r="Q117" s="17" t="n">
        <v>623.077392578125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Q1 2026-27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3.86%</t>
        </is>
      </c>
      <c r="J118" s="13" t="inlineStr">
        <is>
          <t>2.91%</t>
        </is>
      </c>
      <c r="K118" s="16">
        <f>X117</f>
        <v/>
      </c>
      <c r="L118" s="13" t="inlineStr">
        <is>
          <t>2026-05-15</t>
        </is>
      </c>
      <c r="M118" s="13" t="inlineStr">
        <is>
          <t>2026-05-28</t>
        </is>
      </c>
      <c r="N118" s="13" t="inlineStr">
        <is>
          <t>2026-05-21</t>
        </is>
      </c>
      <c r="O118" s="9" t="n">
        <v>2364</v>
      </c>
      <c r="P118" s="17" t="n">
        <v>390.4230346679688</v>
      </c>
      <c r="Q118" s="17" t="n">
        <v>405.4947204589844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Q1 2026-27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8.71%</t>
        </is>
      </c>
      <c r="J119" s="13" t="inlineStr">
        <is>
          <t>4.46%</t>
        </is>
      </c>
      <c r="K119" s="16">
        <f>X118</f>
        <v/>
      </c>
      <c r="L119" s="13" t="inlineStr">
        <is>
          <t>2025-01-20</t>
        </is>
      </c>
      <c r="M119" s="13" t="inlineStr">
        <is>
          <t>2025-01-27</t>
        </is>
      </c>
      <c r="N119" s="13" t="inlineStr">
        <is>
          <t>2025-01-25</t>
        </is>
      </c>
      <c r="O119" s="9" t="n">
        <v>776</v>
      </c>
      <c r="P119" s="17" t="n">
        <v>1099.87451171875</v>
      </c>
      <c r="Q119" s="17" t="n">
        <v>1204.77880859375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Q1 2026-27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-7.8%</t>
        </is>
      </c>
      <c r="J120" s="13" t="inlineStr">
        <is>
          <t>-8.36%</t>
        </is>
      </c>
      <c r="K120" s="16">
        <f>X119</f>
        <v/>
      </c>
      <c r="L120" s="13" t="inlineStr">
        <is>
          <t>2025-01-31</t>
        </is>
      </c>
      <c r="M120" s="13" t="inlineStr">
        <is>
          <t>2025-02-03</t>
        </is>
      </c>
      <c r="N120" s="13" t="inlineStr">
        <is>
          <t>2025-01-31</t>
        </is>
      </c>
      <c r="O120" s="9" t="n">
        <v>300</v>
      </c>
      <c r="P120" s="17" t="n">
        <v>3500.248291015625</v>
      </c>
      <c r="Q120" s="17" t="n">
        <v>3227.285400390625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Q1 2026-27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5.16%</t>
        </is>
      </c>
      <c r="J121" s="13" t="inlineStr">
        <is>
          <t>3.7%</t>
        </is>
      </c>
      <c r="K121" s="16">
        <f>X120</f>
        <v/>
      </c>
      <c r="L121" s="13" t="inlineStr">
        <is>
          <t>2024-10-17</t>
        </is>
      </c>
      <c r="M121" s="13" t="inlineStr">
        <is>
          <t>2024-10-21</t>
        </is>
      </c>
      <c r="N121" s="13" t="inlineStr">
        <is>
          <t>2024-10-18</t>
        </is>
      </c>
      <c r="O121" s="9" t="n">
        <v>3265</v>
      </c>
      <c r="P121" s="17" t="n">
        <v>153.7469329833984</v>
      </c>
      <c r="Q121" s="17" t="n">
        <v>162.115234375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Q1 2026-27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6.67%</t>
        </is>
      </c>
      <c r="J122" s="13" t="inlineStr">
        <is>
          <t>4.1%</t>
        </is>
      </c>
      <c r="K122" s="16">
        <f>X121</f>
        <v/>
      </c>
      <c r="L122" s="13" t="inlineStr">
        <is>
          <t>2024-10-16</t>
        </is>
      </c>
      <c r="M122" s="13" t="inlineStr">
        <is>
          <t>2024-10-23</t>
        </is>
      </c>
      <c r="N122" s="13" t="inlineStr">
        <is>
          <t>2024-10-17</t>
        </is>
      </c>
      <c r="O122" s="9" t="n">
        <v>225</v>
      </c>
      <c r="P122" s="17" t="n">
        <v>5761.998046875</v>
      </c>
      <c r="Q122" s="17" t="n">
        <v>6173.9267578125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Q1 2026-27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-4.54%</t>
        </is>
      </c>
      <c r="J123" s="13" t="inlineStr">
        <is>
          <t>-8.33%</t>
        </is>
      </c>
      <c r="K123" s="16">
        <f>X122</f>
        <v/>
      </c>
      <c r="L123" s="13" t="inlineStr">
        <is>
          <t>2024-10-28</t>
        </is>
      </c>
      <c r="M123" s="13" t="inlineStr">
        <is>
          <t>2024-11-08</t>
        </is>
      </c>
      <c r="N123" s="13" t="inlineStr">
        <is>
          <t>2024-11-07</t>
        </is>
      </c>
      <c r="O123" s="9" t="n">
        <v>413</v>
      </c>
      <c r="P123" s="17" t="n">
        <v>2175.300048828125</v>
      </c>
      <c r="Q123" s="17" t="n">
        <v>2076.534912109375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Q1 2026-27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-1.14%</t>
        </is>
      </c>
      <c r="J124" s="13" t="inlineStr">
        <is>
          <t>-3.41%</t>
        </is>
      </c>
      <c r="K124" s="16">
        <f>X123</f>
        <v/>
      </c>
      <c r="L124" s="13" t="inlineStr">
        <is>
          <t>2025-02-03</t>
        </is>
      </c>
      <c r="M124" s="13" t="inlineStr">
        <is>
          <t>2025-02-10</t>
        </is>
      </c>
      <c r="N124" s="13" t="inlineStr">
        <is>
          <t>2025-02-07</t>
        </is>
      </c>
      <c r="O124" s="9" t="n">
        <v>350</v>
      </c>
      <c r="P124" s="17" t="n">
        <v>3115.29345703125</v>
      </c>
      <c r="Q124" s="17" t="n">
        <v>3079.902587890625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Q1 2026-27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-4.52%</t>
        </is>
      </c>
      <c r="J125" s="13" t="inlineStr">
        <is>
          <t>-8.9%</t>
        </is>
      </c>
      <c r="K125" s="16">
        <f>X124</f>
        <v/>
      </c>
      <c r="L125" s="13" t="inlineStr">
        <is>
          <t>2024-10-09</t>
        </is>
      </c>
      <c r="M125" s="13" t="inlineStr">
        <is>
          <t>2024-10-21</t>
        </is>
      </c>
      <c r="N125" s="13" t="inlineStr">
        <is>
          <t>2024-10-15</t>
        </is>
      </c>
      <c r="O125" s="9" t="n">
        <v>12616</v>
      </c>
      <c r="P125" s="17" t="n">
        <v>51.45406723022461</v>
      </c>
      <c r="Q125" s="17" t="n">
        <v>49.12893676757812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Q1 2026-27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0.57%</t>
        </is>
      </c>
      <c r="J126" s="13" t="inlineStr">
        <is>
          <t>0.0%</t>
        </is>
      </c>
      <c r="K126" s="16">
        <f>X125</f>
        <v/>
      </c>
      <c r="L126" s="13" t="inlineStr">
        <is>
          <t>2024-11-04</t>
        </is>
      </c>
      <c r="M126" s="13" t="inlineStr">
        <is>
          <t>2024-11-07</t>
        </is>
      </c>
      <c r="N126" s="13" t="inlineStr">
        <is>
          <t>2024-11-06</t>
        </is>
      </c>
      <c r="O126" s="9" t="n">
        <v>2714</v>
      </c>
      <c r="P126" s="17" t="n">
        <v>149.7916564941406</v>
      </c>
      <c r="Q126" s="17" t="n">
        <v>150.6439666748047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Q1 2026-27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-4.61%</t>
        </is>
      </c>
      <c r="J127" s="13" t="inlineStr">
        <is>
          <t>-7.71%</t>
        </is>
      </c>
      <c r="K127" s="16">
        <f>X126</f>
        <v/>
      </c>
      <c r="L127" s="13" t="inlineStr">
        <is>
          <t>2024-10-30</t>
        </is>
      </c>
      <c r="M127" s="13" t="inlineStr">
        <is>
          <t>2024-11-06</t>
        </is>
      </c>
      <c r="N127" s="13" t="inlineStr">
        <is>
          <t>2024-11-05</t>
        </is>
      </c>
      <c r="O127" s="9" t="n">
        <v>388</v>
      </c>
      <c r="P127" s="17" t="n">
        <v>2747.766845703125</v>
      </c>
      <c r="Q127" s="17" t="n">
        <v>2626.7646484375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Q1 2026-27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-3.36%</t>
        </is>
      </c>
      <c r="J128" s="13" t="inlineStr">
        <is>
          <t>-4.75%</t>
        </is>
      </c>
      <c r="K128" s="16">
        <f>X127</f>
        <v/>
      </c>
      <c r="L128" s="13" t="inlineStr">
        <is>
          <t>2024-10-22</t>
        </is>
      </c>
      <c r="M128" s="13" t="inlineStr">
        <is>
          <t>2024-11-04</t>
        </is>
      </c>
      <c r="N128" s="13" t="inlineStr">
        <is>
          <t>2024-10-29</t>
        </is>
      </c>
      <c r="O128" s="9" t="n">
        <v>1129</v>
      </c>
      <c r="P128" s="17" t="n">
        <v>644.1333618164062</v>
      </c>
      <c r="Q128" s="17" t="n">
        <v>622.5152587890625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Q1 2026-27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-2.64%</t>
        </is>
      </c>
      <c r="J129" s="13" t="inlineStr">
        <is>
          <t>-3.35%</t>
        </is>
      </c>
      <c r="K129" s="16">
        <f>X128</f>
        <v/>
      </c>
      <c r="L129" s="13" t="inlineStr">
        <is>
          <t>2025-01-27</t>
        </is>
      </c>
      <c r="M129" s="13" t="inlineStr">
        <is>
          <t>2025-01-31</t>
        </is>
      </c>
      <c r="N129" s="13" t="inlineStr">
        <is>
          <t>2025-01-29</t>
        </is>
      </c>
      <c r="O129" s="9" t="n">
        <v>100</v>
      </c>
      <c r="P129" s="17" t="n">
        <v>12178.833984375</v>
      </c>
      <c r="Q129" s="17" t="n">
        <v>11865.42578125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Q1 2026-27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8.82%</t>
        </is>
      </c>
      <c r="J130" s="13" t="inlineStr">
        <is>
          <t>6.2%</t>
        </is>
      </c>
      <c r="K130" s="16">
        <f>X129</f>
        <v/>
      </c>
      <c r="L130" s="13" t="inlineStr">
        <is>
          <t>2024-10-30</t>
        </is>
      </c>
      <c r="M130" s="13" t="inlineStr">
        <is>
          <t>2024-11-06</t>
        </is>
      </c>
      <c r="N130" s="13" t="inlineStr">
        <is>
          <t>2024-11-05</t>
        </is>
      </c>
      <c r="O130" s="9" t="n">
        <v>922</v>
      </c>
      <c r="P130" s="17" t="n">
        <v>989.44775390625</v>
      </c>
      <c r="Q130" s="17" t="n">
        <v>1076.74169921875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Q1 2026-27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-0.42%</t>
        </is>
      </c>
      <c r="J131" s="13" t="inlineStr">
        <is>
          <t>-5.41%</t>
        </is>
      </c>
      <c r="K131" s="16">
        <f>X130</f>
        <v/>
      </c>
      <c r="L131" s="13" t="inlineStr">
        <is>
          <t>2024-10-30</t>
        </is>
      </c>
      <c r="M131" s="13" t="inlineStr">
        <is>
          <t>2024-11-11</t>
        </is>
      </c>
      <c r="N131" s="13" t="inlineStr">
        <is>
          <t>2024-11-05</t>
        </is>
      </c>
      <c r="O131" s="9" t="n">
        <v>431</v>
      </c>
      <c r="P131" s="17" t="n">
        <v>2029.886840820312</v>
      </c>
      <c r="Q131" s="17" t="n">
        <v>2021.349731445312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Q1 2026-27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5.12%</t>
        </is>
      </c>
      <c r="J132" s="13" t="inlineStr">
        <is>
          <t>-5.24%</t>
        </is>
      </c>
      <c r="K132" s="16">
        <f>X131</f>
        <v/>
      </c>
      <c r="L132" s="13" t="inlineStr">
        <is>
          <t>2016-06-22</t>
        </is>
      </c>
      <c r="M132" s="13" t="inlineStr">
        <is>
          <t>2016-07-04</t>
        </is>
      </c>
      <c r="N132" s="13" t="inlineStr">
        <is>
          <t>2016-06-30</t>
        </is>
      </c>
      <c r="O132" s="9" t="n">
        <v>373</v>
      </c>
      <c r="P132" s="17" t="n">
        <v>171.3801422119141</v>
      </c>
      <c r="Q132" s="17" t="n">
        <v>180.1510314941407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Q1 2026-27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-6.29%</t>
        </is>
      </c>
      <c r="J133" s="13" t="inlineStr">
        <is>
          <t>-4.81%</t>
        </is>
      </c>
      <c r="K133" s="16">
        <f>X132</f>
        <v/>
      </c>
      <c r="L133" s="13" t="inlineStr">
        <is>
          <t>2024-10-18</t>
        </is>
      </c>
      <c r="M133" s="13" t="inlineStr">
        <is>
          <t>2024-10-23</t>
        </is>
      </c>
      <c r="N133" s="13" t="inlineStr">
        <is>
          <t>2024-10-22</t>
        </is>
      </c>
      <c r="O133" s="9" t="n">
        <v>661</v>
      </c>
      <c r="P133" s="17" t="n">
        <v>1271.900024414062</v>
      </c>
      <c r="Q133" s="17" t="n">
        <v>1196.650024414062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Q1 2026-27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11.93%</t>
        </is>
      </c>
      <c r="J134" s="13" t="inlineStr">
        <is>
          <t>9.95%</t>
        </is>
      </c>
      <c r="K134" s="16">
        <f>X133</f>
        <v/>
      </c>
      <c r="L134" s="13" t="inlineStr">
        <is>
          <t>2024-11-06</t>
        </is>
      </c>
      <c r="M134" s="13" t="inlineStr">
        <is>
          <t>2024-11-19</t>
        </is>
      </c>
      <c r="N134" s="13" t="inlineStr">
        <is>
          <t>2024-11-12</t>
        </is>
      </c>
      <c r="O134" s="9" t="n">
        <v>6815</v>
      </c>
      <c r="P134" s="17" t="n">
        <v>109.037712097168</v>
      </c>
      <c r="Q134" s="17" t="n">
        <v>123.8147659301758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Q1 2026-27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8.69%</t>
        </is>
      </c>
      <c r="J135" s="13" t="inlineStr">
        <is>
          <t>3.57%</t>
        </is>
      </c>
      <c r="K135" s="16">
        <f>X134</f>
        <v/>
      </c>
      <c r="L135" s="13" t="inlineStr">
        <is>
          <t>2024-10-25</t>
        </is>
      </c>
      <c r="M135" s="13" t="inlineStr">
        <is>
          <t>2024-10-29</t>
        </is>
      </c>
      <c r="N135" s="13" t="inlineStr">
        <is>
          <t>2024-10-28</t>
        </is>
      </c>
      <c r="O135" s="9" t="n">
        <v>1194</v>
      </c>
      <c r="P135" s="17" t="n">
        <v>858.3206787109375</v>
      </c>
      <c r="Q135" s="17" t="n">
        <v>932.9315795898438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Q1 2026-27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7.54%</t>
        </is>
      </c>
      <c r="J136" s="13" t="inlineStr">
        <is>
          <t>4.63%</t>
        </is>
      </c>
      <c r="K136" s="16">
        <f>X135</f>
        <v/>
      </c>
      <c r="L136" s="13" t="inlineStr">
        <is>
          <t>2024-10-08</t>
        </is>
      </c>
      <c r="M136" s="13" t="inlineStr">
        <is>
          <t>2024-10-23</t>
        </is>
      </c>
      <c r="N136" s="13" t="inlineStr">
        <is>
          <t>2024-10-17</t>
        </is>
      </c>
      <c r="O136" s="9" t="n">
        <v>426</v>
      </c>
      <c r="P136" s="17" t="n">
        <v>2770.00390625</v>
      </c>
      <c r="Q136" s="17" t="n">
        <v>2978.868896484375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Q1 2026-27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-2.41%</t>
        </is>
      </c>
      <c r="J137" s="13" t="inlineStr">
        <is>
          <t>-3.27%</t>
        </is>
      </c>
      <c r="K137" s="16">
        <f>X136</f>
        <v/>
      </c>
      <c r="L137" s="13" t="inlineStr">
        <is>
          <t>2026-05-12</t>
        </is>
      </c>
      <c r="M137" s="13" t="inlineStr">
        <is>
          <t>2026-05-21</t>
        </is>
      </c>
      <c r="N137" s="13" t="inlineStr">
        <is>
          <t>2026-05-14</t>
        </is>
      </c>
      <c r="O137" s="9" t="n">
        <v>332</v>
      </c>
      <c r="P137" s="17" t="n">
        <v>3353.39990234375</v>
      </c>
      <c r="Q137" s="17" t="n">
        <v>3272.699951171875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Q1 2026-27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1.24%</t>
        </is>
      </c>
      <c r="J138" s="13" t="inlineStr">
        <is>
          <t>0.73%</t>
        </is>
      </c>
      <c r="K138" s="16">
        <f>X137</f>
        <v/>
      </c>
      <c r="L138" s="13" t="inlineStr">
        <is>
          <t>2024-10-23</t>
        </is>
      </c>
      <c r="M138" s="13" t="inlineStr">
        <is>
          <t>2024-10-25</t>
        </is>
      </c>
      <c r="N138" s="13" t="inlineStr">
        <is>
          <t>2024-10-24</t>
        </is>
      </c>
      <c r="O138" s="9" t="n">
        <v>871</v>
      </c>
      <c r="P138" s="17" t="n">
        <v>651.6565551757812</v>
      </c>
      <c r="Q138" s="17" t="n">
        <v>659.83154296875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Q1 2026-27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7.96%</t>
        </is>
      </c>
      <c r="J139" s="13" t="inlineStr">
        <is>
          <t>2.44%</t>
        </is>
      </c>
      <c r="K139" s="16">
        <f>X138</f>
        <v/>
      </c>
      <c r="L139" s="13" t="inlineStr">
        <is>
          <t>2024-11-08</t>
        </is>
      </c>
      <c r="M139" s="13" t="inlineStr">
        <is>
          <t>2024-11-14</t>
        </is>
      </c>
      <c r="N139" s="13" t="inlineStr">
        <is>
          <t>2024-11-13</t>
        </is>
      </c>
      <c r="O139" s="9" t="n">
        <v>2876</v>
      </c>
      <c r="P139" s="17" t="n">
        <v>202.6648559570312</v>
      </c>
      <c r="Q139" s="17" t="n">
        <v>220.1965026855469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Q1 2026-27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2.96%</t>
        </is>
      </c>
      <c r="J140" s="13" t="inlineStr">
        <is>
          <t>1.35%</t>
        </is>
      </c>
      <c r="K140" s="16">
        <f>X139</f>
        <v/>
      </c>
      <c r="L140" s="13" t="inlineStr">
        <is>
          <t>2024-11-04</t>
        </is>
      </c>
      <c r="M140" s="13" t="inlineStr">
        <is>
          <t>2024-11-11</t>
        </is>
      </c>
      <c r="N140" s="13" t="inlineStr">
        <is>
          <t>2024-11-08</t>
        </is>
      </c>
      <c r="O140" s="9" t="n">
        <v>803</v>
      </c>
      <c r="P140" s="17" t="n">
        <v>1527.512084960938</v>
      </c>
      <c r="Q140" s="17" t="n">
        <v>1572.757446289062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Q1 2026-27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3.71%</t>
        </is>
      </c>
      <c r="J141" s="13" t="inlineStr">
        <is>
          <t>1.62%</t>
        </is>
      </c>
      <c r="K141" s="16">
        <f>X140</f>
        <v/>
      </c>
      <c r="L141" s="13" t="inlineStr">
        <is>
          <t>2024-11-12</t>
        </is>
      </c>
      <c r="M141" s="13" t="inlineStr">
        <is>
          <t>2024-11-18</t>
        </is>
      </c>
      <c r="N141" s="13" t="inlineStr">
        <is>
          <t>2024-11-14</t>
        </is>
      </c>
      <c r="O141" s="9" t="n">
        <v>10687</v>
      </c>
      <c r="P141" s="17" t="n">
        <v>88.83074188232422</v>
      </c>
      <c r="Q141" s="17" t="n">
        <v>92.25604248046876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Q1 2026-27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0.17%</t>
        </is>
      </c>
      <c r="J142" s="13" t="inlineStr">
        <is>
          <t>0.3%</t>
        </is>
      </c>
      <c r="K142" s="16">
        <f>X141</f>
        <v/>
      </c>
      <c r="L142" s="13" t="inlineStr">
        <is>
          <t>2025-01-31</t>
        </is>
      </c>
      <c r="M142" s="13" t="inlineStr">
        <is>
          <t>2025-02-03</t>
        </is>
      </c>
      <c r="N142" s="13" t="inlineStr">
        <is>
          <t>2025-01-31</t>
        </is>
      </c>
      <c r="O142" s="9" t="n">
        <v>200</v>
      </c>
      <c r="P142" s="17" t="n">
        <v>1132.837280273438</v>
      </c>
      <c r="Q142" s="17" t="n">
        <v>1134.747192382812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Q1 2026-27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5.91%</t>
        </is>
      </c>
      <c r="J143" s="13" t="inlineStr">
        <is>
          <t>3.13%</t>
        </is>
      </c>
      <c r="K143" s="16">
        <f>X142</f>
        <v/>
      </c>
      <c r="L143" s="13" t="inlineStr">
        <is>
          <t>2024-11-04</t>
        </is>
      </c>
      <c r="M143" s="13" t="inlineStr">
        <is>
          <t>2024-11-14</t>
        </is>
      </c>
      <c r="N143" s="13" t="inlineStr">
        <is>
          <t>2024-11-08</t>
        </is>
      </c>
      <c r="O143" s="9" t="n">
        <v>12809</v>
      </c>
      <c r="P143" s="17" t="n">
        <v>75.08201599121094</v>
      </c>
      <c r="Q143" s="17" t="n">
        <v>79.79500579833984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Q1 2026-27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-4.25%</t>
        </is>
      </c>
      <c r="J144" s="13" t="inlineStr">
        <is>
          <t>-3.4%</t>
        </is>
      </c>
      <c r="K144" s="16">
        <f>X143</f>
        <v/>
      </c>
      <c r="L144" s="13" t="inlineStr">
        <is>
          <t>2024-11-05</t>
        </is>
      </c>
      <c r="M144" s="13" t="inlineStr">
        <is>
          <t>2024-11-12</t>
        </is>
      </c>
      <c r="N144" s="13" t="inlineStr">
        <is>
          <t>2024-11-11</t>
        </is>
      </c>
      <c r="O144" s="9" t="n">
        <v>11763</v>
      </c>
      <c r="P144" s="17" t="n">
        <v>72.38485717773438</v>
      </c>
      <c r="Q144" s="17" t="n">
        <v>69.31036376953125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Q1 2026-27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-0.32%</t>
        </is>
      </c>
      <c r="J145" s="13" t="inlineStr">
        <is>
          <t>1.17%</t>
        </is>
      </c>
      <c r="K145" s="16">
        <f>X144</f>
        <v/>
      </c>
      <c r="L145" s="13" t="inlineStr">
        <is>
          <t>2025-01-16</t>
        </is>
      </c>
      <c r="M145" s="13" t="inlineStr">
        <is>
          <t>2025-01-31</t>
        </is>
      </c>
      <c r="N145" s="13" t="inlineStr">
        <is>
          <t>2025-01-25</t>
        </is>
      </c>
      <c r="O145" s="9" t="n">
        <v>1500</v>
      </c>
      <c r="P145" s="17" t="n">
        <v>315.6691284179688</v>
      </c>
      <c r="Q145" s="17" t="n">
        <v>314.6759948730469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Q1 2026-27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6.49%</t>
        </is>
      </c>
      <c r="J146" s="13" t="inlineStr">
        <is>
          <t>3.63%</t>
        </is>
      </c>
      <c r="K146" s="16">
        <f>X145</f>
        <v/>
      </c>
      <c r="L146" s="13" t="inlineStr">
        <is>
          <t>2024-11-01</t>
        </is>
      </c>
      <c r="M146" s="13" t="inlineStr">
        <is>
          <t>2024-11-13</t>
        </is>
      </c>
      <c r="N146" s="13" t="inlineStr">
        <is>
          <t>2024-11-12</t>
        </is>
      </c>
      <c r="O146" s="9" t="n">
        <v>2996</v>
      </c>
      <c r="P146" s="17" t="n">
        <v>172.2299957275391</v>
      </c>
      <c r="Q146" s="17" t="n">
        <v>184.1799926757812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Q1 2026-27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3.43%</t>
        </is>
      </c>
      <c r="J147" s="13" t="inlineStr">
        <is>
          <t>5.19%</t>
        </is>
      </c>
      <c r="K147" s="16">
        <f>X146</f>
        <v/>
      </c>
      <c r="L147" s="13" t="inlineStr">
        <is>
          <t>2024-10-11</t>
        </is>
      </c>
      <c r="M147" s="13" t="inlineStr">
        <is>
          <t>2024-10-24</t>
        </is>
      </c>
      <c r="N147" s="13" t="inlineStr">
        <is>
          <t>2024-10-18</t>
        </is>
      </c>
      <c r="O147" s="9" t="n">
        <v>551</v>
      </c>
      <c r="P147" s="17" t="n">
        <v>1901.288452148437</v>
      </c>
      <c r="Q147" s="17" t="n">
        <v>1966.426635742188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Q1 2026-27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3.96%</t>
        </is>
      </c>
      <c r="J148" s="13" t="inlineStr">
        <is>
          <t>8.51%</t>
        </is>
      </c>
      <c r="K148" s="16">
        <f>X147</f>
        <v/>
      </c>
      <c r="L148" s="13" t="inlineStr">
        <is>
          <t>2024-10-14</t>
        </is>
      </c>
      <c r="M148" s="13" t="inlineStr">
        <is>
          <t>2024-10-30</t>
        </is>
      </c>
      <c r="N148" s="13" t="inlineStr">
        <is>
          <t>2024-10-24</t>
        </is>
      </c>
      <c r="O148" s="9" t="n">
        <v>100</v>
      </c>
      <c r="P148" s="17" t="n">
        <v>10450.953125</v>
      </c>
      <c r="Q148" s="17" t="n">
        <v>10881.763671875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Q1 2026-27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10.9%</t>
        </is>
      </c>
      <c r="J149" s="13" t="inlineStr">
        <is>
          <t>2.81%</t>
        </is>
      </c>
      <c r="K149" s="16">
        <f>X148</f>
        <v/>
      </c>
      <c r="L149" s="13" t="inlineStr">
        <is>
          <t>2024-11-01</t>
        </is>
      </c>
      <c r="M149" s="13" t="inlineStr">
        <is>
          <t>2024-11-07</t>
        </is>
      </c>
      <c r="N149" s="13" t="inlineStr">
        <is>
          <t>2024-11-06</t>
        </is>
      </c>
      <c r="O149" s="9" t="n">
        <v>2188</v>
      </c>
      <c r="P149" s="17" t="n">
        <v>449.4624328613281</v>
      </c>
      <c r="Q149" s="17" t="n">
        <v>498.4471740722656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Q1 2026-27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2.62%</t>
        </is>
      </c>
      <c r="J150" s="13" t="inlineStr">
        <is>
          <t>1.87%</t>
        </is>
      </c>
      <c r="K150" s="16">
        <f>X149</f>
        <v/>
      </c>
      <c r="L150" s="13" t="inlineStr">
        <is>
          <t>2025-01-23</t>
        </is>
      </c>
      <c r="M150" s="13" t="inlineStr">
        <is>
          <t>2025-02-06</t>
        </is>
      </c>
      <c r="N150" s="13" t="inlineStr">
        <is>
          <t>2025-01-31</t>
        </is>
      </c>
      <c r="O150" s="9" t="n">
        <v>3750</v>
      </c>
      <c r="P150" s="17" t="n">
        <v>238.2545471191407</v>
      </c>
      <c r="Q150" s="17" t="n">
        <v>244.6724853515625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Q1 2026-27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-11.22%</t>
        </is>
      </c>
      <c r="J151" s="13" t="inlineStr">
        <is>
          <t>-11.13%</t>
        </is>
      </c>
      <c r="K151" s="16">
        <f>X150</f>
        <v/>
      </c>
      <c r="L151" s="13" t="inlineStr">
        <is>
          <t>2024-10-25</t>
        </is>
      </c>
      <c r="M151" s="13" t="inlineStr">
        <is>
          <t>2024-11-08</t>
        </is>
      </c>
      <c r="N151" s="13" t="inlineStr">
        <is>
          <t>2024-11-07</t>
        </is>
      </c>
      <c r="O151" s="9" t="n">
        <v>100</v>
      </c>
      <c r="P151" s="17" t="n">
        <v>47823.2</v>
      </c>
      <c r="Q151" s="17" t="n">
        <v>43000.05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Q1 2026-27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4.91%</t>
        </is>
      </c>
      <c r="J152" s="13" t="inlineStr">
        <is>
          <t>3.47%</t>
        </is>
      </c>
      <c r="K152" s="16">
        <f>X151</f>
        <v/>
      </c>
      <c r="L152" s="13" t="inlineStr">
        <is>
          <t>2024-10-17</t>
        </is>
      </c>
      <c r="M152" s="13" t="inlineStr">
        <is>
          <t>2024-10-25</t>
        </is>
      </c>
      <c r="N152" s="13" t="inlineStr">
        <is>
          <t>2024-10-24</t>
        </is>
      </c>
      <c r="O152" s="9" t="n">
        <v>2806</v>
      </c>
      <c r="P152" s="17" t="n">
        <v>545.3280029296875</v>
      </c>
      <c r="Q152" s="17" t="n">
        <v>573.4974365234375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Q1 2026-27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-1.56%</t>
        </is>
      </c>
      <c r="J153" s="13" t="inlineStr">
        <is>
          <t>0.03%</t>
        </is>
      </c>
      <c r="K153" s="16">
        <f>X152</f>
        <v/>
      </c>
      <c r="L153" s="13" t="inlineStr">
        <is>
          <t>2024-10-16</t>
        </is>
      </c>
      <c r="M153" s="13" t="inlineStr">
        <is>
          <t>2024-10-28</t>
        </is>
      </c>
      <c r="N153" s="13" t="inlineStr">
        <is>
          <t>2024-10-22</t>
        </is>
      </c>
      <c r="O153" s="9" t="n">
        <v>750</v>
      </c>
      <c r="P153" s="17" t="n">
        <v>733.2000122070312</v>
      </c>
      <c r="Q153" s="17" t="n">
        <v>721.9500122070312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Q1 2026-27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3.6%</t>
        </is>
      </c>
      <c r="J154" s="13" t="inlineStr">
        <is>
          <t>1.55%</t>
        </is>
      </c>
      <c r="K154" s="16">
        <f>X153</f>
        <v/>
      </c>
      <c r="L154" s="13" t="inlineStr">
        <is>
          <t>2024-10-11</t>
        </is>
      </c>
      <c r="M154" s="13" t="inlineStr">
        <is>
          <t>2024-10-28</t>
        </is>
      </c>
      <c r="N154" s="13" t="inlineStr">
        <is>
          <t>2024-10-22</t>
        </is>
      </c>
      <c r="O154" s="9" t="n">
        <v>181</v>
      </c>
      <c r="P154" s="17" t="n">
        <v>5398.646484375</v>
      </c>
      <c r="Q154" s="17" t="n">
        <v>5593.0439453125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Q1 2026-27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4.71%</t>
        </is>
      </c>
      <c r="J155" s="13" t="inlineStr">
        <is>
          <t>5.19%</t>
        </is>
      </c>
      <c r="K155" s="16">
        <f>X154</f>
        <v/>
      </c>
      <c r="L155" s="13" t="inlineStr">
        <is>
          <t>2024-10-18</t>
        </is>
      </c>
      <c r="M155" s="13" t="inlineStr">
        <is>
          <t>2024-10-31</t>
        </is>
      </c>
      <c r="N155" s="13" t="inlineStr">
        <is>
          <t>2024-10-25</t>
        </is>
      </c>
      <c r="O155" s="9" t="n">
        <v>3585</v>
      </c>
      <c r="P155" s="17" t="n">
        <v>311.3246459960937</v>
      </c>
      <c r="Q155" s="17" t="n">
        <v>326.7038879394531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Q1 2026-27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3.7%</t>
        </is>
      </c>
      <c r="J156" s="13" t="inlineStr">
        <is>
          <t>5.01%</t>
        </is>
      </c>
      <c r="K156" s="16">
        <f>X155</f>
        <v/>
      </c>
      <c r="L156" s="13" t="inlineStr">
        <is>
          <t>2024-10-29</t>
        </is>
      </c>
      <c r="M156" s="13" t="inlineStr">
        <is>
          <t>2024-11-14</t>
        </is>
      </c>
      <c r="N156" s="13" t="inlineStr">
        <is>
          <t>2024-11-08</t>
        </is>
      </c>
      <c r="O156" s="9" t="n">
        <v>2346</v>
      </c>
      <c r="P156" s="17" t="n">
        <v>425.0602111816406</v>
      </c>
      <c r="Q156" s="17" t="n">
        <v>441.3727416992188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Q1 2026-27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3.78%</t>
        </is>
      </c>
      <c r="J157" s="13" t="inlineStr">
        <is>
          <t>-6.42%</t>
        </is>
      </c>
      <c r="K157" s="16">
        <f>X156</f>
        <v/>
      </c>
      <c r="L157" s="13" t="inlineStr">
        <is>
          <t>2024-11-04</t>
        </is>
      </c>
      <c r="M157" s="13" t="inlineStr">
        <is>
          <t>2024-11-12</t>
        </is>
      </c>
      <c r="N157" s="13" t="inlineStr">
        <is>
          <t>2024-11-11</t>
        </is>
      </c>
      <c r="O157" s="9" t="n">
        <v>1631</v>
      </c>
      <c r="P157" s="17" t="n">
        <v>625.3243408203125</v>
      </c>
      <c r="Q157" s="17" t="n">
        <v>648.9639282226562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Q1 2026-27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3.9%</t>
        </is>
      </c>
      <c r="J158" s="13" t="inlineStr">
        <is>
          <t>4.94%</t>
        </is>
      </c>
      <c r="K158" s="16">
        <f>X157</f>
        <v/>
      </c>
      <c r="L158" s="13" t="inlineStr">
        <is>
          <t>2024-10-22</t>
        </is>
      </c>
      <c r="M158" s="13" t="inlineStr">
        <is>
          <t>2024-10-31</t>
        </is>
      </c>
      <c r="N158" s="13" t="inlineStr">
        <is>
          <t>2024-10-26</t>
        </is>
      </c>
      <c r="O158" s="9" t="n">
        <v>529</v>
      </c>
      <c r="P158" s="17" t="n">
        <v>1519.710815429688</v>
      </c>
      <c r="Q158" s="17" t="n">
        <v>1581.311889648438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Q1 2026-27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0.81%</t>
        </is>
      </c>
      <c r="J159" s="13" t="inlineStr">
        <is>
          <t>1.54%</t>
        </is>
      </c>
      <c r="K159" s="16">
        <f>X158</f>
        <v/>
      </c>
      <c r="L159" s="13" t="inlineStr">
        <is>
          <t>2024-10-21</t>
        </is>
      </c>
      <c r="M159" s="13" t="inlineStr">
        <is>
          <t>2024-10-25</t>
        </is>
      </c>
      <c r="N159" s="13" t="inlineStr">
        <is>
          <t>2024-10-24</t>
        </is>
      </c>
      <c r="O159" s="9" t="n">
        <v>613</v>
      </c>
      <c r="P159" s="17" t="n">
        <v>1554.807495117188</v>
      </c>
      <c r="Q159" s="17" t="n">
        <v>1567.35546875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Q1 2026-27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-7.62%</t>
        </is>
      </c>
      <c r="J160" s="13" t="inlineStr">
        <is>
          <t>-7.49%</t>
        </is>
      </c>
      <c r="K160" s="16">
        <f>X159</f>
        <v/>
      </c>
      <c r="L160" s="13" t="inlineStr">
        <is>
          <t>2024-11-05</t>
        </is>
      </c>
      <c r="M160" s="13" t="inlineStr">
        <is>
          <t>2024-11-18</t>
        </is>
      </c>
      <c r="N160" s="13" t="inlineStr">
        <is>
          <t>2024-11-14</t>
        </is>
      </c>
      <c r="O160" s="9" t="n">
        <v>360</v>
      </c>
      <c r="P160" s="17" t="n">
        <v>4510.96142578125</v>
      </c>
      <c r="Q160" s="17" t="n">
        <v>4167.06494140625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Q1 2026-27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3.54%</t>
        </is>
      </c>
      <c r="J161" s="13" t="inlineStr">
        <is>
          <t>0.83%</t>
        </is>
      </c>
      <c r="K161" s="16">
        <f>X160</f>
        <v/>
      </c>
      <c r="L161" s="13" t="inlineStr">
        <is>
          <t>2024-10-16</t>
        </is>
      </c>
      <c r="M161" s="13" t="inlineStr">
        <is>
          <t>2024-10-29</t>
        </is>
      </c>
      <c r="N161" s="13" t="inlineStr">
        <is>
          <t>2024-10-28</t>
        </is>
      </c>
      <c r="O161" s="9" t="n">
        <v>8957</v>
      </c>
      <c r="P161" s="17" t="n">
        <v>95.69385528564452</v>
      </c>
      <c r="Q161" s="17" t="n">
        <v>99.20694732666016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Q1 2026-27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-3.68%</t>
        </is>
      </c>
      <c r="J162" s="13" t="inlineStr">
        <is>
          <t>-3.02%</t>
        </is>
      </c>
      <c r="K162" s="16">
        <f>X161</f>
        <v/>
      </c>
      <c r="L162" s="13" t="inlineStr">
        <is>
          <t>2024-10-18</t>
        </is>
      </c>
      <c r="M162" s="13" t="inlineStr">
        <is>
          <t>2024-10-31</t>
        </is>
      </c>
      <c r="N162" s="13" t="inlineStr">
        <is>
          <t>2024-10-25</t>
        </is>
      </c>
      <c r="O162" s="9" t="n">
        <v>967</v>
      </c>
      <c r="P162" s="17" t="n">
        <v>962.1470947265624</v>
      </c>
      <c r="Q162" s="17" t="n">
        <v>928.02099609375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Q1 2026-27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2.09%</t>
        </is>
      </c>
      <c r="J163" s="13" t="inlineStr">
        <is>
          <t>-1.44%</t>
        </is>
      </c>
      <c r="K163" s="16">
        <f>X162</f>
        <v/>
      </c>
      <c r="L163" s="13" t="inlineStr">
        <is>
          <t>2024-10-30</t>
        </is>
      </c>
      <c r="M163" s="13" t="inlineStr">
        <is>
          <t>2024-11-07</t>
        </is>
      </c>
      <c r="N163" s="13" t="inlineStr">
        <is>
          <t>2024-11-06</t>
        </is>
      </c>
      <c r="O163" s="9" t="n">
        <v>627</v>
      </c>
      <c r="P163" s="17" t="n">
        <v>1703.400024414062</v>
      </c>
      <c r="Q163" s="17" t="n">
        <v>1739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Q1 2026-27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4.85%</t>
        </is>
      </c>
      <c r="J164" s="13" t="inlineStr">
        <is>
          <t>4.83%</t>
        </is>
      </c>
      <c r="K164" s="16">
        <f>X163</f>
        <v/>
      </c>
      <c r="L164" s="13" t="inlineStr">
        <is>
          <t>2024-10-14</t>
        </is>
      </c>
      <c r="M164" s="13" t="inlineStr">
        <is>
          <t>2024-10-18</t>
        </is>
      </c>
      <c r="N164" s="13" t="inlineStr">
        <is>
          <t>2024-10-17</t>
        </is>
      </c>
      <c r="O164" s="9" t="n">
        <v>112</v>
      </c>
      <c r="P164" s="17" t="n">
        <v>7047.337890625</v>
      </c>
      <c r="Q164" s="17" t="n">
        <v>7406.61279296875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Q1 2026-27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6.8%</t>
        </is>
      </c>
      <c r="J165" s="13" t="inlineStr">
        <is>
          <t>7.33%</t>
        </is>
      </c>
      <c r="K165" s="16">
        <f>X164</f>
        <v/>
      </c>
      <c r="L165" s="13" t="inlineStr">
        <is>
          <t>2025-02-03</t>
        </is>
      </c>
      <c r="M165" s="13" t="inlineStr">
        <is>
          <t>2025-02-11</t>
        </is>
      </c>
      <c r="N165" s="13" t="inlineStr">
        <is>
          <t>2025-02-04</t>
        </is>
      </c>
      <c r="O165" s="9" t="n">
        <v>1800</v>
      </c>
      <c r="P165" s="17" t="n">
        <v>253.1753997802734</v>
      </c>
      <c r="Q165" s="17" t="n">
        <v>271.6412048339844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Q1 2026-27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2024-10-29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Q1 2026-27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4.8%</t>
        </is>
      </c>
      <c r="J167" s="13" t="inlineStr">
        <is>
          <t>0.09%</t>
        </is>
      </c>
      <c r="K167" s="16">
        <f>X166</f>
        <v/>
      </c>
      <c r="L167" s="13" t="inlineStr">
        <is>
          <t>2024-11-07</t>
        </is>
      </c>
      <c r="M167" s="13" t="inlineStr">
        <is>
          <t>2024-11-11</t>
        </is>
      </c>
      <c r="N167" s="13" t="inlineStr">
        <is>
          <t>2024-11-09</t>
        </is>
      </c>
      <c r="O167" s="9" t="n">
        <v>1017</v>
      </c>
      <c r="P167" s="17" t="n">
        <v>1038.544067382812</v>
      </c>
      <c r="Q167" s="17" t="n">
        <v>1090.940307617188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Q1 2026-27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7.0%</t>
        </is>
      </c>
      <c r="J168" s="13" t="inlineStr">
        <is>
          <t>3.22%</t>
        </is>
      </c>
      <c r="K168" s="16">
        <f>X167</f>
        <v/>
      </c>
      <c r="L168" s="13" t="inlineStr">
        <is>
          <t>2024-10-23</t>
        </is>
      </c>
      <c r="M168" s="13" t="inlineStr">
        <is>
          <t>2024-11-05</t>
        </is>
      </c>
      <c r="N168" s="13" t="inlineStr">
        <is>
          <t>2024-10-30</t>
        </is>
      </c>
      <c r="O168" s="9" t="n">
        <v>627</v>
      </c>
      <c r="P168" s="17" t="n">
        <v>1597.860717773438</v>
      </c>
      <c r="Q168" s="17" t="n">
        <v>1718.17236328125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Q1 2026-27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-3.9%</t>
        </is>
      </c>
      <c r="J169" s="13" t="inlineStr">
        <is>
          <t>-4.92%</t>
        </is>
      </c>
      <c r="K169" s="16">
        <f>X168</f>
        <v/>
      </c>
      <c r="L169" s="13" t="inlineStr">
        <is>
          <t>2024-10-14</t>
        </is>
      </c>
      <c r="M169" s="13" t="inlineStr">
        <is>
          <t>2024-10-25</t>
        </is>
      </c>
      <c r="N169" s="13" t="inlineStr">
        <is>
          <t>2024-10-24</t>
        </is>
      </c>
      <c r="O169" s="9" t="n">
        <v>229</v>
      </c>
      <c r="P169" s="17" t="n">
        <v>2260.2001953125</v>
      </c>
      <c r="Q169" s="17" t="n">
        <v>2175.311767578125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Q1 2026-27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15.61%</t>
        </is>
      </c>
      <c r="J170" s="13" t="inlineStr">
        <is>
          <t>9.97%</t>
        </is>
      </c>
      <c r="K170" s="16">
        <f>X169</f>
        <v/>
      </c>
      <c r="L170" s="13" t="inlineStr">
        <is>
          <t>2024-10-15</t>
        </is>
      </c>
      <c r="M170" s="13" t="inlineStr">
        <is>
          <t>2024-10-21</t>
        </is>
      </c>
      <c r="N170" s="13" t="inlineStr">
        <is>
          <t>2024-10-19</t>
        </is>
      </c>
      <c r="O170" s="9" t="n">
        <v>2645</v>
      </c>
      <c r="P170" s="17" t="n">
        <v>175.5018157958984</v>
      </c>
      <c r="Q170" s="17" t="n">
        <v>207.9637756347656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Q1 2026-27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-0.23%</t>
        </is>
      </c>
      <c r="J171" s="13" t="inlineStr">
        <is>
          <t>-1.75%</t>
        </is>
      </c>
      <c r="K171" s="16">
        <f>X170</f>
        <v/>
      </c>
      <c r="L171" s="13" t="inlineStr">
        <is>
          <t>2026-06-25</t>
        </is>
      </c>
      <c r="M171" s="13" t="inlineStr">
        <is>
          <t>2026-06-30</t>
        </is>
      </c>
      <c r="N171" s="13" t="inlineStr">
        <is>
          <t>2026-06-28</t>
        </is>
      </c>
      <c r="O171" s="9" t="n">
        <v>2667</v>
      </c>
      <c r="P171" s="17" t="n">
        <v>364.6499938964844</v>
      </c>
      <c r="Q171" s="17" t="n">
        <v>363.7999877929688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Q1 2026-27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-0.91%</t>
        </is>
      </c>
      <c r="J172" s="13" t="inlineStr">
        <is>
          <t>-2.14%</t>
        </is>
      </c>
      <c r="K172" s="16">
        <f>X171</f>
        <v/>
      </c>
      <c r="L172" s="13" t="inlineStr">
        <is>
          <t>2025-01-15</t>
        </is>
      </c>
      <c r="M172" s="13" t="inlineStr">
        <is>
          <t>2025-01-23</t>
        </is>
      </c>
      <c r="N172" s="13" t="inlineStr">
        <is>
          <t>2025-01-16</t>
        </is>
      </c>
      <c r="O172" s="9" t="n">
        <v>250</v>
      </c>
      <c r="P172" s="17" t="n">
        <v>1252.83056640625</v>
      </c>
      <c r="Q172" s="17" t="n">
        <v>1241.478515625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Q1 2026-27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-3.62%</t>
        </is>
      </c>
      <c r="J173" s="13" t="inlineStr">
        <is>
          <t>-5.73%</t>
        </is>
      </c>
      <c r="K173" s="16">
        <f>X172</f>
        <v/>
      </c>
      <c r="L173" s="13" t="inlineStr">
        <is>
          <t>2024-10-28</t>
        </is>
      </c>
      <c r="M173" s="13" t="inlineStr">
        <is>
          <t>2024-11-08</t>
        </is>
      </c>
      <c r="N173" s="13" t="inlineStr">
        <is>
          <t>2024-11-07</t>
        </is>
      </c>
      <c r="O173" s="9" t="n">
        <v>4486</v>
      </c>
      <c r="P173" s="17" t="n">
        <v>444.2259521484375</v>
      </c>
      <c r="Q173" s="17" t="n">
        <v>428.7060241699219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Q1 2026-27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11.61%</t>
        </is>
      </c>
      <c r="J174" s="13" t="inlineStr">
        <is>
          <t>3.41%</t>
        </is>
      </c>
      <c r="K174" s="16">
        <f>X173</f>
        <v/>
      </c>
      <c r="L174" s="13" t="inlineStr">
        <is>
          <t>2024-11-21</t>
        </is>
      </c>
      <c r="M174" s="13" t="inlineStr">
        <is>
          <t>2024-11-26</t>
        </is>
      </c>
      <c r="N174" s="13" t="inlineStr">
        <is>
          <t>2024-11-25</t>
        </is>
      </c>
      <c r="O174" s="9" t="n">
        <v>21748</v>
      </c>
      <c r="P174" s="17" t="n">
        <v>28.23177909851075</v>
      </c>
      <c r="Q174" s="17" t="n">
        <v>31.50850486755371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Q1 2026-27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1.81%</t>
        </is>
      </c>
      <c r="J175" s="13" t="inlineStr">
        <is>
          <t>-2.31%</t>
        </is>
      </c>
      <c r="K175" s="16">
        <f>X174</f>
        <v/>
      </c>
      <c r="L175" s="13" t="inlineStr">
        <is>
          <t>2024-11-04</t>
        </is>
      </c>
      <c r="M175" s="13" t="inlineStr">
        <is>
          <t>2024-11-14</t>
        </is>
      </c>
      <c r="N175" s="13" t="inlineStr">
        <is>
          <t>2024-11-08</t>
        </is>
      </c>
      <c r="O175" s="9" t="n">
        <v>5915</v>
      </c>
      <c r="P175" s="17" t="n">
        <v>110.4556198120117</v>
      </c>
      <c r="Q175" s="17" t="n">
        <v>112.4901275634766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Q1 2026-27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7.96%</t>
        </is>
      </c>
      <c r="J176" s="13" t="inlineStr">
        <is>
          <t>3.75%</t>
        </is>
      </c>
      <c r="K176" s="16">
        <f>X175</f>
        <v/>
      </c>
      <c r="L176" s="13" t="inlineStr">
        <is>
          <t>2024-10-17</t>
        </is>
      </c>
      <c r="M176" s="13" t="inlineStr">
        <is>
          <t>2024-10-30</t>
        </is>
      </c>
      <c r="N176" s="13" t="inlineStr">
        <is>
          <t>2024-10-29</t>
        </is>
      </c>
      <c r="O176" s="9" t="n">
        <v>1550</v>
      </c>
      <c r="P176" s="17" t="n">
        <v>682</v>
      </c>
      <c r="Q176" s="17" t="n">
        <v>741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Q1 2026-27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-3.7%</t>
        </is>
      </c>
      <c r="J177" s="13" t="inlineStr">
        <is>
          <t>-4.69%</t>
        </is>
      </c>
      <c r="K177" s="16">
        <f>X176</f>
        <v/>
      </c>
      <c r="L177" s="13" t="inlineStr">
        <is>
          <t>2024-10-22</t>
        </is>
      </c>
      <c r="M177" s="13" t="inlineStr">
        <is>
          <t>2024-10-24</t>
        </is>
      </c>
      <c r="N177" s="13" t="inlineStr">
        <is>
          <t>2024-10-23</t>
        </is>
      </c>
      <c r="O177" s="9" t="n">
        <v>375</v>
      </c>
      <c r="P177" s="17" t="n">
        <v>1692.5712890625</v>
      </c>
      <c r="Q177" s="17" t="n">
        <v>1629.927734375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Q1 2026-27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-2.05%</t>
        </is>
      </c>
      <c r="J178" s="13" t="inlineStr">
        <is>
          <t>-2.52%</t>
        </is>
      </c>
      <c r="K178" s="16">
        <f>X177</f>
        <v/>
      </c>
      <c r="L178" s="13" t="inlineStr">
        <is>
          <t>2025-02-06</t>
        </is>
      </c>
      <c r="M178" s="13" t="inlineStr">
        <is>
          <t>2025-02-10</t>
        </is>
      </c>
      <c r="N178" s="13" t="inlineStr">
        <is>
          <t>2025-02-06</t>
        </is>
      </c>
      <c r="O178" s="9" t="n">
        <v>1500</v>
      </c>
      <c r="P178" s="17" t="n">
        <v>724.3853759765625</v>
      </c>
      <c r="Q178" s="17" t="n">
        <v>709.5076904296875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Q1 2026-27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-3.86%</t>
        </is>
      </c>
      <c r="J179" s="13" t="inlineStr">
        <is>
          <t>-6.92%</t>
        </is>
      </c>
      <c r="K179" s="16">
        <f>X178</f>
        <v/>
      </c>
      <c r="L179" s="13" t="inlineStr">
        <is>
          <t>2024-10-30</t>
        </is>
      </c>
      <c r="M179" s="13" t="inlineStr">
        <is>
          <t>2024-11-12</t>
        </is>
      </c>
      <c r="N179" s="13" t="inlineStr">
        <is>
          <t>2024-11-11</t>
        </is>
      </c>
      <c r="O179" s="9" t="n">
        <v>100</v>
      </c>
      <c r="P179" s="17" t="n">
        <v>25119.990234375</v>
      </c>
      <c r="Q179" s="17" t="n">
        <v>24150.373046875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Q1 2026-27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1.6%</t>
        </is>
      </c>
      <c r="J180" s="13" t="inlineStr">
        <is>
          <t>-0.37%</t>
        </is>
      </c>
      <c r="K180" s="16">
        <f>X179</f>
        <v/>
      </c>
      <c r="L180" s="13" t="inlineStr">
        <is>
          <t>2025-01-23</t>
        </is>
      </c>
      <c r="M180" s="13" t="inlineStr">
        <is>
          <t>2025-01-30</t>
        </is>
      </c>
      <c r="N180" s="13" t="inlineStr">
        <is>
          <t>2025-01-24</t>
        </is>
      </c>
      <c r="O180" s="9" t="n">
        <v>957</v>
      </c>
      <c r="P180" s="17" t="n">
        <v>518.8695678710938</v>
      </c>
      <c r="Q180" s="17" t="n">
        <v>527.1942138671875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Q1 2026-27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9.37%</t>
        </is>
      </c>
      <c r="J181" s="13" t="inlineStr">
        <is>
          <t>7.25%</t>
        </is>
      </c>
      <c r="K181" s="16">
        <f>X180</f>
        <v/>
      </c>
      <c r="L181" s="13" t="inlineStr">
        <is>
          <t>2024-11-12</t>
        </is>
      </c>
      <c r="M181" s="13" t="inlineStr">
        <is>
          <t>2024-11-27</t>
        </is>
      </c>
      <c r="N181" s="13" t="inlineStr">
        <is>
          <t>2024-11-26</t>
        </is>
      </c>
      <c r="O181" s="9" t="n">
        <v>273</v>
      </c>
      <c r="P181" s="17" t="n">
        <v>3957.81640625</v>
      </c>
      <c r="Q181" s="17" t="n">
        <v>4328.8046875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Q1 2026-27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0.19%</t>
        </is>
      </c>
      <c r="J182" s="13" t="inlineStr">
        <is>
          <t>-2.2%</t>
        </is>
      </c>
      <c r="K182" s="16">
        <f>X181</f>
        <v/>
      </c>
      <c r="L182" s="13" t="inlineStr">
        <is>
          <t>2024-11-05</t>
        </is>
      </c>
      <c r="M182" s="13" t="inlineStr">
        <is>
          <t>2024-11-22</t>
        </is>
      </c>
      <c r="N182" s="13" t="inlineStr">
        <is>
          <t>2024-11-14</t>
        </is>
      </c>
      <c r="O182" s="9" t="n">
        <v>100</v>
      </c>
      <c r="P182" s="17" t="n">
        <v>10005.595703125</v>
      </c>
      <c r="Q182" s="17" t="n">
        <v>10025.0234375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Q1 2026-27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-3.57%</t>
        </is>
      </c>
      <c r="J183" s="13" t="inlineStr">
        <is>
          <t>-8.41%</t>
        </is>
      </c>
      <c r="K183" s="16">
        <f>X182</f>
        <v/>
      </c>
      <c r="L183" s="13" t="inlineStr">
        <is>
          <t>2024-10-16</t>
        </is>
      </c>
      <c r="M183" s="13" t="inlineStr">
        <is>
          <t>2024-10-29</t>
        </is>
      </c>
      <c r="N183" s="13" t="inlineStr">
        <is>
          <t>2024-10-23</t>
        </is>
      </c>
      <c r="O183" s="9" t="n">
        <v>1309</v>
      </c>
      <c r="P183" s="17" t="n">
        <v>677.5543823242188</v>
      </c>
      <c r="Q183" s="17" t="n">
        <v>654.2023315429688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Q1 2026-27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0.25%</t>
        </is>
      </c>
      <c r="J184" s="13" t="inlineStr">
        <is>
          <t>0.23%</t>
        </is>
      </c>
      <c r="K184" s="16">
        <f>X183</f>
        <v/>
      </c>
      <c r="L184" s="13" t="inlineStr">
        <is>
          <t>2024-10-17</t>
        </is>
      </c>
      <c r="M184" s="13" t="inlineStr">
        <is>
          <t>2024-10-28</t>
        </is>
      </c>
      <c r="N184" s="13" t="inlineStr">
        <is>
          <t>2024-10-22</t>
        </is>
      </c>
      <c r="O184" s="9" t="n">
        <v>383</v>
      </c>
      <c r="P184" s="17" t="n">
        <v>2243.1279296875</v>
      </c>
      <c r="Q184" s="17" t="n">
        <v>2248.7919921875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Q1 2026-27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-4.42%</t>
        </is>
      </c>
      <c r="J185" s="13" t="inlineStr">
        <is>
          <t>-4.98%</t>
        </is>
      </c>
      <c r="K185" s="16">
        <f>X184</f>
        <v/>
      </c>
      <c r="L185" s="13" t="inlineStr">
        <is>
          <t>2025-01-23</t>
        </is>
      </c>
      <c r="M185" s="13" t="inlineStr">
        <is>
          <t>2025-02-06</t>
        </is>
      </c>
      <c r="N185" s="13" t="inlineStr">
        <is>
          <t>2025-01-31</t>
        </is>
      </c>
      <c r="O185" s="9" t="n">
        <v>350</v>
      </c>
      <c r="P185" s="17" t="n">
        <v>1800.193237304688</v>
      </c>
      <c r="Q185" s="17" t="n">
        <v>1720.5693359375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Q1 2026-27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12.09%</t>
        </is>
      </c>
      <c r="J186" s="13" t="inlineStr">
        <is>
          <t>8.78%</t>
        </is>
      </c>
      <c r="K186" s="16">
        <f>X185</f>
        <v/>
      </c>
      <c r="L186" s="13" t="inlineStr">
        <is>
          <t>2024-10-11</t>
        </is>
      </c>
      <c r="M186" s="13" t="inlineStr">
        <is>
          <t>2024-10-23</t>
        </is>
      </c>
      <c r="N186" s="13" t="inlineStr">
        <is>
          <t>2024-10-22</t>
        </is>
      </c>
      <c r="O186" s="9" t="n">
        <v>289</v>
      </c>
      <c r="P186" s="17" t="n">
        <v>4512.5859375</v>
      </c>
      <c r="Q186" s="17" t="n">
        <v>5132.93115234375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Q1 2026-27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-6.67%</t>
        </is>
      </c>
      <c r="J187" s="13" t="inlineStr">
        <is>
          <t>-13.32%</t>
        </is>
      </c>
      <c r="K187" s="16">
        <f>X186</f>
        <v/>
      </c>
      <c r="L187" s="13" t="inlineStr">
        <is>
          <t>2024-10-17</t>
        </is>
      </c>
      <c r="M187" s="13" t="inlineStr">
        <is>
          <t>2024-11-01</t>
        </is>
      </c>
      <c r="N187" s="13" t="inlineStr">
        <is>
          <t>2024-10-28</t>
        </is>
      </c>
      <c r="O187" s="9" t="n">
        <v>21097</v>
      </c>
      <c r="P187" s="17" t="n">
        <v>73.01000213623047</v>
      </c>
      <c r="Q187" s="17" t="n">
        <v>68.13999938964844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Q1 2026-27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9.38%</t>
        </is>
      </c>
      <c r="J188" s="13" t="inlineStr">
        <is>
          <t>12.29%</t>
        </is>
      </c>
      <c r="K188" s="16">
        <f>X187</f>
        <v/>
      </c>
      <c r="L188" s="13" t="inlineStr">
        <is>
          <t>2024-12-02</t>
        </is>
      </c>
      <c r="M188" s="13" t="inlineStr">
        <is>
          <t>2024-12-05</t>
        </is>
      </c>
      <c r="N188" s="13" t="inlineStr">
        <is>
          <t>2024-12-04</t>
        </is>
      </c>
      <c r="O188" s="9" t="n">
        <v>3379</v>
      </c>
      <c r="P188" s="17" t="n">
        <v>493.7000122070313</v>
      </c>
      <c r="Q188" s="17" t="n">
        <v>540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Q1 2026-27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-5.62%</t>
        </is>
      </c>
      <c r="J189" s="13" t="inlineStr">
        <is>
          <t>-5.47%</t>
        </is>
      </c>
      <c r="K189" s="16">
        <f>X188</f>
        <v/>
      </c>
      <c r="L189" s="13" t="inlineStr">
        <is>
          <t>2025-01-28</t>
        </is>
      </c>
      <c r="M189" s="13" t="inlineStr">
        <is>
          <t>2025-02-05</t>
        </is>
      </c>
      <c r="N189" s="13" t="inlineStr">
        <is>
          <t>2025-01-30</t>
        </is>
      </c>
      <c r="O189" s="9" t="n">
        <v>450</v>
      </c>
      <c r="P189" s="17" t="n">
        <v>999.3742065429688</v>
      </c>
      <c r="Q189" s="17" t="n">
        <v>946.1719970703124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Q1 2026-27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5.15%</t>
        </is>
      </c>
      <c r="J190" s="13" t="inlineStr">
        <is>
          <t>-2.35%</t>
        </is>
      </c>
      <c r="K190" s="16">
        <f>X189</f>
        <v/>
      </c>
      <c r="L190" s="13" t="inlineStr">
        <is>
          <t>2024-10-01</t>
        </is>
      </c>
      <c r="M190" s="13" t="inlineStr">
        <is>
          <t>2024-10-17</t>
        </is>
      </c>
      <c r="N190" s="13" t="inlineStr">
        <is>
          <t>2024-10-11</t>
        </is>
      </c>
      <c r="O190" s="9" t="n">
        <v>273</v>
      </c>
      <c r="P190" s="17" t="n">
        <v>7154.4150390625</v>
      </c>
      <c r="Q190" s="17" t="n">
        <v>7543.1181640625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Q1 2026-27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1.5%</t>
        </is>
      </c>
      <c r="J191" s="13" t="inlineStr">
        <is>
          <t>-1.72%</t>
        </is>
      </c>
      <c r="K191" s="16">
        <f>X190</f>
        <v/>
      </c>
      <c r="L191" s="13" t="inlineStr">
        <is>
          <t>2025-10-20</t>
        </is>
      </c>
      <c r="M191" s="13" t="inlineStr">
        <is>
          <t>2025-10-23</t>
        </is>
      </c>
      <c r="N191" s="13" t="inlineStr">
        <is>
          <t>2026-04-22</t>
        </is>
      </c>
      <c r="O191" s="9" t="n">
        <v>1425</v>
      </c>
      <c r="P191" s="17" t="n">
        <v>399.6</v>
      </c>
      <c r="Q191" s="17" t="n">
        <v>405.6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Q1 2026-27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0.82%</t>
        </is>
      </c>
      <c r="J192" s="13" t="inlineStr">
        <is>
          <t>-1.5%</t>
        </is>
      </c>
      <c r="K192" s="16">
        <f>X191</f>
        <v/>
      </c>
      <c r="L192" s="13" t="inlineStr">
        <is>
          <t>2024-10-23</t>
        </is>
      </c>
      <c r="M192" s="13" t="inlineStr">
        <is>
          <t>2024-11-05</t>
        </is>
      </c>
      <c r="N192" s="13" t="inlineStr">
        <is>
          <t>2024-10-30</t>
        </is>
      </c>
      <c r="O192" s="9" t="n">
        <v>2659</v>
      </c>
      <c r="P192" s="17" t="n">
        <v>428.9023742675781</v>
      </c>
      <c r="Q192" s="17" t="n">
        <v>432.4592590332031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Q1 2026-27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-4.04%</t>
        </is>
      </c>
      <c r="J193" s="13" t="inlineStr">
        <is>
          <t>-3.38%</t>
        </is>
      </c>
      <c r="K193" s="16">
        <f>X192</f>
        <v/>
      </c>
      <c r="L193" s="13" t="inlineStr">
        <is>
          <t>2025-01-16</t>
        </is>
      </c>
      <c r="M193" s="13" t="inlineStr">
        <is>
          <t>2025-02-01</t>
        </is>
      </c>
      <c r="N193" s="13" t="inlineStr">
        <is>
          <t>2025-01-27</t>
        </is>
      </c>
      <c r="O193" s="9" t="n">
        <v>5500</v>
      </c>
      <c r="P193" s="17" t="n">
        <v>127.3141555786133</v>
      </c>
      <c r="Q193" s="17" t="n">
        <v>122.3736343383789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Q1 2026-27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-4.79%</t>
        </is>
      </c>
      <c r="J194" s="13" t="inlineStr">
        <is>
          <t>-4.51%</t>
        </is>
      </c>
      <c r="K194" s="16">
        <f>X193</f>
        <v/>
      </c>
      <c r="L194" s="13" t="inlineStr">
        <is>
          <t>2025-01-06</t>
        </is>
      </c>
      <c r="M194" s="13" t="inlineStr">
        <is>
          <t>2025-01-13</t>
        </is>
      </c>
      <c r="N194" s="13" t="inlineStr">
        <is>
          <t>2025-01-09</t>
        </is>
      </c>
      <c r="O194" s="9" t="n">
        <v>175</v>
      </c>
      <c r="P194" s="17" t="n">
        <v>4018.330322265625</v>
      </c>
      <c r="Q194" s="17" t="n">
        <v>3834.6953125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Q1 2026-27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-2.23%</t>
        </is>
      </c>
      <c r="J195" s="13" t="inlineStr">
        <is>
          <t>-3.39%</t>
        </is>
      </c>
      <c r="K195" s="16">
        <f>X194</f>
        <v/>
      </c>
      <c r="L195" s="13" t="inlineStr">
        <is>
          <t>2025-01-15</t>
        </is>
      </c>
      <c r="M195" s="13" t="inlineStr">
        <is>
          <t>2025-01-23</t>
        </is>
      </c>
      <c r="N195" s="13" t="inlineStr">
        <is>
          <t>2025-01-17</t>
        </is>
      </c>
      <c r="O195" s="9" t="n">
        <v>600</v>
      </c>
      <c r="P195" s="17" t="n">
        <v>1623.04150390625</v>
      </c>
      <c r="Q195" s="17" t="n">
        <v>1587.566284179688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Q1 2026-27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8.33%</t>
        </is>
      </c>
      <c r="J196" s="13" t="inlineStr">
        <is>
          <t>2.51%</t>
        </is>
      </c>
      <c r="K196" s="16">
        <f>X195</f>
        <v/>
      </c>
      <c r="L196" s="13" t="inlineStr">
        <is>
          <t>2024-10-29</t>
        </is>
      </c>
      <c r="M196" s="13" t="inlineStr">
        <is>
          <t>2024-11-05</t>
        </is>
      </c>
      <c r="N196" s="13" t="inlineStr">
        <is>
          <t>2024-11-04</t>
        </is>
      </c>
      <c r="O196" s="9" t="n">
        <v>371</v>
      </c>
      <c r="P196" s="17" t="n">
        <v>4174.806640625</v>
      </c>
      <c r="Q196" s="17" t="n">
        <v>4554.03466796875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Q1 2026-27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5.2%</t>
        </is>
      </c>
      <c r="J197" s="13" t="inlineStr">
        <is>
          <t>4.98%</t>
        </is>
      </c>
      <c r="K197" s="16">
        <f>X196</f>
        <v/>
      </c>
      <c r="L197" s="13" t="inlineStr">
        <is>
          <t>2025-02-04</t>
        </is>
      </c>
      <c r="M197" s="13" t="inlineStr">
        <is>
          <t>2025-02-06</t>
        </is>
      </c>
      <c r="N197" s="13" t="inlineStr">
        <is>
          <t>2025-02-04</t>
        </is>
      </c>
      <c r="O197" s="9" t="n">
        <v>175</v>
      </c>
      <c r="P197" s="17" t="n">
        <v>3389.394775390625</v>
      </c>
      <c r="Q197" s="17" t="n">
        <v>3575.174072265625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Q1 2026-27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10.97%</t>
        </is>
      </c>
      <c r="J198" s="13" t="inlineStr">
        <is>
          <t>10.13%</t>
        </is>
      </c>
      <c r="K198" s="16">
        <f>X197</f>
        <v/>
      </c>
      <c r="L198" s="13" t="inlineStr">
        <is>
          <t>2011-11-11</t>
        </is>
      </c>
      <c r="M198" s="13" t="inlineStr">
        <is>
          <t>2011-11-21</t>
        </is>
      </c>
      <c r="N198" s="13" t="inlineStr">
        <is>
          <t>2011-11-14</t>
        </is>
      </c>
      <c r="O198" s="9" t="n">
        <v>3054</v>
      </c>
      <c r="P198" s="17" t="n">
        <v>151.2175598144531</v>
      </c>
      <c r="Q198" s="17" t="n">
        <v>169.8447723388672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Q1 2026-27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-3.57%</t>
        </is>
      </c>
      <c r="J199" s="13" t="inlineStr">
        <is>
          <t>-5.35%</t>
        </is>
      </c>
      <c r="K199" s="16">
        <f>X198</f>
        <v/>
      </c>
      <c r="L199" s="13" t="inlineStr">
        <is>
          <t>2024-10-24</t>
        </is>
      </c>
      <c r="M199" s="13" t="inlineStr">
        <is>
          <t>2024-10-31</t>
        </is>
      </c>
      <c r="N199" s="13" t="inlineStr">
        <is>
          <t>2024-10-25</t>
        </is>
      </c>
      <c r="O199" s="9" t="n">
        <v>205</v>
      </c>
      <c r="P199" s="17" t="n">
        <v>3260.456787109375</v>
      </c>
      <c r="Q199" s="17" t="n">
        <v>3143.97998046875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Q1 2026-27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-8.58%</t>
        </is>
      </c>
      <c r="J200" s="13" t="inlineStr">
        <is>
          <t>-9.96%</t>
        </is>
      </c>
      <c r="K200" s="16">
        <f>X199</f>
        <v/>
      </c>
      <c r="L200" s="13" t="inlineStr">
        <is>
          <t>2025-02-05</t>
        </is>
      </c>
      <c r="M200" s="13" t="inlineStr">
        <is>
          <t>2025-02-13</t>
        </is>
      </c>
      <c r="N200" s="13" t="inlineStr">
        <is>
          <t>2025-02-06</t>
        </is>
      </c>
      <c r="O200" s="9" t="n">
        <v>345</v>
      </c>
      <c r="P200" s="17" t="n">
        <v>5738.1533203125</v>
      </c>
      <c r="Q200" s="17" t="n">
        <v>5246.0146484375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Q1 2026-27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7.35%</t>
        </is>
      </c>
      <c r="J201" s="13" t="inlineStr">
        <is>
          <t>7.07%</t>
        </is>
      </c>
      <c r="K201" s="16">
        <f>X200</f>
        <v/>
      </c>
      <c r="L201" s="13" t="inlineStr">
        <is>
          <t>2024-10-17</t>
        </is>
      </c>
      <c r="M201" s="13" t="inlineStr">
        <is>
          <t>2024-10-24</t>
        </is>
      </c>
      <c r="N201" s="13" t="inlineStr">
        <is>
          <t>2024-10-23</t>
        </is>
      </c>
      <c r="O201" s="9" t="n">
        <v>237</v>
      </c>
      <c r="P201" s="17" t="n">
        <v>2463.48828125</v>
      </c>
      <c r="Q201" s="17" t="n">
        <v>2658.89208984375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Q1 2026-27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-8.5%</t>
        </is>
      </c>
      <c r="J202" s="13" t="inlineStr">
        <is>
          <t>-9.48%</t>
        </is>
      </c>
      <c r="K202" s="16">
        <f>X201</f>
        <v/>
      </c>
      <c r="L202" s="13" t="inlineStr">
        <is>
          <t>2025-01-17</t>
        </is>
      </c>
      <c r="M202" s="13" t="inlineStr">
        <is>
          <t>2025-01-30</t>
        </is>
      </c>
      <c r="N202" s="13" t="inlineStr">
        <is>
          <t>2025-01-23</t>
        </is>
      </c>
      <c r="O202" s="9" t="n">
        <v>100</v>
      </c>
      <c r="P202" s="17" t="n">
        <v>11407.09375</v>
      </c>
      <c r="Q202" s="17" t="n">
        <v>10513.359375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Q1 2026-27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0.58%</t>
        </is>
      </c>
      <c r="J203" s="13" t="inlineStr">
        <is>
          <t>-0.97%</t>
        </is>
      </c>
      <c r="K203" s="16">
        <f>X202</f>
        <v/>
      </c>
      <c r="L203" s="13" t="inlineStr">
        <is>
          <t>2024-10-18</t>
        </is>
      </c>
      <c r="M203" s="13" t="inlineStr">
        <is>
          <t>2024-10-28</t>
        </is>
      </c>
      <c r="N203" s="13" t="inlineStr">
        <is>
          <t>2024-10-22</t>
        </is>
      </c>
      <c r="O203" s="9" t="n">
        <v>5868</v>
      </c>
      <c r="P203" s="17" t="n">
        <v>105.4302749633789</v>
      </c>
      <c r="Q203" s="17" t="n">
        <v>106.0409545898438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Q1 2026-27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4.83%</t>
        </is>
      </c>
      <c r="J204" s="13" t="inlineStr">
        <is>
          <t>5.03%</t>
        </is>
      </c>
      <c r="K204" s="16">
        <f>X203</f>
        <v/>
      </c>
      <c r="L204" s="13" t="inlineStr">
        <is>
          <t>2024-10-18</t>
        </is>
      </c>
      <c r="M204" s="13" t="inlineStr">
        <is>
          <t>2024-10-30</t>
        </is>
      </c>
      <c r="N204" s="13" t="inlineStr">
        <is>
          <t>2024-10-24</t>
        </is>
      </c>
      <c r="O204" s="9" t="n">
        <v>652</v>
      </c>
      <c r="P204" s="17" t="n">
        <v>1415.857055664062</v>
      </c>
      <c r="Q204" s="17" t="n">
        <v>1487.734497070312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Q1 2026-27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6.36%</t>
        </is>
      </c>
      <c r="J205" s="13" t="inlineStr">
        <is>
          <t>1.37%</t>
        </is>
      </c>
      <c r="K205" s="16">
        <f>X204</f>
        <v/>
      </c>
      <c r="L205" s="13" t="inlineStr">
        <is>
          <t>2024-11-01</t>
        </is>
      </c>
      <c r="M205" s="13" t="inlineStr">
        <is>
          <t>2024-11-19</t>
        </is>
      </c>
      <c r="N205" s="13" t="inlineStr">
        <is>
          <t>2024-11-12</t>
        </is>
      </c>
      <c r="O205" s="9" t="n">
        <v>852</v>
      </c>
      <c r="P205" s="17" t="n">
        <v>973.6289672851562</v>
      </c>
      <c r="Q205" s="17" t="n">
        <v>1035.59765625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Q1 2026-27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7.88%</t>
        </is>
      </c>
      <c r="J206" s="13" t="inlineStr">
        <is>
          <t>8.57%</t>
        </is>
      </c>
      <c r="K206" s="16">
        <f>X205</f>
        <v/>
      </c>
      <c r="L206" s="13" t="inlineStr">
        <is>
          <t>2024-11-05</t>
        </is>
      </c>
      <c r="M206" s="13" t="inlineStr">
        <is>
          <t>2024-11-18</t>
        </is>
      </c>
      <c r="N206" s="13" t="inlineStr">
        <is>
          <t>2024-11-11</t>
        </is>
      </c>
      <c r="O206" s="9" t="n">
        <v>1659</v>
      </c>
      <c r="P206" s="17" t="n">
        <v>505.4546813964844</v>
      </c>
      <c r="Q206" s="17" t="n">
        <v>548.66943359375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Q1 2026-27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-6.86%</t>
        </is>
      </c>
      <c r="J207" s="13" t="inlineStr">
        <is>
          <t>-7.71%</t>
        </is>
      </c>
      <c r="K207" s="16">
        <f>X206</f>
        <v/>
      </c>
      <c r="L207" s="13" t="inlineStr">
        <is>
          <t>2024-10-17</t>
        </is>
      </c>
      <c r="M207" s="13" t="inlineStr">
        <is>
          <t>2024-10-23</t>
        </is>
      </c>
      <c r="N207" s="13" t="inlineStr">
        <is>
          <t>2024-10-22</t>
        </is>
      </c>
      <c r="O207" s="9" t="n">
        <v>2215</v>
      </c>
      <c r="P207" s="17" t="n">
        <v>625.5810546875</v>
      </c>
      <c r="Q207" s="17" t="n">
        <v>585.4343872070312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Q1 2026-27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-8.57%</t>
        </is>
      </c>
      <c r="J208" s="13" t="inlineStr">
        <is>
          <t>-9.84%</t>
        </is>
      </c>
      <c r="K208" s="16">
        <f>X207</f>
        <v/>
      </c>
      <c r="L208" s="13" t="inlineStr">
        <is>
          <t>2024-11-06</t>
        </is>
      </c>
      <c r="M208" s="13" t="inlineStr">
        <is>
          <t>2024-11-14</t>
        </is>
      </c>
      <c r="N208" s="13" t="inlineStr">
        <is>
          <t>2024-11-09</t>
        </is>
      </c>
      <c r="O208" s="9" t="n">
        <v>3738</v>
      </c>
      <c r="P208" s="17" t="n">
        <v>434.7002563476562</v>
      </c>
      <c r="Q208" s="17" t="n">
        <v>397.4664306640625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Q1 2026-27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7.51%</t>
        </is>
      </c>
      <c r="J209" s="13" t="inlineStr">
        <is>
          <t>-4.6%</t>
        </is>
      </c>
      <c r="K209" s="16">
        <f>X208</f>
        <v/>
      </c>
      <c r="L209" s="13" t="inlineStr">
        <is>
          <t>2026-04-15</t>
        </is>
      </c>
      <c r="M209" s="13" t="inlineStr">
        <is>
          <t>2026-04-23</t>
        </is>
      </c>
      <c r="N209" s="13" t="inlineStr">
        <is>
          <t>2026-04-22</t>
        </is>
      </c>
      <c r="O209" s="9" t="n">
        <v>9268</v>
      </c>
      <c r="P209" s="17" t="n">
        <v>117.3499984741211</v>
      </c>
      <c r="Q209" s="17" t="n">
        <v>126.1600036621094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Q1 2026-27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3.43%</t>
        </is>
      </c>
      <c r="J210" s="13" t="inlineStr">
        <is>
          <t>1.81%</t>
        </is>
      </c>
      <c r="K210" s="16">
        <f>X209</f>
        <v/>
      </c>
      <c r="L210" s="13" t="inlineStr">
        <is>
          <t>2024-10-25</t>
        </is>
      </c>
      <c r="M210" s="13" t="inlineStr">
        <is>
          <t>2024-11-05</t>
        </is>
      </c>
      <c r="N210" s="13" t="inlineStr">
        <is>
          <t>2024-10-30</t>
        </is>
      </c>
      <c r="O210" s="9" t="n">
        <v>750</v>
      </c>
      <c r="P210" s="17" t="n">
        <v>1680.014770507812</v>
      </c>
      <c r="Q210" s="17" t="n">
        <v>1739.6435546875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Q1 2026-27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30.54%</t>
        </is>
      </c>
      <c r="J211" s="13" t="inlineStr">
        <is>
          <t>9.93%</t>
        </is>
      </c>
      <c r="K211" s="16">
        <f>X210</f>
        <v/>
      </c>
      <c r="L211" s="13" t="inlineStr">
        <is>
          <t>2024-11-06</t>
        </is>
      </c>
      <c r="M211" s="13" t="inlineStr">
        <is>
          <t>2024-11-26</t>
        </is>
      </c>
      <c r="N211" s="13" t="inlineStr">
        <is>
          <t>2024-11-19</t>
        </is>
      </c>
      <c r="O211" s="9" t="n">
        <v>380</v>
      </c>
      <c r="P211" s="17" t="n">
        <v>2524.43408203125</v>
      </c>
      <c r="Q211" s="17" t="n">
        <v>3634.561279296875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Q1 2026-27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5.71%</t>
        </is>
      </c>
      <c r="J212" s="13" t="inlineStr">
        <is>
          <t>4.86%</t>
        </is>
      </c>
      <c r="K212" s="16">
        <f>X211</f>
        <v/>
      </c>
      <c r="L212" s="13" t="inlineStr">
        <is>
          <t>2025-01-10</t>
        </is>
      </c>
      <c r="M212" s="13" t="inlineStr">
        <is>
          <t>2025-01-23</t>
        </is>
      </c>
      <c r="N212" s="13" t="inlineStr">
        <is>
          <t>2025-01-17</t>
        </is>
      </c>
      <c r="O212" s="9" t="n">
        <v>1500</v>
      </c>
      <c r="P212" s="17" t="n">
        <v>281.7357482910156</v>
      </c>
      <c r="Q212" s="17" t="n">
        <v>297.8121948242188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Q1 2026-27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3.77%</t>
        </is>
      </c>
      <c r="J213" s="13" t="inlineStr">
        <is>
          <t>3.25%</t>
        </is>
      </c>
      <c r="K213" s="16">
        <f>X212</f>
        <v/>
      </c>
      <c r="L213" s="13" t="inlineStr">
        <is>
          <t>2024-10-15</t>
        </is>
      </c>
      <c r="M213" s="13" t="inlineStr">
        <is>
          <t>2024-10-31</t>
        </is>
      </c>
      <c r="N213" s="13" t="inlineStr">
        <is>
          <t>2024-10-26</t>
        </is>
      </c>
      <c r="O213" s="9" t="n">
        <v>44365</v>
      </c>
      <c r="P213" s="17" t="n">
        <v>20.39999961853028</v>
      </c>
      <c r="Q213" s="17" t="n">
        <v>21.20000076293945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Q1 2026-27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4.77%</t>
        </is>
      </c>
      <c r="J214" s="13" t="inlineStr">
        <is>
          <t>7.37%</t>
        </is>
      </c>
      <c r="K214" s="16">
        <f>X213</f>
        <v/>
      </c>
      <c r="L214" s="13" t="inlineStr">
        <is>
          <t>2024-11-06</t>
        </is>
      </c>
      <c r="M214" s="13" t="inlineStr">
        <is>
          <t>2024-11-19</t>
        </is>
      </c>
      <c r="N214" s="13" t="inlineStr">
        <is>
          <t>2024-11-12</t>
        </is>
      </c>
      <c r="O214" s="9" t="n">
        <v>896</v>
      </c>
      <c r="P214" s="17" t="n">
        <v>936.0267333984376</v>
      </c>
      <c r="Q214" s="17" t="n">
        <v>982.946533203125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2025-26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Q4 2025-26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-0.78%</t>
        </is>
      </c>
      <c r="J4" s="13" t="inlineStr">
        <is>
          <t>-2.85%</t>
        </is>
      </c>
      <c r="K4" s="16" t="n">
        <v>42511150.11</v>
      </c>
      <c r="L4" s="13" t="inlineStr">
        <is>
          <t>2026-07-08</t>
        </is>
      </c>
      <c r="M4" s="13" t="inlineStr">
        <is>
          <t>2026-07-23</t>
        </is>
      </c>
      <c r="N4" s="13" t="inlineStr">
        <is>
          <t>2026-07-16</t>
        </is>
      </c>
      <c r="O4" s="9" t="n">
        <v>874</v>
      </c>
      <c r="P4" s="17" t="n">
        <v>1091.699951171875</v>
      </c>
      <c r="Q4" s="17" t="n">
        <v>1083.199951171875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Q4 2025-26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-4.23%</t>
        </is>
      </c>
      <c r="J5" s="13" t="inlineStr">
        <is>
          <t>-4.84%</t>
        </is>
      </c>
      <c r="K5" s="16">
        <f>X4</f>
        <v/>
      </c>
      <c r="L5" s="13" t="inlineStr">
        <is>
          <t>2026-06-17</t>
        </is>
      </c>
      <c r="M5" s="13" t="inlineStr">
        <is>
          <t>2026-07-02</t>
        </is>
      </c>
      <c r="N5" s="13" t="inlineStr">
        <is>
          <t>2026-06-26</t>
        </is>
      </c>
      <c r="O5" s="9" t="n">
        <v>137</v>
      </c>
      <c r="P5" s="17" t="n">
        <v>7164</v>
      </c>
      <c r="Q5" s="17" t="n">
        <v>6861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Q4 2025-26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-1.6%</t>
        </is>
      </c>
      <c r="J6" s="13" t="inlineStr">
        <is>
          <t>-2.92%</t>
        </is>
      </c>
      <c r="K6" s="16">
        <f>X5</f>
        <v/>
      </c>
      <c r="L6" s="13" t="inlineStr">
        <is>
          <t>2026-07-27</t>
        </is>
      </c>
      <c r="M6" s="13" t="inlineStr">
        <is>
          <t>2026-07-30</t>
        </is>
      </c>
      <c r="N6" s="13" t="inlineStr">
        <is>
          <t>2026-07-31</t>
        </is>
      </c>
      <c r="O6" s="9" t="n">
        <v>2537</v>
      </c>
      <c r="P6" s="17" t="n">
        <v>400.4500122070313</v>
      </c>
      <c r="Q6" s="17" t="n">
        <v>394.0499877929688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Q4 2025-26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3.32%</t>
        </is>
      </c>
      <c r="J7" s="13" t="inlineStr">
        <is>
          <t>2.6%</t>
        </is>
      </c>
      <c r="K7" s="16">
        <f>X6</f>
        <v/>
      </c>
      <c r="L7" s="13" t="inlineStr">
        <is>
          <t>2026-07-21</t>
        </is>
      </c>
      <c r="M7" s="13" t="inlineStr">
        <is>
          <t>2026-07-23</t>
        </is>
      </c>
      <c r="N7" s="13" t="inlineStr">
        <is>
          <t>2026-07-21</t>
        </is>
      </c>
      <c r="O7" s="9" t="n">
        <v>602</v>
      </c>
      <c r="P7" s="17" t="n">
        <v>1683.800048828125</v>
      </c>
      <c r="Q7" s="17" t="n">
        <v>1741.599975585938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Q4 2025-26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-0.67%</t>
        </is>
      </c>
      <c r="J8" s="13" t="inlineStr">
        <is>
          <t>-1.29%</t>
        </is>
      </c>
      <c r="K8" s="16">
        <f>X7</f>
        <v/>
      </c>
      <c r="L8" s="13" t="inlineStr">
        <is>
          <t>2024-10-30</t>
        </is>
      </c>
      <c r="M8" s="13" t="inlineStr">
        <is>
          <t>2024-11-01</t>
        </is>
      </c>
      <c r="N8" s="13" t="inlineStr">
        <is>
          <t>2024-10-30</t>
        </is>
      </c>
      <c r="O8" s="9" t="n">
        <v>300</v>
      </c>
      <c r="P8" s="17" t="n">
        <v>2966.50244140625</v>
      </c>
      <c r="Q8" s="17" t="n">
        <v>2946.720947265625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Q4 2025-26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-0.58%</t>
        </is>
      </c>
      <c r="J9" s="13" t="inlineStr">
        <is>
          <t>-2.01%</t>
        </is>
      </c>
      <c r="K9" s="16">
        <f>X8</f>
        <v/>
      </c>
      <c r="L9" s="13" t="inlineStr">
        <is>
          <t>2026-06-23</t>
        </is>
      </c>
      <c r="M9" s="13" t="inlineStr">
        <is>
          <t>2026-06-29</t>
        </is>
      </c>
      <c r="N9" s="13" t="inlineStr">
        <is>
          <t>2026-06-25</t>
        </is>
      </c>
      <c r="O9" s="9" t="n">
        <v>500</v>
      </c>
      <c r="P9" s="17" t="n">
        <v>1511.199951171875</v>
      </c>
      <c r="Q9" s="17" t="n">
        <v>1502.5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Q4 2025-26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-3.36%</t>
        </is>
      </c>
      <c r="J10" s="13" t="inlineStr">
        <is>
          <t>-4.02%</t>
        </is>
      </c>
      <c r="K10" s="16">
        <f>X9</f>
        <v/>
      </c>
      <c r="L10" s="13" t="inlineStr">
        <is>
          <t>2024-10-21</t>
        </is>
      </c>
      <c r="M10" s="13" t="inlineStr">
        <is>
          <t>2024-11-05</t>
        </is>
      </c>
      <c r="N10" s="13" t="inlineStr">
        <is>
          <t>2024-10-29</t>
        </is>
      </c>
      <c r="O10" s="9" t="n">
        <v>625</v>
      </c>
      <c r="P10" s="17" t="n">
        <v>1363.095581054688</v>
      </c>
      <c r="Q10" s="17" t="n">
        <v>1317.36181640625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Q4 2025-26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2.87%</t>
        </is>
      </c>
      <c r="J11" s="13" t="inlineStr">
        <is>
          <t>2.71%</t>
        </is>
      </c>
      <c r="K11" s="16">
        <f>X10</f>
        <v/>
      </c>
      <c r="L11" s="13" t="inlineStr">
        <is>
          <t>2026-07-20</t>
        </is>
      </c>
      <c r="M11" s="13" t="inlineStr">
        <is>
          <t>2026-07-24</t>
        </is>
      </c>
      <c r="N11" s="13" t="inlineStr">
        <is>
          <t>2026-07-22</t>
        </is>
      </c>
      <c r="O11" s="9" t="n">
        <v>4785</v>
      </c>
      <c r="P11" s="17" t="n">
        <v>213.6600036621093</v>
      </c>
      <c r="Q11" s="17" t="n">
        <v>219.9700012207031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Q4 2025-26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2.92%</t>
        </is>
      </c>
      <c r="J12" s="13" t="inlineStr">
        <is>
          <t>2.61%</t>
        </is>
      </c>
      <c r="K12" s="16">
        <f>X11</f>
        <v/>
      </c>
      <c r="L12" s="13" t="inlineStr">
        <is>
          <t>2026-07-28</t>
        </is>
      </c>
      <c r="M12" s="13" t="inlineStr">
        <is>
          <t>2026-07-30</t>
        </is>
      </c>
      <c r="N12" s="13" t="inlineStr">
        <is>
          <t>2026-08-14</t>
        </is>
      </c>
      <c r="O12" s="9" t="n">
        <v>171</v>
      </c>
      <c r="P12" s="17" t="n">
        <v>5651.5</v>
      </c>
      <c r="Q12" s="17" t="n">
        <v>5816.5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Q4 2025-26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Q4 2025-26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0.82%</t>
        </is>
      </c>
      <c r="J14" s="13" t="inlineStr">
        <is>
          <t>0.57%</t>
        </is>
      </c>
      <c r="K14" s="16">
        <f>X13</f>
        <v/>
      </c>
      <c r="L14" s="13" t="inlineStr">
        <is>
          <t>2026-07-20</t>
        </is>
      </c>
      <c r="M14" s="13" t="inlineStr">
        <is>
          <t>2026-07-30</t>
        </is>
      </c>
      <c r="N14" s="13" t="inlineStr">
        <is>
          <t>2026-07-28</t>
        </is>
      </c>
      <c r="O14" s="9" t="n">
        <v>2303</v>
      </c>
      <c r="P14" s="17" t="n">
        <v>434.2000122070313</v>
      </c>
      <c r="Q14" s="17" t="n">
        <v>437.7999877929688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Q4 2025-26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3.19%</t>
        </is>
      </c>
      <c r="J15" s="13" t="inlineStr">
        <is>
          <t>-1.72%</t>
        </is>
      </c>
      <c r="K15" s="16">
        <f>X14</f>
        <v/>
      </c>
      <c r="L15" s="13" t="inlineStr">
        <is>
          <t>2026-06-25</t>
        </is>
      </c>
      <c r="M15" s="13" t="inlineStr">
        <is>
          <t>2026-07-06</t>
        </is>
      </c>
      <c r="N15" s="13" t="inlineStr">
        <is>
          <t>2026-06-29</t>
        </is>
      </c>
      <c r="O15" s="9" t="n">
        <v>3428</v>
      </c>
      <c r="P15" s="17" t="n">
        <v>334.2164001464844</v>
      </c>
      <c r="Q15" s="17" t="n">
        <v>344.8834228515625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Q4 2025-26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-2.05%</t>
        </is>
      </c>
      <c r="J16" s="13" t="inlineStr">
        <is>
          <t>-3.05%</t>
        </is>
      </c>
      <c r="K16" s="16">
        <f>X15</f>
        <v/>
      </c>
      <c r="L16" s="13" t="inlineStr">
        <is>
          <t>2026-06-24</t>
        </is>
      </c>
      <c r="M16" s="13" t="inlineStr">
        <is>
          <t>2026-06-30</t>
        </is>
      </c>
      <c r="N16" s="13" t="inlineStr">
        <is>
          <t>2026-06-27</t>
        </is>
      </c>
      <c r="O16" s="9" t="n">
        <v>528</v>
      </c>
      <c r="P16" s="17" t="n">
        <v>1826.199951171875</v>
      </c>
      <c r="Q16" s="17" t="n">
        <v>1788.699951171875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Q4 2025-26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-7.6%</t>
        </is>
      </c>
      <c r="J17" s="13" t="inlineStr">
        <is>
          <t>-10.23%</t>
        </is>
      </c>
      <c r="K17" s="16">
        <f>X16</f>
        <v/>
      </c>
      <c r="L17" s="13" t="inlineStr">
        <is>
          <t>2024-11-07</t>
        </is>
      </c>
      <c r="M17" s="13" t="inlineStr">
        <is>
          <t>2024-11-14</t>
        </is>
      </c>
      <c r="N17" s="13" t="inlineStr">
        <is>
          <t>2024-11-07</t>
        </is>
      </c>
      <c r="O17" s="9" t="n">
        <v>125</v>
      </c>
      <c r="P17" s="17" t="n">
        <v>7395.06787109375</v>
      </c>
      <c r="Q17" s="17" t="n">
        <v>6833.13037109375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Q4 2025-26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5.97%</t>
        </is>
      </c>
      <c r="J18" s="13" t="inlineStr">
        <is>
          <t>1.49%</t>
        </is>
      </c>
      <c r="K18" s="16">
        <f>X17</f>
        <v/>
      </c>
      <c r="L18" s="13" t="inlineStr">
        <is>
          <t>2024-07-24</t>
        </is>
      </c>
      <c r="M18" s="13" t="inlineStr">
        <is>
          <t>2024-07-26</t>
        </is>
      </c>
      <c r="N18" s="13" t="inlineStr">
        <is>
          <t>2024-07-25</t>
        </is>
      </c>
      <c r="O18" s="9" t="n">
        <v>5000</v>
      </c>
      <c r="P18" s="17" t="n">
        <v>110.5446548461914</v>
      </c>
      <c r="Q18" s="17" t="n">
        <v>117.1440505981445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Q4 2025-26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15.11%</t>
        </is>
      </c>
      <c r="J19" s="13" t="inlineStr">
        <is>
          <t>15.27%</t>
        </is>
      </c>
      <c r="K19" s="16">
        <f>X18</f>
        <v/>
      </c>
      <c r="L19" s="13" t="inlineStr">
        <is>
          <t>2024-11-04</t>
        </is>
      </c>
      <c r="M19" s="13" t="inlineStr">
        <is>
          <t>2024-11-12</t>
        </is>
      </c>
      <c r="N19" s="13" t="inlineStr">
        <is>
          <t>2024-11-09</t>
        </is>
      </c>
      <c r="O19" s="9" t="n">
        <v>200</v>
      </c>
      <c r="P19" s="17" t="n">
        <v>2423.191162109375</v>
      </c>
      <c r="Q19" s="17" t="n">
        <v>2854.447021484375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Q4 2025-26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-15.43%</t>
        </is>
      </c>
      <c r="J20" s="13" t="inlineStr">
        <is>
          <t>-13.97%</t>
        </is>
      </c>
      <c r="K20" s="16">
        <f>X19</f>
        <v/>
      </c>
      <c r="L20" s="13" t="inlineStr">
        <is>
          <t>2024-07-29</t>
        </is>
      </c>
      <c r="M20" s="13" t="inlineStr">
        <is>
          <t>2024-08-14</t>
        </is>
      </c>
      <c r="N20" s="13" t="inlineStr">
        <is>
          <t>2024-08-08</t>
        </is>
      </c>
      <c r="O20" s="9" t="n">
        <v>679</v>
      </c>
      <c r="P20" s="17" t="n">
        <v>2192.255615234375</v>
      </c>
      <c r="Q20" s="17" t="n">
        <v>1854.074340820312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Q4 2025-26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2026-07-15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Q4 2025-26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-1.44%</t>
        </is>
      </c>
      <c r="J22" s="13" t="inlineStr">
        <is>
          <t>-9.64%</t>
        </is>
      </c>
      <c r="K22" s="16">
        <f>X21</f>
        <v/>
      </c>
      <c r="L22" s="13" t="inlineStr">
        <is>
          <t>2024-07-15</t>
        </is>
      </c>
      <c r="M22" s="13" t="inlineStr">
        <is>
          <t>2024-07-29</t>
        </is>
      </c>
      <c r="N22" s="13" t="inlineStr">
        <is>
          <t>2024-07-26</t>
        </is>
      </c>
      <c r="O22" s="9" t="n">
        <v>970</v>
      </c>
      <c r="P22" s="17" t="n">
        <v>649.2493286132812</v>
      </c>
      <c r="Q22" s="17" t="n">
        <v>640.0606079101562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Q4 2025-26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2.85%</t>
        </is>
      </c>
      <c r="J23" s="13" t="inlineStr">
        <is>
          <t>2.55%</t>
        </is>
      </c>
      <c r="K23" s="16">
        <f>X22</f>
        <v/>
      </c>
      <c r="L23" s="13" t="inlineStr">
        <is>
          <t>2024-08-05</t>
        </is>
      </c>
      <c r="M23" s="13" t="inlineStr">
        <is>
          <t>2024-08-12</t>
        </is>
      </c>
      <c r="N23" s="13" t="inlineStr">
        <is>
          <t>2024-08-10</t>
        </is>
      </c>
      <c r="O23" s="9" t="n">
        <v>634</v>
      </c>
      <c r="P23" s="17" t="n">
        <v>1415.934936523438</v>
      </c>
      <c r="Q23" s="17" t="n">
        <v>1456.333374023438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Q4 2025-26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1.23%</t>
        </is>
      </c>
      <c r="J24" s="13" t="inlineStr">
        <is>
          <t>-0.1%</t>
        </is>
      </c>
      <c r="K24" s="16">
        <f>X23</f>
        <v/>
      </c>
      <c r="L24" s="13" t="inlineStr">
        <is>
          <t>2024-10-16</t>
        </is>
      </c>
      <c r="M24" s="13" t="inlineStr">
        <is>
          <t>2024-10-24</t>
        </is>
      </c>
      <c r="N24" s="13" t="inlineStr">
        <is>
          <t>2024-10-18</t>
        </is>
      </c>
      <c r="O24" s="9" t="n">
        <v>625</v>
      </c>
      <c r="P24" s="17" t="n">
        <v>1151.327270507812</v>
      </c>
      <c r="Q24" s="17" t="n">
        <v>1165.454345703125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Q4 2025-26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-14.94%</t>
        </is>
      </c>
      <c r="J25" s="13" t="inlineStr">
        <is>
          <t>-16.59%</t>
        </is>
      </c>
      <c r="K25" s="16">
        <f>X24</f>
        <v/>
      </c>
      <c r="L25" s="13" t="inlineStr">
        <is>
          <t>2024-10-10</t>
        </is>
      </c>
      <c r="M25" s="13" t="inlineStr">
        <is>
          <t>2024-10-18</t>
        </is>
      </c>
      <c r="N25" s="13" t="inlineStr">
        <is>
          <t>2024-10-16</t>
        </is>
      </c>
      <c r="O25" s="9" t="n">
        <v>125</v>
      </c>
      <c r="P25" s="17" t="n">
        <v>11379.396484375</v>
      </c>
      <c r="Q25" s="17" t="n">
        <v>9678.9794921875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Q4 2025-26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-0.67%</t>
        </is>
      </c>
      <c r="J26" s="13" t="inlineStr">
        <is>
          <t>-1.2%</t>
        </is>
      </c>
      <c r="K26" s="16">
        <f>X25</f>
        <v/>
      </c>
      <c r="L26" s="13" t="inlineStr">
        <is>
          <t>2024-10-24</t>
        </is>
      </c>
      <c r="M26" s="13" t="inlineStr">
        <is>
          <t>2024-10-28</t>
        </is>
      </c>
      <c r="N26" s="13" t="inlineStr">
        <is>
          <t>2024-10-24</t>
        </is>
      </c>
      <c r="O26" s="9" t="n">
        <v>500</v>
      </c>
      <c r="P26" s="17" t="n">
        <v>1739.766967773438</v>
      </c>
      <c r="Q26" s="17" t="n">
        <v>1728.132690429688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Q4 2025-26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-3.22%</t>
        </is>
      </c>
      <c r="J27" s="13" t="inlineStr">
        <is>
          <t>-7.0%</t>
        </is>
      </c>
      <c r="K27" s="16">
        <f>X26</f>
        <v/>
      </c>
      <c r="L27" s="13" t="inlineStr">
        <is>
          <t>2019-01-21</t>
        </is>
      </c>
      <c r="M27" s="13" t="inlineStr">
        <is>
          <t>2019-02-01</t>
        </is>
      </c>
      <c r="N27" s="13" t="inlineStr">
        <is>
          <t>2019-01-28</t>
        </is>
      </c>
      <c r="O27" s="9" t="n">
        <v>100</v>
      </c>
      <c r="P27" s="17" t="n">
        <v>2636.70458984375</v>
      </c>
      <c r="Q27" s="17" t="n">
        <v>2551.67578125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Q4 2025-26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3.56%</t>
        </is>
      </c>
      <c r="J28" s="13" t="inlineStr">
        <is>
          <t>1.5%</t>
        </is>
      </c>
      <c r="K28" s="16">
        <f>X27</f>
        <v/>
      </c>
      <c r="L28" s="13" t="inlineStr">
        <is>
          <t>2024-10-21</t>
        </is>
      </c>
      <c r="M28" s="13" t="inlineStr">
        <is>
          <t>2024-10-29</t>
        </is>
      </c>
      <c r="N28" s="13" t="inlineStr">
        <is>
          <t>2024-10-22</t>
        </is>
      </c>
      <c r="O28" s="9" t="n">
        <v>125</v>
      </c>
      <c r="P28" s="17" t="n">
        <v>669.8140258789062</v>
      </c>
      <c r="Q28" s="17" t="n">
        <v>693.6791381835938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Q4 2025-26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9.3%</t>
        </is>
      </c>
      <c r="J29" s="13" t="inlineStr">
        <is>
          <t>8.26%</t>
        </is>
      </c>
      <c r="K29" s="16">
        <f>X28</f>
        <v/>
      </c>
      <c r="L29" s="13" t="inlineStr">
        <is>
          <t>2024-07-23</t>
        </is>
      </c>
      <c r="M29" s="13" t="inlineStr">
        <is>
          <t>2024-08-01</t>
        </is>
      </c>
      <c r="N29" s="13" t="inlineStr">
        <is>
          <t>2024-07-26</t>
        </is>
      </c>
      <c r="O29" s="9" t="n">
        <v>6099</v>
      </c>
      <c r="P29" s="17" t="n">
        <v>190.6228637695312</v>
      </c>
      <c r="Q29" s="17" t="n">
        <v>208.3572540283203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Q4 2025-26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3.8%</t>
        </is>
      </c>
      <c r="J30" s="13" t="inlineStr">
        <is>
          <t>3.44%</t>
        </is>
      </c>
      <c r="K30" s="16">
        <f>X29</f>
        <v/>
      </c>
      <c r="L30" s="13" t="inlineStr">
        <is>
          <t>2024-07-24</t>
        </is>
      </c>
      <c r="M30" s="13" t="inlineStr">
        <is>
          <t>2024-08-06</t>
        </is>
      </c>
      <c r="N30" s="13" t="inlineStr">
        <is>
          <t>2024-07-31</t>
        </is>
      </c>
      <c r="O30" s="9" t="n">
        <v>4138</v>
      </c>
      <c r="P30" s="17" t="n">
        <v>224.2674255371093</v>
      </c>
      <c r="Q30" s="17" t="n">
        <v>233.1163787841797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Q4 2025-26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5.12%</t>
        </is>
      </c>
      <c r="J31" s="13" t="inlineStr">
        <is>
          <t>2.15%</t>
        </is>
      </c>
      <c r="K31" s="16">
        <f>X30</f>
        <v/>
      </c>
      <c r="L31" s="13" t="inlineStr">
        <is>
          <t>2024-07-30</t>
        </is>
      </c>
      <c r="M31" s="13" t="inlineStr">
        <is>
          <t>2024-08-08</t>
        </is>
      </c>
      <c r="N31" s="13" t="inlineStr">
        <is>
          <t>2024-08-03</t>
        </is>
      </c>
      <c r="O31" s="9" t="n">
        <v>7287</v>
      </c>
      <c r="P31" s="17" t="n">
        <v>111.5563583374023</v>
      </c>
      <c r="Q31" s="17" t="n">
        <v>117.5743103027344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Q4 2025-26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10.82%</t>
        </is>
      </c>
      <c r="J32" s="13" t="inlineStr">
        <is>
          <t>15.76%</t>
        </is>
      </c>
      <c r="K32" s="16">
        <f>X31</f>
        <v/>
      </c>
      <c r="L32" s="13" t="inlineStr">
        <is>
          <t>2024-11-04</t>
        </is>
      </c>
      <c r="M32" s="13" t="inlineStr">
        <is>
          <t>2024-11-18</t>
        </is>
      </c>
      <c r="N32" s="13" t="inlineStr">
        <is>
          <t>2024-11-15</t>
        </is>
      </c>
      <c r="O32" s="9" t="n">
        <v>793</v>
      </c>
      <c r="P32" s="17" t="n">
        <v>932.7294921875</v>
      </c>
      <c r="Q32" s="17" t="n">
        <v>1045.84033203125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Q4 2025-26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0.28%</t>
        </is>
      </c>
      <c r="J33" s="13" t="inlineStr">
        <is>
          <t>1.91%</t>
        </is>
      </c>
      <c r="K33" s="16">
        <f>X32</f>
        <v/>
      </c>
      <c r="L33" s="13" t="inlineStr">
        <is>
          <t>2024-10-16</t>
        </is>
      </c>
      <c r="M33" s="13" t="inlineStr">
        <is>
          <t>2024-10-31</t>
        </is>
      </c>
      <c r="N33" s="13" t="inlineStr">
        <is>
          <t>2024-10-25</t>
        </is>
      </c>
      <c r="O33" s="9" t="n">
        <v>2438</v>
      </c>
      <c r="P33" s="17" t="n">
        <v>281.4766845703125</v>
      </c>
      <c r="Q33" s="17" t="n">
        <v>282.26708984375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Q4 2025-26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6.15%</t>
        </is>
      </c>
      <c r="J34" s="13" t="inlineStr">
        <is>
          <t>0.52%</t>
        </is>
      </c>
      <c r="K34" s="16">
        <f>X33</f>
        <v/>
      </c>
      <c r="L34" s="13" t="inlineStr">
        <is>
          <t>2024-07-30</t>
        </is>
      </c>
      <c r="M34" s="13" t="inlineStr">
        <is>
          <t>2024-08-09</t>
        </is>
      </c>
      <c r="N34" s="13" t="inlineStr">
        <is>
          <t>2024-08-08</t>
        </is>
      </c>
      <c r="O34" s="9" t="n">
        <v>461</v>
      </c>
      <c r="P34" s="17" t="n">
        <v>1618.4609375</v>
      </c>
      <c r="Q34" s="17" t="n">
        <v>1724.575073242188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Q4 2025-26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-6.46%</t>
        </is>
      </c>
      <c r="J35" s="13" t="inlineStr">
        <is>
          <t>-7.96%</t>
        </is>
      </c>
      <c r="K35" s="16">
        <f>X34</f>
        <v/>
      </c>
      <c r="L35" s="13" t="inlineStr">
        <is>
          <t>2024-10-17</t>
        </is>
      </c>
      <c r="M35" s="13" t="inlineStr">
        <is>
          <t>2024-11-04</t>
        </is>
      </c>
      <c r="N35" s="13" t="inlineStr">
        <is>
          <t>2024-10-28</t>
        </is>
      </c>
      <c r="O35" s="9" t="n">
        <v>950</v>
      </c>
      <c r="P35" s="17" t="n">
        <v>1687.046508789062</v>
      </c>
      <c r="Q35" s="17" t="n">
        <v>1578.0576171875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Q4 2025-26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7.7%</t>
        </is>
      </c>
      <c r="J36" s="13" t="inlineStr">
        <is>
          <t>6.63%</t>
        </is>
      </c>
      <c r="K36" s="16">
        <f>X35</f>
        <v/>
      </c>
      <c r="L36" s="13" t="inlineStr">
        <is>
          <t>2024-07-25</t>
        </is>
      </c>
      <c r="M36" s="13" t="inlineStr">
        <is>
          <t>2024-08-06</t>
        </is>
      </c>
      <c r="N36" s="13" t="inlineStr">
        <is>
          <t>2024-07-31</t>
        </is>
      </c>
      <c r="O36" s="9" t="n">
        <v>2481</v>
      </c>
      <c r="P36" s="17" t="n">
        <v>285.7843017578125</v>
      </c>
      <c r="Q36" s="17" t="n">
        <v>309.6369323730469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Q4 2025-26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6.76%</t>
        </is>
      </c>
      <c r="J37" s="13" t="inlineStr">
        <is>
          <t>3.84%</t>
        </is>
      </c>
      <c r="K37" s="16">
        <f>X36</f>
        <v/>
      </c>
      <c r="L37" s="13" t="inlineStr">
        <is>
          <t>2024-07-31</t>
        </is>
      </c>
      <c r="M37" s="13" t="inlineStr">
        <is>
          <t>2024-08-12</t>
        </is>
      </c>
      <c r="N37" s="13" t="inlineStr">
        <is>
          <t>2024-08-09</t>
        </is>
      </c>
      <c r="O37" s="9" t="n">
        <v>2351</v>
      </c>
      <c r="P37" s="17" t="n">
        <v>336.995849609375</v>
      </c>
      <c r="Q37" s="17" t="n">
        <v>361.4339294433594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Q4 2025-26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2.51%</t>
        </is>
      </c>
      <c r="J38" s="13" t="inlineStr">
        <is>
          <t>1.98%</t>
        </is>
      </c>
      <c r="K38" s="16">
        <f>X37</f>
        <v/>
      </c>
      <c r="L38" s="13" t="inlineStr">
        <is>
          <t>2024-07-25</t>
        </is>
      </c>
      <c r="M38" s="13" t="inlineStr">
        <is>
          <t>2024-08-07</t>
        </is>
      </c>
      <c r="N38" s="13" t="inlineStr">
        <is>
          <t>2024-08-06</t>
        </is>
      </c>
      <c r="O38" s="9" t="n">
        <v>591</v>
      </c>
      <c r="P38" s="17" t="n">
        <v>1606.417358398438</v>
      </c>
      <c r="Q38" s="17" t="n">
        <v>1647.71533203125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Q4 2025-26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9.07%</t>
        </is>
      </c>
      <c r="J39" s="13" t="inlineStr">
        <is>
          <t>9.46%</t>
        </is>
      </c>
      <c r="K39" s="16">
        <f>X38</f>
        <v/>
      </c>
      <c r="L39" s="13" t="inlineStr">
        <is>
          <t>2024-07-25</t>
        </is>
      </c>
      <c r="M39" s="13" t="inlineStr">
        <is>
          <t>2024-08-12</t>
        </is>
      </c>
      <c r="N39" s="13" t="inlineStr">
        <is>
          <t>2024-08-06</t>
        </is>
      </c>
      <c r="O39" s="9" t="n">
        <v>100</v>
      </c>
      <c r="P39" s="17" t="n">
        <v>31174.875</v>
      </c>
      <c r="Q39" s="17" t="n">
        <v>34285.703125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Q4 2025-26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9.27%</t>
        </is>
      </c>
      <c r="J40" s="13" t="inlineStr">
        <is>
          <t>10.4%</t>
        </is>
      </c>
      <c r="K40" s="16">
        <f>X39</f>
        <v/>
      </c>
      <c r="L40" s="13" t="inlineStr">
        <is>
          <t>2024-10-18</t>
        </is>
      </c>
      <c r="M40" s="13" t="inlineStr">
        <is>
          <t>2024-10-31</t>
        </is>
      </c>
      <c r="N40" s="13" t="inlineStr">
        <is>
          <t>2024-10-25</t>
        </is>
      </c>
      <c r="O40" s="9" t="n">
        <v>1800</v>
      </c>
      <c r="P40" s="17" t="n">
        <v>286.0209045410156</v>
      </c>
      <c r="Q40" s="17" t="n">
        <v>315.2442321777344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Q4 2025-26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-2.23%</t>
        </is>
      </c>
      <c r="J41" s="13" t="inlineStr">
        <is>
          <t>-2.83%</t>
        </is>
      </c>
      <c r="K41" s="16">
        <f>X40</f>
        <v/>
      </c>
      <c r="L41" s="13" t="inlineStr">
        <is>
          <t>2024-11-12</t>
        </is>
      </c>
      <c r="M41" s="13" t="inlineStr">
        <is>
          <t>2024-11-14</t>
        </is>
      </c>
      <c r="N41" s="13" t="inlineStr">
        <is>
          <t>2024-11-12</t>
        </is>
      </c>
      <c r="O41" s="9" t="n">
        <v>200</v>
      </c>
      <c r="P41" s="17" t="n">
        <v>4962.515625</v>
      </c>
      <c r="Q41" s="17" t="n">
        <v>4852.01416015625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Q4 2025-26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6.54%</t>
        </is>
      </c>
      <c r="J42" s="13" t="inlineStr">
        <is>
          <t>3.48%</t>
        </is>
      </c>
      <c r="K42" s="16">
        <f>X41</f>
        <v/>
      </c>
      <c r="L42" s="13" t="inlineStr">
        <is>
          <t>2024-07-29</t>
        </is>
      </c>
      <c r="M42" s="13" t="inlineStr">
        <is>
          <t>2024-08-08</t>
        </is>
      </c>
      <c r="N42" s="13" t="inlineStr">
        <is>
          <t>2024-08-07</t>
        </is>
      </c>
      <c r="O42" s="9" t="n">
        <v>283</v>
      </c>
      <c r="P42" s="17" t="n">
        <v>808.7286987304688</v>
      </c>
      <c r="Q42" s="17" t="n">
        <v>861.6054077148438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Q4 2025-26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11.98%</t>
        </is>
      </c>
      <c r="J43" s="13" t="inlineStr">
        <is>
          <t>7.87%</t>
        </is>
      </c>
      <c r="K43" s="16">
        <f>X42</f>
        <v/>
      </c>
      <c r="L43" s="13" t="inlineStr">
        <is>
          <t>2024-07-31</t>
        </is>
      </c>
      <c r="M43" s="13" t="inlineStr">
        <is>
          <t>2024-08-05</t>
        </is>
      </c>
      <c r="N43" s="13" t="inlineStr">
        <is>
          <t>2024-08-02</t>
        </is>
      </c>
      <c r="O43" s="9" t="n">
        <v>1260</v>
      </c>
      <c r="P43" s="17" t="n">
        <v>771.4995727539062</v>
      </c>
      <c r="Q43" s="17" t="n">
        <v>876.4725952148438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Q4 2025-26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2.17%</t>
        </is>
      </c>
      <c r="J44" s="13" t="inlineStr">
        <is>
          <t>-0.42%</t>
        </is>
      </c>
      <c r="K44" s="16">
        <f>X43</f>
        <v/>
      </c>
      <c r="L44" s="13" t="inlineStr">
        <is>
          <t>2024-07-15</t>
        </is>
      </c>
      <c r="M44" s="13" t="inlineStr">
        <is>
          <t>2024-07-31</t>
        </is>
      </c>
      <c r="N44" s="13" t="inlineStr">
        <is>
          <t>2024-07-25</t>
        </is>
      </c>
      <c r="O44" s="9" t="n">
        <v>8046</v>
      </c>
      <c r="P44" s="17" t="n">
        <v>107.2056884765625</v>
      </c>
      <c r="Q44" s="17" t="n">
        <v>109.5795211791992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Q4 2025-26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0.53%</t>
        </is>
      </c>
      <c r="J45" s="13" t="inlineStr">
        <is>
          <t>-2.37%</t>
        </is>
      </c>
      <c r="K45" s="16">
        <f>X44</f>
        <v/>
      </c>
      <c r="L45" s="13" t="inlineStr">
        <is>
          <t>2024-07-23</t>
        </is>
      </c>
      <c r="M45" s="13" t="inlineStr">
        <is>
          <t>2024-08-05</t>
        </is>
      </c>
      <c r="N45" s="13" t="inlineStr">
        <is>
          <t>2024-08-03</t>
        </is>
      </c>
      <c r="O45" s="9" t="n">
        <v>748</v>
      </c>
      <c r="P45" s="17" t="n">
        <v>1135.745361328125</v>
      </c>
      <c r="Q45" s="17" t="n">
        <v>1141.815063476562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Q4 2025-26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7.29%</t>
        </is>
      </c>
      <c r="J46" s="13" t="inlineStr">
        <is>
          <t>8.16%</t>
        </is>
      </c>
      <c r="K46" s="16">
        <f>X45</f>
        <v/>
      </c>
      <c r="L46" s="13" t="inlineStr">
        <is>
          <t>2024-07-18</t>
        </is>
      </c>
      <c r="M46" s="13" t="inlineStr">
        <is>
          <t>2024-07-30</t>
        </is>
      </c>
      <c r="N46" s="13" t="inlineStr">
        <is>
          <t>2024-07-24</t>
        </is>
      </c>
      <c r="O46" s="9" t="n">
        <v>1201</v>
      </c>
      <c r="P46" s="17" t="n">
        <v>686.4160766601562</v>
      </c>
      <c r="Q46" s="17" t="n">
        <v>736.455810546875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Q4 2025-26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-11.16%</t>
        </is>
      </c>
      <c r="J47" s="13" t="inlineStr">
        <is>
          <t>-10.1%</t>
        </is>
      </c>
      <c r="K47" s="16">
        <f>X46</f>
        <v/>
      </c>
      <c r="L47" s="13" t="inlineStr">
        <is>
          <t>2024-04-29</t>
        </is>
      </c>
      <c r="M47" s="13" t="inlineStr">
        <is>
          <t>2024-05-02</t>
        </is>
      </c>
      <c r="N47" s="13" t="inlineStr">
        <is>
          <t>2024-05-01</t>
        </is>
      </c>
      <c r="O47" s="9" t="n">
        <v>563</v>
      </c>
      <c r="P47" s="17" t="n">
        <v>1297.682495117188</v>
      </c>
      <c r="Q47" s="17" t="n">
        <v>1167.375732421875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Q4 2025-26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-7.54%</t>
        </is>
      </c>
      <c r="J48" s="13" t="inlineStr">
        <is>
          <t>-7.6%</t>
        </is>
      </c>
      <c r="K48" s="16">
        <f>X47</f>
        <v/>
      </c>
      <c r="L48" s="13" t="inlineStr">
        <is>
          <t>2024-10-25</t>
        </is>
      </c>
      <c r="M48" s="13" t="inlineStr">
        <is>
          <t>2024-11-05</t>
        </is>
      </c>
      <c r="N48" s="13" t="inlineStr">
        <is>
          <t>2024-10-29</t>
        </is>
      </c>
      <c r="O48" s="9" t="n">
        <v>650</v>
      </c>
      <c r="P48" s="17" t="n">
        <v>1569.551391601562</v>
      </c>
      <c r="Q48" s="17" t="n">
        <v>1459.47119140625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Q4 2025-26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-10.68%</t>
        </is>
      </c>
      <c r="J49" s="13" t="inlineStr">
        <is>
          <t>-11.64%</t>
        </is>
      </c>
      <c r="K49" s="16">
        <f>X48</f>
        <v/>
      </c>
      <c r="L49" s="13" t="inlineStr">
        <is>
          <t>2024-10-15</t>
        </is>
      </c>
      <c r="M49" s="13" t="inlineStr">
        <is>
          <t>2024-10-28</t>
        </is>
      </c>
      <c r="N49" s="13" t="inlineStr">
        <is>
          <t>2024-10-25</t>
        </is>
      </c>
      <c r="O49" s="9" t="n">
        <v>2100</v>
      </c>
      <c r="P49" s="17" t="n">
        <v>439.0777587890625</v>
      </c>
      <c r="Q49" s="17" t="n">
        <v>392.190673828125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Q4 2025-26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8.38%</t>
        </is>
      </c>
      <c r="J50" s="13" t="inlineStr">
        <is>
          <t>14.39%</t>
        </is>
      </c>
      <c r="K50" s="16">
        <f>X49</f>
        <v/>
      </c>
      <c r="L50" s="13" t="inlineStr">
        <is>
          <t>2024-08-02</t>
        </is>
      </c>
      <c r="M50" s="13" t="inlineStr">
        <is>
          <t>2024-08-12</t>
        </is>
      </c>
      <c r="N50" s="13" t="inlineStr">
        <is>
          <t>2024-08-09</t>
        </is>
      </c>
      <c r="O50" s="9" t="n">
        <v>713</v>
      </c>
      <c r="P50" s="17" t="n">
        <v>2295.33935546875</v>
      </c>
      <c r="Q50" s="17" t="n">
        <v>2505.253662109375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Q4 2025-26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3.9%</t>
        </is>
      </c>
      <c r="J51" s="13" t="inlineStr">
        <is>
          <t>2.31%</t>
        </is>
      </c>
      <c r="K51" s="16">
        <f>X50</f>
        <v/>
      </c>
      <c r="L51" s="13" t="inlineStr">
        <is>
          <t>2024-07-22</t>
        </is>
      </c>
      <c r="M51" s="13" t="inlineStr">
        <is>
          <t>2024-07-29</t>
        </is>
      </c>
      <c r="N51" s="13" t="inlineStr">
        <is>
          <t>2024-07-23</t>
        </is>
      </c>
      <c r="O51" s="9" t="n">
        <v>572</v>
      </c>
      <c r="P51" s="17" t="n">
        <v>1194.566284179688</v>
      </c>
      <c r="Q51" s="17" t="n">
        <v>1241.209106445312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Q4 2025-26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7.25%</t>
        </is>
      </c>
      <c r="J52" s="13" t="inlineStr">
        <is>
          <t>7.26%</t>
        </is>
      </c>
      <c r="K52" s="16">
        <f>X51</f>
        <v/>
      </c>
      <c r="L52" s="13" t="inlineStr">
        <is>
          <t>2024-07-22</t>
        </is>
      </c>
      <c r="M52" s="13" t="inlineStr">
        <is>
          <t>2024-08-02</t>
        </is>
      </c>
      <c r="N52" s="13" t="inlineStr">
        <is>
          <t>2024-07-29</t>
        </is>
      </c>
      <c r="O52" s="9" t="n">
        <v>479</v>
      </c>
      <c r="P52" s="17" t="n">
        <v>3011.577880859375</v>
      </c>
      <c r="Q52" s="17" t="n">
        <v>3229.81298828125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Q4 2025-26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-0.24%</t>
        </is>
      </c>
      <c r="J53" s="13" t="inlineStr">
        <is>
          <t>-3.31%</t>
        </is>
      </c>
      <c r="K53" s="16">
        <f>X52</f>
        <v/>
      </c>
      <c r="L53" s="13" t="inlineStr">
        <is>
          <t>2024-08-06</t>
        </is>
      </c>
      <c r="M53" s="13" t="inlineStr">
        <is>
          <t>2024-08-12</t>
        </is>
      </c>
      <c r="N53" s="13" t="inlineStr">
        <is>
          <t>2024-08-09</t>
        </is>
      </c>
      <c r="O53" s="9" t="n">
        <v>1904</v>
      </c>
      <c r="P53" s="17" t="n">
        <v>953.4510498046876</v>
      </c>
      <c r="Q53" s="17" t="n">
        <v>951.1220092773438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Q4 2025-26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-0.88%</t>
        </is>
      </c>
      <c r="J54" s="13" t="inlineStr">
        <is>
          <t>0.93%</t>
        </is>
      </c>
      <c r="K54" s="16">
        <f>X53</f>
        <v/>
      </c>
      <c r="L54" s="13" t="inlineStr">
        <is>
          <t>2024-07-25</t>
        </is>
      </c>
      <c r="M54" s="13" t="inlineStr">
        <is>
          <t>2024-08-01</t>
        </is>
      </c>
      <c r="N54" s="13" t="inlineStr">
        <is>
          <t>2024-07-31</t>
        </is>
      </c>
      <c r="O54" s="9" t="n">
        <v>3841</v>
      </c>
      <c r="P54" s="17" t="n">
        <v>441.7573547363281</v>
      </c>
      <c r="Q54" s="17" t="n">
        <v>437.8887634277344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Q4 2025-26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2.88%</t>
        </is>
      </c>
      <c r="J55" s="13" t="inlineStr">
        <is>
          <t>2.09%</t>
        </is>
      </c>
      <c r="K55" s="16">
        <f>X54</f>
        <v/>
      </c>
      <c r="L55" s="13" t="inlineStr">
        <is>
          <t>2024-08-01</t>
        </is>
      </c>
      <c r="M55" s="13" t="inlineStr">
        <is>
          <t>2024-08-13</t>
        </is>
      </c>
      <c r="N55" s="13" t="inlineStr">
        <is>
          <t>2024-08-07</t>
        </is>
      </c>
      <c r="O55" s="9" t="n">
        <v>185</v>
      </c>
      <c r="P55" s="17" t="n">
        <v>3600.616455078125</v>
      </c>
      <c r="Q55" s="17" t="n">
        <v>3707.3173828125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Q4 2025-26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-0.58%</t>
        </is>
      </c>
      <c r="J56" s="13" t="inlineStr">
        <is>
          <t>-2.08%</t>
        </is>
      </c>
      <c r="K56" s="16">
        <f>X55</f>
        <v/>
      </c>
      <c r="L56" s="13" t="inlineStr">
        <is>
          <t>2024-07-25</t>
        </is>
      </c>
      <c r="M56" s="13" t="inlineStr">
        <is>
          <t>2024-08-02</t>
        </is>
      </c>
      <c r="N56" s="13" t="inlineStr">
        <is>
          <t>2024-08-01</t>
        </is>
      </c>
      <c r="O56" s="9" t="n">
        <v>2346</v>
      </c>
      <c r="P56" s="17" t="n">
        <v>610.5316772460938</v>
      </c>
      <c r="Q56" s="17" t="n">
        <v>607.0011596679688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Q4 2025-26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-0.52%</t>
        </is>
      </c>
      <c r="J57" s="13" t="inlineStr">
        <is>
          <t>-5.41%</t>
        </is>
      </c>
      <c r="K57" s="16">
        <f>X56</f>
        <v/>
      </c>
      <c r="L57" s="13" t="inlineStr">
        <is>
          <t>2024-07-31</t>
        </is>
      </c>
      <c r="M57" s="13" t="inlineStr">
        <is>
          <t>2024-08-05</t>
        </is>
      </c>
      <c r="N57" s="13" t="inlineStr">
        <is>
          <t>2024-08-03</t>
        </is>
      </c>
      <c r="O57" s="9" t="n">
        <v>2135</v>
      </c>
      <c r="P57" s="17" t="n">
        <v>406.1000061035156</v>
      </c>
      <c r="Q57" s="17" t="n">
        <v>404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Q4 2025-26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1.38%</t>
        </is>
      </c>
      <c r="J58" s="13" t="inlineStr">
        <is>
          <t>-3.29%</t>
        </is>
      </c>
      <c r="K58" s="16">
        <f>X57</f>
        <v/>
      </c>
      <c r="L58" s="13" t="inlineStr">
        <is>
          <t>2024-07-26</t>
        </is>
      </c>
      <c r="M58" s="13" t="inlineStr">
        <is>
          <t>2024-08-05</t>
        </is>
      </c>
      <c r="N58" s="13" t="inlineStr">
        <is>
          <t>2024-08-03</t>
        </is>
      </c>
      <c r="O58" s="9" t="n">
        <v>200</v>
      </c>
      <c r="P58" s="17" t="n">
        <v>4720.3291015625</v>
      </c>
      <c r="Q58" s="17" t="n">
        <v>4785.33740234375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Q4 2025-26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-7.45%</t>
        </is>
      </c>
      <c r="J59" s="13" t="inlineStr">
        <is>
          <t>-10.83%</t>
        </is>
      </c>
      <c r="K59" s="16">
        <f>X58</f>
        <v/>
      </c>
      <c r="L59" s="13" t="inlineStr">
        <is>
          <t>2024-07-19</t>
        </is>
      </c>
      <c r="M59" s="13" t="inlineStr">
        <is>
          <t>2024-07-31</t>
        </is>
      </c>
      <c r="N59" s="13" t="inlineStr">
        <is>
          <t>2024-07-30</t>
        </is>
      </c>
      <c r="O59" s="9" t="n">
        <v>100</v>
      </c>
      <c r="P59" s="17" t="n">
        <v>12096.7392578125</v>
      </c>
      <c r="Q59" s="17" t="n">
        <v>11258.1630859375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Q4 2025-26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0.26%</t>
        </is>
      </c>
      <c r="J60" s="13" t="inlineStr">
        <is>
          <t>-1.27%</t>
        </is>
      </c>
      <c r="K60" s="16">
        <f>X59</f>
        <v/>
      </c>
      <c r="L60" s="13" t="inlineStr">
        <is>
          <t>2024-07-22</t>
        </is>
      </c>
      <c r="M60" s="13" t="inlineStr">
        <is>
          <t>2024-07-26</t>
        </is>
      </c>
      <c r="N60" s="13" t="inlineStr">
        <is>
          <t>2024-07-25</t>
        </is>
      </c>
      <c r="O60" s="9" t="n">
        <v>1527</v>
      </c>
      <c r="P60" s="17" t="n">
        <v>808.8399658203125</v>
      </c>
      <c r="Q60" s="17" t="n">
        <v>810.984619140625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Q4 2025-26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-3.19%</t>
        </is>
      </c>
      <c r="J61" s="13" t="inlineStr">
        <is>
          <t>-6.11%</t>
        </is>
      </c>
      <c r="K61" s="16">
        <f>X60</f>
        <v/>
      </c>
      <c r="L61" s="13" t="inlineStr">
        <is>
          <t>2024-07-10</t>
        </is>
      </c>
      <c r="M61" s="13" t="inlineStr">
        <is>
          <t>2024-07-15</t>
        </is>
      </c>
      <c r="N61" s="13" t="inlineStr">
        <is>
          <t>2024-07-13</t>
        </is>
      </c>
      <c r="O61" s="9" t="n">
        <v>258</v>
      </c>
      <c r="P61" s="17" t="n">
        <v>4988.85009765625</v>
      </c>
      <c r="Q61" s="17" t="n">
        <v>4834.4501953125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Q4 2025-26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1.84%</t>
        </is>
      </c>
      <c r="J62" s="13" t="inlineStr">
        <is>
          <t>1.11%</t>
        </is>
      </c>
      <c r="K62" s="16">
        <f>X61</f>
        <v/>
      </c>
      <c r="L62" s="13" t="inlineStr">
        <is>
          <t>2024-10-28</t>
        </is>
      </c>
      <c r="M62" s="13" t="inlineStr">
        <is>
          <t>2024-11-07</t>
        </is>
      </c>
      <c r="N62" s="13" t="inlineStr">
        <is>
          <t>2024-11-05</t>
        </is>
      </c>
      <c r="O62" s="9" t="n">
        <v>125</v>
      </c>
      <c r="P62" s="17" t="n">
        <v>1271.175415039062</v>
      </c>
      <c r="Q62" s="17" t="n">
        <v>1295.022094726562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Q4 2025-26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0.91%</t>
        </is>
      </c>
      <c r="J63" s="13" t="inlineStr">
        <is>
          <t>-1.39%</t>
        </is>
      </c>
      <c r="K63" s="16">
        <f>X62</f>
        <v/>
      </c>
      <c r="L63" s="13" t="inlineStr">
        <is>
          <t>2024-11-04</t>
        </is>
      </c>
      <c r="M63" s="13" t="inlineStr">
        <is>
          <t>2024-11-18</t>
        </is>
      </c>
      <c r="N63" s="13" t="inlineStr">
        <is>
          <t>2024-11-13</t>
        </is>
      </c>
      <c r="O63" s="9" t="n">
        <v>175</v>
      </c>
      <c r="P63" s="17" t="n">
        <v>4769.99951171875</v>
      </c>
      <c r="Q63" s="17" t="n">
        <v>4813.23876953125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Q4 2025-26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16.97%</t>
        </is>
      </c>
      <c r="J64" s="13" t="inlineStr">
        <is>
          <t>11.14%</t>
        </is>
      </c>
      <c r="K64" s="16">
        <f>X63</f>
        <v/>
      </c>
      <c r="L64" s="13" t="inlineStr">
        <is>
          <t>2024-07-30</t>
        </is>
      </c>
      <c r="M64" s="13" t="inlineStr">
        <is>
          <t>2024-08-07</t>
        </is>
      </c>
      <c r="N64" s="13" t="inlineStr">
        <is>
          <t>2024-08-01</t>
        </is>
      </c>
      <c r="O64" s="9" t="n">
        <v>3399</v>
      </c>
      <c r="P64" s="17" t="n">
        <v>227.1300048828125</v>
      </c>
      <c r="Q64" s="17" t="n">
        <v>265.6700134277344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Q4 2025-26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6.89%</t>
        </is>
      </c>
      <c r="J65" s="13" t="inlineStr">
        <is>
          <t>4.91%</t>
        </is>
      </c>
      <c r="K65" s="16">
        <f>X64</f>
        <v/>
      </c>
      <c r="L65" s="13" t="inlineStr">
        <is>
          <t>2024-07-19</t>
        </is>
      </c>
      <c r="M65" s="13" t="inlineStr">
        <is>
          <t>2024-07-25</t>
        </is>
      </c>
      <c r="N65" s="13" t="inlineStr">
        <is>
          <t>2024-07-24</t>
        </is>
      </c>
      <c r="O65" s="9" t="n">
        <v>2823</v>
      </c>
      <c r="P65" s="17" t="n">
        <v>189.1946258544922</v>
      </c>
      <c r="Q65" s="17" t="n">
        <v>202.2377624511719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Q4 2025-26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2.45%</t>
        </is>
      </c>
      <c r="J66" s="13" t="inlineStr">
        <is>
          <t>0.04%</t>
        </is>
      </c>
      <c r="K66" s="16">
        <f>X65</f>
        <v/>
      </c>
      <c r="L66" s="13" t="inlineStr">
        <is>
          <t>2026-07-28</t>
        </is>
      </c>
      <c r="M66" s="13" t="inlineStr">
        <is>
          <t>2026-07-30</t>
        </is>
      </c>
      <c r="N66" s="13" t="inlineStr">
        <is>
          <t>2026-07-29</t>
        </is>
      </c>
      <c r="O66" s="9" t="n">
        <v>100</v>
      </c>
      <c r="P66" s="17" t="n">
        <v>17197</v>
      </c>
      <c r="Q66" s="17" t="n">
        <v>17618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Q4 2025-26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-0.55%</t>
        </is>
      </c>
      <c r="J67" s="13" t="inlineStr">
        <is>
          <t>-1.1%</t>
        </is>
      </c>
      <c r="K67" s="16">
        <f>X66</f>
        <v/>
      </c>
      <c r="L67" s="13" t="inlineStr">
        <is>
          <t>2024-07-30</t>
        </is>
      </c>
      <c r="M67" s="13" t="inlineStr">
        <is>
          <t>2024-08-12</t>
        </is>
      </c>
      <c r="N67" s="13" t="inlineStr">
        <is>
          <t>2024-08-06</t>
        </is>
      </c>
      <c r="O67" s="9" t="n">
        <v>1053</v>
      </c>
      <c r="P67" s="17" t="n">
        <v>501.0752258300781</v>
      </c>
      <c r="Q67" s="17" t="n">
        <v>498.3313903808594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Q4 2025-26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-1.04%</t>
        </is>
      </c>
      <c r="J68" s="13" t="inlineStr">
        <is>
          <t>-3.5%</t>
        </is>
      </c>
      <c r="K68" s="16">
        <f>X67</f>
        <v/>
      </c>
      <c r="L68" s="13" t="inlineStr">
        <is>
          <t>2024-11-04</t>
        </is>
      </c>
      <c r="M68" s="13" t="inlineStr">
        <is>
          <t>2024-11-12</t>
        </is>
      </c>
      <c r="N68" s="13" t="inlineStr">
        <is>
          <t>2024-11-06</t>
        </is>
      </c>
      <c r="O68" s="9" t="n">
        <v>5759</v>
      </c>
      <c r="P68" s="17" t="n">
        <v>182.2766265869141</v>
      </c>
      <c r="Q68" s="17" t="n">
        <v>180.3813018798828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Q4 2025-26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11.86%</t>
        </is>
      </c>
      <c r="J69" s="13" t="inlineStr">
        <is>
          <t>7.5%</t>
        </is>
      </c>
      <c r="K69" s="16">
        <f>X68</f>
        <v/>
      </c>
      <c r="L69" s="13" t="inlineStr">
        <is>
          <t>2024-08-12</t>
        </is>
      </c>
      <c r="M69" s="13" t="inlineStr">
        <is>
          <t>2024-08-21</t>
        </is>
      </c>
      <c r="N69" s="13" t="inlineStr">
        <is>
          <t>2024-08-14</t>
        </is>
      </c>
      <c r="O69" s="9" t="n">
        <v>456</v>
      </c>
      <c r="P69" s="17" t="n">
        <v>1496.679931640625</v>
      </c>
      <c r="Q69" s="17" t="n">
        <v>1674.239379882812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Q4 2025-26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3.16%</t>
        </is>
      </c>
      <c r="J70" s="13" t="inlineStr">
        <is>
          <t>4.39%</t>
        </is>
      </c>
      <c r="K70" s="16">
        <f>X69</f>
        <v/>
      </c>
      <c r="L70" s="13" t="inlineStr">
        <is>
          <t>2024-08-12</t>
        </is>
      </c>
      <c r="M70" s="13" t="inlineStr">
        <is>
          <t>2024-08-21</t>
        </is>
      </c>
      <c r="N70" s="13" t="inlineStr">
        <is>
          <t>2024-08-14</t>
        </is>
      </c>
      <c r="O70" s="9" t="n">
        <v>9623</v>
      </c>
      <c r="P70" s="17" t="n">
        <v>94.91999816894533</v>
      </c>
      <c r="Q70" s="17" t="n">
        <v>98.01999664306641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Q4 2025-26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4.98%</t>
        </is>
      </c>
      <c r="J71" s="13" t="inlineStr">
        <is>
          <t>1.8%</t>
        </is>
      </c>
      <c r="K71" s="16">
        <f>X70</f>
        <v/>
      </c>
      <c r="L71" s="13" t="inlineStr">
        <is>
          <t>2024-08-02</t>
        </is>
      </c>
      <c r="M71" s="13" t="inlineStr">
        <is>
          <t>2024-08-13</t>
        </is>
      </c>
      <c r="N71" s="13" t="inlineStr">
        <is>
          <t>2024-08-07</t>
        </is>
      </c>
      <c r="O71" s="9" t="n">
        <v>469</v>
      </c>
      <c r="P71" s="17" t="n">
        <v>1357.243408203125</v>
      </c>
      <c r="Q71" s="17" t="n">
        <v>1424.794921875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Q4 2025-26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1.61%</t>
        </is>
      </c>
      <c r="J72" s="13" t="inlineStr">
        <is>
          <t>-1.04%</t>
        </is>
      </c>
      <c r="K72" s="16">
        <f>X71</f>
        <v/>
      </c>
      <c r="L72" s="13" t="inlineStr">
        <is>
          <t>2024-07-31</t>
        </is>
      </c>
      <c r="M72" s="13" t="inlineStr">
        <is>
          <t>2024-08-08</t>
        </is>
      </c>
      <c r="N72" s="13" t="inlineStr">
        <is>
          <t>2024-08-07</t>
        </is>
      </c>
      <c r="O72" s="9" t="n">
        <v>932</v>
      </c>
      <c r="P72" s="17" t="n">
        <v>1393.370483398438</v>
      </c>
      <c r="Q72" s="17" t="n">
        <v>1415.759399414062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Q4 2025-26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3.54%</t>
        </is>
      </c>
      <c r="J73" s="13" t="inlineStr">
        <is>
          <t>5.86%</t>
        </is>
      </c>
      <c r="K73" s="16">
        <f>X72</f>
        <v/>
      </c>
      <c r="L73" s="13" t="inlineStr">
        <is>
          <t>2024-07-22</t>
        </is>
      </c>
      <c r="M73" s="13" t="inlineStr">
        <is>
          <t>2024-08-01</t>
        </is>
      </c>
      <c r="N73" s="13" t="inlineStr">
        <is>
          <t>2024-07-31</t>
        </is>
      </c>
      <c r="O73" s="9" t="n">
        <v>473</v>
      </c>
      <c r="P73" s="17" t="n">
        <v>3112.15673828125</v>
      </c>
      <c r="Q73" s="17" t="n">
        <v>3226.504150390625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Q4 2025-26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-2.11%</t>
        </is>
      </c>
      <c r="J74" s="13" t="inlineStr">
        <is>
          <t>-2.07%</t>
        </is>
      </c>
      <c r="K74" s="16">
        <f>X73</f>
        <v/>
      </c>
      <c r="L74" s="13" t="inlineStr">
        <is>
          <t>2024-11-08</t>
        </is>
      </c>
      <c r="M74" s="13" t="inlineStr">
        <is>
          <t>2024-11-22</t>
        </is>
      </c>
      <c r="N74" s="13" t="inlineStr">
        <is>
          <t>2024-11-14</t>
        </is>
      </c>
      <c r="O74" s="9" t="n">
        <v>250</v>
      </c>
      <c r="P74" s="17" t="n">
        <v>2589.230712890625</v>
      </c>
      <c r="Q74" s="17" t="n">
        <v>2535.6259765625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Q4 2025-26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6.9%</t>
        </is>
      </c>
      <c r="J75" s="13" t="inlineStr">
        <is>
          <t>0.79%</t>
        </is>
      </c>
      <c r="K75" s="16">
        <f>X74</f>
        <v/>
      </c>
      <c r="L75" s="13" t="inlineStr">
        <is>
          <t>2024-07-26</t>
        </is>
      </c>
      <c r="M75" s="13" t="inlineStr">
        <is>
          <t>2024-08-06</t>
        </is>
      </c>
      <c r="N75" s="13" t="inlineStr">
        <is>
          <t>2024-07-31</t>
        </is>
      </c>
      <c r="O75" s="9" t="n">
        <v>237</v>
      </c>
      <c r="P75" s="17" t="n">
        <v>1563.46826171875</v>
      </c>
      <c r="Q75" s="17" t="n">
        <v>1671.341918945312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Q4 2025-26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1.64%</t>
        </is>
      </c>
      <c r="J76" s="13" t="inlineStr">
        <is>
          <t>-1.61%</t>
        </is>
      </c>
      <c r="K76" s="16">
        <f>X75</f>
        <v/>
      </c>
      <c r="L76" s="13" t="inlineStr">
        <is>
          <t>2024-08-08</t>
        </is>
      </c>
      <c r="M76" s="13" t="inlineStr">
        <is>
          <t>2024-08-21</t>
        </is>
      </c>
      <c r="N76" s="13" t="inlineStr">
        <is>
          <t>2024-08-14</t>
        </is>
      </c>
      <c r="O76" s="9" t="n">
        <v>218</v>
      </c>
      <c r="P76" s="17" t="n">
        <v>4568.0869140625</v>
      </c>
      <c r="Q76" s="17" t="n">
        <v>4642.77783203125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Q4 2025-26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7.14%</t>
        </is>
      </c>
      <c r="J77" s="13" t="inlineStr">
        <is>
          <t>2.59%</t>
        </is>
      </c>
      <c r="K77" s="16">
        <f>X76</f>
        <v/>
      </c>
      <c r="L77" s="13" t="inlineStr">
        <is>
          <t>2024-07-10</t>
        </is>
      </c>
      <c r="M77" s="13" t="inlineStr">
        <is>
          <t>2024-07-24</t>
        </is>
      </c>
      <c r="N77" s="13" t="inlineStr">
        <is>
          <t>2024-07-18</t>
        </is>
      </c>
      <c r="O77" s="9" t="n">
        <v>792</v>
      </c>
      <c r="P77" s="17" t="n">
        <v>1766.1259765625</v>
      </c>
      <c r="Q77" s="17" t="n">
        <v>1901.856689453125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Q4 2025-26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1.87%</t>
        </is>
      </c>
      <c r="J78" s="13" t="inlineStr">
        <is>
          <t>1.53%</t>
        </is>
      </c>
      <c r="K78" s="16">
        <f>X77</f>
        <v/>
      </c>
      <c r="L78" s="13" t="inlineStr">
        <is>
          <t>2024-10-09</t>
        </is>
      </c>
      <c r="M78" s="13" t="inlineStr">
        <is>
          <t>2024-10-21</t>
        </is>
      </c>
      <c r="N78" s="13" t="inlineStr">
        <is>
          <t>2024-10-14</t>
        </is>
      </c>
      <c r="O78" s="9" t="n">
        <v>350</v>
      </c>
      <c r="P78" s="17" t="n">
        <v>1687.298461914062</v>
      </c>
      <c r="Q78" s="17" t="n">
        <v>1718.905395507812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Q4 2025-26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2.37%</t>
        </is>
      </c>
      <c r="J79" s="13" t="inlineStr">
        <is>
          <t>4.66%</t>
        </is>
      </c>
      <c r="K79" s="16">
        <f>X78</f>
        <v/>
      </c>
      <c r="L79" s="13" t="inlineStr">
        <is>
          <t>2024-07-09</t>
        </is>
      </c>
      <c r="M79" s="13" t="inlineStr">
        <is>
          <t>2024-07-16</t>
        </is>
      </c>
      <c r="N79" s="13" t="inlineStr">
        <is>
          <t>2024-07-15</t>
        </is>
      </c>
      <c r="O79" s="9" t="n">
        <v>392</v>
      </c>
      <c r="P79" s="17" t="n">
        <v>1963.332275390625</v>
      </c>
      <c r="Q79" s="17" t="n">
        <v>2010.928466796875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Q4 2025-26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4.87%</t>
        </is>
      </c>
      <c r="J80" s="13" t="inlineStr">
        <is>
          <t>4.63%</t>
        </is>
      </c>
      <c r="K80" s="16">
        <f>X79</f>
        <v/>
      </c>
      <c r="L80" s="13" t="inlineStr">
        <is>
          <t>2024-10-10</t>
        </is>
      </c>
      <c r="M80" s="13" t="inlineStr">
        <is>
          <t>2024-10-25</t>
        </is>
      </c>
      <c r="N80" s="13" t="inlineStr">
        <is>
          <t>2024-10-20</t>
        </is>
      </c>
      <c r="O80" s="9" t="n">
        <v>550</v>
      </c>
      <c r="P80" s="17" t="n">
        <v>806.7709350585938</v>
      </c>
      <c r="Q80" s="17" t="n">
        <v>846.0806884765625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Q4 2025-26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-0.5%</t>
        </is>
      </c>
      <c r="J81" s="13" t="inlineStr">
        <is>
          <t>-1.21%</t>
        </is>
      </c>
      <c r="K81" s="16">
        <f>X80</f>
        <v/>
      </c>
      <c r="L81" s="13" t="inlineStr">
        <is>
          <t>2024-07-11</t>
        </is>
      </c>
      <c r="M81" s="13" t="inlineStr">
        <is>
          <t>2024-07-22</t>
        </is>
      </c>
      <c r="N81" s="13" t="inlineStr">
        <is>
          <t>2024-07-15</t>
        </is>
      </c>
      <c r="O81" s="9" t="n">
        <v>1100</v>
      </c>
      <c r="P81" s="17" t="n">
        <v>633.3856201171875</v>
      </c>
      <c r="Q81" s="17" t="n">
        <v>630.25537109375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Q4 2025-26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0.77%</t>
        </is>
      </c>
      <c r="J82" s="13" t="inlineStr">
        <is>
          <t>-0.52%</t>
        </is>
      </c>
      <c r="K82" s="16">
        <f>X81</f>
        <v/>
      </c>
      <c r="L82" s="13" t="inlineStr">
        <is>
          <t>2024-11-11</t>
        </is>
      </c>
      <c r="M82" s="13" t="inlineStr">
        <is>
          <t>2024-11-22</t>
        </is>
      </c>
      <c r="N82" s="13" t="inlineStr">
        <is>
          <t>2024-11-15</t>
        </is>
      </c>
      <c r="O82" s="9" t="n">
        <v>150</v>
      </c>
      <c r="P82" s="17" t="n">
        <v>4484.51171875</v>
      </c>
      <c r="Q82" s="17" t="n">
        <v>4519.01220703125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Q4 2025-26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3.32%</t>
        </is>
      </c>
      <c r="J83" s="13" t="inlineStr">
        <is>
          <t>3.46%</t>
        </is>
      </c>
      <c r="K83" s="16">
        <f>X82</f>
        <v/>
      </c>
      <c r="L83" s="13" t="inlineStr">
        <is>
          <t>2024-11-07</t>
        </is>
      </c>
      <c r="M83" s="13" t="inlineStr">
        <is>
          <t>2024-11-13</t>
        </is>
      </c>
      <c r="N83" s="13" t="inlineStr">
        <is>
          <t>2024-11-11</t>
        </is>
      </c>
      <c r="O83" s="9" t="n">
        <v>1400</v>
      </c>
      <c r="P83" s="17" t="n">
        <v>618.8101196289062</v>
      </c>
      <c r="Q83" s="17" t="n">
        <v>640.0427856445312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Q4 2025-26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-3.37%</t>
        </is>
      </c>
      <c r="J84" s="13" t="inlineStr">
        <is>
          <t>-4.72%</t>
        </is>
      </c>
      <c r="K84" s="16">
        <f>X83</f>
        <v/>
      </c>
      <c r="L84" s="13" t="inlineStr">
        <is>
          <t>2024-07-26</t>
        </is>
      </c>
      <c r="M84" s="13" t="inlineStr">
        <is>
          <t>2024-08-02</t>
        </is>
      </c>
      <c r="N84" s="13" t="inlineStr">
        <is>
          <t>2024-07-29</t>
        </is>
      </c>
      <c r="O84" s="9" t="n">
        <v>2574</v>
      </c>
      <c r="P84" s="17" t="n">
        <v>364.7852478027344</v>
      </c>
      <c r="Q84" s="17" t="n">
        <v>352.8834533691406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Q4 2025-26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8.14%</t>
        </is>
      </c>
      <c r="J85" s="13" t="inlineStr">
        <is>
          <t>8.25%</t>
        </is>
      </c>
      <c r="K85" s="16">
        <f>X84</f>
        <v/>
      </c>
      <c r="L85" s="13" t="inlineStr">
        <is>
          <t>2024-10-15</t>
        </is>
      </c>
      <c r="M85" s="13" t="inlineStr">
        <is>
          <t>2024-10-30</t>
        </is>
      </c>
      <c r="N85" s="13" t="inlineStr">
        <is>
          <t>2024-10-23</t>
        </is>
      </c>
      <c r="O85" s="9" t="n">
        <v>300</v>
      </c>
      <c r="P85" s="17" t="n">
        <v>2454.817626953125</v>
      </c>
      <c r="Q85" s="17" t="n">
        <v>2672.44091796875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Q4 2025-26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6.48%</t>
        </is>
      </c>
      <c r="J86" s="13" t="inlineStr">
        <is>
          <t>4.77%</t>
        </is>
      </c>
      <c r="K86" s="16">
        <f>X85</f>
        <v/>
      </c>
      <c r="L86" s="13" t="inlineStr">
        <is>
          <t>2024-07-30</t>
        </is>
      </c>
      <c r="M86" s="13" t="inlineStr">
        <is>
          <t>2024-08-08</t>
        </is>
      </c>
      <c r="N86" s="13" t="inlineStr">
        <is>
          <t>2024-08-02</t>
        </is>
      </c>
      <c r="O86" s="9" t="n">
        <v>1866</v>
      </c>
      <c r="P86" s="17" t="n">
        <v>557.080322265625</v>
      </c>
      <c r="Q86" s="17" t="n">
        <v>595.661376953125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Q4 2025-26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2.59%</t>
        </is>
      </c>
      <c r="J87" s="13" t="inlineStr">
        <is>
          <t>-0.59%</t>
        </is>
      </c>
      <c r="K87" s="16">
        <f>X86</f>
        <v/>
      </c>
      <c r="L87" s="13" t="inlineStr">
        <is>
          <t>2026-01-16</t>
        </is>
      </c>
      <c r="M87" s="13" t="inlineStr">
        <is>
          <t>2026-01-21</t>
        </is>
      </c>
      <c r="N87" s="13" t="inlineStr">
        <is>
          <t>2026-01-20</t>
        </is>
      </c>
      <c r="O87" s="9" t="n">
        <v>495</v>
      </c>
      <c r="P87" s="17" t="n">
        <v>2279.699951171875</v>
      </c>
      <c r="Q87" s="17" t="n">
        <v>2340.39990234375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Q4 2025-26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3.91%</t>
        </is>
      </c>
      <c r="J88" s="13" t="inlineStr">
        <is>
          <t>1.45%</t>
        </is>
      </c>
      <c r="K88" s="16">
        <f>X87</f>
        <v/>
      </c>
      <c r="L88" s="13" t="inlineStr">
        <is>
          <t>2024-10-16</t>
        </is>
      </c>
      <c r="M88" s="13" t="inlineStr">
        <is>
          <t>2024-11-01</t>
        </is>
      </c>
      <c r="N88" s="13" t="inlineStr">
        <is>
          <t>2024-10-26</t>
        </is>
      </c>
      <c r="O88" s="9" t="n">
        <v>700</v>
      </c>
      <c r="P88" s="17" t="n">
        <v>1233.631225585938</v>
      </c>
      <c r="Q88" s="17" t="n">
        <v>1281.90869140625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Q4 2025-26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-8.03%</t>
        </is>
      </c>
      <c r="J89" s="13" t="inlineStr">
        <is>
          <t>-10.05%</t>
        </is>
      </c>
      <c r="K89" s="16">
        <f>X88</f>
        <v/>
      </c>
      <c r="L89" s="13" t="inlineStr">
        <is>
          <t>2026-04-02</t>
        </is>
      </c>
      <c r="M89" s="13" t="inlineStr">
        <is>
          <t>2026-04-22</t>
        </is>
      </c>
      <c r="N89" s="13" t="inlineStr">
        <is>
          <t>2026-04-15</t>
        </is>
      </c>
      <c r="O89" s="9" t="n">
        <v>629</v>
      </c>
      <c r="P89" s="17" t="n">
        <v>1829</v>
      </c>
      <c r="Q89" s="17" t="n">
        <v>1693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Q4 2025-26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-7.16%</t>
        </is>
      </c>
      <c r="J90" s="13" t="inlineStr">
        <is>
          <t>-6.67%</t>
        </is>
      </c>
      <c r="K90" s="16">
        <f>X89</f>
        <v/>
      </c>
      <c r="L90" s="13" t="inlineStr">
        <is>
          <t>2026-04-01</t>
        </is>
      </c>
      <c r="M90" s="13" t="inlineStr">
        <is>
          <t>2026-04-21</t>
        </is>
      </c>
      <c r="N90" s="13" t="inlineStr">
        <is>
          <t>2026-04-14</t>
        </is>
      </c>
      <c r="O90" s="9" t="n">
        <v>1958</v>
      </c>
      <c r="P90" s="17" t="n">
        <v>548.197509765625</v>
      </c>
      <c r="Q90" s="17" t="n">
        <v>511.5746154785156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Q4 2025-26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-3.84%</t>
        </is>
      </c>
      <c r="J91" s="13" t="inlineStr">
        <is>
          <t>-7.74%</t>
        </is>
      </c>
      <c r="K91" s="16">
        <f>X90</f>
        <v/>
      </c>
      <c r="L91" s="13" t="inlineStr">
        <is>
          <t>2024-08-05</t>
        </is>
      </c>
      <c r="M91" s="13" t="inlineStr">
        <is>
          <t>2024-08-19</t>
        </is>
      </c>
      <c r="N91" s="13" t="inlineStr">
        <is>
          <t>2024-08-12</t>
        </is>
      </c>
      <c r="O91" s="9" t="n">
        <v>77700</v>
      </c>
      <c r="P91" s="17" t="n">
        <v>15.94999980926514</v>
      </c>
      <c r="Q91" s="17" t="n">
        <v>15.35999965667725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Q4 2025-26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4.0%</t>
        </is>
      </c>
      <c r="J92" s="13" t="inlineStr">
        <is>
          <t>-0.67%</t>
        </is>
      </c>
      <c r="K92" s="16">
        <f>X91</f>
        <v/>
      </c>
      <c r="L92" s="13" t="inlineStr">
        <is>
          <t>2024-07-16</t>
        </is>
      </c>
      <c r="M92" s="13" t="inlineStr">
        <is>
          <t>2024-07-29</t>
        </is>
      </c>
      <c r="N92" s="13" t="inlineStr">
        <is>
          <t>2024-07-27</t>
        </is>
      </c>
      <c r="O92" s="9" t="n">
        <v>11798</v>
      </c>
      <c r="P92" s="17" t="n">
        <v>74.58587646484375</v>
      </c>
      <c r="Q92" s="17" t="n">
        <v>77.69569396972656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Q4 2025-26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4.67%</t>
        </is>
      </c>
      <c r="J93" s="13" t="inlineStr">
        <is>
          <t>2.86%</t>
        </is>
      </c>
      <c r="K93" s="16">
        <f>X92</f>
        <v/>
      </c>
      <c r="L93" s="13" t="inlineStr">
        <is>
          <t>2024-07-23</t>
        </is>
      </c>
      <c r="M93" s="13" t="inlineStr">
        <is>
          <t>2024-07-25</t>
        </is>
      </c>
      <c r="N93" s="13" t="inlineStr">
        <is>
          <t>2024-07-24</t>
        </is>
      </c>
      <c r="O93" s="9" t="n">
        <v>7610</v>
      </c>
      <c r="P93" s="17" t="n">
        <v>161.0198211669922</v>
      </c>
      <c r="Q93" s="17" t="n">
        <v>168.5424957275391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Q4 2025-26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5.37%</t>
        </is>
      </c>
      <c r="J94" s="13" t="inlineStr">
        <is>
          <t>2.41%</t>
        </is>
      </c>
      <c r="K94" s="16">
        <f>X93</f>
        <v/>
      </c>
      <c r="L94" s="13" t="inlineStr">
        <is>
          <t>2024-07-15</t>
        </is>
      </c>
      <c r="M94" s="13" t="inlineStr">
        <is>
          <t>2024-07-25</t>
        </is>
      </c>
      <c r="N94" s="13" t="inlineStr">
        <is>
          <t>2024-07-19</t>
        </is>
      </c>
      <c r="O94" s="9" t="n">
        <v>1334</v>
      </c>
      <c r="P94" s="17" t="n">
        <v>587.2997436523438</v>
      </c>
      <c r="Q94" s="17" t="n">
        <v>618.8659057617188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Q4 2025-26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4.63%</t>
        </is>
      </c>
      <c r="J95" s="13" t="inlineStr">
        <is>
          <t>-1.68%</t>
        </is>
      </c>
      <c r="K95" s="16">
        <f>X94</f>
        <v/>
      </c>
      <c r="L95" s="13" t="inlineStr">
        <is>
          <t>2024-07-24</t>
        </is>
      </c>
      <c r="M95" s="13" t="inlineStr">
        <is>
          <t>2024-08-02</t>
        </is>
      </c>
      <c r="N95" s="13" t="inlineStr">
        <is>
          <t>2024-07-29</t>
        </is>
      </c>
      <c r="O95" s="9" t="n">
        <v>1208</v>
      </c>
      <c r="P95" s="17" t="n">
        <v>543.8145751953125</v>
      </c>
      <c r="Q95" s="17" t="n">
        <v>568.9718017578125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Q4 2025-26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0.19%</t>
        </is>
      </c>
      <c r="J96" s="13" t="inlineStr">
        <is>
          <t>0.75%</t>
        </is>
      </c>
      <c r="K96" s="16">
        <f>X95</f>
        <v/>
      </c>
      <c r="L96" s="13" t="inlineStr">
        <is>
          <t>2024-07-16</t>
        </is>
      </c>
      <c r="M96" s="13" t="inlineStr">
        <is>
          <t>2024-07-29</t>
        </is>
      </c>
      <c r="N96" s="13" t="inlineStr">
        <is>
          <t>2024-07-26</t>
        </is>
      </c>
      <c r="O96" s="9" t="n">
        <v>196</v>
      </c>
      <c r="P96" s="17" t="n">
        <v>4423.62451171875</v>
      </c>
      <c r="Q96" s="17" t="n">
        <v>4431.810546875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Q4 2025-26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-17.16%</t>
        </is>
      </c>
      <c r="J97" s="13" t="inlineStr">
        <is>
          <t>-18.06%</t>
        </is>
      </c>
      <c r="K97" s="16">
        <f>X96</f>
        <v/>
      </c>
      <c r="L97" s="13" t="inlineStr">
        <is>
          <t>2024-10-23</t>
        </is>
      </c>
      <c r="M97" s="13" t="inlineStr">
        <is>
          <t>2024-10-31</t>
        </is>
      </c>
      <c r="N97" s="13" t="inlineStr">
        <is>
          <t>2024-10-24</t>
        </is>
      </c>
      <c r="O97" s="9" t="n">
        <v>500</v>
      </c>
      <c r="P97" s="17" t="n">
        <v>1272.239379882812</v>
      </c>
      <c r="Q97" s="17" t="n">
        <v>1053.892944335938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Q4 2025-26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3.62%</t>
        </is>
      </c>
      <c r="J98" s="13" t="inlineStr">
        <is>
          <t>1.36%</t>
        </is>
      </c>
      <c r="K98" s="16">
        <f>X97</f>
        <v/>
      </c>
      <c r="L98" s="13" t="inlineStr">
        <is>
          <t>2024-07-26</t>
        </is>
      </c>
      <c r="M98" s="13" t="inlineStr">
        <is>
          <t>2024-08-01</t>
        </is>
      </c>
      <c r="N98" s="13" t="inlineStr">
        <is>
          <t>2024-07-31</t>
        </is>
      </c>
      <c r="O98" s="9" t="n">
        <v>2545</v>
      </c>
      <c r="P98" s="17" t="n">
        <v>428.75</v>
      </c>
      <c r="Q98" s="17" t="n">
        <v>444.8500061035156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Q4 2025-26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4.26%</t>
        </is>
      </c>
      <c r="J99" s="13" t="inlineStr">
        <is>
          <t>3.42%</t>
        </is>
      </c>
      <c r="K99" s="16">
        <f>X98</f>
        <v/>
      </c>
      <c r="L99" s="13" t="inlineStr">
        <is>
          <t>2024-10-11</t>
        </is>
      </c>
      <c r="M99" s="13" t="inlineStr">
        <is>
          <t>2024-10-21</t>
        </is>
      </c>
      <c r="N99" s="13" t="inlineStr">
        <is>
          <t>2024-10-17</t>
        </is>
      </c>
      <c r="O99" s="9" t="n">
        <v>400</v>
      </c>
      <c r="P99" s="17" t="n">
        <v>1741.550415039062</v>
      </c>
      <c r="Q99" s="17" t="n">
        <v>1818.957885742188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Q4 2025-26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-3.06%</t>
        </is>
      </c>
      <c r="J100" s="13" t="inlineStr">
        <is>
          <t>-8.41%</t>
        </is>
      </c>
      <c r="K100" s="16">
        <f>X99</f>
        <v/>
      </c>
      <c r="L100" s="13" t="inlineStr">
        <is>
          <t>2024-10-16</t>
        </is>
      </c>
      <c r="M100" s="13" t="inlineStr">
        <is>
          <t>2024-10-28</t>
        </is>
      </c>
      <c r="N100" s="13" t="inlineStr">
        <is>
          <t>2024-10-25</t>
        </is>
      </c>
      <c r="O100" s="9" t="n">
        <v>13336</v>
      </c>
      <c r="P100" s="17" t="n">
        <v>219.6799926757812</v>
      </c>
      <c r="Q100" s="17" t="n">
        <v>212.9600067138672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Q4 2025-26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-2.88%</t>
        </is>
      </c>
      <c r="J101" s="13" t="inlineStr">
        <is>
          <t>-5.0%</t>
        </is>
      </c>
      <c r="K101" s="16">
        <f>X100</f>
        <v/>
      </c>
      <c r="L101" s="13" t="inlineStr">
        <is>
          <t>2024-07-23</t>
        </is>
      </c>
      <c r="M101" s="13" t="inlineStr">
        <is>
          <t>2024-08-05</t>
        </is>
      </c>
      <c r="N101" s="13" t="inlineStr">
        <is>
          <t>2024-07-30</t>
        </is>
      </c>
      <c r="O101" s="9" t="n">
        <v>7145</v>
      </c>
      <c r="P101" s="17" t="n">
        <v>159.9955291748047</v>
      </c>
      <c r="Q101" s="17" t="n">
        <v>155.5217742919922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Q4 2025-26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-5.21%</t>
        </is>
      </c>
      <c r="J102" s="13" t="inlineStr">
        <is>
          <t>-25.58%</t>
        </is>
      </c>
      <c r="K102" s="16">
        <f>X101</f>
        <v/>
      </c>
      <c r="L102" s="13" t="inlineStr">
        <is>
          <t>2024-04-05</t>
        </is>
      </c>
      <c r="M102" s="13" t="inlineStr">
        <is>
          <t>2024-04-25</t>
        </is>
      </c>
      <c r="N102" s="13" t="inlineStr">
        <is>
          <t>2024-04-19</t>
        </is>
      </c>
      <c r="O102" s="9" t="n">
        <v>8341</v>
      </c>
      <c r="P102" s="17" t="n">
        <v>175.5193634033203</v>
      </c>
      <c r="Q102" s="17" t="n">
        <v>166.3678894042969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Q4 2025-26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2024-08-12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Q4 2025-26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2.89%</t>
        </is>
      </c>
      <c r="J104" s="13" t="inlineStr">
        <is>
          <t>2.9%</t>
        </is>
      </c>
      <c r="K104" s="16">
        <f>X103</f>
        <v/>
      </c>
      <c r="L104" s="13" t="inlineStr">
        <is>
          <t>2024-10-15</t>
        </is>
      </c>
      <c r="M104" s="13" t="inlineStr">
        <is>
          <t>2024-10-28</t>
        </is>
      </c>
      <c r="N104" s="13" t="inlineStr">
        <is>
          <t>2024-10-24</t>
        </is>
      </c>
      <c r="O104" s="9" t="n">
        <v>1600</v>
      </c>
      <c r="P104" s="17" t="n">
        <v>429.6910705566406</v>
      </c>
      <c r="Q104" s="17" t="n">
        <v>442.4713134765625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Q4 2025-26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2.07%</t>
        </is>
      </c>
      <c r="J105" s="13" t="inlineStr">
        <is>
          <t>-0.03%</t>
        </is>
      </c>
      <c r="K105" s="16">
        <f>X104</f>
        <v/>
      </c>
      <c r="L105" s="13" t="inlineStr">
        <is>
          <t>2024-07-22</t>
        </is>
      </c>
      <c r="M105" s="13" t="inlineStr">
        <is>
          <t>2024-07-26</t>
        </is>
      </c>
      <c r="N105" s="13" t="inlineStr">
        <is>
          <t>2024-07-25</t>
        </is>
      </c>
      <c r="O105" s="9" t="n">
        <v>914</v>
      </c>
      <c r="P105" s="17" t="n">
        <v>948.7283325195312</v>
      </c>
      <c r="Q105" s="17" t="n">
        <v>968.3980102539062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Q4 2025-26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3.96%</t>
        </is>
      </c>
      <c r="J106" s="13" t="inlineStr">
        <is>
          <t>0.26%</t>
        </is>
      </c>
      <c r="K106" s="16">
        <f>X105</f>
        <v/>
      </c>
      <c r="L106" s="13" t="inlineStr">
        <is>
          <t>2024-10-17</t>
        </is>
      </c>
      <c r="M106" s="13" t="inlineStr">
        <is>
          <t>2024-10-24</t>
        </is>
      </c>
      <c r="N106" s="13" t="inlineStr">
        <is>
          <t>2024-10-18</t>
        </is>
      </c>
      <c r="O106" s="9" t="n">
        <v>4127</v>
      </c>
      <c r="P106" s="17" t="n">
        <v>315.6078491210937</v>
      </c>
      <c r="Q106" s="17" t="n">
        <v>328.6375427246094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Q4 2025-26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0.45%</t>
        </is>
      </c>
      <c r="J107" s="13" t="inlineStr">
        <is>
          <t>-3.71%</t>
        </is>
      </c>
      <c r="K107" s="16">
        <f>X106</f>
        <v/>
      </c>
      <c r="L107" s="13" t="inlineStr">
        <is>
          <t>2024-07-11</t>
        </is>
      </c>
      <c r="M107" s="13" t="inlineStr">
        <is>
          <t>2024-07-22</t>
        </is>
      </c>
      <c r="N107" s="13" t="inlineStr">
        <is>
          <t>2024-07-19</t>
        </is>
      </c>
      <c r="O107" s="9" t="n">
        <v>1839</v>
      </c>
      <c r="P107" s="17" t="n">
        <v>704.609619140625</v>
      </c>
      <c r="Q107" s="17" t="n">
        <v>707.7862548828125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Q4 2025-26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-2.92%</t>
        </is>
      </c>
      <c r="J108" s="13" t="inlineStr">
        <is>
          <t>-4.59%</t>
        </is>
      </c>
      <c r="K108" s="16">
        <f>X107</f>
        <v/>
      </c>
      <c r="L108" s="13" t="inlineStr">
        <is>
          <t>2024-10-18</t>
        </is>
      </c>
      <c r="M108" s="13" t="inlineStr">
        <is>
          <t>2024-10-31</t>
        </is>
      </c>
      <c r="N108" s="13" t="inlineStr">
        <is>
          <t>2024-10-25</t>
        </is>
      </c>
      <c r="O108" s="9" t="n">
        <v>675</v>
      </c>
      <c r="P108" s="17" t="n">
        <v>984.2807006835938</v>
      </c>
      <c r="Q108" s="17" t="n">
        <v>955.5733032226562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Q4 2025-26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6.31%</t>
        </is>
      </c>
      <c r="J109" s="13" t="inlineStr">
        <is>
          <t>5.07%</t>
        </is>
      </c>
      <c r="K109" s="16">
        <f>X108</f>
        <v/>
      </c>
      <c r="L109" s="13" t="inlineStr">
        <is>
          <t>2024-08-02</t>
        </is>
      </c>
      <c r="M109" s="13" t="inlineStr">
        <is>
          <t>2024-08-16</t>
        </is>
      </c>
      <c r="N109" s="13" t="inlineStr">
        <is>
          <t>2024-08-09</t>
        </is>
      </c>
      <c r="O109" s="9" t="n">
        <v>2273</v>
      </c>
      <c r="P109" s="17" t="n">
        <v>603.9265747070312</v>
      </c>
      <c r="Q109" s="17" t="n">
        <v>642.051513671875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Q4 2025-26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4.92%</t>
        </is>
      </c>
      <c r="J110" s="13" t="inlineStr">
        <is>
          <t>5.52%</t>
        </is>
      </c>
      <c r="K110" s="16">
        <f>X109</f>
        <v/>
      </c>
      <c r="L110" s="13" t="inlineStr">
        <is>
          <t>2024-07-30</t>
        </is>
      </c>
      <c r="M110" s="13" t="inlineStr">
        <is>
          <t>2024-08-05</t>
        </is>
      </c>
      <c r="N110" s="13" t="inlineStr">
        <is>
          <t>2024-08-02</t>
        </is>
      </c>
      <c r="O110" s="9" t="n">
        <v>1575</v>
      </c>
      <c r="P110" s="17" t="n">
        <v>541.7965087890625</v>
      </c>
      <c r="Q110" s="17" t="n">
        <v>569.8513793945312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Q4 2025-26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8.08%</t>
        </is>
      </c>
      <c r="J111" s="13" t="inlineStr">
        <is>
          <t>1.99%</t>
        </is>
      </c>
      <c r="K111" s="16">
        <f>X110</f>
        <v/>
      </c>
      <c r="L111" s="13" t="inlineStr">
        <is>
          <t>2024-07-23</t>
        </is>
      </c>
      <c r="M111" s="13" t="inlineStr">
        <is>
          <t>2024-08-01</t>
        </is>
      </c>
      <c r="N111" s="13" t="inlineStr">
        <is>
          <t>2024-07-26</t>
        </is>
      </c>
      <c r="O111" s="9" t="n">
        <v>276</v>
      </c>
      <c r="P111" s="17" t="n">
        <v>4051.050048828125</v>
      </c>
      <c r="Q111" s="17" t="n">
        <v>4378.2001953125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Q4 2025-26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5.22%</t>
        </is>
      </c>
      <c r="J112" s="13" t="inlineStr">
        <is>
          <t>1.48%</t>
        </is>
      </c>
      <c r="K112" s="16">
        <f>X111</f>
        <v/>
      </c>
      <c r="L112" s="13" t="inlineStr">
        <is>
          <t>2024-07-16</t>
        </is>
      </c>
      <c r="M112" s="13" t="inlineStr">
        <is>
          <t>2024-08-02</t>
        </is>
      </c>
      <c r="N112" s="13" t="inlineStr">
        <is>
          <t>2024-07-29</t>
        </is>
      </c>
      <c r="O112" s="9" t="n">
        <v>208</v>
      </c>
      <c r="P112" s="17" t="n">
        <v>4237.1904296875</v>
      </c>
      <c r="Q112" s="17" t="n">
        <v>4470.39404296875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Q4 2025-26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5.5%</t>
        </is>
      </c>
      <c r="J113" s="13" t="inlineStr">
        <is>
          <t>3.0%</t>
        </is>
      </c>
      <c r="K113" s="16">
        <f>X112</f>
        <v/>
      </c>
      <c r="L113" s="13" t="inlineStr">
        <is>
          <t>2024-07-15</t>
        </is>
      </c>
      <c r="M113" s="13" t="inlineStr">
        <is>
          <t>2024-07-29</t>
        </is>
      </c>
      <c r="N113" s="13" t="inlineStr">
        <is>
          <t>2024-07-26</t>
        </is>
      </c>
      <c r="O113" s="9" t="n">
        <v>1063</v>
      </c>
      <c r="P113" s="17" t="n">
        <v>737.6716918945312</v>
      </c>
      <c r="Q113" s="17" t="n">
        <v>778.2609252929688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Q4 2025-26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6.03%</t>
        </is>
      </c>
      <c r="J114" s="13" t="inlineStr">
        <is>
          <t>5.93%</t>
        </is>
      </c>
      <c r="K114" s="16">
        <f>X113</f>
        <v/>
      </c>
      <c r="L114" s="13" t="inlineStr">
        <is>
          <t>2024-10-16</t>
        </is>
      </c>
      <c r="M114" s="13" t="inlineStr">
        <is>
          <t>2024-10-22</t>
        </is>
      </c>
      <c r="N114" s="13" t="inlineStr">
        <is>
          <t>2024-10-19</t>
        </is>
      </c>
      <c r="O114" s="9" t="n">
        <v>400</v>
      </c>
      <c r="P114" s="17" t="n">
        <v>352.2239074707031</v>
      </c>
      <c r="Q114" s="17" t="n">
        <v>374.8378295898438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Q4 2025-26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-5.07%</t>
        </is>
      </c>
      <c r="J115" s="13" t="inlineStr">
        <is>
          <t>-3.92%</t>
        </is>
      </c>
      <c r="K115" s="16">
        <f>X114</f>
        <v/>
      </c>
      <c r="L115" s="13" t="inlineStr">
        <is>
          <t>2024-07-16</t>
        </is>
      </c>
      <c r="M115" s="13" t="inlineStr">
        <is>
          <t>2024-07-25</t>
        </is>
      </c>
      <c r="N115" s="13" t="inlineStr">
        <is>
          <t>2024-07-24</t>
        </is>
      </c>
      <c r="O115" s="9" t="n">
        <v>1695</v>
      </c>
      <c r="P115" s="17" t="n">
        <v>1847.067993164062</v>
      </c>
      <c r="Q115" s="17" t="n">
        <v>1753.414794921875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Q4 2025-26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-1.96%</t>
        </is>
      </c>
      <c r="J116" s="13" t="inlineStr">
        <is>
          <t>-4.77%</t>
        </is>
      </c>
      <c r="K116" s="16">
        <f>X115</f>
        <v/>
      </c>
      <c r="L116" s="13" t="inlineStr">
        <is>
          <t>2024-07-19</t>
        </is>
      </c>
      <c r="M116" s="13" t="inlineStr">
        <is>
          <t>2024-07-26</t>
        </is>
      </c>
      <c r="N116" s="13" t="inlineStr">
        <is>
          <t>2024-07-25</t>
        </is>
      </c>
      <c r="O116" s="9" t="n">
        <v>561</v>
      </c>
      <c r="P116" s="17" t="n">
        <v>447.2563781738281</v>
      </c>
      <c r="Q116" s="17" t="n">
        <v>438.6409301757813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Q4 2025-26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-16.59%</t>
        </is>
      </c>
      <c r="J117" s="13" t="inlineStr">
        <is>
          <t>-16.01%</t>
        </is>
      </c>
      <c r="K117" s="16">
        <f>X116</f>
        <v/>
      </c>
      <c r="L117" s="13" t="inlineStr">
        <is>
          <t>2024-07-31</t>
        </is>
      </c>
      <c r="M117" s="13" t="inlineStr">
        <is>
          <t>2024-08-08</t>
        </is>
      </c>
      <c r="N117" s="13" t="inlineStr">
        <is>
          <t>2024-08-02</t>
        </is>
      </c>
      <c r="O117" s="9" t="n">
        <v>1848</v>
      </c>
      <c r="P117" s="17" t="n">
        <v>744.0276489257812</v>
      </c>
      <c r="Q117" s="17" t="n">
        <v>620.629150390625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Q4 2025-26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6.85%</t>
        </is>
      </c>
      <c r="J118" s="13" t="inlineStr">
        <is>
          <t>5.9%</t>
        </is>
      </c>
      <c r="K118" s="16">
        <f>X117</f>
        <v/>
      </c>
      <c r="L118" s="13" t="inlineStr">
        <is>
          <t>2026-01-30</t>
        </is>
      </c>
      <c r="M118" s="13" t="inlineStr">
        <is>
          <t>2026-02-12</t>
        </is>
      </c>
      <c r="N118" s="13" t="inlineStr">
        <is>
          <t>2026-02-05</t>
        </is>
      </c>
      <c r="O118" s="9" t="n">
        <v>2364</v>
      </c>
      <c r="P118" s="17" t="n">
        <v>402.8077087402344</v>
      </c>
      <c r="Q118" s="17" t="n">
        <v>430.38623046875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Q4 2025-26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2.55%</t>
        </is>
      </c>
      <c r="J119" s="13" t="inlineStr">
        <is>
          <t>-1.7%</t>
        </is>
      </c>
      <c r="K119" s="16">
        <f>X118</f>
        <v/>
      </c>
      <c r="L119" s="13" t="inlineStr">
        <is>
          <t>2024-10-21</t>
        </is>
      </c>
      <c r="M119" s="13" t="inlineStr">
        <is>
          <t>2024-10-28</t>
        </is>
      </c>
      <c r="N119" s="13" t="inlineStr">
        <is>
          <t>2024-10-25</t>
        </is>
      </c>
      <c r="O119" s="9" t="n">
        <v>776</v>
      </c>
      <c r="P119" s="17" t="n">
        <v>1104.55908203125</v>
      </c>
      <c r="Q119" s="17" t="n">
        <v>1133.463745117188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Q4 2025-26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-1.32%</t>
        </is>
      </c>
      <c r="J120" s="13" t="inlineStr">
        <is>
          <t>-1.88%</t>
        </is>
      </c>
      <c r="K120" s="16">
        <f>X119</f>
        <v/>
      </c>
      <c r="L120" s="13" t="inlineStr">
        <is>
          <t>2024-10-31</t>
        </is>
      </c>
      <c r="M120" s="13" t="inlineStr">
        <is>
          <t>2024-11-04</t>
        </is>
      </c>
      <c r="N120" s="13" t="inlineStr">
        <is>
          <t>2024-10-31</t>
        </is>
      </c>
      <c r="O120" s="9" t="n">
        <v>300</v>
      </c>
      <c r="P120" s="17" t="n">
        <v>3554.115234375</v>
      </c>
      <c r="Q120" s="17" t="n">
        <v>3507.165771484375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Q4 2025-26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0.69%</t>
        </is>
      </c>
      <c r="J121" s="13" t="inlineStr">
        <is>
          <t>-0.77%</t>
        </is>
      </c>
      <c r="K121" s="16">
        <f>X120</f>
        <v/>
      </c>
      <c r="L121" s="13" t="inlineStr">
        <is>
          <t>2024-07-15</t>
        </is>
      </c>
      <c r="M121" s="13" t="inlineStr">
        <is>
          <t>2024-07-18</t>
        </is>
      </c>
      <c r="N121" s="13" t="inlineStr">
        <is>
          <t>2024-07-16</t>
        </is>
      </c>
      <c r="O121" s="9" t="n">
        <v>3265</v>
      </c>
      <c r="P121" s="17" t="n">
        <v>179.8065643310547</v>
      </c>
      <c r="Q121" s="17" t="n">
        <v>181.0535278320312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Q4 2025-26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-3.84%</t>
        </is>
      </c>
      <c r="J122" s="13" t="inlineStr">
        <is>
          <t>-6.41%</t>
        </is>
      </c>
      <c r="K122" s="16">
        <f>X121</f>
        <v/>
      </c>
      <c r="L122" s="13" t="inlineStr">
        <is>
          <t>2024-07-15</t>
        </is>
      </c>
      <c r="M122" s="13" t="inlineStr">
        <is>
          <t>2024-07-23</t>
        </is>
      </c>
      <c r="N122" s="13" t="inlineStr">
        <is>
          <t>2024-07-17</t>
        </is>
      </c>
      <c r="O122" s="9" t="n">
        <v>225</v>
      </c>
      <c r="P122" s="17" t="n">
        <v>5522.734375</v>
      </c>
      <c r="Q122" s="17" t="n">
        <v>5318.419921875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Q4 2025-26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10.78%</t>
        </is>
      </c>
      <c r="J123" s="13" t="inlineStr">
        <is>
          <t>6.99%</t>
        </is>
      </c>
      <c r="K123" s="16">
        <f>X122</f>
        <v/>
      </c>
      <c r="L123" s="13" t="inlineStr">
        <is>
          <t>2024-07-25</t>
        </is>
      </c>
      <c r="M123" s="13" t="inlineStr">
        <is>
          <t>2024-08-07</t>
        </is>
      </c>
      <c r="N123" s="13" t="inlineStr">
        <is>
          <t>2024-08-06</t>
        </is>
      </c>
      <c r="O123" s="9" t="n">
        <v>413</v>
      </c>
      <c r="P123" s="17" t="n">
        <v>1776.341918945312</v>
      </c>
      <c r="Q123" s="17" t="n">
        <v>1967.853637695312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Q4 2025-26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1.62%</t>
        </is>
      </c>
      <c r="J124" s="13" t="inlineStr">
        <is>
          <t>-0.65%</t>
        </is>
      </c>
      <c r="K124" s="16">
        <f>X123</f>
        <v/>
      </c>
      <c r="L124" s="13" t="inlineStr">
        <is>
          <t>2024-11-04</t>
        </is>
      </c>
      <c r="M124" s="13" t="inlineStr">
        <is>
          <t>2024-11-11</t>
        </is>
      </c>
      <c r="N124" s="13" t="inlineStr">
        <is>
          <t>2024-11-07</t>
        </is>
      </c>
      <c r="O124" s="9" t="n">
        <v>350</v>
      </c>
      <c r="P124" s="17" t="n">
        <v>2831.232666015625</v>
      </c>
      <c r="Q124" s="17" t="n">
        <v>2877.030029296875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Q4 2025-26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2.76%</t>
        </is>
      </c>
      <c r="J125" s="13" t="inlineStr">
        <is>
          <t>-1.62%</t>
        </is>
      </c>
      <c r="K125" s="16">
        <f>X124</f>
        <v/>
      </c>
      <c r="L125" s="13" t="inlineStr">
        <is>
          <t>2024-07-09</t>
        </is>
      </c>
      <c r="M125" s="13" t="inlineStr">
        <is>
          <t>2024-07-22</t>
        </is>
      </c>
      <c r="N125" s="13" t="inlineStr">
        <is>
          <t>2024-07-15</t>
        </is>
      </c>
      <c r="O125" s="9" t="n">
        <v>12616</v>
      </c>
      <c r="P125" s="17" t="n">
        <v>60.98050689697266</v>
      </c>
      <c r="Q125" s="17" t="n">
        <v>62.66552352905273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Q4 2025-26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-1.59%</t>
        </is>
      </c>
      <c r="J126" s="13" t="inlineStr">
        <is>
          <t>-2.16%</t>
        </is>
      </c>
      <c r="K126" s="16">
        <f>X125</f>
        <v/>
      </c>
      <c r="L126" s="13" t="inlineStr">
        <is>
          <t>2024-08-09</t>
        </is>
      </c>
      <c r="M126" s="13" t="inlineStr">
        <is>
          <t>2024-08-14</t>
        </is>
      </c>
      <c r="N126" s="13" t="inlineStr">
        <is>
          <t>2024-08-13</t>
        </is>
      </c>
      <c r="O126" s="9" t="n">
        <v>2714</v>
      </c>
      <c r="P126" s="17" t="n">
        <v>199.6744842529297</v>
      </c>
      <c r="Q126" s="17" t="n">
        <v>196.4955902099609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Q4 2025-26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6.51%</t>
        </is>
      </c>
      <c r="J127" s="13" t="inlineStr">
        <is>
          <t>3.41%</t>
        </is>
      </c>
      <c r="K127" s="16">
        <f>X126</f>
        <v/>
      </c>
      <c r="L127" s="13" t="inlineStr">
        <is>
          <t>2024-07-25</t>
        </is>
      </c>
      <c r="M127" s="13" t="inlineStr">
        <is>
          <t>2024-08-01</t>
        </is>
      </c>
      <c r="N127" s="13" t="inlineStr">
        <is>
          <t>2024-07-31</t>
        </is>
      </c>
      <c r="O127" s="9" t="n">
        <v>388</v>
      </c>
      <c r="P127" s="17" t="n">
        <v>2003.960083007812</v>
      </c>
      <c r="Q127" s="17" t="n">
        <v>2143.554931640625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Q4 2025-26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-4.4%</t>
        </is>
      </c>
      <c r="J128" s="13" t="inlineStr">
        <is>
          <t>-5.79%</t>
        </is>
      </c>
      <c r="K128" s="16">
        <f>X127</f>
        <v/>
      </c>
      <c r="L128" s="13" t="inlineStr">
        <is>
          <t>2024-07-29</t>
        </is>
      </c>
      <c r="M128" s="13" t="inlineStr">
        <is>
          <t>2024-08-09</t>
        </is>
      </c>
      <c r="N128" s="13" t="inlineStr">
        <is>
          <t>2024-08-05</t>
        </is>
      </c>
      <c r="O128" s="9" t="n">
        <v>1129</v>
      </c>
      <c r="P128" s="17" t="n">
        <v>669.6732177734375</v>
      </c>
      <c r="Q128" s="17" t="n">
        <v>640.2117309570312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Q4 2025-26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3.71%</t>
        </is>
      </c>
      <c r="J129" s="13" t="inlineStr">
        <is>
          <t>3.0%</t>
        </is>
      </c>
      <c r="K129" s="16">
        <f>X128</f>
        <v/>
      </c>
      <c r="L129" s="13" t="inlineStr">
        <is>
          <t>2024-10-25</t>
        </is>
      </c>
      <c r="M129" s="13" t="inlineStr">
        <is>
          <t>2024-10-31</t>
        </is>
      </c>
      <c r="N129" s="13" t="inlineStr">
        <is>
          <t>2024-10-29</t>
        </is>
      </c>
      <c r="O129" s="9" t="n">
        <v>100</v>
      </c>
      <c r="P129" s="17" t="n">
        <v>10957.849609375</v>
      </c>
      <c r="Q129" s="17" t="n">
        <v>11379.6826171875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Q4 2025-26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-3.39%</t>
        </is>
      </c>
      <c r="J130" s="13" t="inlineStr">
        <is>
          <t>-6.01%</t>
        </is>
      </c>
      <c r="K130" s="16">
        <f>X129</f>
        <v/>
      </c>
      <c r="L130" s="13" t="inlineStr">
        <is>
          <t>2024-07-26</t>
        </is>
      </c>
      <c r="M130" s="13" t="inlineStr">
        <is>
          <t>2024-08-02</t>
        </is>
      </c>
      <c r="N130" s="13" t="inlineStr">
        <is>
          <t>2024-08-01</t>
        </is>
      </c>
      <c r="O130" s="9" t="n">
        <v>922</v>
      </c>
      <c r="P130" s="17" t="n">
        <v>944.09228515625</v>
      </c>
      <c r="Q130" s="17" t="n">
        <v>912.0419311523438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Q4 2025-26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7.07%</t>
        </is>
      </c>
      <c r="J131" s="13" t="inlineStr">
        <is>
          <t>2.08%</t>
        </is>
      </c>
      <c r="K131" s="16">
        <f>X130</f>
        <v/>
      </c>
      <c r="L131" s="13" t="inlineStr">
        <is>
          <t>2024-08-08</t>
        </is>
      </c>
      <c r="M131" s="13" t="inlineStr">
        <is>
          <t>2024-08-21</t>
        </is>
      </c>
      <c r="N131" s="13" t="inlineStr">
        <is>
          <t>2024-08-14</t>
        </is>
      </c>
      <c r="O131" s="9" t="n">
        <v>431</v>
      </c>
      <c r="P131" s="17" t="n">
        <v>2233.72705078125</v>
      </c>
      <c r="Q131" s="17" t="n">
        <v>2403.705322265625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Q4 2025-26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28.59%</t>
        </is>
      </c>
      <c r="J132" s="13" t="inlineStr">
        <is>
          <t>18.23%</t>
        </is>
      </c>
      <c r="K132" s="16">
        <f>X131</f>
        <v/>
      </c>
      <c r="L132" s="13" t="inlineStr">
        <is>
          <t>2013-08-30</t>
        </is>
      </c>
      <c r="M132" s="13" t="inlineStr">
        <is>
          <t>2013-09-12</t>
        </is>
      </c>
      <c r="N132" s="13" t="inlineStr">
        <is>
          <t>2013-09-10</t>
        </is>
      </c>
      <c r="O132" s="9" t="n">
        <v>373</v>
      </c>
      <c r="P132" s="17" t="n">
        <v>62.213623046875</v>
      </c>
      <c r="Q132" s="17" t="n">
        <v>79.99842834472656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Q4 2025-26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4.76%</t>
        </is>
      </c>
      <c r="J133" s="13" t="inlineStr">
        <is>
          <t>6.24%</t>
        </is>
      </c>
      <c r="K133" s="16">
        <f>X132</f>
        <v/>
      </c>
      <c r="L133" s="13" t="inlineStr">
        <is>
          <t>2024-08-09</t>
        </is>
      </c>
      <c r="M133" s="13" t="inlineStr">
        <is>
          <t>2024-08-14</t>
        </is>
      </c>
      <c r="N133" s="13" t="inlineStr">
        <is>
          <t>2024-08-13</t>
        </is>
      </c>
      <c r="O133" s="9" t="n">
        <v>661</v>
      </c>
      <c r="P133" s="17" t="n">
        <v>1040.25</v>
      </c>
      <c r="Q133" s="17" t="n">
        <v>1092.199951171875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Q4 2025-26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-5.22%</t>
        </is>
      </c>
      <c r="J134" s="13" t="inlineStr">
        <is>
          <t>-7.2%</t>
        </is>
      </c>
      <c r="K134" s="16">
        <f>X133</f>
        <v/>
      </c>
      <c r="L134" s="13" t="inlineStr">
        <is>
          <t>2024-08-07</t>
        </is>
      </c>
      <c r="M134" s="13" t="inlineStr">
        <is>
          <t>2024-08-20</t>
        </is>
      </c>
      <c r="N134" s="13" t="inlineStr">
        <is>
          <t>2024-08-13</t>
        </is>
      </c>
      <c r="O134" s="9" t="n">
        <v>6815</v>
      </c>
      <c r="P134" s="17" t="n">
        <v>124.9621200561523</v>
      </c>
      <c r="Q134" s="17" t="n">
        <v>118.7631759643555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Q4 2025-26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4.0%</t>
        </is>
      </c>
      <c r="J135" s="13" t="inlineStr">
        <is>
          <t>-1.12%</t>
        </is>
      </c>
      <c r="K135" s="16">
        <f>X134</f>
        <v/>
      </c>
      <c r="L135" s="13" t="inlineStr">
        <is>
          <t>2024-07-24</t>
        </is>
      </c>
      <c r="M135" s="13" t="inlineStr">
        <is>
          <t>2024-07-26</t>
        </is>
      </c>
      <c r="N135" s="13" t="inlineStr">
        <is>
          <t>2024-07-25</t>
        </is>
      </c>
      <c r="O135" s="9" t="n">
        <v>1194</v>
      </c>
      <c r="P135" s="17" t="n">
        <v>559.1387939453125</v>
      </c>
      <c r="Q135" s="17" t="n">
        <v>581.4827270507812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Q4 2025-26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1.98%</t>
        </is>
      </c>
      <c r="J136" s="13" t="inlineStr">
        <is>
          <t>-0.93%</t>
        </is>
      </c>
      <c r="K136" s="16">
        <f>X135</f>
        <v/>
      </c>
      <c r="L136" s="13" t="inlineStr">
        <is>
          <t>2024-07-16</t>
        </is>
      </c>
      <c r="M136" s="13" t="inlineStr">
        <is>
          <t>2024-08-01</t>
        </is>
      </c>
      <c r="N136" s="13" t="inlineStr">
        <is>
          <t>2024-07-26</t>
        </is>
      </c>
      <c r="O136" s="9" t="n">
        <v>426</v>
      </c>
      <c r="P136" s="17" t="n">
        <v>2672.947265625</v>
      </c>
      <c r="Q136" s="17" t="n">
        <v>2725.987060546875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Q4 2025-26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-2.41%</t>
        </is>
      </c>
      <c r="J137" s="13" t="inlineStr">
        <is>
          <t>-3.27%</t>
        </is>
      </c>
      <c r="K137" s="16">
        <f>X136</f>
        <v/>
      </c>
      <c r="L137" s="13" t="inlineStr">
        <is>
          <t>2026-05-12</t>
        </is>
      </c>
      <c r="M137" s="13" t="inlineStr">
        <is>
          <t>2026-05-21</t>
        </is>
      </c>
      <c r="N137" s="13" t="inlineStr">
        <is>
          <t>2026-05-14</t>
        </is>
      </c>
      <c r="O137" s="9" t="n">
        <v>332</v>
      </c>
      <c r="P137" s="17" t="n">
        <v>3353.39990234375</v>
      </c>
      <c r="Q137" s="17" t="n">
        <v>3272.699951171875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Q4 2025-26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2.02%</t>
        </is>
      </c>
      <c r="J138" s="13" t="inlineStr">
        <is>
          <t>1.51%</t>
        </is>
      </c>
      <c r="K138" s="16">
        <f>X137</f>
        <v/>
      </c>
      <c r="L138" s="13" t="inlineStr">
        <is>
          <t>2024-07-18</t>
        </is>
      </c>
      <c r="M138" s="13" t="inlineStr">
        <is>
          <t>2024-07-22</t>
        </is>
      </c>
      <c r="N138" s="13" t="inlineStr">
        <is>
          <t>2024-07-19</t>
        </is>
      </c>
      <c r="O138" s="9" t="n">
        <v>871</v>
      </c>
      <c r="P138" s="17" t="n">
        <v>610.7338256835938</v>
      </c>
      <c r="Q138" s="17" t="n">
        <v>623.3070678710938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Q4 2025-26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5.27%</t>
        </is>
      </c>
      <c r="J139" s="13" t="inlineStr">
        <is>
          <t>-0.25%</t>
        </is>
      </c>
      <c r="K139" s="16">
        <f>X138</f>
        <v/>
      </c>
      <c r="L139" s="13" t="inlineStr">
        <is>
          <t>2024-08-07</t>
        </is>
      </c>
      <c r="M139" s="13" t="inlineStr">
        <is>
          <t>2024-08-13</t>
        </is>
      </c>
      <c r="N139" s="13" t="inlineStr">
        <is>
          <t>2024-08-12</t>
        </is>
      </c>
      <c r="O139" s="9" t="n">
        <v>2876</v>
      </c>
      <c r="P139" s="17" t="n">
        <v>154.8677978515625</v>
      </c>
      <c r="Q139" s="17" t="n">
        <v>163.4918212890625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Q4 2025-26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2.94%</t>
        </is>
      </c>
      <c r="J140" s="13" t="inlineStr">
        <is>
          <t>1.33%</t>
        </is>
      </c>
      <c r="K140" s="16">
        <f>X139</f>
        <v/>
      </c>
      <c r="L140" s="13" t="inlineStr">
        <is>
          <t>2024-08-05</t>
        </is>
      </c>
      <c r="M140" s="13" t="inlineStr">
        <is>
          <t>2024-08-12</t>
        </is>
      </c>
      <c r="N140" s="13" t="inlineStr">
        <is>
          <t>2024-08-09</t>
        </is>
      </c>
      <c r="O140" s="9" t="n">
        <v>803</v>
      </c>
      <c r="P140" s="17" t="n">
        <v>1379.364624023438</v>
      </c>
      <c r="Q140" s="17" t="n">
        <v>1419.90234375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Q4 2025-26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-0.56%</t>
        </is>
      </c>
      <c r="J141" s="13" t="inlineStr">
        <is>
          <t>-2.65%</t>
        </is>
      </c>
      <c r="K141" s="16">
        <f>X140</f>
        <v/>
      </c>
      <c r="L141" s="13" t="inlineStr">
        <is>
          <t>2024-08-12</t>
        </is>
      </c>
      <c r="M141" s="13" t="inlineStr">
        <is>
          <t>2024-08-16</t>
        </is>
      </c>
      <c r="N141" s="13" t="inlineStr">
        <is>
          <t>2024-08-14</t>
        </is>
      </c>
      <c r="O141" s="9" t="n">
        <v>10687</v>
      </c>
      <c r="P141" s="17" t="n">
        <v>119.8747100830078</v>
      </c>
      <c r="Q141" s="17" t="n">
        <v>119.2123489379883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Q4 2025-26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-1.01%</t>
        </is>
      </c>
      <c r="J142" s="13" t="inlineStr">
        <is>
          <t>-0.88%</t>
        </is>
      </c>
      <c r="K142" s="16">
        <f>X141</f>
        <v/>
      </c>
      <c r="L142" s="13" t="inlineStr">
        <is>
          <t>2024-10-17</t>
        </is>
      </c>
      <c r="M142" s="13" t="inlineStr">
        <is>
          <t>2024-10-21</t>
        </is>
      </c>
      <c r="N142" s="13" t="inlineStr">
        <is>
          <t>2024-10-17</t>
        </is>
      </c>
      <c r="O142" s="9" t="n">
        <v>200</v>
      </c>
      <c r="P142" s="17" t="n">
        <v>1164.914306640625</v>
      </c>
      <c r="Q142" s="17" t="n">
        <v>1153.136474609375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Q4 2025-26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8.99%</t>
        </is>
      </c>
      <c r="J143" s="13" t="inlineStr">
        <is>
          <t>6.21%</t>
        </is>
      </c>
      <c r="K143" s="16">
        <f>X142</f>
        <v/>
      </c>
      <c r="L143" s="13" t="inlineStr">
        <is>
          <t>2024-08-01</t>
        </is>
      </c>
      <c r="M143" s="13" t="inlineStr">
        <is>
          <t>2024-08-13</t>
        </is>
      </c>
      <c r="N143" s="13" t="inlineStr">
        <is>
          <t>2024-08-07</t>
        </is>
      </c>
      <c r="O143" s="9" t="n">
        <v>12809</v>
      </c>
      <c r="P143" s="17" t="n">
        <v>91.11766052246094</v>
      </c>
      <c r="Q143" s="17" t="n">
        <v>100.1152038574219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Q4 2025-26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0.77%</t>
        </is>
      </c>
      <c r="J144" s="13" t="inlineStr">
        <is>
          <t>1.62%</t>
        </is>
      </c>
      <c r="K144" s="16">
        <f>X143</f>
        <v/>
      </c>
      <c r="L144" s="13" t="inlineStr">
        <is>
          <t>2024-08-06</t>
        </is>
      </c>
      <c r="M144" s="13" t="inlineStr">
        <is>
          <t>2024-08-13</t>
        </is>
      </c>
      <c r="N144" s="13" t="inlineStr">
        <is>
          <t>2024-08-12</t>
        </is>
      </c>
      <c r="O144" s="9" t="n">
        <v>11763</v>
      </c>
      <c r="P144" s="17" t="n">
        <v>68.21719360351562</v>
      </c>
      <c r="Q144" s="17" t="n">
        <v>68.74397277832031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Q4 2025-26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3.2%</t>
        </is>
      </c>
      <c r="J145" s="13" t="inlineStr">
        <is>
          <t>4.69%</t>
        </is>
      </c>
      <c r="K145" s="16">
        <f>X144</f>
        <v/>
      </c>
      <c r="L145" s="13" t="inlineStr">
        <is>
          <t>2024-10-16</t>
        </is>
      </c>
      <c r="M145" s="13" t="inlineStr">
        <is>
          <t>2024-10-31</t>
        </is>
      </c>
      <c r="N145" s="13" t="inlineStr">
        <is>
          <t>2024-10-24</t>
        </is>
      </c>
      <c r="O145" s="9" t="n">
        <v>1500</v>
      </c>
      <c r="P145" s="17" t="n">
        <v>394.5775756835938</v>
      </c>
      <c r="Q145" s="17" t="n">
        <v>407.6321716308594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Q4 2025-26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5.42%</t>
        </is>
      </c>
      <c r="J146" s="13" t="inlineStr">
        <is>
          <t>2.56%</t>
        </is>
      </c>
      <c r="K146" s="16">
        <f>X145</f>
        <v/>
      </c>
      <c r="L146" s="13" t="inlineStr">
        <is>
          <t>2024-08-02</t>
        </is>
      </c>
      <c r="M146" s="13" t="inlineStr">
        <is>
          <t>2024-08-14</t>
        </is>
      </c>
      <c r="N146" s="13" t="inlineStr">
        <is>
          <t>2024-08-13</t>
        </is>
      </c>
      <c r="O146" s="9" t="n">
        <v>2996</v>
      </c>
      <c r="P146" s="17" t="n">
        <v>189.2700042724609</v>
      </c>
      <c r="Q146" s="17" t="n">
        <v>200.1199951171875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Q4 2025-26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1.04%</t>
        </is>
      </c>
      <c r="J147" s="13" t="inlineStr">
        <is>
          <t>2.8%</t>
        </is>
      </c>
      <c r="K147" s="16">
        <f>X146</f>
        <v/>
      </c>
      <c r="L147" s="13" t="inlineStr">
        <is>
          <t>2024-07-11</t>
        </is>
      </c>
      <c r="M147" s="13" t="inlineStr">
        <is>
          <t>2024-07-25</t>
        </is>
      </c>
      <c r="N147" s="13" t="inlineStr">
        <is>
          <t>2024-07-19</t>
        </is>
      </c>
      <c r="O147" s="9" t="n">
        <v>551</v>
      </c>
      <c r="P147" s="17" t="n">
        <v>1693.750366210938</v>
      </c>
      <c r="Q147" s="17" t="n">
        <v>1711.316040039062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Q4 2025-26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-9.39%</t>
        </is>
      </c>
      <c r="J148" s="13" t="inlineStr">
        <is>
          <t>-4.84%</t>
        </is>
      </c>
      <c r="K148" s="16">
        <f>X147</f>
        <v/>
      </c>
      <c r="L148" s="13" t="inlineStr">
        <is>
          <t>2024-07-11</t>
        </is>
      </c>
      <c r="M148" s="13" t="inlineStr">
        <is>
          <t>2024-07-30</t>
        </is>
      </c>
      <c r="N148" s="13" t="inlineStr">
        <is>
          <t>2024-07-24</t>
        </is>
      </c>
      <c r="O148" s="9" t="n">
        <v>100</v>
      </c>
      <c r="P148" s="17" t="n">
        <v>10300.5</v>
      </c>
      <c r="Q148" s="17" t="n">
        <v>9416.6640625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Q4 2025-26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16.8%</t>
        </is>
      </c>
      <c r="J149" s="13" t="inlineStr">
        <is>
          <t>8.71%</t>
        </is>
      </c>
      <c r="K149" s="16">
        <f>X148</f>
        <v/>
      </c>
      <c r="L149" s="13" t="inlineStr">
        <is>
          <t>2024-08-06</t>
        </is>
      </c>
      <c r="M149" s="13" t="inlineStr">
        <is>
          <t>2024-08-12</t>
        </is>
      </c>
      <c r="N149" s="13" t="inlineStr">
        <is>
          <t>2024-08-09</t>
        </is>
      </c>
      <c r="O149" s="9" t="n">
        <v>2188</v>
      </c>
      <c r="P149" s="17" t="n">
        <v>541.021484375</v>
      </c>
      <c r="Q149" s="17" t="n">
        <v>631.8862915039062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Q4 2025-26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6.49%</t>
        </is>
      </c>
      <c r="J150" s="13" t="inlineStr">
        <is>
          <t>5.74%</t>
        </is>
      </c>
      <c r="K150" s="16">
        <f>X149</f>
        <v/>
      </c>
      <c r="L150" s="13" t="inlineStr">
        <is>
          <t>2024-11-04</t>
        </is>
      </c>
      <c r="M150" s="13" t="inlineStr">
        <is>
          <t>2024-11-21</t>
        </is>
      </c>
      <c r="N150" s="13" t="inlineStr">
        <is>
          <t>2024-11-12</t>
        </is>
      </c>
      <c r="O150" s="9" t="n">
        <v>3750</v>
      </c>
      <c r="P150" s="17" t="n">
        <v>225.2326354980469</v>
      </c>
      <c r="Q150" s="17" t="n">
        <v>240.8582611083984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Q4 2025-26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2.62%</t>
        </is>
      </c>
      <c r="J151" s="13" t="inlineStr">
        <is>
          <t>2.71%</t>
        </is>
      </c>
      <c r="K151" s="16">
        <f>X150</f>
        <v/>
      </c>
      <c r="L151" s="13" t="inlineStr">
        <is>
          <t>2024-07-29</t>
        </is>
      </c>
      <c r="M151" s="13" t="inlineStr">
        <is>
          <t>2024-08-09</t>
        </is>
      </c>
      <c r="N151" s="13" t="inlineStr">
        <is>
          <t>2024-08-08</t>
        </is>
      </c>
      <c r="O151" s="9" t="n">
        <v>100</v>
      </c>
      <c r="P151" s="17" t="n">
        <v>40169</v>
      </c>
      <c r="Q151" s="17" t="n">
        <v>41250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Q4 2025-26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1.09%</t>
        </is>
      </c>
      <c r="J152" s="13" t="inlineStr">
        <is>
          <t>-0.35%</t>
        </is>
      </c>
      <c r="K152" s="16">
        <f>X151</f>
        <v/>
      </c>
      <c r="L152" s="13" t="inlineStr">
        <is>
          <t>2024-07-11</t>
        </is>
      </c>
      <c r="M152" s="13" t="inlineStr">
        <is>
          <t>2024-07-22</t>
        </is>
      </c>
      <c r="N152" s="13" t="inlineStr">
        <is>
          <t>2024-07-19</t>
        </is>
      </c>
      <c r="O152" s="9" t="n">
        <v>2806</v>
      </c>
      <c r="P152" s="17" t="n">
        <v>529.9508666992188</v>
      </c>
      <c r="Q152" s="17" t="n">
        <v>535.8119506835938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Q4 2025-26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0.68%</t>
        </is>
      </c>
      <c r="J153" s="13" t="inlineStr">
        <is>
          <t>2.27%</t>
        </is>
      </c>
      <c r="K153" s="16">
        <f>X152</f>
        <v/>
      </c>
      <c r="L153" s="13" t="inlineStr">
        <is>
          <t>2024-07-12</t>
        </is>
      </c>
      <c r="M153" s="13" t="inlineStr">
        <is>
          <t>2024-07-25</t>
        </is>
      </c>
      <c r="N153" s="13" t="inlineStr">
        <is>
          <t>2024-07-19</t>
        </is>
      </c>
      <c r="O153" s="9" t="n">
        <v>750</v>
      </c>
      <c r="P153" s="17" t="n">
        <v>462.7999877929688</v>
      </c>
      <c r="Q153" s="17" t="n">
        <v>465.9500122070313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Q4 2025-26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5.29%</t>
        </is>
      </c>
      <c r="J154" s="13" t="inlineStr">
        <is>
          <t>3.24%</t>
        </is>
      </c>
      <c r="K154" s="16">
        <f>X153</f>
        <v/>
      </c>
      <c r="L154" s="13" t="inlineStr">
        <is>
          <t>2024-07-08</t>
        </is>
      </c>
      <c r="M154" s="13" t="inlineStr">
        <is>
          <t>2024-07-24</t>
        </is>
      </c>
      <c r="N154" s="13" t="inlineStr">
        <is>
          <t>2024-07-18</t>
        </is>
      </c>
      <c r="O154" s="9" t="n">
        <v>181</v>
      </c>
      <c r="P154" s="17" t="n">
        <v>4516.9755859375</v>
      </c>
      <c r="Q154" s="17" t="n">
        <v>4756.0361328125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Q4 2025-26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-3.32%</t>
        </is>
      </c>
      <c r="J155" s="13" t="inlineStr">
        <is>
          <t>-2.84%</t>
        </is>
      </c>
      <c r="K155" s="16">
        <f>X154</f>
        <v/>
      </c>
      <c r="L155" s="13" t="inlineStr">
        <is>
          <t>2024-07-16</t>
        </is>
      </c>
      <c r="M155" s="13" t="inlineStr">
        <is>
          <t>2024-07-30</t>
        </is>
      </c>
      <c r="N155" s="13" t="inlineStr">
        <is>
          <t>2024-07-24</t>
        </is>
      </c>
      <c r="O155" s="9" t="n">
        <v>3585</v>
      </c>
      <c r="P155" s="17" t="n">
        <v>339.4186401367188</v>
      </c>
      <c r="Q155" s="17" t="n">
        <v>328.5269775390625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Q4 2025-26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10.45%</t>
        </is>
      </c>
      <c r="J156" s="13" t="inlineStr">
        <is>
          <t>11.76%</t>
        </is>
      </c>
      <c r="K156" s="16">
        <f>X155</f>
        <v/>
      </c>
      <c r="L156" s="13" t="inlineStr">
        <is>
          <t>2024-07-26</t>
        </is>
      </c>
      <c r="M156" s="13" t="inlineStr">
        <is>
          <t>2024-08-13</t>
        </is>
      </c>
      <c r="N156" s="13" t="inlineStr">
        <is>
          <t>2024-08-07</t>
        </is>
      </c>
      <c r="O156" s="9" t="n">
        <v>2346</v>
      </c>
      <c r="P156" s="17" t="n">
        <v>448.5435791015625</v>
      </c>
      <c r="Q156" s="17" t="n">
        <v>500.8651428222656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Q4 2025-26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23.59%</t>
        </is>
      </c>
      <c r="J157" s="13" t="inlineStr">
        <is>
          <t>13.39%</t>
        </is>
      </c>
      <c r="K157" s="16">
        <f>X156</f>
        <v/>
      </c>
      <c r="L157" s="13" t="inlineStr">
        <is>
          <t>2024-07-16</t>
        </is>
      </c>
      <c r="M157" s="13" t="inlineStr">
        <is>
          <t>2024-07-25</t>
        </is>
      </c>
      <c r="N157" s="13" t="inlineStr">
        <is>
          <t>2024-07-24</t>
        </is>
      </c>
      <c r="O157" s="9" t="n">
        <v>1631</v>
      </c>
      <c r="P157" s="17" t="n">
        <v>363.4712219238281</v>
      </c>
      <c r="Q157" s="17" t="n">
        <v>449.2054443359375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Q4 2025-26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9.87%</t>
        </is>
      </c>
      <c r="J158" s="13" t="inlineStr">
        <is>
          <t>10.91%</t>
        </is>
      </c>
      <c r="K158" s="16">
        <f>X157</f>
        <v/>
      </c>
      <c r="L158" s="13" t="inlineStr">
        <is>
          <t>2024-07-29</t>
        </is>
      </c>
      <c r="M158" s="13" t="inlineStr">
        <is>
          <t>2024-08-07</t>
        </is>
      </c>
      <c r="N158" s="13" t="inlineStr">
        <is>
          <t>2024-08-01</t>
        </is>
      </c>
      <c r="O158" s="9" t="n">
        <v>529</v>
      </c>
      <c r="P158" s="17" t="n">
        <v>1630.141479492188</v>
      </c>
      <c r="Q158" s="17" t="n">
        <v>1808.573852539062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Q4 2025-26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1.09%</t>
        </is>
      </c>
      <c r="J159" s="13" t="inlineStr">
        <is>
          <t>1.82%</t>
        </is>
      </c>
      <c r="K159" s="16">
        <f>X158</f>
        <v/>
      </c>
      <c r="L159" s="13" t="inlineStr">
        <is>
          <t>2024-08-02</t>
        </is>
      </c>
      <c r="M159" s="13" t="inlineStr">
        <is>
          <t>2024-08-08</t>
        </is>
      </c>
      <c r="N159" s="13" t="inlineStr">
        <is>
          <t>2024-08-07</t>
        </is>
      </c>
      <c r="O159" s="9" t="n">
        <v>613</v>
      </c>
      <c r="P159" s="17" t="n">
        <v>1545.217895507812</v>
      </c>
      <c r="Q159" s="17" t="n">
        <v>1562.104614257812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Q4 2025-26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1.37%</t>
        </is>
      </c>
      <c r="J160" s="13" t="inlineStr">
        <is>
          <t>1.5%</t>
        </is>
      </c>
      <c r="K160" s="16">
        <f>X159</f>
        <v/>
      </c>
      <c r="L160" s="13" t="inlineStr">
        <is>
          <t>2024-07-29</t>
        </is>
      </c>
      <c r="M160" s="13" t="inlineStr">
        <is>
          <t>2024-08-08</t>
        </is>
      </c>
      <c r="N160" s="13" t="inlineStr">
        <is>
          <t>2024-08-07</t>
        </is>
      </c>
      <c r="O160" s="9" t="n">
        <v>360</v>
      </c>
      <c r="P160" s="17" t="n">
        <v>4361.65087890625</v>
      </c>
      <c r="Q160" s="17" t="n">
        <v>4421.56689453125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Q4 2025-26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3.77%</t>
        </is>
      </c>
      <c r="J161" s="13" t="inlineStr">
        <is>
          <t>1.06%</t>
        </is>
      </c>
      <c r="K161" s="16">
        <f>X160</f>
        <v/>
      </c>
      <c r="L161" s="13" t="inlineStr">
        <is>
          <t>2024-08-22</t>
        </is>
      </c>
      <c r="M161" s="13" t="inlineStr">
        <is>
          <t>2024-09-04</t>
        </is>
      </c>
      <c r="N161" s="13" t="inlineStr">
        <is>
          <t>2024-09-03</t>
        </is>
      </c>
      <c r="O161" s="9" t="n">
        <v>8957</v>
      </c>
      <c r="P161" s="17" t="n">
        <v>106.658088684082</v>
      </c>
      <c r="Q161" s="17" t="n">
        <v>110.8322448730469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Q4 2025-26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-3.68%</t>
        </is>
      </c>
      <c r="J162" s="13" t="inlineStr">
        <is>
          <t>-3.02%</t>
        </is>
      </c>
      <c r="K162" s="16">
        <f>X161</f>
        <v/>
      </c>
      <c r="L162" s="13" t="inlineStr">
        <is>
          <t>2024-07-19</t>
        </is>
      </c>
      <c r="M162" s="13" t="inlineStr">
        <is>
          <t>2024-08-01</t>
        </is>
      </c>
      <c r="N162" s="13" t="inlineStr">
        <is>
          <t>2024-07-26</t>
        </is>
      </c>
      <c r="O162" s="9" t="n">
        <v>967</v>
      </c>
      <c r="P162" s="17" t="n">
        <v>805.4456176757812</v>
      </c>
      <c r="Q162" s="17" t="n">
        <v>776.8413696289062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Q4 2025-26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3.93%</t>
        </is>
      </c>
      <c r="J163" s="13" t="inlineStr">
        <is>
          <t>0.4%</t>
        </is>
      </c>
      <c r="K163" s="16">
        <f>X162</f>
        <v/>
      </c>
      <c r="L163" s="13" t="inlineStr">
        <is>
          <t>2024-07-30</t>
        </is>
      </c>
      <c r="M163" s="13" t="inlineStr">
        <is>
          <t>2024-08-07</t>
        </is>
      </c>
      <c r="N163" s="13" t="inlineStr">
        <is>
          <t>2024-08-06</t>
        </is>
      </c>
      <c r="O163" s="9" t="n">
        <v>627</v>
      </c>
      <c r="P163" s="17" t="n">
        <v>1456.199951171875</v>
      </c>
      <c r="Q163" s="17" t="n">
        <v>1513.5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Q4 2025-26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3.51%</t>
        </is>
      </c>
      <c r="J164" s="13" t="inlineStr">
        <is>
          <t>3.49%</t>
        </is>
      </c>
      <c r="K164" s="16">
        <f>X163</f>
        <v/>
      </c>
      <c r="L164" s="13" t="inlineStr">
        <is>
          <t>2024-07-12</t>
        </is>
      </c>
      <c r="M164" s="13" t="inlineStr">
        <is>
          <t>2024-07-19</t>
        </is>
      </c>
      <c r="N164" s="13" t="inlineStr">
        <is>
          <t>2024-07-18</t>
        </is>
      </c>
      <c r="O164" s="9" t="n">
        <v>112</v>
      </c>
      <c r="P164" s="17" t="n">
        <v>6284.6943359375</v>
      </c>
      <c r="Q164" s="17" t="n">
        <v>6513.47265625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Q4 2025-26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0.6%</t>
        </is>
      </c>
      <c r="J165" s="13" t="inlineStr">
        <is>
          <t>1.13%</t>
        </is>
      </c>
      <c r="K165" s="16">
        <f>X164</f>
        <v/>
      </c>
      <c r="L165" s="13" t="inlineStr">
        <is>
          <t>2024-11-06</t>
        </is>
      </c>
      <c r="M165" s="13" t="inlineStr">
        <is>
          <t>2024-11-14</t>
        </is>
      </c>
      <c r="N165" s="13" t="inlineStr">
        <is>
          <t>2024-11-07</t>
        </is>
      </c>
      <c r="O165" s="9" t="n">
        <v>1800</v>
      </c>
      <c r="P165" s="17" t="n">
        <v>298.7287902832031</v>
      </c>
      <c r="Q165" s="17" t="n">
        <v>300.5406188964844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Q4 2025-26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2024-07-24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Q4 2025-26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3.76%</t>
        </is>
      </c>
      <c r="J167" s="13" t="inlineStr">
        <is>
          <t>-0.95%</t>
        </is>
      </c>
      <c r="K167" s="16">
        <f>X166</f>
        <v/>
      </c>
      <c r="L167" s="13" t="inlineStr">
        <is>
          <t>2026-01-19</t>
        </is>
      </c>
      <c r="M167" s="13" t="inlineStr">
        <is>
          <t>2026-01-21</t>
        </is>
      </c>
      <c r="N167" s="13" t="inlineStr">
        <is>
          <t>2026-01-20</t>
        </is>
      </c>
      <c r="O167" s="9" t="n">
        <v>1017</v>
      </c>
      <c r="P167" s="17" t="n">
        <v>710.6763305664062</v>
      </c>
      <c r="Q167" s="17" t="n">
        <v>738.4058837890625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Q4 2025-26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10.99%</t>
        </is>
      </c>
      <c r="J168" s="13" t="inlineStr">
        <is>
          <t>7.21%</t>
        </is>
      </c>
      <c r="K168" s="16">
        <f>X167</f>
        <v/>
      </c>
      <c r="L168" s="13" t="inlineStr">
        <is>
          <t>2024-07-25</t>
        </is>
      </c>
      <c r="M168" s="13" t="inlineStr">
        <is>
          <t>2024-08-07</t>
        </is>
      </c>
      <c r="N168" s="13" t="inlineStr">
        <is>
          <t>2024-08-01</t>
        </is>
      </c>
      <c r="O168" s="9" t="n">
        <v>627</v>
      </c>
      <c r="P168" s="17" t="n">
        <v>1643.280883789062</v>
      </c>
      <c r="Q168" s="17" t="n">
        <v>1846.152709960937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Q4 2025-26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1.65%</t>
        </is>
      </c>
      <c r="J169" s="13" t="inlineStr">
        <is>
          <t>0.63%</t>
        </is>
      </c>
      <c r="K169" s="16">
        <f>X168</f>
        <v/>
      </c>
      <c r="L169" s="13" t="inlineStr">
        <is>
          <t>2024-07-26</t>
        </is>
      </c>
      <c r="M169" s="13" t="inlineStr">
        <is>
          <t>2024-08-08</t>
        </is>
      </c>
      <c r="N169" s="13" t="inlineStr">
        <is>
          <t>2024-08-07</t>
        </is>
      </c>
      <c r="O169" s="9" t="n">
        <v>229</v>
      </c>
      <c r="P169" s="17" t="n">
        <v>1697.267333984375</v>
      </c>
      <c r="Q169" s="17" t="n">
        <v>1725.662963867188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Q4 2025-26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1.6%</t>
        </is>
      </c>
      <c r="J170" s="13" t="inlineStr">
        <is>
          <t>-4.04%</t>
        </is>
      </c>
      <c r="K170" s="16">
        <f>X169</f>
        <v/>
      </c>
      <c r="L170" s="13" t="inlineStr">
        <is>
          <t>2024-07-15</t>
        </is>
      </c>
      <c r="M170" s="13" t="inlineStr">
        <is>
          <t>2024-07-22</t>
        </is>
      </c>
      <c r="N170" s="13" t="inlineStr">
        <is>
          <t>2024-07-20</t>
        </is>
      </c>
      <c r="O170" s="9" t="n">
        <v>2645</v>
      </c>
      <c r="P170" s="17" t="n">
        <v>239.9974517822266</v>
      </c>
      <c r="Q170" s="17" t="n">
        <v>243.9075012207031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Q4 2025-26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-4.03%</t>
        </is>
      </c>
      <c r="J171" s="13" t="inlineStr">
        <is>
          <t>-5.55%</t>
        </is>
      </c>
      <c r="K171" s="16">
        <f>X170</f>
        <v/>
      </c>
      <c r="L171" s="13" t="inlineStr">
        <is>
          <t>2026-05-14</t>
        </is>
      </c>
      <c r="M171" s="13" t="inlineStr">
        <is>
          <t>2026-05-19</t>
        </is>
      </c>
      <c r="N171" s="13" t="inlineStr">
        <is>
          <t>2026-05-16</t>
        </is>
      </c>
      <c r="O171" s="9" t="n">
        <v>2667</v>
      </c>
      <c r="P171" s="17" t="n">
        <v>348.2999877929688</v>
      </c>
      <c r="Q171" s="17" t="n">
        <v>334.25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Q4 2025-26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0.21%</t>
        </is>
      </c>
      <c r="J172" s="13" t="inlineStr">
        <is>
          <t>-1.02%</t>
        </is>
      </c>
      <c r="K172" s="16">
        <f>X171</f>
        <v/>
      </c>
      <c r="L172" s="13" t="inlineStr">
        <is>
          <t>2024-10-11</t>
        </is>
      </c>
      <c r="M172" s="13" t="inlineStr">
        <is>
          <t>2024-10-21</t>
        </is>
      </c>
      <c r="N172" s="13" t="inlineStr">
        <is>
          <t>2024-10-14</t>
        </is>
      </c>
      <c r="O172" s="9" t="n">
        <v>250</v>
      </c>
      <c r="P172" s="17" t="n">
        <v>1357.476928710938</v>
      </c>
      <c r="Q172" s="17" t="n">
        <v>1360.35205078125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Q4 2025-26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14.54%</t>
        </is>
      </c>
      <c r="J173" s="13" t="inlineStr">
        <is>
          <t>12.43%</t>
        </is>
      </c>
      <c r="K173" s="16">
        <f>X172</f>
        <v/>
      </c>
      <c r="L173" s="13" t="inlineStr">
        <is>
          <t>2024-07-29</t>
        </is>
      </c>
      <c r="M173" s="13" t="inlineStr">
        <is>
          <t>2024-08-09</t>
        </is>
      </c>
      <c r="N173" s="13" t="inlineStr">
        <is>
          <t>2024-08-08</t>
        </is>
      </c>
      <c r="O173" s="9" t="n">
        <v>4486</v>
      </c>
      <c r="P173" s="17" t="n">
        <v>511.8502197265625</v>
      </c>
      <c r="Q173" s="17" t="n">
        <v>598.9284057617188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Q4 2025-26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-3.52%</t>
        </is>
      </c>
      <c r="J174" s="13" t="inlineStr">
        <is>
          <t>-11.72%</t>
        </is>
      </c>
      <c r="K174" s="16">
        <f>X173</f>
        <v/>
      </c>
      <c r="L174" s="13" t="inlineStr">
        <is>
          <t>2026-01-16</t>
        </is>
      </c>
      <c r="M174" s="13" t="inlineStr">
        <is>
          <t>2026-01-21</t>
        </is>
      </c>
      <c r="N174" s="13" t="inlineStr">
        <is>
          <t>2026-01-20</t>
        </is>
      </c>
      <c r="O174" s="9" t="n">
        <v>21748</v>
      </c>
      <c r="P174" s="17" t="n">
        <v>53.40999984741211</v>
      </c>
      <c r="Q174" s="17" t="n">
        <v>51.52999877929688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Q4 2025-26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6.1%</t>
        </is>
      </c>
      <c r="J175" s="13" t="inlineStr">
        <is>
          <t>1.98%</t>
        </is>
      </c>
      <c r="K175" s="16">
        <f>X174</f>
        <v/>
      </c>
      <c r="L175" s="13" t="inlineStr">
        <is>
          <t>2024-08-05</t>
        </is>
      </c>
      <c r="M175" s="13" t="inlineStr">
        <is>
          <t>2024-08-16</t>
        </is>
      </c>
      <c r="N175" s="13" t="inlineStr">
        <is>
          <t>2024-08-09</t>
        </is>
      </c>
      <c r="O175" s="9" t="n">
        <v>5915</v>
      </c>
      <c r="P175" s="17" t="n">
        <v>125.7149429321289</v>
      </c>
      <c r="Q175" s="17" t="n">
        <v>133.88818359375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Q4 2025-26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-0.05%</t>
        </is>
      </c>
      <c r="J176" s="13" t="inlineStr">
        <is>
          <t>-4.26%</t>
        </is>
      </c>
      <c r="K176" s="16">
        <f>X175</f>
        <v/>
      </c>
      <c r="L176" s="13" t="inlineStr">
        <is>
          <t>2024-04-15</t>
        </is>
      </c>
      <c r="M176" s="13" t="inlineStr">
        <is>
          <t>2024-04-29</t>
        </is>
      </c>
      <c r="N176" s="13" t="inlineStr">
        <is>
          <t>2024-04-26</t>
        </is>
      </c>
      <c r="O176" s="9" t="n">
        <v>1550</v>
      </c>
      <c r="P176" s="17" t="n">
        <v>722.85</v>
      </c>
      <c r="Q176" s="17" t="n">
        <v>722.5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Q4 2025-26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6.3%</t>
        </is>
      </c>
      <c r="J177" s="13" t="inlineStr">
        <is>
          <t>5.31%</t>
        </is>
      </c>
      <c r="K177" s="16">
        <f>X176</f>
        <v/>
      </c>
      <c r="L177" s="13" t="inlineStr">
        <is>
          <t>2024-07-23</t>
        </is>
      </c>
      <c r="M177" s="13" t="inlineStr">
        <is>
          <t>2024-07-25</t>
        </is>
      </c>
      <c r="N177" s="13" t="inlineStr">
        <is>
          <t>2024-07-24</t>
        </is>
      </c>
      <c r="O177" s="9" t="n">
        <v>375</v>
      </c>
      <c r="P177" s="17" t="n">
        <v>1589.610473632812</v>
      </c>
      <c r="Q177" s="17" t="n">
        <v>1689.830322265625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Q4 2025-26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-1.39%</t>
        </is>
      </c>
      <c r="J178" s="13" t="inlineStr">
        <is>
          <t>-1.86%</t>
        </is>
      </c>
      <c r="K178" s="16">
        <f>X177</f>
        <v/>
      </c>
      <c r="L178" s="13" t="inlineStr">
        <is>
          <t>2024-11-07</t>
        </is>
      </c>
      <c r="M178" s="13" t="inlineStr">
        <is>
          <t>2024-11-11</t>
        </is>
      </c>
      <c r="N178" s="13" t="inlineStr">
        <is>
          <t>2024-11-08</t>
        </is>
      </c>
      <c r="O178" s="9" t="n">
        <v>1500</v>
      </c>
      <c r="P178" s="17" t="n">
        <v>827.7589111328125</v>
      </c>
      <c r="Q178" s="17" t="n">
        <v>816.2516479492188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Q4 2025-26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-8.68%</t>
        </is>
      </c>
      <c r="J179" s="13" t="inlineStr">
        <is>
          <t>-11.74%</t>
        </is>
      </c>
      <c r="K179" s="16">
        <f>X178</f>
        <v/>
      </c>
      <c r="L179" s="13" t="inlineStr">
        <is>
          <t>2024-07-25</t>
        </is>
      </c>
      <c r="M179" s="13" t="inlineStr">
        <is>
          <t>2024-08-07</t>
        </is>
      </c>
      <c r="N179" s="13" t="inlineStr">
        <is>
          <t>2024-08-06</t>
        </is>
      </c>
      <c r="O179" s="9" t="n">
        <v>100</v>
      </c>
      <c r="P179" s="17" t="n">
        <v>27233.5234375</v>
      </c>
      <c r="Q179" s="17" t="n">
        <v>24869.548828125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Q4 2025-26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-3.27%</t>
        </is>
      </c>
      <c r="J180" s="13" t="inlineStr">
        <is>
          <t>-5.24%</t>
        </is>
      </c>
      <c r="K180" s="16">
        <f>X179</f>
        <v/>
      </c>
      <c r="L180" s="13" t="inlineStr">
        <is>
          <t>2024-10-24</t>
        </is>
      </c>
      <c r="M180" s="13" t="inlineStr">
        <is>
          <t>2024-10-31</t>
        </is>
      </c>
      <c r="N180" s="13" t="inlineStr">
        <is>
          <t>2024-10-25</t>
        </is>
      </c>
      <c r="O180" s="9" t="n">
        <v>957</v>
      </c>
      <c r="P180" s="17" t="n">
        <v>631.2418212890625</v>
      </c>
      <c r="Q180" s="17" t="n">
        <v>610.5836791992188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Q4 2025-26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-1.43%</t>
        </is>
      </c>
      <c r="J181" s="13" t="inlineStr">
        <is>
          <t>-3.55%</t>
        </is>
      </c>
      <c r="K181" s="16">
        <f>X180</f>
        <v/>
      </c>
      <c r="L181" s="13" t="inlineStr">
        <is>
          <t>2024-07-30</t>
        </is>
      </c>
      <c r="M181" s="13" t="inlineStr">
        <is>
          <t>2024-08-12</t>
        </is>
      </c>
      <c r="N181" s="13" t="inlineStr">
        <is>
          <t>2024-08-09</t>
        </is>
      </c>
      <c r="O181" s="9" t="n">
        <v>273</v>
      </c>
      <c r="P181" s="17" t="n">
        <v>4086.863525390625</v>
      </c>
      <c r="Q181" s="17" t="n">
        <v>4028.538818359375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Q4 2025-26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-7.54%</t>
        </is>
      </c>
      <c r="J182" s="13" t="inlineStr">
        <is>
          <t>-9.93%</t>
        </is>
      </c>
      <c r="K182" s="16">
        <f>X181</f>
        <v/>
      </c>
      <c r="L182" s="13" t="inlineStr">
        <is>
          <t>2024-07-29</t>
        </is>
      </c>
      <c r="M182" s="13" t="inlineStr">
        <is>
          <t>2024-08-13</t>
        </is>
      </c>
      <c r="N182" s="13" t="inlineStr">
        <is>
          <t>2024-08-07</t>
        </is>
      </c>
      <c r="O182" s="9" t="n">
        <v>100</v>
      </c>
      <c r="P182" s="17" t="n">
        <v>10872.1142578125</v>
      </c>
      <c r="Q182" s="17" t="n">
        <v>10051.94140625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Q4 2025-26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4.92%</t>
        </is>
      </c>
      <c r="J183" s="13" t="inlineStr">
        <is>
          <t>0.08%</t>
        </is>
      </c>
      <c r="K183" s="16">
        <f>X182</f>
        <v/>
      </c>
      <c r="L183" s="13" t="inlineStr">
        <is>
          <t>2024-07-16</t>
        </is>
      </c>
      <c r="M183" s="13" t="inlineStr">
        <is>
          <t>2024-07-30</t>
        </is>
      </c>
      <c r="N183" s="13" t="inlineStr">
        <is>
          <t>2024-07-24</t>
        </is>
      </c>
      <c r="O183" s="9" t="n">
        <v>1309</v>
      </c>
      <c r="P183" s="17" t="n">
        <v>670.4450073242188</v>
      </c>
      <c r="Q183" s="17" t="n">
        <v>705.1522216796875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Q4 2025-26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-4.35%</t>
        </is>
      </c>
      <c r="J184" s="13" t="inlineStr">
        <is>
          <t>-4.37%</t>
        </is>
      </c>
      <c r="K184" s="16">
        <f>X183</f>
        <v/>
      </c>
      <c r="L184" s="13" t="inlineStr">
        <is>
          <t>2024-07-18</t>
        </is>
      </c>
      <c r="M184" s="13" t="inlineStr">
        <is>
          <t>2024-07-29</t>
        </is>
      </c>
      <c r="N184" s="13" t="inlineStr">
        <is>
          <t>2024-07-23</t>
        </is>
      </c>
      <c r="O184" s="9" t="n">
        <v>383</v>
      </c>
      <c r="P184" s="17" t="n">
        <v>2489.835693359375</v>
      </c>
      <c r="Q184" s="17" t="n">
        <v>2386.0859375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Q4 2025-26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-5.31%</t>
        </is>
      </c>
      <c r="J185" s="13" t="inlineStr">
        <is>
          <t>-5.87%</t>
        </is>
      </c>
      <c r="K185" s="16">
        <f>X184</f>
        <v/>
      </c>
      <c r="L185" s="13" t="inlineStr">
        <is>
          <t>2024-10-18</t>
        </is>
      </c>
      <c r="M185" s="13" t="inlineStr">
        <is>
          <t>2024-11-04</t>
        </is>
      </c>
      <c r="N185" s="13" t="inlineStr">
        <is>
          <t>2024-10-28</t>
        </is>
      </c>
      <c r="O185" s="9" t="n">
        <v>350</v>
      </c>
      <c r="P185" s="17" t="n">
        <v>1875.545043945312</v>
      </c>
      <c r="Q185" s="17" t="n">
        <v>1775.943359375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Q4 2025-26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6.91%</t>
        </is>
      </c>
      <c r="J186" s="13" t="inlineStr">
        <is>
          <t>3.6%</t>
        </is>
      </c>
      <c r="K186" s="16">
        <f>X185</f>
        <v/>
      </c>
      <c r="L186" s="13" t="inlineStr">
        <is>
          <t>2024-07-10</t>
        </is>
      </c>
      <c r="M186" s="13" t="inlineStr">
        <is>
          <t>2024-07-23</t>
        </is>
      </c>
      <c r="N186" s="13" t="inlineStr">
        <is>
          <t>2024-07-22</t>
        </is>
      </c>
      <c r="O186" s="9" t="n">
        <v>289</v>
      </c>
      <c r="P186" s="17" t="n">
        <v>5412.64697265625</v>
      </c>
      <c r="Q186" s="17" t="n">
        <v>5814.3876953125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Q4 2025-26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12.75%</t>
        </is>
      </c>
      <c r="J187" s="13" t="inlineStr">
        <is>
          <t>6.1%</t>
        </is>
      </c>
      <c r="K187" s="16">
        <f>X186</f>
        <v/>
      </c>
      <c r="L187" s="13" t="inlineStr">
        <is>
          <t>2024-07-10</t>
        </is>
      </c>
      <c r="M187" s="13" t="inlineStr">
        <is>
          <t>2024-07-26</t>
        </is>
      </c>
      <c r="N187" s="13" t="inlineStr">
        <is>
          <t>2024-07-22</t>
        </is>
      </c>
      <c r="O187" s="9" t="n">
        <v>21097</v>
      </c>
      <c r="P187" s="17" t="n">
        <v>54.88999938964844</v>
      </c>
      <c r="Q187" s="17" t="n">
        <v>61.88999938964844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Q4 2025-26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-1.68%</t>
        </is>
      </c>
      <c r="J188" s="13" t="inlineStr">
        <is>
          <t>1.23%</t>
        </is>
      </c>
      <c r="K188" s="16">
        <f>X187</f>
        <v/>
      </c>
      <c r="L188" s="13" t="inlineStr">
        <is>
          <t>2026-01-16</t>
        </is>
      </c>
      <c r="M188" s="13" t="inlineStr">
        <is>
          <t>2026-01-21</t>
        </is>
      </c>
      <c r="N188" s="13" t="inlineStr">
        <is>
          <t>2026-01-20</t>
        </is>
      </c>
      <c r="O188" s="9" t="n">
        <v>3379</v>
      </c>
      <c r="P188" s="17" t="n">
        <v>340.25</v>
      </c>
      <c r="Q188" s="17" t="n">
        <v>334.5499877929688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Q4 2025-26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10.65%</t>
        </is>
      </c>
      <c r="J189" s="13" t="inlineStr">
        <is>
          <t>10.8%</t>
        </is>
      </c>
      <c r="K189" s="16">
        <f>X188</f>
        <v/>
      </c>
      <c r="L189" s="13" t="inlineStr">
        <is>
          <t>2024-10-15</t>
        </is>
      </c>
      <c r="M189" s="13" t="inlineStr">
        <is>
          <t>2024-10-24</t>
        </is>
      </c>
      <c r="N189" s="13" t="inlineStr">
        <is>
          <t>2024-10-18</t>
        </is>
      </c>
      <c r="O189" s="9" t="n">
        <v>450</v>
      </c>
      <c r="P189" s="17" t="n">
        <v>980.8198852539062</v>
      </c>
      <c r="Q189" s="17" t="n">
        <v>1097.756469726562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Q4 2025-26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0.33%</t>
        </is>
      </c>
      <c r="J190" s="13" t="inlineStr">
        <is>
          <t>-7.17%</t>
        </is>
      </c>
      <c r="K190" s="16">
        <f>X189</f>
        <v/>
      </c>
      <c r="L190" s="13" t="inlineStr">
        <is>
          <t>2024-07-02</t>
        </is>
      </c>
      <c r="M190" s="13" t="inlineStr">
        <is>
          <t>2024-07-18</t>
        </is>
      </c>
      <c r="N190" s="13" t="inlineStr">
        <is>
          <t>2024-07-11</t>
        </is>
      </c>
      <c r="O190" s="9" t="n">
        <v>273</v>
      </c>
      <c r="P190" s="17" t="n">
        <v>6833.1748046875</v>
      </c>
      <c r="Q190" s="17" t="n">
        <v>6855.85693359375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Q4 2025-26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1.5%</t>
        </is>
      </c>
      <c r="J191" s="13" t="inlineStr">
        <is>
          <t>-1.72%</t>
        </is>
      </c>
      <c r="K191" s="16">
        <f>X190</f>
        <v/>
      </c>
      <c r="L191" s="13" t="inlineStr">
        <is>
          <t>2025-10-20</t>
        </is>
      </c>
      <c r="M191" s="13" t="inlineStr">
        <is>
          <t>2025-10-23</t>
        </is>
      </c>
      <c r="N191" s="13" t="inlineStr">
        <is>
          <t>2026-01-20</t>
        </is>
      </c>
      <c r="O191" s="9" t="n">
        <v>1425</v>
      </c>
      <c r="P191" s="17" t="n">
        <v>399.6</v>
      </c>
      <c r="Q191" s="17" t="n">
        <v>405.6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Q4 2025-26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5.84%</t>
        </is>
      </c>
      <c r="J192" s="13" t="inlineStr">
        <is>
          <t>3.52%</t>
        </is>
      </c>
      <c r="K192" s="16">
        <f>X191</f>
        <v/>
      </c>
      <c r="L192" s="13" t="inlineStr">
        <is>
          <t>2024-07-30</t>
        </is>
      </c>
      <c r="M192" s="13" t="inlineStr">
        <is>
          <t>2024-08-12</t>
        </is>
      </c>
      <c r="N192" s="13" t="inlineStr">
        <is>
          <t>2024-08-06</t>
        </is>
      </c>
      <c r="O192" s="9" t="n">
        <v>2659</v>
      </c>
      <c r="P192" s="17" t="n">
        <v>413.1433410644531</v>
      </c>
      <c r="Q192" s="17" t="n">
        <v>438.7826232910156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Q4 2025-26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6.83%</t>
        </is>
      </c>
      <c r="J193" s="13" t="inlineStr">
        <is>
          <t>7.49%</t>
        </is>
      </c>
      <c r="K193" s="16">
        <f>X192</f>
        <v/>
      </c>
      <c r="L193" s="13" t="inlineStr">
        <is>
          <t>2024-10-28</t>
        </is>
      </c>
      <c r="M193" s="13" t="inlineStr">
        <is>
          <t>2024-11-13</t>
        </is>
      </c>
      <c r="N193" s="13" t="inlineStr">
        <is>
          <t>2024-11-06</t>
        </is>
      </c>
      <c r="O193" s="9" t="n">
        <v>5500</v>
      </c>
      <c r="P193" s="17" t="n">
        <v>133.2504425048828</v>
      </c>
      <c r="Q193" s="17" t="n">
        <v>143.0261688232422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Q4 2025-26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3.19%</t>
        </is>
      </c>
      <c r="J194" s="13" t="inlineStr">
        <is>
          <t>3.47%</t>
        </is>
      </c>
      <c r="K194" s="16">
        <f>X193</f>
        <v/>
      </c>
      <c r="L194" s="13" t="inlineStr">
        <is>
          <t>2024-10-07</t>
        </is>
      </c>
      <c r="M194" s="13" t="inlineStr">
        <is>
          <t>2024-10-14</t>
        </is>
      </c>
      <c r="N194" s="13" t="inlineStr">
        <is>
          <t>2024-10-10</t>
        </is>
      </c>
      <c r="O194" s="9" t="n">
        <v>175</v>
      </c>
      <c r="P194" s="17" t="n">
        <v>3864.2705078125</v>
      </c>
      <c r="Q194" s="17" t="n">
        <v>3991.503173828125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Q4 2025-26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-1.03%</t>
        </is>
      </c>
      <c r="J195" s="13" t="inlineStr">
        <is>
          <t>-2.19%</t>
        </is>
      </c>
      <c r="K195" s="16">
        <f>X194</f>
        <v/>
      </c>
      <c r="L195" s="13" t="inlineStr">
        <is>
          <t>2024-10-17</t>
        </is>
      </c>
      <c r="M195" s="13" t="inlineStr">
        <is>
          <t>2024-10-25</t>
        </is>
      </c>
      <c r="N195" s="13" t="inlineStr">
        <is>
          <t>2024-10-19</t>
        </is>
      </c>
      <c r="O195" s="9" t="n">
        <v>600</v>
      </c>
      <c r="P195" s="17" t="n">
        <v>1611.4560546875</v>
      </c>
      <c r="Q195" s="17" t="n">
        <v>1595.073486328125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Q4 2025-26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2.71%</t>
        </is>
      </c>
      <c r="J196" s="13" t="inlineStr">
        <is>
          <t>-3.11%</t>
        </is>
      </c>
      <c r="K196" s="16">
        <f>X195</f>
        <v/>
      </c>
      <c r="L196" s="13" t="inlineStr">
        <is>
          <t>2024-07-26</t>
        </is>
      </c>
      <c r="M196" s="13" t="inlineStr">
        <is>
          <t>2024-08-02</t>
        </is>
      </c>
      <c r="N196" s="13" t="inlineStr">
        <is>
          <t>2024-08-01</t>
        </is>
      </c>
      <c r="O196" s="9" t="n">
        <v>371</v>
      </c>
      <c r="P196" s="17" t="n">
        <v>4041.97705078125</v>
      </c>
      <c r="Q196" s="17" t="n">
        <v>4154.498046875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Q4 2025-26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3.39%</t>
        </is>
      </c>
      <c r="J197" s="13" t="inlineStr">
        <is>
          <t>3.17%</t>
        </is>
      </c>
      <c r="K197" s="16">
        <f>X196</f>
        <v/>
      </c>
      <c r="L197" s="13" t="inlineStr">
        <is>
          <t>2024-11-05</t>
        </is>
      </c>
      <c r="M197" s="13" t="inlineStr">
        <is>
          <t>2024-11-07</t>
        </is>
      </c>
      <c r="N197" s="13" t="inlineStr">
        <is>
          <t>2024-11-05</t>
        </is>
      </c>
      <c r="O197" s="9" t="n">
        <v>175</v>
      </c>
      <c r="P197" s="17" t="n">
        <v>3101.309814453125</v>
      </c>
      <c r="Q197" s="17" t="n">
        <v>3210.02490234375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Q4 2025-26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5.02%</t>
        </is>
      </c>
      <c r="J198" s="13" t="inlineStr">
        <is>
          <t>4.18%</t>
        </is>
      </c>
      <c r="K198" s="16">
        <f>X197</f>
        <v/>
      </c>
      <c r="L198" s="13" t="inlineStr">
        <is>
          <t>2010-11-08</t>
        </is>
      </c>
      <c r="M198" s="13" t="inlineStr">
        <is>
          <t>2010-11-16</t>
        </is>
      </c>
      <c r="N198" s="13" t="inlineStr">
        <is>
          <t>2010-11-09</t>
        </is>
      </c>
      <c r="O198" s="9" t="n">
        <v>3054</v>
      </c>
      <c r="P198" s="17" t="n">
        <v>221.2411041259766</v>
      </c>
      <c r="Q198" s="17" t="n">
        <v>232.9312438964844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Q4 2025-26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5.56%</t>
        </is>
      </c>
      <c r="J199" s="13" t="inlineStr">
        <is>
          <t>3.78%</t>
        </is>
      </c>
      <c r="K199" s="16">
        <f>X198</f>
        <v/>
      </c>
      <c r="L199" s="13" t="inlineStr">
        <is>
          <t>2024-07-22</t>
        </is>
      </c>
      <c r="M199" s="13" t="inlineStr">
        <is>
          <t>2024-07-29</t>
        </is>
      </c>
      <c r="N199" s="13" t="inlineStr">
        <is>
          <t>2024-07-23</t>
        </is>
      </c>
      <c r="O199" s="9" t="n">
        <v>205</v>
      </c>
      <c r="P199" s="17" t="n">
        <v>2974.296875</v>
      </c>
      <c r="Q199" s="17" t="n">
        <v>3139.80810546875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Q4 2025-26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-7.08%</t>
        </is>
      </c>
      <c r="J200" s="13" t="inlineStr">
        <is>
          <t>-8.46%</t>
        </is>
      </c>
      <c r="K200" s="16">
        <f>X199</f>
        <v/>
      </c>
      <c r="L200" s="13" t="inlineStr">
        <is>
          <t>2024-11-06</t>
        </is>
      </c>
      <c r="M200" s="13" t="inlineStr">
        <is>
          <t>2024-11-14</t>
        </is>
      </c>
      <c r="N200" s="13" t="inlineStr">
        <is>
          <t>2024-11-08</t>
        </is>
      </c>
      <c r="O200" s="9" t="n">
        <v>345</v>
      </c>
      <c r="P200" s="17" t="n">
        <v>6941.1796875</v>
      </c>
      <c r="Q200" s="17" t="n">
        <v>6449.73974609375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Q4 2025-26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-1.72%</t>
        </is>
      </c>
      <c r="J201" s="13" t="inlineStr">
        <is>
          <t>-2.0%</t>
        </is>
      </c>
      <c r="K201" s="16">
        <f>X200</f>
        <v/>
      </c>
      <c r="L201" s="13" t="inlineStr">
        <is>
          <t>2024-07-31</t>
        </is>
      </c>
      <c r="M201" s="13" t="inlineStr">
        <is>
          <t>2024-08-07</t>
        </is>
      </c>
      <c r="N201" s="13" t="inlineStr">
        <is>
          <t>2024-08-06</t>
        </is>
      </c>
      <c r="O201" s="9" t="n">
        <v>237</v>
      </c>
      <c r="P201" s="17" t="n">
        <v>2554.987548828125</v>
      </c>
      <c r="Q201" s="17" t="n">
        <v>2511.7685546875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Q4 2025-26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2.84%</t>
        </is>
      </c>
      <c r="J202" s="13" t="inlineStr">
        <is>
          <t>1.86%</t>
        </is>
      </c>
      <c r="K202" s="16">
        <f>X201</f>
        <v/>
      </c>
      <c r="L202" s="13" t="inlineStr">
        <is>
          <t>2024-10-15</t>
        </is>
      </c>
      <c r="M202" s="13" t="inlineStr">
        <is>
          <t>2024-10-28</t>
        </is>
      </c>
      <c r="N202" s="13" t="inlineStr">
        <is>
          <t>2024-10-21</t>
        </is>
      </c>
      <c r="O202" s="9" t="n">
        <v>100</v>
      </c>
      <c r="P202" s="17" t="n">
        <v>11022.7294921875</v>
      </c>
      <c r="Q202" s="17" t="n">
        <v>11344.98828125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Q4 2025-26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-2.96%</t>
        </is>
      </c>
      <c r="J203" s="13" t="inlineStr">
        <is>
          <t>-4.51%</t>
        </is>
      </c>
      <c r="K203" s="16">
        <f>X202</f>
        <v/>
      </c>
      <c r="L203" s="13" t="inlineStr">
        <is>
          <t>2024-07-16</t>
        </is>
      </c>
      <c r="M203" s="13" t="inlineStr">
        <is>
          <t>2024-07-25</t>
        </is>
      </c>
      <c r="N203" s="13" t="inlineStr">
        <is>
          <t>2024-07-20</t>
        </is>
      </c>
      <c r="O203" s="9" t="n">
        <v>5868</v>
      </c>
      <c r="P203" s="17" t="n">
        <v>127.8221130371094</v>
      </c>
      <c r="Q203" s="17" t="n">
        <v>124.0417022705078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Q4 2025-26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-9.43%</t>
        </is>
      </c>
      <c r="J204" s="13" t="inlineStr">
        <is>
          <t>-9.23%</t>
        </is>
      </c>
      <c r="K204" s="16">
        <f>X203</f>
        <v/>
      </c>
      <c r="L204" s="13" t="inlineStr">
        <is>
          <t>2024-07-16</t>
        </is>
      </c>
      <c r="M204" s="13" t="inlineStr">
        <is>
          <t>2024-07-29</t>
        </is>
      </c>
      <c r="N204" s="13" t="inlineStr">
        <is>
          <t>2024-07-23</t>
        </is>
      </c>
      <c r="O204" s="9" t="n">
        <v>652</v>
      </c>
      <c r="P204" s="17" t="n">
        <v>1391.620483398438</v>
      </c>
      <c r="Q204" s="17" t="n">
        <v>1271.66162109375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Q4 2025-26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-1.06%</t>
        </is>
      </c>
      <c r="J205" s="13" t="inlineStr">
        <is>
          <t>-6.05%</t>
        </is>
      </c>
      <c r="K205" s="16">
        <f>X204</f>
        <v/>
      </c>
      <c r="L205" s="13" t="inlineStr">
        <is>
          <t>2024-07-29</t>
        </is>
      </c>
      <c r="M205" s="13" t="inlineStr">
        <is>
          <t>2024-08-13</t>
        </is>
      </c>
      <c r="N205" s="13" t="inlineStr">
        <is>
          <t>2024-08-07</t>
        </is>
      </c>
      <c r="O205" s="9" t="n">
        <v>852</v>
      </c>
      <c r="P205" s="17" t="n">
        <v>1054.312622070312</v>
      </c>
      <c r="Q205" s="17" t="n">
        <v>1043.163330078125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Q4 2025-26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0.97%</t>
        </is>
      </c>
      <c r="J206" s="13" t="inlineStr">
        <is>
          <t>1.66%</t>
        </is>
      </c>
      <c r="K206" s="16">
        <f>X205</f>
        <v/>
      </c>
      <c r="L206" s="13" t="inlineStr">
        <is>
          <t>2024-07-29</t>
        </is>
      </c>
      <c r="M206" s="13" t="inlineStr">
        <is>
          <t>2024-08-08</t>
        </is>
      </c>
      <c r="N206" s="13" t="inlineStr">
        <is>
          <t>2024-08-02</t>
        </is>
      </c>
      <c r="O206" s="9" t="n">
        <v>1659</v>
      </c>
      <c r="P206" s="17" t="n">
        <v>536.6983642578125</v>
      </c>
      <c r="Q206" s="17" t="n">
        <v>541.9400024414062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Q4 2025-26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4.52%</t>
        </is>
      </c>
      <c r="J207" s="13" t="inlineStr">
        <is>
          <t>3.67%</t>
        </is>
      </c>
      <c r="K207" s="16">
        <f>X206</f>
        <v/>
      </c>
      <c r="L207" s="13" t="inlineStr">
        <is>
          <t>2024-07-25</t>
        </is>
      </c>
      <c r="M207" s="13" t="inlineStr">
        <is>
          <t>2024-07-31</t>
        </is>
      </c>
      <c r="N207" s="13" t="inlineStr">
        <is>
          <t>2024-07-30</t>
        </is>
      </c>
      <c r="O207" s="9" t="n">
        <v>2215</v>
      </c>
      <c r="P207" s="17" t="n">
        <v>627.2529296875</v>
      </c>
      <c r="Q207" s="17" t="n">
        <v>656.9574584960938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Q4 2025-26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-0.48%</t>
        </is>
      </c>
      <c r="J208" s="13" t="inlineStr">
        <is>
          <t>-1.75%</t>
        </is>
      </c>
      <c r="K208" s="16">
        <f>X207</f>
        <v/>
      </c>
      <c r="L208" s="13" t="inlineStr">
        <is>
          <t>2024-08-02</t>
        </is>
      </c>
      <c r="M208" s="13" t="inlineStr">
        <is>
          <t>2024-08-12</t>
        </is>
      </c>
      <c r="N208" s="13" t="inlineStr">
        <is>
          <t>2024-08-06</t>
        </is>
      </c>
      <c r="O208" s="9" t="n">
        <v>3738</v>
      </c>
      <c r="P208" s="17" t="n">
        <v>380.8965148925781</v>
      </c>
      <c r="Q208" s="17" t="n">
        <v>379.0542602539063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Q4 2025-26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-4.49%</t>
        </is>
      </c>
      <c r="J209" s="13" t="inlineStr">
        <is>
          <t>-16.6%</t>
        </is>
      </c>
      <c r="K209" s="16">
        <f>X208</f>
        <v/>
      </c>
      <c r="L209" s="13" t="inlineStr">
        <is>
          <t>2026-01-13</t>
        </is>
      </c>
      <c r="M209" s="13" t="inlineStr">
        <is>
          <t>2026-01-21</t>
        </is>
      </c>
      <c r="N209" s="13" t="inlineStr">
        <is>
          <t>2026-01-20</t>
        </is>
      </c>
      <c r="O209" s="9" t="n">
        <v>9268</v>
      </c>
      <c r="P209" s="17" t="n">
        <v>128.1699981689453</v>
      </c>
      <c r="Q209" s="17" t="n">
        <v>122.4199981689453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Q4 2025-26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-9.38%</t>
        </is>
      </c>
      <c r="J210" s="13" t="inlineStr">
        <is>
          <t>-11.0%</t>
        </is>
      </c>
      <c r="K210" s="16">
        <f>X209</f>
        <v/>
      </c>
      <c r="L210" s="13" t="inlineStr">
        <is>
          <t>2024-08-07</t>
        </is>
      </c>
      <c r="M210" s="13" t="inlineStr">
        <is>
          <t>2024-08-19</t>
        </is>
      </c>
      <c r="N210" s="13" t="inlineStr">
        <is>
          <t>2024-08-12</t>
        </is>
      </c>
      <c r="O210" s="9" t="n">
        <v>750</v>
      </c>
      <c r="P210" s="17" t="n">
        <v>1593.768676757812</v>
      </c>
      <c r="Q210" s="17" t="n">
        <v>1457.063598632812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Q4 2025-26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-3.17%</t>
        </is>
      </c>
      <c r="J211" s="13" t="inlineStr">
        <is>
          <t>-23.78%</t>
        </is>
      </c>
      <c r="K211" s="16">
        <f>X210</f>
        <v/>
      </c>
      <c r="L211" s="13" t="inlineStr">
        <is>
          <t>2026-01-08</t>
        </is>
      </c>
      <c r="M211" s="13" t="inlineStr">
        <is>
          <t>2026-01-27</t>
        </is>
      </c>
      <c r="N211" s="13" t="inlineStr">
        <is>
          <t>2026-01-20</t>
        </is>
      </c>
      <c r="O211" s="9" t="n">
        <v>380</v>
      </c>
      <c r="P211" s="17" t="n">
        <v>2695.199951171875</v>
      </c>
      <c r="Q211" s="17" t="n">
        <v>2612.300048828125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Q4 2025-26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3.52%</t>
        </is>
      </c>
      <c r="J212" s="13" t="inlineStr">
        <is>
          <t>2.67%</t>
        </is>
      </c>
      <c r="K212" s="16">
        <f>X211</f>
        <v/>
      </c>
      <c r="L212" s="13" t="inlineStr">
        <is>
          <t>2024-10-11</t>
        </is>
      </c>
      <c r="M212" s="13" t="inlineStr">
        <is>
          <t>2024-10-24</t>
        </is>
      </c>
      <c r="N212" s="13" t="inlineStr">
        <is>
          <t>2024-10-17</t>
        </is>
      </c>
      <c r="O212" s="9" t="n">
        <v>1500</v>
      </c>
      <c r="P212" s="17" t="n">
        <v>247.6143798828125</v>
      </c>
      <c r="Q212" s="17" t="n">
        <v>256.3322143554688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Q4 2025-26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4.13%</t>
        </is>
      </c>
      <c r="J213" s="13" t="inlineStr">
        <is>
          <t>3.61%</t>
        </is>
      </c>
      <c r="K213" s="16">
        <f>X212</f>
        <v/>
      </c>
      <c r="L213" s="13" t="inlineStr">
        <is>
          <t>2024-07-08</t>
        </is>
      </c>
      <c r="M213" s="13" t="inlineStr">
        <is>
          <t>2024-07-25</t>
        </is>
      </c>
      <c r="N213" s="13" t="inlineStr">
        <is>
          <t>2024-07-20</t>
        </is>
      </c>
      <c r="O213" s="9" t="n">
        <v>44365</v>
      </c>
      <c r="P213" s="17" t="n">
        <v>24.6200008392334</v>
      </c>
      <c r="Q213" s="17" t="n">
        <v>25.68000030517578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Q4 2025-26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3.26%</t>
        </is>
      </c>
      <c r="J214" s="13" t="inlineStr">
        <is>
          <t>5.86%</t>
        </is>
      </c>
      <c r="K214" s="16">
        <f>X213</f>
        <v/>
      </c>
      <c r="L214" s="13" t="inlineStr">
        <is>
          <t>2024-08-05</t>
        </is>
      </c>
      <c r="M214" s="13" t="inlineStr">
        <is>
          <t>2024-08-16</t>
        </is>
      </c>
      <c r="N214" s="13" t="inlineStr">
        <is>
          <t>2024-08-09</t>
        </is>
      </c>
      <c r="O214" s="9" t="n">
        <v>896</v>
      </c>
      <c r="P214" s="17" t="n">
        <v>1173.046264648438</v>
      </c>
      <c r="Q214" s="17" t="n">
        <v>1212.5576171875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2025-26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Q3 2025-26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-0.78%</t>
        </is>
      </c>
      <c r="J4" s="13" t="inlineStr">
        <is>
          <t>-2.85%</t>
        </is>
      </c>
      <c r="K4" s="16" t="n">
        <v>42511150.11</v>
      </c>
      <c r="L4" s="13" t="inlineStr">
        <is>
          <t>2026-07-08</t>
        </is>
      </c>
      <c r="M4" s="13" t="inlineStr">
        <is>
          <t>2026-07-23</t>
        </is>
      </c>
      <c r="N4" s="13" t="inlineStr">
        <is>
          <t>2026-07-16</t>
        </is>
      </c>
      <c r="O4" s="9" t="n">
        <v>874</v>
      </c>
      <c r="P4" s="17" t="n">
        <v>1091.699951171875</v>
      </c>
      <c r="Q4" s="17" t="n">
        <v>1083.199951171875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Q3 2025-26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11.42%</t>
        </is>
      </c>
      <c r="J5" s="13" t="inlineStr">
        <is>
          <t>10.81%</t>
        </is>
      </c>
      <c r="K5" s="16">
        <f>X4</f>
        <v/>
      </c>
      <c r="L5" s="13" t="inlineStr">
        <is>
          <t>2026-05-18</t>
        </is>
      </c>
      <c r="M5" s="13" t="inlineStr">
        <is>
          <t>2026-06-02</t>
        </is>
      </c>
      <c r="N5" s="13" t="inlineStr">
        <is>
          <t>2026-05-26</t>
        </is>
      </c>
      <c r="O5" s="9" t="n">
        <v>137</v>
      </c>
      <c r="P5" s="17" t="n">
        <v>6413.5</v>
      </c>
      <c r="Q5" s="17" t="n">
        <v>7146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Q3 2025-26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-1.75%</t>
        </is>
      </c>
      <c r="J6" s="13" t="inlineStr">
        <is>
          <t>-3.07%</t>
        </is>
      </c>
      <c r="K6" s="16">
        <f>X5</f>
        <v/>
      </c>
      <c r="L6" s="13" t="inlineStr">
        <is>
          <t>2026-07-14</t>
        </is>
      </c>
      <c r="M6" s="13" t="inlineStr">
        <is>
          <t>2026-07-23</t>
        </is>
      </c>
      <c r="N6" s="13" t="inlineStr">
        <is>
          <t>2026-07-17</t>
        </is>
      </c>
      <c r="O6" s="9" t="n">
        <v>2537</v>
      </c>
      <c r="P6" s="17" t="n">
        <v>399.25</v>
      </c>
      <c r="Q6" s="17" t="n">
        <v>392.25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Q3 2025-26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-4.23%</t>
        </is>
      </c>
      <c r="J7" s="13" t="inlineStr">
        <is>
          <t>-4.95%</t>
        </is>
      </c>
      <c r="K7" s="16">
        <f>X6</f>
        <v/>
      </c>
      <c r="L7" s="13" t="inlineStr">
        <is>
          <t>2026-07-02</t>
        </is>
      </c>
      <c r="M7" s="13" t="inlineStr">
        <is>
          <t>2026-07-06</t>
        </is>
      </c>
      <c r="N7" s="13" t="inlineStr">
        <is>
          <t>2026-07-02</t>
        </is>
      </c>
      <c r="O7" s="9" t="n">
        <v>602</v>
      </c>
      <c r="P7" s="17" t="n">
        <v>1622.800048828125</v>
      </c>
      <c r="Q7" s="17" t="n">
        <v>1556.900024414062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Q3 2025-26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-0.67%</t>
        </is>
      </c>
      <c r="J8" s="13" t="inlineStr">
        <is>
          <t>-1.29%</t>
        </is>
      </c>
      <c r="K8" s="16">
        <f>X7</f>
        <v/>
      </c>
      <c r="L8" s="13" t="inlineStr">
        <is>
          <t>2024-10-30</t>
        </is>
      </c>
      <c r="M8" s="13" t="inlineStr">
        <is>
          <t>2024-11-01</t>
        </is>
      </c>
      <c r="N8" s="13" t="inlineStr">
        <is>
          <t>2024-10-30</t>
        </is>
      </c>
      <c r="O8" s="9" t="n">
        <v>300</v>
      </c>
      <c r="P8" s="17" t="n">
        <v>2966.50244140625</v>
      </c>
      <c r="Q8" s="17" t="n">
        <v>2946.720947265625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Q3 2025-26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3.26%</t>
        </is>
      </c>
      <c r="J9" s="13" t="inlineStr">
        <is>
          <t>1.83%</t>
        </is>
      </c>
      <c r="K9" s="16">
        <f>X8</f>
        <v/>
      </c>
      <c r="L9" s="13" t="inlineStr">
        <is>
          <t>2026-04-28</t>
        </is>
      </c>
      <c r="M9" s="13" t="inlineStr">
        <is>
          <t>2026-05-04</t>
        </is>
      </c>
      <c r="N9" s="13" t="inlineStr">
        <is>
          <t>2026-04-30</t>
        </is>
      </c>
      <c r="O9" s="9" t="n">
        <v>500</v>
      </c>
      <c r="P9" s="17" t="n">
        <v>1249.949951171875</v>
      </c>
      <c r="Q9" s="17" t="n">
        <v>1290.699951171875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Q3 2025-26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-3.36%</t>
        </is>
      </c>
      <c r="J10" s="13" t="inlineStr">
        <is>
          <t>-4.02%</t>
        </is>
      </c>
      <c r="K10" s="16">
        <f>X9</f>
        <v/>
      </c>
      <c r="L10" s="13" t="inlineStr">
        <is>
          <t>2024-10-21</t>
        </is>
      </c>
      <c r="M10" s="13" t="inlineStr">
        <is>
          <t>2024-11-05</t>
        </is>
      </c>
      <c r="N10" s="13" t="inlineStr">
        <is>
          <t>2024-10-29</t>
        </is>
      </c>
      <c r="O10" s="9" t="n">
        <v>625</v>
      </c>
      <c r="P10" s="17" t="n">
        <v>1363.095581054688</v>
      </c>
      <c r="Q10" s="17" t="n">
        <v>1317.36181640625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Q3 2025-26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2.87%</t>
        </is>
      </c>
      <c r="J11" s="13" t="inlineStr">
        <is>
          <t>2.71%</t>
        </is>
      </c>
      <c r="K11" s="16">
        <f>X10</f>
        <v/>
      </c>
      <c r="L11" s="13" t="inlineStr">
        <is>
          <t>2026-07-20</t>
        </is>
      </c>
      <c r="M11" s="13" t="inlineStr">
        <is>
          <t>2026-07-24</t>
        </is>
      </c>
      <c r="N11" s="13" t="inlineStr">
        <is>
          <t>2026-07-22</t>
        </is>
      </c>
      <c r="O11" s="9" t="n">
        <v>4785</v>
      </c>
      <c r="P11" s="17" t="n">
        <v>213.6600036621093</v>
      </c>
      <c r="Q11" s="17" t="n">
        <v>219.9700012207031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Q3 2025-26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2.92%</t>
        </is>
      </c>
      <c r="J12" s="13" t="inlineStr">
        <is>
          <t>2.61%</t>
        </is>
      </c>
      <c r="K12" s="16">
        <f>X11</f>
        <v/>
      </c>
      <c r="L12" s="13" t="inlineStr">
        <is>
          <t>2026-07-28</t>
        </is>
      </c>
      <c r="M12" s="13" t="inlineStr">
        <is>
          <t>2026-07-30</t>
        </is>
      </c>
      <c r="N12" s="13" t="inlineStr">
        <is>
          <t>2026-07-30</t>
        </is>
      </c>
      <c r="O12" s="9" t="n">
        <v>171</v>
      </c>
      <c r="P12" s="17" t="n">
        <v>5651.5</v>
      </c>
      <c r="Q12" s="17" t="n">
        <v>5816.5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Q3 2025-26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Q3 2025-26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-4.12%</t>
        </is>
      </c>
      <c r="J14" s="13" t="inlineStr">
        <is>
          <t>-4.37%</t>
        </is>
      </c>
      <c r="K14" s="16">
        <f>X13</f>
        <v/>
      </c>
      <c r="L14" s="13" t="inlineStr">
        <is>
          <t>2026-06-19</t>
        </is>
      </c>
      <c r="M14" s="13" t="inlineStr">
        <is>
          <t>2026-07-06</t>
        </is>
      </c>
      <c r="N14" s="13" t="inlineStr">
        <is>
          <t>2026-06-29</t>
        </is>
      </c>
      <c r="O14" s="9" t="n">
        <v>2303</v>
      </c>
      <c r="P14" s="17" t="n">
        <v>441.3999938964844</v>
      </c>
      <c r="Q14" s="17" t="n">
        <v>423.9500122070313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Q3 2025-26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-4.06%</t>
        </is>
      </c>
      <c r="J15" s="13" t="inlineStr">
        <is>
          <t>-8.97%</t>
        </is>
      </c>
      <c r="K15" s="16">
        <f>X14</f>
        <v/>
      </c>
      <c r="L15" s="13" t="inlineStr">
        <is>
          <t>2026-06-22</t>
        </is>
      </c>
      <c r="M15" s="13" t="inlineStr">
        <is>
          <t>2026-07-01</t>
        </is>
      </c>
      <c r="N15" s="13" t="inlineStr">
        <is>
          <t>2026-06-24</t>
        </is>
      </c>
      <c r="O15" s="9" t="n">
        <v>3428</v>
      </c>
      <c r="P15" s="17" t="n">
        <v>353.7060852050781</v>
      </c>
      <c r="Q15" s="17" t="n">
        <v>339.3504943847656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Q3 2025-26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4.04%</t>
        </is>
      </c>
      <c r="J16" s="13" t="inlineStr">
        <is>
          <t>3.04%</t>
        </is>
      </c>
      <c r="K16" s="16">
        <f>X15</f>
        <v/>
      </c>
      <c r="L16" s="13" t="inlineStr">
        <is>
          <t>2026-05-04</t>
        </is>
      </c>
      <c r="M16" s="13" t="inlineStr">
        <is>
          <t>2026-05-08</t>
        </is>
      </c>
      <c r="N16" s="13" t="inlineStr">
        <is>
          <t>2026-05-06</t>
        </is>
      </c>
      <c r="O16" s="9" t="n">
        <v>528</v>
      </c>
      <c r="P16" s="17" t="n">
        <v>1873</v>
      </c>
      <c r="Q16" s="17" t="n">
        <v>1948.599975585937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Q3 2025-26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-7.6%</t>
        </is>
      </c>
      <c r="J17" s="13" t="inlineStr">
        <is>
          <t>-10.23%</t>
        </is>
      </c>
      <c r="K17" s="16">
        <f>X16</f>
        <v/>
      </c>
      <c r="L17" s="13" t="inlineStr">
        <is>
          <t>2024-11-07</t>
        </is>
      </c>
      <c r="M17" s="13" t="inlineStr">
        <is>
          <t>2024-11-14</t>
        </is>
      </c>
      <c r="N17" s="13" t="inlineStr">
        <is>
          <t>2024-11-07</t>
        </is>
      </c>
      <c r="O17" s="9" t="n">
        <v>125</v>
      </c>
      <c r="P17" s="17" t="n">
        <v>7395.06787109375</v>
      </c>
      <c r="Q17" s="17" t="n">
        <v>6833.13037109375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Q3 2025-26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6.76%</t>
        </is>
      </c>
      <c r="J18" s="13" t="inlineStr">
        <is>
          <t>2.28%</t>
        </is>
      </c>
      <c r="K18" s="16">
        <f>X17</f>
        <v/>
      </c>
      <c r="L18" s="13" t="inlineStr">
        <is>
          <t>2024-05-23</t>
        </is>
      </c>
      <c r="M18" s="13" t="inlineStr">
        <is>
          <t>2024-05-27</t>
        </is>
      </c>
      <c r="N18" s="13" t="inlineStr">
        <is>
          <t>2024-05-25</t>
        </is>
      </c>
      <c r="O18" s="9" t="n">
        <v>5000</v>
      </c>
      <c r="P18" s="17" t="n">
        <v>100.9641189575195</v>
      </c>
      <c r="Q18" s="17" t="n">
        <v>107.7869720458984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Q3 2025-26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15.11%</t>
        </is>
      </c>
      <c r="J19" s="13" t="inlineStr">
        <is>
          <t>15.27%</t>
        </is>
      </c>
      <c r="K19" s="16">
        <f>X18</f>
        <v/>
      </c>
      <c r="L19" s="13" t="inlineStr">
        <is>
          <t>2024-11-04</t>
        </is>
      </c>
      <c r="M19" s="13" t="inlineStr">
        <is>
          <t>2024-11-12</t>
        </is>
      </c>
      <c r="N19" s="13" t="inlineStr">
        <is>
          <t>2024-11-09</t>
        </is>
      </c>
      <c r="O19" s="9" t="n">
        <v>200</v>
      </c>
      <c r="P19" s="17" t="n">
        <v>2423.191162109375</v>
      </c>
      <c r="Q19" s="17" t="n">
        <v>2854.447021484375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Q3 2025-26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3.89%</t>
        </is>
      </c>
      <c r="J20" s="13" t="inlineStr">
        <is>
          <t>5.35%</t>
        </is>
      </c>
      <c r="K20" s="16">
        <f>X19</f>
        <v/>
      </c>
      <c r="L20" s="13" t="inlineStr">
        <is>
          <t>2024-05-07</t>
        </is>
      </c>
      <c r="M20" s="13" t="inlineStr">
        <is>
          <t>2024-05-24</t>
        </is>
      </c>
      <c r="N20" s="13" t="inlineStr">
        <is>
          <t>2024-05-17</t>
        </is>
      </c>
      <c r="O20" s="9" t="n">
        <v>679</v>
      </c>
      <c r="P20" s="17" t="n">
        <v>2058.744873046875</v>
      </c>
      <c r="Q20" s="17" t="n">
        <v>2138.761962890625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Q3 2025-26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2026-06-12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Q3 2025-26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6.1%</t>
        </is>
      </c>
      <c r="J22" s="13" t="inlineStr">
        <is>
          <t>-2.1%</t>
        </is>
      </c>
      <c r="K22" s="16">
        <f>X21</f>
        <v/>
      </c>
      <c r="L22" s="13" t="inlineStr">
        <is>
          <t>2024-04-12</t>
        </is>
      </c>
      <c r="M22" s="13" t="inlineStr">
        <is>
          <t>2024-04-26</t>
        </is>
      </c>
      <c r="N22" s="13" t="inlineStr">
        <is>
          <t>2024-04-25</t>
        </is>
      </c>
      <c r="O22" s="9" t="n">
        <v>970</v>
      </c>
      <c r="P22" s="17" t="n">
        <v>598.1154174804688</v>
      </c>
      <c r="Q22" s="17" t="n">
        <v>636.9559936523438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Q3 2025-26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2.69%</t>
        </is>
      </c>
      <c r="J23" s="13" t="inlineStr">
        <is>
          <t>2.39%</t>
        </is>
      </c>
      <c r="K23" s="16">
        <f>X22</f>
        <v/>
      </c>
      <c r="L23" s="13" t="inlineStr">
        <is>
          <t>2024-05-17</t>
        </is>
      </c>
      <c r="M23" s="13" t="inlineStr">
        <is>
          <t>2024-05-27</t>
        </is>
      </c>
      <c r="N23" s="13" t="inlineStr">
        <is>
          <t>2024-05-25</t>
        </is>
      </c>
      <c r="O23" s="9" t="n">
        <v>634</v>
      </c>
      <c r="P23" s="17" t="n">
        <v>1160.693115234375</v>
      </c>
      <c r="Q23" s="17" t="n">
        <v>1191.8759765625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Q3 2025-26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1.23%</t>
        </is>
      </c>
      <c r="J24" s="13" t="inlineStr">
        <is>
          <t>-0.1%</t>
        </is>
      </c>
      <c r="K24" s="16">
        <f>X23</f>
        <v/>
      </c>
      <c r="L24" s="13" t="inlineStr">
        <is>
          <t>2024-10-16</t>
        </is>
      </c>
      <c r="M24" s="13" t="inlineStr">
        <is>
          <t>2024-10-24</t>
        </is>
      </c>
      <c r="N24" s="13" t="inlineStr">
        <is>
          <t>2024-10-18</t>
        </is>
      </c>
      <c r="O24" s="9" t="n">
        <v>625</v>
      </c>
      <c r="P24" s="17" t="n">
        <v>1151.327270507812</v>
      </c>
      <c r="Q24" s="17" t="n">
        <v>1165.454345703125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Q3 2025-26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-14.94%</t>
        </is>
      </c>
      <c r="J25" s="13" t="inlineStr">
        <is>
          <t>-16.59%</t>
        </is>
      </c>
      <c r="K25" s="16">
        <f>X24</f>
        <v/>
      </c>
      <c r="L25" s="13" t="inlineStr">
        <is>
          <t>2024-10-10</t>
        </is>
      </c>
      <c r="M25" s="13" t="inlineStr">
        <is>
          <t>2024-10-18</t>
        </is>
      </c>
      <c r="N25" s="13" t="inlineStr">
        <is>
          <t>2024-10-16</t>
        </is>
      </c>
      <c r="O25" s="9" t="n">
        <v>125</v>
      </c>
      <c r="P25" s="17" t="n">
        <v>11379.396484375</v>
      </c>
      <c r="Q25" s="17" t="n">
        <v>9678.9794921875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Q3 2025-26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-0.67%</t>
        </is>
      </c>
      <c r="J26" s="13" t="inlineStr">
        <is>
          <t>-1.2%</t>
        </is>
      </c>
      <c r="K26" s="16">
        <f>X25</f>
        <v/>
      </c>
      <c r="L26" s="13" t="inlineStr">
        <is>
          <t>2024-10-24</t>
        </is>
      </c>
      <c r="M26" s="13" t="inlineStr">
        <is>
          <t>2024-10-28</t>
        </is>
      </c>
      <c r="N26" s="13" t="inlineStr">
        <is>
          <t>2024-10-24</t>
        </is>
      </c>
      <c r="O26" s="9" t="n">
        <v>500</v>
      </c>
      <c r="P26" s="17" t="n">
        <v>1739.766967773438</v>
      </c>
      <c r="Q26" s="17" t="n">
        <v>1728.132690429688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Q3 2025-26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9.03%</t>
        </is>
      </c>
      <c r="J27" s="13" t="inlineStr">
        <is>
          <t>5.25%</t>
        </is>
      </c>
      <c r="K27" s="16">
        <f>X26</f>
        <v/>
      </c>
      <c r="L27" s="13" t="inlineStr">
        <is>
          <t>2018-10-17</t>
        </is>
      </c>
      <c r="M27" s="13" t="inlineStr">
        <is>
          <t>2018-10-31</t>
        </is>
      </c>
      <c r="N27" s="13" t="inlineStr">
        <is>
          <t>2018-10-25</t>
        </is>
      </c>
      <c r="O27" s="9" t="n">
        <v>100</v>
      </c>
      <c r="P27" s="17" t="n">
        <v>2294.362548828125</v>
      </c>
      <c r="Q27" s="17" t="n">
        <v>2501.460205078125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Q3 2025-26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3.56%</t>
        </is>
      </c>
      <c r="J28" s="13" t="inlineStr">
        <is>
          <t>1.5%</t>
        </is>
      </c>
      <c r="K28" s="16">
        <f>X27</f>
        <v/>
      </c>
      <c r="L28" s="13" t="inlineStr">
        <is>
          <t>2024-10-21</t>
        </is>
      </c>
      <c r="M28" s="13" t="inlineStr">
        <is>
          <t>2024-10-29</t>
        </is>
      </c>
      <c r="N28" s="13" t="inlineStr">
        <is>
          <t>2024-10-22</t>
        </is>
      </c>
      <c r="O28" s="9" t="n">
        <v>125</v>
      </c>
      <c r="P28" s="17" t="n">
        <v>669.8140258789062</v>
      </c>
      <c r="Q28" s="17" t="n">
        <v>693.6791381835938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Q3 2025-26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-1.19%</t>
        </is>
      </c>
      <c r="J29" s="13" t="inlineStr">
        <is>
          <t>-2.23%</t>
        </is>
      </c>
      <c r="K29" s="16">
        <f>X28</f>
        <v/>
      </c>
      <c r="L29" s="13" t="inlineStr">
        <is>
          <t>2024-05-14</t>
        </is>
      </c>
      <c r="M29" s="13" t="inlineStr">
        <is>
          <t>2024-05-24</t>
        </is>
      </c>
      <c r="N29" s="13" t="inlineStr">
        <is>
          <t>2024-05-18</t>
        </is>
      </c>
      <c r="O29" s="9" t="n">
        <v>6099</v>
      </c>
      <c r="P29" s="17" t="n">
        <v>183.8274230957031</v>
      </c>
      <c r="Q29" s="17" t="n">
        <v>181.6337890625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Q3 2025-26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4.66%</t>
        </is>
      </c>
      <c r="J30" s="13" t="inlineStr">
        <is>
          <t>4.3%</t>
        </is>
      </c>
      <c r="K30" s="16">
        <f>X29</f>
        <v/>
      </c>
      <c r="L30" s="13" t="inlineStr">
        <is>
          <t>2024-05-03</t>
        </is>
      </c>
      <c r="M30" s="13" t="inlineStr">
        <is>
          <t>2024-05-16</t>
        </is>
      </c>
      <c r="N30" s="13" t="inlineStr">
        <is>
          <t>2024-05-10</t>
        </is>
      </c>
      <c r="O30" s="9" t="n">
        <v>4138</v>
      </c>
      <c r="P30" s="17" t="n">
        <v>239.4935455322266</v>
      </c>
      <c r="Q30" s="17" t="n">
        <v>251.1995086669922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Q3 2025-26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13.66%</t>
        </is>
      </c>
      <c r="J31" s="13" t="inlineStr">
        <is>
          <t>10.69%</t>
        </is>
      </c>
      <c r="K31" s="16">
        <f>X30</f>
        <v/>
      </c>
      <c r="L31" s="13" t="inlineStr">
        <is>
          <t>2024-05-07</t>
        </is>
      </c>
      <c r="M31" s="13" t="inlineStr">
        <is>
          <t>2024-05-16</t>
        </is>
      </c>
      <c r="N31" s="13" t="inlineStr">
        <is>
          <t>2024-05-10</t>
        </is>
      </c>
      <c r="O31" s="9" t="n">
        <v>7287</v>
      </c>
      <c r="P31" s="17" t="n">
        <v>111.1922912597656</v>
      </c>
      <c r="Q31" s="17" t="n">
        <v>128.7802276611328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Q3 2025-26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9.09%</t>
        </is>
      </c>
      <c r="J32" s="13" t="inlineStr">
        <is>
          <t>14.03%</t>
        </is>
      </c>
      <c r="K32" s="16">
        <f>X31</f>
        <v/>
      </c>
      <c r="L32" s="13" t="inlineStr">
        <is>
          <t>2024-07-30</t>
        </is>
      </c>
      <c r="M32" s="13" t="inlineStr">
        <is>
          <t>2024-08-12</t>
        </is>
      </c>
      <c r="N32" s="13" t="inlineStr">
        <is>
          <t>2024-08-10</t>
        </is>
      </c>
      <c r="O32" s="9" t="n">
        <v>793</v>
      </c>
      <c r="P32" s="17" t="n">
        <v>1333.065185546875</v>
      </c>
      <c r="Q32" s="17" t="n">
        <v>1466.3271484375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Q3 2025-26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0.28%</t>
        </is>
      </c>
      <c r="J33" s="13" t="inlineStr">
        <is>
          <t>1.91%</t>
        </is>
      </c>
      <c r="K33" s="16">
        <f>X32</f>
        <v/>
      </c>
      <c r="L33" s="13" t="inlineStr">
        <is>
          <t>2024-10-16</t>
        </is>
      </c>
      <c r="M33" s="13" t="inlineStr">
        <is>
          <t>2024-10-31</t>
        </is>
      </c>
      <c r="N33" s="13" t="inlineStr">
        <is>
          <t>2024-10-25</t>
        </is>
      </c>
      <c r="O33" s="9" t="n">
        <v>2438</v>
      </c>
      <c r="P33" s="17" t="n">
        <v>281.4766845703125</v>
      </c>
      <c r="Q33" s="17" t="n">
        <v>282.26708984375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Q3 2025-26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-7.85%</t>
        </is>
      </c>
      <c r="J34" s="13" t="inlineStr">
        <is>
          <t>-13.48%</t>
        </is>
      </c>
      <c r="K34" s="16">
        <f>X33</f>
        <v/>
      </c>
      <c r="L34" s="13" t="inlineStr">
        <is>
          <t>2024-04-26</t>
        </is>
      </c>
      <c r="M34" s="13" t="inlineStr">
        <is>
          <t>2024-05-09</t>
        </is>
      </c>
      <c r="N34" s="13" t="inlineStr">
        <is>
          <t>2024-05-08</t>
        </is>
      </c>
      <c r="O34" s="9" t="n">
        <v>461</v>
      </c>
      <c r="P34" s="17" t="n">
        <v>1391.697631835938</v>
      </c>
      <c r="Q34" s="17" t="n">
        <v>1290.380249023438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Q3 2025-26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-6.46%</t>
        </is>
      </c>
      <c r="J35" s="13" t="inlineStr">
        <is>
          <t>-7.96%</t>
        </is>
      </c>
      <c r="K35" s="16">
        <f>X34</f>
        <v/>
      </c>
      <c r="L35" s="13" t="inlineStr">
        <is>
          <t>2024-10-17</t>
        </is>
      </c>
      <c r="M35" s="13" t="inlineStr">
        <is>
          <t>2024-11-04</t>
        </is>
      </c>
      <c r="N35" s="13" t="inlineStr">
        <is>
          <t>2024-10-28</t>
        </is>
      </c>
      <c r="O35" s="9" t="n">
        <v>950</v>
      </c>
      <c r="P35" s="17" t="n">
        <v>1687.046508789062</v>
      </c>
      <c r="Q35" s="17" t="n">
        <v>1578.0576171875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Q3 2025-26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-3.57%</t>
        </is>
      </c>
      <c r="J36" s="13" t="inlineStr">
        <is>
          <t>-4.64%</t>
        </is>
      </c>
      <c r="K36" s="16">
        <f>X35</f>
        <v/>
      </c>
      <c r="L36" s="13" t="inlineStr">
        <is>
          <t>2024-05-14</t>
        </is>
      </c>
      <c r="M36" s="13" t="inlineStr">
        <is>
          <t>2024-05-27</t>
        </is>
      </c>
      <c r="N36" s="13" t="inlineStr">
        <is>
          <t>2024-05-21</t>
        </is>
      </c>
      <c r="O36" s="9" t="n">
        <v>2481</v>
      </c>
      <c r="P36" s="17" t="n">
        <v>296.7167358398437</v>
      </c>
      <c r="Q36" s="17" t="n">
        <v>286.47998046875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Q3 2025-26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-3.66%</t>
        </is>
      </c>
      <c r="J37" s="13" t="inlineStr">
        <is>
          <t>-6.58%</t>
        </is>
      </c>
      <c r="K37" s="16">
        <f>X36</f>
        <v/>
      </c>
      <c r="L37" s="13" t="inlineStr">
        <is>
          <t>2024-05-07</t>
        </is>
      </c>
      <c r="M37" s="13" t="inlineStr">
        <is>
          <t>2024-05-17</t>
        </is>
      </c>
      <c r="N37" s="13" t="inlineStr">
        <is>
          <t>2024-05-16</t>
        </is>
      </c>
      <c r="O37" s="9" t="n">
        <v>2351</v>
      </c>
      <c r="P37" s="17" t="n">
        <v>304.6545715332031</v>
      </c>
      <c r="Q37" s="17" t="n">
        <v>293.8967895507812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Q3 2025-26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-1.79%</t>
        </is>
      </c>
      <c r="J38" s="13" t="inlineStr">
        <is>
          <t>-2.32%</t>
        </is>
      </c>
      <c r="K38" s="16">
        <f>X37</f>
        <v/>
      </c>
      <c r="L38" s="13" t="inlineStr">
        <is>
          <t>2024-04-19</t>
        </is>
      </c>
      <c r="M38" s="13" t="inlineStr">
        <is>
          <t>2024-05-03</t>
        </is>
      </c>
      <c r="N38" s="13" t="inlineStr">
        <is>
          <t>2024-05-02</t>
        </is>
      </c>
      <c r="O38" s="9" t="n">
        <v>591</v>
      </c>
      <c r="P38" s="17" t="n">
        <v>1428.02587890625</v>
      </c>
      <c r="Q38" s="17" t="n">
        <v>1402.925170898438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Q3 2025-26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0.61%</t>
        </is>
      </c>
      <c r="J39" s="13" t="inlineStr">
        <is>
          <t>1.0%</t>
        </is>
      </c>
      <c r="K39" s="16">
        <f>X38</f>
        <v/>
      </c>
      <c r="L39" s="13" t="inlineStr">
        <is>
          <t>2024-05-13</t>
        </is>
      </c>
      <c r="M39" s="13" t="inlineStr">
        <is>
          <t>2024-05-30</t>
        </is>
      </c>
      <c r="N39" s="13" t="inlineStr">
        <is>
          <t>2024-05-24</t>
        </is>
      </c>
      <c r="O39" s="9" t="n">
        <v>100</v>
      </c>
      <c r="P39" s="17" t="n">
        <v>30054.38671875</v>
      </c>
      <c r="Q39" s="17" t="n">
        <v>30238.43359375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Q3 2025-26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9.27%</t>
        </is>
      </c>
      <c r="J40" s="13" t="inlineStr">
        <is>
          <t>10.4%</t>
        </is>
      </c>
      <c r="K40" s="16">
        <f>X39</f>
        <v/>
      </c>
      <c r="L40" s="13" t="inlineStr">
        <is>
          <t>2024-10-18</t>
        </is>
      </c>
      <c r="M40" s="13" t="inlineStr">
        <is>
          <t>2024-10-31</t>
        </is>
      </c>
      <c r="N40" s="13" t="inlineStr">
        <is>
          <t>2024-10-25</t>
        </is>
      </c>
      <c r="O40" s="9" t="n">
        <v>1800</v>
      </c>
      <c r="P40" s="17" t="n">
        <v>286.0209045410156</v>
      </c>
      <c r="Q40" s="17" t="n">
        <v>315.2442321777344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Q3 2025-26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-2.23%</t>
        </is>
      </c>
      <c r="J41" s="13" t="inlineStr">
        <is>
          <t>-2.83%</t>
        </is>
      </c>
      <c r="K41" s="16">
        <f>X40</f>
        <v/>
      </c>
      <c r="L41" s="13" t="inlineStr">
        <is>
          <t>2024-11-12</t>
        </is>
      </c>
      <c r="M41" s="13" t="inlineStr">
        <is>
          <t>2024-11-14</t>
        </is>
      </c>
      <c r="N41" s="13" t="inlineStr">
        <is>
          <t>2024-11-12</t>
        </is>
      </c>
      <c r="O41" s="9" t="n">
        <v>200</v>
      </c>
      <c r="P41" s="17" t="n">
        <v>4962.515625</v>
      </c>
      <c r="Q41" s="17" t="n">
        <v>4852.01416015625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Q3 2025-26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-15.58%</t>
        </is>
      </c>
      <c r="J42" s="13" t="inlineStr">
        <is>
          <t>-18.64%</t>
        </is>
      </c>
      <c r="K42" s="16">
        <f>X41</f>
        <v/>
      </c>
      <c r="L42" s="13" t="inlineStr">
        <is>
          <t>2024-04-26</t>
        </is>
      </c>
      <c r="M42" s="13" t="inlineStr">
        <is>
          <t>2024-05-09</t>
        </is>
      </c>
      <c r="N42" s="13" t="inlineStr">
        <is>
          <t>2024-05-08</t>
        </is>
      </c>
      <c r="O42" s="9" t="n">
        <v>283</v>
      </c>
      <c r="P42" s="17" t="n">
        <v>1058.116577148438</v>
      </c>
      <c r="Q42" s="17" t="n">
        <v>893.2529296875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Q3 2025-26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-0.86%</t>
        </is>
      </c>
      <c r="J43" s="13" t="inlineStr">
        <is>
          <t>-4.97%</t>
        </is>
      </c>
      <c r="K43" s="16">
        <f>X42</f>
        <v/>
      </c>
      <c r="L43" s="13" t="inlineStr">
        <is>
          <t>2024-05-07</t>
        </is>
      </c>
      <c r="M43" s="13" t="inlineStr">
        <is>
          <t>2024-05-10</t>
        </is>
      </c>
      <c r="N43" s="13" t="inlineStr">
        <is>
          <t>2024-05-09</t>
        </is>
      </c>
      <c r="O43" s="9" t="n">
        <v>1260</v>
      </c>
      <c r="P43" s="17" t="n">
        <v>617.2816772460938</v>
      </c>
      <c r="Q43" s="17" t="n">
        <v>612.0181884765625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Q3 2025-26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8.27%</t>
        </is>
      </c>
      <c r="J44" s="13" t="inlineStr">
        <is>
          <t>5.68%</t>
        </is>
      </c>
      <c r="K44" s="16">
        <f>X43</f>
        <v/>
      </c>
      <c r="L44" s="13" t="inlineStr">
        <is>
          <t>2024-04-26</t>
        </is>
      </c>
      <c r="M44" s="13" t="inlineStr">
        <is>
          <t>2024-05-14</t>
        </is>
      </c>
      <c r="N44" s="13" t="inlineStr">
        <is>
          <t>2024-05-08</t>
        </is>
      </c>
      <c r="O44" s="9" t="n">
        <v>8046</v>
      </c>
      <c r="P44" s="17" t="n">
        <v>103.1004486083984</v>
      </c>
      <c r="Q44" s="17" t="n">
        <v>112.390495300293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Q3 2025-26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-6.67%</t>
        </is>
      </c>
      <c r="J45" s="13" t="inlineStr">
        <is>
          <t>-9.57%</t>
        </is>
      </c>
      <c r="K45" s="16">
        <f>X44</f>
        <v/>
      </c>
      <c r="L45" s="13" t="inlineStr">
        <is>
          <t>2024-04-22</t>
        </is>
      </c>
      <c r="M45" s="13" t="inlineStr">
        <is>
          <t>2024-05-06</t>
        </is>
      </c>
      <c r="N45" s="13" t="inlineStr">
        <is>
          <t>2024-05-04</t>
        </is>
      </c>
      <c r="O45" s="9" t="n">
        <v>748</v>
      </c>
      <c r="P45" s="17" t="n">
        <v>1045.231811523438</v>
      </c>
      <c r="Q45" s="17" t="n">
        <v>979.9031372070312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Q3 2025-26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3.75%</t>
        </is>
      </c>
      <c r="J46" s="13" t="inlineStr">
        <is>
          <t>4.62%</t>
        </is>
      </c>
      <c r="K46" s="16">
        <f>X45</f>
        <v/>
      </c>
      <c r="L46" s="13" t="inlineStr">
        <is>
          <t>2024-04-29</t>
        </is>
      </c>
      <c r="M46" s="13" t="inlineStr">
        <is>
          <t>2024-05-10</t>
        </is>
      </c>
      <c r="N46" s="13" t="inlineStr">
        <is>
          <t>2024-05-06</t>
        </is>
      </c>
      <c r="O46" s="9" t="n">
        <v>1201</v>
      </c>
      <c r="P46" s="17" t="n">
        <v>556.7109985351562</v>
      </c>
      <c r="Q46" s="17" t="n">
        <v>577.5733032226562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Q3 2025-26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1.2%</t>
        </is>
      </c>
      <c r="J47" s="13" t="inlineStr">
        <is>
          <t>2.26%</t>
        </is>
      </c>
      <c r="K47" s="16">
        <f>X46</f>
        <v/>
      </c>
      <c r="L47" s="13" t="inlineStr">
        <is>
          <t>2024-01-24</t>
        </is>
      </c>
      <c r="M47" s="13" t="inlineStr">
        <is>
          <t>2024-01-29</t>
        </is>
      </c>
      <c r="N47" s="13" t="inlineStr">
        <is>
          <t>2024-01-25</t>
        </is>
      </c>
      <c r="O47" s="9" t="n">
        <v>563</v>
      </c>
      <c r="P47" s="17" t="n">
        <v>1225.716918945312</v>
      </c>
      <c r="Q47" s="17" t="n">
        <v>1240.654907226562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Q3 2025-26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-7.54%</t>
        </is>
      </c>
      <c r="J48" s="13" t="inlineStr">
        <is>
          <t>-7.6%</t>
        </is>
      </c>
      <c r="K48" s="16">
        <f>X47</f>
        <v/>
      </c>
      <c r="L48" s="13" t="inlineStr">
        <is>
          <t>2024-10-25</t>
        </is>
      </c>
      <c r="M48" s="13" t="inlineStr">
        <is>
          <t>2024-11-05</t>
        </is>
      </c>
      <c r="N48" s="13" t="inlineStr">
        <is>
          <t>2024-10-29</t>
        </is>
      </c>
      <c r="O48" s="9" t="n">
        <v>650</v>
      </c>
      <c r="P48" s="17" t="n">
        <v>1569.551391601562</v>
      </c>
      <c r="Q48" s="17" t="n">
        <v>1459.47119140625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Q3 2025-26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-10.68%</t>
        </is>
      </c>
      <c r="J49" s="13" t="inlineStr">
        <is>
          <t>-11.64%</t>
        </is>
      </c>
      <c r="K49" s="16">
        <f>X48</f>
        <v/>
      </c>
      <c r="L49" s="13" t="inlineStr">
        <is>
          <t>2024-10-15</t>
        </is>
      </c>
      <c r="M49" s="13" t="inlineStr">
        <is>
          <t>2024-10-28</t>
        </is>
      </c>
      <c r="N49" s="13" t="inlineStr">
        <is>
          <t>2024-10-25</t>
        </is>
      </c>
      <c r="O49" s="9" t="n">
        <v>2100</v>
      </c>
      <c r="P49" s="17" t="n">
        <v>439.0777587890625</v>
      </c>
      <c r="Q49" s="17" t="n">
        <v>392.190673828125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Q3 2025-26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-46.49%</t>
        </is>
      </c>
      <c r="J50" s="13" t="inlineStr">
        <is>
          <t>-40.48%</t>
        </is>
      </c>
      <c r="K50" s="16">
        <f>X49</f>
        <v/>
      </c>
      <c r="L50" s="13" t="inlineStr">
        <is>
          <t>2024-05-16</t>
        </is>
      </c>
      <c r="M50" s="13" t="inlineStr">
        <is>
          <t>2024-05-27</t>
        </is>
      </c>
      <c r="N50" s="13" t="inlineStr">
        <is>
          <t>2024-05-24</t>
        </is>
      </c>
      <c r="O50" s="9" t="n">
        <v>713</v>
      </c>
      <c r="P50" s="17" t="n">
        <v>1945.646118164062</v>
      </c>
      <c r="Q50" s="17" t="n">
        <v>1328.192138671875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Q3 2025-26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-13.59%</t>
        </is>
      </c>
      <c r="J51" s="13" t="inlineStr">
        <is>
          <t>-15.18%</t>
        </is>
      </c>
      <c r="K51" s="16">
        <f>X50</f>
        <v/>
      </c>
      <c r="L51" s="13" t="inlineStr">
        <is>
          <t>2024-04-30</t>
        </is>
      </c>
      <c r="M51" s="13" t="inlineStr">
        <is>
          <t>2024-05-08</t>
        </is>
      </c>
      <c r="N51" s="13" t="inlineStr">
        <is>
          <t>2024-05-02</t>
        </is>
      </c>
      <c r="O51" s="9" t="n">
        <v>572</v>
      </c>
      <c r="P51" s="17" t="n">
        <v>999.1056518554688</v>
      </c>
      <c r="Q51" s="17" t="n">
        <v>863.2943115234375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Q3 2025-26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-5.28%</t>
        </is>
      </c>
      <c r="J52" s="13" t="inlineStr">
        <is>
          <t>-5.27%</t>
        </is>
      </c>
      <c r="K52" s="16">
        <f>X51</f>
        <v/>
      </c>
      <c r="L52" s="13" t="inlineStr">
        <is>
          <t>2024-05-07</t>
        </is>
      </c>
      <c r="M52" s="13" t="inlineStr">
        <is>
          <t>2024-05-21</t>
        </is>
      </c>
      <c r="N52" s="13" t="inlineStr">
        <is>
          <t>2024-05-14</t>
        </is>
      </c>
      <c r="O52" s="9" t="n">
        <v>479</v>
      </c>
      <c r="P52" s="17" t="n">
        <v>2710.7548828125</v>
      </c>
      <c r="Q52" s="17" t="n">
        <v>2567.669921875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Q3 2025-26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6.5%</t>
        </is>
      </c>
      <c r="J53" s="13" t="inlineStr">
        <is>
          <t>3.43%</t>
        </is>
      </c>
      <c r="K53" s="16">
        <f>X52</f>
        <v/>
      </c>
      <c r="L53" s="13" t="inlineStr">
        <is>
          <t>2024-05-14</t>
        </is>
      </c>
      <c r="M53" s="13" t="inlineStr">
        <is>
          <t>2024-05-21</t>
        </is>
      </c>
      <c r="N53" s="13" t="inlineStr">
        <is>
          <t>2024-05-17</t>
        </is>
      </c>
      <c r="O53" s="9" t="n">
        <v>1904</v>
      </c>
      <c r="P53" s="17" t="n">
        <v>996.7323608398438</v>
      </c>
      <c r="Q53" s="17" t="n">
        <v>1061.508911132812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Q3 2025-26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-18.79%</t>
        </is>
      </c>
      <c r="J54" s="13" t="inlineStr">
        <is>
          <t>-16.98%</t>
        </is>
      </c>
      <c r="K54" s="16">
        <f>X53</f>
        <v/>
      </c>
      <c r="L54" s="13" t="inlineStr">
        <is>
          <t>2024-05-10</t>
        </is>
      </c>
      <c r="M54" s="13" t="inlineStr">
        <is>
          <t>2024-05-17</t>
        </is>
      </c>
      <c r="N54" s="13" t="inlineStr">
        <is>
          <t>2024-05-16</t>
        </is>
      </c>
      <c r="O54" s="9" t="n">
        <v>3841</v>
      </c>
      <c r="P54" s="17" t="n">
        <v>381.1334228515625</v>
      </c>
      <c r="Q54" s="17" t="n">
        <v>320.8367309570312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Q3 2025-26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8.34%</t>
        </is>
      </c>
      <c r="J55" s="13" t="inlineStr">
        <is>
          <t>7.55%</t>
        </is>
      </c>
      <c r="K55" s="16">
        <f>X54</f>
        <v/>
      </c>
      <c r="L55" s="13" t="inlineStr">
        <is>
          <t>2024-05-24</t>
        </is>
      </c>
      <c r="M55" s="13" t="inlineStr">
        <is>
          <t>2024-06-05</t>
        </is>
      </c>
      <c r="N55" s="13" t="inlineStr">
        <is>
          <t>2024-05-30</t>
        </is>
      </c>
      <c r="O55" s="9" t="n">
        <v>185</v>
      </c>
      <c r="P55" s="17" t="n">
        <v>3290.5908203125</v>
      </c>
      <c r="Q55" s="17" t="n">
        <v>3590.01171875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Q3 2025-26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4.81%</t>
        </is>
      </c>
      <c r="J56" s="13" t="inlineStr">
        <is>
          <t>3.31%</t>
        </is>
      </c>
      <c r="K56" s="16">
        <f>X55</f>
        <v/>
      </c>
      <c r="L56" s="13" t="inlineStr">
        <is>
          <t>2024-04-25</t>
        </is>
      </c>
      <c r="M56" s="13" t="inlineStr">
        <is>
          <t>2024-05-06</t>
        </is>
      </c>
      <c r="N56" s="13" t="inlineStr">
        <is>
          <t>2024-05-03</t>
        </is>
      </c>
      <c r="O56" s="9" t="n">
        <v>2346</v>
      </c>
      <c r="P56" s="17" t="n">
        <v>487.7774963378906</v>
      </c>
      <c r="Q56" s="17" t="n">
        <v>511.2296752929688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Q3 2025-26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13.2%</t>
        </is>
      </c>
      <c r="J57" s="13" t="inlineStr">
        <is>
          <t>8.31%</t>
        </is>
      </c>
      <c r="K57" s="16">
        <f>X56</f>
        <v/>
      </c>
      <c r="L57" s="13" t="inlineStr">
        <is>
          <t>2024-05-15</t>
        </is>
      </c>
      <c r="M57" s="13" t="inlineStr">
        <is>
          <t>2024-05-21</t>
        </is>
      </c>
      <c r="N57" s="13" t="inlineStr">
        <is>
          <t>2024-05-18</t>
        </is>
      </c>
      <c r="O57" s="9" t="n">
        <v>2135</v>
      </c>
      <c r="P57" s="17" t="n">
        <v>389.75</v>
      </c>
      <c r="Q57" s="17" t="n">
        <v>449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Q3 2025-26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8.24%</t>
        </is>
      </c>
      <c r="J58" s="13" t="inlineStr">
        <is>
          <t>3.57%</t>
        </is>
      </c>
      <c r="K58" s="16">
        <f>X57</f>
        <v/>
      </c>
      <c r="L58" s="13" t="inlineStr">
        <is>
          <t>2024-05-16</t>
        </is>
      </c>
      <c r="M58" s="13" t="inlineStr">
        <is>
          <t>2024-05-27</t>
        </is>
      </c>
      <c r="N58" s="13" t="inlineStr">
        <is>
          <t>2024-05-25</t>
        </is>
      </c>
      <c r="O58" s="9" t="n">
        <v>200</v>
      </c>
      <c r="P58" s="17" t="n">
        <v>3873.48583984375</v>
      </c>
      <c r="Q58" s="17" t="n">
        <v>4192.83203125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Q3 2025-26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1.84%</t>
        </is>
      </c>
      <c r="J59" s="13" t="inlineStr">
        <is>
          <t>-1.54%</t>
        </is>
      </c>
      <c r="K59" s="16">
        <f>X58</f>
        <v/>
      </c>
      <c r="L59" s="13" t="inlineStr">
        <is>
          <t>2024-05-06</t>
        </is>
      </c>
      <c r="M59" s="13" t="inlineStr">
        <is>
          <t>2024-05-16</t>
        </is>
      </c>
      <c r="N59" s="13" t="inlineStr">
        <is>
          <t>2024-05-15</t>
        </is>
      </c>
      <c r="O59" s="9" t="n">
        <v>100</v>
      </c>
      <c r="P59" s="17" t="n">
        <v>8253.2255859375</v>
      </c>
      <c r="Q59" s="17" t="n">
        <v>8407.6513671875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Q3 2025-26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1.58%</t>
        </is>
      </c>
      <c r="J60" s="13" t="inlineStr">
        <is>
          <t>0.05%</t>
        </is>
      </c>
      <c r="K60" s="16">
        <f>X59</f>
        <v/>
      </c>
      <c r="L60" s="13" t="inlineStr">
        <is>
          <t>2024-05-08</t>
        </is>
      </c>
      <c r="M60" s="13" t="inlineStr">
        <is>
          <t>2024-05-14</t>
        </is>
      </c>
      <c r="N60" s="13" t="inlineStr">
        <is>
          <t>2024-05-13</t>
        </is>
      </c>
      <c r="O60" s="9" t="n">
        <v>1527</v>
      </c>
      <c r="P60" s="17" t="n">
        <v>817.954833984375</v>
      </c>
      <c r="Q60" s="17" t="n">
        <v>831.066650390625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Q3 2025-26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0.07%</t>
        </is>
      </c>
      <c r="J61" s="13" t="inlineStr">
        <is>
          <t>-2.85%</t>
        </is>
      </c>
      <c r="K61" s="16">
        <f>X60</f>
        <v/>
      </c>
      <c r="L61" s="13" t="inlineStr">
        <is>
          <t>2024-04-30</t>
        </is>
      </c>
      <c r="M61" s="13" t="inlineStr">
        <is>
          <t>2024-05-06</t>
        </is>
      </c>
      <c r="N61" s="13" t="inlineStr">
        <is>
          <t>2024-05-04</t>
        </is>
      </c>
      <c r="O61" s="9" t="n">
        <v>258</v>
      </c>
      <c r="P61" s="17" t="n">
        <v>4600.60009765625</v>
      </c>
      <c r="Q61" s="17" t="n">
        <v>4603.7998046875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Q3 2025-26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1.84%</t>
        </is>
      </c>
      <c r="J62" s="13" t="inlineStr">
        <is>
          <t>1.11%</t>
        </is>
      </c>
      <c r="K62" s="16">
        <f>X61</f>
        <v/>
      </c>
      <c r="L62" s="13" t="inlineStr">
        <is>
          <t>2024-10-28</t>
        </is>
      </c>
      <c r="M62" s="13" t="inlineStr">
        <is>
          <t>2024-11-07</t>
        </is>
      </c>
      <c r="N62" s="13" t="inlineStr">
        <is>
          <t>2024-11-05</t>
        </is>
      </c>
      <c r="O62" s="9" t="n">
        <v>125</v>
      </c>
      <c r="P62" s="17" t="n">
        <v>1271.175415039062</v>
      </c>
      <c r="Q62" s="17" t="n">
        <v>1295.022094726562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Q3 2025-26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0.91%</t>
        </is>
      </c>
      <c r="J63" s="13" t="inlineStr">
        <is>
          <t>-1.39%</t>
        </is>
      </c>
      <c r="K63" s="16">
        <f>X62</f>
        <v/>
      </c>
      <c r="L63" s="13" t="inlineStr">
        <is>
          <t>2024-11-04</t>
        </is>
      </c>
      <c r="M63" s="13" t="inlineStr">
        <is>
          <t>2024-11-18</t>
        </is>
      </c>
      <c r="N63" s="13" t="inlineStr">
        <is>
          <t>2024-11-13</t>
        </is>
      </c>
      <c r="O63" s="9" t="n">
        <v>175</v>
      </c>
      <c r="P63" s="17" t="n">
        <v>4769.99951171875</v>
      </c>
      <c r="Q63" s="17" t="n">
        <v>4813.23876953125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Q3 2025-26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-0.2%</t>
        </is>
      </c>
      <c r="J64" s="13" t="inlineStr">
        <is>
          <t>-6.03%</t>
        </is>
      </c>
      <c r="K64" s="16">
        <f>X63</f>
        <v/>
      </c>
      <c r="L64" s="13" t="inlineStr">
        <is>
          <t>2024-05-09</t>
        </is>
      </c>
      <c r="M64" s="13" t="inlineStr">
        <is>
          <t>2024-05-17</t>
        </is>
      </c>
      <c r="N64" s="13" t="inlineStr">
        <is>
          <t>2024-05-13</t>
        </is>
      </c>
      <c r="O64" s="9" t="n">
        <v>3399</v>
      </c>
      <c r="P64" s="17" t="n">
        <v>195.25</v>
      </c>
      <c r="Q64" s="17" t="n">
        <v>194.8500061035156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Q3 2025-26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2.03%</t>
        </is>
      </c>
      <c r="J65" s="13" t="inlineStr">
        <is>
          <t>0.05%</t>
        </is>
      </c>
      <c r="K65" s="16">
        <f>X64</f>
        <v/>
      </c>
      <c r="L65" s="13" t="inlineStr">
        <is>
          <t>2024-04-29</t>
        </is>
      </c>
      <c r="M65" s="13" t="inlineStr">
        <is>
          <t>2024-05-06</t>
        </is>
      </c>
      <c r="N65" s="13" t="inlineStr">
        <is>
          <t>2024-05-03</t>
        </is>
      </c>
      <c r="O65" s="9" t="n">
        <v>2823</v>
      </c>
      <c r="P65" s="17" t="n">
        <v>158.5432586669922</v>
      </c>
      <c r="Q65" s="17" t="n">
        <v>161.754638671875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Q3 2025-26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-2.86%</t>
        </is>
      </c>
      <c r="J66" s="13" t="inlineStr">
        <is>
          <t>-5.27%</t>
        </is>
      </c>
      <c r="K66" s="16">
        <f>X65</f>
        <v/>
      </c>
      <c r="L66" s="13" t="inlineStr">
        <is>
          <t>2026-04-28</t>
        </is>
      </c>
      <c r="M66" s="13" t="inlineStr">
        <is>
          <t>2026-05-06</t>
        </is>
      </c>
      <c r="N66" s="13" t="inlineStr">
        <is>
          <t>2026-04-29</t>
        </is>
      </c>
      <c r="O66" s="9" t="n">
        <v>100</v>
      </c>
      <c r="P66" s="17" t="n">
        <v>20767</v>
      </c>
      <c r="Q66" s="17" t="n">
        <v>20173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Q3 2025-26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4.34%</t>
        </is>
      </c>
      <c r="J67" s="13" t="inlineStr">
        <is>
          <t>3.79%</t>
        </is>
      </c>
      <c r="K67" s="16">
        <f>X66</f>
        <v/>
      </c>
      <c r="L67" s="13" t="inlineStr">
        <is>
          <t>2024-05-15</t>
        </is>
      </c>
      <c r="M67" s="13" t="inlineStr">
        <is>
          <t>2024-05-29</t>
        </is>
      </c>
      <c r="N67" s="13" t="inlineStr">
        <is>
          <t>2024-05-23</t>
        </is>
      </c>
      <c r="O67" s="9" t="n">
        <v>1053</v>
      </c>
      <c r="P67" s="17" t="n">
        <v>441.7975769042969</v>
      </c>
      <c r="Q67" s="17" t="n">
        <v>460.9650268554688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Q3 2025-26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-2.63%</t>
        </is>
      </c>
      <c r="J68" s="13" t="inlineStr">
        <is>
          <t>-5.09%</t>
        </is>
      </c>
      <c r="K68" s="16">
        <f>X67</f>
        <v/>
      </c>
      <c r="L68" s="13" t="inlineStr">
        <is>
          <t>2024-07-26</t>
        </is>
      </c>
      <c r="M68" s="13" t="inlineStr">
        <is>
          <t>2024-08-05</t>
        </is>
      </c>
      <c r="N68" s="13" t="inlineStr">
        <is>
          <t>2024-07-30</t>
        </is>
      </c>
      <c r="O68" s="9" t="n">
        <v>5759</v>
      </c>
      <c r="P68" s="17" t="n">
        <v>214.2835083007812</v>
      </c>
      <c r="Q68" s="17" t="n">
        <v>208.6439819335937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Q3 2025-26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12.74%</t>
        </is>
      </c>
      <c r="J69" s="13" t="inlineStr">
        <is>
          <t>8.38%</t>
        </is>
      </c>
      <c r="K69" s="16">
        <f>X68</f>
        <v/>
      </c>
      <c r="L69" s="13" t="inlineStr">
        <is>
          <t>2024-05-22</t>
        </is>
      </c>
      <c r="M69" s="13" t="inlineStr">
        <is>
          <t>2024-05-30</t>
        </is>
      </c>
      <c r="N69" s="13" t="inlineStr">
        <is>
          <t>2024-05-24</t>
        </is>
      </c>
      <c r="O69" s="9" t="n">
        <v>456</v>
      </c>
      <c r="P69" s="17" t="n">
        <v>1021.378173828125</v>
      </c>
      <c r="Q69" s="17" t="n">
        <v>1151.522216796875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Q3 2025-26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6.57%</t>
        </is>
      </c>
      <c r="J70" s="13" t="inlineStr">
        <is>
          <t>7.8%</t>
        </is>
      </c>
      <c r="K70" s="16">
        <f>X69</f>
        <v/>
      </c>
      <c r="L70" s="13" t="inlineStr">
        <is>
          <t>2024-05-28</t>
        </is>
      </c>
      <c r="M70" s="13" t="inlineStr">
        <is>
          <t>2024-06-05</t>
        </is>
      </c>
      <c r="N70" s="13" t="inlineStr">
        <is>
          <t>2024-05-30</t>
        </is>
      </c>
      <c r="O70" s="9" t="n">
        <v>9623</v>
      </c>
      <c r="P70" s="17" t="n">
        <v>81.75</v>
      </c>
      <c r="Q70" s="17" t="n">
        <v>87.5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Q3 2025-26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-7.43%</t>
        </is>
      </c>
      <c r="J71" s="13" t="inlineStr">
        <is>
          <t>-10.61%</t>
        </is>
      </c>
      <c r="K71" s="16">
        <f>X70</f>
        <v/>
      </c>
      <c r="L71" s="13" t="inlineStr">
        <is>
          <t>2024-05-27</t>
        </is>
      </c>
      <c r="M71" s="13" t="inlineStr">
        <is>
          <t>2024-06-05</t>
        </is>
      </c>
      <c r="N71" s="13" t="inlineStr">
        <is>
          <t>2024-05-30</t>
        </is>
      </c>
      <c r="O71" s="9" t="n">
        <v>469</v>
      </c>
      <c r="P71" s="17" t="n">
        <v>1283.235229492188</v>
      </c>
      <c r="Q71" s="17" t="n">
        <v>1187.878051757812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Q3 2025-26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9.97%</t>
        </is>
      </c>
      <c r="J72" s="13" t="inlineStr">
        <is>
          <t>7.32%</t>
        </is>
      </c>
      <c r="K72" s="16">
        <f>X71</f>
        <v/>
      </c>
      <c r="L72" s="13" t="inlineStr">
        <is>
          <t>2024-04-26</t>
        </is>
      </c>
      <c r="M72" s="13" t="inlineStr">
        <is>
          <t>2024-05-07</t>
        </is>
      </c>
      <c r="N72" s="13" t="inlineStr">
        <is>
          <t>2024-05-06</t>
        </is>
      </c>
      <c r="O72" s="9" t="n">
        <v>932</v>
      </c>
      <c r="P72" s="17" t="n">
        <v>1154.265625</v>
      </c>
      <c r="Q72" s="17" t="n">
        <v>1269.30810546875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Q3 2025-26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-12.1%</t>
        </is>
      </c>
      <c r="J73" s="13" t="inlineStr">
        <is>
          <t>-9.78%</t>
        </is>
      </c>
      <c r="K73" s="16">
        <f>X72</f>
        <v/>
      </c>
      <c r="L73" s="13" t="inlineStr">
        <is>
          <t>2024-04-23</t>
        </is>
      </c>
      <c r="M73" s="13" t="inlineStr">
        <is>
          <t>2024-05-06</t>
        </is>
      </c>
      <c r="N73" s="13" t="inlineStr">
        <is>
          <t>2024-05-03</t>
        </is>
      </c>
      <c r="O73" s="9" t="n">
        <v>473</v>
      </c>
      <c r="P73" s="17" t="n">
        <v>2829.0751953125</v>
      </c>
      <c r="Q73" s="17" t="n">
        <v>2523.601806640625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Q3 2025-26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-2.11%</t>
        </is>
      </c>
      <c r="J74" s="13" t="inlineStr">
        <is>
          <t>-2.07%</t>
        </is>
      </c>
      <c r="K74" s="16">
        <f>X73</f>
        <v/>
      </c>
      <c r="L74" s="13" t="inlineStr">
        <is>
          <t>2024-11-08</t>
        </is>
      </c>
      <c r="M74" s="13" t="inlineStr">
        <is>
          <t>2024-11-22</t>
        </is>
      </c>
      <c r="N74" s="13" t="inlineStr">
        <is>
          <t>2024-11-14</t>
        </is>
      </c>
      <c r="O74" s="9" t="n">
        <v>250</v>
      </c>
      <c r="P74" s="17" t="n">
        <v>2589.230712890625</v>
      </c>
      <c r="Q74" s="17" t="n">
        <v>2535.6259765625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Q3 2025-26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10.58%</t>
        </is>
      </c>
      <c r="J75" s="13" t="inlineStr">
        <is>
          <t>4.47%</t>
        </is>
      </c>
      <c r="K75" s="16">
        <f>X74</f>
        <v/>
      </c>
      <c r="L75" s="13" t="inlineStr">
        <is>
          <t>2024-05-16</t>
        </is>
      </c>
      <c r="M75" s="13" t="inlineStr">
        <is>
          <t>2024-05-28</t>
        </is>
      </c>
      <c r="N75" s="13" t="inlineStr">
        <is>
          <t>2024-05-22</t>
        </is>
      </c>
      <c r="O75" s="9" t="n">
        <v>237</v>
      </c>
      <c r="P75" s="17" t="n">
        <v>1186.509155273438</v>
      </c>
      <c r="Q75" s="17" t="n">
        <v>1312.029296875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Q3 2025-26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27.81%</t>
        </is>
      </c>
      <c r="J76" s="13" t="inlineStr">
        <is>
          <t>24.56%</t>
        </is>
      </c>
      <c r="K76" s="16">
        <f>X75</f>
        <v/>
      </c>
      <c r="L76" s="13" t="inlineStr">
        <is>
          <t>2024-05-10</t>
        </is>
      </c>
      <c r="M76" s="13" t="inlineStr">
        <is>
          <t>2024-05-23</t>
        </is>
      </c>
      <c r="N76" s="13" t="inlineStr">
        <is>
          <t>2024-05-16</t>
        </is>
      </c>
      <c r="O76" s="9" t="n">
        <v>218</v>
      </c>
      <c r="P76" s="17" t="n">
        <v>3790.126953125</v>
      </c>
      <c r="Q76" s="17" t="n">
        <v>4844.10791015625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Q3 2025-26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-8.08%</t>
        </is>
      </c>
      <c r="J77" s="13" t="inlineStr">
        <is>
          <t>-12.63%</t>
        </is>
      </c>
      <c r="K77" s="16">
        <f>X76</f>
        <v/>
      </c>
      <c r="L77" s="13" t="inlineStr">
        <is>
          <t>2024-04-23</t>
        </is>
      </c>
      <c r="M77" s="13" t="inlineStr">
        <is>
          <t>2024-05-07</t>
        </is>
      </c>
      <c r="N77" s="13" t="inlineStr">
        <is>
          <t>2024-05-01</t>
        </is>
      </c>
      <c r="O77" s="9" t="n">
        <v>792</v>
      </c>
      <c r="P77" s="17" t="n">
        <v>1643.707275390625</v>
      </c>
      <c r="Q77" s="17" t="n">
        <v>1520.89208984375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Q3 2025-26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1.87%</t>
        </is>
      </c>
      <c r="J78" s="13" t="inlineStr">
        <is>
          <t>1.53%</t>
        </is>
      </c>
      <c r="K78" s="16">
        <f>X77</f>
        <v/>
      </c>
      <c r="L78" s="13" t="inlineStr">
        <is>
          <t>2024-10-09</t>
        </is>
      </c>
      <c r="M78" s="13" t="inlineStr">
        <is>
          <t>2024-10-21</t>
        </is>
      </c>
      <c r="N78" s="13" t="inlineStr">
        <is>
          <t>2024-10-14</t>
        </is>
      </c>
      <c r="O78" s="9" t="n">
        <v>350</v>
      </c>
      <c r="P78" s="17" t="n">
        <v>1687.298461914062</v>
      </c>
      <c r="Q78" s="17" t="n">
        <v>1718.905395507812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Q3 2025-26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0.89%</t>
        </is>
      </c>
      <c r="J79" s="13" t="inlineStr">
        <is>
          <t>3.18%</t>
        </is>
      </c>
      <c r="K79" s="16">
        <f>X78</f>
        <v/>
      </c>
      <c r="L79" s="13" t="inlineStr">
        <is>
          <t>2024-04-12</t>
        </is>
      </c>
      <c r="M79" s="13" t="inlineStr">
        <is>
          <t>2024-04-22</t>
        </is>
      </c>
      <c r="N79" s="13" t="inlineStr">
        <is>
          <t>2024-04-19</t>
        </is>
      </c>
      <c r="O79" s="9" t="n">
        <v>392</v>
      </c>
      <c r="P79" s="17" t="n">
        <v>1721.29150390625</v>
      </c>
      <c r="Q79" s="17" t="n">
        <v>1736.722900390625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Q3 2025-26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4.87%</t>
        </is>
      </c>
      <c r="J80" s="13" t="inlineStr">
        <is>
          <t>4.63%</t>
        </is>
      </c>
      <c r="K80" s="16">
        <f>X79</f>
        <v/>
      </c>
      <c r="L80" s="13" t="inlineStr">
        <is>
          <t>2024-10-10</t>
        </is>
      </c>
      <c r="M80" s="13" t="inlineStr">
        <is>
          <t>2024-10-25</t>
        </is>
      </c>
      <c r="N80" s="13" t="inlineStr">
        <is>
          <t>2024-10-20</t>
        </is>
      </c>
      <c r="O80" s="9" t="n">
        <v>550</v>
      </c>
      <c r="P80" s="17" t="n">
        <v>806.7709350585938</v>
      </c>
      <c r="Q80" s="17" t="n">
        <v>846.0806884765625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Q3 2025-26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3.06%</t>
        </is>
      </c>
      <c r="J81" s="13" t="inlineStr">
        <is>
          <t>2.35%</t>
        </is>
      </c>
      <c r="K81" s="16">
        <f>X80</f>
        <v/>
      </c>
      <c r="L81" s="13" t="inlineStr">
        <is>
          <t>2024-04-15</t>
        </is>
      </c>
      <c r="M81" s="13" t="inlineStr">
        <is>
          <t>2024-04-24</t>
        </is>
      </c>
      <c r="N81" s="13" t="inlineStr">
        <is>
          <t>2024-04-18</t>
        </is>
      </c>
      <c r="O81" s="9" t="n">
        <v>1100</v>
      </c>
      <c r="P81" s="17" t="n">
        <v>588.4564208984375</v>
      </c>
      <c r="Q81" s="17" t="n">
        <v>607.0252075195312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Q3 2025-26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0.77%</t>
        </is>
      </c>
      <c r="J82" s="13" t="inlineStr">
        <is>
          <t>-0.52%</t>
        </is>
      </c>
      <c r="K82" s="16">
        <f>X81</f>
        <v/>
      </c>
      <c r="L82" s="13" t="inlineStr">
        <is>
          <t>2024-11-11</t>
        </is>
      </c>
      <c r="M82" s="13" t="inlineStr">
        <is>
          <t>2024-11-22</t>
        </is>
      </c>
      <c r="N82" s="13" t="inlineStr">
        <is>
          <t>2024-11-15</t>
        </is>
      </c>
      <c r="O82" s="9" t="n">
        <v>150</v>
      </c>
      <c r="P82" s="17" t="n">
        <v>4484.51171875</v>
      </c>
      <c r="Q82" s="17" t="n">
        <v>4519.01220703125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Q3 2025-26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3.32%</t>
        </is>
      </c>
      <c r="J83" s="13" t="inlineStr">
        <is>
          <t>3.46%</t>
        </is>
      </c>
      <c r="K83" s="16">
        <f>X82</f>
        <v/>
      </c>
      <c r="L83" s="13" t="inlineStr">
        <is>
          <t>2024-11-07</t>
        </is>
      </c>
      <c r="M83" s="13" t="inlineStr">
        <is>
          <t>2024-11-13</t>
        </is>
      </c>
      <c r="N83" s="13" t="inlineStr">
        <is>
          <t>2024-11-11</t>
        </is>
      </c>
      <c r="O83" s="9" t="n">
        <v>1400</v>
      </c>
      <c r="P83" s="17" t="n">
        <v>618.8101196289062</v>
      </c>
      <c r="Q83" s="17" t="n">
        <v>640.0427856445312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Q3 2025-26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0.42%</t>
        </is>
      </c>
      <c r="J84" s="13" t="inlineStr">
        <is>
          <t>-0.93%</t>
        </is>
      </c>
      <c r="K84" s="16">
        <f>X83</f>
        <v/>
      </c>
      <c r="L84" s="13" t="inlineStr">
        <is>
          <t>2024-05-09</t>
        </is>
      </c>
      <c r="M84" s="13" t="inlineStr">
        <is>
          <t>2024-05-16</t>
        </is>
      </c>
      <c r="N84" s="13" t="inlineStr">
        <is>
          <t>2024-05-10</t>
        </is>
      </c>
      <c r="O84" s="9" t="n">
        <v>2574</v>
      </c>
      <c r="P84" s="17" t="n">
        <v>311.6957397460937</v>
      </c>
      <c r="Q84" s="17" t="n">
        <v>313.0077514648437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Q3 2025-26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8.14%</t>
        </is>
      </c>
      <c r="J85" s="13" t="inlineStr">
        <is>
          <t>8.25%</t>
        </is>
      </c>
      <c r="K85" s="16">
        <f>X84</f>
        <v/>
      </c>
      <c r="L85" s="13" t="inlineStr">
        <is>
          <t>2024-10-15</t>
        </is>
      </c>
      <c r="M85" s="13" t="inlineStr">
        <is>
          <t>2024-10-30</t>
        </is>
      </c>
      <c r="N85" s="13" t="inlineStr">
        <is>
          <t>2024-10-23</t>
        </is>
      </c>
      <c r="O85" s="9" t="n">
        <v>300</v>
      </c>
      <c r="P85" s="17" t="n">
        <v>2454.817626953125</v>
      </c>
      <c r="Q85" s="17" t="n">
        <v>2672.44091796875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Q3 2025-26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-1.04%</t>
        </is>
      </c>
      <c r="J86" s="13" t="inlineStr">
        <is>
          <t>-2.75%</t>
        </is>
      </c>
      <c r="K86" s="16">
        <f>X85</f>
        <v/>
      </c>
      <c r="L86" s="13" t="inlineStr">
        <is>
          <t>2024-04-15</t>
        </is>
      </c>
      <c r="M86" s="13" t="inlineStr">
        <is>
          <t>2024-04-25</t>
        </is>
      </c>
      <c r="N86" s="13" t="inlineStr">
        <is>
          <t>2024-04-19</t>
        </is>
      </c>
      <c r="O86" s="9" t="n">
        <v>1866</v>
      </c>
      <c r="P86" s="17" t="n">
        <v>375.271728515625</v>
      </c>
      <c r="Q86" s="17" t="n">
        <v>371.3959045410156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Q3 2025-26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2.32%</t>
        </is>
      </c>
      <c r="J87" s="13" t="inlineStr">
        <is>
          <t>-0.86%</t>
        </is>
      </c>
      <c r="K87" s="16">
        <f>X86</f>
        <v/>
      </c>
      <c r="L87" s="13" t="inlineStr">
        <is>
          <t>2025-10-17</t>
        </is>
      </c>
      <c r="M87" s="13" t="inlineStr">
        <is>
          <t>2025-10-23</t>
        </is>
      </c>
      <c r="N87" s="13" t="inlineStr">
        <is>
          <t>2025-10-21</t>
        </is>
      </c>
      <c r="O87" s="9" t="n">
        <v>495</v>
      </c>
      <c r="P87" s="17" t="n">
        <v>2292.39990234375</v>
      </c>
      <c r="Q87" s="17" t="n">
        <v>2346.800048828125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Q3 2025-26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3.91%</t>
        </is>
      </c>
      <c r="J88" s="13" t="inlineStr">
        <is>
          <t>1.45%</t>
        </is>
      </c>
      <c r="K88" s="16">
        <f>X87</f>
        <v/>
      </c>
      <c r="L88" s="13" t="inlineStr">
        <is>
          <t>2024-10-16</t>
        </is>
      </c>
      <c r="M88" s="13" t="inlineStr">
        <is>
          <t>2024-11-01</t>
        </is>
      </c>
      <c r="N88" s="13" t="inlineStr">
        <is>
          <t>2024-10-26</t>
        </is>
      </c>
      <c r="O88" s="9" t="n">
        <v>700</v>
      </c>
      <c r="P88" s="17" t="n">
        <v>1233.631225585938</v>
      </c>
      <c r="Q88" s="17" t="n">
        <v>1281.90869140625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Q3 2025-26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6.69%</t>
        </is>
      </c>
      <c r="J89" s="13" t="inlineStr">
        <is>
          <t>4.67%</t>
        </is>
      </c>
      <c r="K89" s="16">
        <f>X88</f>
        <v/>
      </c>
      <c r="L89" s="13" t="inlineStr">
        <is>
          <t>2026-01-02</t>
        </is>
      </c>
      <c r="M89" s="13" t="inlineStr">
        <is>
          <t>2026-01-21</t>
        </is>
      </c>
      <c r="N89" s="13" t="inlineStr">
        <is>
          <t>2026-01-13</t>
        </is>
      </c>
      <c r="O89" s="9" t="n">
        <v>629</v>
      </c>
      <c r="P89" s="17" t="n">
        <v>1840</v>
      </c>
      <c r="Q89" s="17" t="n">
        <v>1972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Q3 2025-26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0.89%</t>
        </is>
      </c>
      <c r="J90" s="13" t="inlineStr">
        <is>
          <t>1.38%</t>
        </is>
      </c>
      <c r="K90" s="16">
        <f>X89</f>
        <v/>
      </c>
      <c r="L90" s="13" t="inlineStr">
        <is>
          <t>2026-01-27</t>
        </is>
      </c>
      <c r="M90" s="13" t="inlineStr">
        <is>
          <t>2026-02-12</t>
        </is>
      </c>
      <c r="N90" s="13" t="inlineStr">
        <is>
          <t>2026-02-05</t>
        </is>
      </c>
      <c r="O90" s="9" t="n">
        <v>1958</v>
      </c>
      <c r="P90" s="17" t="n">
        <v>635.8931884765625</v>
      </c>
      <c r="Q90" s="17" t="n">
        <v>641.623291015625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Q3 2025-26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-11.07%</t>
        </is>
      </c>
      <c r="J91" s="13" t="inlineStr">
        <is>
          <t>-14.97%</t>
        </is>
      </c>
      <c r="K91" s="16">
        <f>X90</f>
        <v/>
      </c>
      <c r="L91" s="13" t="inlineStr">
        <is>
          <t>2024-05-09</t>
        </is>
      </c>
      <c r="M91" s="13" t="inlineStr">
        <is>
          <t>2024-05-23</t>
        </is>
      </c>
      <c r="N91" s="13" t="inlineStr">
        <is>
          <t>2024-05-16</t>
        </is>
      </c>
      <c r="O91" s="9" t="n">
        <v>77700</v>
      </c>
      <c r="P91" s="17" t="n">
        <v>14.05000019073486</v>
      </c>
      <c r="Q91" s="17" t="n">
        <v>12.64999961853027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Q3 2025-26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1.27%</t>
        </is>
      </c>
      <c r="J92" s="13" t="inlineStr">
        <is>
          <t>-3.4%</t>
        </is>
      </c>
      <c r="K92" s="16">
        <f>X91</f>
        <v/>
      </c>
      <c r="L92" s="13" t="inlineStr">
        <is>
          <t>2024-04-16</t>
        </is>
      </c>
      <c r="M92" s="13" t="inlineStr">
        <is>
          <t>2024-04-29</t>
        </is>
      </c>
      <c r="N92" s="13" t="inlineStr">
        <is>
          <t>2024-04-27</t>
        </is>
      </c>
      <c r="O92" s="9" t="n">
        <v>11798</v>
      </c>
      <c r="P92" s="17" t="n">
        <v>81.38362884521484</v>
      </c>
      <c r="Q92" s="17" t="n">
        <v>82.43019866943359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Q3 2025-26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2.17%</t>
        </is>
      </c>
      <c r="J93" s="13" t="inlineStr">
        <is>
          <t>0.36%</t>
        </is>
      </c>
      <c r="K93" s="16">
        <f>X92</f>
        <v/>
      </c>
      <c r="L93" s="13" t="inlineStr">
        <is>
          <t>2024-05-14</t>
        </is>
      </c>
      <c r="M93" s="13" t="inlineStr">
        <is>
          <t>2024-05-16</t>
        </is>
      </c>
      <c r="N93" s="13" t="inlineStr">
        <is>
          <t>2024-05-15</t>
        </is>
      </c>
      <c r="O93" s="9" t="n">
        <v>7610</v>
      </c>
      <c r="P93" s="17" t="n">
        <v>137.2859344482422</v>
      </c>
      <c r="Q93" s="17" t="n">
        <v>140.2714233398438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Q3 2025-26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-3.4%</t>
        </is>
      </c>
      <c r="J94" s="13" t="inlineStr">
        <is>
          <t>-6.36%</t>
        </is>
      </c>
      <c r="K94" s="16">
        <f>X93</f>
        <v/>
      </c>
      <c r="L94" s="13" t="inlineStr">
        <is>
          <t>2024-04-19</t>
        </is>
      </c>
      <c r="M94" s="13" t="inlineStr">
        <is>
          <t>2024-04-30</t>
        </is>
      </c>
      <c r="N94" s="13" t="inlineStr">
        <is>
          <t>2024-04-24</t>
        </is>
      </c>
      <c r="O94" s="9" t="n">
        <v>1334</v>
      </c>
      <c r="P94" s="17" t="n">
        <v>590.8825073242188</v>
      </c>
      <c r="Q94" s="17" t="n">
        <v>570.792236328125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Q3 2025-26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-6.19%</t>
        </is>
      </c>
      <c r="J95" s="13" t="inlineStr">
        <is>
          <t>-12.5%</t>
        </is>
      </c>
      <c r="K95" s="16">
        <f>X94</f>
        <v/>
      </c>
      <c r="L95" s="13" t="inlineStr">
        <is>
          <t>2024-04-30</t>
        </is>
      </c>
      <c r="M95" s="13" t="inlineStr">
        <is>
          <t>2024-05-10</t>
        </is>
      </c>
      <c r="N95" s="13" t="inlineStr">
        <is>
          <t>2024-05-06</t>
        </is>
      </c>
      <c r="O95" s="9" t="n">
        <v>1208</v>
      </c>
      <c r="P95" s="17" t="n">
        <v>511.8539428710938</v>
      </c>
      <c r="Q95" s="17" t="n">
        <v>480.1577758789063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Q3 2025-26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4.27%</t>
        </is>
      </c>
      <c r="J96" s="13" t="inlineStr">
        <is>
          <t>4.83%</t>
        </is>
      </c>
      <c r="K96" s="16">
        <f>X95</f>
        <v/>
      </c>
      <c r="L96" s="13" t="inlineStr">
        <is>
          <t>2024-05-13</t>
        </is>
      </c>
      <c r="M96" s="13" t="inlineStr">
        <is>
          <t>2024-05-24</t>
        </is>
      </c>
      <c r="N96" s="13" t="inlineStr">
        <is>
          <t>2024-05-23</t>
        </is>
      </c>
      <c r="O96" s="9" t="n">
        <v>196</v>
      </c>
      <c r="P96" s="17" t="n">
        <v>4075.113525390625</v>
      </c>
      <c r="Q96" s="17" t="n">
        <v>4249.31884765625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Q3 2025-26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-17.16%</t>
        </is>
      </c>
      <c r="J97" s="13" t="inlineStr">
        <is>
          <t>-18.06%</t>
        </is>
      </c>
      <c r="K97" s="16">
        <f>X96</f>
        <v/>
      </c>
      <c r="L97" s="13" t="inlineStr">
        <is>
          <t>2024-10-23</t>
        </is>
      </c>
      <c r="M97" s="13" t="inlineStr">
        <is>
          <t>2024-10-31</t>
        </is>
      </c>
      <c r="N97" s="13" t="inlineStr">
        <is>
          <t>2024-10-24</t>
        </is>
      </c>
      <c r="O97" s="9" t="n">
        <v>500</v>
      </c>
      <c r="P97" s="17" t="n">
        <v>1272.239379882812</v>
      </c>
      <c r="Q97" s="17" t="n">
        <v>1053.892944335938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Q3 2025-26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-0.37%</t>
        </is>
      </c>
      <c r="J98" s="13" t="inlineStr">
        <is>
          <t>-2.63%</t>
        </is>
      </c>
      <c r="K98" s="16">
        <f>X97</f>
        <v/>
      </c>
      <c r="L98" s="13" t="inlineStr">
        <is>
          <t>2024-04-25</t>
        </is>
      </c>
      <c r="M98" s="13" t="inlineStr">
        <is>
          <t>2024-05-02</t>
        </is>
      </c>
      <c r="N98" s="13" t="inlineStr">
        <is>
          <t>2024-05-01</t>
        </is>
      </c>
      <c r="O98" s="9" t="n">
        <v>2545</v>
      </c>
      <c r="P98" s="17" t="n">
        <v>352.9500122070312</v>
      </c>
      <c r="Q98" s="17" t="n">
        <v>351.6499938964844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Q3 2025-26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4.26%</t>
        </is>
      </c>
      <c r="J99" s="13" t="inlineStr">
        <is>
          <t>3.42%</t>
        </is>
      </c>
      <c r="K99" s="16">
        <f>X98</f>
        <v/>
      </c>
      <c r="L99" s="13" t="inlineStr">
        <is>
          <t>2024-10-11</t>
        </is>
      </c>
      <c r="M99" s="13" t="inlineStr">
        <is>
          <t>2024-10-21</t>
        </is>
      </c>
      <c r="N99" s="13" t="inlineStr">
        <is>
          <t>2024-10-17</t>
        </is>
      </c>
      <c r="O99" s="9" t="n">
        <v>400</v>
      </c>
      <c r="P99" s="17" t="n">
        <v>1741.550415039062</v>
      </c>
      <c r="Q99" s="17" t="n">
        <v>1818.957885742188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Q3 2025-26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13.58%</t>
        </is>
      </c>
      <c r="J100" s="13" t="inlineStr">
        <is>
          <t>8.23%</t>
        </is>
      </c>
      <c r="K100" s="16">
        <f>X99</f>
        <v/>
      </c>
      <c r="L100" s="13" t="inlineStr">
        <is>
          <t>2024-07-31</t>
        </is>
      </c>
      <c r="M100" s="13" t="inlineStr">
        <is>
          <t>2024-08-12</t>
        </is>
      </c>
      <c r="N100" s="13" t="inlineStr">
        <is>
          <t>2024-08-09</t>
        </is>
      </c>
      <c r="O100" s="9" t="n">
        <v>13336</v>
      </c>
      <c r="P100" s="17" t="n">
        <v>183.6199951171875</v>
      </c>
      <c r="Q100" s="17" t="n">
        <v>208.5500030517578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Q3 2025-26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4.82%</t>
        </is>
      </c>
      <c r="J101" s="13" t="inlineStr">
        <is>
          <t>2.7%</t>
        </is>
      </c>
      <c r="K101" s="16">
        <f>X100</f>
        <v/>
      </c>
      <c r="L101" s="13" t="inlineStr">
        <is>
          <t>2024-04-23</t>
        </is>
      </c>
      <c r="M101" s="13" t="inlineStr">
        <is>
          <t>2024-05-07</t>
        </is>
      </c>
      <c r="N101" s="13" t="inlineStr">
        <is>
          <t>2024-04-30</t>
        </is>
      </c>
      <c r="O101" s="9" t="n">
        <v>7145</v>
      </c>
      <c r="P101" s="17" t="n">
        <v>144.0414123535156</v>
      </c>
      <c r="Q101" s="17" t="n">
        <v>151.3335266113281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Q3 2025-26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72.56%</t>
        </is>
      </c>
      <c r="J102" s="13" t="inlineStr">
        <is>
          <t>52.19%</t>
        </is>
      </c>
      <c r="K102" s="16">
        <f>X101</f>
        <v/>
      </c>
      <c r="L102" s="13" t="inlineStr">
        <is>
          <t>2024-01-09</t>
        </is>
      </c>
      <c r="M102" s="13" t="inlineStr">
        <is>
          <t>2024-01-29</t>
        </is>
      </c>
      <c r="N102" s="13" t="inlineStr">
        <is>
          <t>2024-01-20</t>
        </is>
      </c>
      <c r="O102" s="9" t="n">
        <v>8341</v>
      </c>
      <c r="P102" s="17" t="n">
        <v>102.7551727294922</v>
      </c>
      <c r="Q102" s="17" t="n">
        <v>177.3098602294922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Q3 2025-26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2024-05-20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Q3 2025-26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2.89%</t>
        </is>
      </c>
      <c r="J104" s="13" t="inlineStr">
        <is>
          <t>2.9%</t>
        </is>
      </c>
      <c r="K104" s="16">
        <f>X103</f>
        <v/>
      </c>
      <c r="L104" s="13" t="inlineStr">
        <is>
          <t>2024-10-15</t>
        </is>
      </c>
      <c r="M104" s="13" t="inlineStr">
        <is>
          <t>2024-10-28</t>
        </is>
      </c>
      <c r="N104" s="13" t="inlineStr">
        <is>
          <t>2024-10-24</t>
        </is>
      </c>
      <c r="O104" s="9" t="n">
        <v>1600</v>
      </c>
      <c r="P104" s="17" t="n">
        <v>429.6910705566406</v>
      </c>
      <c r="Q104" s="17" t="n">
        <v>442.4713134765625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Q3 2025-26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7.84%</t>
        </is>
      </c>
      <c r="J105" s="13" t="inlineStr">
        <is>
          <t>5.74%</t>
        </is>
      </c>
      <c r="K105" s="16">
        <f>X104</f>
        <v/>
      </c>
      <c r="L105" s="13" t="inlineStr">
        <is>
          <t>2024-05-09</t>
        </is>
      </c>
      <c r="M105" s="13" t="inlineStr">
        <is>
          <t>2024-05-15</t>
        </is>
      </c>
      <c r="N105" s="13" t="inlineStr">
        <is>
          <t>2024-05-14</t>
        </is>
      </c>
      <c r="O105" s="9" t="n">
        <v>914</v>
      </c>
      <c r="P105" s="17" t="n">
        <v>917.5555419921876</v>
      </c>
      <c r="Q105" s="17" t="n">
        <v>989.5119018554688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Q3 2025-26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3.96%</t>
        </is>
      </c>
      <c r="J106" s="13" t="inlineStr">
        <is>
          <t>0.26%</t>
        </is>
      </c>
      <c r="K106" s="16">
        <f>X105</f>
        <v/>
      </c>
      <c r="L106" s="13" t="inlineStr">
        <is>
          <t>2024-10-17</t>
        </is>
      </c>
      <c r="M106" s="13" t="inlineStr">
        <is>
          <t>2024-10-24</t>
        </is>
      </c>
      <c r="N106" s="13" t="inlineStr">
        <is>
          <t>2024-10-18</t>
        </is>
      </c>
      <c r="O106" s="9" t="n">
        <v>4127</v>
      </c>
      <c r="P106" s="17" t="n">
        <v>315.6078491210937</v>
      </c>
      <c r="Q106" s="17" t="n">
        <v>328.6375427246094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Q3 2025-26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7.63%</t>
        </is>
      </c>
      <c r="J107" s="13" t="inlineStr">
        <is>
          <t>3.47%</t>
        </is>
      </c>
      <c r="K107" s="16">
        <f>X106</f>
        <v/>
      </c>
      <c r="L107" s="13" t="inlineStr">
        <is>
          <t>2024-04-29</t>
        </is>
      </c>
      <c r="M107" s="13" t="inlineStr">
        <is>
          <t>2024-05-08</t>
        </is>
      </c>
      <c r="N107" s="13" t="inlineStr">
        <is>
          <t>2024-05-07</t>
        </is>
      </c>
      <c r="O107" s="9" t="n">
        <v>1839</v>
      </c>
      <c r="P107" s="17" t="n">
        <v>551.3584594726562</v>
      </c>
      <c r="Q107" s="17" t="n">
        <v>596.9215698242188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Q3 2025-26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-2.92%</t>
        </is>
      </c>
      <c r="J108" s="13" t="inlineStr">
        <is>
          <t>-4.59%</t>
        </is>
      </c>
      <c r="K108" s="16">
        <f>X107</f>
        <v/>
      </c>
      <c r="L108" s="13" t="inlineStr">
        <is>
          <t>2024-10-18</t>
        </is>
      </c>
      <c r="M108" s="13" t="inlineStr">
        <is>
          <t>2024-10-31</t>
        </is>
      </c>
      <c r="N108" s="13" t="inlineStr">
        <is>
          <t>2024-10-25</t>
        </is>
      </c>
      <c r="O108" s="9" t="n">
        <v>675</v>
      </c>
      <c r="P108" s="17" t="n">
        <v>984.2807006835938</v>
      </c>
      <c r="Q108" s="17" t="n">
        <v>955.5733032226562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Q3 2025-26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5.06%</t>
        </is>
      </c>
      <c r="J109" s="13" t="inlineStr">
        <is>
          <t>3.82%</t>
        </is>
      </c>
      <c r="K109" s="16">
        <f>X108</f>
        <v/>
      </c>
      <c r="L109" s="13" t="inlineStr">
        <is>
          <t>2024-05-14</t>
        </is>
      </c>
      <c r="M109" s="13" t="inlineStr">
        <is>
          <t>2024-05-28</t>
        </is>
      </c>
      <c r="N109" s="13" t="inlineStr">
        <is>
          <t>2024-05-22</t>
        </is>
      </c>
      <c r="O109" s="9" t="n">
        <v>2273</v>
      </c>
      <c r="P109" s="17" t="n">
        <v>470.8600158691406</v>
      </c>
      <c r="Q109" s="17" t="n">
        <v>494.7010192871094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Q3 2025-26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-2.99%</t>
        </is>
      </c>
      <c r="J110" s="13" t="inlineStr">
        <is>
          <t>-2.39%</t>
        </is>
      </c>
      <c r="K110" s="16">
        <f>X109</f>
        <v/>
      </c>
      <c r="L110" s="13" t="inlineStr">
        <is>
          <t>2024-05-07</t>
        </is>
      </c>
      <c r="M110" s="13" t="inlineStr">
        <is>
          <t>2024-05-13</t>
        </is>
      </c>
      <c r="N110" s="13" t="inlineStr">
        <is>
          <t>2024-05-10</t>
        </is>
      </c>
      <c r="O110" s="9" t="n">
        <v>1575</v>
      </c>
      <c r="P110" s="17" t="n">
        <v>398.0404357910156</v>
      </c>
      <c r="Q110" s="17" t="n">
        <v>386.5001525878906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Q3 2025-26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35.56%</t>
        </is>
      </c>
      <c r="J111" s="13" t="inlineStr">
        <is>
          <t>29.47%</t>
        </is>
      </c>
      <c r="K111" s="16">
        <f>X110</f>
        <v/>
      </c>
      <c r="L111" s="13" t="inlineStr">
        <is>
          <t>2024-05-13</t>
        </is>
      </c>
      <c r="M111" s="13" t="inlineStr">
        <is>
          <t>2024-05-23</t>
        </is>
      </c>
      <c r="N111" s="13" t="inlineStr">
        <is>
          <t>2024-05-16</t>
        </is>
      </c>
      <c r="O111" s="9" t="n">
        <v>276</v>
      </c>
      <c r="P111" s="17" t="n">
        <v>2465.64990234375</v>
      </c>
      <c r="Q111" s="17" t="n">
        <v>3342.5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Q3 2025-26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-0.61%</t>
        </is>
      </c>
      <c r="J112" s="13" t="inlineStr">
        <is>
          <t>-4.35%</t>
        </is>
      </c>
      <c r="K112" s="16">
        <f>X111</f>
        <v/>
      </c>
      <c r="L112" s="13" t="inlineStr">
        <is>
          <t>2024-04-22</t>
        </is>
      </c>
      <c r="M112" s="13" t="inlineStr">
        <is>
          <t>2024-05-09</t>
        </is>
      </c>
      <c r="N112" s="13" t="inlineStr">
        <is>
          <t>2024-05-03</t>
        </is>
      </c>
      <c r="O112" s="9" t="n">
        <v>208</v>
      </c>
      <c r="P112" s="17" t="n">
        <v>3833.498291015625</v>
      </c>
      <c r="Q112" s="17" t="n">
        <v>3810.14794921875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Q3 2025-26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21.24%</t>
        </is>
      </c>
      <c r="J113" s="13" t="inlineStr">
        <is>
          <t>18.74%</t>
        </is>
      </c>
      <c r="K113" s="16">
        <f>X112</f>
        <v/>
      </c>
      <c r="L113" s="13" t="inlineStr">
        <is>
          <t>2024-04-16</t>
        </is>
      </c>
      <c r="M113" s="13" t="inlineStr">
        <is>
          <t>2024-04-30</t>
        </is>
      </c>
      <c r="N113" s="13" t="inlineStr">
        <is>
          <t>2024-04-29</t>
        </is>
      </c>
      <c r="O113" s="9" t="n">
        <v>1063</v>
      </c>
      <c r="P113" s="17" t="n">
        <v>602.7965087890625</v>
      </c>
      <c r="Q113" s="17" t="n">
        <v>730.8499755859375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Q3 2025-26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6.03%</t>
        </is>
      </c>
      <c r="J114" s="13" t="inlineStr">
        <is>
          <t>5.93%</t>
        </is>
      </c>
      <c r="K114" s="16">
        <f>X113</f>
        <v/>
      </c>
      <c r="L114" s="13" t="inlineStr">
        <is>
          <t>2024-10-16</t>
        </is>
      </c>
      <c r="M114" s="13" t="inlineStr">
        <is>
          <t>2024-10-22</t>
        </is>
      </c>
      <c r="N114" s="13" t="inlineStr">
        <is>
          <t>2024-10-19</t>
        </is>
      </c>
      <c r="O114" s="9" t="n">
        <v>400</v>
      </c>
      <c r="P114" s="17" t="n">
        <v>352.2239074707031</v>
      </c>
      <c r="Q114" s="17" t="n">
        <v>374.8378295898438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Q3 2025-26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8.38%</t>
        </is>
      </c>
      <c r="J115" s="13" t="inlineStr">
        <is>
          <t>9.53%</t>
        </is>
      </c>
      <c r="K115" s="16">
        <f>X114</f>
        <v/>
      </c>
      <c r="L115" s="13" t="inlineStr">
        <is>
          <t>2024-04-22</t>
        </is>
      </c>
      <c r="M115" s="13" t="inlineStr">
        <is>
          <t>2024-04-30</t>
        </is>
      </c>
      <c r="N115" s="13" t="inlineStr">
        <is>
          <t>2024-04-29</t>
        </is>
      </c>
      <c r="O115" s="9" t="n">
        <v>1695</v>
      </c>
      <c r="P115" s="17" t="n">
        <v>1362.690795898438</v>
      </c>
      <c r="Q115" s="17" t="n">
        <v>1476.903076171875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Q3 2025-26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-2.45%</t>
        </is>
      </c>
      <c r="J116" s="13" t="inlineStr">
        <is>
          <t>-5.26%</t>
        </is>
      </c>
      <c r="K116" s="16">
        <f>X115</f>
        <v/>
      </c>
      <c r="L116" s="13" t="inlineStr">
        <is>
          <t>2024-04-19</t>
        </is>
      </c>
      <c r="M116" s="13" t="inlineStr">
        <is>
          <t>2024-04-26</t>
        </is>
      </c>
      <c r="N116" s="13" t="inlineStr">
        <is>
          <t>2024-04-25</t>
        </is>
      </c>
      <c r="O116" s="9" t="n">
        <v>561</v>
      </c>
      <c r="P116" s="17" t="n">
        <v>434.7993774414063</v>
      </c>
      <c r="Q116" s="17" t="n">
        <v>424.4008178710938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Q3 2025-26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4.88%</t>
        </is>
      </c>
      <c r="J117" s="13" t="inlineStr">
        <is>
          <t>5.46%</t>
        </is>
      </c>
      <c r="K117" s="16">
        <f>X116</f>
        <v/>
      </c>
      <c r="L117" s="13" t="inlineStr">
        <is>
          <t>2024-05-13</t>
        </is>
      </c>
      <c r="M117" s="13" t="inlineStr">
        <is>
          <t>2024-05-22</t>
        </is>
      </c>
      <c r="N117" s="13" t="inlineStr">
        <is>
          <t>2024-05-15</t>
        </is>
      </c>
      <c r="O117" s="9" t="n">
        <v>1848</v>
      </c>
      <c r="P117" s="17" t="n">
        <v>606.1315307617188</v>
      </c>
      <c r="Q117" s="17" t="n">
        <v>635.7084350585938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Q3 2025-26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0.23%</t>
        </is>
      </c>
      <c r="J118" s="13" t="inlineStr">
        <is>
          <t>-0.72%</t>
        </is>
      </c>
      <c r="K118" s="16">
        <f>X117</f>
        <v/>
      </c>
      <c r="L118" s="13" t="inlineStr">
        <is>
          <t>2025-10-30</t>
        </is>
      </c>
      <c r="M118" s="13" t="inlineStr">
        <is>
          <t>2025-11-13</t>
        </is>
      </c>
      <c r="N118" s="13" t="inlineStr">
        <is>
          <t>2025-11-06</t>
        </is>
      </c>
      <c r="O118" s="9" t="n">
        <v>2364</v>
      </c>
      <c r="P118" s="17" t="n">
        <v>440.0594787597656</v>
      </c>
      <c r="Q118" s="17" t="n">
        <v>441.0854187011719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Q3 2025-26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6.53%</t>
        </is>
      </c>
      <c r="J119" s="13" t="inlineStr">
        <is>
          <t>2.28%</t>
        </is>
      </c>
      <c r="K119" s="16">
        <f>X118</f>
        <v/>
      </c>
      <c r="L119" s="13" t="inlineStr">
        <is>
          <t>2024-07-24</t>
        </is>
      </c>
      <c r="M119" s="13" t="inlineStr">
        <is>
          <t>2024-07-31</t>
        </is>
      </c>
      <c r="N119" s="13" t="inlineStr">
        <is>
          <t>2024-07-30</t>
        </is>
      </c>
      <c r="O119" s="9" t="n">
        <v>776</v>
      </c>
      <c r="P119" s="17" t="n">
        <v>1302.21435546875</v>
      </c>
      <c r="Q119" s="17" t="n">
        <v>1393.2041015625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Q3 2025-26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-1.32%</t>
        </is>
      </c>
      <c r="J120" s="13" t="inlineStr">
        <is>
          <t>-1.88%</t>
        </is>
      </c>
      <c r="K120" s="16">
        <f>X119</f>
        <v/>
      </c>
      <c r="L120" s="13" t="inlineStr">
        <is>
          <t>2024-10-31</t>
        </is>
      </c>
      <c r="M120" s="13" t="inlineStr">
        <is>
          <t>2024-11-04</t>
        </is>
      </c>
      <c r="N120" s="13" t="inlineStr">
        <is>
          <t>2024-10-31</t>
        </is>
      </c>
      <c r="O120" s="9" t="n">
        <v>300</v>
      </c>
      <c r="P120" s="17" t="n">
        <v>3554.115234375</v>
      </c>
      <c r="Q120" s="17" t="n">
        <v>3507.165771484375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Q3 2025-26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-0.63%</t>
        </is>
      </c>
      <c r="J121" s="13" t="inlineStr">
        <is>
          <t>-2.09%</t>
        </is>
      </c>
      <c r="K121" s="16">
        <f>X120</f>
        <v/>
      </c>
      <c r="L121" s="13" t="inlineStr">
        <is>
          <t>2024-04-25</t>
        </is>
      </c>
      <c r="M121" s="13" t="inlineStr">
        <is>
          <t>2024-04-29</t>
        </is>
      </c>
      <c r="N121" s="13" t="inlineStr">
        <is>
          <t>2024-04-27</t>
        </is>
      </c>
      <c r="O121" s="9" t="n">
        <v>3265</v>
      </c>
      <c r="P121" s="17" t="n">
        <v>162.18310546875</v>
      </c>
      <c r="Q121" s="17" t="n">
        <v>161.1742401123047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Q3 2025-26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0.36%</t>
        </is>
      </c>
      <c r="J122" s="13" t="inlineStr">
        <is>
          <t>-2.21%</t>
        </is>
      </c>
      <c r="K122" s="16">
        <f>X121</f>
        <v/>
      </c>
      <c r="L122" s="13" t="inlineStr">
        <is>
          <t>2024-04-23</t>
        </is>
      </c>
      <c r="M122" s="13" t="inlineStr">
        <is>
          <t>2024-04-30</t>
        </is>
      </c>
      <c r="N122" s="13" t="inlineStr">
        <is>
          <t>2024-04-24</t>
        </is>
      </c>
      <c r="O122" s="9" t="n">
        <v>225</v>
      </c>
      <c r="P122" s="17" t="n">
        <v>4528.77392578125</v>
      </c>
      <c r="Q122" s="17" t="n">
        <v>4545.1318359375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Q3 2025-26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2.29%</t>
        </is>
      </c>
      <c r="J123" s="13" t="inlineStr">
        <is>
          <t>-1.5%</t>
        </is>
      </c>
      <c r="K123" s="16">
        <f>X122</f>
        <v/>
      </c>
      <c r="L123" s="13" t="inlineStr">
        <is>
          <t>2024-04-24</t>
        </is>
      </c>
      <c r="M123" s="13" t="inlineStr">
        <is>
          <t>2024-05-08</t>
        </is>
      </c>
      <c r="N123" s="13" t="inlineStr">
        <is>
          <t>2024-05-07</t>
        </is>
      </c>
      <c r="O123" s="9" t="n">
        <v>413</v>
      </c>
      <c r="P123" s="17" t="n">
        <v>1552.125610351562</v>
      </c>
      <c r="Q123" s="17" t="n">
        <v>1587.637817382812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Q3 2025-26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1.62%</t>
        </is>
      </c>
      <c r="J124" s="13" t="inlineStr">
        <is>
          <t>-0.65%</t>
        </is>
      </c>
      <c r="K124" s="16">
        <f>X123</f>
        <v/>
      </c>
      <c r="L124" s="13" t="inlineStr">
        <is>
          <t>2024-11-04</t>
        </is>
      </c>
      <c r="M124" s="13" t="inlineStr">
        <is>
          <t>2024-11-11</t>
        </is>
      </c>
      <c r="N124" s="13" t="inlineStr">
        <is>
          <t>2024-11-07</t>
        </is>
      </c>
      <c r="O124" s="9" t="n">
        <v>350</v>
      </c>
      <c r="P124" s="17" t="n">
        <v>2831.232666015625</v>
      </c>
      <c r="Q124" s="17" t="n">
        <v>2877.030029296875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Q3 2025-26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6.21%</t>
        </is>
      </c>
      <c r="J125" s="13" t="inlineStr">
        <is>
          <t>1.83%</t>
        </is>
      </c>
      <c r="K125" s="16">
        <f>X124</f>
        <v/>
      </c>
      <c r="L125" s="13" t="inlineStr">
        <is>
          <t>2024-04-22</t>
        </is>
      </c>
      <c r="M125" s="13" t="inlineStr">
        <is>
          <t>2024-05-03</t>
        </is>
      </c>
      <c r="N125" s="13" t="inlineStr">
        <is>
          <t>2024-04-26</t>
        </is>
      </c>
      <c r="O125" s="9" t="n">
        <v>12616</v>
      </c>
      <c r="P125" s="17" t="n">
        <v>59.28728485107422</v>
      </c>
      <c r="Q125" s="17" t="n">
        <v>62.9697265625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Q3 2025-26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3.05%</t>
        </is>
      </c>
      <c r="J126" s="13" t="inlineStr">
        <is>
          <t>2.48%</t>
        </is>
      </c>
      <c r="K126" s="16">
        <f>X125</f>
        <v/>
      </c>
      <c r="L126" s="13" t="inlineStr">
        <is>
          <t>2019-02-08</t>
        </is>
      </c>
      <c r="M126" s="13" t="inlineStr">
        <is>
          <t>2019-02-14</t>
        </is>
      </c>
      <c r="N126" s="13" t="inlineStr">
        <is>
          <t>2019-02-12</t>
        </is>
      </c>
      <c r="O126" s="9" t="n">
        <v>2714</v>
      </c>
      <c r="P126" s="17" t="n">
        <v>91.64134216308594</v>
      </c>
      <c r="Q126" s="17" t="n">
        <v>94.43954467773438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Q3 2025-26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3.63%</t>
        </is>
      </c>
      <c r="J127" s="13" t="inlineStr">
        <is>
          <t>0.53%</t>
        </is>
      </c>
      <c r="K127" s="16">
        <f>X126</f>
        <v/>
      </c>
      <c r="L127" s="13" t="inlineStr">
        <is>
          <t>2024-05-09</t>
        </is>
      </c>
      <c r="M127" s="13" t="inlineStr">
        <is>
          <t>2024-05-16</t>
        </is>
      </c>
      <c r="N127" s="13" t="inlineStr">
        <is>
          <t>2024-05-15</t>
        </is>
      </c>
      <c r="O127" s="9" t="n">
        <v>388</v>
      </c>
      <c r="P127" s="17" t="n">
        <v>2091.7255859375</v>
      </c>
      <c r="Q127" s="17" t="n">
        <v>2170.4443359375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Q3 2025-26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13.38%</t>
        </is>
      </c>
      <c r="J128" s="13" t="inlineStr">
        <is>
          <t>11.99%</t>
        </is>
      </c>
      <c r="K128" s="16">
        <f>X127</f>
        <v/>
      </c>
      <c r="L128" s="13" t="inlineStr">
        <is>
          <t>2024-04-26</t>
        </is>
      </c>
      <c r="M128" s="13" t="inlineStr">
        <is>
          <t>2024-05-10</t>
        </is>
      </c>
      <c r="N128" s="13" t="inlineStr">
        <is>
          <t>2024-05-06</t>
        </is>
      </c>
      <c r="O128" s="9" t="n">
        <v>1129</v>
      </c>
      <c r="P128" s="17" t="n">
        <v>507.7084655761719</v>
      </c>
      <c r="Q128" s="17" t="n">
        <v>575.6513671875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Q3 2025-26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3.71%</t>
        </is>
      </c>
      <c r="J129" s="13" t="inlineStr">
        <is>
          <t>3.0%</t>
        </is>
      </c>
      <c r="K129" s="16">
        <f>X128</f>
        <v/>
      </c>
      <c r="L129" s="13" t="inlineStr">
        <is>
          <t>2024-10-25</t>
        </is>
      </c>
      <c r="M129" s="13" t="inlineStr">
        <is>
          <t>2024-10-31</t>
        </is>
      </c>
      <c r="N129" s="13" t="inlineStr">
        <is>
          <t>2024-10-29</t>
        </is>
      </c>
      <c r="O129" s="9" t="n">
        <v>100</v>
      </c>
      <c r="P129" s="17" t="n">
        <v>10957.849609375</v>
      </c>
      <c r="Q129" s="17" t="n">
        <v>11379.6826171875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Q3 2025-26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-3.19%</t>
        </is>
      </c>
      <c r="J130" s="13" t="inlineStr">
        <is>
          <t>-5.81%</t>
        </is>
      </c>
      <c r="K130" s="16">
        <f>X129</f>
        <v/>
      </c>
      <c r="L130" s="13" t="inlineStr">
        <is>
          <t>2024-05-15</t>
        </is>
      </c>
      <c r="M130" s="13" t="inlineStr">
        <is>
          <t>2024-05-23</t>
        </is>
      </c>
      <c r="N130" s="13" t="inlineStr">
        <is>
          <t>2024-05-22</t>
        </is>
      </c>
      <c r="O130" s="9" t="n">
        <v>922</v>
      </c>
      <c r="P130" s="17" t="n">
        <v>825.6453247070312</v>
      </c>
      <c r="Q130" s="17" t="n">
        <v>799.3182983398438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Q3 2025-26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14.28%</t>
        </is>
      </c>
      <c r="J131" s="13" t="inlineStr">
        <is>
          <t>9.29%</t>
        </is>
      </c>
      <c r="K131" s="16">
        <f>X130</f>
        <v/>
      </c>
      <c r="L131" s="13" t="inlineStr">
        <is>
          <t>2024-05-23</t>
        </is>
      </c>
      <c r="M131" s="13" t="inlineStr">
        <is>
          <t>2024-06-04</t>
        </is>
      </c>
      <c r="N131" s="13" t="inlineStr">
        <is>
          <t>2024-05-29</t>
        </is>
      </c>
      <c r="O131" s="9" t="n">
        <v>431</v>
      </c>
      <c r="P131" s="17" t="n">
        <v>1318.443603515625</v>
      </c>
      <c r="Q131" s="17" t="n">
        <v>1538.020141601562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Q3 2025-26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2.63%</t>
        </is>
      </c>
      <c r="J132" s="13" t="inlineStr">
        <is>
          <t>-7.73%</t>
        </is>
      </c>
      <c r="K132" s="16">
        <f>X131</f>
        <v/>
      </c>
      <c r="L132" s="13" t="inlineStr">
        <is>
          <t>2013-04-30</t>
        </is>
      </c>
      <c r="M132" s="13" t="inlineStr">
        <is>
          <t>2013-05-13</t>
        </is>
      </c>
      <c r="N132" s="13" t="inlineStr">
        <is>
          <t>2013-05-09</t>
        </is>
      </c>
      <c r="O132" s="9" t="n">
        <v>373</v>
      </c>
      <c r="P132" s="17" t="n">
        <v>150.7634124755859</v>
      </c>
      <c r="Q132" s="17" t="n">
        <v>154.7313232421875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Q3 2025-26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1.88%</t>
        </is>
      </c>
      <c r="J133" s="13" t="inlineStr">
        <is>
          <t>3.36%</t>
        </is>
      </c>
      <c r="K133" s="16">
        <f>X132</f>
        <v/>
      </c>
      <c r="L133" s="13" t="inlineStr">
        <is>
          <t>2024-05-03</t>
        </is>
      </c>
      <c r="M133" s="13" t="inlineStr">
        <is>
          <t>2024-05-08</t>
        </is>
      </c>
      <c r="N133" s="13" t="inlineStr">
        <is>
          <t>2024-05-07</t>
        </is>
      </c>
      <c r="O133" s="9" t="n">
        <v>661</v>
      </c>
      <c r="P133" s="17" t="n">
        <v>982.7999877929688</v>
      </c>
      <c r="Q133" s="17" t="n">
        <v>1001.650024414062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Q3 2025-26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-3.49%</t>
        </is>
      </c>
      <c r="J134" s="13" t="inlineStr">
        <is>
          <t>-5.47%</t>
        </is>
      </c>
      <c r="K134" s="16">
        <f>X133</f>
        <v/>
      </c>
      <c r="L134" s="13" t="inlineStr">
        <is>
          <t>2024-05-23</t>
        </is>
      </c>
      <c r="M134" s="13" t="inlineStr">
        <is>
          <t>2024-06-04</t>
        </is>
      </c>
      <c r="N134" s="13" t="inlineStr">
        <is>
          <t>2024-05-29</t>
        </is>
      </c>
      <c r="O134" s="9" t="n">
        <v>6815</v>
      </c>
      <c r="P134" s="17" t="n">
        <v>93.31813812255859</v>
      </c>
      <c r="Q134" s="17" t="n">
        <v>90.16705322265624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Q3 2025-26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1.24%</t>
        </is>
      </c>
      <c r="J135" s="13" t="inlineStr">
        <is>
          <t>-3.88%</t>
        </is>
      </c>
      <c r="K135" s="16">
        <f>X134</f>
        <v/>
      </c>
      <c r="L135" s="13" t="inlineStr">
        <is>
          <t>2024-04-25</t>
        </is>
      </c>
      <c r="M135" s="13" t="inlineStr">
        <is>
          <t>2024-04-29</t>
        </is>
      </c>
      <c r="N135" s="13" t="inlineStr">
        <is>
          <t>2024-04-26</t>
        </is>
      </c>
      <c r="O135" s="9" t="n">
        <v>1194</v>
      </c>
      <c r="P135" s="17" t="n">
        <v>606.275146484375</v>
      </c>
      <c r="Q135" s="17" t="n">
        <v>613.8173828125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Q3 2025-26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-0.7%</t>
        </is>
      </c>
      <c r="J136" s="13" t="inlineStr">
        <is>
          <t>-3.61%</t>
        </is>
      </c>
      <c r="K136" s="16">
        <f>X135</f>
        <v/>
      </c>
      <c r="L136" s="13" t="inlineStr">
        <is>
          <t>2024-04-16</t>
        </is>
      </c>
      <c r="M136" s="13" t="inlineStr">
        <is>
          <t>2024-05-03</t>
        </is>
      </c>
      <c r="N136" s="13" t="inlineStr">
        <is>
          <t>2024-04-26</t>
        </is>
      </c>
      <c r="O136" s="9" t="n">
        <v>426</v>
      </c>
      <c r="P136" s="17" t="n">
        <v>2157.09716796875</v>
      </c>
      <c r="Q136" s="17" t="n">
        <v>2142.0498046875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Q3 2025-26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13.19%</t>
        </is>
      </c>
      <c r="J137" s="13" t="inlineStr">
        <is>
          <t>12.33%</t>
        </is>
      </c>
      <c r="K137" s="16">
        <f>X136</f>
        <v/>
      </c>
      <c r="L137" s="13" t="inlineStr">
        <is>
          <t>2026-04-02</t>
        </is>
      </c>
      <c r="M137" s="13" t="inlineStr">
        <is>
          <t>2026-04-15</t>
        </is>
      </c>
      <c r="N137" s="13" t="inlineStr">
        <is>
          <t>2026-04-07</t>
        </is>
      </c>
      <c r="O137" s="9" t="n">
        <v>332</v>
      </c>
      <c r="P137" s="17" t="n">
        <v>3152.147216796875</v>
      </c>
      <c r="Q137" s="17" t="n">
        <v>3567.832275390625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Q3 2025-26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-3.34%</t>
        </is>
      </c>
      <c r="J138" s="13" t="inlineStr">
        <is>
          <t>-3.85%</t>
        </is>
      </c>
      <c r="K138" s="16">
        <f>X137</f>
        <v/>
      </c>
      <c r="L138" s="13" t="inlineStr">
        <is>
          <t>2024-04-23</t>
        </is>
      </c>
      <c r="M138" s="13" t="inlineStr">
        <is>
          <t>2024-04-25</t>
        </is>
      </c>
      <c r="N138" s="13" t="inlineStr">
        <is>
          <t>2024-04-24</t>
        </is>
      </c>
      <c r="O138" s="9" t="n">
        <v>871</v>
      </c>
      <c r="P138" s="17" t="n">
        <v>546.7127075195312</v>
      </c>
      <c r="Q138" s="17" t="n">
        <v>529.0359497070312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Q3 2025-26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3.09%</t>
        </is>
      </c>
      <c r="J139" s="13" t="inlineStr">
        <is>
          <t>-2.43%</t>
        </is>
      </c>
      <c r="K139" s="16">
        <f>X138</f>
        <v/>
      </c>
      <c r="L139" s="13" t="inlineStr">
        <is>
          <t>2024-05-22</t>
        </is>
      </c>
      <c r="M139" s="13" t="inlineStr">
        <is>
          <t>2024-05-28</t>
        </is>
      </c>
      <c r="N139" s="13" t="inlineStr">
        <is>
          <t>2024-05-27</t>
        </is>
      </c>
      <c r="O139" s="9" t="n">
        <v>2876</v>
      </c>
      <c r="P139" s="17" t="n">
        <v>174.486083984375</v>
      </c>
      <c r="Q139" s="17" t="n">
        <v>180.0470275878906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Q3 2025-26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3.23%</t>
        </is>
      </c>
      <c r="J140" s="13" t="inlineStr">
        <is>
          <t>1.62%</t>
        </is>
      </c>
      <c r="K140" s="16">
        <f>X139</f>
        <v/>
      </c>
      <c r="L140" s="13" t="inlineStr">
        <is>
          <t>2024-05-10</t>
        </is>
      </c>
      <c r="M140" s="13" t="inlineStr">
        <is>
          <t>2024-05-17</t>
        </is>
      </c>
      <c r="N140" s="13" t="inlineStr">
        <is>
          <t>2024-05-16</t>
        </is>
      </c>
      <c r="O140" s="9" t="n">
        <v>803</v>
      </c>
      <c r="P140" s="17" t="n">
        <v>1190.192016601562</v>
      </c>
      <c r="Q140" s="17" t="n">
        <v>1228.618286132812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Q3 2025-26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5.31%</t>
        </is>
      </c>
      <c r="J141" s="13" t="inlineStr">
        <is>
          <t>3.22%</t>
        </is>
      </c>
      <c r="K141" s="16">
        <f>X140</f>
        <v/>
      </c>
      <c r="L141" s="13" t="inlineStr">
        <is>
          <t>2024-05-27</t>
        </is>
      </c>
      <c r="M141" s="13" t="inlineStr">
        <is>
          <t>2024-05-30</t>
        </is>
      </c>
      <c r="N141" s="13" t="inlineStr">
        <is>
          <t>2024-05-29</t>
        </is>
      </c>
      <c r="O141" s="9" t="n">
        <v>10687</v>
      </c>
      <c r="P141" s="17" t="n">
        <v>90.07489776611328</v>
      </c>
      <c r="Q141" s="17" t="n">
        <v>95.12459564208984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Q3 2025-26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-1.01%</t>
        </is>
      </c>
      <c r="J142" s="13" t="inlineStr">
        <is>
          <t>-0.88%</t>
        </is>
      </c>
      <c r="K142" s="16">
        <f>X141</f>
        <v/>
      </c>
      <c r="L142" s="13" t="inlineStr">
        <is>
          <t>2024-10-17</t>
        </is>
      </c>
      <c r="M142" s="13" t="inlineStr">
        <is>
          <t>2024-10-21</t>
        </is>
      </c>
      <c r="N142" s="13" t="inlineStr">
        <is>
          <t>2024-10-17</t>
        </is>
      </c>
      <c r="O142" s="9" t="n">
        <v>200</v>
      </c>
      <c r="P142" s="17" t="n">
        <v>1164.914306640625</v>
      </c>
      <c r="Q142" s="17" t="n">
        <v>1153.136474609375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Q3 2025-26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-9.28%</t>
        </is>
      </c>
      <c r="J143" s="13" t="inlineStr">
        <is>
          <t>-12.06%</t>
        </is>
      </c>
      <c r="K143" s="16">
        <f>X142</f>
        <v/>
      </c>
      <c r="L143" s="13" t="inlineStr">
        <is>
          <t>2024-05-13</t>
        </is>
      </c>
      <c r="M143" s="13" t="inlineStr">
        <is>
          <t>2024-05-24</t>
        </is>
      </c>
      <c r="N143" s="13" t="inlineStr">
        <is>
          <t>2024-05-17</t>
        </is>
      </c>
      <c r="O143" s="9" t="n">
        <v>12809</v>
      </c>
      <c r="P143" s="17" t="n">
        <v>97.63734436035156</v>
      </c>
      <c r="Q143" s="17" t="n">
        <v>89.34603118896484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Q3 2025-26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-5.51%</t>
        </is>
      </c>
      <c r="J144" s="13" t="inlineStr">
        <is>
          <t>-4.66%</t>
        </is>
      </c>
      <c r="K144" s="16">
        <f>X143</f>
        <v/>
      </c>
      <c r="L144" s="13" t="inlineStr">
        <is>
          <t>2024-05-22</t>
        </is>
      </c>
      <c r="M144" s="13" t="inlineStr">
        <is>
          <t>2024-05-29</t>
        </is>
      </c>
      <c r="N144" s="13" t="inlineStr">
        <is>
          <t>2024-05-28</t>
        </is>
      </c>
      <c r="O144" s="9" t="n">
        <v>11763</v>
      </c>
      <c r="P144" s="17" t="n">
        <v>83.67125701904297</v>
      </c>
      <c r="Q144" s="17" t="n">
        <v>79.06199645996094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Q3 2025-26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3.2%</t>
        </is>
      </c>
      <c r="J145" s="13" t="inlineStr">
        <is>
          <t>4.69%</t>
        </is>
      </c>
      <c r="K145" s="16">
        <f>X144</f>
        <v/>
      </c>
      <c r="L145" s="13" t="inlineStr">
        <is>
          <t>2024-10-16</t>
        </is>
      </c>
      <c r="M145" s="13" t="inlineStr">
        <is>
          <t>2024-10-31</t>
        </is>
      </c>
      <c r="N145" s="13" t="inlineStr">
        <is>
          <t>2024-10-24</t>
        </is>
      </c>
      <c r="O145" s="9" t="n">
        <v>1500</v>
      </c>
      <c r="P145" s="17" t="n">
        <v>394.5775756835938</v>
      </c>
      <c r="Q145" s="17" t="n">
        <v>407.6321716308594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Q3 2025-26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-2.47%</t>
        </is>
      </c>
      <c r="J146" s="13" t="inlineStr">
        <is>
          <t>-5.33%</t>
        </is>
      </c>
      <c r="K146" s="16">
        <f>X145</f>
        <v/>
      </c>
      <c r="L146" s="13" t="inlineStr">
        <is>
          <t>2024-05-10</t>
        </is>
      </c>
      <c r="M146" s="13" t="inlineStr">
        <is>
          <t>2024-05-23</t>
        </is>
      </c>
      <c r="N146" s="13" t="inlineStr">
        <is>
          <t>2024-05-22</t>
        </is>
      </c>
      <c r="O146" s="9" t="n">
        <v>2996</v>
      </c>
      <c r="P146" s="17" t="n">
        <v>174.1000061035156</v>
      </c>
      <c r="Q146" s="17" t="n">
        <v>169.8999938964844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Q3 2025-26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18.47%</t>
        </is>
      </c>
      <c r="J147" s="13" t="inlineStr">
        <is>
          <t>20.23%</t>
        </is>
      </c>
      <c r="K147" s="16">
        <f>X146</f>
        <v/>
      </c>
      <c r="L147" s="13" t="inlineStr">
        <is>
          <t>2024-05-08</t>
        </is>
      </c>
      <c r="M147" s="13" t="inlineStr">
        <is>
          <t>2024-05-22</t>
        </is>
      </c>
      <c r="N147" s="13" t="inlineStr">
        <is>
          <t>2024-05-15</t>
        </is>
      </c>
      <c r="O147" s="9" t="n">
        <v>551</v>
      </c>
      <c r="P147" s="17" t="n">
        <v>1480.557495117188</v>
      </c>
      <c r="Q147" s="17" t="n">
        <v>1753.987426757812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Q3 2025-26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8.79%</t>
        </is>
      </c>
      <c r="J148" s="13" t="inlineStr">
        <is>
          <t>13.34%</t>
        </is>
      </c>
      <c r="K148" s="16">
        <f>X147</f>
        <v/>
      </c>
      <c r="L148" s="13" t="inlineStr">
        <is>
          <t>2024-04-10</t>
        </is>
      </c>
      <c r="M148" s="13" t="inlineStr">
        <is>
          <t>2024-04-30</t>
        </is>
      </c>
      <c r="N148" s="13" t="inlineStr">
        <is>
          <t>2024-04-24</t>
        </is>
      </c>
      <c r="O148" s="9" t="n">
        <v>100</v>
      </c>
      <c r="P148" s="17" t="n">
        <v>6833.0927734375</v>
      </c>
      <c r="Q148" s="17" t="n">
        <v>7491.3447265625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Q3 2025-26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3.69%</t>
        </is>
      </c>
      <c r="J149" s="13" t="inlineStr">
        <is>
          <t>-4.4%</t>
        </is>
      </c>
      <c r="K149" s="16">
        <f>X148</f>
        <v/>
      </c>
      <c r="L149" s="13" t="inlineStr">
        <is>
          <t>2024-05-15</t>
        </is>
      </c>
      <c r="M149" s="13" t="inlineStr">
        <is>
          <t>2024-05-22</t>
        </is>
      </c>
      <c r="N149" s="13" t="inlineStr">
        <is>
          <t>2024-05-21</t>
        </is>
      </c>
      <c r="O149" s="9" t="n">
        <v>2188</v>
      </c>
      <c r="P149" s="17" t="n">
        <v>399.6974792480469</v>
      </c>
      <c r="Q149" s="17" t="n">
        <v>414.4390869140625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Q3 2025-26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6.49%</t>
        </is>
      </c>
      <c r="J150" s="13" t="inlineStr">
        <is>
          <t>5.74%</t>
        </is>
      </c>
      <c r="K150" s="16">
        <f>X149</f>
        <v/>
      </c>
      <c r="L150" s="13" t="inlineStr">
        <is>
          <t>2024-11-04</t>
        </is>
      </c>
      <c r="M150" s="13" t="inlineStr">
        <is>
          <t>2024-11-21</t>
        </is>
      </c>
      <c r="N150" s="13" t="inlineStr">
        <is>
          <t>2024-11-12</t>
        </is>
      </c>
      <c r="O150" s="9" t="n">
        <v>3750</v>
      </c>
      <c r="P150" s="17" t="n">
        <v>225.2326354980469</v>
      </c>
      <c r="Q150" s="17" t="n">
        <v>240.8582611083984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Q3 2025-26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-1.8%</t>
        </is>
      </c>
      <c r="J151" s="13" t="inlineStr">
        <is>
          <t>-1.71%</t>
        </is>
      </c>
      <c r="K151" s="16">
        <f>X150</f>
        <v/>
      </c>
      <c r="L151" s="13" t="inlineStr">
        <is>
          <t>2024-05-13</t>
        </is>
      </c>
      <c r="M151" s="13" t="inlineStr">
        <is>
          <t>2024-05-24</t>
        </is>
      </c>
      <c r="N151" s="13" t="inlineStr">
        <is>
          <t>2024-05-23</t>
        </is>
      </c>
      <c r="O151" s="9" t="n">
        <v>100</v>
      </c>
      <c r="P151" s="17" t="n">
        <v>35600</v>
      </c>
      <c r="Q151" s="17" t="n">
        <v>34970.05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Q3 2025-26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4.74%</t>
        </is>
      </c>
      <c r="J152" s="13" t="inlineStr">
        <is>
          <t>3.3%</t>
        </is>
      </c>
      <c r="K152" s="16">
        <f>X151</f>
        <v/>
      </c>
      <c r="L152" s="13" t="inlineStr">
        <is>
          <t>2024-05-07</t>
        </is>
      </c>
      <c r="M152" s="13" t="inlineStr">
        <is>
          <t>2024-05-15</t>
        </is>
      </c>
      <c r="N152" s="13" t="inlineStr">
        <is>
          <t>2024-05-14</t>
        </is>
      </c>
      <c r="O152" s="9" t="n">
        <v>2806</v>
      </c>
      <c r="P152" s="17" t="n">
        <v>453.9707946777344</v>
      </c>
      <c r="Q152" s="17" t="n">
        <v>476.5754699707031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Q3 2025-26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0.26%</t>
        </is>
      </c>
      <c r="J153" s="13" t="inlineStr">
        <is>
          <t>1.85%</t>
        </is>
      </c>
      <c r="K153" s="16">
        <f>X152</f>
        <v/>
      </c>
      <c r="L153" s="13" t="inlineStr">
        <is>
          <t>2024-05-15</t>
        </is>
      </c>
      <c r="M153" s="13" t="inlineStr">
        <is>
          <t>2024-05-28</t>
        </is>
      </c>
      <c r="N153" s="13" t="inlineStr">
        <is>
          <t>2024-05-22</t>
        </is>
      </c>
      <c r="O153" s="9" t="n">
        <v>750</v>
      </c>
      <c r="P153" s="17" t="n">
        <v>342.3500061035156</v>
      </c>
      <c r="Q153" s="17" t="n">
        <v>343.25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Q3 2025-26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-14.14%</t>
        </is>
      </c>
      <c r="J154" s="13" t="inlineStr">
        <is>
          <t>-16.19%</t>
        </is>
      </c>
      <c r="K154" s="16">
        <f>X153</f>
        <v/>
      </c>
      <c r="L154" s="13" t="inlineStr">
        <is>
          <t>2024-04-09</t>
        </is>
      </c>
      <c r="M154" s="13" t="inlineStr">
        <is>
          <t>2024-04-26</t>
        </is>
      </c>
      <c r="N154" s="13" t="inlineStr">
        <is>
          <t>2024-04-21</t>
        </is>
      </c>
      <c r="O154" s="9" t="n">
        <v>181</v>
      </c>
      <c r="P154" s="17" t="n">
        <v>3897.040771484375</v>
      </c>
      <c r="Q154" s="17" t="n">
        <v>3346.095947265625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Q3 2025-26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3.27%</t>
        </is>
      </c>
      <c r="J155" s="13" t="inlineStr">
        <is>
          <t>3.75%</t>
        </is>
      </c>
      <c r="K155" s="16">
        <f>X154</f>
        <v/>
      </c>
      <c r="L155" s="13" t="inlineStr">
        <is>
          <t>2024-05-15</t>
        </is>
      </c>
      <c r="M155" s="13" t="inlineStr">
        <is>
          <t>2024-05-29</t>
        </is>
      </c>
      <c r="N155" s="13" t="inlineStr">
        <is>
          <t>2024-05-23</t>
        </is>
      </c>
      <c r="O155" s="9" t="n">
        <v>3585</v>
      </c>
      <c r="P155" s="17" t="n">
        <v>275.3687438964844</v>
      </c>
      <c r="Q155" s="17" t="n">
        <v>284.68212890625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Q3 2025-26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2.12%</t>
        </is>
      </c>
      <c r="J156" s="13" t="inlineStr">
        <is>
          <t>3.43%</t>
        </is>
      </c>
      <c r="K156" s="16">
        <f>X155</f>
        <v/>
      </c>
      <c r="L156" s="13" t="inlineStr">
        <is>
          <t>2024-01-30</t>
        </is>
      </c>
      <c r="M156" s="13" t="inlineStr">
        <is>
          <t>2024-02-15</t>
        </is>
      </c>
      <c r="N156" s="13" t="inlineStr">
        <is>
          <t>2024-02-09</t>
        </is>
      </c>
      <c r="O156" s="9" t="n">
        <v>2346</v>
      </c>
      <c r="P156" s="17" t="n">
        <v>396.3838806152344</v>
      </c>
      <c r="Q156" s="17" t="n">
        <v>404.9861145019531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Q3 2025-26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23.08%</t>
        </is>
      </c>
      <c r="J157" s="13" t="inlineStr">
        <is>
          <t>12.88%</t>
        </is>
      </c>
      <c r="K157" s="16">
        <f>X156</f>
        <v/>
      </c>
      <c r="L157" s="13" t="inlineStr">
        <is>
          <t>2024-05-15</t>
        </is>
      </c>
      <c r="M157" s="13" t="inlineStr">
        <is>
          <t>2024-05-24</t>
        </is>
      </c>
      <c r="N157" s="13" t="inlineStr">
        <is>
          <t>2024-05-23</t>
        </is>
      </c>
      <c r="O157" s="9" t="n">
        <v>1631</v>
      </c>
      <c r="P157" s="17" t="n">
        <v>211.2129974365234</v>
      </c>
      <c r="Q157" s="17" t="n">
        <v>259.9505920410156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Q3 2025-26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-7.43%</t>
        </is>
      </c>
      <c r="J158" s="13" t="inlineStr">
        <is>
          <t>-6.39%</t>
        </is>
      </c>
      <c r="K158" s="16">
        <f>X157</f>
        <v/>
      </c>
      <c r="L158" s="13" t="inlineStr">
        <is>
          <t>2024-05-14</t>
        </is>
      </c>
      <c r="M158" s="13" t="inlineStr">
        <is>
          <t>2024-05-24</t>
        </is>
      </c>
      <c r="N158" s="13" t="inlineStr">
        <is>
          <t>2024-05-18</t>
        </is>
      </c>
      <c r="O158" s="9" t="n">
        <v>529</v>
      </c>
      <c r="P158" s="17" t="n">
        <v>1599.609375</v>
      </c>
      <c r="Q158" s="17" t="n">
        <v>1489.045654296875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Q3 2025-26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-3.91%</t>
        </is>
      </c>
      <c r="J159" s="13" t="inlineStr">
        <is>
          <t>-3.18%</t>
        </is>
      </c>
      <c r="K159" s="16">
        <f>X158</f>
        <v/>
      </c>
      <c r="L159" s="13" t="inlineStr">
        <is>
          <t>2024-05-03</t>
        </is>
      </c>
      <c r="M159" s="13" t="inlineStr">
        <is>
          <t>2024-05-09</t>
        </is>
      </c>
      <c r="N159" s="13" t="inlineStr">
        <is>
          <t>2024-05-08</t>
        </is>
      </c>
      <c r="O159" s="9" t="n">
        <v>613</v>
      </c>
      <c r="P159" s="17" t="n">
        <v>1448.520751953125</v>
      </c>
      <c r="Q159" s="17" t="n">
        <v>1391.8857421875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Q3 2025-26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2.72%</t>
        </is>
      </c>
      <c r="J160" s="13" t="inlineStr">
        <is>
          <t>2.85%</t>
        </is>
      </c>
      <c r="K160" s="16">
        <f>X159</f>
        <v/>
      </c>
      <c r="L160" s="13" t="inlineStr">
        <is>
          <t>2024-05-10</t>
        </is>
      </c>
      <c r="M160" s="13" t="inlineStr">
        <is>
          <t>2024-05-23</t>
        </is>
      </c>
      <c r="N160" s="13" t="inlineStr">
        <is>
          <t>2024-05-22</t>
        </is>
      </c>
      <c r="O160" s="9" t="n">
        <v>360</v>
      </c>
      <c r="P160" s="17" t="n">
        <v>3534.07958984375</v>
      </c>
      <c r="Q160" s="17" t="n">
        <v>3630.203857421875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Q3 2025-26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-5.02%</t>
        </is>
      </c>
      <c r="J161" s="13" t="inlineStr">
        <is>
          <t>-7.73%</t>
        </is>
      </c>
      <c r="K161" s="16">
        <f>X160</f>
        <v/>
      </c>
      <c r="L161" s="13" t="inlineStr">
        <is>
          <t>2024-07-15</t>
        </is>
      </c>
      <c r="M161" s="13" t="inlineStr">
        <is>
          <t>2024-07-29</t>
        </is>
      </c>
      <c r="N161" s="13" t="inlineStr">
        <is>
          <t>2024-07-27</t>
        </is>
      </c>
      <c r="O161" s="9" t="n">
        <v>8957</v>
      </c>
      <c r="P161" s="17" t="n">
        <v>119.9360504150391</v>
      </c>
      <c r="Q161" s="17" t="n">
        <v>114.2036743164062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Q3 2025-26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1.59%</t>
        </is>
      </c>
      <c r="J162" s="13" t="inlineStr">
        <is>
          <t>2.25%</t>
        </is>
      </c>
      <c r="K162" s="16">
        <f>X161</f>
        <v/>
      </c>
      <c r="L162" s="13" t="inlineStr">
        <is>
          <t>2024-04-23</t>
        </is>
      </c>
      <c r="M162" s="13" t="inlineStr">
        <is>
          <t>2024-05-07</t>
        </is>
      </c>
      <c r="N162" s="13" t="inlineStr">
        <is>
          <t>2024-04-30</t>
        </is>
      </c>
      <c r="O162" s="9" t="n">
        <v>967</v>
      </c>
      <c r="P162" s="17" t="n">
        <v>755.9478149414062</v>
      </c>
      <c r="Q162" s="17" t="n">
        <v>768.1854248046875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Q3 2025-26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-2.49%</t>
        </is>
      </c>
      <c r="J163" s="13" t="inlineStr">
        <is>
          <t>-6.02%</t>
        </is>
      </c>
      <c r="K163" s="16">
        <f>X162</f>
        <v/>
      </c>
      <c r="L163" s="13" t="inlineStr">
        <is>
          <t>2024-04-30</t>
        </is>
      </c>
      <c r="M163" s="13" t="inlineStr">
        <is>
          <t>2024-05-09</t>
        </is>
      </c>
      <c r="N163" s="13" t="inlineStr">
        <is>
          <t>2024-05-08</t>
        </is>
      </c>
      <c r="O163" s="9" t="n">
        <v>627</v>
      </c>
      <c r="P163" s="17" t="n">
        <v>1264.900024414062</v>
      </c>
      <c r="Q163" s="17" t="n">
        <v>1233.400024414062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Q3 2025-26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-10.71%</t>
        </is>
      </c>
      <c r="J164" s="13" t="inlineStr">
        <is>
          <t>-10.73%</t>
        </is>
      </c>
      <c r="K164" s="16">
        <f>X163</f>
        <v/>
      </c>
      <c r="L164" s="13" t="inlineStr">
        <is>
          <t>2024-05-07</t>
        </is>
      </c>
      <c r="M164" s="13" t="inlineStr">
        <is>
          <t>2024-05-13</t>
        </is>
      </c>
      <c r="N164" s="13" t="inlineStr">
        <is>
          <t>2024-05-10</t>
        </is>
      </c>
      <c r="O164" s="9" t="n">
        <v>112</v>
      </c>
      <c r="P164" s="17" t="n">
        <v>6335.7451171875</v>
      </c>
      <c r="Q164" s="17" t="n">
        <v>5722.85009765625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Q3 2025-26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0.6%</t>
        </is>
      </c>
      <c r="J165" s="13" t="inlineStr">
        <is>
          <t>1.13%</t>
        </is>
      </c>
      <c r="K165" s="16">
        <f>X164</f>
        <v/>
      </c>
      <c r="L165" s="13" t="inlineStr">
        <is>
          <t>2024-11-06</t>
        </is>
      </c>
      <c r="M165" s="13" t="inlineStr">
        <is>
          <t>2024-11-14</t>
        </is>
      </c>
      <c r="N165" s="13" t="inlineStr">
        <is>
          <t>2024-11-07</t>
        </is>
      </c>
      <c r="O165" s="9" t="n">
        <v>1800</v>
      </c>
      <c r="P165" s="17" t="n">
        <v>298.7287902832031</v>
      </c>
      <c r="Q165" s="17" t="n">
        <v>300.5406188964844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Q3 2025-26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2024-05-21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Q3 2025-26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-1.07%</t>
        </is>
      </c>
      <c r="J167" s="13" t="inlineStr">
        <is>
          <t>-5.78%</t>
        </is>
      </c>
      <c r="K167" s="16">
        <f>X166</f>
        <v/>
      </c>
      <c r="L167" s="13" t="inlineStr">
        <is>
          <t>2025-10-20</t>
        </is>
      </c>
      <c r="M167" s="13" t="inlineStr">
        <is>
          <t>2025-10-23</t>
        </is>
      </c>
      <c r="N167" s="13" t="inlineStr">
        <is>
          <t>2025-10-21</t>
        </is>
      </c>
      <c r="O167" s="9" t="n">
        <v>1017</v>
      </c>
      <c r="P167" s="17" t="n">
        <v>1062.51708984375</v>
      </c>
      <c r="Q167" s="17" t="n">
        <v>1051.225341796875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Q3 2025-26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5.72%</t>
        </is>
      </c>
      <c r="J168" s="13" t="inlineStr">
        <is>
          <t>1.94%</t>
        </is>
      </c>
      <c r="K168" s="16">
        <f>X167</f>
        <v/>
      </c>
      <c r="L168" s="13" t="inlineStr">
        <is>
          <t>2024-05-22</t>
        </is>
      </c>
      <c r="M168" s="13" t="inlineStr">
        <is>
          <t>2024-06-04</t>
        </is>
      </c>
      <c r="N168" s="13" t="inlineStr">
        <is>
          <t>2024-05-29</t>
        </is>
      </c>
      <c r="O168" s="9" t="n">
        <v>627</v>
      </c>
      <c r="P168" s="17" t="n">
        <v>1508.565307617188</v>
      </c>
      <c r="Q168" s="17" t="n">
        <v>1600.171997070312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Q3 2025-26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8.29%</t>
        </is>
      </c>
      <c r="J169" s="13" t="inlineStr">
        <is>
          <t>7.27%</t>
        </is>
      </c>
      <c r="K169" s="16">
        <f>X168</f>
        <v/>
      </c>
      <c r="L169" s="13" t="inlineStr">
        <is>
          <t>2024-05-02</t>
        </is>
      </c>
      <c r="M169" s="13" t="inlineStr">
        <is>
          <t>2024-05-15</t>
        </is>
      </c>
      <c r="N169" s="13" t="inlineStr">
        <is>
          <t>2024-05-14</t>
        </is>
      </c>
      <c r="O169" s="9" t="n">
        <v>229</v>
      </c>
      <c r="P169" s="17" t="n">
        <v>1608.869506835938</v>
      </c>
      <c r="Q169" s="17" t="n">
        <v>1754.380004882812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Q3 2025-26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0.0%</t>
        </is>
      </c>
      <c r="J170" s="13" t="inlineStr">
        <is>
          <t>-5.64%</t>
        </is>
      </c>
      <c r="K170" s="16">
        <f>X169</f>
        <v/>
      </c>
      <c r="L170" s="13" t="inlineStr">
        <is>
          <t>2024-04-23</t>
        </is>
      </c>
      <c r="M170" s="13" t="inlineStr">
        <is>
          <t>2024-04-29</t>
        </is>
      </c>
      <c r="N170" s="13" t="inlineStr">
        <is>
          <t>2024-04-27</t>
        </is>
      </c>
      <c r="O170" s="9" t="n">
        <v>2645</v>
      </c>
      <c r="P170" s="17" t="n">
        <v>260.2406005859375</v>
      </c>
      <c r="Q170" s="17" t="n">
        <v>260.2406005859375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Q3 2025-26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-6.28%</t>
        </is>
      </c>
      <c r="J171" s="13" t="inlineStr">
        <is>
          <t>-7.8%</t>
        </is>
      </c>
      <c r="K171" s="16">
        <f>X170</f>
        <v/>
      </c>
      <c r="L171" s="13" t="inlineStr">
        <is>
          <t>2026-04-27</t>
        </is>
      </c>
      <c r="M171" s="13" t="inlineStr">
        <is>
          <t>2026-04-30</t>
        </is>
      </c>
      <c r="N171" s="13" t="inlineStr">
        <is>
          <t>2026-04-28</t>
        </is>
      </c>
      <c r="O171" s="9" t="n">
        <v>2667</v>
      </c>
      <c r="P171" s="17" t="n">
        <v>378.0499877929688</v>
      </c>
      <c r="Q171" s="17" t="n">
        <v>354.2999877929688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Q3 2025-26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0.21%</t>
        </is>
      </c>
      <c r="J172" s="13" t="inlineStr">
        <is>
          <t>-1.02%</t>
        </is>
      </c>
      <c r="K172" s="16">
        <f>X171</f>
        <v/>
      </c>
      <c r="L172" s="13" t="inlineStr">
        <is>
          <t>2024-10-11</t>
        </is>
      </c>
      <c r="M172" s="13" t="inlineStr">
        <is>
          <t>2024-10-21</t>
        </is>
      </c>
      <c r="N172" s="13" t="inlineStr">
        <is>
          <t>2024-10-14</t>
        </is>
      </c>
      <c r="O172" s="9" t="n">
        <v>250</v>
      </c>
      <c r="P172" s="17" t="n">
        <v>1357.476928710938</v>
      </c>
      <c r="Q172" s="17" t="n">
        <v>1360.35205078125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Q3 2025-26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-28.07%</t>
        </is>
      </c>
      <c r="J173" s="13" t="inlineStr">
        <is>
          <t>-30.18%</t>
        </is>
      </c>
      <c r="K173" s="16">
        <f>X172</f>
        <v/>
      </c>
      <c r="L173" s="13" t="inlineStr">
        <is>
          <t>2024-05-07</t>
        </is>
      </c>
      <c r="M173" s="13" t="inlineStr">
        <is>
          <t>2024-05-21</t>
        </is>
      </c>
      <c r="N173" s="13" t="inlineStr">
        <is>
          <t>2024-05-17</t>
        </is>
      </c>
      <c r="O173" s="9" t="n">
        <v>4486</v>
      </c>
      <c r="P173" s="17" t="n">
        <v>337.5949096679688</v>
      </c>
      <c r="Q173" s="17" t="n">
        <v>263.6055603027344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Q3 2025-26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5.27%</t>
        </is>
      </c>
      <c r="J174" s="13" t="inlineStr">
        <is>
          <t>-2.93%</t>
        </is>
      </c>
      <c r="K174" s="16">
        <f>X173</f>
        <v/>
      </c>
      <c r="L174" s="13" t="inlineStr">
        <is>
          <t>2025-10-17</t>
        </is>
      </c>
      <c r="M174" s="13" t="inlineStr">
        <is>
          <t>2025-10-23</t>
        </is>
      </c>
      <c r="N174" s="13" t="inlineStr">
        <is>
          <t>2025-10-21</t>
        </is>
      </c>
      <c r="O174" s="9" t="n">
        <v>21748</v>
      </c>
      <c r="P174" s="17" t="n">
        <v>45.09492111206055</v>
      </c>
      <c r="Q174" s="17" t="n">
        <v>47.4725456237793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Q3 2025-26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-1.21%</t>
        </is>
      </c>
      <c r="J175" s="13" t="inlineStr">
        <is>
          <t>-5.33%</t>
        </is>
      </c>
      <c r="K175" s="16">
        <f>X174</f>
        <v/>
      </c>
      <c r="L175" s="13" t="inlineStr">
        <is>
          <t>2024-05-14</t>
        </is>
      </c>
      <c r="M175" s="13" t="inlineStr">
        <is>
          <t>2024-05-27</t>
        </is>
      </c>
      <c r="N175" s="13" t="inlineStr">
        <is>
          <t>2024-05-21</t>
        </is>
      </c>
      <c r="O175" s="9" t="n">
        <v>5915</v>
      </c>
      <c r="P175" s="17" t="n">
        <v>163.3177032470703</v>
      </c>
      <c r="Q175" s="17" t="n">
        <v>161.3576812744141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Q3 2025-26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6.78%</t>
        </is>
      </c>
      <c r="J176" s="13" t="inlineStr">
        <is>
          <t>2.57%</t>
        </is>
      </c>
      <c r="K176" s="16">
        <f>X175</f>
        <v/>
      </c>
      <c r="L176" s="13" t="inlineStr">
        <is>
          <t>2024-01-15</t>
        </is>
      </c>
      <c r="M176" s="13" t="inlineStr">
        <is>
          <t>2024-01-29</t>
        </is>
      </c>
      <c r="N176" s="13" t="inlineStr">
        <is>
          <t>2024-01-25</t>
        </is>
      </c>
      <c r="O176" s="9" t="n">
        <v>1550</v>
      </c>
      <c r="P176" s="17" t="n">
        <v>716.2</v>
      </c>
      <c r="Q176" s="17" t="n">
        <v>768.3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Q3 2025-26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-1.53%</t>
        </is>
      </c>
      <c r="J177" s="13" t="inlineStr">
        <is>
          <t>-2.52%</t>
        </is>
      </c>
      <c r="K177" s="16">
        <f>X176</f>
        <v/>
      </c>
      <c r="L177" s="13" t="inlineStr">
        <is>
          <t>2024-04-25</t>
        </is>
      </c>
      <c r="M177" s="13" t="inlineStr">
        <is>
          <t>2024-04-29</t>
        </is>
      </c>
      <c r="N177" s="13" t="inlineStr">
        <is>
          <t>2024-04-26</t>
        </is>
      </c>
      <c r="O177" s="9" t="n">
        <v>375</v>
      </c>
      <c r="P177" s="17" t="n">
        <v>1439.704711914062</v>
      </c>
      <c r="Q177" s="17" t="n">
        <v>1417.67724609375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Q3 2025-26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-1.39%</t>
        </is>
      </c>
      <c r="J178" s="13" t="inlineStr">
        <is>
          <t>-1.86%</t>
        </is>
      </c>
      <c r="K178" s="16">
        <f>X177</f>
        <v/>
      </c>
      <c r="L178" s="13" t="inlineStr">
        <is>
          <t>2024-11-07</t>
        </is>
      </c>
      <c r="M178" s="13" t="inlineStr">
        <is>
          <t>2024-11-11</t>
        </is>
      </c>
      <c r="N178" s="13" t="inlineStr">
        <is>
          <t>2024-11-08</t>
        </is>
      </c>
      <c r="O178" s="9" t="n">
        <v>1500</v>
      </c>
      <c r="P178" s="17" t="n">
        <v>827.7589111328125</v>
      </c>
      <c r="Q178" s="17" t="n">
        <v>816.2516479492188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Q3 2025-26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4.0%</t>
        </is>
      </c>
      <c r="J179" s="13" t="inlineStr">
        <is>
          <t>0.94%</t>
        </is>
      </c>
      <c r="K179" s="16">
        <f>X178</f>
        <v/>
      </c>
      <c r="L179" s="13" t="inlineStr">
        <is>
          <t>2024-05-02</t>
        </is>
      </c>
      <c r="M179" s="13" t="inlineStr">
        <is>
          <t>2024-05-15</t>
        </is>
      </c>
      <c r="N179" s="13" t="inlineStr">
        <is>
          <t>2024-05-14</t>
        </is>
      </c>
      <c r="O179" s="9" t="n">
        <v>100</v>
      </c>
      <c r="P179" s="17" t="n">
        <v>24552.162109375</v>
      </c>
      <c r="Q179" s="17" t="n">
        <v>25533.619140625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Q3 2025-26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-3.27%</t>
        </is>
      </c>
      <c r="J180" s="13" t="inlineStr">
        <is>
          <t>-5.24%</t>
        </is>
      </c>
      <c r="K180" s="16">
        <f>X179</f>
        <v/>
      </c>
      <c r="L180" s="13" t="inlineStr">
        <is>
          <t>2024-10-24</t>
        </is>
      </c>
      <c r="M180" s="13" t="inlineStr">
        <is>
          <t>2024-10-31</t>
        </is>
      </c>
      <c r="N180" s="13" t="inlineStr">
        <is>
          <t>2024-10-25</t>
        </is>
      </c>
      <c r="O180" s="9" t="n">
        <v>957</v>
      </c>
      <c r="P180" s="17" t="n">
        <v>631.2418212890625</v>
      </c>
      <c r="Q180" s="17" t="n">
        <v>610.5836791992188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Q3 2025-26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7.16%</t>
        </is>
      </c>
      <c r="J181" s="13" t="inlineStr">
        <is>
          <t>5.04%</t>
        </is>
      </c>
      <c r="K181" s="16">
        <f>X180</f>
        <v/>
      </c>
      <c r="L181" s="13" t="inlineStr">
        <is>
          <t>2024-05-14</t>
        </is>
      </c>
      <c r="M181" s="13" t="inlineStr">
        <is>
          <t>2024-05-28</t>
        </is>
      </c>
      <c r="N181" s="13" t="inlineStr">
        <is>
          <t>2024-05-27</t>
        </is>
      </c>
      <c r="O181" s="9" t="n">
        <v>273</v>
      </c>
      <c r="P181" s="17" t="n">
        <v>3876.907470703125</v>
      </c>
      <c r="Q181" s="17" t="n">
        <v>4154.4716796875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Q3 2025-26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15.24%</t>
        </is>
      </c>
      <c r="J182" s="13" t="inlineStr">
        <is>
          <t>12.85%</t>
        </is>
      </c>
      <c r="K182" s="16">
        <f>X181</f>
        <v/>
      </c>
      <c r="L182" s="13" t="inlineStr">
        <is>
          <t>2024-05-08</t>
        </is>
      </c>
      <c r="M182" s="13" t="inlineStr">
        <is>
          <t>2024-05-24</t>
        </is>
      </c>
      <c r="N182" s="13" t="inlineStr">
        <is>
          <t>2024-05-17</t>
        </is>
      </c>
      <c r="O182" s="9" t="n">
        <v>100</v>
      </c>
      <c r="P182" s="17" t="n">
        <v>8667.1572265625</v>
      </c>
      <c r="Q182" s="17" t="n">
        <v>9988.0048828125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Q3 2025-26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7.64%</t>
        </is>
      </c>
      <c r="J183" s="13" t="inlineStr">
        <is>
          <t>2.8%</t>
        </is>
      </c>
      <c r="K183" s="16">
        <f>X182</f>
        <v/>
      </c>
      <c r="L183" s="13" t="inlineStr">
        <is>
          <t>2024-04-23</t>
        </is>
      </c>
      <c r="M183" s="13" t="inlineStr">
        <is>
          <t>2024-05-07</t>
        </is>
      </c>
      <c r="N183" s="13" t="inlineStr">
        <is>
          <t>2024-04-30</t>
        </is>
      </c>
      <c r="O183" s="9" t="n">
        <v>1309</v>
      </c>
      <c r="P183" s="17" t="n">
        <v>605.13671875</v>
      </c>
      <c r="Q183" s="17" t="n">
        <v>655.1788330078125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Q3 2025-26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16.58%</t>
        </is>
      </c>
      <c r="J184" s="13" t="inlineStr">
        <is>
          <t>16.56%</t>
        </is>
      </c>
      <c r="K184" s="16">
        <f>X183</f>
        <v/>
      </c>
      <c r="L184" s="13" t="inlineStr">
        <is>
          <t>2024-05-02</t>
        </is>
      </c>
      <c r="M184" s="13" t="inlineStr">
        <is>
          <t>2024-05-13</t>
        </is>
      </c>
      <c r="N184" s="13" t="inlineStr">
        <is>
          <t>2024-05-07</t>
        </is>
      </c>
      <c r="O184" s="9" t="n">
        <v>383</v>
      </c>
      <c r="P184" s="17" t="n">
        <v>2209.449462890625</v>
      </c>
      <c r="Q184" s="17" t="n">
        <v>2648.610107421875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Q3 2025-26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-5.31%</t>
        </is>
      </c>
      <c r="J185" s="13" t="inlineStr">
        <is>
          <t>-5.87%</t>
        </is>
      </c>
      <c r="K185" s="16">
        <f>X184</f>
        <v/>
      </c>
      <c r="L185" s="13" t="inlineStr">
        <is>
          <t>2024-10-18</t>
        </is>
      </c>
      <c r="M185" s="13" t="inlineStr">
        <is>
          <t>2024-11-04</t>
        </is>
      </c>
      <c r="N185" s="13" t="inlineStr">
        <is>
          <t>2024-10-28</t>
        </is>
      </c>
      <c r="O185" s="9" t="n">
        <v>350</v>
      </c>
      <c r="P185" s="17" t="n">
        <v>1875.545043945312</v>
      </c>
      <c r="Q185" s="17" t="n">
        <v>1775.943359375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Q3 2025-26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-21.0%</t>
        </is>
      </c>
      <c r="J186" s="13" t="inlineStr">
        <is>
          <t>-24.31%</t>
        </is>
      </c>
      <c r="K186" s="16">
        <f>X185</f>
        <v/>
      </c>
      <c r="L186" s="13" t="inlineStr">
        <is>
          <t>2024-04-16</t>
        </is>
      </c>
      <c r="M186" s="13" t="inlineStr">
        <is>
          <t>2024-04-29</t>
        </is>
      </c>
      <c r="N186" s="13" t="inlineStr">
        <is>
          <t>2024-04-26</t>
        </is>
      </c>
      <c r="O186" s="9" t="n">
        <v>289</v>
      </c>
      <c r="P186" s="17" t="n">
        <v>4850.97802734375</v>
      </c>
      <c r="Q186" s="17" t="n">
        <v>4009.009521484375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Q3 2025-26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12.94%</t>
        </is>
      </c>
      <c r="J187" s="13" t="inlineStr">
        <is>
          <t>6.29%</t>
        </is>
      </c>
      <c r="K187" s="16">
        <f>X186</f>
        <v/>
      </c>
      <c r="L187" s="13" t="inlineStr">
        <is>
          <t>2024-05-14</t>
        </is>
      </c>
      <c r="M187" s="13" t="inlineStr">
        <is>
          <t>2024-05-30</t>
        </is>
      </c>
      <c r="N187" s="13" t="inlineStr">
        <is>
          <t>2024-05-24</t>
        </is>
      </c>
      <c r="O187" s="9" t="n">
        <v>21097</v>
      </c>
      <c r="P187" s="17" t="n">
        <v>40.20000076293945</v>
      </c>
      <c r="Q187" s="17" t="n">
        <v>45.40000152587891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Q3 2025-26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-1.82%</t>
        </is>
      </c>
      <c r="J188" s="13" t="inlineStr">
        <is>
          <t>1.09%</t>
        </is>
      </c>
      <c r="K188" s="16">
        <f>X187</f>
        <v/>
      </c>
      <c r="L188" s="13" t="inlineStr">
        <is>
          <t>2025-10-17</t>
        </is>
      </c>
      <c r="M188" s="13" t="inlineStr">
        <is>
          <t>2025-10-23</t>
        </is>
      </c>
      <c r="N188" s="13" t="inlineStr">
        <is>
          <t>2025-10-21</t>
        </is>
      </c>
      <c r="O188" s="9" t="n">
        <v>3379</v>
      </c>
      <c r="P188" s="17" t="n">
        <v>432.1499938964844</v>
      </c>
      <c r="Q188" s="17" t="n">
        <v>424.2999877929688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Q3 2025-26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10.65%</t>
        </is>
      </c>
      <c r="J189" s="13" t="inlineStr">
        <is>
          <t>10.8%</t>
        </is>
      </c>
      <c r="K189" s="16">
        <f>X188</f>
        <v/>
      </c>
      <c r="L189" s="13" t="inlineStr">
        <is>
          <t>2024-10-15</t>
        </is>
      </c>
      <c r="M189" s="13" t="inlineStr">
        <is>
          <t>2024-10-24</t>
        </is>
      </c>
      <c r="N189" s="13" t="inlineStr">
        <is>
          <t>2024-10-18</t>
        </is>
      </c>
      <c r="O189" s="9" t="n">
        <v>450</v>
      </c>
      <c r="P189" s="17" t="n">
        <v>980.8198852539062</v>
      </c>
      <c r="Q189" s="17" t="n">
        <v>1097.756469726562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Q3 2025-26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9.05%</t>
        </is>
      </c>
      <c r="J190" s="13" t="inlineStr">
        <is>
          <t>1.55%</t>
        </is>
      </c>
      <c r="K190" s="16">
        <f>X189</f>
        <v/>
      </c>
      <c r="L190" s="13" t="inlineStr">
        <is>
          <t>2024-04-12</t>
        </is>
      </c>
      <c r="M190" s="13" t="inlineStr">
        <is>
          <t>2024-04-30</t>
        </is>
      </c>
      <c r="N190" s="13" t="inlineStr">
        <is>
          <t>2024-04-24</t>
        </is>
      </c>
      <c r="O190" s="9" t="n">
        <v>273</v>
      </c>
      <c r="P190" s="17" t="n">
        <v>6784.041015625</v>
      </c>
      <c r="Q190" s="17" t="n">
        <v>7459.23193359375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Q3 2025-26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2.3%</t>
        </is>
      </c>
      <c r="J191" s="13" t="inlineStr">
        <is>
          <t>-0.92%</t>
        </is>
      </c>
      <c r="K191" s="16">
        <f>X190</f>
        <v/>
      </c>
      <c r="L191" s="13" t="inlineStr">
        <is>
          <t>2025-10-17</t>
        </is>
      </c>
      <c r="M191" s="13" t="inlineStr">
        <is>
          <t>2025-10-23</t>
        </is>
      </c>
      <c r="N191" s="13" t="inlineStr">
        <is>
          <t>2025-10-21</t>
        </is>
      </c>
      <c r="O191" s="9" t="n">
        <v>1425</v>
      </c>
      <c r="P191" s="17" t="n">
        <v>396.5</v>
      </c>
      <c r="Q191" s="17" t="n">
        <v>405.6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Q3 2025-26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4.21%</t>
        </is>
      </c>
      <c r="J192" s="13" t="inlineStr">
        <is>
          <t>1.89%</t>
        </is>
      </c>
      <c r="K192" s="16">
        <f>X191</f>
        <v/>
      </c>
      <c r="L192" s="13" t="inlineStr">
        <is>
          <t>2024-04-30</t>
        </is>
      </c>
      <c r="M192" s="13" t="inlineStr">
        <is>
          <t>2024-05-14</t>
        </is>
      </c>
      <c r="N192" s="13" t="inlineStr">
        <is>
          <t>2024-05-08</t>
        </is>
      </c>
      <c r="O192" s="9" t="n">
        <v>2659</v>
      </c>
      <c r="P192" s="17" t="n">
        <v>423.2371826171875</v>
      </c>
      <c r="Q192" s="17" t="n">
        <v>441.8247985839844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Q3 2025-26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6.83%</t>
        </is>
      </c>
      <c r="J193" s="13" t="inlineStr">
        <is>
          <t>7.49%</t>
        </is>
      </c>
      <c r="K193" s="16">
        <f>X192</f>
        <v/>
      </c>
      <c r="L193" s="13" t="inlineStr">
        <is>
          <t>2024-10-28</t>
        </is>
      </c>
      <c r="M193" s="13" t="inlineStr">
        <is>
          <t>2024-11-13</t>
        </is>
      </c>
      <c r="N193" s="13" t="inlineStr">
        <is>
          <t>2024-11-06</t>
        </is>
      </c>
      <c r="O193" s="9" t="n">
        <v>5500</v>
      </c>
      <c r="P193" s="17" t="n">
        <v>133.2504425048828</v>
      </c>
      <c r="Q193" s="17" t="n">
        <v>143.0261688232422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Q3 2025-26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3.19%</t>
        </is>
      </c>
      <c r="J194" s="13" t="inlineStr">
        <is>
          <t>3.47%</t>
        </is>
      </c>
      <c r="K194" s="16">
        <f>X193</f>
        <v/>
      </c>
      <c r="L194" s="13" t="inlineStr">
        <is>
          <t>2024-10-07</t>
        </is>
      </c>
      <c r="M194" s="13" t="inlineStr">
        <is>
          <t>2024-10-14</t>
        </is>
      </c>
      <c r="N194" s="13" t="inlineStr">
        <is>
          <t>2024-10-10</t>
        </is>
      </c>
      <c r="O194" s="9" t="n">
        <v>175</v>
      </c>
      <c r="P194" s="17" t="n">
        <v>3864.2705078125</v>
      </c>
      <c r="Q194" s="17" t="n">
        <v>3991.503173828125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Q3 2025-26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-1.03%</t>
        </is>
      </c>
      <c r="J195" s="13" t="inlineStr">
        <is>
          <t>-2.19%</t>
        </is>
      </c>
      <c r="K195" s="16">
        <f>X194</f>
        <v/>
      </c>
      <c r="L195" s="13" t="inlineStr">
        <is>
          <t>2024-10-17</t>
        </is>
      </c>
      <c r="M195" s="13" t="inlineStr">
        <is>
          <t>2024-10-25</t>
        </is>
      </c>
      <c r="N195" s="13" t="inlineStr">
        <is>
          <t>2024-10-19</t>
        </is>
      </c>
      <c r="O195" s="9" t="n">
        <v>600</v>
      </c>
      <c r="P195" s="17" t="n">
        <v>1611.4560546875</v>
      </c>
      <c r="Q195" s="17" t="n">
        <v>1595.073486328125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Q3 2025-26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6.1%</t>
        </is>
      </c>
      <c r="J196" s="13" t="inlineStr">
        <is>
          <t>0.28%</t>
        </is>
      </c>
      <c r="K196" s="16">
        <f>X195</f>
        <v/>
      </c>
      <c r="L196" s="13" t="inlineStr">
        <is>
          <t>2024-05-07</t>
        </is>
      </c>
      <c r="M196" s="13" t="inlineStr">
        <is>
          <t>2024-05-14</t>
        </is>
      </c>
      <c r="N196" s="13" t="inlineStr">
        <is>
          <t>2024-05-13</t>
        </is>
      </c>
      <c r="O196" s="9" t="n">
        <v>371</v>
      </c>
      <c r="P196" s="17" t="n">
        <v>3748.555908203125</v>
      </c>
      <c r="Q196" s="17" t="n">
        <v>3992.270751953125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Q3 2025-26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3.39%</t>
        </is>
      </c>
      <c r="J197" s="13" t="inlineStr">
        <is>
          <t>3.17%</t>
        </is>
      </c>
      <c r="K197" s="16">
        <f>X196</f>
        <v/>
      </c>
      <c r="L197" s="13" t="inlineStr">
        <is>
          <t>2024-11-05</t>
        </is>
      </c>
      <c r="M197" s="13" t="inlineStr">
        <is>
          <t>2024-11-07</t>
        </is>
      </c>
      <c r="N197" s="13" t="inlineStr">
        <is>
          <t>2024-11-05</t>
        </is>
      </c>
      <c r="O197" s="9" t="n">
        <v>175</v>
      </c>
      <c r="P197" s="17" t="n">
        <v>3101.309814453125</v>
      </c>
      <c r="Q197" s="17" t="n">
        <v>3210.02490234375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Q3 2025-26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5.02%</t>
        </is>
      </c>
      <c r="J198" s="13" t="inlineStr">
        <is>
          <t>4.18%</t>
        </is>
      </c>
      <c r="K198" s="16">
        <f>X197</f>
        <v/>
      </c>
      <c r="L198" s="13" t="inlineStr">
        <is>
          <t>2010-11-08</t>
        </is>
      </c>
      <c r="M198" s="13" t="inlineStr">
        <is>
          <t>2010-11-16</t>
        </is>
      </c>
      <c r="N198" s="13" t="inlineStr">
        <is>
          <t>2010-11-09</t>
        </is>
      </c>
      <c r="O198" s="9" t="n">
        <v>3054</v>
      </c>
      <c r="P198" s="17" t="n">
        <v>221.2411041259766</v>
      </c>
      <c r="Q198" s="17" t="n">
        <v>232.9312438964844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Q3 2025-26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-1.29%</t>
        </is>
      </c>
      <c r="J199" s="13" t="inlineStr">
        <is>
          <t>-3.07%</t>
        </is>
      </c>
      <c r="K199" s="16">
        <f>X198</f>
        <v/>
      </c>
      <c r="L199" s="13" t="inlineStr">
        <is>
          <t>2024-05-23</t>
        </is>
      </c>
      <c r="M199" s="13" t="inlineStr">
        <is>
          <t>2024-05-30</t>
        </is>
      </c>
      <c r="N199" s="13" t="inlineStr">
        <is>
          <t>2024-05-24</t>
        </is>
      </c>
      <c r="O199" s="9" t="n">
        <v>205</v>
      </c>
      <c r="P199" s="17" t="n">
        <v>2638.0185546875</v>
      </c>
      <c r="Q199" s="17" t="n">
        <v>2603.87890625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Q3 2025-26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-7.08%</t>
        </is>
      </c>
      <c r="J200" s="13" t="inlineStr">
        <is>
          <t>-8.46%</t>
        </is>
      </c>
      <c r="K200" s="16">
        <f>X199</f>
        <v/>
      </c>
      <c r="L200" s="13" t="inlineStr">
        <is>
          <t>2024-11-06</t>
        </is>
      </c>
      <c r="M200" s="13" t="inlineStr">
        <is>
          <t>2024-11-14</t>
        </is>
      </c>
      <c r="N200" s="13" t="inlineStr">
        <is>
          <t>2024-11-08</t>
        </is>
      </c>
      <c r="O200" s="9" t="n">
        <v>345</v>
      </c>
      <c r="P200" s="17" t="n">
        <v>6941.1796875</v>
      </c>
      <c r="Q200" s="17" t="n">
        <v>6449.73974609375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Q3 2025-26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0.45%</t>
        </is>
      </c>
      <c r="J201" s="13" t="inlineStr">
        <is>
          <t>0.17%</t>
        </is>
      </c>
      <c r="K201" s="16">
        <f>X200</f>
        <v/>
      </c>
      <c r="L201" s="13" t="inlineStr">
        <is>
          <t>2024-05-02</t>
        </is>
      </c>
      <c r="M201" s="13" t="inlineStr">
        <is>
          <t>2024-05-09</t>
        </is>
      </c>
      <c r="N201" s="13" t="inlineStr">
        <is>
          <t>2024-05-08</t>
        </is>
      </c>
      <c r="O201" s="9" t="n">
        <v>237</v>
      </c>
      <c r="P201" s="17" t="n">
        <v>2047.920043945312</v>
      </c>
      <c r="Q201" s="17" t="n">
        <v>2057.198974609375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Q3 2025-26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2.84%</t>
        </is>
      </c>
      <c r="J202" s="13" t="inlineStr">
        <is>
          <t>1.86%</t>
        </is>
      </c>
      <c r="K202" s="16">
        <f>X201</f>
        <v/>
      </c>
      <c r="L202" s="13" t="inlineStr">
        <is>
          <t>2024-10-15</t>
        </is>
      </c>
      <c r="M202" s="13" t="inlineStr">
        <is>
          <t>2024-10-28</t>
        </is>
      </c>
      <c r="N202" s="13" t="inlineStr">
        <is>
          <t>2024-10-21</t>
        </is>
      </c>
      <c r="O202" s="9" t="n">
        <v>100</v>
      </c>
      <c r="P202" s="17" t="n">
        <v>11022.7294921875</v>
      </c>
      <c r="Q202" s="17" t="n">
        <v>11344.98828125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Q3 2025-26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-2.36%</t>
        </is>
      </c>
      <c r="J203" s="13" t="inlineStr">
        <is>
          <t>-3.91%</t>
        </is>
      </c>
      <c r="K203" s="16">
        <f>X202</f>
        <v/>
      </c>
      <c r="L203" s="13" t="inlineStr">
        <is>
          <t>2024-05-08</t>
        </is>
      </c>
      <c r="M203" s="13" t="inlineStr">
        <is>
          <t>2024-05-16</t>
        </is>
      </c>
      <c r="N203" s="13" t="inlineStr">
        <is>
          <t>2024-05-10</t>
        </is>
      </c>
      <c r="O203" s="9" t="n">
        <v>5868</v>
      </c>
      <c r="P203" s="17" t="n">
        <v>131.8952026367188</v>
      </c>
      <c r="Q203" s="17" t="n">
        <v>128.7831726074219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Q3 2025-26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0.95%</t>
        </is>
      </c>
      <c r="J204" s="13" t="inlineStr">
        <is>
          <t>1.15%</t>
        </is>
      </c>
      <c r="K204" s="16">
        <f>X203</f>
        <v/>
      </c>
      <c r="L204" s="13" t="inlineStr">
        <is>
          <t>2024-05-17</t>
        </is>
      </c>
      <c r="M204" s="13" t="inlineStr">
        <is>
          <t>2024-05-30</t>
        </is>
      </c>
      <c r="N204" s="13" t="inlineStr">
        <is>
          <t>2024-05-24</t>
        </is>
      </c>
      <c r="O204" s="9" t="n">
        <v>652</v>
      </c>
      <c r="P204" s="17" t="n">
        <v>1142.586547851562</v>
      </c>
      <c r="Q204" s="17" t="n">
        <v>1153.511352539062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Q3 2025-26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16.56%</t>
        </is>
      </c>
      <c r="J205" s="13" t="inlineStr">
        <is>
          <t>11.57%</t>
        </is>
      </c>
      <c r="K205" s="16">
        <f>X204</f>
        <v/>
      </c>
      <c r="L205" s="13" t="inlineStr">
        <is>
          <t>2024-05-14</t>
        </is>
      </c>
      <c r="M205" s="13" t="inlineStr">
        <is>
          <t>2024-05-30</t>
        </is>
      </c>
      <c r="N205" s="13" t="inlineStr">
        <is>
          <t>2024-05-24</t>
        </is>
      </c>
      <c r="O205" s="9" t="n">
        <v>852</v>
      </c>
      <c r="P205" s="17" t="n">
        <v>734.242431640625</v>
      </c>
      <c r="Q205" s="17" t="n">
        <v>855.8209838867188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Q3 2025-26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-7.17%</t>
        </is>
      </c>
      <c r="J206" s="13" t="inlineStr">
        <is>
          <t>-6.48%</t>
        </is>
      </c>
      <c r="K206" s="16">
        <f>X205</f>
        <v/>
      </c>
      <c r="L206" s="13" t="inlineStr">
        <is>
          <t>2024-05-08</t>
        </is>
      </c>
      <c r="M206" s="13" t="inlineStr">
        <is>
          <t>2024-05-21</t>
        </is>
      </c>
      <c r="N206" s="13" t="inlineStr">
        <is>
          <t>2024-05-14</t>
        </is>
      </c>
      <c r="O206" s="9" t="n">
        <v>1659</v>
      </c>
      <c r="P206" s="17" t="n">
        <v>501.7218627929688</v>
      </c>
      <c r="Q206" s="17" t="n">
        <v>468.166015625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Q3 2025-26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0.95%</t>
        </is>
      </c>
      <c r="J207" s="13" t="inlineStr">
        <is>
          <t>0.1%</t>
        </is>
      </c>
      <c r="K207" s="16">
        <f>X206</f>
        <v/>
      </c>
      <c r="L207" s="13" t="inlineStr">
        <is>
          <t>2024-05-08</t>
        </is>
      </c>
      <c r="M207" s="13" t="inlineStr">
        <is>
          <t>2024-05-14</t>
        </is>
      </c>
      <c r="N207" s="13" t="inlineStr">
        <is>
          <t>2024-05-13</t>
        </is>
      </c>
      <c r="O207" s="9" t="n">
        <v>2215</v>
      </c>
      <c r="P207" s="17" t="n">
        <v>592.12060546875</v>
      </c>
      <c r="Q207" s="17" t="n">
        <v>597.7870483398438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Q3 2025-26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8.4%</t>
        </is>
      </c>
      <c r="J208" s="13" t="inlineStr">
        <is>
          <t>7.13%</t>
        </is>
      </c>
      <c r="K208" s="16">
        <f>X207</f>
        <v/>
      </c>
      <c r="L208" s="13" t="inlineStr">
        <is>
          <t>2024-04-24</t>
        </is>
      </c>
      <c r="M208" s="13" t="inlineStr">
        <is>
          <t>2024-05-03</t>
        </is>
      </c>
      <c r="N208" s="13" t="inlineStr">
        <is>
          <t>2024-04-26</t>
        </is>
      </c>
      <c r="O208" s="9" t="n">
        <v>3738</v>
      </c>
      <c r="P208" s="17" t="n">
        <v>325.6161804199219</v>
      </c>
      <c r="Q208" s="17" t="n">
        <v>352.9595947265625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Q3 2025-26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0.49%</t>
        </is>
      </c>
      <c r="J209" s="13" t="inlineStr">
        <is>
          <t>-11.62%</t>
        </is>
      </c>
      <c r="K209" s="16">
        <f>X208</f>
        <v/>
      </c>
      <c r="L209" s="13" t="inlineStr">
        <is>
          <t>2025-10-14</t>
        </is>
      </c>
      <c r="M209" s="13" t="inlineStr">
        <is>
          <t>2025-10-23</t>
        </is>
      </c>
      <c r="N209" s="13" t="inlineStr">
        <is>
          <t>2025-10-21</t>
        </is>
      </c>
      <c r="O209" s="9" t="n">
        <v>9268</v>
      </c>
      <c r="P209" s="17" t="n">
        <v>145.7100067138672</v>
      </c>
      <c r="Q209" s="17" t="n">
        <v>146.4299926757812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Q3 2025-26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12.56%</t>
        </is>
      </c>
      <c r="J210" s="13" t="inlineStr">
        <is>
          <t>10.94%</t>
        </is>
      </c>
      <c r="K210" s="16">
        <f>X209</f>
        <v/>
      </c>
      <c r="L210" s="13" t="inlineStr">
        <is>
          <t>2024-05-03</t>
        </is>
      </c>
      <c r="M210" s="13" t="inlineStr">
        <is>
          <t>2024-05-14</t>
        </is>
      </c>
      <c r="N210" s="13" t="inlineStr">
        <is>
          <t>2024-05-08</t>
        </is>
      </c>
      <c r="O210" s="9" t="n">
        <v>750</v>
      </c>
      <c r="P210" s="17" t="n">
        <v>1288.197387695312</v>
      </c>
      <c r="Q210" s="17" t="n">
        <v>1473.199340820312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Q3 2025-26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-4.3%</t>
        </is>
      </c>
      <c r="J211" s="13" t="inlineStr">
        <is>
          <t>-24.91%</t>
        </is>
      </c>
      <c r="K211" s="16">
        <f>X210</f>
        <v/>
      </c>
      <c r="L211" s="13" t="inlineStr">
        <is>
          <t>2025-10-09</t>
        </is>
      </c>
      <c r="M211" s="13" t="inlineStr">
        <is>
          <t>2025-10-28</t>
        </is>
      </c>
      <c r="N211" s="13" t="inlineStr">
        <is>
          <t>2025-10-21</t>
        </is>
      </c>
      <c r="O211" s="9" t="n">
        <v>380</v>
      </c>
      <c r="P211" s="17" t="n">
        <v>3486.39990234375</v>
      </c>
      <c r="Q211" s="17" t="n">
        <v>3342.82470703125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Q3 2025-26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3.52%</t>
        </is>
      </c>
      <c r="J212" s="13" t="inlineStr">
        <is>
          <t>2.67%</t>
        </is>
      </c>
      <c r="K212" s="16">
        <f>X211</f>
        <v/>
      </c>
      <c r="L212" s="13" t="inlineStr">
        <is>
          <t>2024-10-11</t>
        </is>
      </c>
      <c r="M212" s="13" t="inlineStr">
        <is>
          <t>2024-10-24</t>
        </is>
      </c>
      <c r="N212" s="13" t="inlineStr">
        <is>
          <t>2024-10-17</t>
        </is>
      </c>
      <c r="O212" s="9" t="n">
        <v>1500</v>
      </c>
      <c r="P212" s="17" t="n">
        <v>247.6143798828125</v>
      </c>
      <c r="Q212" s="17" t="n">
        <v>256.3322143554688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Q3 2025-26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-4.18%</t>
        </is>
      </c>
      <c r="J213" s="13" t="inlineStr">
        <is>
          <t>-4.7%</t>
        </is>
      </c>
      <c r="K213" s="16">
        <f>X212</f>
        <v/>
      </c>
      <c r="L213" s="13" t="inlineStr">
        <is>
          <t>2024-04-15</t>
        </is>
      </c>
      <c r="M213" s="13" t="inlineStr">
        <is>
          <t>2024-05-03</t>
        </is>
      </c>
      <c r="N213" s="13" t="inlineStr">
        <is>
          <t>2024-04-27</t>
        </is>
      </c>
      <c r="O213" s="9" t="n">
        <v>44365</v>
      </c>
      <c r="P213" s="17" t="n">
        <v>24.95000076293945</v>
      </c>
      <c r="Q213" s="17" t="n">
        <v>23.95000076293945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Q3 2025-26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-8.41%</t>
        </is>
      </c>
      <c r="J214" s="13" t="inlineStr">
        <is>
          <t>-5.81%</t>
        </is>
      </c>
      <c r="K214" s="16">
        <f>X213</f>
        <v/>
      </c>
      <c r="L214" s="13" t="inlineStr">
        <is>
          <t>2024-05-13</t>
        </is>
      </c>
      <c r="M214" s="13" t="inlineStr">
        <is>
          <t>2024-05-24</t>
        </is>
      </c>
      <c r="N214" s="13" t="inlineStr">
        <is>
          <t>2024-05-17</t>
        </is>
      </c>
      <c r="O214" s="9" t="n">
        <v>896</v>
      </c>
      <c r="P214" s="17" t="n">
        <v>1060.214111328125</v>
      </c>
      <c r="Q214" s="17" t="n">
        <v>977.9391479492188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2025-26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Q2 2025-26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2.32%</t>
        </is>
      </c>
      <c r="J4" s="13" t="inlineStr">
        <is>
          <t>0.25%</t>
        </is>
      </c>
      <c r="K4" s="16" t="n">
        <v>42511150.11</v>
      </c>
      <c r="L4" s="13" t="inlineStr">
        <is>
          <t>2026-06-09</t>
        </is>
      </c>
      <c r="M4" s="13" t="inlineStr">
        <is>
          <t>2026-06-24</t>
        </is>
      </c>
      <c r="N4" s="13" t="inlineStr">
        <is>
          <t>2026-06-17</t>
        </is>
      </c>
      <c r="O4" s="9" t="n">
        <v>874</v>
      </c>
      <c r="P4" s="17" t="n">
        <v>1075</v>
      </c>
      <c r="Q4" s="17" t="n">
        <v>1099.900024414062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Q2 2025-26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-11.74%</t>
        </is>
      </c>
      <c r="J5" s="13" t="inlineStr">
        <is>
          <t>-12.35%</t>
        </is>
      </c>
      <c r="K5" s="16">
        <f>X4</f>
        <v/>
      </c>
      <c r="L5" s="13" t="inlineStr">
        <is>
          <t>2026-04-30</t>
        </is>
      </c>
      <c r="M5" s="13" t="inlineStr">
        <is>
          <t>2026-05-15</t>
        </is>
      </c>
      <c r="N5" s="13" t="inlineStr">
        <is>
          <t>2026-05-09</t>
        </is>
      </c>
      <c r="O5" s="9" t="n">
        <v>137</v>
      </c>
      <c r="P5" s="17" t="n">
        <v>7230</v>
      </c>
      <c r="Q5" s="17" t="n">
        <v>6381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Q2 2025-26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5.48%</t>
        </is>
      </c>
      <c r="J6" s="13" t="inlineStr">
        <is>
          <t>4.16%</t>
        </is>
      </c>
      <c r="K6" s="16">
        <f>X5</f>
        <v/>
      </c>
      <c r="L6" s="13" t="inlineStr">
        <is>
          <t>2026-06-09</t>
        </is>
      </c>
      <c r="M6" s="13" t="inlineStr">
        <is>
          <t>2026-06-18</t>
        </is>
      </c>
      <c r="N6" s="13" t="inlineStr">
        <is>
          <t>2026-06-12</t>
        </is>
      </c>
      <c r="O6" s="9" t="n">
        <v>2537</v>
      </c>
      <c r="P6" s="17" t="n">
        <v>351.3500061035156</v>
      </c>
      <c r="Q6" s="17" t="n">
        <v>370.6000061035156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Q2 2025-26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-3.12%</t>
        </is>
      </c>
      <c r="J7" s="13" t="inlineStr">
        <is>
          <t>-3.84%</t>
        </is>
      </c>
      <c r="K7" s="16">
        <f>X6</f>
        <v/>
      </c>
      <c r="L7" s="13" t="inlineStr">
        <is>
          <t>2026-07-01</t>
        </is>
      </c>
      <c r="M7" s="13" t="inlineStr">
        <is>
          <t>2026-07-03</t>
        </is>
      </c>
      <c r="N7" s="13" t="inlineStr">
        <is>
          <t>2026-07-01</t>
        </is>
      </c>
      <c r="O7" s="9" t="n">
        <v>602</v>
      </c>
      <c r="P7" s="17" t="n">
        <v>1568.800048828125</v>
      </c>
      <c r="Q7" s="17" t="n">
        <v>1521.400024414062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Q2 2025-26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-5.57%</t>
        </is>
      </c>
      <c r="J8" s="13" t="inlineStr">
        <is>
          <t>-6.19%</t>
        </is>
      </c>
      <c r="K8" s="16">
        <f>X7</f>
        <v/>
      </c>
      <c r="L8" s="13" t="inlineStr">
        <is>
          <t>2024-08-01</t>
        </is>
      </c>
      <c r="M8" s="13" t="inlineStr">
        <is>
          <t>2024-08-05</t>
        </is>
      </c>
      <c r="N8" s="13" t="inlineStr">
        <is>
          <t>2024-08-01</t>
        </is>
      </c>
      <c r="O8" s="9" t="n">
        <v>300</v>
      </c>
      <c r="P8" s="17" t="n">
        <v>3214.21875</v>
      </c>
      <c r="Q8" s="17" t="n">
        <v>3035.33740234375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Q2 2025-26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6.93%</t>
        </is>
      </c>
      <c r="J9" s="13" t="inlineStr">
        <is>
          <t>5.5%</t>
        </is>
      </c>
      <c r="K9" s="16">
        <f>X8</f>
        <v/>
      </c>
      <c r="L9" s="13" t="inlineStr">
        <is>
          <t>2026-04-21</t>
        </is>
      </c>
      <c r="M9" s="13" t="inlineStr">
        <is>
          <t>2026-04-27</t>
        </is>
      </c>
      <c r="N9" s="13" t="inlineStr">
        <is>
          <t>2026-04-24</t>
        </is>
      </c>
      <c r="O9" s="9" t="n">
        <v>500</v>
      </c>
      <c r="P9" s="17" t="n">
        <v>1150</v>
      </c>
      <c r="Q9" s="17" t="n">
        <v>1229.699951171875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Q2 2025-26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2.3%</t>
        </is>
      </c>
      <c r="J10" s="13" t="inlineStr">
        <is>
          <t>1.64%</t>
        </is>
      </c>
      <c r="K10" s="16">
        <f>X9</f>
        <v/>
      </c>
      <c r="L10" s="13" t="inlineStr">
        <is>
          <t>2024-07-24</t>
        </is>
      </c>
      <c r="M10" s="13" t="inlineStr">
        <is>
          <t>2024-08-08</t>
        </is>
      </c>
      <c r="N10" s="13" t="inlineStr">
        <is>
          <t>2024-08-01</t>
        </is>
      </c>
      <c r="O10" s="9" t="n">
        <v>625</v>
      </c>
      <c r="P10" s="17" t="n">
        <v>1471.410034179688</v>
      </c>
      <c r="Q10" s="17" t="n">
        <v>1505.301635742188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Q2 2025-26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2.87%</t>
        </is>
      </c>
      <c r="J11" s="13" t="inlineStr">
        <is>
          <t>2.71%</t>
        </is>
      </c>
      <c r="K11" s="16">
        <f>X10</f>
        <v/>
      </c>
      <c r="L11" s="13" t="inlineStr">
        <is>
          <t>2026-07-20</t>
        </is>
      </c>
      <c r="M11" s="13" t="inlineStr">
        <is>
          <t>2026-07-24</t>
        </is>
      </c>
      <c r="N11" s="13" t="inlineStr">
        <is>
          <t>2026-07-22</t>
        </is>
      </c>
      <c r="O11" s="9" t="n">
        <v>4785</v>
      </c>
      <c r="P11" s="17" t="n">
        <v>213.6600036621093</v>
      </c>
      <c r="Q11" s="17" t="n">
        <v>219.9700012207031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Q2 2025-26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2.92%</t>
        </is>
      </c>
      <c r="J12" s="13" t="inlineStr">
        <is>
          <t>2.61%</t>
        </is>
      </c>
      <c r="K12" s="16">
        <f>X11</f>
        <v/>
      </c>
      <c r="L12" s="13" t="inlineStr">
        <is>
          <t>2026-07-28</t>
        </is>
      </c>
      <c r="M12" s="13" t="inlineStr">
        <is>
          <t>2026-07-30</t>
        </is>
      </c>
      <c r="N12" s="13" t="inlineStr">
        <is>
          <t>2026-07-29</t>
        </is>
      </c>
      <c r="O12" s="9" t="n">
        <v>171</v>
      </c>
      <c r="P12" s="17" t="n">
        <v>5651.5</v>
      </c>
      <c r="Q12" s="17" t="n">
        <v>5816.5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Q2 2025-26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Q2 2025-26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-0.59%</t>
        </is>
      </c>
      <c r="J14" s="13" t="inlineStr">
        <is>
          <t>-0.84%</t>
        </is>
      </c>
      <c r="K14" s="16">
        <f>X13</f>
        <v/>
      </c>
      <c r="L14" s="13" t="inlineStr">
        <is>
          <t>2026-06-17</t>
        </is>
      </c>
      <c r="M14" s="13" t="inlineStr">
        <is>
          <t>2026-07-02</t>
        </is>
      </c>
      <c r="N14" s="13" t="inlineStr">
        <is>
          <t>2026-06-26</t>
        </is>
      </c>
      <c r="O14" s="9" t="n">
        <v>2303</v>
      </c>
      <c r="P14" s="17" t="n">
        <v>428.9500122070313</v>
      </c>
      <c r="Q14" s="17" t="n">
        <v>426.4500122070313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Q2 2025-26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4.52%</t>
        </is>
      </c>
      <c r="J15" s="13" t="inlineStr">
        <is>
          <t>-0.39%</t>
        </is>
      </c>
      <c r="K15" s="16">
        <f>X14</f>
        <v/>
      </c>
      <c r="L15" s="13" t="inlineStr">
        <is>
          <t>2026-06-09</t>
        </is>
      </c>
      <c r="M15" s="13" t="inlineStr">
        <is>
          <t>2026-06-18</t>
        </is>
      </c>
      <c r="N15" s="13" t="inlineStr">
        <is>
          <t>2026-06-12</t>
        </is>
      </c>
      <c r="O15" s="9" t="n">
        <v>3428</v>
      </c>
      <c r="P15" s="17" t="n">
        <v>336.50927734375</v>
      </c>
      <c r="Q15" s="17" t="n">
        <v>351.7122802734375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Q2 2025-26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-4.88%</t>
        </is>
      </c>
      <c r="J16" s="13" t="inlineStr">
        <is>
          <t>-5.88%</t>
        </is>
      </c>
      <c r="K16" s="16">
        <f>X15</f>
        <v/>
      </c>
      <c r="L16" s="13" t="inlineStr">
        <is>
          <t>2026-04-29</t>
        </is>
      </c>
      <c r="M16" s="13" t="inlineStr">
        <is>
          <t>2026-05-05</t>
        </is>
      </c>
      <c r="N16" s="13" t="inlineStr">
        <is>
          <t>2026-05-02</t>
        </is>
      </c>
      <c r="O16" s="9" t="n">
        <v>528</v>
      </c>
      <c r="P16" s="17" t="n">
        <v>1966.599975585937</v>
      </c>
      <c r="Q16" s="17" t="n">
        <v>1870.599975585937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Q2 2025-26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2.63%</t>
        </is>
      </c>
      <c r="J17" s="13" t="inlineStr">
        <is>
          <t>0.0%</t>
        </is>
      </c>
      <c r="K17" s="16">
        <f>X16</f>
        <v/>
      </c>
      <c r="L17" s="13" t="inlineStr">
        <is>
          <t>2024-08-13</t>
        </is>
      </c>
      <c r="M17" s="13" t="inlineStr">
        <is>
          <t>2024-08-21</t>
        </is>
      </c>
      <c r="N17" s="13" t="inlineStr">
        <is>
          <t>2024-08-14</t>
        </is>
      </c>
      <c r="O17" s="9" t="n">
        <v>125</v>
      </c>
      <c r="P17" s="17" t="n">
        <v>6552.89599609375</v>
      </c>
      <c r="Q17" s="17" t="n">
        <v>6725.36474609375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Q2 2025-26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-0.81%</t>
        </is>
      </c>
      <c r="J18" s="13" t="inlineStr">
        <is>
          <t>-5.29%</t>
        </is>
      </c>
      <c r="K18" s="16">
        <f>X17</f>
        <v/>
      </c>
      <c r="L18" s="13" t="inlineStr">
        <is>
          <t>2024-02-05</t>
        </is>
      </c>
      <c r="M18" s="13" t="inlineStr">
        <is>
          <t>2024-02-07</t>
        </is>
      </c>
      <c r="N18" s="13" t="inlineStr">
        <is>
          <t>2024-02-06</t>
        </is>
      </c>
      <c r="O18" s="9" t="n">
        <v>5000</v>
      </c>
      <c r="P18" s="17" t="n">
        <v>82.83615875244141</v>
      </c>
      <c r="Q18" s="17" t="n">
        <v>82.16608428955078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Q2 2025-26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1.68%</t>
        </is>
      </c>
      <c r="J19" s="13" t="inlineStr">
        <is>
          <t>1.84%</t>
        </is>
      </c>
      <c r="K19" s="16">
        <f>X18</f>
        <v/>
      </c>
      <c r="L19" s="13" t="inlineStr">
        <is>
          <t>2024-07-10</t>
        </is>
      </c>
      <c r="M19" s="13" t="inlineStr">
        <is>
          <t>2024-07-19</t>
        </is>
      </c>
      <c r="N19" s="13" t="inlineStr">
        <is>
          <t>2024-07-17</t>
        </is>
      </c>
      <c r="O19" s="9" t="n">
        <v>200</v>
      </c>
      <c r="P19" s="17" t="n">
        <v>2884.55517578125</v>
      </c>
      <c r="Q19" s="17" t="n">
        <v>2933.903076171875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Q2 2025-26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6.43%</t>
        </is>
      </c>
      <c r="J20" s="13" t="inlineStr">
        <is>
          <t>7.89%</t>
        </is>
      </c>
      <c r="K20" s="16">
        <f>X19</f>
        <v/>
      </c>
      <c r="L20" s="13" t="inlineStr">
        <is>
          <t>2024-01-17</t>
        </is>
      </c>
      <c r="M20" s="13" t="inlineStr">
        <is>
          <t>2024-02-06</t>
        </is>
      </c>
      <c r="N20" s="13" t="inlineStr">
        <is>
          <t>2024-01-31</t>
        </is>
      </c>
      <c r="O20" s="9" t="n">
        <v>679</v>
      </c>
      <c r="P20" s="17" t="n">
        <v>1766.244750976562</v>
      </c>
      <c r="Q20" s="17" t="n">
        <v>1879.75146484375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Q2 2025-26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2026-05-04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Q2 2025-26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20.55%</t>
        </is>
      </c>
      <c r="J22" s="13" t="inlineStr">
        <is>
          <t>12.35%</t>
        </is>
      </c>
      <c r="K22" s="16">
        <f>X21</f>
        <v/>
      </c>
      <c r="L22" s="13" t="inlineStr">
        <is>
          <t>2024-01-12</t>
        </is>
      </c>
      <c r="M22" s="13" t="inlineStr">
        <is>
          <t>2024-01-29</t>
        </is>
      </c>
      <c r="N22" s="13" t="inlineStr">
        <is>
          <t>2024-01-25</t>
        </is>
      </c>
      <c r="O22" s="9" t="n">
        <v>970</v>
      </c>
      <c r="P22" s="17" t="n">
        <v>624.5908203125</v>
      </c>
      <c r="Q22" s="17" t="n">
        <v>786.1358642578125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Q2 2025-26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0.04%</t>
        </is>
      </c>
      <c r="J23" s="13" t="inlineStr">
        <is>
          <t>-0.26%</t>
        </is>
      </c>
      <c r="K23" s="16">
        <f>X22</f>
        <v/>
      </c>
      <c r="L23" s="13" t="inlineStr">
        <is>
          <t>2024-02-05</t>
        </is>
      </c>
      <c r="M23" s="13" t="inlineStr">
        <is>
          <t>2024-02-12</t>
        </is>
      </c>
      <c r="N23" s="13" t="inlineStr">
        <is>
          <t>2024-02-10</t>
        </is>
      </c>
      <c r="O23" s="9" t="n">
        <v>634</v>
      </c>
      <c r="P23" s="17" t="n">
        <v>1012.980163574219</v>
      </c>
      <c r="Q23" s="17" t="n">
        <v>1013.378112792969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Q2 2025-26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-5.4%</t>
        </is>
      </c>
      <c r="J24" s="13" t="inlineStr">
        <is>
          <t>-6.73%</t>
        </is>
      </c>
      <c r="K24" s="16">
        <f>X23</f>
        <v/>
      </c>
      <c r="L24" s="13" t="inlineStr">
        <is>
          <t>2024-07-24</t>
        </is>
      </c>
      <c r="M24" s="13" t="inlineStr">
        <is>
          <t>2024-08-01</t>
        </is>
      </c>
      <c r="N24" s="13" t="inlineStr">
        <is>
          <t>2024-07-25</t>
        </is>
      </c>
      <c r="O24" s="9" t="n">
        <v>625</v>
      </c>
      <c r="P24" s="17" t="n">
        <v>1237.237548828125</v>
      </c>
      <c r="Q24" s="17" t="n">
        <v>1170.396484375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Q2 2025-26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0.97%</t>
        </is>
      </c>
      <c r="J25" s="13" t="inlineStr">
        <is>
          <t>-0.68%</t>
        </is>
      </c>
      <c r="K25" s="16">
        <f>X24</f>
        <v/>
      </c>
      <c r="L25" s="13" t="inlineStr">
        <is>
          <t>2024-07-09</t>
        </is>
      </c>
      <c r="M25" s="13" t="inlineStr">
        <is>
          <t>2024-07-18</t>
        </is>
      </c>
      <c r="N25" s="13" t="inlineStr">
        <is>
          <t>2024-07-16</t>
        </is>
      </c>
      <c r="O25" s="9" t="n">
        <v>125</v>
      </c>
      <c r="P25" s="17" t="n">
        <v>9169.396484375</v>
      </c>
      <c r="Q25" s="17" t="n">
        <v>9257.974609375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Q2 2025-26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2.88%</t>
        </is>
      </c>
      <c r="J26" s="13" t="inlineStr">
        <is>
          <t>2.35%</t>
        </is>
      </c>
      <c r="K26" s="16">
        <f>X25</f>
        <v/>
      </c>
      <c r="L26" s="13" t="inlineStr">
        <is>
          <t>2024-07-25</t>
        </is>
      </c>
      <c r="M26" s="13" t="inlineStr">
        <is>
          <t>2024-07-29</t>
        </is>
      </c>
      <c r="N26" s="13" t="inlineStr">
        <is>
          <t>2024-07-25</t>
        </is>
      </c>
      <c r="O26" s="9" t="n">
        <v>500</v>
      </c>
      <c r="P26" s="17" t="n">
        <v>1569.844848632812</v>
      </c>
      <c r="Q26" s="17" t="n">
        <v>1614.984497070312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Q2 2025-26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-0.64%</t>
        </is>
      </c>
      <c r="J27" s="13" t="inlineStr">
        <is>
          <t>-4.42%</t>
        </is>
      </c>
      <c r="K27" s="16">
        <f>X26</f>
        <v/>
      </c>
      <c r="L27" s="13" t="inlineStr">
        <is>
          <t>2018-07-27</t>
        </is>
      </c>
      <c r="M27" s="13" t="inlineStr">
        <is>
          <t>2018-08-09</t>
        </is>
      </c>
      <c r="N27" s="13" t="inlineStr">
        <is>
          <t>2018-08-03</t>
        </is>
      </c>
      <c r="O27" s="9" t="n">
        <v>100</v>
      </c>
      <c r="P27" s="17" t="n">
        <v>2663.415771484375</v>
      </c>
      <c r="Q27" s="17" t="n">
        <v>2646.41015625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Q2 2025-26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-0.88%</t>
        </is>
      </c>
      <c r="J28" s="13" t="inlineStr">
        <is>
          <t>-2.94%</t>
        </is>
      </c>
      <c r="K28" s="16">
        <f>X27</f>
        <v/>
      </c>
      <c r="L28" s="13" t="inlineStr">
        <is>
          <t>2024-07-22</t>
        </is>
      </c>
      <c r="M28" s="13" t="inlineStr">
        <is>
          <t>2024-07-30</t>
        </is>
      </c>
      <c r="N28" s="13" t="inlineStr">
        <is>
          <t>2024-07-23</t>
        </is>
      </c>
      <c r="O28" s="9" t="n">
        <v>125</v>
      </c>
      <c r="P28" s="17" t="n">
        <v>680.0228881835938</v>
      </c>
      <c r="Q28" s="17" t="n">
        <v>674.0319213867188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Q2 2025-26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-9.64%</t>
        </is>
      </c>
      <c r="J29" s="13" t="inlineStr">
        <is>
          <t>-10.68%</t>
        </is>
      </c>
      <c r="K29" s="16">
        <f>X28</f>
        <v/>
      </c>
      <c r="L29" s="13" t="inlineStr">
        <is>
          <t>2024-02-06</t>
        </is>
      </c>
      <c r="M29" s="13" t="inlineStr">
        <is>
          <t>2024-02-15</t>
        </is>
      </c>
      <c r="N29" s="13" t="inlineStr">
        <is>
          <t>2024-02-09</t>
        </is>
      </c>
      <c r="O29" s="9" t="n">
        <v>6099</v>
      </c>
      <c r="P29" s="17" t="n">
        <v>212.9297790527344</v>
      </c>
      <c r="Q29" s="17" t="n">
        <v>192.4070129394531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Q2 2025-26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-12.54%</t>
        </is>
      </c>
      <c r="J30" s="13" t="inlineStr">
        <is>
          <t>-12.9%</t>
        </is>
      </c>
      <c r="K30" s="16">
        <f>X29</f>
        <v/>
      </c>
      <c r="L30" s="13" t="inlineStr">
        <is>
          <t>2024-01-23</t>
        </is>
      </c>
      <c r="M30" s="13" t="inlineStr">
        <is>
          <t>2024-02-06</t>
        </is>
      </c>
      <c r="N30" s="13" t="inlineStr">
        <is>
          <t>2024-01-31</t>
        </is>
      </c>
      <c r="O30" s="9" t="n">
        <v>4138</v>
      </c>
      <c r="P30" s="17" t="n">
        <v>228.0153503417969</v>
      </c>
      <c r="Q30" s="17" t="n">
        <v>202.5993347167969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Q2 2025-26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-2.16%</t>
        </is>
      </c>
      <c r="J31" s="13" t="inlineStr">
        <is>
          <t>-5.13%</t>
        </is>
      </c>
      <c r="K31" s="16">
        <f>X30</f>
        <v/>
      </c>
      <c r="L31" s="13" t="inlineStr">
        <is>
          <t>2024-01-30</t>
        </is>
      </c>
      <c r="M31" s="13" t="inlineStr">
        <is>
          <t>2024-02-08</t>
        </is>
      </c>
      <c r="N31" s="13" t="inlineStr">
        <is>
          <t>2024-02-02</t>
        </is>
      </c>
      <c r="O31" s="9" t="n">
        <v>7287</v>
      </c>
      <c r="P31" s="17" t="n">
        <v>129.4197692871094</v>
      </c>
      <c r="Q31" s="17" t="n">
        <v>126.6788101196289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Q2 2025-26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-34.01%</t>
        </is>
      </c>
      <c r="J32" s="13" t="inlineStr">
        <is>
          <t>-29.07%</t>
        </is>
      </c>
      <c r="K32" s="16">
        <f>X31</f>
        <v/>
      </c>
      <c r="L32" s="13" t="inlineStr">
        <is>
          <t>2024-05-17</t>
        </is>
      </c>
      <c r="M32" s="13" t="inlineStr">
        <is>
          <t>2024-05-31</t>
        </is>
      </c>
      <c r="N32" s="13" t="inlineStr">
        <is>
          <t>2024-05-30</t>
        </is>
      </c>
      <c r="O32" s="9" t="n">
        <v>793</v>
      </c>
      <c r="P32" s="17" t="n">
        <v>1544.736938476562</v>
      </c>
      <c r="Q32" s="17" t="n">
        <v>1152.713012695312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Q2 2025-26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5.24%</t>
        </is>
      </c>
      <c r="J33" s="13" t="inlineStr">
        <is>
          <t>6.87%</t>
        </is>
      </c>
      <c r="K33" s="16">
        <f>X32</f>
        <v/>
      </c>
      <c r="L33" s="13" t="inlineStr">
        <is>
          <t>2024-07-19</t>
        </is>
      </c>
      <c r="M33" s="13" t="inlineStr">
        <is>
          <t>2024-08-05</t>
        </is>
      </c>
      <c r="N33" s="13" t="inlineStr">
        <is>
          <t>2024-07-29</t>
        </is>
      </c>
      <c r="O33" s="9" t="n">
        <v>2438</v>
      </c>
      <c r="P33" s="17" t="n">
        <v>285.9877624511719</v>
      </c>
      <c r="Q33" s="17" t="n">
        <v>301.8020935058594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Q2 2025-26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11.15%</t>
        </is>
      </c>
      <c r="J34" s="13" t="inlineStr">
        <is>
          <t>5.52%</t>
        </is>
      </c>
      <c r="K34" s="16">
        <f>X33</f>
        <v/>
      </c>
      <c r="L34" s="13" t="inlineStr">
        <is>
          <t>2024-02-01</t>
        </is>
      </c>
      <c r="M34" s="13" t="inlineStr">
        <is>
          <t>2024-02-13</t>
        </is>
      </c>
      <c r="N34" s="13" t="inlineStr">
        <is>
          <t>2024-02-12</t>
        </is>
      </c>
      <c r="O34" s="9" t="n">
        <v>461</v>
      </c>
      <c r="P34" s="17" t="n">
        <v>1073.796142578125</v>
      </c>
      <c r="Q34" s="17" t="n">
        <v>1208.555297851562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Q2 2025-26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1.21%</t>
        </is>
      </c>
      <c r="J35" s="13" t="inlineStr">
        <is>
          <t>-0.29%</t>
        </is>
      </c>
      <c r="K35" s="16">
        <f>X34</f>
        <v/>
      </c>
      <c r="L35" s="13" t="inlineStr">
        <is>
          <t>2024-07-25</t>
        </is>
      </c>
      <c r="M35" s="13" t="inlineStr">
        <is>
          <t>2024-08-12</t>
        </is>
      </c>
      <c r="N35" s="13" t="inlineStr">
        <is>
          <t>2024-08-05</t>
        </is>
      </c>
      <c r="O35" s="9" t="n">
        <v>950</v>
      </c>
      <c r="P35" s="17" t="n">
        <v>1429.171142578125</v>
      </c>
      <c r="Q35" s="17" t="n">
        <v>1446.50732421875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Q2 2025-26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2.53%</t>
        </is>
      </c>
      <c r="J36" s="13" t="inlineStr">
        <is>
          <t>1.46%</t>
        </is>
      </c>
      <c r="K36" s="16">
        <f>X35</f>
        <v/>
      </c>
      <c r="L36" s="13" t="inlineStr">
        <is>
          <t>2024-02-07</t>
        </is>
      </c>
      <c r="M36" s="13" t="inlineStr">
        <is>
          <t>2024-02-19</t>
        </is>
      </c>
      <c r="N36" s="13" t="inlineStr">
        <is>
          <t>2024-02-13</t>
        </is>
      </c>
      <c r="O36" s="9" t="n">
        <v>2481</v>
      </c>
      <c r="P36" s="17" t="n">
        <v>224.3141021728516</v>
      </c>
      <c r="Q36" s="17" t="n">
        <v>230.128173828125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Q2 2025-26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0.63%</t>
        </is>
      </c>
      <c r="J37" s="13" t="inlineStr">
        <is>
          <t>-2.29%</t>
        </is>
      </c>
      <c r="K37" s="16">
        <f>X36</f>
        <v/>
      </c>
      <c r="L37" s="13" t="inlineStr">
        <is>
          <t>2024-01-31</t>
        </is>
      </c>
      <c r="M37" s="13" t="inlineStr">
        <is>
          <t>2024-02-12</t>
        </is>
      </c>
      <c r="N37" s="13" t="inlineStr">
        <is>
          <t>2024-02-09</t>
        </is>
      </c>
      <c r="O37" s="9" t="n">
        <v>2351</v>
      </c>
      <c r="P37" s="17" t="n">
        <v>265.6575927734375</v>
      </c>
      <c r="Q37" s="17" t="n">
        <v>267.3509521484375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Q2 2025-26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-8.4%</t>
        </is>
      </c>
      <c r="J38" s="13" t="inlineStr">
        <is>
          <t>-8.93%</t>
        </is>
      </c>
      <c r="K38" s="16">
        <f>X37</f>
        <v/>
      </c>
      <c r="L38" s="13" t="inlineStr">
        <is>
          <t>2024-01-16</t>
        </is>
      </c>
      <c r="M38" s="13" t="inlineStr">
        <is>
          <t>2024-01-31</t>
        </is>
      </c>
      <c r="N38" s="13" t="inlineStr">
        <is>
          <t>2024-01-30</t>
        </is>
      </c>
      <c r="O38" s="9" t="n">
        <v>591</v>
      </c>
      <c r="P38" s="17" t="n">
        <v>1123.859008789062</v>
      </c>
      <c r="Q38" s="17" t="n">
        <v>1036.77099609375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Q2 2025-26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-22.44%</t>
        </is>
      </c>
      <c r="J39" s="13" t="inlineStr">
        <is>
          <t>-22.05%</t>
        </is>
      </c>
      <c r="K39" s="16">
        <f>X38</f>
        <v/>
      </c>
      <c r="L39" s="13" t="inlineStr">
        <is>
          <t>2024-02-01</t>
        </is>
      </c>
      <c r="M39" s="13" t="inlineStr">
        <is>
          <t>2024-02-19</t>
        </is>
      </c>
      <c r="N39" s="13" t="inlineStr">
        <is>
          <t>2024-02-13</t>
        </is>
      </c>
      <c r="O39" s="9" t="n">
        <v>100</v>
      </c>
      <c r="P39" s="17" t="n">
        <v>28262.033203125</v>
      </c>
      <c r="Q39" s="17" t="n">
        <v>23082.052734375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Q2 2025-26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-6.38%</t>
        </is>
      </c>
      <c r="J40" s="13" t="inlineStr">
        <is>
          <t>-5.25%</t>
        </is>
      </c>
      <c r="K40" s="16">
        <f>X39</f>
        <v/>
      </c>
      <c r="L40" s="13" t="inlineStr">
        <is>
          <t>2024-07-11</t>
        </is>
      </c>
      <c r="M40" s="13" t="inlineStr">
        <is>
          <t>2024-07-25</t>
        </is>
      </c>
      <c r="N40" s="13" t="inlineStr">
        <is>
          <t>2024-07-19</t>
        </is>
      </c>
      <c r="O40" s="9" t="n">
        <v>1800</v>
      </c>
      <c r="P40" s="17" t="n">
        <v>290.8780517578125</v>
      </c>
      <c r="Q40" s="17" t="n">
        <v>273.4422912597656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Q2 2025-26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0.73%</t>
        </is>
      </c>
      <c r="J41" s="13" t="inlineStr">
        <is>
          <t>0.13%</t>
        </is>
      </c>
      <c r="K41" s="16">
        <f>X40</f>
        <v/>
      </c>
      <c r="L41" s="13" t="inlineStr">
        <is>
          <t>2024-08-01</t>
        </is>
      </c>
      <c r="M41" s="13" t="inlineStr">
        <is>
          <t>2024-08-05</t>
        </is>
      </c>
      <c r="N41" s="13" t="inlineStr">
        <is>
          <t>2024-08-02</t>
        </is>
      </c>
      <c r="O41" s="9" t="n">
        <v>200</v>
      </c>
      <c r="P41" s="17" t="n">
        <v>5583.35400390625</v>
      </c>
      <c r="Q41" s="17" t="n">
        <v>5624.19482421875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Q2 2025-26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16.91%</t>
        </is>
      </c>
      <c r="J42" s="13" t="inlineStr">
        <is>
          <t>13.85%</t>
        </is>
      </c>
      <c r="K42" s="16">
        <f>X41</f>
        <v/>
      </c>
      <c r="L42" s="13" t="inlineStr">
        <is>
          <t>2024-01-24</t>
        </is>
      </c>
      <c r="M42" s="13" t="inlineStr">
        <is>
          <t>2024-02-06</t>
        </is>
      </c>
      <c r="N42" s="13" t="inlineStr">
        <is>
          <t>2024-02-05</t>
        </is>
      </c>
      <c r="O42" s="9" t="n">
        <v>283</v>
      </c>
      <c r="P42" s="17" t="n">
        <v>696.1548461914062</v>
      </c>
      <c r="Q42" s="17" t="n">
        <v>813.8862915039062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Q2 2025-26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1.15%</t>
        </is>
      </c>
      <c r="J43" s="13" t="inlineStr">
        <is>
          <t>-2.96%</t>
        </is>
      </c>
      <c r="K43" s="16">
        <f>X42</f>
        <v/>
      </c>
      <c r="L43" s="13" t="inlineStr">
        <is>
          <t>2024-02-02</t>
        </is>
      </c>
      <c r="M43" s="13" t="inlineStr">
        <is>
          <t>2024-02-07</t>
        </is>
      </c>
      <c r="N43" s="13" t="inlineStr">
        <is>
          <t>2024-02-06</t>
        </is>
      </c>
      <c r="O43" s="9" t="n">
        <v>1260</v>
      </c>
      <c r="P43" s="17" t="n">
        <v>546.6193237304688</v>
      </c>
      <c r="Q43" s="17" t="n">
        <v>552.9920043945312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Q2 2025-26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-4.27%</t>
        </is>
      </c>
      <c r="J44" s="13" t="inlineStr">
        <is>
          <t>-6.86%</t>
        </is>
      </c>
      <c r="K44" s="16">
        <f>X43</f>
        <v/>
      </c>
      <c r="L44" s="13" t="inlineStr">
        <is>
          <t>2024-01-12</t>
        </is>
      </c>
      <c r="M44" s="13" t="inlineStr">
        <is>
          <t>2024-01-31</t>
        </is>
      </c>
      <c r="N44" s="13" t="inlineStr">
        <is>
          <t>2024-01-24</t>
        </is>
      </c>
      <c r="O44" s="9" t="n">
        <v>8046</v>
      </c>
      <c r="P44" s="17" t="n">
        <v>87.71408843994141</v>
      </c>
      <c r="Q44" s="17" t="n">
        <v>84.1199951171875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Q2 2025-26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-0.37%</t>
        </is>
      </c>
      <c r="J45" s="13" t="inlineStr">
        <is>
          <t>-3.27%</t>
        </is>
      </c>
      <c r="K45" s="16">
        <f>X44</f>
        <v/>
      </c>
      <c r="L45" s="13" t="inlineStr">
        <is>
          <t>2024-01-19</t>
        </is>
      </c>
      <c r="M45" s="13" t="inlineStr">
        <is>
          <t>2024-02-05</t>
        </is>
      </c>
      <c r="N45" s="13" t="inlineStr">
        <is>
          <t>2024-02-03</t>
        </is>
      </c>
      <c r="O45" s="9" t="n">
        <v>748</v>
      </c>
      <c r="P45" s="17" t="n">
        <v>889.9821166992188</v>
      </c>
      <c r="Q45" s="17" t="n">
        <v>886.670654296875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Q2 2025-26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2.07%</t>
        </is>
      </c>
      <c r="J46" s="13" t="inlineStr">
        <is>
          <t>2.94%</t>
        </is>
      </c>
      <c r="K46" s="16">
        <f>X45</f>
        <v/>
      </c>
      <c r="L46" s="13" t="inlineStr">
        <is>
          <t>2024-01-16</t>
        </is>
      </c>
      <c r="M46" s="13" t="inlineStr">
        <is>
          <t>2024-01-30</t>
        </is>
      </c>
      <c r="N46" s="13" t="inlineStr">
        <is>
          <t>2024-01-23</t>
        </is>
      </c>
      <c r="O46" s="9" t="n">
        <v>1201</v>
      </c>
      <c r="P46" s="17" t="n">
        <v>449.199951171875</v>
      </c>
      <c r="Q46" s="17" t="n">
        <v>458.4837951660156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Q2 2025-26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2.13%</t>
        </is>
      </c>
      <c r="J47" s="13" t="inlineStr">
        <is>
          <t>3.19%</t>
        </is>
      </c>
      <c r="K47" s="16">
        <f>X46</f>
        <v/>
      </c>
      <c r="L47" s="13" t="inlineStr">
        <is>
          <t>2023-11-02</t>
        </is>
      </c>
      <c r="M47" s="13" t="inlineStr">
        <is>
          <t>2023-11-06</t>
        </is>
      </c>
      <c r="N47" s="13" t="inlineStr">
        <is>
          <t>2023-11-03</t>
        </is>
      </c>
      <c r="O47" s="9" t="n">
        <v>563</v>
      </c>
      <c r="P47" s="17" t="n">
        <v>1147.590942382812</v>
      </c>
      <c r="Q47" s="17" t="n">
        <v>1172.587036132812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Q2 2025-26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-3.22%</t>
        </is>
      </c>
      <c r="J48" s="13" t="inlineStr">
        <is>
          <t>-3.28%</t>
        </is>
      </c>
      <c r="K48" s="16">
        <f>X47</f>
        <v/>
      </c>
      <c r="L48" s="13" t="inlineStr">
        <is>
          <t>2024-07-23</t>
        </is>
      </c>
      <c r="M48" s="13" t="inlineStr">
        <is>
          <t>2024-08-01</t>
        </is>
      </c>
      <c r="N48" s="13" t="inlineStr">
        <is>
          <t>2024-07-26</t>
        </is>
      </c>
      <c r="O48" s="9" t="n">
        <v>650</v>
      </c>
      <c r="P48" s="17" t="n">
        <v>1502.895385742188</v>
      </c>
      <c r="Q48" s="17" t="n">
        <v>1455.948120117188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Q2 2025-26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6.78%</t>
        </is>
      </c>
      <c r="J49" s="13" t="inlineStr">
        <is>
          <t>5.82%</t>
        </is>
      </c>
      <c r="K49" s="16">
        <f>X48</f>
        <v/>
      </c>
      <c r="L49" s="13" t="inlineStr">
        <is>
          <t>2024-07-22</t>
        </is>
      </c>
      <c r="M49" s="13" t="inlineStr">
        <is>
          <t>2024-08-02</t>
        </is>
      </c>
      <c r="N49" s="13" t="inlineStr">
        <is>
          <t>2024-07-31</t>
        </is>
      </c>
      <c r="O49" s="9" t="n">
        <v>2100</v>
      </c>
      <c r="P49" s="17" t="n">
        <v>431.8704528808594</v>
      </c>
      <c r="Q49" s="17" t="n">
        <v>461.1482849121094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Q2 2025-26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-7.42%</t>
        </is>
      </c>
      <c r="J50" s="13" t="inlineStr">
        <is>
          <t>-1.41%</t>
        </is>
      </c>
      <c r="K50" s="16">
        <f>X49</f>
        <v/>
      </c>
      <c r="L50" s="13" t="inlineStr">
        <is>
          <t>2024-01-23</t>
        </is>
      </c>
      <c r="M50" s="13" t="inlineStr">
        <is>
          <t>2024-02-01</t>
        </is>
      </c>
      <c r="N50" s="13" t="inlineStr">
        <is>
          <t>2024-01-31</t>
        </is>
      </c>
      <c r="O50" s="9" t="n">
        <v>713</v>
      </c>
      <c r="P50" s="17" t="n">
        <v>896.2561645507812</v>
      </c>
      <c r="Q50" s="17" t="n">
        <v>834.3623657226562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Q2 2025-26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-2.66%</t>
        </is>
      </c>
      <c r="J51" s="13" t="inlineStr">
        <is>
          <t>-4.25%</t>
        </is>
      </c>
      <c r="K51" s="16">
        <f>X50</f>
        <v/>
      </c>
      <c r="L51" s="13" t="inlineStr">
        <is>
          <t>2024-01-19</t>
        </is>
      </c>
      <c r="M51" s="13" t="inlineStr">
        <is>
          <t>2024-01-30</t>
        </is>
      </c>
      <c r="N51" s="13" t="inlineStr">
        <is>
          <t>2024-01-22</t>
        </is>
      </c>
      <c r="O51" s="9" t="n">
        <v>572</v>
      </c>
      <c r="P51" s="17" t="n">
        <v>1252.272338867188</v>
      </c>
      <c r="Q51" s="17" t="n">
        <v>1218.981201171875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Q2 2025-26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0.14%</t>
        </is>
      </c>
      <c r="J52" s="13" t="inlineStr">
        <is>
          <t>0.15%</t>
        </is>
      </c>
      <c r="K52" s="16">
        <f>X51</f>
        <v/>
      </c>
      <c r="L52" s="13" t="inlineStr">
        <is>
          <t>2024-01-15</t>
        </is>
      </c>
      <c r="M52" s="13" t="inlineStr">
        <is>
          <t>2024-01-30</t>
        </is>
      </c>
      <c r="N52" s="13" t="inlineStr">
        <is>
          <t>2024-01-22</t>
        </is>
      </c>
      <c r="O52" s="9" t="n">
        <v>479</v>
      </c>
      <c r="P52" s="17" t="n">
        <v>2354.983642578125</v>
      </c>
      <c r="Q52" s="17" t="n">
        <v>2358.39306640625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Q2 2025-26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0.19%</t>
        </is>
      </c>
      <c r="J53" s="13" t="inlineStr">
        <is>
          <t>-2.88%</t>
        </is>
      </c>
      <c r="K53" s="16">
        <f>X52</f>
        <v/>
      </c>
      <c r="L53" s="13" t="inlineStr">
        <is>
          <t>2024-01-19</t>
        </is>
      </c>
      <c r="M53" s="13" t="inlineStr">
        <is>
          <t>2024-01-29</t>
        </is>
      </c>
      <c r="N53" s="13" t="inlineStr">
        <is>
          <t>2024-01-25</t>
        </is>
      </c>
      <c r="O53" s="9" t="n">
        <v>1904</v>
      </c>
      <c r="P53" s="17" t="n">
        <v>830.4617919921875</v>
      </c>
      <c r="Q53" s="17" t="n">
        <v>832.0574340820312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Q2 2025-26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1.39%</t>
        </is>
      </c>
      <c r="J54" s="13" t="inlineStr">
        <is>
          <t>3.2%</t>
        </is>
      </c>
      <c r="K54" s="16">
        <f>X53</f>
        <v/>
      </c>
      <c r="L54" s="13" t="inlineStr">
        <is>
          <t>2024-02-08</t>
        </is>
      </c>
      <c r="M54" s="13" t="inlineStr">
        <is>
          <t>2024-02-15</t>
        </is>
      </c>
      <c r="N54" s="13" t="inlineStr">
        <is>
          <t>2024-02-14</t>
        </is>
      </c>
      <c r="O54" s="9" t="n">
        <v>3841</v>
      </c>
      <c r="P54" s="17" t="n">
        <v>275.4197387695312</v>
      </c>
      <c r="Q54" s="17" t="n">
        <v>279.309814453125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Q2 2025-26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-10.97%</t>
        </is>
      </c>
      <c r="J55" s="13" t="inlineStr">
        <is>
          <t>-11.76%</t>
        </is>
      </c>
      <c r="K55" s="16">
        <f>X54</f>
        <v/>
      </c>
      <c r="L55" s="13" t="inlineStr">
        <is>
          <t>2024-02-02</t>
        </is>
      </c>
      <c r="M55" s="13" t="inlineStr">
        <is>
          <t>2024-02-14</t>
        </is>
      </c>
      <c r="N55" s="13" t="inlineStr">
        <is>
          <t>2024-02-08</t>
        </is>
      </c>
      <c r="O55" s="9" t="n">
        <v>185</v>
      </c>
      <c r="P55" s="17" t="n">
        <v>2460.671875</v>
      </c>
      <c r="Q55" s="17" t="n">
        <v>2217.398193359375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Q2 2025-26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5.64%</t>
        </is>
      </c>
      <c r="J56" s="13" t="inlineStr">
        <is>
          <t>4.14%</t>
        </is>
      </c>
      <c r="K56" s="16">
        <f>X55</f>
        <v/>
      </c>
      <c r="L56" s="13" t="inlineStr">
        <is>
          <t>2024-01-23</t>
        </is>
      </c>
      <c r="M56" s="13" t="inlineStr">
        <is>
          <t>2024-02-01</t>
        </is>
      </c>
      <c r="N56" s="13" t="inlineStr">
        <is>
          <t>2024-01-31</t>
        </is>
      </c>
      <c r="O56" s="9" t="n">
        <v>2346</v>
      </c>
      <c r="P56" s="17" t="n">
        <v>505.4508972167969</v>
      </c>
      <c r="Q56" s="17" t="n">
        <v>533.9596557617188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Q2 2025-26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-1.46%</t>
        </is>
      </c>
      <c r="J57" s="13" t="inlineStr">
        <is>
          <t>-6.35%</t>
        </is>
      </c>
      <c r="K57" s="16">
        <f>X56</f>
        <v/>
      </c>
      <c r="L57" s="13" t="inlineStr">
        <is>
          <t>2024-01-31</t>
        </is>
      </c>
      <c r="M57" s="13" t="inlineStr">
        <is>
          <t>2024-02-05</t>
        </is>
      </c>
      <c r="N57" s="13" t="inlineStr">
        <is>
          <t>2024-02-02</t>
        </is>
      </c>
      <c r="O57" s="9" t="n">
        <v>2135</v>
      </c>
      <c r="P57" s="17" t="n">
        <v>456</v>
      </c>
      <c r="Q57" s="17" t="n">
        <v>449.4500122070313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Q2 2025-26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1.1%</t>
        </is>
      </c>
      <c r="J58" s="13" t="inlineStr">
        <is>
          <t>-3.57%</t>
        </is>
      </c>
      <c r="K58" s="16">
        <f>X57</f>
        <v/>
      </c>
      <c r="L58" s="13" t="inlineStr">
        <is>
          <t>2024-02-02</t>
        </is>
      </c>
      <c r="M58" s="13" t="inlineStr">
        <is>
          <t>2024-02-12</t>
        </is>
      </c>
      <c r="N58" s="13" t="inlineStr">
        <is>
          <t>2024-02-10</t>
        </is>
      </c>
      <c r="O58" s="9" t="n">
        <v>200</v>
      </c>
      <c r="P58" s="17" t="n">
        <v>3645.13525390625</v>
      </c>
      <c r="Q58" s="17" t="n">
        <v>3685.28759765625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Q2 2025-26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2.84%</t>
        </is>
      </c>
      <c r="J59" s="13" t="inlineStr">
        <is>
          <t>-0.54%</t>
        </is>
      </c>
      <c r="K59" s="16">
        <f>X58</f>
        <v/>
      </c>
      <c r="L59" s="13" t="inlineStr">
        <is>
          <t>2024-01-18</t>
        </is>
      </c>
      <c r="M59" s="13" t="inlineStr">
        <is>
          <t>2024-02-01</t>
        </is>
      </c>
      <c r="N59" s="13" t="inlineStr">
        <is>
          <t>2024-01-31</t>
        </is>
      </c>
      <c r="O59" s="9" t="n">
        <v>100</v>
      </c>
      <c r="P59" s="17" t="n">
        <v>6119.48779296875</v>
      </c>
      <c r="Q59" s="17" t="n">
        <v>6298.044921875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Q2 2025-26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2.17%</t>
        </is>
      </c>
      <c r="J60" s="13" t="inlineStr">
        <is>
          <t>0.64%</t>
        </is>
      </c>
      <c r="K60" s="16">
        <f>X59</f>
        <v/>
      </c>
      <c r="L60" s="13" t="inlineStr">
        <is>
          <t>2024-01-18</t>
        </is>
      </c>
      <c r="M60" s="13" t="inlineStr">
        <is>
          <t>2024-01-25</t>
        </is>
      </c>
      <c r="N60" s="13" t="inlineStr">
        <is>
          <t>2024-01-24</t>
        </is>
      </c>
      <c r="O60" s="9" t="n">
        <v>1527</v>
      </c>
      <c r="P60" s="17" t="n">
        <v>739.576171875</v>
      </c>
      <c r="Q60" s="17" t="n">
        <v>755.9537963867188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Q2 2025-26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-0.95%</t>
        </is>
      </c>
      <c r="J61" s="13" t="inlineStr">
        <is>
          <t>-3.87%</t>
        </is>
      </c>
      <c r="K61" s="16">
        <f>X60</f>
        <v/>
      </c>
      <c r="L61" s="13" t="inlineStr">
        <is>
          <t>2024-01-10</t>
        </is>
      </c>
      <c r="M61" s="13" t="inlineStr">
        <is>
          <t>2024-01-15</t>
        </is>
      </c>
      <c r="N61" s="13" t="inlineStr">
        <is>
          <t>2024-01-13</t>
        </is>
      </c>
      <c r="O61" s="9" t="n">
        <v>258</v>
      </c>
      <c r="P61" s="17" t="n">
        <v>3858.25</v>
      </c>
      <c r="Q61" s="17" t="n">
        <v>3822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Q2 2025-26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-2.05%</t>
        </is>
      </c>
      <c r="J62" s="13" t="inlineStr">
        <is>
          <t>-2.78%</t>
        </is>
      </c>
      <c r="K62" s="16">
        <f>X61</f>
        <v/>
      </c>
      <c r="L62" s="13" t="inlineStr">
        <is>
          <t>2024-07-18</t>
        </is>
      </c>
      <c r="M62" s="13" t="inlineStr">
        <is>
          <t>2024-07-30</t>
        </is>
      </c>
      <c r="N62" s="13" t="inlineStr">
        <is>
          <t>2024-07-27</t>
        </is>
      </c>
      <c r="O62" s="9" t="n">
        <v>125</v>
      </c>
      <c r="P62" s="17" t="n">
        <v>1343.732299804688</v>
      </c>
      <c r="Q62" s="17" t="n">
        <v>1316.745727539062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Q2 2025-26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-1.81%</t>
        </is>
      </c>
      <c r="J63" s="13" t="inlineStr">
        <is>
          <t>-4.11%</t>
        </is>
      </c>
      <c r="K63" s="16">
        <f>X62</f>
        <v/>
      </c>
      <c r="L63" s="13" t="inlineStr">
        <is>
          <t>2024-07-30</t>
        </is>
      </c>
      <c r="M63" s="13" t="inlineStr">
        <is>
          <t>2024-08-12</t>
        </is>
      </c>
      <c r="N63" s="13" t="inlineStr">
        <is>
          <t>2024-08-08</t>
        </is>
      </c>
      <c r="O63" s="9" t="n">
        <v>175</v>
      </c>
      <c r="P63" s="17" t="n">
        <v>4834.89306640625</v>
      </c>
      <c r="Q63" s="17" t="n">
        <v>4747.24462890625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Q2 2025-26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8.79%</t>
        </is>
      </c>
      <c r="J64" s="13" t="inlineStr">
        <is>
          <t>2.96%</t>
        </is>
      </c>
      <c r="K64" s="16">
        <f>X63</f>
        <v/>
      </c>
      <c r="L64" s="13" t="inlineStr">
        <is>
          <t>2024-02-06</t>
        </is>
      </c>
      <c r="M64" s="13" t="inlineStr">
        <is>
          <t>2024-02-14</t>
        </is>
      </c>
      <c r="N64" s="13" t="inlineStr">
        <is>
          <t>2024-02-08</t>
        </is>
      </c>
      <c r="O64" s="9" t="n">
        <v>3399</v>
      </c>
      <c r="P64" s="17" t="n">
        <v>139.9499969482422</v>
      </c>
      <c r="Q64" s="17" t="n">
        <v>152.25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Q2 2025-26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-2.96%</t>
        </is>
      </c>
      <c r="J65" s="13" t="inlineStr">
        <is>
          <t>-4.94%</t>
        </is>
      </c>
      <c r="K65" s="16">
        <f>X64</f>
        <v/>
      </c>
      <c r="L65" s="13" t="inlineStr">
        <is>
          <t>2024-01-11</t>
        </is>
      </c>
      <c r="M65" s="13" t="inlineStr">
        <is>
          <t>2024-01-17</t>
        </is>
      </c>
      <c r="N65" s="13" t="inlineStr">
        <is>
          <t>2024-01-16</t>
        </is>
      </c>
      <c r="O65" s="9" t="n">
        <v>2823</v>
      </c>
      <c r="P65" s="17" t="n">
        <v>148.5632934570312</v>
      </c>
      <c r="Q65" s="17" t="n">
        <v>144.1661529541016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Q2 2025-26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-2.86%</t>
        </is>
      </c>
      <c r="J66" s="13" t="inlineStr">
        <is>
          <t>-5.27%</t>
        </is>
      </c>
      <c r="K66" s="16">
        <f>X65</f>
        <v/>
      </c>
      <c r="L66" s="13" t="inlineStr">
        <is>
          <t>2026-04-28</t>
        </is>
      </c>
      <c r="M66" s="13" t="inlineStr">
        <is>
          <t>2026-05-06</t>
        </is>
      </c>
      <c r="N66" s="13" t="inlineStr">
        <is>
          <t>2026-04-29</t>
        </is>
      </c>
      <c r="O66" s="9" t="n">
        <v>100</v>
      </c>
      <c r="P66" s="17" t="n">
        <v>20767</v>
      </c>
      <c r="Q66" s="17" t="n">
        <v>20173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Q2 2025-26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0.76%</t>
        </is>
      </c>
      <c r="J67" s="13" t="inlineStr">
        <is>
          <t>0.21%</t>
        </is>
      </c>
      <c r="K67" s="16">
        <f>X66</f>
        <v/>
      </c>
      <c r="L67" s="13" t="inlineStr">
        <is>
          <t>2024-01-31</t>
        </is>
      </c>
      <c r="M67" s="13" t="inlineStr">
        <is>
          <t>2024-02-13</t>
        </is>
      </c>
      <c r="N67" s="13" t="inlineStr">
        <is>
          <t>2024-02-07</t>
        </is>
      </c>
      <c r="O67" s="9" t="n">
        <v>1053</v>
      </c>
      <c r="P67" s="17" t="n">
        <v>430.0481567382813</v>
      </c>
      <c r="Q67" s="17" t="n">
        <v>433.3340148925781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Q2 2025-26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0.2%</t>
        </is>
      </c>
      <c r="J68" s="13" t="inlineStr">
        <is>
          <t>-2.26%</t>
        </is>
      </c>
      <c r="K68" s="16">
        <f>X67</f>
        <v/>
      </c>
      <c r="L68" s="13" t="inlineStr">
        <is>
          <t>2024-05-14</t>
        </is>
      </c>
      <c r="M68" s="13" t="inlineStr">
        <is>
          <t>2024-05-23</t>
        </is>
      </c>
      <c r="N68" s="13" t="inlineStr">
        <is>
          <t>2024-05-16</t>
        </is>
      </c>
      <c r="O68" s="9" t="n">
        <v>5759</v>
      </c>
      <c r="P68" s="17" t="n">
        <v>185.8628845214844</v>
      </c>
      <c r="Q68" s="17" t="n">
        <v>186.2344970703125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Q2 2025-26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7.55%</t>
        </is>
      </c>
      <c r="J69" s="13" t="inlineStr">
        <is>
          <t>3.19%</t>
        </is>
      </c>
      <c r="K69" s="16">
        <f>X68</f>
        <v/>
      </c>
      <c r="L69" s="13" t="inlineStr">
        <is>
          <t>2024-02-12</t>
        </is>
      </c>
      <c r="M69" s="13" t="inlineStr">
        <is>
          <t>2024-02-20</t>
        </is>
      </c>
      <c r="N69" s="13" t="inlineStr">
        <is>
          <t>2024-02-14</t>
        </is>
      </c>
      <c r="O69" s="9" t="n">
        <v>456</v>
      </c>
      <c r="P69" s="17" t="n">
        <v>828.1795654296875</v>
      </c>
      <c r="Q69" s="17" t="n">
        <v>890.6864624023438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Q2 2025-26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-15.23%</t>
        </is>
      </c>
      <c r="J70" s="13" t="inlineStr">
        <is>
          <t>-14.0%</t>
        </is>
      </c>
      <c r="K70" s="16">
        <f>X69</f>
        <v/>
      </c>
      <c r="L70" s="13" t="inlineStr">
        <is>
          <t>2024-01-30</t>
        </is>
      </c>
      <c r="M70" s="13" t="inlineStr">
        <is>
          <t>2024-02-07</t>
        </is>
      </c>
      <c r="N70" s="13" t="inlineStr">
        <is>
          <t>2024-02-01</t>
        </is>
      </c>
      <c r="O70" s="9" t="n">
        <v>9623</v>
      </c>
      <c r="P70" s="17" t="n">
        <v>90.8000030517578</v>
      </c>
      <c r="Q70" s="17" t="n">
        <v>78.80000305175781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Q2 2025-26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16.17%</t>
        </is>
      </c>
      <c r="J71" s="13" t="inlineStr">
        <is>
          <t>12.99%</t>
        </is>
      </c>
      <c r="K71" s="16">
        <f>X70</f>
        <v/>
      </c>
      <c r="L71" s="13" t="inlineStr">
        <is>
          <t>2024-01-23</t>
        </is>
      </c>
      <c r="M71" s="13" t="inlineStr">
        <is>
          <t>2024-02-02</t>
        </is>
      </c>
      <c r="N71" s="13" t="inlineStr">
        <is>
          <t>2024-01-29</t>
        </is>
      </c>
      <c r="O71" s="9" t="n">
        <v>469</v>
      </c>
      <c r="P71" s="17" t="n">
        <v>710.5723876953125</v>
      </c>
      <c r="Q71" s="17" t="n">
        <v>825.4456787109375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Q2 2025-26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10.98%</t>
        </is>
      </c>
      <c r="J72" s="13" t="inlineStr">
        <is>
          <t>8.33%</t>
        </is>
      </c>
      <c r="K72" s="16">
        <f>X71</f>
        <v/>
      </c>
      <c r="L72" s="13" t="inlineStr">
        <is>
          <t>2024-01-23</t>
        </is>
      </c>
      <c r="M72" s="13" t="inlineStr">
        <is>
          <t>2024-02-01</t>
        </is>
      </c>
      <c r="N72" s="13" t="inlineStr">
        <is>
          <t>2024-01-31</t>
        </is>
      </c>
      <c r="O72" s="9" t="n">
        <v>932</v>
      </c>
      <c r="P72" s="17" t="n">
        <v>1085.057861328125</v>
      </c>
      <c r="Q72" s="17" t="n">
        <v>1204.227905273438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Q2 2025-26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1.39%</t>
        </is>
      </c>
      <c r="J73" s="13" t="inlineStr">
        <is>
          <t>3.71%</t>
        </is>
      </c>
      <c r="K73" s="16">
        <f>X72</f>
        <v/>
      </c>
      <c r="L73" s="13" t="inlineStr">
        <is>
          <t>2024-01-25</t>
        </is>
      </c>
      <c r="M73" s="13" t="inlineStr">
        <is>
          <t>2024-02-07</t>
        </is>
      </c>
      <c r="N73" s="13" t="inlineStr">
        <is>
          <t>2024-02-06</t>
        </is>
      </c>
      <c r="O73" s="9" t="n">
        <v>473</v>
      </c>
      <c r="P73" s="17" t="n">
        <v>2283.56201171875</v>
      </c>
      <c r="Q73" s="17" t="n">
        <v>2315.70654296875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Q2 2025-26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0.07%</t>
        </is>
      </c>
      <c r="J74" s="13" t="inlineStr">
        <is>
          <t>0.11%</t>
        </is>
      </c>
      <c r="K74" s="16">
        <f>X73</f>
        <v/>
      </c>
      <c r="L74" s="13" t="inlineStr">
        <is>
          <t>2024-08-05</t>
        </is>
      </c>
      <c r="M74" s="13" t="inlineStr">
        <is>
          <t>2024-08-16</t>
        </is>
      </c>
      <c r="N74" s="13" t="inlineStr">
        <is>
          <t>2024-08-09</t>
        </is>
      </c>
      <c r="O74" s="9" t="n">
        <v>250</v>
      </c>
      <c r="P74" s="17" t="n">
        <v>2590.9248046875</v>
      </c>
      <c r="Q74" s="17" t="n">
        <v>2592.81787109375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Q2 2025-26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20.91%</t>
        </is>
      </c>
      <c r="J75" s="13" t="inlineStr">
        <is>
          <t>14.8%</t>
        </is>
      </c>
      <c r="K75" s="16">
        <f>X74</f>
        <v/>
      </c>
      <c r="L75" s="13" t="inlineStr">
        <is>
          <t>2024-01-31</t>
        </is>
      </c>
      <c r="M75" s="13" t="inlineStr">
        <is>
          <t>2024-02-09</t>
        </is>
      </c>
      <c r="N75" s="13" t="inlineStr">
        <is>
          <t>2024-02-05</t>
        </is>
      </c>
      <c r="O75" s="9" t="n">
        <v>237</v>
      </c>
      <c r="P75" s="17" t="n">
        <v>679.8425903320312</v>
      </c>
      <c r="Q75" s="17" t="n">
        <v>822.0122680664062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Q2 2025-26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4.07%</t>
        </is>
      </c>
      <c r="J76" s="13" t="inlineStr">
        <is>
          <t>0.82%</t>
        </is>
      </c>
      <c r="K76" s="16">
        <f>X75</f>
        <v/>
      </c>
      <c r="L76" s="13" t="inlineStr">
        <is>
          <t>2024-02-06</t>
        </is>
      </c>
      <c r="M76" s="13" t="inlineStr">
        <is>
          <t>2024-02-16</t>
        </is>
      </c>
      <c r="N76" s="13" t="inlineStr">
        <is>
          <t>2024-02-12</t>
        </is>
      </c>
      <c r="O76" s="9" t="n">
        <v>218</v>
      </c>
      <c r="P76" s="17" t="n">
        <v>2874.14208984375</v>
      </c>
      <c r="Q76" s="17" t="n">
        <v>2991.062255859375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Q2 2025-26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9.5%</t>
        </is>
      </c>
      <c r="J77" s="13" t="inlineStr">
        <is>
          <t>4.95%</t>
        </is>
      </c>
      <c r="K77" s="16">
        <f>X76</f>
        <v/>
      </c>
      <c r="L77" s="13" t="inlineStr">
        <is>
          <t>2024-01-16</t>
        </is>
      </c>
      <c r="M77" s="13" t="inlineStr">
        <is>
          <t>2024-01-31</t>
        </is>
      </c>
      <c r="N77" s="13" t="inlineStr">
        <is>
          <t>2024-01-24</t>
        </is>
      </c>
      <c r="O77" s="9" t="n">
        <v>792</v>
      </c>
      <c r="P77" s="17" t="n">
        <v>1268.82666015625</v>
      </c>
      <c r="Q77" s="17" t="n">
        <v>1401.943603515625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Q2 2025-26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3.99%</t>
        </is>
      </c>
      <c r="J78" s="13" t="inlineStr">
        <is>
          <t>3.65%</t>
        </is>
      </c>
      <c r="K78" s="16">
        <f>X77</f>
        <v/>
      </c>
      <c r="L78" s="13" t="inlineStr">
        <is>
          <t>2024-07-08</t>
        </is>
      </c>
      <c r="M78" s="13" t="inlineStr">
        <is>
          <t>2024-07-19</t>
        </is>
      </c>
      <c r="N78" s="13" t="inlineStr">
        <is>
          <t>2024-07-12</t>
        </is>
      </c>
      <c r="O78" s="9" t="n">
        <v>350</v>
      </c>
      <c r="P78" s="17" t="n">
        <v>1418.807983398438</v>
      </c>
      <c r="Q78" s="17" t="n">
        <v>1475.388427734375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Q2 2025-26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-4.58%</t>
        </is>
      </c>
      <c r="J79" s="13" t="inlineStr">
        <is>
          <t>-2.29%</t>
        </is>
      </c>
      <c r="K79" s="16">
        <f>X78</f>
        <v/>
      </c>
      <c r="L79" s="13" t="inlineStr">
        <is>
          <t>2024-01-05</t>
        </is>
      </c>
      <c r="M79" s="13" t="inlineStr">
        <is>
          <t>2024-01-12</t>
        </is>
      </c>
      <c r="N79" s="13" t="inlineStr">
        <is>
          <t>2024-01-11</t>
        </is>
      </c>
      <c r="O79" s="9" t="n">
        <v>392</v>
      </c>
      <c r="P79" s="17" t="n">
        <v>1630.330932617188</v>
      </c>
      <c r="Q79" s="17" t="n">
        <v>1559.001708984375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Q2 2025-26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-0.49%</t>
        </is>
      </c>
      <c r="J80" s="13" t="inlineStr">
        <is>
          <t>-0.73%</t>
        </is>
      </c>
      <c r="K80" s="16">
        <f>X79</f>
        <v/>
      </c>
      <c r="L80" s="13" t="inlineStr">
        <is>
          <t>2024-07-10</t>
        </is>
      </c>
      <c r="M80" s="13" t="inlineStr">
        <is>
          <t>2024-07-26</t>
        </is>
      </c>
      <c r="N80" s="13" t="inlineStr">
        <is>
          <t>2024-07-21</t>
        </is>
      </c>
      <c r="O80" s="9" t="n">
        <v>550</v>
      </c>
      <c r="P80" s="17" t="n">
        <v>789.1543579101562</v>
      </c>
      <c r="Q80" s="17" t="n">
        <v>785.2962646484375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Q2 2025-26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5.76%</t>
        </is>
      </c>
      <c r="J81" s="13" t="inlineStr">
        <is>
          <t>5.05%</t>
        </is>
      </c>
      <c r="K81" s="16">
        <f>X80</f>
        <v/>
      </c>
      <c r="L81" s="13" t="inlineStr">
        <is>
          <t>2024-01-10</t>
        </is>
      </c>
      <c r="M81" s="13" t="inlineStr">
        <is>
          <t>2024-01-18</t>
        </is>
      </c>
      <c r="N81" s="13" t="inlineStr">
        <is>
          <t>2024-01-12</t>
        </is>
      </c>
      <c r="O81" s="9" t="n">
        <v>1100</v>
      </c>
      <c r="P81" s="17" t="n">
        <v>601.9249267578125</v>
      </c>
      <c r="Q81" s="17" t="n">
        <v>638.7158813476562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Q2 2025-26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1.49%</t>
        </is>
      </c>
      <c r="J82" s="13" t="inlineStr">
        <is>
          <t>0.2%</t>
        </is>
      </c>
      <c r="K82" s="16">
        <f>X81</f>
        <v/>
      </c>
      <c r="L82" s="13" t="inlineStr">
        <is>
          <t>2024-08-09</t>
        </is>
      </c>
      <c r="M82" s="13" t="inlineStr">
        <is>
          <t>2024-08-21</t>
        </is>
      </c>
      <c r="N82" s="13" t="inlineStr">
        <is>
          <t>2024-08-13</t>
        </is>
      </c>
      <c r="O82" s="9" t="n">
        <v>150</v>
      </c>
      <c r="P82" s="17" t="n">
        <v>4908.408203125</v>
      </c>
      <c r="Q82" s="17" t="n">
        <v>4981.46142578125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Q2 2025-26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-1.81%</t>
        </is>
      </c>
      <c r="J83" s="13" t="inlineStr">
        <is>
          <t>-1.67%</t>
        </is>
      </c>
      <c r="K83" s="16">
        <f>X82</f>
        <v/>
      </c>
      <c r="L83" s="13" t="inlineStr">
        <is>
          <t>2024-08-09</t>
        </is>
      </c>
      <c r="M83" s="13" t="inlineStr">
        <is>
          <t>2024-08-16</t>
        </is>
      </c>
      <c r="N83" s="13" t="inlineStr">
        <is>
          <t>2024-08-13</t>
        </is>
      </c>
      <c r="O83" s="9" t="n">
        <v>1400</v>
      </c>
      <c r="P83" s="17" t="n">
        <v>626.2662353515625</v>
      </c>
      <c r="Q83" s="17" t="n">
        <v>615.1561279296875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Q2 2025-26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-2.93%</t>
        </is>
      </c>
      <c r="J84" s="13" t="inlineStr">
        <is>
          <t>-4.28%</t>
        </is>
      </c>
      <c r="K84" s="16">
        <f>X83</f>
        <v/>
      </c>
      <c r="L84" s="13" t="inlineStr">
        <is>
          <t>2024-01-24</t>
        </is>
      </c>
      <c r="M84" s="13" t="inlineStr">
        <is>
          <t>2024-02-01</t>
        </is>
      </c>
      <c r="N84" s="13" t="inlineStr">
        <is>
          <t>2024-01-25</t>
        </is>
      </c>
      <c r="O84" s="9" t="n">
        <v>2574</v>
      </c>
      <c r="P84" s="17" t="n">
        <v>282.8688354492188</v>
      </c>
      <c r="Q84" s="17" t="n">
        <v>274.8224792480469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Q2 2025-26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-2.64%</t>
        </is>
      </c>
      <c r="J85" s="13" t="inlineStr">
        <is>
          <t>-2.53%</t>
        </is>
      </c>
      <c r="K85" s="16">
        <f>X84</f>
        <v/>
      </c>
      <c r="L85" s="13" t="inlineStr">
        <is>
          <t>2024-07-12</t>
        </is>
      </c>
      <c r="M85" s="13" t="inlineStr">
        <is>
          <t>2024-07-30</t>
        </is>
      </c>
      <c r="N85" s="13" t="inlineStr">
        <is>
          <t>2024-07-23</t>
        </is>
      </c>
      <c r="O85" s="9" t="n">
        <v>300</v>
      </c>
      <c r="P85" s="17" t="n">
        <v>2585.920166015625</v>
      </c>
      <c r="Q85" s="17" t="n">
        <v>2519.480224609375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Q2 2025-26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2.06%</t>
        </is>
      </c>
      <c r="J86" s="13" t="inlineStr">
        <is>
          <t>0.35%</t>
        </is>
      </c>
      <c r="K86" s="16">
        <f>X85</f>
        <v/>
      </c>
      <c r="L86" s="13" t="inlineStr">
        <is>
          <t>2024-01-16</t>
        </is>
      </c>
      <c r="M86" s="13" t="inlineStr">
        <is>
          <t>2024-01-29</t>
        </is>
      </c>
      <c r="N86" s="13" t="inlineStr">
        <is>
          <t>2024-01-19</t>
        </is>
      </c>
      <c r="O86" s="9" t="n">
        <v>1866</v>
      </c>
      <c r="P86" s="17" t="n">
        <v>286.3555908203125</v>
      </c>
      <c r="Q86" s="17" t="n">
        <v>292.37451171875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Q2 2025-26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3.17%</t>
        </is>
      </c>
      <c r="J87" s="13" t="inlineStr">
        <is>
          <t>-0.01%</t>
        </is>
      </c>
      <c r="K87" s="16">
        <f>X86</f>
        <v/>
      </c>
      <c r="L87" s="13" t="inlineStr">
        <is>
          <t>2025-07-23</t>
        </is>
      </c>
      <c r="M87" s="13" t="inlineStr">
        <is>
          <t>2025-07-28</t>
        </is>
      </c>
      <c r="N87" s="13" t="inlineStr">
        <is>
          <t>2025-07-25</t>
        </is>
      </c>
      <c r="O87" s="9" t="n">
        <v>495</v>
      </c>
      <c r="P87" s="17" t="n">
        <v>2030.335327148437</v>
      </c>
      <c r="Q87" s="17" t="n">
        <v>2096.791748046875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Q2 2025-26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-3.5%</t>
        </is>
      </c>
      <c r="J88" s="13" t="inlineStr">
        <is>
          <t>-5.96%</t>
        </is>
      </c>
      <c r="K88" s="16">
        <f>X87</f>
        <v/>
      </c>
      <c r="L88" s="13" t="inlineStr">
        <is>
          <t>2024-07-16</t>
        </is>
      </c>
      <c r="M88" s="13" t="inlineStr">
        <is>
          <t>2024-08-02</t>
        </is>
      </c>
      <c r="N88" s="13" t="inlineStr">
        <is>
          <t>2024-07-27</t>
        </is>
      </c>
      <c r="O88" s="9" t="n">
        <v>700</v>
      </c>
      <c r="P88" s="17" t="n">
        <v>1219.904174804688</v>
      </c>
      <c r="Q88" s="17" t="n">
        <v>1177.253295898438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Q2 2025-26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-5.05%</t>
        </is>
      </c>
      <c r="J89" s="13" t="inlineStr">
        <is>
          <t>-7.07%</t>
        </is>
      </c>
      <c r="K89" s="16">
        <f>X88</f>
        <v/>
      </c>
      <c r="L89" s="13" t="inlineStr">
        <is>
          <t>2025-10-03</t>
        </is>
      </c>
      <c r="M89" s="13" t="inlineStr">
        <is>
          <t>2025-10-21</t>
        </is>
      </c>
      <c r="N89" s="13" t="inlineStr">
        <is>
          <t>2025-10-14</t>
        </is>
      </c>
      <c r="O89" s="9" t="n">
        <v>629</v>
      </c>
      <c r="P89" s="17" t="n">
        <v>2007</v>
      </c>
      <c r="Q89" s="17" t="n">
        <v>1910.6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Q2 2025-26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3.91%</t>
        </is>
      </c>
      <c r="J90" s="13" t="inlineStr">
        <is>
          <t>4.4%</t>
        </is>
      </c>
      <c r="K90" s="16">
        <f>X89</f>
        <v/>
      </c>
      <c r="L90" s="13" t="inlineStr">
        <is>
          <t>2026-01-02</t>
        </is>
      </c>
      <c r="M90" s="13" t="inlineStr">
        <is>
          <t>2026-01-20</t>
        </is>
      </c>
      <c r="N90" s="13" t="inlineStr">
        <is>
          <t>2026-01-13</t>
        </is>
      </c>
      <c r="O90" s="9" t="n">
        <v>1958</v>
      </c>
      <c r="P90" s="17" t="n">
        <v>649.5458374023438</v>
      </c>
      <c r="Q90" s="17" t="n">
        <v>675.9541625976562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Q2 2025-26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6.95%</t>
        </is>
      </c>
      <c r="J91" s="13" t="inlineStr">
        <is>
          <t>3.05%</t>
        </is>
      </c>
      <c r="K91" s="16">
        <f>X90</f>
        <v/>
      </c>
      <c r="L91" s="13" t="inlineStr">
        <is>
          <t>2024-01-18</t>
        </is>
      </c>
      <c r="M91" s="13" t="inlineStr">
        <is>
          <t>2024-02-02</t>
        </is>
      </c>
      <c r="N91" s="13" t="inlineStr">
        <is>
          <t>2024-01-29</t>
        </is>
      </c>
      <c r="O91" s="9" t="n">
        <v>77700</v>
      </c>
      <c r="P91" s="17" t="n">
        <v>14.05000019073486</v>
      </c>
      <c r="Q91" s="17" t="n">
        <v>15.10000038146973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Q2 2025-26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2.5%</t>
        </is>
      </c>
      <c r="J92" s="13" t="inlineStr">
        <is>
          <t>-2.17%</t>
        </is>
      </c>
      <c r="K92" s="16">
        <f>X91</f>
        <v/>
      </c>
      <c r="L92" s="13" t="inlineStr">
        <is>
          <t>2024-01-10</t>
        </is>
      </c>
      <c r="M92" s="13" t="inlineStr">
        <is>
          <t>2024-01-23</t>
        </is>
      </c>
      <c r="N92" s="13" t="inlineStr">
        <is>
          <t>2024-01-20</t>
        </is>
      </c>
      <c r="O92" s="9" t="n">
        <v>11798</v>
      </c>
      <c r="P92" s="17" t="n">
        <v>81.53314208984375</v>
      </c>
      <c r="Q92" s="17" t="n">
        <v>83.62628936767578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Q2 2025-26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2.67%</t>
        </is>
      </c>
      <c r="J93" s="13" t="inlineStr">
        <is>
          <t>0.86%</t>
        </is>
      </c>
      <c r="K93" s="16">
        <f>X92</f>
        <v/>
      </c>
      <c r="L93" s="13" t="inlineStr">
        <is>
          <t>2024-01-24</t>
        </is>
      </c>
      <c r="M93" s="13" t="inlineStr">
        <is>
          <t>2024-01-29</t>
        </is>
      </c>
      <c r="N93" s="13" t="inlineStr">
        <is>
          <t>2024-01-25</t>
        </is>
      </c>
      <c r="O93" s="9" t="n">
        <v>7610</v>
      </c>
      <c r="P93" s="17" t="n">
        <v>128.7700653076172</v>
      </c>
      <c r="Q93" s="17" t="n">
        <v>132.2057952880859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Q2 2025-26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6.47%</t>
        </is>
      </c>
      <c r="J94" s="13" t="inlineStr">
        <is>
          <t>3.51%</t>
        </is>
      </c>
      <c r="K94" s="16">
        <f>X93</f>
        <v/>
      </c>
      <c r="L94" s="13" t="inlineStr">
        <is>
          <t>2024-01-30</t>
        </is>
      </c>
      <c r="M94" s="13" t="inlineStr">
        <is>
          <t>2024-02-08</t>
        </is>
      </c>
      <c r="N94" s="13" t="inlineStr">
        <is>
          <t>2024-02-02</t>
        </is>
      </c>
      <c r="O94" s="9" t="n">
        <v>1334</v>
      </c>
      <c r="P94" s="17" t="n">
        <v>488.1053161621094</v>
      </c>
      <c r="Q94" s="17" t="n">
        <v>519.67578125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Q2 2025-26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12.47%</t>
        </is>
      </c>
      <c r="J95" s="13" t="inlineStr">
        <is>
          <t>6.16%</t>
        </is>
      </c>
      <c r="K95" s="16">
        <f>X94</f>
        <v/>
      </c>
      <c r="L95" s="13" t="inlineStr">
        <is>
          <t>2024-01-18</t>
        </is>
      </c>
      <c r="M95" s="13" t="inlineStr">
        <is>
          <t>2024-01-31</t>
        </is>
      </c>
      <c r="N95" s="13" t="inlineStr">
        <is>
          <t>2024-01-24</t>
        </is>
      </c>
      <c r="O95" s="9" t="n">
        <v>1208</v>
      </c>
      <c r="P95" s="17" t="n">
        <v>414.1045532226562</v>
      </c>
      <c r="Q95" s="17" t="n">
        <v>465.7334289550781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Q2 2025-26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8.91%</t>
        </is>
      </c>
      <c r="J96" s="13" t="inlineStr">
        <is>
          <t>9.47%</t>
        </is>
      </c>
      <c r="K96" s="16">
        <f>X95</f>
        <v/>
      </c>
      <c r="L96" s="13" t="inlineStr">
        <is>
          <t>2024-01-23</t>
        </is>
      </c>
      <c r="M96" s="13" t="inlineStr">
        <is>
          <t>2024-02-05</t>
        </is>
      </c>
      <c r="N96" s="13" t="inlineStr">
        <is>
          <t>2024-02-02</t>
        </is>
      </c>
      <c r="O96" s="9" t="n">
        <v>196</v>
      </c>
      <c r="P96" s="17" t="n">
        <v>2906.8876953125</v>
      </c>
      <c r="Q96" s="17" t="n">
        <v>3165.800048828125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Q2 2025-26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1.66%</t>
        </is>
      </c>
      <c r="J97" s="13" t="inlineStr">
        <is>
          <t>0.76%</t>
        </is>
      </c>
      <c r="K97" s="16">
        <f>X96</f>
        <v/>
      </c>
      <c r="L97" s="13" t="inlineStr">
        <is>
          <t>2024-07-24</t>
        </is>
      </c>
      <c r="M97" s="13" t="inlineStr">
        <is>
          <t>2024-08-01</t>
        </is>
      </c>
      <c r="N97" s="13" t="inlineStr">
        <is>
          <t>2024-07-26</t>
        </is>
      </c>
      <c r="O97" s="9" t="n">
        <v>500</v>
      </c>
      <c r="P97" s="17" t="n">
        <v>1394.391479492188</v>
      </c>
      <c r="Q97" s="17" t="n">
        <v>1417.553955078125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Q2 2025-26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-4.4%</t>
        </is>
      </c>
      <c r="J98" s="13" t="inlineStr">
        <is>
          <t>-6.66%</t>
        </is>
      </c>
      <c r="K98" s="16">
        <f>X97</f>
        <v/>
      </c>
      <c r="L98" s="13" t="inlineStr">
        <is>
          <t>2024-01-18</t>
        </is>
      </c>
      <c r="M98" s="13" t="inlineStr">
        <is>
          <t>2024-01-25</t>
        </is>
      </c>
      <c r="N98" s="13" t="inlineStr">
        <is>
          <t>2024-01-24</t>
        </is>
      </c>
      <c r="O98" s="9" t="n">
        <v>2545</v>
      </c>
      <c r="P98" s="17" t="n">
        <v>225.4499969482422</v>
      </c>
      <c r="Q98" s="17" t="n">
        <v>215.9499969482422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Q2 2025-26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-9.57%</t>
        </is>
      </c>
      <c r="J99" s="13" t="inlineStr">
        <is>
          <t>-10.41%</t>
        </is>
      </c>
      <c r="K99" s="16">
        <f>X98</f>
        <v/>
      </c>
      <c r="L99" s="13" t="inlineStr">
        <is>
          <t>2024-07-11</t>
        </is>
      </c>
      <c r="M99" s="13" t="inlineStr">
        <is>
          <t>2024-07-22</t>
        </is>
      </c>
      <c r="N99" s="13" t="inlineStr">
        <is>
          <t>2024-07-18</t>
        </is>
      </c>
      <c r="O99" s="9" t="n">
        <v>400</v>
      </c>
      <c r="P99" s="17" t="n">
        <v>1702.165161132812</v>
      </c>
      <c r="Q99" s="17" t="n">
        <v>1553.507202148438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Q2 2025-26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1.0%</t>
        </is>
      </c>
      <c r="J100" s="13" t="inlineStr">
        <is>
          <t>-4.35%</t>
        </is>
      </c>
      <c r="K100" s="16">
        <f>X99</f>
        <v/>
      </c>
      <c r="L100" s="13" t="inlineStr">
        <is>
          <t>2024-04-23</t>
        </is>
      </c>
      <c r="M100" s="13" t="inlineStr">
        <is>
          <t>2024-05-06</t>
        </is>
      </c>
      <c r="N100" s="13" t="inlineStr">
        <is>
          <t>2024-05-04</t>
        </is>
      </c>
      <c r="O100" s="9" t="n">
        <v>13336</v>
      </c>
      <c r="P100" s="17" t="n">
        <v>149.9250030517578</v>
      </c>
      <c r="Q100" s="17" t="n">
        <v>151.4250030517578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Q2 2025-26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-2.33%</t>
        </is>
      </c>
      <c r="J101" s="13" t="inlineStr">
        <is>
          <t>-4.45%</t>
        </is>
      </c>
      <c r="K101" s="16">
        <f>X100</f>
        <v/>
      </c>
      <c r="L101" s="13" t="inlineStr">
        <is>
          <t>2024-01-16</t>
        </is>
      </c>
      <c r="M101" s="13" t="inlineStr">
        <is>
          <t>2024-01-31</t>
        </is>
      </c>
      <c r="N101" s="13" t="inlineStr">
        <is>
          <t>2024-01-24</t>
        </is>
      </c>
      <c r="O101" s="9" t="n">
        <v>7145</v>
      </c>
      <c r="P101" s="17" t="n">
        <v>132.2930145263672</v>
      </c>
      <c r="Q101" s="17" t="n">
        <v>129.2771759033203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Q2 2025-26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-7.68%</t>
        </is>
      </c>
      <c r="J102" s="13" t="inlineStr">
        <is>
          <t>-28.05%</t>
        </is>
      </c>
      <c r="K102" s="16">
        <f>X101</f>
        <v/>
      </c>
      <c r="L102" s="13" t="inlineStr">
        <is>
          <t>2025-07-15</t>
        </is>
      </c>
      <c r="M102" s="13" t="inlineStr">
        <is>
          <t>2025-07-31</t>
        </is>
      </c>
      <c r="N102" s="13" t="inlineStr">
        <is>
          <t>2025-07-25</t>
        </is>
      </c>
      <c r="O102" s="9" t="n">
        <v>8341</v>
      </c>
      <c r="P102" s="17" t="n">
        <v>158.7980194091797</v>
      </c>
      <c r="Q102" s="17" t="n">
        <v>146.6026916503906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Q2 2025-26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2024-02-09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Q2 2025-26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1.26%</t>
        </is>
      </c>
      <c r="J104" s="13" t="inlineStr">
        <is>
          <t>1.27%</t>
        </is>
      </c>
      <c r="K104" s="16">
        <f>X103</f>
        <v/>
      </c>
      <c r="L104" s="13" t="inlineStr">
        <is>
          <t>2024-07-23</t>
        </is>
      </c>
      <c r="M104" s="13" t="inlineStr">
        <is>
          <t>2024-08-05</t>
        </is>
      </c>
      <c r="N104" s="13" t="inlineStr">
        <is>
          <t>2024-08-01</t>
        </is>
      </c>
      <c r="O104" s="9" t="n">
        <v>1600</v>
      </c>
      <c r="P104" s="17" t="n">
        <v>431.3329772949219</v>
      </c>
      <c r="Q104" s="17" t="n">
        <v>436.8355712890625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Q2 2025-26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6.19%</t>
        </is>
      </c>
      <c r="J105" s="13" t="inlineStr">
        <is>
          <t>4.09%</t>
        </is>
      </c>
      <c r="K105" s="16">
        <f>X104</f>
        <v/>
      </c>
      <c r="L105" s="13" t="inlineStr">
        <is>
          <t>2024-01-29</t>
        </is>
      </c>
      <c r="M105" s="13" t="inlineStr">
        <is>
          <t>2024-02-02</t>
        </is>
      </c>
      <c r="N105" s="13" t="inlineStr">
        <is>
          <t>2024-02-01</t>
        </is>
      </c>
      <c r="O105" s="9" t="n">
        <v>914</v>
      </c>
      <c r="P105" s="17" t="n">
        <v>727.780029296875</v>
      </c>
      <c r="Q105" s="17" t="n">
        <v>772.8461303710938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Q2 2025-26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5.77%</t>
        </is>
      </c>
      <c r="J106" s="13" t="inlineStr">
        <is>
          <t>2.07%</t>
        </is>
      </c>
      <c r="K106" s="16">
        <f>X105</f>
        <v/>
      </c>
      <c r="L106" s="13" t="inlineStr">
        <is>
          <t>2024-07-15</t>
        </is>
      </c>
      <c r="M106" s="13" t="inlineStr">
        <is>
          <t>2024-07-23</t>
        </is>
      </c>
      <c r="N106" s="13" t="inlineStr">
        <is>
          <t>2024-07-15</t>
        </is>
      </c>
      <c r="O106" s="9" t="n">
        <v>4127</v>
      </c>
      <c r="P106" s="17" t="n">
        <v>334.3785705566406</v>
      </c>
      <c r="Q106" s="17" t="n">
        <v>354.8466491699219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Q2 2025-26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-3.24%</t>
        </is>
      </c>
      <c r="J107" s="13" t="inlineStr">
        <is>
          <t>-7.4%</t>
        </is>
      </c>
      <c r="K107" s="16">
        <f>X106</f>
        <v/>
      </c>
      <c r="L107" s="13" t="inlineStr">
        <is>
          <t>2024-01-15</t>
        </is>
      </c>
      <c r="M107" s="13" t="inlineStr">
        <is>
          <t>2024-01-24</t>
        </is>
      </c>
      <c r="N107" s="13" t="inlineStr">
        <is>
          <t>2024-01-23</t>
        </is>
      </c>
      <c r="O107" s="9" t="n">
        <v>1839</v>
      </c>
      <c r="P107" s="17" t="n">
        <v>483.6321411132813</v>
      </c>
      <c r="Q107" s="17" t="n">
        <v>468.4444580078125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Q2 2025-26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-5.46%</t>
        </is>
      </c>
      <c r="J108" s="13" t="inlineStr">
        <is>
          <t>-7.13%</t>
        </is>
      </c>
      <c r="K108" s="16">
        <f>X107</f>
        <v/>
      </c>
      <c r="L108" s="13" t="inlineStr">
        <is>
          <t>2024-07-11</t>
        </is>
      </c>
      <c r="M108" s="13" t="inlineStr">
        <is>
          <t>2024-07-25</t>
        </is>
      </c>
      <c r="N108" s="13" t="inlineStr">
        <is>
          <t>2024-07-19</t>
        </is>
      </c>
      <c r="O108" s="9" t="n">
        <v>675</v>
      </c>
      <c r="P108" s="17" t="n">
        <v>917.2472534179688</v>
      </c>
      <c r="Q108" s="17" t="n">
        <v>867.1705322265625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Q2 2025-26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-7.83%</t>
        </is>
      </c>
      <c r="J109" s="13" t="inlineStr">
        <is>
          <t>-9.07%</t>
        </is>
      </c>
      <c r="K109" s="16">
        <f>X108</f>
        <v/>
      </c>
      <c r="L109" s="13" t="inlineStr">
        <is>
          <t>2024-01-23</t>
        </is>
      </c>
      <c r="M109" s="13" t="inlineStr">
        <is>
          <t>2024-02-06</t>
        </is>
      </c>
      <c r="N109" s="13" t="inlineStr">
        <is>
          <t>2024-01-31</t>
        </is>
      </c>
      <c r="O109" s="9" t="n">
        <v>2273</v>
      </c>
      <c r="P109" s="17" t="n">
        <v>517.1512451171875</v>
      </c>
      <c r="Q109" s="17" t="n">
        <v>476.6712646484375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Q2 2025-26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5.89%</t>
        </is>
      </c>
      <c r="J110" s="13" t="inlineStr">
        <is>
          <t>6.49%</t>
        </is>
      </c>
      <c r="K110" s="16">
        <f>X109</f>
        <v/>
      </c>
      <c r="L110" s="13" t="inlineStr">
        <is>
          <t>2024-01-25</t>
        </is>
      </c>
      <c r="M110" s="13" t="inlineStr">
        <is>
          <t>2024-02-01</t>
        </is>
      </c>
      <c r="N110" s="13" t="inlineStr">
        <is>
          <t>2024-01-31</t>
        </is>
      </c>
      <c r="O110" s="9" t="n">
        <v>1575</v>
      </c>
      <c r="P110" s="17" t="n">
        <v>332.3304138183594</v>
      </c>
      <c r="Q110" s="17" t="n">
        <v>353.1228332519531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Q2 2025-26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1.13%</t>
        </is>
      </c>
      <c r="J111" s="13" t="inlineStr">
        <is>
          <t>-4.96%</t>
        </is>
      </c>
      <c r="K111" s="16">
        <f>X110</f>
        <v/>
      </c>
      <c r="L111" s="13" t="inlineStr">
        <is>
          <t>2024-01-24</t>
        </is>
      </c>
      <c r="M111" s="13" t="inlineStr">
        <is>
          <t>2024-02-05</t>
        </is>
      </c>
      <c r="N111" s="13" t="inlineStr">
        <is>
          <t>2024-01-30</t>
        </is>
      </c>
      <c r="O111" s="9" t="n">
        <v>276</v>
      </c>
      <c r="P111" s="17" t="n">
        <v>2851.14990234375</v>
      </c>
      <c r="Q111" s="17" t="n">
        <v>2883.449951171875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Q2 2025-26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2.74%</t>
        </is>
      </c>
      <c r="J112" s="13" t="inlineStr">
        <is>
          <t>-1.0%</t>
        </is>
      </c>
      <c r="K112" s="16">
        <f>X111</f>
        <v/>
      </c>
      <c r="L112" s="13" t="inlineStr">
        <is>
          <t>2024-01-10</t>
        </is>
      </c>
      <c r="M112" s="13" t="inlineStr">
        <is>
          <t>2024-01-30</t>
        </is>
      </c>
      <c r="N112" s="13" t="inlineStr">
        <is>
          <t>2024-01-23</t>
        </is>
      </c>
      <c r="O112" s="9" t="n">
        <v>208</v>
      </c>
      <c r="P112" s="17" t="n">
        <v>3052.094482421875</v>
      </c>
      <c r="Q112" s="17" t="n">
        <v>3138.066650390625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Q2 2025-26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5.59%</t>
        </is>
      </c>
      <c r="J113" s="13" t="inlineStr">
        <is>
          <t>3.09%</t>
        </is>
      </c>
      <c r="K113" s="16">
        <f>X112</f>
        <v/>
      </c>
      <c r="L113" s="13" t="inlineStr">
        <is>
          <t>2024-01-12</t>
        </is>
      </c>
      <c r="M113" s="13" t="inlineStr">
        <is>
          <t>2024-01-29</t>
        </is>
      </c>
      <c r="N113" s="13" t="inlineStr">
        <is>
          <t>2024-01-25</t>
        </is>
      </c>
      <c r="O113" s="9" t="n">
        <v>1063</v>
      </c>
      <c r="P113" s="17" t="n">
        <v>516.1607055664062</v>
      </c>
      <c r="Q113" s="17" t="n">
        <v>545.0067749023438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Q2 2025-26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1.91%</t>
        </is>
      </c>
      <c r="J114" s="13" t="inlineStr">
        <is>
          <t>1.81%</t>
        </is>
      </c>
      <c r="K114" s="16">
        <f>X113</f>
        <v/>
      </c>
      <c r="L114" s="13" t="inlineStr">
        <is>
          <t>2024-07-16</t>
        </is>
      </c>
      <c r="M114" s="13" t="inlineStr">
        <is>
          <t>2024-07-23</t>
        </is>
      </c>
      <c r="N114" s="13" t="inlineStr">
        <is>
          <t>2024-07-20</t>
        </is>
      </c>
      <c r="O114" s="9" t="n">
        <v>400</v>
      </c>
      <c r="P114" s="17" t="n">
        <v>353.3725891113281</v>
      </c>
      <c r="Q114" s="17" t="n">
        <v>360.2493591308594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Q2 2025-26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0.19%</t>
        </is>
      </c>
      <c r="J115" s="13" t="inlineStr">
        <is>
          <t>1.34%</t>
        </is>
      </c>
      <c r="K115" s="16">
        <f>X114</f>
        <v/>
      </c>
      <c r="L115" s="13" t="inlineStr">
        <is>
          <t>2024-01-19</t>
        </is>
      </c>
      <c r="M115" s="13" t="inlineStr">
        <is>
          <t>2024-01-31</t>
        </is>
      </c>
      <c r="N115" s="13" t="inlineStr">
        <is>
          <t>2024-01-30</t>
        </is>
      </c>
      <c r="O115" s="9" t="n">
        <v>1695</v>
      </c>
      <c r="P115" s="17" t="n">
        <v>1528.005126953125</v>
      </c>
      <c r="Q115" s="17" t="n">
        <v>1530.966674804688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Q2 2025-26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7.99%</t>
        </is>
      </c>
      <c r="J116" s="13" t="inlineStr">
        <is>
          <t>5.18%</t>
        </is>
      </c>
      <c r="K116" s="16">
        <f>X115</f>
        <v/>
      </c>
      <c r="L116" s="13" t="inlineStr">
        <is>
          <t>2024-01-17</t>
        </is>
      </c>
      <c r="M116" s="13" t="inlineStr">
        <is>
          <t>2024-01-25</t>
        </is>
      </c>
      <c r="N116" s="13" t="inlineStr">
        <is>
          <t>2024-01-24</t>
        </is>
      </c>
      <c r="O116" s="9" t="n">
        <v>561</v>
      </c>
      <c r="P116" s="17" t="n">
        <v>376.935546875</v>
      </c>
      <c r="Q116" s="17" t="n">
        <v>409.6736450195313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Q2 2025-26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3.26%</t>
        </is>
      </c>
      <c r="J117" s="13" t="inlineStr">
        <is>
          <t>3.84%</t>
        </is>
      </c>
      <c r="K117" s="16">
        <f>X116</f>
        <v/>
      </c>
      <c r="L117" s="13" t="inlineStr">
        <is>
          <t>2024-02-01</t>
        </is>
      </c>
      <c r="M117" s="13" t="inlineStr">
        <is>
          <t>2024-02-09</t>
        </is>
      </c>
      <c r="N117" s="13" t="inlineStr">
        <is>
          <t>2024-02-05</t>
        </is>
      </c>
      <c r="O117" s="9" t="n">
        <v>1848</v>
      </c>
      <c r="P117" s="17" t="n">
        <v>610.5923461914062</v>
      </c>
      <c r="Q117" s="17" t="n">
        <v>630.5203857421875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Q2 2025-26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0.33%</t>
        </is>
      </c>
      <c r="J118" s="13" t="inlineStr">
        <is>
          <t>-0.62%</t>
        </is>
      </c>
      <c r="K118" s="16">
        <f>X117</f>
        <v/>
      </c>
      <c r="L118" s="13" t="inlineStr">
        <is>
          <t>2025-08-01</t>
        </is>
      </c>
      <c r="M118" s="13" t="inlineStr">
        <is>
          <t>2025-08-14</t>
        </is>
      </c>
      <c r="N118" s="13" t="inlineStr">
        <is>
          <t>2025-08-07</t>
        </is>
      </c>
      <c r="O118" s="9" t="n">
        <v>2364</v>
      </c>
      <c r="P118" s="17" t="n">
        <v>432.2915649414063</v>
      </c>
      <c r="Q118" s="17" t="n">
        <v>433.7083740234375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Q2 2025-26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-2.7%</t>
        </is>
      </c>
      <c r="J119" s="13" t="inlineStr">
        <is>
          <t>-6.95%</t>
        </is>
      </c>
      <c r="K119" s="16">
        <f>X118</f>
        <v/>
      </c>
      <c r="L119" s="13" t="inlineStr">
        <is>
          <t>2024-04-18</t>
        </is>
      </c>
      <c r="M119" s="13" t="inlineStr">
        <is>
          <t>2024-04-25</t>
        </is>
      </c>
      <c r="N119" s="13" t="inlineStr">
        <is>
          <t>2024-04-24</t>
        </is>
      </c>
      <c r="O119" s="9" t="n">
        <v>776</v>
      </c>
      <c r="P119" s="17" t="n">
        <v>1207.19482421875</v>
      </c>
      <c r="Q119" s="17" t="n">
        <v>1175.505004882812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Q2 2025-26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4.3%</t>
        </is>
      </c>
      <c r="J120" s="13" t="inlineStr">
        <is>
          <t>3.74%</t>
        </is>
      </c>
      <c r="K120" s="16">
        <f>X119</f>
        <v/>
      </c>
      <c r="L120" s="13" t="inlineStr">
        <is>
          <t>2024-07-25</t>
        </is>
      </c>
      <c r="M120" s="13" t="inlineStr">
        <is>
          <t>2024-07-29</t>
        </is>
      </c>
      <c r="N120" s="13" t="inlineStr">
        <is>
          <t>2024-07-25</t>
        </is>
      </c>
      <c r="O120" s="9" t="n">
        <v>300</v>
      </c>
      <c r="P120" s="17" t="n">
        <v>3551.0244140625</v>
      </c>
      <c r="Q120" s="17" t="n">
        <v>3703.8916015625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Q2 2025-26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4.19%</t>
        </is>
      </c>
      <c r="J121" s="13" t="inlineStr">
        <is>
          <t>2.73%</t>
        </is>
      </c>
      <c r="K121" s="16">
        <f>X120</f>
        <v/>
      </c>
      <c r="L121" s="13" t="inlineStr">
        <is>
          <t>2024-01-19</t>
        </is>
      </c>
      <c r="M121" s="13" t="inlineStr">
        <is>
          <t>2024-01-24</t>
        </is>
      </c>
      <c r="N121" s="13" t="inlineStr">
        <is>
          <t>2024-01-23</t>
        </is>
      </c>
      <c r="O121" s="9" t="n">
        <v>3265</v>
      </c>
      <c r="P121" s="17" t="n">
        <v>154.9290618896484</v>
      </c>
      <c r="Q121" s="17" t="n">
        <v>161.7026977539062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Q2 2025-26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9.88%</t>
        </is>
      </c>
      <c r="J122" s="13" t="inlineStr">
        <is>
          <t>7.31%</t>
        </is>
      </c>
      <c r="K122" s="16">
        <f>X121</f>
        <v/>
      </c>
      <c r="L122" s="13" t="inlineStr">
        <is>
          <t>2024-01-16</t>
        </is>
      </c>
      <c r="M122" s="13" t="inlineStr">
        <is>
          <t>2024-01-24</t>
        </is>
      </c>
      <c r="N122" s="13" t="inlineStr">
        <is>
          <t>2024-01-17</t>
        </is>
      </c>
      <c r="O122" s="9" t="n">
        <v>225</v>
      </c>
      <c r="P122" s="17" t="n">
        <v>5407.4599609375</v>
      </c>
      <c r="Q122" s="17" t="n">
        <v>6000.54833984375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Q2 2025-26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10.48%</t>
        </is>
      </c>
      <c r="J123" s="13" t="inlineStr">
        <is>
          <t>6.69%</t>
        </is>
      </c>
      <c r="K123" s="16">
        <f>X122</f>
        <v/>
      </c>
      <c r="L123" s="13" t="inlineStr">
        <is>
          <t>2024-01-25</t>
        </is>
      </c>
      <c r="M123" s="13" t="inlineStr">
        <is>
          <t>2024-02-08</t>
        </is>
      </c>
      <c r="N123" s="13" t="inlineStr">
        <is>
          <t>2024-02-07</t>
        </is>
      </c>
      <c r="O123" s="9" t="n">
        <v>413</v>
      </c>
      <c r="P123" s="17" t="n">
        <v>1428.397705078125</v>
      </c>
      <c r="Q123" s="17" t="n">
        <v>1578.059814453125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Q2 2025-26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-4.78%</t>
        </is>
      </c>
      <c r="J124" s="13" t="inlineStr">
        <is>
          <t>-7.05%</t>
        </is>
      </c>
      <c r="K124" s="16">
        <f>X123</f>
        <v/>
      </c>
      <c r="L124" s="13" t="inlineStr">
        <is>
          <t>2024-07-26</t>
        </is>
      </c>
      <c r="M124" s="13" t="inlineStr">
        <is>
          <t>2024-08-02</t>
        </is>
      </c>
      <c r="N124" s="13" t="inlineStr">
        <is>
          <t>2024-07-31</t>
        </is>
      </c>
      <c r="O124" s="9" t="n">
        <v>350</v>
      </c>
      <c r="P124" s="17" t="n">
        <v>2835.01220703125</v>
      </c>
      <c r="Q124" s="17" t="n">
        <v>2699.387451171875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Q2 2025-26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12.93%</t>
        </is>
      </c>
      <c r="J125" s="13" t="inlineStr">
        <is>
          <t>8.55%</t>
        </is>
      </c>
      <c r="K125" s="16">
        <f>X124</f>
        <v/>
      </c>
      <c r="L125" s="13" t="inlineStr">
        <is>
          <t>2024-01-10</t>
        </is>
      </c>
      <c r="M125" s="13" t="inlineStr">
        <is>
          <t>2024-01-23</t>
        </is>
      </c>
      <c r="N125" s="13" t="inlineStr">
        <is>
          <t>2024-01-16</t>
        </is>
      </c>
      <c r="O125" s="9" t="n">
        <v>12616</v>
      </c>
      <c r="P125" s="17" t="n">
        <v>41.65760040283203</v>
      </c>
      <c r="Q125" s="17" t="n">
        <v>47.04317092895508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Q2 2025-26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-0.18%</t>
        </is>
      </c>
      <c r="J126" s="13" t="inlineStr">
        <is>
          <t>-0.75%</t>
        </is>
      </c>
      <c r="K126" s="16">
        <f>X125</f>
        <v/>
      </c>
      <c r="L126" s="13" t="inlineStr">
        <is>
          <t>2018-11-26</t>
        </is>
      </c>
      <c r="M126" s="13" t="inlineStr">
        <is>
          <t>2018-11-29</t>
        </is>
      </c>
      <c r="N126" s="13" t="inlineStr">
        <is>
          <t>2018-11-28</t>
        </is>
      </c>
      <c r="O126" s="9" t="n">
        <v>2714</v>
      </c>
      <c r="P126" s="17" t="n">
        <v>74.32742309570312</v>
      </c>
      <c r="Q126" s="17" t="n">
        <v>74.19625091552734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Q2 2025-26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0.7%</t>
        </is>
      </c>
      <c r="J127" s="13" t="inlineStr">
        <is>
          <t>-2.4%</t>
        </is>
      </c>
      <c r="K127" s="16">
        <f>X126</f>
        <v/>
      </c>
      <c r="L127" s="13" t="inlineStr">
        <is>
          <t>2024-01-24</t>
        </is>
      </c>
      <c r="M127" s="13" t="inlineStr">
        <is>
          <t>2024-02-01</t>
        </is>
      </c>
      <c r="N127" s="13" t="inlineStr">
        <is>
          <t>2024-01-31</t>
        </is>
      </c>
      <c r="O127" s="9" t="n">
        <v>388</v>
      </c>
      <c r="P127" s="17" t="n">
        <v>2045.443725585937</v>
      </c>
      <c r="Q127" s="17" t="n">
        <v>2059.837890625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Q2 2025-26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0.95%</t>
        </is>
      </c>
      <c r="J128" s="13" t="inlineStr">
        <is>
          <t>-0.44%</t>
        </is>
      </c>
      <c r="K128" s="16">
        <f>X127</f>
        <v/>
      </c>
      <c r="L128" s="13" t="inlineStr">
        <is>
          <t>2024-01-18</t>
        </is>
      </c>
      <c r="M128" s="13" t="inlineStr">
        <is>
          <t>2024-02-02</t>
        </is>
      </c>
      <c r="N128" s="13" t="inlineStr">
        <is>
          <t>2024-01-29</t>
        </is>
      </c>
      <c r="O128" s="9" t="n">
        <v>1129</v>
      </c>
      <c r="P128" s="17" t="n">
        <v>507.7817993164063</v>
      </c>
      <c r="Q128" s="17" t="n">
        <v>512.6224365234375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Q2 2025-26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4.33%</t>
        </is>
      </c>
      <c r="J129" s="13" t="inlineStr">
        <is>
          <t>3.62%</t>
        </is>
      </c>
      <c r="K129" s="16">
        <f>X128</f>
        <v/>
      </c>
      <c r="L129" s="13" t="inlineStr">
        <is>
          <t>2024-07-30</t>
        </is>
      </c>
      <c r="M129" s="13" t="inlineStr">
        <is>
          <t>2024-08-05</t>
        </is>
      </c>
      <c r="N129" s="13" t="inlineStr">
        <is>
          <t>2024-08-01</t>
        </is>
      </c>
      <c r="O129" s="9" t="n">
        <v>100</v>
      </c>
      <c r="P129" s="17" t="n">
        <v>12070.208984375</v>
      </c>
      <c r="Q129" s="17" t="n">
        <v>12616.63671875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Q2 2025-26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8.96%</t>
        </is>
      </c>
      <c r="J130" s="13" t="inlineStr">
        <is>
          <t>6.34%</t>
        </is>
      </c>
      <c r="K130" s="16">
        <f>X129</f>
        <v/>
      </c>
      <c r="L130" s="13" t="inlineStr">
        <is>
          <t>2024-01-24</t>
        </is>
      </c>
      <c r="M130" s="13" t="inlineStr">
        <is>
          <t>2024-02-01</t>
        </is>
      </c>
      <c r="N130" s="13" t="inlineStr">
        <is>
          <t>2024-01-31</t>
        </is>
      </c>
      <c r="O130" s="9" t="n">
        <v>922</v>
      </c>
      <c r="P130" s="17" t="n">
        <v>733.6249389648438</v>
      </c>
      <c r="Q130" s="17" t="n">
        <v>799.3680419921875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Q2 2025-26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3.01%</t>
        </is>
      </c>
      <c r="J131" s="13" t="inlineStr">
        <is>
          <t>-1.98%</t>
        </is>
      </c>
      <c r="K131" s="16">
        <f>X130</f>
        <v/>
      </c>
      <c r="L131" s="13" t="inlineStr">
        <is>
          <t>2024-02-06</t>
        </is>
      </c>
      <c r="M131" s="13" t="inlineStr">
        <is>
          <t>2024-02-16</t>
        </is>
      </c>
      <c r="N131" s="13" t="inlineStr">
        <is>
          <t>2024-02-12</t>
        </is>
      </c>
      <c r="O131" s="9" t="n">
        <v>431</v>
      </c>
      <c r="P131" s="17" t="n">
        <v>1027.027954101562</v>
      </c>
      <c r="Q131" s="17" t="n">
        <v>1058.888061523438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Q2 2025-26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-7.74%</t>
        </is>
      </c>
      <c r="J132" s="13" t="inlineStr">
        <is>
          <t>-18.1%</t>
        </is>
      </c>
      <c r="K132" s="16">
        <f>X131</f>
        <v/>
      </c>
      <c r="L132" s="13" t="inlineStr">
        <is>
          <t>2025-07-16</t>
        </is>
      </c>
      <c r="M132" s="13" t="inlineStr">
        <is>
          <t>2025-07-28</t>
        </is>
      </c>
      <c r="N132" s="13" t="inlineStr">
        <is>
          <t>2025-07-25</t>
        </is>
      </c>
      <c r="O132" s="9" t="n">
        <v>373</v>
      </c>
      <c r="P132" s="17" t="n">
        <v>1669.722900390625</v>
      </c>
      <c r="Q132" s="17" t="n">
        <v>1540.416870117188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Q2 2025-26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-8.19%</t>
        </is>
      </c>
      <c r="J133" s="13" t="inlineStr">
        <is>
          <t>-6.71%</t>
        </is>
      </c>
      <c r="K133" s="16">
        <f>X132</f>
        <v/>
      </c>
      <c r="L133" s="13" t="inlineStr">
        <is>
          <t>2024-02-02</t>
        </is>
      </c>
      <c r="M133" s="13" t="inlineStr">
        <is>
          <t>2024-02-07</t>
        </is>
      </c>
      <c r="N133" s="13" t="inlineStr">
        <is>
          <t>2024-02-06</t>
        </is>
      </c>
      <c r="O133" s="9" t="n">
        <v>661</v>
      </c>
      <c r="P133" s="17" t="n">
        <v>960.25</v>
      </c>
      <c r="Q133" s="17" t="n">
        <v>887.5499877929688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Q2 2025-26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3.96%</t>
        </is>
      </c>
      <c r="J134" s="13" t="inlineStr">
        <is>
          <t>1.98%</t>
        </is>
      </c>
      <c r="K134" s="16">
        <f>X133</f>
        <v/>
      </c>
      <c r="L134" s="13" t="inlineStr">
        <is>
          <t>2024-02-06</t>
        </is>
      </c>
      <c r="M134" s="13" t="inlineStr">
        <is>
          <t>2024-02-16</t>
        </is>
      </c>
      <c r="N134" s="13" t="inlineStr">
        <is>
          <t>2024-02-12</t>
        </is>
      </c>
      <c r="O134" s="9" t="n">
        <v>6815</v>
      </c>
      <c r="P134" s="17" t="n">
        <v>74.87115478515625</v>
      </c>
      <c r="Q134" s="17" t="n">
        <v>77.95659637451172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Q2 2025-26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11.71%</t>
        </is>
      </c>
      <c r="J135" s="13" t="inlineStr">
        <is>
          <t>6.59%</t>
        </is>
      </c>
      <c r="K135" s="16">
        <f>X134</f>
        <v/>
      </c>
      <c r="L135" s="13" t="inlineStr">
        <is>
          <t>2024-01-23</t>
        </is>
      </c>
      <c r="M135" s="13" t="inlineStr">
        <is>
          <t>2024-01-25</t>
        </is>
      </c>
      <c r="N135" s="13" t="inlineStr">
        <is>
          <t>2024-01-24</t>
        </is>
      </c>
      <c r="O135" s="9" t="n">
        <v>1194</v>
      </c>
      <c r="P135" s="17" t="n">
        <v>378.4977722167969</v>
      </c>
      <c r="Q135" s="17" t="n">
        <v>422.8165893554688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Q2 2025-26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2.54%</t>
        </is>
      </c>
      <c r="J136" s="13" t="inlineStr">
        <is>
          <t>-0.37%</t>
        </is>
      </c>
      <c r="K136" s="16">
        <f>X135</f>
        <v/>
      </c>
      <c r="L136" s="13" t="inlineStr">
        <is>
          <t>2024-01-23</t>
        </is>
      </c>
      <c r="M136" s="13" t="inlineStr">
        <is>
          <t>2024-02-08</t>
        </is>
      </c>
      <c r="N136" s="13" t="inlineStr">
        <is>
          <t>2024-02-02</t>
        </is>
      </c>
      <c r="O136" s="9" t="n">
        <v>426</v>
      </c>
      <c r="P136" s="17" t="n">
        <v>2367.572998046875</v>
      </c>
      <c r="Q136" s="17" t="n">
        <v>2427.6689453125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Q2 2025-26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-12.14%</t>
        </is>
      </c>
      <c r="J137" s="13" t="inlineStr">
        <is>
          <t>-13.0%</t>
        </is>
      </c>
      <c r="K137" s="16">
        <f>X136</f>
        <v/>
      </c>
      <c r="L137" s="13" t="inlineStr">
        <is>
          <t>2026-02-10</t>
        </is>
      </c>
      <c r="M137" s="13" t="inlineStr">
        <is>
          <t>2026-02-19</t>
        </is>
      </c>
      <c r="N137" s="13" t="inlineStr">
        <is>
          <t>2026-02-12</t>
        </is>
      </c>
      <c r="O137" s="9" t="n">
        <v>332</v>
      </c>
      <c r="P137" s="17" t="n">
        <v>3849.450927734375</v>
      </c>
      <c r="Q137" s="17" t="n">
        <v>3382.301025390625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Q2 2025-26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-0.77%</t>
        </is>
      </c>
      <c r="J138" s="13" t="inlineStr">
        <is>
          <t>-1.28%</t>
        </is>
      </c>
      <c r="K138" s="16">
        <f>X137</f>
        <v/>
      </c>
      <c r="L138" s="13" t="inlineStr">
        <is>
          <t>2024-01-25</t>
        </is>
      </c>
      <c r="M138" s="13" t="inlineStr">
        <is>
          <t>2024-01-30</t>
        </is>
      </c>
      <c r="N138" s="13" t="inlineStr">
        <is>
          <t>2024-01-29</t>
        </is>
      </c>
      <c r="O138" s="9" t="n">
        <v>871</v>
      </c>
      <c r="P138" s="17" t="n">
        <v>489.404052734375</v>
      </c>
      <c r="Q138" s="17" t="n">
        <v>485.6430053710938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Q2 2025-26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3.11%</t>
        </is>
      </c>
      <c r="J139" s="13" t="inlineStr">
        <is>
          <t>-2.41%</t>
        </is>
      </c>
      <c r="K139" s="16">
        <f>X138</f>
        <v/>
      </c>
      <c r="L139" s="13" t="inlineStr">
        <is>
          <t>2024-02-08</t>
        </is>
      </c>
      <c r="M139" s="13" t="inlineStr">
        <is>
          <t>2024-02-14</t>
        </is>
      </c>
      <c r="N139" s="13" t="inlineStr">
        <is>
          <t>2024-02-13</t>
        </is>
      </c>
      <c r="O139" s="9" t="n">
        <v>2876</v>
      </c>
      <c r="P139" s="17" t="n">
        <v>140.3642425537109</v>
      </c>
      <c r="Q139" s="17" t="n">
        <v>144.8659973144531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Q2 2025-26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-5.31%</t>
        </is>
      </c>
      <c r="J140" s="13" t="inlineStr">
        <is>
          <t>-6.92%</t>
        </is>
      </c>
      <c r="K140" s="16">
        <f>X139</f>
        <v/>
      </c>
      <c r="L140" s="13" t="inlineStr">
        <is>
          <t>2024-02-07</t>
        </is>
      </c>
      <c r="M140" s="13" t="inlineStr">
        <is>
          <t>2024-02-14</t>
        </is>
      </c>
      <c r="N140" s="13" t="inlineStr">
        <is>
          <t>2024-02-13</t>
        </is>
      </c>
      <c r="O140" s="9" t="n">
        <v>803</v>
      </c>
      <c r="P140" s="17" t="n">
        <v>1066.135131835938</v>
      </c>
      <c r="Q140" s="17" t="n">
        <v>1009.542358398438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Q2 2025-26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-2.97%</t>
        </is>
      </c>
      <c r="J141" s="13" t="inlineStr">
        <is>
          <t>-5.06%</t>
        </is>
      </c>
      <c r="K141" s="16">
        <f>X140</f>
        <v/>
      </c>
      <c r="L141" s="13" t="inlineStr">
        <is>
          <t>2024-02-12</t>
        </is>
      </c>
      <c r="M141" s="13" t="inlineStr">
        <is>
          <t>2024-02-15</t>
        </is>
      </c>
      <c r="N141" s="13" t="inlineStr">
        <is>
          <t>2024-02-14</t>
        </is>
      </c>
      <c r="O141" s="9" t="n">
        <v>10687</v>
      </c>
      <c r="P141" s="17" t="n">
        <v>89.91095733642578</v>
      </c>
      <c r="Q141" s="17" t="n">
        <v>87.32051849365234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Q2 2025-26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-0.42%</t>
        </is>
      </c>
      <c r="J142" s="13" t="inlineStr">
        <is>
          <t>-0.29%</t>
        </is>
      </c>
      <c r="K142" s="16">
        <f>X141</f>
        <v/>
      </c>
      <c r="L142" s="13" t="inlineStr">
        <is>
          <t>2024-07-25</t>
        </is>
      </c>
      <c r="M142" s="13" t="inlineStr">
        <is>
          <t>2024-07-29</t>
        </is>
      </c>
      <c r="N142" s="13" t="inlineStr">
        <is>
          <t>2024-07-25</t>
        </is>
      </c>
      <c r="O142" s="9" t="n">
        <v>200</v>
      </c>
      <c r="P142" s="17" t="n">
        <v>1214.842041015625</v>
      </c>
      <c r="Q142" s="17" t="n">
        <v>1209.7734375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Q2 2025-26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8.3%</t>
        </is>
      </c>
      <c r="J143" s="13" t="inlineStr">
        <is>
          <t>5.52%</t>
        </is>
      </c>
      <c r="K143" s="16">
        <f>X142</f>
        <v/>
      </c>
      <c r="L143" s="13" t="inlineStr">
        <is>
          <t>2024-02-06</t>
        </is>
      </c>
      <c r="M143" s="13" t="inlineStr">
        <is>
          <t>2024-02-16</t>
        </is>
      </c>
      <c r="N143" s="13" t="inlineStr">
        <is>
          <t>2024-02-12</t>
        </is>
      </c>
      <c r="O143" s="9" t="n">
        <v>12809</v>
      </c>
      <c r="P143" s="17" t="n">
        <v>87.15119171142578</v>
      </c>
      <c r="Q143" s="17" t="n">
        <v>95.03562927246094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Q2 2025-26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1.18%</t>
        </is>
      </c>
      <c r="J144" s="13" t="inlineStr">
        <is>
          <t>2.03%</t>
        </is>
      </c>
      <c r="K144" s="16">
        <f>X143</f>
        <v/>
      </c>
      <c r="L144" s="13" t="inlineStr">
        <is>
          <t>2024-02-09</t>
        </is>
      </c>
      <c r="M144" s="13" t="inlineStr">
        <is>
          <t>2024-02-16</t>
        </is>
      </c>
      <c r="N144" s="13" t="inlineStr">
        <is>
          <t>2024-02-15</t>
        </is>
      </c>
      <c r="O144" s="9" t="n">
        <v>11763</v>
      </c>
      <c r="P144" s="17" t="n">
        <v>72.152587890625</v>
      </c>
      <c r="Q144" s="17" t="n">
        <v>73.00406646728516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Q2 2025-26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-11.11%</t>
        </is>
      </c>
      <c r="J145" s="13" t="inlineStr">
        <is>
          <t>-9.62%</t>
        </is>
      </c>
      <c r="K145" s="16">
        <f>X144</f>
        <v/>
      </c>
      <c r="L145" s="13" t="inlineStr">
        <is>
          <t>2024-07-18</t>
        </is>
      </c>
      <c r="M145" s="13" t="inlineStr">
        <is>
          <t>2024-08-02</t>
        </is>
      </c>
      <c r="N145" s="13" t="inlineStr">
        <is>
          <t>2024-07-27</t>
        </is>
      </c>
      <c r="O145" s="9" t="n">
        <v>1500</v>
      </c>
      <c r="P145" s="17" t="n">
        <v>400.1023254394531</v>
      </c>
      <c r="Q145" s="17" t="n">
        <v>360.1111450195312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Q2 2025-26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2.82%</t>
        </is>
      </c>
      <c r="J146" s="13" t="inlineStr">
        <is>
          <t>-0.04%</t>
        </is>
      </c>
      <c r="K146" s="16">
        <f>X145</f>
        <v/>
      </c>
      <c r="L146" s="13" t="inlineStr">
        <is>
          <t>2024-01-25</t>
        </is>
      </c>
      <c r="M146" s="13" t="inlineStr">
        <is>
          <t>2024-02-07</t>
        </is>
      </c>
      <c r="N146" s="13" t="inlineStr">
        <is>
          <t>2024-02-06</t>
        </is>
      </c>
      <c r="O146" s="9" t="n">
        <v>2996</v>
      </c>
      <c r="P146" s="17" t="n">
        <v>156.5500030517578</v>
      </c>
      <c r="Q146" s="17" t="n">
        <v>161.1000061035156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Q2 2025-26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-17.12%</t>
        </is>
      </c>
      <c r="J147" s="13" t="inlineStr">
        <is>
          <t>-15.36%</t>
        </is>
      </c>
      <c r="K147" s="16">
        <f>X146</f>
        <v/>
      </c>
      <c r="L147" s="13" t="inlineStr">
        <is>
          <t>2024-01-15</t>
        </is>
      </c>
      <c r="M147" s="13" t="inlineStr">
        <is>
          <t>2024-01-30</t>
        </is>
      </c>
      <c r="N147" s="13" t="inlineStr">
        <is>
          <t>2024-01-23</t>
        </is>
      </c>
      <c r="O147" s="9" t="n">
        <v>551</v>
      </c>
      <c r="P147" s="17" t="n">
        <v>1548.047241210938</v>
      </c>
      <c r="Q147" s="17" t="n">
        <v>1282.981689453125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Q2 2025-26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-48.11%</t>
        </is>
      </c>
      <c r="J148" s="13" t="inlineStr">
        <is>
          <t>-43.56%</t>
        </is>
      </c>
      <c r="K148" s="16">
        <f>X147</f>
        <v/>
      </c>
      <c r="L148" s="13" t="inlineStr">
        <is>
          <t>2024-01-05</t>
        </is>
      </c>
      <c r="M148" s="13" t="inlineStr">
        <is>
          <t>2024-01-24</t>
        </is>
      </c>
      <c r="N148" s="13" t="inlineStr">
        <is>
          <t>2024-01-17</t>
        </is>
      </c>
      <c r="O148" s="9" t="n">
        <v>100</v>
      </c>
      <c r="P148" s="17" t="n">
        <v>5937.1689453125</v>
      </c>
      <c r="Q148" s="17" t="n">
        <v>4008.545654296875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Q2 2025-26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9.11%</t>
        </is>
      </c>
      <c r="J149" s="13" t="inlineStr">
        <is>
          <t>1.02%</t>
        </is>
      </c>
      <c r="K149" s="16">
        <f>X148</f>
        <v/>
      </c>
      <c r="L149" s="13" t="inlineStr">
        <is>
          <t>2024-02-09</t>
        </is>
      </c>
      <c r="M149" s="13" t="inlineStr">
        <is>
          <t>2024-02-15</t>
        </is>
      </c>
      <c r="N149" s="13" t="inlineStr">
        <is>
          <t>2024-02-14</t>
        </is>
      </c>
      <c r="O149" s="9" t="n">
        <v>2188</v>
      </c>
      <c r="P149" s="17" t="n">
        <v>320.8781127929688</v>
      </c>
      <c r="Q149" s="17" t="n">
        <v>350.0968933105469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Q2 2025-26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-0.9%</t>
        </is>
      </c>
      <c r="J150" s="13" t="inlineStr">
        <is>
          <t>-1.65%</t>
        </is>
      </c>
      <c r="K150" s="16">
        <f>X149</f>
        <v/>
      </c>
      <c r="L150" s="13" t="inlineStr">
        <is>
          <t>2024-07-29</t>
        </is>
      </c>
      <c r="M150" s="13" t="inlineStr">
        <is>
          <t>2024-08-13</t>
        </is>
      </c>
      <c r="N150" s="13" t="inlineStr">
        <is>
          <t>2024-08-06</t>
        </is>
      </c>
      <c r="O150" s="9" t="n">
        <v>3750</v>
      </c>
      <c r="P150" s="17" t="n">
        <v>302.603515625</v>
      </c>
      <c r="Q150" s="17" t="n">
        <v>299.90087890625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Q2 2025-26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4.81%</t>
        </is>
      </c>
      <c r="J151" s="13" t="inlineStr">
        <is>
          <t>4.9%</t>
        </is>
      </c>
      <c r="K151" s="16">
        <f>X150</f>
        <v/>
      </c>
      <c r="L151" s="13" t="inlineStr">
        <is>
          <t>2024-03-05</t>
        </is>
      </c>
      <c r="M151" s="13" t="inlineStr">
        <is>
          <t>2024-03-19</t>
        </is>
      </c>
      <c r="N151" s="13" t="inlineStr">
        <is>
          <t>2024-03-18</t>
        </is>
      </c>
      <c r="O151" s="9" t="n">
        <v>100</v>
      </c>
      <c r="P151" s="17" t="n">
        <v>34025</v>
      </c>
      <c r="Q151" s="17" t="n">
        <v>35744.55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Q2 2025-26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-2.13%</t>
        </is>
      </c>
      <c r="J152" s="13" t="inlineStr">
        <is>
          <t>-3.57%</t>
        </is>
      </c>
      <c r="K152" s="16">
        <f>X151</f>
        <v/>
      </c>
      <c r="L152" s="13" t="inlineStr">
        <is>
          <t>2024-02-01</t>
        </is>
      </c>
      <c r="M152" s="13" t="inlineStr">
        <is>
          <t>2024-02-09</t>
        </is>
      </c>
      <c r="N152" s="13" t="inlineStr">
        <is>
          <t>2024-02-08</t>
        </is>
      </c>
      <c r="O152" s="9" t="n">
        <v>2806</v>
      </c>
      <c r="P152" s="17" t="n">
        <v>525.7473754882812</v>
      </c>
      <c r="Q152" s="17" t="n">
        <v>514.781982421875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Q2 2025-26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-8.61%</t>
        </is>
      </c>
      <c r="J153" s="13" t="inlineStr">
        <is>
          <t>-7.02%</t>
        </is>
      </c>
      <c r="K153" s="16">
        <f>X152</f>
        <v/>
      </c>
      <c r="L153" s="13" t="inlineStr">
        <is>
          <t>2024-01-15</t>
        </is>
      </c>
      <c r="M153" s="13" t="inlineStr">
        <is>
          <t>2024-01-29</t>
        </is>
      </c>
      <c r="N153" s="13" t="inlineStr">
        <is>
          <t>2024-01-19</t>
        </is>
      </c>
      <c r="O153" s="9" t="n">
        <v>750</v>
      </c>
      <c r="P153" s="17" t="n">
        <v>752.0499877929688</v>
      </c>
      <c r="Q153" s="17" t="n">
        <v>692.4500122070312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Q2 2025-26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17.02%</t>
        </is>
      </c>
      <c r="J154" s="13" t="inlineStr">
        <is>
          <t>14.97%</t>
        </is>
      </c>
      <c r="K154" s="16">
        <f>X153</f>
        <v/>
      </c>
      <c r="L154" s="13" t="inlineStr">
        <is>
          <t>2024-01-10</t>
        </is>
      </c>
      <c r="M154" s="13" t="inlineStr">
        <is>
          <t>2024-01-29</t>
        </is>
      </c>
      <c r="N154" s="13" t="inlineStr">
        <is>
          <t>2024-01-20</t>
        </is>
      </c>
      <c r="O154" s="9" t="n">
        <v>181</v>
      </c>
      <c r="P154" s="17" t="n">
        <v>3621.398193359375</v>
      </c>
      <c r="Q154" s="17" t="n">
        <v>4237.76171875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Q2 2025-26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-12.19%</t>
        </is>
      </c>
      <c r="J155" s="13" t="inlineStr">
        <is>
          <t>-11.71%</t>
        </is>
      </c>
      <c r="K155" s="16">
        <f>X154</f>
        <v/>
      </c>
      <c r="L155" s="13" t="inlineStr">
        <is>
          <t>2024-01-19</t>
        </is>
      </c>
      <c r="M155" s="13" t="inlineStr">
        <is>
          <t>2024-02-05</t>
        </is>
      </c>
      <c r="N155" s="13" t="inlineStr">
        <is>
          <t>2024-01-30</t>
        </is>
      </c>
      <c r="O155" s="9" t="n">
        <v>3585</v>
      </c>
      <c r="P155" s="17" t="n">
        <v>253.3133392333984</v>
      </c>
      <c r="Q155" s="17" t="n">
        <v>225.7903289794922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Q2 2025-26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-29.86%</t>
        </is>
      </c>
      <c r="J156" s="13" t="inlineStr">
        <is>
          <t>-28.55%</t>
        </is>
      </c>
      <c r="K156" s="16">
        <f>X155</f>
        <v/>
      </c>
      <c r="L156" s="13" t="inlineStr">
        <is>
          <t>2023-10-30</t>
        </is>
      </c>
      <c r="M156" s="13" t="inlineStr">
        <is>
          <t>2023-11-16</t>
        </is>
      </c>
      <c r="N156" s="13" t="inlineStr">
        <is>
          <t>2023-11-09</t>
        </is>
      </c>
      <c r="O156" s="9" t="n">
        <v>2346</v>
      </c>
      <c r="P156" s="17" t="n">
        <v>278.498779296875</v>
      </c>
      <c r="Q156" s="17" t="n">
        <v>214.4611206054688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Q2 2025-26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-9.82%</t>
        </is>
      </c>
      <c r="J157" s="13" t="inlineStr">
        <is>
          <t>-20.02%</t>
        </is>
      </c>
      <c r="K157" s="16">
        <f>X156</f>
        <v/>
      </c>
      <c r="L157" s="13" t="inlineStr">
        <is>
          <t>2024-02-06</t>
        </is>
      </c>
      <c r="M157" s="13" t="inlineStr">
        <is>
          <t>2024-02-14</t>
        </is>
      </c>
      <c r="N157" s="13" t="inlineStr">
        <is>
          <t>2024-02-13</t>
        </is>
      </c>
      <c r="O157" s="9" t="n">
        <v>1631</v>
      </c>
      <c r="P157" s="17" t="n">
        <v>196.2694549560547</v>
      </c>
      <c r="Q157" s="17" t="n">
        <v>177.0042419433594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Q2 2025-26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0.75%</t>
        </is>
      </c>
      <c r="J158" s="13" t="inlineStr">
        <is>
          <t>1.79%</t>
        </is>
      </c>
      <c r="K158" s="16">
        <f>X157</f>
        <v/>
      </c>
      <c r="L158" s="13" t="inlineStr">
        <is>
          <t>2024-02-08</t>
        </is>
      </c>
      <c r="M158" s="13" t="inlineStr">
        <is>
          <t>2024-02-19</t>
        </is>
      </c>
      <c r="N158" s="13" t="inlineStr">
        <is>
          <t>2024-02-13</t>
        </is>
      </c>
      <c r="O158" s="9" t="n">
        <v>529</v>
      </c>
      <c r="P158" s="17" t="n">
        <v>1388.626098632812</v>
      </c>
      <c r="Q158" s="17" t="n">
        <v>1399.094360351562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Q2 2025-26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-4.01%</t>
        </is>
      </c>
      <c r="J159" s="13" t="inlineStr">
        <is>
          <t>-3.28%</t>
        </is>
      </c>
      <c r="K159" s="16">
        <f>X158</f>
        <v/>
      </c>
      <c r="L159" s="13" t="inlineStr">
        <is>
          <t>2024-01-18</t>
        </is>
      </c>
      <c r="M159" s="13" t="inlineStr">
        <is>
          <t>2024-01-25</t>
        </is>
      </c>
      <c r="N159" s="13" t="inlineStr">
        <is>
          <t>2024-01-24</t>
        </is>
      </c>
      <c r="O159" s="9" t="n">
        <v>613</v>
      </c>
      <c r="P159" s="17" t="n">
        <v>1323.722534179688</v>
      </c>
      <c r="Q159" s="17" t="n">
        <v>1270.61962890625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Q2 2025-26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0.91%</t>
        </is>
      </c>
      <c r="J160" s="13" t="inlineStr">
        <is>
          <t>1.04%</t>
        </is>
      </c>
      <c r="K160" s="16">
        <f>X159</f>
        <v/>
      </c>
      <c r="L160" s="13" t="inlineStr">
        <is>
          <t>2024-01-31</t>
        </is>
      </c>
      <c r="M160" s="13" t="inlineStr">
        <is>
          <t>2024-02-12</t>
        </is>
      </c>
      <c r="N160" s="13" t="inlineStr">
        <is>
          <t>2024-02-09</t>
        </is>
      </c>
      <c r="O160" s="9" t="n">
        <v>360</v>
      </c>
      <c r="P160" s="17" t="n">
        <v>3340.2001953125</v>
      </c>
      <c r="Q160" s="17" t="n">
        <v>3370.703857421875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Q2 2025-26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10.31%</t>
        </is>
      </c>
      <c r="J161" s="13" t="inlineStr">
        <is>
          <t>7.6%</t>
        </is>
      </c>
      <c r="K161" s="16">
        <f>X160</f>
        <v/>
      </c>
      <c r="L161" s="13" t="inlineStr">
        <is>
          <t>2024-04-29</t>
        </is>
      </c>
      <c r="M161" s="13" t="inlineStr">
        <is>
          <t>2024-05-13</t>
        </is>
      </c>
      <c r="N161" s="13" t="inlineStr">
        <is>
          <t>2024-05-10</t>
        </is>
      </c>
      <c r="O161" s="9" t="n">
        <v>8957</v>
      </c>
      <c r="P161" s="17" t="n">
        <v>114.8958282470703</v>
      </c>
      <c r="Q161" s="17" t="n">
        <v>128.102783203125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Q2 2025-26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0.9%</t>
        </is>
      </c>
      <c r="J162" s="13" t="inlineStr">
        <is>
          <t>1.56%</t>
        </is>
      </c>
      <c r="K162" s="16">
        <f>X161</f>
        <v/>
      </c>
      <c r="L162" s="13" t="inlineStr">
        <is>
          <t>2024-01-17</t>
        </is>
      </c>
      <c r="M162" s="13" t="inlineStr">
        <is>
          <t>2024-02-01</t>
        </is>
      </c>
      <c r="N162" s="13" t="inlineStr">
        <is>
          <t>2024-01-25</t>
        </is>
      </c>
      <c r="O162" s="9" t="n">
        <v>967</v>
      </c>
      <c r="P162" s="17" t="n">
        <v>815.9420776367188</v>
      </c>
      <c r="Q162" s="17" t="n">
        <v>823.3543090820312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Q2 2025-26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11.75%</t>
        </is>
      </c>
      <c r="J163" s="13" t="inlineStr">
        <is>
          <t>8.22%</t>
        </is>
      </c>
      <c r="K163" s="16">
        <f>X162</f>
        <v/>
      </c>
      <c r="L163" s="13" t="inlineStr">
        <is>
          <t>2024-01-19</t>
        </is>
      </c>
      <c r="M163" s="13" t="inlineStr">
        <is>
          <t>2024-01-31</t>
        </is>
      </c>
      <c r="N163" s="13" t="inlineStr">
        <is>
          <t>2024-01-30</t>
        </is>
      </c>
      <c r="O163" s="9" t="n">
        <v>627</v>
      </c>
      <c r="P163" s="17" t="n">
        <v>897</v>
      </c>
      <c r="Q163" s="17" t="n">
        <v>1002.400024414062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Q2 2025-26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-5.35%</t>
        </is>
      </c>
      <c r="J164" s="13" t="inlineStr">
        <is>
          <t>-5.37%</t>
        </is>
      </c>
      <c r="K164" s="16">
        <f>X163</f>
        <v/>
      </c>
      <c r="L164" s="13" t="inlineStr">
        <is>
          <t>2024-01-15</t>
        </is>
      </c>
      <c r="M164" s="13" t="inlineStr">
        <is>
          <t>2024-01-19</t>
        </is>
      </c>
      <c r="N164" s="13" t="inlineStr">
        <is>
          <t>2024-01-18</t>
        </is>
      </c>
      <c r="O164" s="9" t="n">
        <v>112</v>
      </c>
      <c r="P164" s="17" t="n">
        <v>4357.26025390625</v>
      </c>
      <c r="Q164" s="17" t="n">
        <v>4136.08154296875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Q2 2025-26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-7.1%</t>
        </is>
      </c>
      <c r="J165" s="13" t="inlineStr">
        <is>
          <t>-6.57%</t>
        </is>
      </c>
      <c r="K165" s="16">
        <f>X164</f>
        <v/>
      </c>
      <c r="L165" s="13" t="inlineStr">
        <is>
          <t>2024-07-24</t>
        </is>
      </c>
      <c r="M165" s="13" t="inlineStr">
        <is>
          <t>2024-08-01</t>
        </is>
      </c>
      <c r="N165" s="13" t="inlineStr">
        <is>
          <t>2024-07-26</t>
        </is>
      </c>
      <c r="O165" s="9" t="n">
        <v>1800</v>
      </c>
      <c r="P165" s="17" t="n">
        <v>337.9288330078125</v>
      </c>
      <c r="Q165" s="17" t="n">
        <v>315.515625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Q2 2025-26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2024-02-01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Q2 2025-26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4.38%</t>
        </is>
      </c>
      <c r="J167" s="13" t="inlineStr">
        <is>
          <t>-0.33%</t>
        </is>
      </c>
      <c r="K167" s="16">
        <f>X166</f>
        <v/>
      </c>
      <c r="L167" s="13" t="inlineStr">
        <is>
          <t>2025-07-24</t>
        </is>
      </c>
      <c r="M167" s="13" t="inlineStr">
        <is>
          <t>2025-07-28</t>
        </is>
      </c>
      <c r="N167" s="13" t="inlineStr">
        <is>
          <t>2025-07-25</t>
        </is>
      </c>
      <c r="O167" s="9" t="n">
        <v>1017</v>
      </c>
      <c r="P167" s="17" t="n">
        <v>1051.844604492188</v>
      </c>
      <c r="Q167" s="17" t="n">
        <v>1099.973388671875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Q2 2025-26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5.05%</t>
        </is>
      </c>
      <c r="J168" s="13" t="inlineStr">
        <is>
          <t>1.27%</t>
        </is>
      </c>
      <c r="K168" s="16">
        <f>X167</f>
        <v/>
      </c>
      <c r="L168" s="13" t="inlineStr">
        <is>
          <t>2024-02-07</t>
        </is>
      </c>
      <c r="M168" s="13" t="inlineStr">
        <is>
          <t>2024-02-20</t>
        </is>
      </c>
      <c r="N168" s="13" t="inlineStr">
        <is>
          <t>2024-02-14</t>
        </is>
      </c>
      <c r="O168" s="9" t="n">
        <v>627</v>
      </c>
      <c r="P168" s="17" t="n">
        <v>1162.046875</v>
      </c>
      <c r="Q168" s="17" t="n">
        <v>1223.866333007812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Q2 2025-26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-4.59%</t>
        </is>
      </c>
      <c r="J169" s="13" t="inlineStr">
        <is>
          <t>-5.61%</t>
        </is>
      </c>
      <c r="K169" s="16">
        <f>X168</f>
        <v/>
      </c>
      <c r="L169" s="13" t="inlineStr">
        <is>
          <t>2024-01-24</t>
        </is>
      </c>
      <c r="M169" s="13" t="inlineStr">
        <is>
          <t>2024-02-07</t>
        </is>
      </c>
      <c r="N169" s="13" t="inlineStr">
        <is>
          <t>2024-02-06</t>
        </is>
      </c>
      <c r="O169" s="9" t="n">
        <v>229</v>
      </c>
      <c r="P169" s="17" t="n">
        <v>1735.5322265625</v>
      </c>
      <c r="Q169" s="17" t="n">
        <v>1659.345703125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Q2 2025-26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13.74%</t>
        </is>
      </c>
      <c r="J170" s="13" t="inlineStr">
        <is>
          <t>8.1%</t>
        </is>
      </c>
      <c r="K170" s="16">
        <f>X169</f>
        <v/>
      </c>
      <c r="L170" s="13" t="inlineStr">
        <is>
          <t>2024-01-16</t>
        </is>
      </c>
      <c r="M170" s="13" t="inlineStr">
        <is>
          <t>2024-01-23</t>
        </is>
      </c>
      <c r="N170" s="13" t="inlineStr">
        <is>
          <t>2024-01-19</t>
        </is>
      </c>
      <c r="O170" s="9" t="n">
        <v>2645</v>
      </c>
      <c r="P170" s="17" t="n">
        <v>250.7872009277344</v>
      </c>
      <c r="Q170" s="17" t="n">
        <v>290.7290344238281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Q2 2025-26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7.58%</t>
        </is>
      </c>
      <c r="J171" s="13" t="inlineStr">
        <is>
          <t>6.06%</t>
        </is>
      </c>
      <c r="K171" s="16">
        <f>X170</f>
        <v/>
      </c>
      <c r="L171" s="13" t="inlineStr">
        <is>
          <t>2026-04-13</t>
        </is>
      </c>
      <c r="M171" s="13" t="inlineStr">
        <is>
          <t>2026-04-17</t>
        </is>
      </c>
      <c r="N171" s="13" t="inlineStr">
        <is>
          <t>2026-04-15</t>
        </is>
      </c>
      <c r="O171" s="9" t="n">
        <v>2667</v>
      </c>
      <c r="P171" s="17" t="n">
        <v>347</v>
      </c>
      <c r="Q171" s="17" t="n">
        <v>373.2999877929688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Q2 2025-26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5.32%</t>
        </is>
      </c>
      <c r="J172" s="13" t="inlineStr">
        <is>
          <t>4.09%</t>
        </is>
      </c>
      <c r="K172" s="16">
        <f>X171</f>
        <v/>
      </c>
      <c r="L172" s="13" t="inlineStr">
        <is>
          <t>2024-07-16</t>
        </is>
      </c>
      <c r="M172" s="13" t="inlineStr">
        <is>
          <t>2024-07-25</t>
        </is>
      </c>
      <c r="N172" s="13" t="inlineStr">
        <is>
          <t>2024-07-19</t>
        </is>
      </c>
      <c r="O172" s="9" t="n">
        <v>250</v>
      </c>
      <c r="P172" s="17" t="n">
        <v>1474.6171875</v>
      </c>
      <c r="Q172" s="17" t="n">
        <v>1557.468017578125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Q2 2025-26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13.31%</t>
        </is>
      </c>
      <c r="J173" s="13" t="inlineStr">
        <is>
          <t>11.2%</t>
        </is>
      </c>
      <c r="K173" s="16">
        <f>X172</f>
        <v/>
      </c>
      <c r="L173" s="13" t="inlineStr">
        <is>
          <t>2024-01-29</t>
        </is>
      </c>
      <c r="M173" s="13" t="inlineStr">
        <is>
          <t>2024-02-09</t>
        </is>
      </c>
      <c r="N173" s="13" t="inlineStr">
        <is>
          <t>2024-02-08</t>
        </is>
      </c>
      <c r="O173" s="9" t="n">
        <v>4486</v>
      </c>
      <c r="P173" s="17" t="n">
        <v>256.0979614257812</v>
      </c>
      <c r="Q173" s="17" t="n">
        <v>295.4140625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Q2 2025-26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-6.22%</t>
        </is>
      </c>
      <c r="J174" s="13" t="inlineStr">
        <is>
          <t>-14.42%</t>
        </is>
      </c>
      <c r="K174" s="16">
        <f>X173</f>
        <v/>
      </c>
      <c r="L174" s="13" t="inlineStr">
        <is>
          <t>2025-07-23</t>
        </is>
      </c>
      <c r="M174" s="13" t="inlineStr">
        <is>
          <t>2025-07-28</t>
        </is>
      </c>
      <c r="N174" s="13" t="inlineStr">
        <is>
          <t>2025-07-25</t>
        </is>
      </c>
      <c r="O174" s="9" t="n">
        <v>21748</v>
      </c>
      <c r="P174" s="17" t="n">
        <v>44.83518218994141</v>
      </c>
      <c r="Q174" s="17" t="n">
        <v>42.04796981811523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Q2 2025-26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10.56%</t>
        </is>
      </c>
      <c r="J175" s="13" t="inlineStr">
        <is>
          <t>6.44%</t>
        </is>
      </c>
      <c r="K175" s="16">
        <f>X174</f>
        <v/>
      </c>
      <c r="L175" s="13" t="inlineStr">
        <is>
          <t>2024-02-07</t>
        </is>
      </c>
      <c r="M175" s="13" t="inlineStr">
        <is>
          <t>2024-02-19</t>
        </is>
      </c>
      <c r="N175" s="13" t="inlineStr">
        <is>
          <t>2024-02-13</t>
        </is>
      </c>
      <c r="O175" s="9" t="n">
        <v>5915</v>
      </c>
      <c r="P175" s="17" t="n">
        <v>124.7545394897461</v>
      </c>
      <c r="Q175" s="17" t="n">
        <v>139.4858703613281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Q2 2025-26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6.34%</t>
        </is>
      </c>
      <c r="J176" s="13" t="inlineStr">
        <is>
          <t>2.13%</t>
        </is>
      </c>
      <c r="K176" s="16">
        <f>X175</f>
        <v/>
      </c>
      <c r="L176" s="13" t="inlineStr">
        <is>
          <t>2023-10-16</t>
        </is>
      </c>
      <c r="M176" s="13" t="inlineStr">
        <is>
          <t>2023-10-30</t>
        </is>
      </c>
      <c r="N176" s="13" t="inlineStr">
        <is>
          <t>2023-10-27</t>
        </is>
      </c>
      <c r="O176" s="9" t="n">
        <v>1550</v>
      </c>
      <c r="P176" s="17" t="n">
        <v>750.5</v>
      </c>
      <c r="Q176" s="17" t="n">
        <v>801.3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Q2 2025-26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0.56%</t>
        </is>
      </c>
      <c r="J177" s="13" t="inlineStr">
        <is>
          <t>-0.43%</t>
        </is>
      </c>
      <c r="K177" s="16">
        <f>X176</f>
        <v/>
      </c>
      <c r="L177" s="13" t="inlineStr">
        <is>
          <t>2024-01-24</t>
        </is>
      </c>
      <c r="M177" s="13" t="inlineStr">
        <is>
          <t>2024-01-29</t>
        </is>
      </c>
      <c r="N177" s="13" t="inlineStr">
        <is>
          <t>2024-01-25</t>
        </is>
      </c>
      <c r="O177" s="9" t="n">
        <v>375</v>
      </c>
      <c r="P177" s="17" t="n">
        <v>1403.395263671875</v>
      </c>
      <c r="Q177" s="17" t="n">
        <v>1411.205444335938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Q2 2025-26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-5.91%</t>
        </is>
      </c>
      <c r="J178" s="13" t="inlineStr">
        <is>
          <t>-6.38%</t>
        </is>
      </c>
      <c r="K178" s="16">
        <f>X177</f>
        <v/>
      </c>
      <c r="L178" s="13" t="inlineStr">
        <is>
          <t>2024-08-02</t>
        </is>
      </c>
      <c r="M178" s="13" t="inlineStr">
        <is>
          <t>2024-08-06</t>
        </is>
      </c>
      <c r="N178" s="13" t="inlineStr">
        <is>
          <t>2024-08-03</t>
        </is>
      </c>
      <c r="O178" s="9" t="n">
        <v>1500</v>
      </c>
      <c r="P178" s="17" t="n">
        <v>816.4441528320312</v>
      </c>
      <c r="Q178" s="17" t="n">
        <v>768.15185546875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Q2 2025-26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13.3%</t>
        </is>
      </c>
      <c r="J179" s="13" t="inlineStr">
        <is>
          <t>10.24%</t>
        </is>
      </c>
      <c r="K179" s="16">
        <f>X178</f>
        <v/>
      </c>
      <c r="L179" s="13" t="inlineStr">
        <is>
          <t>2024-01-17</t>
        </is>
      </c>
      <c r="M179" s="13" t="inlineStr">
        <is>
          <t>2024-02-01</t>
        </is>
      </c>
      <c r="N179" s="13" t="inlineStr">
        <is>
          <t>2024-01-31</t>
        </is>
      </c>
      <c r="O179" s="9" t="n">
        <v>100</v>
      </c>
      <c r="P179" s="17" t="n">
        <v>25801.486328125</v>
      </c>
      <c r="Q179" s="17" t="n">
        <v>29233.412109375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Q2 2025-26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11.58%</t>
        </is>
      </c>
      <c r="J180" s="13" t="inlineStr">
        <is>
          <t>9.61%</t>
        </is>
      </c>
      <c r="K180" s="16">
        <f>X179</f>
        <v/>
      </c>
      <c r="L180" s="13" t="inlineStr">
        <is>
          <t>2024-07-25</t>
        </is>
      </c>
      <c r="M180" s="13" t="inlineStr">
        <is>
          <t>2024-08-01</t>
        </is>
      </c>
      <c r="N180" s="13" t="inlineStr">
        <is>
          <t>2024-07-26</t>
        </is>
      </c>
      <c r="O180" s="9" t="n">
        <v>957</v>
      </c>
      <c r="P180" s="17" t="n">
        <v>521.1231079101562</v>
      </c>
      <c r="Q180" s="17" t="n">
        <v>581.473388671875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Q2 2025-26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6.69%</t>
        </is>
      </c>
      <c r="J181" s="13" t="inlineStr">
        <is>
          <t>4.57%</t>
        </is>
      </c>
      <c r="K181" s="16">
        <f>X180</f>
        <v/>
      </c>
      <c r="L181" s="13" t="inlineStr">
        <is>
          <t>2024-02-01</t>
        </is>
      </c>
      <c r="M181" s="13" t="inlineStr">
        <is>
          <t>2024-02-14</t>
        </is>
      </c>
      <c r="N181" s="13" t="inlineStr">
        <is>
          <t>2024-02-13</t>
        </is>
      </c>
      <c r="O181" s="9" t="n">
        <v>273</v>
      </c>
      <c r="P181" s="17" t="n">
        <v>2389.230224609375</v>
      </c>
      <c r="Q181" s="17" t="n">
        <v>2549.15625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Q2 2025-26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10.46%</t>
        </is>
      </c>
      <c r="J182" s="13" t="inlineStr">
        <is>
          <t>8.07%</t>
        </is>
      </c>
      <c r="K182" s="16">
        <f>X181</f>
        <v/>
      </c>
      <c r="L182" s="13" t="inlineStr">
        <is>
          <t>2024-01-30</t>
        </is>
      </c>
      <c r="M182" s="13" t="inlineStr">
        <is>
          <t>2024-02-14</t>
        </is>
      </c>
      <c r="N182" s="13" t="inlineStr">
        <is>
          <t>2024-02-08</t>
        </is>
      </c>
      <c r="O182" s="9" t="n">
        <v>100</v>
      </c>
      <c r="P182" s="17" t="n">
        <v>6343.24560546875</v>
      </c>
      <c r="Q182" s="17" t="n">
        <v>7006.564453125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Q2 2025-26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1.4%</t>
        </is>
      </c>
      <c r="J183" s="13" t="inlineStr">
        <is>
          <t>-3.44%</t>
        </is>
      </c>
      <c r="K183" s="16">
        <f>X182</f>
        <v/>
      </c>
      <c r="L183" s="13" t="inlineStr">
        <is>
          <t>2024-01-15</t>
        </is>
      </c>
      <c r="M183" s="13" t="inlineStr">
        <is>
          <t>2024-01-30</t>
        </is>
      </c>
      <c r="N183" s="13" t="inlineStr">
        <is>
          <t>2024-01-23</t>
        </is>
      </c>
      <c r="O183" s="9" t="n">
        <v>1309</v>
      </c>
      <c r="P183" s="17" t="n">
        <v>586.5690307617188</v>
      </c>
      <c r="Q183" s="17" t="n">
        <v>594.8727416992188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Q2 2025-26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1.48%</t>
        </is>
      </c>
      <c r="J184" s="13" t="inlineStr">
        <is>
          <t>1.46%</t>
        </is>
      </c>
      <c r="K184" s="16">
        <f>X183</f>
        <v/>
      </c>
      <c r="L184" s="13" t="inlineStr">
        <is>
          <t>2024-01-24</t>
        </is>
      </c>
      <c r="M184" s="13" t="inlineStr">
        <is>
          <t>2024-02-05</t>
        </is>
      </c>
      <c r="N184" s="13" t="inlineStr">
        <is>
          <t>2024-01-30</t>
        </is>
      </c>
      <c r="O184" s="9" t="n">
        <v>383</v>
      </c>
      <c r="P184" s="17" t="n">
        <v>2230.339599609375</v>
      </c>
      <c r="Q184" s="17" t="n">
        <v>2263.877197265625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Q2 2025-26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7.26%</t>
        </is>
      </c>
      <c r="J185" s="13" t="inlineStr">
        <is>
          <t>6.7%</t>
        </is>
      </c>
      <c r="K185" s="16">
        <f>X184</f>
        <v/>
      </c>
      <c r="L185" s="13" t="inlineStr">
        <is>
          <t>2024-07-24</t>
        </is>
      </c>
      <c r="M185" s="13" t="inlineStr">
        <is>
          <t>2024-08-08</t>
        </is>
      </c>
      <c r="N185" s="13" t="inlineStr">
        <is>
          <t>2024-08-02</t>
        </is>
      </c>
      <c r="O185" s="9" t="n">
        <v>350</v>
      </c>
      <c r="P185" s="17" t="n">
        <v>1589.94482421875</v>
      </c>
      <c r="Q185" s="17" t="n">
        <v>1705.402465820312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Q2 2025-26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3.33%</t>
        </is>
      </c>
      <c r="J186" s="13" t="inlineStr">
        <is>
          <t>0.02%</t>
        </is>
      </c>
      <c r="K186" s="16">
        <f>X185</f>
        <v/>
      </c>
      <c r="L186" s="13" t="inlineStr">
        <is>
          <t>2024-01-10</t>
        </is>
      </c>
      <c r="M186" s="13" t="inlineStr">
        <is>
          <t>2024-01-23</t>
        </is>
      </c>
      <c r="N186" s="13" t="inlineStr">
        <is>
          <t>2024-01-19</t>
        </is>
      </c>
      <c r="O186" s="9" t="n">
        <v>289</v>
      </c>
      <c r="P186" s="17" t="n">
        <v>4075.139404296875</v>
      </c>
      <c r="Q186" s="17" t="n">
        <v>4215.57373046875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Q2 2025-26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11.89%</t>
        </is>
      </c>
      <c r="J187" s="13" t="inlineStr">
        <is>
          <t>5.24%</t>
        </is>
      </c>
      <c r="K187" s="16">
        <f>X186</f>
        <v/>
      </c>
      <c r="L187" s="13" t="inlineStr">
        <is>
          <t>2024-01-18</t>
        </is>
      </c>
      <c r="M187" s="13" t="inlineStr">
        <is>
          <t>2024-02-06</t>
        </is>
      </c>
      <c r="N187" s="13" t="inlineStr">
        <is>
          <t>2024-01-31</t>
        </is>
      </c>
      <c r="O187" s="9" t="n">
        <v>21097</v>
      </c>
      <c r="P187" s="17" t="n">
        <v>42.90000152587891</v>
      </c>
      <c r="Q187" s="17" t="n">
        <v>48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Q2 2025-26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-2.77%</t>
        </is>
      </c>
      <c r="J188" s="13" t="inlineStr">
        <is>
          <t>0.14%</t>
        </is>
      </c>
      <c r="K188" s="16">
        <f>X187</f>
        <v/>
      </c>
      <c r="L188" s="13" t="inlineStr">
        <is>
          <t>2025-07-23</t>
        </is>
      </c>
      <c r="M188" s="13" t="inlineStr">
        <is>
          <t>2025-07-28</t>
        </is>
      </c>
      <c r="N188" s="13" t="inlineStr">
        <is>
          <t>2025-07-25</t>
        </is>
      </c>
      <c r="O188" s="9" t="n">
        <v>3379</v>
      </c>
      <c r="P188" s="17" t="n">
        <v>418.7000122070313</v>
      </c>
      <c r="Q188" s="17" t="n">
        <v>407.1000061035156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Q2 2025-26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2.31%</t>
        </is>
      </c>
      <c r="J189" s="13" t="inlineStr">
        <is>
          <t>2.46%</t>
        </is>
      </c>
      <c r="K189" s="16">
        <f>X188</f>
        <v/>
      </c>
      <c r="L189" s="13" t="inlineStr">
        <is>
          <t>2024-07-26</t>
        </is>
      </c>
      <c r="M189" s="13" t="inlineStr">
        <is>
          <t>2024-08-06</t>
        </is>
      </c>
      <c r="N189" s="13" t="inlineStr">
        <is>
          <t>2024-07-30</t>
        </is>
      </c>
      <c r="O189" s="9" t="n">
        <v>450</v>
      </c>
      <c r="P189" s="17" t="n">
        <v>1167.002807617188</v>
      </c>
      <c r="Q189" s="17" t="n">
        <v>1194.612915039062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Q2 2025-26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12.96%</t>
        </is>
      </c>
      <c r="J190" s="13" t="inlineStr">
        <is>
          <t>5.46%</t>
        </is>
      </c>
      <c r="K190" s="16">
        <f>X189</f>
        <v/>
      </c>
      <c r="L190" s="13" t="inlineStr">
        <is>
          <t>2024-01-12</t>
        </is>
      </c>
      <c r="M190" s="13" t="inlineStr">
        <is>
          <t>2024-01-31</t>
        </is>
      </c>
      <c r="N190" s="13" t="inlineStr">
        <is>
          <t>2024-01-24</t>
        </is>
      </c>
      <c r="O190" s="9" t="n">
        <v>273</v>
      </c>
      <c r="P190" s="17" t="n">
        <v>7316.2763671875</v>
      </c>
      <c r="Q190" s="17" t="n">
        <v>8405.375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Q2 2025-26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-0.96%</t>
        </is>
      </c>
      <c r="J191" s="13" t="inlineStr">
        <is>
          <t>-4.18%</t>
        </is>
      </c>
      <c r="K191" s="16">
        <f>X190</f>
        <v/>
      </c>
      <c r="L191" s="13" t="inlineStr">
        <is>
          <t>2025-07-23</t>
        </is>
      </c>
      <c r="M191" s="13" t="inlineStr">
        <is>
          <t>2025-07-28</t>
        </is>
      </c>
      <c r="N191" s="13" t="inlineStr">
        <is>
          <t>2025-07-25</t>
        </is>
      </c>
      <c r="O191" s="9" t="n">
        <v>1425</v>
      </c>
      <c r="P191" s="17" t="n">
        <v>690.65</v>
      </c>
      <c r="Q191" s="17" t="n">
        <v>684.05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Q2 2025-26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2.81%</t>
        </is>
      </c>
      <c r="J192" s="13" t="inlineStr">
        <is>
          <t>0.49%</t>
        </is>
      </c>
      <c r="K192" s="16">
        <f>X191</f>
        <v/>
      </c>
      <c r="L192" s="13" t="inlineStr">
        <is>
          <t>2024-02-02</t>
        </is>
      </c>
      <c r="M192" s="13" t="inlineStr">
        <is>
          <t>2024-02-15</t>
        </is>
      </c>
      <c r="N192" s="13" t="inlineStr">
        <is>
          <t>2024-02-09</t>
        </is>
      </c>
      <c r="O192" s="9" t="n">
        <v>2659</v>
      </c>
      <c r="P192" s="17" t="n">
        <v>372.5883483886719</v>
      </c>
      <c r="Q192" s="17" t="n">
        <v>383.3573608398438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Q2 2025-26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4.03%</t>
        </is>
      </c>
      <c r="J193" s="13" t="inlineStr">
        <is>
          <t>4.69%</t>
        </is>
      </c>
      <c r="K193" s="16">
        <f>X192</f>
        <v/>
      </c>
      <c r="L193" s="13" t="inlineStr">
        <is>
          <t>2024-07-22</t>
        </is>
      </c>
      <c r="M193" s="13" t="inlineStr">
        <is>
          <t>2024-08-07</t>
        </is>
      </c>
      <c r="N193" s="13" t="inlineStr">
        <is>
          <t>2024-07-31</t>
        </is>
      </c>
      <c r="O193" s="9" t="n">
        <v>5500</v>
      </c>
      <c r="P193" s="17" t="n">
        <v>147.3156127929688</v>
      </c>
      <c r="Q193" s="17" t="n">
        <v>153.5008392333984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Q2 2025-26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-4.41%</t>
        </is>
      </c>
      <c r="J194" s="13" t="inlineStr">
        <is>
          <t>-4.13%</t>
        </is>
      </c>
      <c r="K194" s="16">
        <f>X193</f>
        <v/>
      </c>
      <c r="L194" s="13" t="inlineStr">
        <is>
          <t>2024-07-08</t>
        </is>
      </c>
      <c r="M194" s="13" t="inlineStr">
        <is>
          <t>2024-07-15</t>
        </is>
      </c>
      <c r="N194" s="13" t="inlineStr">
        <is>
          <t>2024-07-11</t>
        </is>
      </c>
      <c r="O194" s="9" t="n">
        <v>175</v>
      </c>
      <c r="P194" s="17" t="n">
        <v>3885.653076171875</v>
      </c>
      <c r="Q194" s="17" t="n">
        <v>3721.622802734375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Q2 2025-26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-0.73%</t>
        </is>
      </c>
      <c r="J195" s="13" t="inlineStr">
        <is>
          <t>-1.89%</t>
        </is>
      </c>
      <c r="K195" s="16">
        <f>X194</f>
        <v/>
      </c>
      <c r="L195" s="13" t="inlineStr">
        <is>
          <t>2024-07-24</t>
        </is>
      </c>
      <c r="M195" s="13" t="inlineStr">
        <is>
          <t>2024-08-01</t>
        </is>
      </c>
      <c r="N195" s="13" t="inlineStr">
        <is>
          <t>2024-07-25</t>
        </is>
      </c>
      <c r="O195" s="9" t="n">
        <v>600</v>
      </c>
      <c r="P195" s="17" t="n">
        <v>1449.977172851562</v>
      </c>
      <c r="Q195" s="17" t="n">
        <v>1439.509155273438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Q2 2025-26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8.62%</t>
        </is>
      </c>
      <c r="J196" s="13" t="inlineStr">
        <is>
          <t>2.8%</t>
        </is>
      </c>
      <c r="K196" s="16">
        <f>X195</f>
        <v/>
      </c>
      <c r="L196" s="13" t="inlineStr">
        <is>
          <t>2024-01-25</t>
        </is>
      </c>
      <c r="M196" s="13" t="inlineStr">
        <is>
          <t>2024-02-02</t>
        </is>
      </c>
      <c r="N196" s="13" t="inlineStr">
        <is>
          <t>2024-02-01</t>
        </is>
      </c>
      <c r="O196" s="9" t="n">
        <v>371</v>
      </c>
      <c r="P196" s="17" t="n">
        <v>3633.198486328125</v>
      </c>
      <c r="Q196" s="17" t="n">
        <v>3976.0791015625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Q2 2025-26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2.66%</t>
        </is>
      </c>
      <c r="J197" s="13" t="inlineStr">
        <is>
          <t>2.44%</t>
        </is>
      </c>
      <c r="K197" s="16">
        <f>X196</f>
        <v/>
      </c>
      <c r="L197" s="13" t="inlineStr">
        <is>
          <t>2024-08-01</t>
        </is>
      </c>
      <c r="M197" s="13" t="inlineStr">
        <is>
          <t>2024-08-05</t>
        </is>
      </c>
      <c r="N197" s="13" t="inlineStr">
        <is>
          <t>2024-08-02</t>
        </is>
      </c>
      <c r="O197" s="9" t="n">
        <v>175</v>
      </c>
      <c r="P197" s="17" t="n">
        <v>3354.8125</v>
      </c>
      <c r="Q197" s="17" t="n">
        <v>3446.634033203125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Q2 2025-26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-9.69%</t>
        </is>
      </c>
      <c r="J198" s="13" t="inlineStr">
        <is>
          <t>-10.53%</t>
        </is>
      </c>
      <c r="K198" s="16">
        <f>X197</f>
        <v/>
      </c>
      <c r="L198" s="13" t="inlineStr">
        <is>
          <t>2009-11-25</t>
        </is>
      </c>
      <c r="M198" s="13" t="inlineStr">
        <is>
          <t>2009-12-03</t>
        </is>
      </c>
      <c r="N198" s="13" t="inlineStr">
        <is>
          <t>2009-11-27</t>
        </is>
      </c>
      <c r="O198" s="9" t="n">
        <v>3054</v>
      </c>
      <c r="P198" s="17" t="n">
        <v>127.594856262207</v>
      </c>
      <c r="Q198" s="17" t="n">
        <v>116.3211059570312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Q2 2025-26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5.31%</t>
        </is>
      </c>
      <c r="J199" s="13" t="inlineStr">
        <is>
          <t>3.53%</t>
        </is>
      </c>
      <c r="K199" s="16">
        <f>X198</f>
        <v/>
      </c>
      <c r="L199" s="13" t="inlineStr">
        <is>
          <t>2024-02-01</t>
        </is>
      </c>
      <c r="M199" s="13" t="inlineStr">
        <is>
          <t>2024-02-08</t>
        </is>
      </c>
      <c r="N199" s="13" t="inlineStr">
        <is>
          <t>2024-02-02</t>
        </is>
      </c>
      <c r="O199" s="9" t="n">
        <v>205</v>
      </c>
      <c r="P199" s="17" t="n">
        <v>2440.918212890625</v>
      </c>
      <c r="Q199" s="17" t="n">
        <v>2570.517822265625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Q2 2025-26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18.82%</t>
        </is>
      </c>
      <c r="J200" s="13" t="inlineStr">
        <is>
          <t>17.44%</t>
        </is>
      </c>
      <c r="K200" s="16">
        <f>X199</f>
        <v/>
      </c>
      <c r="L200" s="13" t="inlineStr">
        <is>
          <t>2024-08-07</t>
        </is>
      </c>
      <c r="M200" s="13" t="inlineStr">
        <is>
          <t>2024-08-16</t>
        </is>
      </c>
      <c r="N200" s="13" t="inlineStr">
        <is>
          <t>2024-08-09</t>
        </is>
      </c>
      <c r="O200" s="9" t="n">
        <v>345</v>
      </c>
      <c r="P200" s="17" t="n">
        <v>5461.22265625</v>
      </c>
      <c r="Q200" s="17" t="n">
        <v>6489.05908203125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Q2 2025-26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3.75%</t>
        </is>
      </c>
      <c r="J201" s="13" t="inlineStr">
        <is>
          <t>3.47%</t>
        </is>
      </c>
      <c r="K201" s="16">
        <f>X200</f>
        <v/>
      </c>
      <c r="L201" s="13" t="inlineStr">
        <is>
          <t>2024-01-17</t>
        </is>
      </c>
      <c r="M201" s="13" t="inlineStr">
        <is>
          <t>2024-01-25</t>
        </is>
      </c>
      <c r="N201" s="13" t="inlineStr">
        <is>
          <t>2024-01-24</t>
        </is>
      </c>
      <c r="O201" s="9" t="n">
        <v>237</v>
      </c>
      <c r="P201" s="17" t="n">
        <v>1918.7646484375</v>
      </c>
      <c r="Q201" s="17" t="n">
        <v>1993.593627929688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Q2 2025-26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0.98%</t>
        </is>
      </c>
      <c r="J202" s="13" t="inlineStr">
        <is>
          <t>0.0%</t>
        </is>
      </c>
      <c r="K202" s="16">
        <f>X201</f>
        <v/>
      </c>
      <c r="L202" s="13" t="inlineStr">
        <is>
          <t>2024-07-11</t>
        </is>
      </c>
      <c r="M202" s="13" t="inlineStr">
        <is>
          <t>2024-07-25</t>
        </is>
      </c>
      <c r="N202" s="13" t="inlineStr">
        <is>
          <t>2024-07-19</t>
        </is>
      </c>
      <c r="O202" s="9" t="n">
        <v>100</v>
      </c>
      <c r="P202" s="17" t="n">
        <v>11302.40625</v>
      </c>
      <c r="Q202" s="17" t="n">
        <v>11414.4765625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Q2 2025-26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7.69%</t>
        </is>
      </c>
      <c r="J203" s="13" t="inlineStr">
        <is>
          <t>6.14%</t>
        </is>
      </c>
      <c r="K203" s="16">
        <f>X202</f>
        <v/>
      </c>
      <c r="L203" s="13" t="inlineStr">
        <is>
          <t>2024-01-17</t>
        </is>
      </c>
      <c r="M203" s="13" t="inlineStr">
        <is>
          <t>2024-01-29</t>
        </is>
      </c>
      <c r="N203" s="13" t="inlineStr">
        <is>
          <t>2024-01-20</t>
        </is>
      </c>
      <c r="O203" s="9" t="n">
        <v>5868</v>
      </c>
      <c r="P203" s="17" t="n">
        <v>120.7742614746094</v>
      </c>
      <c r="Q203" s="17" t="n">
        <v>130.0645904541016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Q2 2025-26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2.67%</t>
        </is>
      </c>
      <c r="J204" s="13" t="inlineStr">
        <is>
          <t>2.87%</t>
        </is>
      </c>
      <c r="K204" s="16">
        <f>X203</f>
        <v/>
      </c>
      <c r="L204" s="13" t="inlineStr">
        <is>
          <t>2024-01-16</t>
        </is>
      </c>
      <c r="M204" s="13" t="inlineStr">
        <is>
          <t>2024-01-30</t>
        </is>
      </c>
      <c r="N204" s="13" t="inlineStr">
        <is>
          <t>2024-01-23</t>
        </is>
      </c>
      <c r="O204" s="9" t="n">
        <v>652</v>
      </c>
      <c r="P204" s="17" t="n">
        <v>1053.869873046875</v>
      </c>
      <c r="Q204" s="17" t="n">
        <v>1082.742919921875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Q2 2025-26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-7.65%</t>
        </is>
      </c>
      <c r="J205" s="13" t="inlineStr">
        <is>
          <t>-12.64%</t>
        </is>
      </c>
      <c r="K205" s="16">
        <f>X204</f>
        <v/>
      </c>
      <c r="L205" s="13" t="inlineStr">
        <is>
          <t>2024-01-29</t>
        </is>
      </c>
      <c r="M205" s="13" t="inlineStr">
        <is>
          <t>2024-02-13</t>
        </is>
      </c>
      <c r="N205" s="13" t="inlineStr">
        <is>
          <t>2024-02-07</t>
        </is>
      </c>
      <c r="O205" s="9" t="n">
        <v>852</v>
      </c>
      <c r="P205" s="17" t="n">
        <v>679.9010009765625</v>
      </c>
      <c r="Q205" s="17" t="n">
        <v>627.864501953125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Q2 2025-26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13.86%</t>
        </is>
      </c>
      <c r="J206" s="13" t="inlineStr">
        <is>
          <t>14.55%</t>
        </is>
      </c>
      <c r="K206" s="16">
        <f>X205</f>
        <v/>
      </c>
      <c r="L206" s="13" t="inlineStr">
        <is>
          <t>2024-01-29</t>
        </is>
      </c>
      <c r="M206" s="13" t="inlineStr">
        <is>
          <t>2024-02-08</t>
        </is>
      </c>
      <c r="N206" s="13" t="inlineStr">
        <is>
          <t>2024-02-03</t>
        </is>
      </c>
      <c r="O206" s="9" t="n">
        <v>1659</v>
      </c>
      <c r="P206" s="17" t="n">
        <v>455.4294738769531</v>
      </c>
      <c r="Q206" s="17" t="n">
        <v>528.7135620117188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Q2 2025-26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-5.21%</t>
        </is>
      </c>
      <c r="J207" s="13" t="inlineStr">
        <is>
          <t>-6.06%</t>
        </is>
      </c>
      <c r="K207" s="16">
        <f>X206</f>
        <v/>
      </c>
      <c r="L207" s="13" t="inlineStr">
        <is>
          <t>2024-01-31</t>
        </is>
      </c>
      <c r="M207" s="13" t="inlineStr">
        <is>
          <t>2024-02-06</t>
        </is>
      </c>
      <c r="N207" s="13" t="inlineStr">
        <is>
          <t>2024-02-05</t>
        </is>
      </c>
      <c r="O207" s="9" t="n">
        <v>2215</v>
      </c>
      <c r="P207" s="17" t="n">
        <v>535.2404174804688</v>
      </c>
      <c r="Q207" s="17" t="n">
        <v>508.7197570800781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Q2 2025-26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3.81%</t>
        </is>
      </c>
      <c r="J208" s="13" t="inlineStr">
        <is>
          <t>2.54%</t>
        </is>
      </c>
      <c r="K208" s="16">
        <f>X207</f>
        <v/>
      </c>
      <c r="L208" s="13" t="inlineStr">
        <is>
          <t>2024-01-24</t>
        </is>
      </c>
      <c r="M208" s="13" t="inlineStr">
        <is>
          <t>2024-02-02</t>
        </is>
      </c>
      <c r="N208" s="13" t="inlineStr">
        <is>
          <t>2024-01-29</t>
        </is>
      </c>
      <c r="O208" s="9" t="n">
        <v>3738</v>
      </c>
      <c r="P208" s="17" t="n">
        <v>222.950912475586</v>
      </c>
      <c r="Q208" s="17" t="n">
        <v>231.4426422119141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Q2 2025-26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-3.85%</t>
        </is>
      </c>
      <c r="J209" s="13" t="inlineStr">
        <is>
          <t>-15.96%</t>
        </is>
      </c>
      <c r="K209" s="16">
        <f>X208</f>
        <v/>
      </c>
      <c r="L209" s="13" t="inlineStr">
        <is>
          <t>2025-07-18</t>
        </is>
      </c>
      <c r="M209" s="13" t="inlineStr">
        <is>
          <t>2025-07-28</t>
        </is>
      </c>
      <c r="N209" s="13" t="inlineStr">
        <is>
          <t>2025-07-25</t>
        </is>
      </c>
      <c r="O209" s="9" t="n">
        <v>9268</v>
      </c>
      <c r="P209" s="17" t="n">
        <v>138.0700073242188</v>
      </c>
      <c r="Q209" s="17" t="n">
        <v>132.75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Q2 2025-26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-2.31%</t>
        </is>
      </c>
      <c r="J210" s="13" t="inlineStr">
        <is>
          <t>-3.93%</t>
        </is>
      </c>
      <c r="K210" s="16">
        <f>X209</f>
        <v/>
      </c>
      <c r="L210" s="13" t="inlineStr">
        <is>
          <t>2024-01-25</t>
        </is>
      </c>
      <c r="M210" s="13" t="inlineStr">
        <is>
          <t>2024-02-06</t>
        </is>
      </c>
      <c r="N210" s="13" t="inlineStr">
        <is>
          <t>2024-01-31</t>
        </is>
      </c>
      <c r="O210" s="9" t="n">
        <v>750</v>
      </c>
      <c r="P210" s="17" t="n">
        <v>1015.830871582031</v>
      </c>
      <c r="Q210" s="17" t="n">
        <v>992.8662719726562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Q2 2025-26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7.11%</t>
        </is>
      </c>
      <c r="J211" s="13" t="inlineStr">
        <is>
          <t>-13.5%</t>
        </is>
      </c>
      <c r="K211" s="16">
        <f>X210</f>
        <v/>
      </c>
      <c r="L211" s="13" t="inlineStr">
        <is>
          <t>2025-07-15</t>
        </is>
      </c>
      <c r="M211" s="13" t="inlineStr">
        <is>
          <t>2025-07-31</t>
        </is>
      </c>
      <c r="N211" s="13" t="inlineStr">
        <is>
          <t>2025-07-25</t>
        </is>
      </c>
      <c r="O211" s="9" t="n">
        <v>380</v>
      </c>
      <c r="P211" s="17" t="n">
        <v>2990.72216796875</v>
      </c>
      <c r="Q211" s="17" t="n">
        <v>3219.494140625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Q2 2025-26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-5.1%</t>
        </is>
      </c>
      <c r="J212" s="13" t="inlineStr">
        <is>
          <t>-5.95%</t>
        </is>
      </c>
      <c r="K212" s="16">
        <f>X211</f>
        <v/>
      </c>
      <c r="L212" s="13" t="inlineStr">
        <is>
          <t>2024-07-11</t>
        </is>
      </c>
      <c r="M212" s="13" t="inlineStr">
        <is>
          <t>2024-07-25</t>
        </is>
      </c>
      <c r="N212" s="13" t="inlineStr">
        <is>
          <t>2024-07-19</t>
        </is>
      </c>
      <c r="O212" s="9" t="n">
        <v>1500</v>
      </c>
      <c r="P212" s="17" t="n">
        <v>250.3328399658203</v>
      </c>
      <c r="Q212" s="17" t="n">
        <v>237.5607452392578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Q2 2025-26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4.02%</t>
        </is>
      </c>
      <c r="J213" s="13" t="inlineStr">
        <is>
          <t>3.5%</t>
        </is>
      </c>
      <c r="K213" s="16">
        <f>X212</f>
        <v/>
      </c>
      <c r="L213" s="13" t="inlineStr">
        <is>
          <t>2024-01-12</t>
        </is>
      </c>
      <c r="M213" s="13" t="inlineStr">
        <is>
          <t>2024-02-01</t>
        </is>
      </c>
      <c r="N213" s="13" t="inlineStr">
        <is>
          <t>2024-01-27</t>
        </is>
      </c>
      <c r="O213" s="9" t="n">
        <v>44365</v>
      </c>
      <c r="P213" s="17" t="n">
        <v>23.89999961853028</v>
      </c>
      <c r="Q213" s="17" t="n">
        <v>24.89999961853028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Q2 2025-26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-15.51%</t>
        </is>
      </c>
      <c r="J214" s="13" t="inlineStr">
        <is>
          <t>-12.91%</t>
        </is>
      </c>
      <c r="K214" s="16">
        <f>X213</f>
        <v/>
      </c>
      <c r="L214" s="13" t="inlineStr">
        <is>
          <t>2024-02-05</t>
        </is>
      </c>
      <c r="M214" s="13" t="inlineStr">
        <is>
          <t>2024-02-15</t>
        </is>
      </c>
      <c r="N214" s="13" t="inlineStr">
        <is>
          <t>2024-02-09</t>
        </is>
      </c>
      <c r="O214" s="9" t="n">
        <v>896</v>
      </c>
      <c r="P214" s="17" t="n">
        <v>866.0551147460938</v>
      </c>
      <c r="Q214" s="17" t="n">
        <v>749.7369995117188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2025-26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Q1 2025-26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-4.32%</t>
        </is>
      </c>
      <c r="J4" s="13" t="inlineStr">
        <is>
          <t>-6.39%</t>
        </is>
      </c>
      <c r="K4" s="16" t="n">
        <v>42511150.11</v>
      </c>
      <c r="L4" s="13" t="inlineStr">
        <is>
          <t>2026-05-27</t>
        </is>
      </c>
      <c r="M4" s="13" t="inlineStr">
        <is>
          <t>2026-06-11</t>
        </is>
      </c>
      <c r="N4" s="13" t="inlineStr">
        <is>
          <t>2026-06-05</t>
        </is>
      </c>
      <c r="O4" s="9" t="n">
        <v>874</v>
      </c>
      <c r="P4" s="17" t="n">
        <v>1112.099975585938</v>
      </c>
      <c r="Q4" s="17" t="n">
        <v>1064.099975585938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Q1 2025-26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-11.14%</t>
        </is>
      </c>
      <c r="J5" s="13" t="inlineStr">
        <is>
          <t>-11.75%</t>
        </is>
      </c>
      <c r="K5" s="16">
        <f>X4</f>
        <v/>
      </c>
      <c r="L5" s="13" t="inlineStr">
        <is>
          <t>2026-04-29</t>
        </is>
      </c>
      <c r="M5" s="13" t="inlineStr">
        <is>
          <t>2026-05-14</t>
        </is>
      </c>
      <c r="N5" s="13" t="inlineStr">
        <is>
          <t>2026-05-08</t>
        </is>
      </c>
      <c r="O5" s="9" t="n">
        <v>137</v>
      </c>
      <c r="P5" s="17" t="n">
        <v>7234.90966796875</v>
      </c>
      <c r="Q5" s="17" t="n">
        <v>6429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Q1 2025-26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4.11%</t>
        </is>
      </c>
      <c r="J6" s="13" t="inlineStr">
        <is>
          <t>2.79%</t>
        </is>
      </c>
      <c r="K6" s="16">
        <f>X5</f>
        <v/>
      </c>
      <c r="L6" s="13" t="inlineStr">
        <is>
          <t>2026-06-04</t>
        </is>
      </c>
      <c r="M6" s="13" t="inlineStr">
        <is>
          <t>2026-06-15</t>
        </is>
      </c>
      <c r="N6" s="13" t="inlineStr">
        <is>
          <t>2026-06-08</t>
        </is>
      </c>
      <c r="O6" s="9" t="n">
        <v>2537</v>
      </c>
      <c r="P6" s="17" t="n">
        <v>353.6499938964844</v>
      </c>
      <c r="Q6" s="17" t="n">
        <v>368.2000122070313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Q1 2025-26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1.42%</t>
        </is>
      </c>
      <c r="J7" s="13" t="inlineStr">
        <is>
          <t>0.7%</t>
        </is>
      </c>
      <c r="K7" s="16">
        <f>X6</f>
        <v/>
      </c>
      <c r="L7" s="13" t="inlineStr">
        <is>
          <t>2026-06-25</t>
        </is>
      </c>
      <c r="M7" s="13" t="inlineStr">
        <is>
          <t>2026-06-29</t>
        </is>
      </c>
      <c r="N7" s="13" t="inlineStr">
        <is>
          <t>2026-06-26</t>
        </is>
      </c>
      <c r="O7" s="9" t="n">
        <v>602</v>
      </c>
      <c r="P7" s="17" t="n">
        <v>1486.400024414062</v>
      </c>
      <c r="Q7" s="17" t="n">
        <v>1507.800048828125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Q1 2025-26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-5.57%</t>
        </is>
      </c>
      <c r="J8" s="13" t="inlineStr">
        <is>
          <t>-6.19%</t>
        </is>
      </c>
      <c r="K8" s="16">
        <f>X7</f>
        <v/>
      </c>
      <c r="L8" s="13" t="inlineStr">
        <is>
          <t>2024-08-01</t>
        </is>
      </c>
      <c r="M8" s="13" t="inlineStr">
        <is>
          <t>2024-08-05</t>
        </is>
      </c>
      <c r="N8" s="13" t="inlineStr">
        <is>
          <t>2024-08-01</t>
        </is>
      </c>
      <c r="O8" s="9" t="n">
        <v>300</v>
      </c>
      <c r="P8" s="17" t="n">
        <v>3214.21875</v>
      </c>
      <c r="Q8" s="17" t="n">
        <v>3035.33740234375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Q1 2025-26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11.14%</t>
        </is>
      </c>
      <c r="J9" s="13" t="inlineStr">
        <is>
          <t>9.71%</t>
        </is>
      </c>
      <c r="K9" s="16">
        <f>X8</f>
        <v/>
      </c>
      <c r="L9" s="13" t="inlineStr">
        <is>
          <t>2026-01-29</t>
        </is>
      </c>
      <c r="M9" s="13" t="inlineStr">
        <is>
          <t>2026-02-04</t>
        </is>
      </c>
      <c r="N9" s="13" t="inlineStr">
        <is>
          <t>2026-02-02</t>
        </is>
      </c>
      <c r="O9" s="9" t="n">
        <v>500</v>
      </c>
      <c r="P9" s="17" t="n">
        <v>858.7999877929688</v>
      </c>
      <c r="Q9" s="17" t="n">
        <v>954.4500122070312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Q1 2025-26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2.3%</t>
        </is>
      </c>
      <c r="J10" s="13" t="inlineStr">
        <is>
          <t>1.64%</t>
        </is>
      </c>
      <c r="K10" s="16">
        <f>X9</f>
        <v/>
      </c>
      <c r="L10" s="13" t="inlineStr">
        <is>
          <t>2024-07-24</t>
        </is>
      </c>
      <c r="M10" s="13" t="inlineStr">
        <is>
          <t>2024-08-08</t>
        </is>
      </c>
      <c r="N10" s="13" t="inlineStr">
        <is>
          <t>2024-08-01</t>
        </is>
      </c>
      <c r="O10" s="9" t="n">
        <v>625</v>
      </c>
      <c r="P10" s="17" t="n">
        <v>1471.410034179688</v>
      </c>
      <c r="Q10" s="17" t="n">
        <v>1505.301635742188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Q1 2025-26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2.61%</t>
        </is>
      </c>
      <c r="J11" s="13" t="inlineStr">
        <is>
          <t>2.45%</t>
        </is>
      </c>
      <c r="K11" s="16">
        <f>X10</f>
        <v/>
      </c>
      <c r="L11" s="13" t="inlineStr">
        <is>
          <t>2026-06-24</t>
        </is>
      </c>
      <c r="M11" s="13" t="inlineStr">
        <is>
          <t>2026-06-30</t>
        </is>
      </c>
      <c r="N11" s="13" t="inlineStr">
        <is>
          <t>2026-06-27</t>
        </is>
      </c>
      <c r="O11" s="9" t="n">
        <v>4785</v>
      </c>
      <c r="P11" s="17" t="n">
        <v>223.7700042724609</v>
      </c>
      <c r="Q11" s="17" t="n">
        <v>229.759994506836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Q1 2025-26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-0.69%</t>
        </is>
      </c>
      <c r="J12" s="13" t="inlineStr">
        <is>
          <t>-1.0%</t>
        </is>
      </c>
      <c r="K12" s="16">
        <f>X11</f>
        <v/>
      </c>
      <c r="L12" s="13" t="inlineStr">
        <is>
          <t>2026-07-14</t>
        </is>
      </c>
      <c r="M12" s="13" t="inlineStr">
        <is>
          <t>2026-07-17</t>
        </is>
      </c>
      <c r="N12" s="13" t="inlineStr">
        <is>
          <t>2026-07-15</t>
        </is>
      </c>
      <c r="O12" s="9" t="n">
        <v>171</v>
      </c>
      <c r="P12" s="17" t="n">
        <v>5601.5</v>
      </c>
      <c r="Q12" s="17" t="n">
        <v>5563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Q1 2025-26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Q1 2025-26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-3.01%</t>
        </is>
      </c>
      <c r="J14" s="13" t="inlineStr">
        <is>
          <t>-3.26%</t>
        </is>
      </c>
      <c r="K14" s="16">
        <f>X13</f>
        <v/>
      </c>
      <c r="L14" s="13" t="inlineStr">
        <is>
          <t>2026-06-05</t>
        </is>
      </c>
      <c r="M14" s="13" t="inlineStr">
        <is>
          <t>2026-06-22</t>
        </is>
      </c>
      <c r="N14" s="13" t="inlineStr">
        <is>
          <t>2026-06-15</t>
        </is>
      </c>
      <c r="O14" s="9" t="n">
        <v>2303</v>
      </c>
      <c r="P14" s="17" t="n">
        <v>428</v>
      </c>
      <c r="Q14" s="17" t="n">
        <v>415.4933471679688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Q1 2025-26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10.86%</t>
        </is>
      </c>
      <c r="J15" s="13" t="inlineStr">
        <is>
          <t>5.95%</t>
        </is>
      </c>
      <c r="K15" s="16">
        <f>X14</f>
        <v/>
      </c>
      <c r="L15" s="13" t="inlineStr">
        <is>
          <t>2026-05-18</t>
        </is>
      </c>
      <c r="M15" s="13" t="inlineStr">
        <is>
          <t>2026-05-27</t>
        </is>
      </c>
      <c r="N15" s="13" t="inlineStr">
        <is>
          <t>2026-05-20</t>
        </is>
      </c>
      <c r="O15" s="9" t="n">
        <v>3428</v>
      </c>
      <c r="P15" s="17" t="n">
        <v>303.0129089355469</v>
      </c>
      <c r="Q15" s="17" t="n">
        <v>335.9111633300781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Q1 2025-26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-4.88%</t>
        </is>
      </c>
      <c r="J16" s="13" t="inlineStr">
        <is>
          <t>-5.88%</t>
        </is>
      </c>
      <c r="K16" s="16">
        <f>X15</f>
        <v/>
      </c>
      <c r="L16" s="13" t="inlineStr">
        <is>
          <t>2026-04-29</t>
        </is>
      </c>
      <c r="M16" s="13" t="inlineStr">
        <is>
          <t>2026-05-05</t>
        </is>
      </c>
      <c r="N16" s="13" t="inlineStr">
        <is>
          <t>2026-05-02</t>
        </is>
      </c>
      <c r="O16" s="9" t="n">
        <v>528</v>
      </c>
      <c r="P16" s="17" t="n">
        <v>1966.599975585937</v>
      </c>
      <c r="Q16" s="17" t="n">
        <v>1870.599975585937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Q1 2025-26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2.63%</t>
        </is>
      </c>
      <c r="J17" s="13" t="inlineStr">
        <is>
          <t>0.0%</t>
        </is>
      </c>
      <c r="K17" s="16">
        <f>X16</f>
        <v/>
      </c>
      <c r="L17" s="13" t="inlineStr">
        <is>
          <t>2024-08-13</t>
        </is>
      </c>
      <c r="M17" s="13" t="inlineStr">
        <is>
          <t>2024-08-21</t>
        </is>
      </c>
      <c r="N17" s="13" t="inlineStr">
        <is>
          <t>2024-08-14</t>
        </is>
      </c>
      <c r="O17" s="9" t="n">
        <v>125</v>
      </c>
      <c r="P17" s="17" t="n">
        <v>6552.89599609375</v>
      </c>
      <c r="Q17" s="17" t="n">
        <v>6725.36474609375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Q1 2025-26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3.88%</t>
        </is>
      </c>
      <c r="J18" s="13" t="inlineStr">
        <is>
          <t>-0.6%</t>
        </is>
      </c>
      <c r="K18" s="16">
        <f>X17</f>
        <v/>
      </c>
      <c r="L18" s="13" t="inlineStr">
        <is>
          <t>2025-04-21</t>
        </is>
      </c>
      <c r="M18" s="13" t="inlineStr">
        <is>
          <t>2025-04-23</t>
        </is>
      </c>
      <c r="N18" s="13" t="inlineStr">
        <is>
          <t>2025-04-22</t>
        </is>
      </c>
      <c r="O18" s="9" t="n">
        <v>5000</v>
      </c>
      <c r="P18" s="17" t="n">
        <v>106.5483627319336</v>
      </c>
      <c r="Q18" s="17" t="n">
        <v>110.6843872070312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Q1 2025-26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1.68%</t>
        </is>
      </c>
      <c r="J19" s="13" t="inlineStr">
        <is>
          <t>1.84%</t>
        </is>
      </c>
      <c r="K19" s="16">
        <f>X18</f>
        <v/>
      </c>
      <c r="L19" s="13" t="inlineStr">
        <is>
          <t>2024-07-10</t>
        </is>
      </c>
      <c r="M19" s="13" t="inlineStr">
        <is>
          <t>2024-07-19</t>
        </is>
      </c>
      <c r="N19" s="13" t="inlineStr">
        <is>
          <t>2024-07-17</t>
        </is>
      </c>
      <c r="O19" s="9" t="n">
        <v>200</v>
      </c>
      <c r="P19" s="17" t="n">
        <v>2884.55517578125</v>
      </c>
      <c r="Q19" s="17" t="n">
        <v>2933.903076171875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Q1 2025-26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6.45%</t>
        </is>
      </c>
      <c r="J20" s="13" t="inlineStr">
        <is>
          <t>7.91%</t>
        </is>
      </c>
      <c r="K20" s="16">
        <f>X19</f>
        <v/>
      </c>
      <c r="L20" s="13" t="inlineStr">
        <is>
          <t>2025-04-07</t>
        </is>
      </c>
      <c r="M20" s="13" t="inlineStr">
        <is>
          <t>2025-04-28</t>
        </is>
      </c>
      <c r="N20" s="13" t="inlineStr">
        <is>
          <t>2025-04-22</t>
        </is>
      </c>
      <c r="O20" s="9" t="n">
        <v>679</v>
      </c>
      <c r="P20" s="17" t="n">
        <v>1284.228149414062</v>
      </c>
      <c r="Q20" s="17" t="n">
        <v>1367.104248046875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Q1 2025-26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2026-02-02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Q1 2025-26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-22.84%</t>
        </is>
      </c>
      <c r="J22" s="13" t="inlineStr">
        <is>
          <t>-31.04%</t>
        </is>
      </c>
      <c r="K22" s="16">
        <f>X21</f>
        <v/>
      </c>
      <c r="L22" s="13" t="inlineStr">
        <is>
          <t>2025-04-07</t>
        </is>
      </c>
      <c r="M22" s="13" t="inlineStr">
        <is>
          <t>2025-04-23</t>
        </is>
      </c>
      <c r="N22" s="13" t="inlineStr">
        <is>
          <t>2025-04-22</t>
        </is>
      </c>
      <c r="O22" s="9" t="n">
        <v>970</v>
      </c>
      <c r="P22" s="17" t="n">
        <v>664.63037109375</v>
      </c>
      <c r="Q22" s="17" t="n">
        <v>541.0327758789062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Q1 2025-26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9.88%</t>
        </is>
      </c>
      <c r="J23" s="13" t="inlineStr">
        <is>
          <t>9.58%</t>
        </is>
      </c>
      <c r="K23" s="16">
        <f>X22</f>
        <v/>
      </c>
      <c r="L23" s="13" t="inlineStr">
        <is>
          <t>2025-04-15</t>
        </is>
      </c>
      <c r="M23" s="13" t="inlineStr">
        <is>
          <t>2025-04-23</t>
        </is>
      </c>
      <c r="N23" s="13" t="inlineStr">
        <is>
          <t>2025-04-22</t>
        </is>
      </c>
      <c r="O23" s="9" t="n">
        <v>634</v>
      </c>
      <c r="P23" s="17" t="n">
        <v>1130.45654296875</v>
      </c>
      <c r="Q23" s="17" t="n">
        <v>1242.137329101562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Q1 2025-26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-5.4%</t>
        </is>
      </c>
      <c r="J24" s="13" t="inlineStr">
        <is>
          <t>-6.73%</t>
        </is>
      </c>
      <c r="K24" s="16">
        <f>X23</f>
        <v/>
      </c>
      <c r="L24" s="13" t="inlineStr">
        <is>
          <t>2024-07-24</t>
        </is>
      </c>
      <c r="M24" s="13" t="inlineStr">
        <is>
          <t>2024-08-01</t>
        </is>
      </c>
      <c r="N24" s="13" t="inlineStr">
        <is>
          <t>2024-07-25</t>
        </is>
      </c>
      <c r="O24" s="9" t="n">
        <v>625</v>
      </c>
      <c r="P24" s="17" t="n">
        <v>1237.237548828125</v>
      </c>
      <c r="Q24" s="17" t="n">
        <v>1170.396484375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Q1 2025-26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0.97%</t>
        </is>
      </c>
      <c r="J25" s="13" t="inlineStr">
        <is>
          <t>-0.68%</t>
        </is>
      </c>
      <c r="K25" s="16">
        <f>X24</f>
        <v/>
      </c>
      <c r="L25" s="13" t="inlineStr">
        <is>
          <t>2024-07-09</t>
        </is>
      </c>
      <c r="M25" s="13" t="inlineStr">
        <is>
          <t>2024-07-18</t>
        </is>
      </c>
      <c r="N25" s="13" t="inlineStr">
        <is>
          <t>2024-07-16</t>
        </is>
      </c>
      <c r="O25" s="9" t="n">
        <v>125</v>
      </c>
      <c r="P25" s="17" t="n">
        <v>9169.396484375</v>
      </c>
      <c r="Q25" s="17" t="n">
        <v>9257.974609375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Q1 2025-26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2.88%</t>
        </is>
      </c>
      <c r="J26" s="13" t="inlineStr">
        <is>
          <t>2.35%</t>
        </is>
      </c>
      <c r="K26" s="16">
        <f>X25</f>
        <v/>
      </c>
      <c r="L26" s="13" t="inlineStr">
        <is>
          <t>2024-07-25</t>
        </is>
      </c>
      <c r="M26" s="13" t="inlineStr">
        <is>
          <t>2024-07-29</t>
        </is>
      </c>
      <c r="N26" s="13" t="inlineStr">
        <is>
          <t>2024-07-25</t>
        </is>
      </c>
      <c r="O26" s="9" t="n">
        <v>500</v>
      </c>
      <c r="P26" s="17" t="n">
        <v>1569.844848632812</v>
      </c>
      <c r="Q26" s="17" t="n">
        <v>1614.984497070312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Q1 2025-26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9.5%</t>
        </is>
      </c>
      <c r="J27" s="13" t="inlineStr">
        <is>
          <t>5.72%</t>
        </is>
      </c>
      <c r="K27" s="16">
        <f>X26</f>
        <v/>
      </c>
      <c r="L27" s="13" t="inlineStr">
        <is>
          <t>2025-04-11</t>
        </is>
      </c>
      <c r="M27" s="13" t="inlineStr">
        <is>
          <t>2025-04-28</t>
        </is>
      </c>
      <c r="N27" s="13" t="inlineStr">
        <is>
          <t>2025-04-22</t>
        </is>
      </c>
      <c r="O27" s="9" t="n">
        <v>100</v>
      </c>
      <c r="P27" s="17" t="n">
        <v>11066.4453125</v>
      </c>
      <c r="Q27" s="17" t="n">
        <v>12117.8017578125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Q1 2025-26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-0.88%</t>
        </is>
      </c>
      <c r="J28" s="13" t="inlineStr">
        <is>
          <t>-2.94%</t>
        </is>
      </c>
      <c r="K28" s="16">
        <f>X27</f>
        <v/>
      </c>
      <c r="L28" s="13" t="inlineStr">
        <is>
          <t>2024-07-22</t>
        </is>
      </c>
      <c r="M28" s="13" t="inlineStr">
        <is>
          <t>2024-07-30</t>
        </is>
      </c>
      <c r="N28" s="13" t="inlineStr">
        <is>
          <t>2024-07-23</t>
        </is>
      </c>
      <c r="O28" s="9" t="n">
        <v>125</v>
      </c>
      <c r="P28" s="17" t="n">
        <v>680.0228881835938</v>
      </c>
      <c r="Q28" s="17" t="n">
        <v>674.0319213867188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Q1 2025-26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3.69%</t>
        </is>
      </c>
      <c r="J29" s="13" t="inlineStr">
        <is>
          <t>2.65%</t>
        </is>
      </c>
      <c r="K29" s="16">
        <f>X28</f>
        <v/>
      </c>
      <c r="L29" s="13" t="inlineStr">
        <is>
          <t>2025-04-16</t>
        </is>
      </c>
      <c r="M29" s="13" t="inlineStr">
        <is>
          <t>2025-04-28</t>
        </is>
      </c>
      <c r="N29" s="13" t="inlineStr">
        <is>
          <t>2025-04-22</t>
        </is>
      </c>
      <c r="O29" s="9" t="n">
        <v>6099</v>
      </c>
      <c r="P29" s="17" t="n">
        <v>155.6270294189453</v>
      </c>
      <c r="Q29" s="17" t="n">
        <v>161.3742370605469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Q1 2025-26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-8.62%</t>
        </is>
      </c>
      <c r="J30" s="13" t="inlineStr">
        <is>
          <t>-8.98%</t>
        </is>
      </c>
      <c r="K30" s="16">
        <f>X29</f>
        <v/>
      </c>
      <c r="L30" s="13" t="inlineStr">
        <is>
          <t>2025-04-11</t>
        </is>
      </c>
      <c r="M30" s="13" t="inlineStr">
        <is>
          <t>2025-04-28</t>
        </is>
      </c>
      <c r="N30" s="13" t="inlineStr">
        <is>
          <t>2025-04-22</t>
        </is>
      </c>
      <c r="O30" s="9" t="n">
        <v>4138</v>
      </c>
      <c r="P30" s="17" t="n">
        <v>236.4874114990234</v>
      </c>
      <c r="Q30" s="17" t="n">
        <v>217.712631225586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Q1 2025-26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-2.51%</t>
        </is>
      </c>
      <c r="J31" s="13" t="inlineStr">
        <is>
          <t>-5.48%</t>
        </is>
      </c>
      <c r="K31" s="16">
        <f>X30</f>
        <v/>
      </c>
      <c r="L31" s="13" t="inlineStr">
        <is>
          <t>2025-04-16</t>
        </is>
      </c>
      <c r="M31" s="13" t="inlineStr">
        <is>
          <t>2025-04-28</t>
        </is>
      </c>
      <c r="N31" s="13" t="inlineStr">
        <is>
          <t>2025-04-22</t>
        </is>
      </c>
      <c r="O31" s="9" t="n">
        <v>7287</v>
      </c>
      <c r="P31" s="17" t="n">
        <v>110.6218948364258</v>
      </c>
      <c r="Q31" s="17" t="n">
        <v>107.9119567871094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Q1 2025-26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-13.69%</t>
        </is>
      </c>
      <c r="J32" s="13" t="inlineStr">
        <is>
          <t>-8.75%</t>
        </is>
      </c>
      <c r="K32" s="16">
        <f>X31</f>
        <v/>
      </c>
      <c r="L32" s="13" t="inlineStr">
        <is>
          <t>2025-04-07</t>
        </is>
      </c>
      <c r="M32" s="13" t="inlineStr">
        <is>
          <t>2025-04-23</t>
        </is>
      </c>
      <c r="N32" s="13" t="inlineStr">
        <is>
          <t>2025-04-22</t>
        </is>
      </c>
      <c r="O32" s="9" t="n">
        <v>793</v>
      </c>
      <c r="P32" s="17" t="n">
        <v>1421.662109375</v>
      </c>
      <c r="Q32" s="17" t="n">
        <v>1250.490844726562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Q1 2025-26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5.24%</t>
        </is>
      </c>
      <c r="J33" s="13" t="inlineStr">
        <is>
          <t>6.87%</t>
        </is>
      </c>
      <c r="K33" s="16">
        <f>X32</f>
        <v/>
      </c>
      <c r="L33" s="13" t="inlineStr">
        <is>
          <t>2024-07-19</t>
        </is>
      </c>
      <c r="M33" s="13" t="inlineStr">
        <is>
          <t>2024-08-05</t>
        </is>
      </c>
      <c r="N33" s="13" t="inlineStr">
        <is>
          <t>2024-07-29</t>
        </is>
      </c>
      <c r="O33" s="9" t="n">
        <v>2438</v>
      </c>
      <c r="P33" s="17" t="n">
        <v>285.9877624511719</v>
      </c>
      <c r="Q33" s="17" t="n">
        <v>301.8020935058594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Q1 2025-26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-17.02%</t>
        </is>
      </c>
      <c r="J34" s="13" t="inlineStr">
        <is>
          <t>-22.65%</t>
        </is>
      </c>
      <c r="K34" s="16">
        <f>X33</f>
        <v/>
      </c>
      <c r="L34" s="13" t="inlineStr">
        <is>
          <t>2025-04-08</t>
        </is>
      </c>
      <c r="M34" s="13" t="inlineStr">
        <is>
          <t>2025-04-23</t>
        </is>
      </c>
      <c r="N34" s="13" t="inlineStr">
        <is>
          <t>2025-04-22</t>
        </is>
      </c>
      <c r="O34" s="9" t="n">
        <v>461</v>
      </c>
      <c r="P34" s="17" t="n">
        <v>1125.548217773438</v>
      </c>
      <c r="Q34" s="17" t="n">
        <v>961.8455810546876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Q1 2025-26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1.21%</t>
        </is>
      </c>
      <c r="J35" s="13" t="inlineStr">
        <is>
          <t>-0.29%</t>
        </is>
      </c>
      <c r="K35" s="16">
        <f>X34</f>
        <v/>
      </c>
      <c r="L35" s="13" t="inlineStr">
        <is>
          <t>2024-07-25</t>
        </is>
      </c>
      <c r="M35" s="13" t="inlineStr">
        <is>
          <t>2024-08-12</t>
        </is>
      </c>
      <c r="N35" s="13" t="inlineStr">
        <is>
          <t>2024-08-05</t>
        </is>
      </c>
      <c r="O35" s="9" t="n">
        <v>950</v>
      </c>
      <c r="P35" s="17" t="n">
        <v>1429.171142578125</v>
      </c>
      <c r="Q35" s="17" t="n">
        <v>1446.50732421875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Q1 2025-26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-3.84%</t>
        </is>
      </c>
      <c r="J36" s="13" t="inlineStr">
        <is>
          <t>-4.91%</t>
        </is>
      </c>
      <c r="K36" s="16">
        <f>X35</f>
        <v/>
      </c>
      <c r="L36" s="13" t="inlineStr">
        <is>
          <t>2025-04-15</t>
        </is>
      </c>
      <c r="M36" s="13" t="inlineStr">
        <is>
          <t>2025-04-28</t>
        </is>
      </c>
      <c r="N36" s="13" t="inlineStr">
        <is>
          <t>2025-04-22</t>
        </is>
      </c>
      <c r="O36" s="9" t="n">
        <v>2481</v>
      </c>
      <c r="P36" s="17" t="n">
        <v>229.0880737304688</v>
      </c>
      <c r="Q36" s="17" t="n">
        <v>220.6232299804688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Q1 2025-26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-4.16%</t>
        </is>
      </c>
      <c r="J37" s="13" t="inlineStr">
        <is>
          <t>-7.08%</t>
        </is>
      </c>
      <c r="K37" s="16">
        <f>X36</f>
        <v/>
      </c>
      <c r="L37" s="13" t="inlineStr">
        <is>
          <t>2025-04-08</t>
        </is>
      </c>
      <c r="M37" s="13" t="inlineStr">
        <is>
          <t>2025-04-23</t>
        </is>
      </c>
      <c r="N37" s="13" t="inlineStr">
        <is>
          <t>2025-04-22</t>
        </is>
      </c>
      <c r="O37" s="9" t="n">
        <v>2351</v>
      </c>
      <c r="P37" s="17" t="n">
        <v>334.8512878417969</v>
      </c>
      <c r="Q37" s="17" t="n">
        <v>321.4851684570312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Q1 2025-26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1.88%</t>
        </is>
      </c>
      <c r="J38" s="13" t="inlineStr">
        <is>
          <t>1.35%</t>
        </is>
      </c>
      <c r="K38" s="16">
        <f>X37</f>
        <v/>
      </c>
      <c r="L38" s="13" t="inlineStr">
        <is>
          <t>2025-04-07</t>
        </is>
      </c>
      <c r="M38" s="13" t="inlineStr">
        <is>
          <t>2025-04-23</t>
        </is>
      </c>
      <c r="N38" s="13" t="inlineStr">
        <is>
          <t>2025-04-22</t>
        </is>
      </c>
      <c r="O38" s="9" t="n">
        <v>591</v>
      </c>
      <c r="P38" s="17" t="n">
        <v>1906.843627929688</v>
      </c>
      <c r="Q38" s="17" t="n">
        <v>1943.288940429688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Q1 2025-26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-6.49%</t>
        </is>
      </c>
      <c r="J39" s="13" t="inlineStr">
        <is>
          <t>-6.1%</t>
        </is>
      </c>
      <c r="K39" s="16">
        <f>X38</f>
        <v/>
      </c>
      <c r="L39" s="13" t="inlineStr">
        <is>
          <t>2025-04-07</t>
        </is>
      </c>
      <c r="M39" s="13" t="inlineStr">
        <is>
          <t>2025-04-28</t>
        </is>
      </c>
      <c r="N39" s="13" t="inlineStr">
        <is>
          <t>2025-04-22</t>
        </is>
      </c>
      <c r="O39" s="9" t="n">
        <v>100</v>
      </c>
      <c r="P39" s="17" t="n">
        <v>27935.8359375</v>
      </c>
      <c r="Q39" s="17" t="n">
        <v>26232.208984375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Q1 2025-26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-6.38%</t>
        </is>
      </c>
      <c r="J40" s="13" t="inlineStr">
        <is>
          <t>-5.25%</t>
        </is>
      </c>
      <c r="K40" s="16">
        <f>X39</f>
        <v/>
      </c>
      <c r="L40" s="13" t="inlineStr">
        <is>
          <t>2024-07-11</t>
        </is>
      </c>
      <c r="M40" s="13" t="inlineStr">
        <is>
          <t>2024-07-25</t>
        </is>
      </c>
      <c r="N40" s="13" t="inlineStr">
        <is>
          <t>2024-07-19</t>
        </is>
      </c>
      <c r="O40" s="9" t="n">
        <v>1800</v>
      </c>
      <c r="P40" s="17" t="n">
        <v>290.8780517578125</v>
      </c>
      <c r="Q40" s="17" t="n">
        <v>273.4422912597656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Q1 2025-26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0.73%</t>
        </is>
      </c>
      <c r="J41" s="13" t="inlineStr">
        <is>
          <t>0.13%</t>
        </is>
      </c>
      <c r="K41" s="16">
        <f>X40</f>
        <v/>
      </c>
      <c r="L41" s="13" t="inlineStr">
        <is>
          <t>2024-08-01</t>
        </is>
      </c>
      <c r="M41" s="13" t="inlineStr">
        <is>
          <t>2024-08-05</t>
        </is>
      </c>
      <c r="N41" s="13" t="inlineStr">
        <is>
          <t>2024-08-02</t>
        </is>
      </c>
      <c r="O41" s="9" t="n">
        <v>200</v>
      </c>
      <c r="P41" s="17" t="n">
        <v>5583.35400390625</v>
      </c>
      <c r="Q41" s="17" t="n">
        <v>5624.19482421875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Q1 2025-26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16.27%</t>
        </is>
      </c>
      <c r="J42" s="13" t="inlineStr">
        <is>
          <t>13.21%</t>
        </is>
      </c>
      <c r="K42" s="16">
        <f>X41</f>
        <v/>
      </c>
      <c r="L42" s="13" t="inlineStr">
        <is>
          <t>2025-04-08</t>
        </is>
      </c>
      <c r="M42" s="13" t="inlineStr">
        <is>
          <t>2025-04-23</t>
        </is>
      </c>
      <c r="N42" s="13" t="inlineStr">
        <is>
          <t>2025-04-22</t>
        </is>
      </c>
      <c r="O42" s="9" t="n">
        <v>283</v>
      </c>
      <c r="P42" s="17" t="n">
        <v>1835.427124023437</v>
      </c>
      <c r="Q42" s="17" t="n">
        <v>2133.963134765625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Q1 2025-26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-5.65%</t>
        </is>
      </c>
      <c r="J43" s="13" t="inlineStr">
        <is>
          <t>-9.76%</t>
        </is>
      </c>
      <c r="K43" s="16">
        <f>X42</f>
        <v/>
      </c>
      <c r="L43" s="13" t="inlineStr">
        <is>
          <t>2025-04-17</t>
        </is>
      </c>
      <c r="M43" s="13" t="inlineStr">
        <is>
          <t>2025-04-23</t>
        </is>
      </c>
      <c r="N43" s="13" t="inlineStr">
        <is>
          <t>2025-04-22</t>
        </is>
      </c>
      <c r="O43" s="9" t="n">
        <v>1260</v>
      </c>
      <c r="P43" s="17" t="n">
        <v>803.05029296875</v>
      </c>
      <c r="Q43" s="17" t="n">
        <v>760.07861328125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Q1 2025-26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-10.09%</t>
        </is>
      </c>
      <c r="J44" s="13" t="inlineStr">
        <is>
          <t>-12.68%</t>
        </is>
      </c>
      <c r="K44" s="16">
        <f>X43</f>
        <v/>
      </c>
      <c r="L44" s="13" t="inlineStr">
        <is>
          <t>2025-04-08</t>
        </is>
      </c>
      <c r="M44" s="13" t="inlineStr">
        <is>
          <t>2025-04-28</t>
        </is>
      </c>
      <c r="N44" s="13" t="inlineStr">
        <is>
          <t>2025-04-22</t>
        </is>
      </c>
      <c r="O44" s="9" t="n">
        <v>8046</v>
      </c>
      <c r="P44" s="17" t="n">
        <v>92.00941467285156</v>
      </c>
      <c r="Q44" s="17" t="n">
        <v>83.57950592041016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Q1 2025-26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-18.98%</t>
        </is>
      </c>
      <c r="J45" s="13" t="inlineStr">
        <is>
          <t>-21.88%</t>
        </is>
      </c>
      <c r="K45" s="16">
        <f>X44</f>
        <v/>
      </c>
      <c r="L45" s="13" t="inlineStr">
        <is>
          <t>2025-04-07</t>
        </is>
      </c>
      <c r="M45" s="13" t="inlineStr">
        <is>
          <t>2025-04-23</t>
        </is>
      </c>
      <c r="N45" s="13" t="inlineStr">
        <is>
          <t>2025-04-22</t>
        </is>
      </c>
      <c r="O45" s="9" t="n">
        <v>748</v>
      </c>
      <c r="P45" s="17" t="n">
        <v>1337.691650390625</v>
      </c>
      <c r="Q45" s="17" t="n">
        <v>1124.2939453125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Q1 2025-26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7.53%</t>
        </is>
      </c>
      <c r="J46" s="13" t="inlineStr">
        <is>
          <t>8.4%</t>
        </is>
      </c>
      <c r="K46" s="16">
        <f>X45</f>
        <v/>
      </c>
      <c r="L46" s="13" t="inlineStr">
        <is>
          <t>2025-04-15</t>
        </is>
      </c>
      <c r="M46" s="13" t="inlineStr">
        <is>
          <t>2025-04-28</t>
        </is>
      </c>
      <c r="N46" s="13" t="inlineStr">
        <is>
          <t>2025-04-22</t>
        </is>
      </c>
      <c r="O46" s="9" t="n">
        <v>1201</v>
      </c>
      <c r="P46" s="17" t="n">
        <v>587.9523315429688</v>
      </c>
      <c r="Q46" s="17" t="n">
        <v>632.20458984375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Q1 2025-26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5.6%</t>
        </is>
      </c>
      <c r="J47" s="13" t="inlineStr">
        <is>
          <t>6.66%</t>
        </is>
      </c>
      <c r="K47" s="16">
        <f>X46</f>
        <v/>
      </c>
      <c r="L47" s="13" t="inlineStr">
        <is>
          <t>2025-04-21</t>
        </is>
      </c>
      <c r="M47" s="13" t="inlineStr">
        <is>
          <t>2025-04-23</t>
        </is>
      </c>
      <c r="N47" s="13" t="inlineStr">
        <is>
          <t>2025-04-22</t>
        </is>
      </c>
      <c r="O47" s="9" t="n">
        <v>563</v>
      </c>
      <c r="P47" s="17" t="n">
        <v>1564.310546875</v>
      </c>
      <c r="Q47" s="17" t="n">
        <v>1657.162841796875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Q1 2025-26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-3.22%</t>
        </is>
      </c>
      <c r="J48" s="13" t="inlineStr">
        <is>
          <t>-3.28%</t>
        </is>
      </c>
      <c r="K48" s="16">
        <f>X47</f>
        <v/>
      </c>
      <c r="L48" s="13" t="inlineStr">
        <is>
          <t>2024-07-23</t>
        </is>
      </c>
      <c r="M48" s="13" t="inlineStr">
        <is>
          <t>2024-08-01</t>
        </is>
      </c>
      <c r="N48" s="13" t="inlineStr">
        <is>
          <t>2024-07-26</t>
        </is>
      </c>
      <c r="O48" s="9" t="n">
        <v>650</v>
      </c>
      <c r="P48" s="17" t="n">
        <v>1502.895385742188</v>
      </c>
      <c r="Q48" s="17" t="n">
        <v>1455.948120117188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Q1 2025-26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6.78%</t>
        </is>
      </c>
      <c r="J49" s="13" t="inlineStr">
        <is>
          <t>5.82%</t>
        </is>
      </c>
      <c r="K49" s="16">
        <f>X48</f>
        <v/>
      </c>
      <c r="L49" s="13" t="inlineStr">
        <is>
          <t>2024-07-22</t>
        </is>
      </c>
      <c r="M49" s="13" t="inlineStr">
        <is>
          <t>2024-08-02</t>
        </is>
      </c>
      <c r="N49" s="13" t="inlineStr">
        <is>
          <t>2024-07-31</t>
        </is>
      </c>
      <c r="O49" s="9" t="n">
        <v>2100</v>
      </c>
      <c r="P49" s="17" t="n">
        <v>431.8704528808594</v>
      </c>
      <c r="Q49" s="17" t="n">
        <v>461.1482849121094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Q1 2025-26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-6.05%</t>
        </is>
      </c>
      <c r="J50" s="13" t="inlineStr">
        <is>
          <t>-0.04%</t>
        </is>
      </c>
      <c r="K50" s="16">
        <f>X49</f>
        <v/>
      </c>
      <c r="L50" s="13" t="inlineStr">
        <is>
          <t>2025-04-11</t>
        </is>
      </c>
      <c r="M50" s="13" t="inlineStr">
        <is>
          <t>2025-04-23</t>
        </is>
      </c>
      <c r="N50" s="13" t="inlineStr">
        <is>
          <t>2025-04-22</t>
        </is>
      </c>
      <c r="O50" s="9" t="n">
        <v>713</v>
      </c>
      <c r="P50" s="17" t="n">
        <v>1476.802124023438</v>
      </c>
      <c r="Q50" s="17" t="n">
        <v>1392.609375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Q1 2025-26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6.33%</t>
        </is>
      </c>
      <c r="J51" s="13" t="inlineStr">
        <is>
          <t>4.74%</t>
        </is>
      </c>
      <c r="K51" s="16">
        <f>X50</f>
        <v/>
      </c>
      <c r="L51" s="13" t="inlineStr">
        <is>
          <t>2025-04-21</t>
        </is>
      </c>
      <c r="M51" s="13" t="inlineStr">
        <is>
          <t>2025-04-28</t>
        </is>
      </c>
      <c r="N51" s="13" t="inlineStr">
        <is>
          <t>2025-04-22</t>
        </is>
      </c>
      <c r="O51" s="9" t="n">
        <v>572</v>
      </c>
      <c r="P51" s="17" t="n">
        <v>1374.69482421875</v>
      </c>
      <c r="Q51" s="17" t="n">
        <v>1461.77734375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Q1 2025-26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8.14%</t>
        </is>
      </c>
      <c r="J52" s="13" t="inlineStr">
        <is>
          <t>8.15%</t>
        </is>
      </c>
      <c r="K52" s="16">
        <f>X51</f>
        <v/>
      </c>
      <c r="L52" s="13" t="inlineStr">
        <is>
          <t>2025-04-11</t>
        </is>
      </c>
      <c r="M52" s="13" t="inlineStr">
        <is>
          <t>2025-04-28</t>
        </is>
      </c>
      <c r="N52" s="13" t="inlineStr">
        <is>
          <t>2025-04-22</t>
        </is>
      </c>
      <c r="O52" s="9" t="n">
        <v>479</v>
      </c>
      <c r="P52" s="17" t="n">
        <v>2410.095458984375</v>
      </c>
      <c r="Q52" s="17" t="n">
        <v>2606.3056640625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Q1 2025-26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2.02%</t>
        </is>
      </c>
      <c r="J53" s="13" t="inlineStr">
        <is>
          <t>-1.05%</t>
        </is>
      </c>
      <c r="K53" s="16">
        <f>X52</f>
        <v/>
      </c>
      <c r="L53" s="13" t="inlineStr">
        <is>
          <t>2025-04-16</t>
        </is>
      </c>
      <c r="M53" s="13" t="inlineStr">
        <is>
          <t>2025-04-23</t>
        </is>
      </c>
      <c r="N53" s="13" t="inlineStr">
        <is>
          <t>2025-04-22</t>
        </is>
      </c>
      <c r="O53" s="9" t="n">
        <v>1904</v>
      </c>
      <c r="P53" s="17" t="n">
        <v>549.9105834960938</v>
      </c>
      <c r="Q53" s="17" t="n">
        <v>561.0377807617188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Q1 2025-26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-2.44%</t>
        </is>
      </c>
      <c r="J54" s="13" t="inlineStr">
        <is>
          <t>-0.63%</t>
        </is>
      </c>
      <c r="K54" s="16">
        <f>X53</f>
        <v/>
      </c>
      <c r="L54" s="13" t="inlineStr">
        <is>
          <t>2025-04-15</t>
        </is>
      </c>
      <c r="M54" s="13" t="inlineStr">
        <is>
          <t>2025-04-23</t>
        </is>
      </c>
      <c r="N54" s="13" t="inlineStr">
        <is>
          <t>2025-04-22</t>
        </is>
      </c>
      <c r="O54" s="9" t="n">
        <v>3841</v>
      </c>
      <c r="P54" s="17" t="n">
        <v>336.7169494628906</v>
      </c>
      <c r="Q54" s="17" t="n">
        <v>328.6858825683594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Q1 2025-26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0.0%</t>
        </is>
      </c>
      <c r="J55" s="13" t="inlineStr">
        <is>
          <t>-0.79%</t>
        </is>
      </c>
      <c r="K55" s="16">
        <f>X54</f>
        <v/>
      </c>
      <c r="L55" s="13" t="inlineStr">
        <is>
          <t>2025-04-15</t>
        </is>
      </c>
      <c r="M55" s="13" t="inlineStr">
        <is>
          <t>2025-04-28</t>
        </is>
      </c>
      <c r="N55" s="13" t="inlineStr">
        <is>
          <t>2025-04-22</t>
        </is>
      </c>
      <c r="O55" s="9" t="n">
        <v>185</v>
      </c>
      <c r="P55" s="17" t="n">
        <v>2856.517578125</v>
      </c>
      <c r="Q55" s="17" t="n">
        <v>2856.614990234375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Q1 2025-26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5.4%</t>
        </is>
      </c>
      <c r="J56" s="13" t="inlineStr">
        <is>
          <t>3.9%</t>
        </is>
      </c>
      <c r="K56" s="16">
        <f>X55</f>
        <v/>
      </c>
      <c r="L56" s="13" t="inlineStr">
        <is>
          <t>2025-04-11</t>
        </is>
      </c>
      <c r="M56" s="13" t="inlineStr">
        <is>
          <t>2025-04-23</t>
        </is>
      </c>
      <c r="N56" s="13" t="inlineStr">
        <is>
          <t>2025-04-22</t>
        </is>
      </c>
      <c r="O56" s="9" t="n">
        <v>2346</v>
      </c>
      <c r="P56" s="17" t="n">
        <v>448.5024719238281</v>
      </c>
      <c r="Q56" s="17" t="n">
        <v>472.7117004394531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Q1 2025-26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-7.74%</t>
        </is>
      </c>
      <c r="J57" s="13" t="inlineStr">
        <is>
          <t>-12.63%</t>
        </is>
      </c>
      <c r="K57" s="16">
        <f>X56</f>
        <v/>
      </c>
      <c r="L57" s="13" t="inlineStr">
        <is>
          <t>2025-04-17</t>
        </is>
      </c>
      <c r="M57" s="13" t="inlineStr">
        <is>
          <t>2025-04-23</t>
        </is>
      </c>
      <c r="N57" s="13" t="inlineStr">
        <is>
          <t>2025-04-22</t>
        </is>
      </c>
      <c r="O57" s="9" t="n">
        <v>2135</v>
      </c>
      <c r="P57" s="17" t="n">
        <v>302.7999877929688</v>
      </c>
      <c r="Q57" s="17" t="n">
        <v>281.0499877929688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Q1 2025-26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6.0%</t>
        </is>
      </c>
      <c r="J58" s="13" t="inlineStr">
        <is>
          <t>1.33%</t>
        </is>
      </c>
      <c r="K58" s="16">
        <f>X57</f>
        <v/>
      </c>
      <c r="L58" s="13" t="inlineStr">
        <is>
          <t>2025-04-11</t>
        </is>
      </c>
      <c r="M58" s="13" t="inlineStr">
        <is>
          <t>2025-04-23</t>
        </is>
      </c>
      <c r="N58" s="13" t="inlineStr">
        <is>
          <t>2025-04-22</t>
        </is>
      </c>
      <c r="O58" s="9" t="n">
        <v>200</v>
      </c>
      <c r="P58" s="17" t="n">
        <v>5541.11474609375</v>
      </c>
      <c r="Q58" s="17" t="n">
        <v>5873.42529296875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Q1 2025-26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-27.83%</t>
        </is>
      </c>
      <c r="J59" s="13" t="inlineStr">
        <is>
          <t>-31.21%</t>
        </is>
      </c>
      <c r="K59" s="16">
        <f>X58</f>
        <v/>
      </c>
      <c r="L59" s="13" t="inlineStr">
        <is>
          <t>2025-04-08</t>
        </is>
      </c>
      <c r="M59" s="13" t="inlineStr">
        <is>
          <t>2025-04-23</t>
        </is>
      </c>
      <c r="N59" s="13" t="inlineStr">
        <is>
          <t>2025-04-22</t>
        </is>
      </c>
      <c r="O59" s="9" t="n">
        <v>100</v>
      </c>
      <c r="P59" s="17" t="n">
        <v>16599.61328125</v>
      </c>
      <c r="Q59" s="17" t="n">
        <v>12986.0205078125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Q1 2025-26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-4.79%</t>
        </is>
      </c>
      <c r="J60" s="13" t="inlineStr">
        <is>
          <t>-6.32%</t>
        </is>
      </c>
      <c r="K60" s="16">
        <f>X59</f>
        <v/>
      </c>
      <c r="L60" s="13" t="inlineStr">
        <is>
          <t>2025-04-16</t>
        </is>
      </c>
      <c r="M60" s="13" t="inlineStr">
        <is>
          <t>2025-04-23</t>
        </is>
      </c>
      <c r="N60" s="13" t="inlineStr">
        <is>
          <t>2025-04-22</t>
        </is>
      </c>
      <c r="O60" s="9" t="n">
        <v>1527</v>
      </c>
      <c r="P60" s="17" t="n">
        <v>674.2413940429688</v>
      </c>
      <c r="Q60" s="17" t="n">
        <v>643.4068603515625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Q1 2025-26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-3.47%</t>
        </is>
      </c>
      <c r="J61" s="13" t="inlineStr">
        <is>
          <t>-6.39%</t>
        </is>
      </c>
      <c r="K61" s="16">
        <f>X60</f>
        <v/>
      </c>
      <c r="L61" s="13" t="inlineStr">
        <is>
          <t>2025-04-17</t>
        </is>
      </c>
      <c r="M61" s="13" t="inlineStr">
        <is>
          <t>2025-04-23</t>
        </is>
      </c>
      <c r="N61" s="13" t="inlineStr">
        <is>
          <t>2025-04-22</t>
        </is>
      </c>
      <c r="O61" s="9" t="n">
        <v>258</v>
      </c>
      <c r="P61" s="17" t="n">
        <v>4508.10009765625</v>
      </c>
      <c r="Q61" s="17" t="n">
        <v>4357.10009765625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Q1 2025-26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-2.05%</t>
        </is>
      </c>
      <c r="J62" s="13" t="inlineStr">
        <is>
          <t>-2.78%</t>
        </is>
      </c>
      <c r="K62" s="16">
        <f>X61</f>
        <v/>
      </c>
      <c r="L62" s="13" t="inlineStr">
        <is>
          <t>2024-07-18</t>
        </is>
      </c>
      <c r="M62" s="13" t="inlineStr">
        <is>
          <t>2024-07-30</t>
        </is>
      </c>
      <c r="N62" s="13" t="inlineStr">
        <is>
          <t>2024-07-27</t>
        </is>
      </c>
      <c r="O62" s="9" t="n">
        <v>125</v>
      </c>
      <c r="P62" s="17" t="n">
        <v>1343.732299804688</v>
      </c>
      <c r="Q62" s="17" t="n">
        <v>1316.745727539062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Q1 2025-26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-1.81%</t>
        </is>
      </c>
      <c r="J63" s="13" t="inlineStr">
        <is>
          <t>-4.11%</t>
        </is>
      </c>
      <c r="K63" s="16">
        <f>X62</f>
        <v/>
      </c>
      <c r="L63" s="13" t="inlineStr">
        <is>
          <t>2024-07-30</t>
        </is>
      </c>
      <c r="M63" s="13" t="inlineStr">
        <is>
          <t>2024-08-12</t>
        </is>
      </c>
      <c r="N63" s="13" t="inlineStr">
        <is>
          <t>2024-08-08</t>
        </is>
      </c>
      <c r="O63" s="9" t="n">
        <v>175</v>
      </c>
      <c r="P63" s="17" t="n">
        <v>4834.89306640625</v>
      </c>
      <c r="Q63" s="17" t="n">
        <v>4747.24462890625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Q1 2025-26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17.5%</t>
        </is>
      </c>
      <c r="J64" s="13" t="inlineStr">
        <is>
          <t>11.67%</t>
        </is>
      </c>
      <c r="K64" s="16">
        <f>X63</f>
        <v/>
      </c>
      <c r="L64" s="13" t="inlineStr">
        <is>
          <t>2023-11-01</t>
        </is>
      </c>
      <c r="M64" s="13" t="inlineStr">
        <is>
          <t>2023-11-09</t>
        </is>
      </c>
      <c r="N64" s="13" t="inlineStr">
        <is>
          <t>2023-11-03</t>
        </is>
      </c>
      <c r="O64" s="9" t="n">
        <v>3399</v>
      </c>
      <c r="P64" s="17" t="n">
        <v>103.6999969482422</v>
      </c>
      <c r="Q64" s="17" t="n">
        <v>121.8499984741211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Q1 2025-26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2.49%</t>
        </is>
      </c>
      <c r="J65" s="13" t="inlineStr">
        <is>
          <t>0.51%</t>
        </is>
      </c>
      <c r="K65" s="16">
        <f>X64</f>
        <v/>
      </c>
      <c r="L65" s="13" t="inlineStr">
        <is>
          <t>2025-04-16</t>
        </is>
      </c>
      <c r="M65" s="13" t="inlineStr">
        <is>
          <t>2025-04-23</t>
        </is>
      </c>
      <c r="N65" s="13" t="inlineStr">
        <is>
          <t>2025-04-22</t>
        </is>
      </c>
      <c r="O65" s="9" t="n">
        <v>2823</v>
      </c>
      <c r="P65" s="17" t="n">
        <v>193.7471313476562</v>
      </c>
      <c r="Q65" s="17" t="n">
        <v>198.5679626464844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Q1 2025-26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24.59%</t>
        </is>
      </c>
      <c r="J66" s="13" t="inlineStr">
        <is>
          <t>22.18%</t>
        </is>
      </c>
      <c r="K66" s="16">
        <f>X65</f>
        <v/>
      </c>
      <c r="L66" s="13" t="inlineStr">
        <is>
          <t>2026-02-03</t>
        </is>
      </c>
      <c r="M66" s="13" t="inlineStr">
        <is>
          <t>2026-02-11</t>
        </is>
      </c>
      <c r="N66" s="13" t="inlineStr">
        <is>
          <t>2026-02-04</t>
        </is>
      </c>
      <c r="O66" s="9" t="n">
        <v>100</v>
      </c>
      <c r="P66" s="17" t="n">
        <v>20008</v>
      </c>
      <c r="Q66" s="17" t="n">
        <v>24927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Q1 2025-26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3.95%</t>
        </is>
      </c>
      <c r="J67" s="13" t="inlineStr">
        <is>
          <t>3.4%</t>
        </is>
      </c>
      <c r="K67" s="16">
        <f>X66</f>
        <v/>
      </c>
      <c r="L67" s="13" t="inlineStr">
        <is>
          <t>2025-04-11</t>
        </is>
      </c>
      <c r="M67" s="13" t="inlineStr">
        <is>
          <t>2025-04-28</t>
        </is>
      </c>
      <c r="N67" s="13" t="inlineStr">
        <is>
          <t>2025-04-22</t>
        </is>
      </c>
      <c r="O67" s="9" t="n">
        <v>1053</v>
      </c>
      <c r="P67" s="17" t="n">
        <v>648.09521484375</v>
      </c>
      <c r="Q67" s="17" t="n">
        <v>673.6878051757812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Q1 2025-26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1.25%</t>
        </is>
      </c>
      <c r="J68" s="13" t="inlineStr">
        <is>
          <t>-1.21%</t>
        </is>
      </c>
      <c r="K68" s="16">
        <f>X67</f>
        <v/>
      </c>
      <c r="L68" s="13" t="inlineStr">
        <is>
          <t>2025-04-17</t>
        </is>
      </c>
      <c r="M68" s="13" t="inlineStr">
        <is>
          <t>2025-04-28</t>
        </is>
      </c>
      <c r="N68" s="13" t="inlineStr">
        <is>
          <t>2025-04-22</t>
        </is>
      </c>
      <c r="O68" s="9" t="n">
        <v>5759</v>
      </c>
      <c r="P68" s="17" t="n">
        <v>180.2978515625</v>
      </c>
      <c r="Q68" s="17" t="n">
        <v>182.5444641113281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Q1 2025-26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4.86%</t>
        </is>
      </c>
      <c r="J69" s="13" t="inlineStr">
        <is>
          <t>0.5%</t>
        </is>
      </c>
      <c r="K69" s="16">
        <f>X68</f>
        <v/>
      </c>
      <c r="L69" s="13" t="inlineStr">
        <is>
          <t>2025-04-17</t>
        </is>
      </c>
      <c r="M69" s="13" t="inlineStr">
        <is>
          <t>2025-04-28</t>
        </is>
      </c>
      <c r="N69" s="13" t="inlineStr">
        <is>
          <t>2025-04-22</t>
        </is>
      </c>
      <c r="O69" s="9" t="n">
        <v>456</v>
      </c>
      <c r="P69" s="17" t="n">
        <v>1339.115478515625</v>
      </c>
      <c r="Q69" s="17" t="n">
        <v>1404.15576171875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Q1 2025-26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-1.9%</t>
        </is>
      </c>
      <c r="J70" s="13" t="inlineStr">
        <is>
          <t>-0.67%</t>
        </is>
      </c>
      <c r="K70" s="16">
        <f>X69</f>
        <v/>
      </c>
      <c r="L70" s="13" t="inlineStr">
        <is>
          <t>2025-04-17</t>
        </is>
      </c>
      <c r="M70" s="13" t="inlineStr">
        <is>
          <t>2025-04-28</t>
        </is>
      </c>
      <c r="N70" s="13" t="inlineStr">
        <is>
          <t>2025-04-22</t>
        </is>
      </c>
      <c r="O70" s="9" t="n">
        <v>9623</v>
      </c>
      <c r="P70" s="17" t="n">
        <v>88.16999816894531</v>
      </c>
      <c r="Q70" s="17" t="n">
        <v>86.52999877929688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Q1 2025-26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10.64%</t>
        </is>
      </c>
      <c r="J71" s="13" t="inlineStr">
        <is>
          <t>7.46%</t>
        </is>
      </c>
      <c r="K71" s="16">
        <f>X70</f>
        <v/>
      </c>
      <c r="L71" s="13" t="inlineStr">
        <is>
          <t>2025-04-16</t>
        </is>
      </c>
      <c r="M71" s="13" t="inlineStr">
        <is>
          <t>2025-04-28</t>
        </is>
      </c>
      <c r="N71" s="13" t="inlineStr">
        <is>
          <t>2025-04-22</t>
        </is>
      </c>
      <c r="O71" s="9" t="n">
        <v>469</v>
      </c>
      <c r="P71" s="17" t="n">
        <v>2421.322509765625</v>
      </c>
      <c r="Q71" s="17" t="n">
        <v>2678.96630859375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Q1 2025-26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3.67%</t>
        </is>
      </c>
      <c r="J72" s="13" t="inlineStr">
        <is>
          <t>1.02%</t>
        </is>
      </c>
      <c r="K72" s="16">
        <f>X71</f>
        <v/>
      </c>
      <c r="L72" s="13" t="inlineStr">
        <is>
          <t>2025-04-11</t>
        </is>
      </c>
      <c r="M72" s="13" t="inlineStr">
        <is>
          <t>2025-04-23</t>
        </is>
      </c>
      <c r="N72" s="13" t="inlineStr">
        <is>
          <t>2025-04-22</t>
        </is>
      </c>
      <c r="O72" s="9" t="n">
        <v>932</v>
      </c>
      <c r="P72" s="17" t="n">
        <v>1197.3017578125</v>
      </c>
      <c r="Q72" s="17" t="n">
        <v>1241.236694335938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Q1 2025-26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-9.01%</t>
        </is>
      </c>
      <c r="J73" s="13" t="inlineStr">
        <is>
          <t>-6.69%</t>
        </is>
      </c>
      <c r="K73" s="16">
        <f>X72</f>
        <v/>
      </c>
      <c r="L73" s="13" t="inlineStr">
        <is>
          <t>2025-04-08</t>
        </is>
      </c>
      <c r="M73" s="13" t="inlineStr">
        <is>
          <t>2025-04-23</t>
        </is>
      </c>
      <c r="N73" s="13" t="inlineStr">
        <is>
          <t>2025-04-22</t>
        </is>
      </c>
      <c r="O73" s="9" t="n">
        <v>473</v>
      </c>
      <c r="P73" s="17" t="n">
        <v>2142.0458984375</v>
      </c>
      <c r="Q73" s="17" t="n">
        <v>1965.051513671875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Q1 2025-26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0.07%</t>
        </is>
      </c>
      <c r="J74" s="13" t="inlineStr">
        <is>
          <t>0.11%</t>
        </is>
      </c>
      <c r="K74" s="16">
        <f>X73</f>
        <v/>
      </c>
      <c r="L74" s="13" t="inlineStr">
        <is>
          <t>2024-08-05</t>
        </is>
      </c>
      <c r="M74" s="13" t="inlineStr">
        <is>
          <t>2024-08-16</t>
        </is>
      </c>
      <c r="N74" s="13" t="inlineStr">
        <is>
          <t>2024-08-09</t>
        </is>
      </c>
      <c r="O74" s="9" t="n">
        <v>250</v>
      </c>
      <c r="P74" s="17" t="n">
        <v>2590.9248046875</v>
      </c>
      <c r="Q74" s="17" t="n">
        <v>2592.81787109375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Q1 2025-26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5.04%</t>
        </is>
      </c>
      <c r="J75" s="13" t="inlineStr">
        <is>
          <t>-1.07%</t>
        </is>
      </c>
      <c r="K75" s="16">
        <f>X74</f>
        <v/>
      </c>
      <c r="L75" s="13" t="inlineStr">
        <is>
          <t>2025-04-16</t>
        </is>
      </c>
      <c r="M75" s="13" t="inlineStr">
        <is>
          <t>2025-04-28</t>
        </is>
      </c>
      <c r="N75" s="13" t="inlineStr">
        <is>
          <t>2025-04-22</t>
        </is>
      </c>
      <c r="O75" s="9" t="n">
        <v>237</v>
      </c>
      <c r="P75" s="17" t="n">
        <v>1458.8271484375</v>
      </c>
      <c r="Q75" s="17" t="n">
        <v>1532.392333984375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Q1 2025-26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5.24%</t>
        </is>
      </c>
      <c r="J76" s="13" t="inlineStr">
        <is>
          <t>1.99%</t>
        </is>
      </c>
      <c r="K76" s="16">
        <f>X75</f>
        <v/>
      </c>
      <c r="L76" s="13" t="inlineStr">
        <is>
          <t>2025-04-15</t>
        </is>
      </c>
      <c r="M76" s="13" t="inlineStr">
        <is>
          <t>2025-04-28</t>
        </is>
      </c>
      <c r="N76" s="13" t="inlineStr">
        <is>
          <t>2025-04-22</t>
        </is>
      </c>
      <c r="O76" s="9" t="n">
        <v>218</v>
      </c>
      <c r="P76" s="17" t="n">
        <v>4157.43896484375</v>
      </c>
      <c r="Q76" s="17" t="n">
        <v>4375.0908203125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Q1 2025-26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-5.01%</t>
        </is>
      </c>
      <c r="J77" s="13" t="inlineStr">
        <is>
          <t>-9.56%</t>
        </is>
      </c>
      <c r="K77" s="16">
        <f>X76</f>
        <v/>
      </c>
      <c r="L77" s="13" t="inlineStr">
        <is>
          <t>2025-04-11</t>
        </is>
      </c>
      <c r="M77" s="13" t="inlineStr">
        <is>
          <t>2025-04-28</t>
        </is>
      </c>
      <c r="N77" s="13" t="inlineStr">
        <is>
          <t>2025-04-22</t>
        </is>
      </c>
      <c r="O77" s="9" t="n">
        <v>792</v>
      </c>
      <c r="P77" s="17" t="n">
        <v>1590.61669921875</v>
      </c>
      <c r="Q77" s="17" t="n">
        <v>1514.771850585938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Q1 2025-26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3.99%</t>
        </is>
      </c>
      <c r="J78" s="13" t="inlineStr">
        <is>
          <t>3.65%</t>
        </is>
      </c>
      <c r="K78" s="16">
        <f>X77</f>
        <v/>
      </c>
      <c r="L78" s="13" t="inlineStr">
        <is>
          <t>2024-07-08</t>
        </is>
      </c>
      <c r="M78" s="13" t="inlineStr">
        <is>
          <t>2024-07-19</t>
        </is>
      </c>
      <c r="N78" s="13" t="inlineStr">
        <is>
          <t>2024-07-12</t>
        </is>
      </c>
      <c r="O78" s="9" t="n">
        <v>350</v>
      </c>
      <c r="P78" s="17" t="n">
        <v>1418.807983398438</v>
      </c>
      <c r="Q78" s="17" t="n">
        <v>1475.388427734375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Q1 2025-26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-10.32%</t>
        </is>
      </c>
      <c r="J79" s="13" t="inlineStr">
        <is>
          <t>-8.03%</t>
        </is>
      </c>
      <c r="K79" s="16">
        <f>X78</f>
        <v/>
      </c>
      <c r="L79" s="13" t="inlineStr">
        <is>
          <t>2025-04-15</t>
        </is>
      </c>
      <c r="M79" s="13" t="inlineStr">
        <is>
          <t>2025-04-23</t>
        </is>
      </c>
      <c r="N79" s="13" t="inlineStr">
        <is>
          <t>2025-04-22</t>
        </is>
      </c>
      <c r="O79" s="9" t="n">
        <v>392</v>
      </c>
      <c r="P79" s="17" t="n">
        <v>2189.8583984375</v>
      </c>
      <c r="Q79" s="17" t="n">
        <v>1985.065063476562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Q1 2025-26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-0.49%</t>
        </is>
      </c>
      <c r="J80" s="13" t="inlineStr">
        <is>
          <t>-0.73%</t>
        </is>
      </c>
      <c r="K80" s="16">
        <f>X79</f>
        <v/>
      </c>
      <c r="L80" s="13" t="inlineStr">
        <is>
          <t>2024-07-10</t>
        </is>
      </c>
      <c r="M80" s="13" t="inlineStr">
        <is>
          <t>2024-07-26</t>
        </is>
      </c>
      <c r="N80" s="13" t="inlineStr">
        <is>
          <t>2024-07-21</t>
        </is>
      </c>
      <c r="O80" s="9" t="n">
        <v>550</v>
      </c>
      <c r="P80" s="17" t="n">
        <v>789.1543579101562</v>
      </c>
      <c r="Q80" s="17" t="n">
        <v>785.2962646484375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Q1 2025-26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-2.82%</t>
        </is>
      </c>
      <c r="J81" s="13" t="inlineStr">
        <is>
          <t>-3.53%</t>
        </is>
      </c>
      <c r="K81" s="16">
        <f>X80</f>
        <v/>
      </c>
      <c r="L81" s="13" t="inlineStr">
        <is>
          <t>2023-10-11</t>
        </is>
      </c>
      <c r="M81" s="13" t="inlineStr">
        <is>
          <t>2023-10-19</t>
        </is>
      </c>
      <c r="N81" s="13" t="inlineStr">
        <is>
          <t>2023-10-13</t>
        </is>
      </c>
      <c r="O81" s="9" t="n">
        <v>1100</v>
      </c>
      <c r="P81" s="17" t="n">
        <v>632.8233642578125</v>
      </c>
      <c r="Q81" s="17" t="n">
        <v>615.4925537109375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Q1 2025-26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1.49%</t>
        </is>
      </c>
      <c r="J82" s="13" t="inlineStr">
        <is>
          <t>0.2%</t>
        </is>
      </c>
      <c r="K82" s="16">
        <f>X81</f>
        <v/>
      </c>
      <c r="L82" s="13" t="inlineStr">
        <is>
          <t>2024-08-09</t>
        </is>
      </c>
      <c r="M82" s="13" t="inlineStr">
        <is>
          <t>2024-08-21</t>
        </is>
      </c>
      <c r="N82" s="13" t="inlineStr">
        <is>
          <t>2024-08-13</t>
        </is>
      </c>
      <c r="O82" s="9" t="n">
        <v>150</v>
      </c>
      <c r="P82" s="17" t="n">
        <v>4908.408203125</v>
      </c>
      <c r="Q82" s="17" t="n">
        <v>4981.46142578125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Q1 2025-26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-1.81%</t>
        </is>
      </c>
      <c r="J83" s="13" t="inlineStr">
        <is>
          <t>-1.67%</t>
        </is>
      </c>
      <c r="K83" s="16">
        <f>X82</f>
        <v/>
      </c>
      <c r="L83" s="13" t="inlineStr">
        <is>
          <t>2024-08-09</t>
        </is>
      </c>
      <c r="M83" s="13" t="inlineStr">
        <is>
          <t>2024-08-16</t>
        </is>
      </c>
      <c r="N83" s="13" t="inlineStr">
        <is>
          <t>2024-08-13</t>
        </is>
      </c>
      <c r="O83" s="9" t="n">
        <v>1400</v>
      </c>
      <c r="P83" s="17" t="n">
        <v>626.2662353515625</v>
      </c>
      <c r="Q83" s="17" t="n">
        <v>615.1561279296875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Q1 2025-26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0.67%</t>
        </is>
      </c>
      <c r="J84" s="13" t="inlineStr">
        <is>
          <t>-0.68%</t>
        </is>
      </c>
      <c r="K84" s="16">
        <f>X83</f>
        <v/>
      </c>
      <c r="L84" s="13" t="inlineStr">
        <is>
          <t>2025-04-21</t>
        </is>
      </c>
      <c r="M84" s="13" t="inlineStr">
        <is>
          <t>2025-04-28</t>
        </is>
      </c>
      <c r="N84" s="13" t="inlineStr">
        <is>
          <t>2025-04-22</t>
        </is>
      </c>
      <c r="O84" s="9" t="n">
        <v>2574</v>
      </c>
      <c r="P84" s="17" t="n">
        <v>378.2415161132813</v>
      </c>
      <c r="Q84" s="17" t="n">
        <v>380.7971801757813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Q1 2025-26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-2.64%</t>
        </is>
      </c>
      <c r="J85" s="13" t="inlineStr">
        <is>
          <t>-2.53%</t>
        </is>
      </c>
      <c r="K85" s="16">
        <f>X84</f>
        <v/>
      </c>
      <c r="L85" s="13" t="inlineStr">
        <is>
          <t>2024-07-12</t>
        </is>
      </c>
      <c r="M85" s="13" t="inlineStr">
        <is>
          <t>2024-07-30</t>
        </is>
      </c>
      <c r="N85" s="13" t="inlineStr">
        <is>
          <t>2024-07-23</t>
        </is>
      </c>
      <c r="O85" s="9" t="n">
        <v>300</v>
      </c>
      <c r="P85" s="17" t="n">
        <v>2585.920166015625</v>
      </c>
      <c r="Q85" s="17" t="n">
        <v>2519.480224609375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Q1 2025-26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-3.31%</t>
        </is>
      </c>
      <c r="J86" s="13" t="inlineStr">
        <is>
          <t>-5.02%</t>
        </is>
      </c>
      <c r="K86" s="16">
        <f>X85</f>
        <v/>
      </c>
      <c r="L86" s="13" t="inlineStr">
        <is>
          <t>2025-04-16</t>
        </is>
      </c>
      <c r="M86" s="13" t="inlineStr">
        <is>
          <t>2025-04-28</t>
        </is>
      </c>
      <c r="N86" s="13" t="inlineStr">
        <is>
          <t>2025-04-22</t>
        </is>
      </c>
      <c r="O86" s="9" t="n">
        <v>1866</v>
      </c>
      <c r="P86" s="17" t="n">
        <v>435.7174987792969</v>
      </c>
      <c r="Q86" s="17" t="n">
        <v>421.7552795410156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Q1 2025-26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-3.59%</t>
        </is>
      </c>
      <c r="J87" s="13" t="inlineStr">
        <is>
          <t>-6.77%</t>
        </is>
      </c>
      <c r="K87" s="16">
        <f>X86</f>
        <v/>
      </c>
      <c r="L87" s="13" t="inlineStr">
        <is>
          <t>2025-04-17</t>
        </is>
      </c>
      <c r="M87" s="13" t="inlineStr">
        <is>
          <t>2025-04-23</t>
        </is>
      </c>
      <c r="N87" s="13" t="inlineStr">
        <is>
          <t>2025-04-22</t>
        </is>
      </c>
      <c r="O87" s="9" t="n">
        <v>495</v>
      </c>
      <c r="P87" s="17" t="n">
        <v>1704.887451171875</v>
      </c>
      <c r="Q87" s="17" t="n">
        <v>1645.760009765625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Q1 2025-26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-3.5%</t>
        </is>
      </c>
      <c r="J88" s="13" t="inlineStr">
        <is>
          <t>-5.96%</t>
        </is>
      </c>
      <c r="K88" s="16">
        <f>X87</f>
        <v/>
      </c>
      <c r="L88" s="13" t="inlineStr">
        <is>
          <t>2024-07-16</t>
        </is>
      </c>
      <c r="M88" s="13" t="inlineStr">
        <is>
          <t>2024-08-02</t>
        </is>
      </c>
      <c r="N88" s="13" t="inlineStr">
        <is>
          <t>2024-07-27</t>
        </is>
      </c>
      <c r="O88" s="9" t="n">
        <v>700</v>
      </c>
      <c r="P88" s="17" t="n">
        <v>1219.904174804688</v>
      </c>
      <c r="Q88" s="17" t="n">
        <v>1177.253295898438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Q1 2025-26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3.69%</t>
        </is>
      </c>
      <c r="J89" s="13" t="inlineStr">
        <is>
          <t>1.67%</t>
        </is>
      </c>
      <c r="K89" s="16">
        <f>X88</f>
        <v/>
      </c>
      <c r="L89" s="13" t="inlineStr">
        <is>
          <t>2025-07-04</t>
        </is>
      </c>
      <c r="M89" s="13" t="inlineStr">
        <is>
          <t>2025-07-22</t>
        </is>
      </c>
      <c r="N89" s="13" t="inlineStr">
        <is>
          <t>2025-07-15</t>
        </is>
      </c>
      <c r="O89" s="9" t="n">
        <v>629</v>
      </c>
      <c r="P89" s="17" t="n">
        <v>1960</v>
      </c>
      <c r="Q89" s="17" t="n">
        <v>2035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Q1 2025-26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3.91%</t>
        </is>
      </c>
      <c r="J90" s="13" t="inlineStr">
        <is>
          <t>4.4%</t>
        </is>
      </c>
      <c r="K90" s="16">
        <f>X89</f>
        <v/>
      </c>
      <c r="L90" s="13" t="inlineStr">
        <is>
          <t>2026-01-02</t>
        </is>
      </c>
      <c r="M90" s="13" t="inlineStr">
        <is>
          <t>2026-01-20</t>
        </is>
      </c>
      <c r="N90" s="13" t="inlineStr">
        <is>
          <t>2026-01-13</t>
        </is>
      </c>
      <c r="O90" s="9" t="n">
        <v>1958</v>
      </c>
      <c r="P90" s="17" t="n">
        <v>649.5458374023438</v>
      </c>
      <c r="Q90" s="17" t="n">
        <v>675.9541625976562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Q1 2025-26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-3.91%</t>
        </is>
      </c>
      <c r="J91" s="13" t="inlineStr">
        <is>
          <t>-7.81%</t>
        </is>
      </c>
      <c r="K91" s="16">
        <f>X90</f>
        <v/>
      </c>
      <c r="L91" s="13" t="inlineStr">
        <is>
          <t>2025-04-11</t>
        </is>
      </c>
      <c r="M91" s="13" t="inlineStr">
        <is>
          <t>2025-04-28</t>
        </is>
      </c>
      <c r="N91" s="13" t="inlineStr">
        <is>
          <t>2025-04-22</t>
        </is>
      </c>
      <c r="O91" s="9" t="n">
        <v>77700</v>
      </c>
      <c r="P91" s="17" t="n">
        <v>7.449999809265137</v>
      </c>
      <c r="Q91" s="17" t="n">
        <v>7.170000076293945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Q1 2025-26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-18.22%</t>
        </is>
      </c>
      <c r="J92" s="13" t="inlineStr">
        <is>
          <t>-22.89%</t>
        </is>
      </c>
      <c r="K92" s="16">
        <f>X91</f>
        <v/>
      </c>
      <c r="L92" s="13" t="inlineStr">
        <is>
          <t>2025-04-08</t>
        </is>
      </c>
      <c r="M92" s="13" t="inlineStr">
        <is>
          <t>2025-04-23</t>
        </is>
      </c>
      <c r="N92" s="13" t="inlineStr">
        <is>
          <t>2025-04-22</t>
        </is>
      </c>
      <c r="O92" s="9" t="n">
        <v>11798</v>
      </c>
      <c r="P92" s="17" t="n">
        <v>68.2266845703125</v>
      </c>
      <c r="Q92" s="17" t="n">
        <v>57.71110916137695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Q1 2025-26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0.72%</t>
        </is>
      </c>
      <c r="J93" s="13" t="inlineStr">
        <is>
          <t>-1.09%</t>
        </is>
      </c>
      <c r="K93" s="16">
        <f>X92</f>
        <v/>
      </c>
      <c r="L93" s="13" t="inlineStr">
        <is>
          <t>2025-04-21</t>
        </is>
      </c>
      <c r="M93" s="13" t="inlineStr">
        <is>
          <t>2025-04-23</t>
        </is>
      </c>
      <c r="N93" s="13" t="inlineStr">
        <is>
          <t>2025-04-22</t>
        </is>
      </c>
      <c r="O93" s="9" t="n">
        <v>7610</v>
      </c>
      <c r="P93" s="17" t="n">
        <v>183.3865356445312</v>
      </c>
      <c r="Q93" s="17" t="n">
        <v>184.6993865966797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Q1 2025-26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-4.94%</t>
        </is>
      </c>
      <c r="J94" s="13" t="inlineStr">
        <is>
          <t>-7.9%</t>
        </is>
      </c>
      <c r="K94" s="16">
        <f>X93</f>
        <v/>
      </c>
      <c r="L94" s="13" t="inlineStr">
        <is>
          <t>2025-04-16</t>
        </is>
      </c>
      <c r="M94" s="13" t="inlineStr">
        <is>
          <t>2025-04-28</t>
        </is>
      </c>
      <c r="N94" s="13" t="inlineStr">
        <is>
          <t>2025-04-22</t>
        </is>
      </c>
      <c r="O94" s="9" t="n">
        <v>1334</v>
      </c>
      <c r="P94" s="17" t="n">
        <v>835.8585815429688</v>
      </c>
      <c r="Q94" s="17" t="n">
        <v>794.564453125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Q1 2025-26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3.19%</t>
        </is>
      </c>
      <c r="J95" s="13" t="inlineStr">
        <is>
          <t>-3.12%</t>
        </is>
      </c>
      <c r="K95" s="16">
        <f>X94</f>
        <v/>
      </c>
      <c r="L95" s="13" t="inlineStr">
        <is>
          <t>2025-04-16</t>
        </is>
      </c>
      <c r="M95" s="13" t="inlineStr">
        <is>
          <t>2025-04-28</t>
        </is>
      </c>
      <c r="N95" s="13" t="inlineStr">
        <is>
          <t>2025-04-22</t>
        </is>
      </c>
      <c r="O95" s="9" t="n">
        <v>1208</v>
      </c>
      <c r="P95" s="17" t="n">
        <v>542.4302368164062</v>
      </c>
      <c r="Q95" s="17" t="n">
        <v>559.7586059570312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Q1 2025-26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5.37%</t>
        </is>
      </c>
      <c r="J96" s="13" t="inlineStr">
        <is>
          <t>5.93%</t>
        </is>
      </c>
      <c r="K96" s="16">
        <f>X95</f>
        <v/>
      </c>
      <c r="L96" s="13" t="inlineStr">
        <is>
          <t>2023-10-25</t>
        </is>
      </c>
      <c r="M96" s="13" t="inlineStr">
        <is>
          <t>2023-11-06</t>
        </is>
      </c>
      <c r="N96" s="13" t="inlineStr">
        <is>
          <t>2023-11-03</t>
        </is>
      </c>
      <c r="O96" s="9" t="n">
        <v>196</v>
      </c>
      <c r="P96" s="17" t="n">
        <v>2424.852294921875</v>
      </c>
      <c r="Q96" s="17" t="n">
        <v>2554.982421875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Q1 2025-26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1.66%</t>
        </is>
      </c>
      <c r="J97" s="13" t="inlineStr">
        <is>
          <t>0.76%</t>
        </is>
      </c>
      <c r="K97" s="16">
        <f>X96</f>
        <v/>
      </c>
      <c r="L97" s="13" t="inlineStr">
        <is>
          <t>2024-07-24</t>
        </is>
      </c>
      <c r="M97" s="13" t="inlineStr">
        <is>
          <t>2024-08-01</t>
        </is>
      </c>
      <c r="N97" s="13" t="inlineStr">
        <is>
          <t>2024-07-26</t>
        </is>
      </c>
      <c r="O97" s="9" t="n">
        <v>500</v>
      </c>
      <c r="P97" s="17" t="n">
        <v>1394.391479492188</v>
      </c>
      <c r="Q97" s="17" t="n">
        <v>1417.553955078125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Q1 2025-26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-3.63%</t>
        </is>
      </c>
      <c r="J98" s="13" t="inlineStr">
        <is>
          <t>-5.89%</t>
        </is>
      </c>
      <c r="K98" s="16">
        <f>X97</f>
        <v/>
      </c>
      <c r="L98" s="13" t="inlineStr">
        <is>
          <t>2025-04-16</t>
        </is>
      </c>
      <c r="M98" s="13" t="inlineStr">
        <is>
          <t>2025-04-23</t>
        </is>
      </c>
      <c r="N98" s="13" t="inlineStr">
        <is>
          <t>2025-04-22</t>
        </is>
      </c>
      <c r="O98" s="9" t="n">
        <v>2545</v>
      </c>
      <c r="P98" s="17" t="n">
        <v>400.1000061035156</v>
      </c>
      <c r="Q98" s="17" t="n">
        <v>386.1000061035156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Q1 2025-26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-9.57%</t>
        </is>
      </c>
      <c r="J99" s="13" t="inlineStr">
        <is>
          <t>-10.41%</t>
        </is>
      </c>
      <c r="K99" s="16">
        <f>X98</f>
        <v/>
      </c>
      <c r="L99" s="13" t="inlineStr">
        <is>
          <t>2024-07-11</t>
        </is>
      </c>
      <c r="M99" s="13" t="inlineStr">
        <is>
          <t>2024-07-22</t>
        </is>
      </c>
      <c r="N99" s="13" t="inlineStr">
        <is>
          <t>2024-07-18</t>
        </is>
      </c>
      <c r="O99" s="9" t="n">
        <v>400</v>
      </c>
      <c r="P99" s="17" t="n">
        <v>1702.165161132812</v>
      </c>
      <c r="Q99" s="17" t="n">
        <v>1553.507202148438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Q1 2025-26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20.6%</t>
        </is>
      </c>
      <c r="J100" s="13" t="inlineStr">
        <is>
          <t>15.25%</t>
        </is>
      </c>
      <c r="K100" s="16">
        <f>X99</f>
        <v/>
      </c>
      <c r="L100" s="13" t="inlineStr">
        <is>
          <t>2025-04-08</t>
        </is>
      </c>
      <c r="M100" s="13" t="inlineStr">
        <is>
          <t>2025-04-23</t>
        </is>
      </c>
      <c r="N100" s="13" t="inlineStr">
        <is>
          <t>2025-04-22</t>
        </is>
      </c>
      <c r="O100" s="9" t="n">
        <v>13336</v>
      </c>
      <c r="P100" s="17" t="n">
        <v>144.7400054931641</v>
      </c>
      <c r="Q100" s="17" t="n">
        <v>174.5500030517578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Q1 2025-26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-3.53%</t>
        </is>
      </c>
      <c r="J101" s="13" t="inlineStr">
        <is>
          <t>-5.65%</t>
        </is>
      </c>
      <c r="K101" s="16">
        <f>X100</f>
        <v/>
      </c>
      <c r="L101" s="13" t="inlineStr">
        <is>
          <t>2025-04-11</t>
        </is>
      </c>
      <c r="M101" s="13" t="inlineStr">
        <is>
          <t>2025-04-28</t>
        </is>
      </c>
      <c r="N101" s="13" t="inlineStr">
        <is>
          <t>2025-04-22</t>
        </is>
      </c>
      <c r="O101" s="9" t="n">
        <v>7145</v>
      </c>
      <c r="P101" s="17" t="n">
        <v>128.0133209228516</v>
      </c>
      <c r="Q101" s="17" t="n">
        <v>123.6427154541016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Q1 2025-26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12.23%</t>
        </is>
      </c>
      <c r="J102" s="13" t="inlineStr">
        <is>
          <t>-8.14%</t>
        </is>
      </c>
      <c r="K102" s="16">
        <f>X101</f>
        <v/>
      </c>
      <c r="L102" s="13" t="inlineStr">
        <is>
          <t>2025-04-07</t>
        </is>
      </c>
      <c r="M102" s="13" t="inlineStr">
        <is>
          <t>2025-04-28</t>
        </is>
      </c>
      <c r="N102" s="13" t="inlineStr">
        <is>
          <t>2025-04-22</t>
        </is>
      </c>
      <c r="O102" s="9" t="n">
        <v>8341</v>
      </c>
      <c r="P102" s="17" t="n">
        <v>148.8109741210938</v>
      </c>
      <c r="Q102" s="17" t="n">
        <v>167.0045013427734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Q1 2025-26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-4.23%</t>
        </is>
      </c>
      <c r="J103" s="13" t="inlineStr">
        <is>
          <t>-5.09%</t>
        </is>
      </c>
      <c r="K103" s="16">
        <f>X102</f>
        <v/>
      </c>
      <c r="L103" s="13" t="inlineStr">
        <is>
          <t>2025-04-17</t>
        </is>
      </c>
      <c r="M103" s="13" t="inlineStr">
        <is>
          <t>2025-04-23</t>
        </is>
      </c>
      <c r="N103" s="13" t="inlineStr">
        <is>
          <t>2025-04-22</t>
        </is>
      </c>
      <c r="O103" s="9" t="n">
        <v>11813</v>
      </c>
      <c r="P103" s="17" t="n">
        <v>134.95</v>
      </c>
      <c r="Q103" s="17" t="n">
        <v>129.47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Q1 2025-26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1.26%</t>
        </is>
      </c>
      <c r="J104" s="13" t="inlineStr">
        <is>
          <t>1.27%</t>
        </is>
      </c>
      <c r="K104" s="16">
        <f>X103</f>
        <v/>
      </c>
      <c r="L104" s="13" t="inlineStr">
        <is>
          <t>2024-07-23</t>
        </is>
      </c>
      <c r="M104" s="13" t="inlineStr">
        <is>
          <t>2024-08-05</t>
        </is>
      </c>
      <c r="N104" s="13" t="inlineStr">
        <is>
          <t>2024-08-01</t>
        </is>
      </c>
      <c r="O104" s="9" t="n">
        <v>1600</v>
      </c>
      <c r="P104" s="17" t="n">
        <v>431.3329772949219</v>
      </c>
      <c r="Q104" s="17" t="n">
        <v>436.8355712890625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Q1 2025-26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7.59%</t>
        </is>
      </c>
      <c r="J105" s="13" t="inlineStr">
        <is>
          <t>5.49%</t>
        </is>
      </c>
      <c r="K105" s="16">
        <f>X104</f>
        <v/>
      </c>
      <c r="L105" s="13" t="inlineStr">
        <is>
          <t>2025-04-16</t>
        </is>
      </c>
      <c r="M105" s="13" t="inlineStr">
        <is>
          <t>2025-04-23</t>
        </is>
      </c>
      <c r="N105" s="13" t="inlineStr">
        <is>
          <t>2025-04-22</t>
        </is>
      </c>
      <c r="O105" s="9" t="n">
        <v>914</v>
      </c>
      <c r="P105" s="17" t="n">
        <v>852.5586547851562</v>
      </c>
      <c r="Q105" s="17" t="n">
        <v>917.2303466796876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Q1 2025-26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5.77%</t>
        </is>
      </c>
      <c r="J106" s="13" t="inlineStr">
        <is>
          <t>2.07%</t>
        </is>
      </c>
      <c r="K106" s="16">
        <f>X105</f>
        <v/>
      </c>
      <c r="L106" s="13" t="inlineStr">
        <is>
          <t>2024-07-15</t>
        </is>
      </c>
      <c r="M106" s="13" t="inlineStr">
        <is>
          <t>2024-07-23</t>
        </is>
      </c>
      <c r="N106" s="13" t="inlineStr">
        <is>
          <t>2024-07-15</t>
        </is>
      </c>
      <c r="O106" s="9" t="n">
        <v>4127</v>
      </c>
      <c r="P106" s="17" t="n">
        <v>334.3785705566406</v>
      </c>
      <c r="Q106" s="17" t="n">
        <v>354.8466491699219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Q1 2025-26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-3.02%</t>
        </is>
      </c>
      <c r="J107" s="13" t="inlineStr">
        <is>
          <t>-7.18%</t>
        </is>
      </c>
      <c r="K107" s="16">
        <f>X106</f>
        <v/>
      </c>
      <c r="L107" s="13" t="inlineStr">
        <is>
          <t>2025-04-11</t>
        </is>
      </c>
      <c r="M107" s="13" t="inlineStr">
        <is>
          <t>2025-04-23</t>
        </is>
      </c>
      <c r="N107" s="13" t="inlineStr">
        <is>
          <t>2025-04-22</t>
        </is>
      </c>
      <c r="O107" s="9" t="n">
        <v>1839</v>
      </c>
      <c r="P107" s="17" t="n">
        <v>505.1290588378906</v>
      </c>
      <c r="Q107" s="17" t="n">
        <v>490.3380432128906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Q1 2025-26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-5.46%</t>
        </is>
      </c>
      <c r="J108" s="13" t="inlineStr">
        <is>
          <t>-7.13%</t>
        </is>
      </c>
      <c r="K108" s="16">
        <f>X107</f>
        <v/>
      </c>
      <c r="L108" s="13" t="inlineStr">
        <is>
          <t>2024-07-11</t>
        </is>
      </c>
      <c r="M108" s="13" t="inlineStr">
        <is>
          <t>2024-07-25</t>
        </is>
      </c>
      <c r="N108" s="13" t="inlineStr">
        <is>
          <t>2024-07-19</t>
        </is>
      </c>
      <c r="O108" s="9" t="n">
        <v>675</v>
      </c>
      <c r="P108" s="17" t="n">
        <v>917.2472534179688</v>
      </c>
      <c r="Q108" s="17" t="n">
        <v>867.1705322265625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Q1 2025-26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2.9%</t>
        </is>
      </c>
      <c r="J109" s="13" t="inlineStr">
        <is>
          <t>1.66%</t>
        </is>
      </c>
      <c r="K109" s="16">
        <f>X108</f>
        <v/>
      </c>
      <c r="L109" s="13" t="inlineStr">
        <is>
          <t>2025-04-11</t>
        </is>
      </c>
      <c r="M109" s="13" t="inlineStr">
        <is>
          <t>2025-04-28</t>
        </is>
      </c>
      <c r="N109" s="13" t="inlineStr">
        <is>
          <t>2025-04-22</t>
        </is>
      </c>
      <c r="O109" s="9" t="n">
        <v>2273</v>
      </c>
      <c r="P109" s="17" t="n">
        <v>682.167236328125</v>
      </c>
      <c r="Q109" s="17" t="n">
        <v>701.9762573242188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Q1 2025-26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-2.41%</t>
        </is>
      </c>
      <c r="J110" s="13" t="inlineStr">
        <is>
          <t>-1.81%</t>
        </is>
      </c>
      <c r="K110" s="16">
        <f>X109</f>
        <v/>
      </c>
      <c r="L110" s="13" t="inlineStr">
        <is>
          <t>2025-04-16</t>
        </is>
      </c>
      <c r="M110" s="13" t="inlineStr">
        <is>
          <t>2025-04-23</t>
        </is>
      </c>
      <c r="N110" s="13" t="inlineStr">
        <is>
          <t>2025-04-22</t>
        </is>
      </c>
      <c r="O110" s="9" t="n">
        <v>1575</v>
      </c>
      <c r="P110" s="17" t="n">
        <v>536.4302978515625</v>
      </c>
      <c r="Q110" s="17" t="n">
        <v>523.817138671875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Q1 2025-26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3.76%</t>
        </is>
      </c>
      <c r="J111" s="13" t="inlineStr">
        <is>
          <t>-2.33%</t>
        </is>
      </c>
      <c r="K111" s="16">
        <f>X110</f>
        <v/>
      </c>
      <c r="L111" s="13" t="inlineStr">
        <is>
          <t>2025-04-16</t>
        </is>
      </c>
      <c r="M111" s="13" t="inlineStr">
        <is>
          <t>2025-04-28</t>
        </is>
      </c>
      <c r="N111" s="13" t="inlineStr">
        <is>
          <t>2025-04-22</t>
        </is>
      </c>
      <c r="O111" s="9" t="n">
        <v>276</v>
      </c>
      <c r="P111" s="17" t="n">
        <v>5671.2001953125</v>
      </c>
      <c r="Q111" s="17" t="n">
        <v>5884.60009765625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Q1 2025-26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-19.53%</t>
        </is>
      </c>
      <c r="J112" s="13" t="inlineStr">
        <is>
          <t>-23.27%</t>
        </is>
      </c>
      <c r="K112" s="16">
        <f>X111</f>
        <v/>
      </c>
      <c r="L112" s="13" t="inlineStr">
        <is>
          <t>2025-04-07</t>
        </is>
      </c>
      <c r="M112" s="13" t="inlineStr">
        <is>
          <t>2025-04-28</t>
        </is>
      </c>
      <c r="N112" s="13" t="inlineStr">
        <is>
          <t>2025-04-22</t>
        </is>
      </c>
      <c r="O112" s="9" t="n">
        <v>208</v>
      </c>
      <c r="P112" s="17" t="n">
        <v>2996.352294921875</v>
      </c>
      <c r="Q112" s="17" t="n">
        <v>2506.781982421875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Q1 2025-26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29.15%</t>
        </is>
      </c>
      <c r="J113" s="13" t="inlineStr">
        <is>
          <t>26.65%</t>
        </is>
      </c>
      <c r="K113" s="16">
        <f>X112</f>
        <v/>
      </c>
      <c r="L113" s="13" t="inlineStr">
        <is>
          <t>2025-04-07</t>
        </is>
      </c>
      <c r="M113" s="13" t="inlineStr">
        <is>
          <t>2025-04-23</t>
        </is>
      </c>
      <c r="N113" s="13" t="inlineStr">
        <is>
          <t>2025-04-22</t>
        </is>
      </c>
      <c r="O113" s="9" t="n">
        <v>1063</v>
      </c>
      <c r="P113" s="17" t="n">
        <v>976.3545532226562</v>
      </c>
      <c r="Q113" s="17" t="n">
        <v>1260.969482421875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Q1 2025-26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1.91%</t>
        </is>
      </c>
      <c r="J114" s="13" t="inlineStr">
        <is>
          <t>1.81%</t>
        </is>
      </c>
      <c r="K114" s="16">
        <f>X113</f>
        <v/>
      </c>
      <c r="L114" s="13" t="inlineStr">
        <is>
          <t>2024-07-16</t>
        </is>
      </c>
      <c r="M114" s="13" t="inlineStr">
        <is>
          <t>2024-07-23</t>
        </is>
      </c>
      <c r="N114" s="13" t="inlineStr">
        <is>
          <t>2024-07-20</t>
        </is>
      </c>
      <c r="O114" s="9" t="n">
        <v>400</v>
      </c>
      <c r="P114" s="17" t="n">
        <v>353.3725891113281</v>
      </c>
      <c r="Q114" s="17" t="n">
        <v>360.2493591308594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Q1 2025-26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9.83%</t>
        </is>
      </c>
      <c r="J115" s="13" t="inlineStr">
        <is>
          <t>10.98%</t>
        </is>
      </c>
      <c r="K115" s="16">
        <f>X114</f>
        <v/>
      </c>
      <c r="L115" s="13" t="inlineStr">
        <is>
          <t>2025-04-11</t>
        </is>
      </c>
      <c r="M115" s="13" t="inlineStr">
        <is>
          <t>2025-04-23</t>
        </is>
      </c>
      <c r="N115" s="13" t="inlineStr">
        <is>
          <t>2025-04-22</t>
        </is>
      </c>
      <c r="O115" s="9" t="n">
        <v>1695</v>
      </c>
      <c r="P115" s="17" t="n">
        <v>1110.947998046875</v>
      </c>
      <c r="Q115" s="17" t="n">
        <v>1220.11181640625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Q1 2025-26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-4.09%</t>
        </is>
      </c>
      <c r="J116" s="13" t="inlineStr">
        <is>
          <t>-6.9%</t>
        </is>
      </c>
      <c r="K116" s="16">
        <f>X115</f>
        <v/>
      </c>
      <c r="L116" s="13" t="inlineStr">
        <is>
          <t>2025-04-15</t>
        </is>
      </c>
      <c r="M116" s="13" t="inlineStr">
        <is>
          <t>2025-04-23</t>
        </is>
      </c>
      <c r="N116" s="13" t="inlineStr">
        <is>
          <t>2025-04-22</t>
        </is>
      </c>
      <c r="O116" s="9" t="n">
        <v>561</v>
      </c>
      <c r="P116" s="17" t="n">
        <v>648.6312866210938</v>
      </c>
      <c r="Q116" s="17" t="n">
        <v>623.1625366210938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Q1 2025-26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0.83%</t>
        </is>
      </c>
      <c r="J117" s="13" t="inlineStr">
        <is>
          <t>1.41%</t>
        </is>
      </c>
      <c r="K117" s="16">
        <f>X116</f>
        <v/>
      </c>
      <c r="L117" s="13" t="inlineStr">
        <is>
          <t>2025-04-17</t>
        </is>
      </c>
      <c r="M117" s="13" t="inlineStr">
        <is>
          <t>2025-04-28</t>
        </is>
      </c>
      <c r="N117" s="13" t="inlineStr">
        <is>
          <t>2025-04-22</t>
        </is>
      </c>
      <c r="O117" s="9" t="n">
        <v>1848</v>
      </c>
      <c r="P117" s="17" t="n">
        <v>593.9896850585938</v>
      </c>
      <c r="Q117" s="17" t="n">
        <v>598.9031372070312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Q1 2025-26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-1.32%</t>
        </is>
      </c>
      <c r="J118" s="13" t="inlineStr">
        <is>
          <t>-2.27%</t>
        </is>
      </c>
      <c r="K118" s="16">
        <f>X117</f>
        <v/>
      </c>
      <c r="L118" s="13" t="inlineStr">
        <is>
          <t>2025-07-04</t>
        </is>
      </c>
      <c r="M118" s="13" t="inlineStr">
        <is>
          <t>2025-07-17</t>
        </is>
      </c>
      <c r="N118" s="13" t="inlineStr">
        <is>
          <t>2025-07-11</t>
        </is>
      </c>
      <c r="O118" s="9" t="n">
        <v>2364</v>
      </c>
      <c r="P118" s="17" t="n">
        <v>453.5628662109375</v>
      </c>
      <c r="Q118" s="17" t="n">
        <v>447.56005859375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Q1 2025-26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-12.55%</t>
        </is>
      </c>
      <c r="J119" s="13" t="inlineStr">
        <is>
          <t>-16.8%</t>
        </is>
      </c>
      <c r="K119" s="16">
        <f>X118</f>
        <v/>
      </c>
      <c r="L119" s="13" t="inlineStr">
        <is>
          <t>2025-04-15</t>
        </is>
      </c>
      <c r="M119" s="13" t="inlineStr">
        <is>
          <t>2025-04-23</t>
        </is>
      </c>
      <c r="N119" s="13" t="inlineStr">
        <is>
          <t>2025-04-22</t>
        </is>
      </c>
      <c r="O119" s="9" t="n">
        <v>776</v>
      </c>
      <c r="P119" s="17" t="n">
        <v>1361.910888671875</v>
      </c>
      <c r="Q119" s="17" t="n">
        <v>1210.011474609375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Q1 2025-26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4.3%</t>
        </is>
      </c>
      <c r="J120" s="13" t="inlineStr">
        <is>
          <t>3.74%</t>
        </is>
      </c>
      <c r="K120" s="16">
        <f>X119</f>
        <v/>
      </c>
      <c r="L120" s="13" t="inlineStr">
        <is>
          <t>2024-07-25</t>
        </is>
      </c>
      <c r="M120" s="13" t="inlineStr">
        <is>
          <t>2024-07-29</t>
        </is>
      </c>
      <c r="N120" s="13" t="inlineStr">
        <is>
          <t>2024-07-25</t>
        </is>
      </c>
      <c r="O120" s="9" t="n">
        <v>300</v>
      </c>
      <c r="P120" s="17" t="n">
        <v>3551.0244140625</v>
      </c>
      <c r="Q120" s="17" t="n">
        <v>3703.8916015625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Q1 2025-26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-5.13%</t>
        </is>
      </c>
      <c r="J121" s="13" t="inlineStr">
        <is>
          <t>-6.59%</t>
        </is>
      </c>
      <c r="K121" s="16">
        <f>X120</f>
        <v/>
      </c>
      <c r="L121" s="13" t="inlineStr">
        <is>
          <t>2025-04-21</t>
        </is>
      </c>
      <c r="M121" s="13" t="inlineStr">
        <is>
          <t>2025-04-23</t>
        </is>
      </c>
      <c r="N121" s="13" t="inlineStr">
        <is>
          <t>2025-04-22</t>
        </is>
      </c>
      <c r="O121" s="9" t="n">
        <v>3265</v>
      </c>
      <c r="P121" s="17" t="n">
        <v>175.3934478759766</v>
      </c>
      <c r="Q121" s="17" t="n">
        <v>166.8400573730469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Q1 2025-26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-4.4%</t>
        </is>
      </c>
      <c r="J122" s="13" t="inlineStr">
        <is>
          <t>-6.97%</t>
        </is>
      </c>
      <c r="K122" s="16">
        <f>X121</f>
        <v/>
      </c>
      <c r="L122" s="13" t="inlineStr">
        <is>
          <t>2025-04-21</t>
        </is>
      </c>
      <c r="M122" s="13" t="inlineStr">
        <is>
          <t>2025-04-28</t>
        </is>
      </c>
      <c r="N122" s="13" t="inlineStr">
        <is>
          <t>2025-04-22</t>
        </is>
      </c>
      <c r="O122" s="9" t="n">
        <v>225</v>
      </c>
      <c r="P122" s="17" t="n">
        <v>4370.52001953125</v>
      </c>
      <c r="Q122" s="17" t="n">
        <v>4186.12158203125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Q1 2025-26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8.66%</t>
        </is>
      </c>
      <c r="J123" s="13" t="inlineStr">
        <is>
          <t>4.87%</t>
        </is>
      </c>
      <c r="K123" s="16">
        <f>X122</f>
        <v/>
      </c>
      <c r="L123" s="13" t="inlineStr">
        <is>
          <t>2025-04-07</t>
        </is>
      </c>
      <c r="M123" s="13" t="inlineStr">
        <is>
          <t>2025-04-23</t>
        </is>
      </c>
      <c r="N123" s="13" t="inlineStr">
        <is>
          <t>2025-04-22</t>
        </is>
      </c>
      <c r="O123" s="9" t="n">
        <v>413</v>
      </c>
      <c r="P123" s="17" t="n">
        <v>1897.40576171875</v>
      </c>
      <c r="Q123" s="17" t="n">
        <v>2061.635986328125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Q1 2025-26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-4.78%</t>
        </is>
      </c>
      <c r="J124" s="13" t="inlineStr">
        <is>
          <t>-7.05%</t>
        </is>
      </c>
      <c r="K124" s="16">
        <f>X123</f>
        <v/>
      </c>
      <c r="L124" s="13" t="inlineStr">
        <is>
          <t>2024-07-26</t>
        </is>
      </c>
      <c r="M124" s="13" t="inlineStr">
        <is>
          <t>2024-08-02</t>
        </is>
      </c>
      <c r="N124" s="13" t="inlineStr">
        <is>
          <t>2024-07-31</t>
        </is>
      </c>
      <c r="O124" s="9" t="n">
        <v>350</v>
      </c>
      <c r="P124" s="17" t="n">
        <v>2835.01220703125</v>
      </c>
      <c r="Q124" s="17" t="n">
        <v>2699.387451171875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Q1 2025-26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10.65%</t>
        </is>
      </c>
      <c r="J125" s="13" t="inlineStr">
        <is>
          <t>6.27%</t>
        </is>
      </c>
      <c r="K125" s="16">
        <f>X124</f>
        <v/>
      </c>
      <c r="L125" s="13" t="inlineStr">
        <is>
          <t>2025-04-15</t>
        </is>
      </c>
      <c r="M125" s="13" t="inlineStr">
        <is>
          <t>2025-04-28</t>
        </is>
      </c>
      <c r="N125" s="13" t="inlineStr">
        <is>
          <t>2025-04-22</t>
        </is>
      </c>
      <c r="O125" s="9" t="n">
        <v>12616</v>
      </c>
      <c r="P125" s="17" t="n">
        <v>43.33023834228516</v>
      </c>
      <c r="Q125" s="17" t="n">
        <v>47.94284439086914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Q1 2025-26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1.11%</t>
        </is>
      </c>
      <c r="J126" s="13" t="inlineStr">
        <is>
          <t>0.54%</t>
        </is>
      </c>
      <c r="K126" s="16">
        <f>X125</f>
        <v/>
      </c>
      <c r="L126" s="13" t="inlineStr">
        <is>
          <t>2025-04-17</t>
        </is>
      </c>
      <c r="M126" s="13" t="inlineStr">
        <is>
          <t>2025-04-23</t>
        </is>
      </c>
      <c r="N126" s="13" t="inlineStr">
        <is>
          <t>2025-04-22</t>
        </is>
      </c>
      <c r="O126" s="9" t="n">
        <v>2714</v>
      </c>
      <c r="P126" s="17" t="n">
        <v>227.1080474853516</v>
      </c>
      <c r="Q126" s="17" t="n">
        <v>229.624755859375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Q1 2025-26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-4.92%</t>
        </is>
      </c>
      <c r="J127" s="13" t="inlineStr">
        <is>
          <t>-8.02%</t>
        </is>
      </c>
      <c r="K127" s="16">
        <f>X126</f>
        <v/>
      </c>
      <c r="L127" s="13" t="inlineStr">
        <is>
          <t>2025-04-15</t>
        </is>
      </c>
      <c r="M127" s="13" t="inlineStr">
        <is>
          <t>2025-04-23</t>
        </is>
      </c>
      <c r="N127" s="13" t="inlineStr">
        <is>
          <t>2025-04-22</t>
        </is>
      </c>
      <c r="O127" s="9" t="n">
        <v>388</v>
      </c>
      <c r="P127" s="17" t="n">
        <v>2544.4970703125</v>
      </c>
      <c r="Q127" s="17" t="n">
        <v>2425.14404296875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Q1 2025-26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0.77%</t>
        </is>
      </c>
      <c r="J128" s="13" t="inlineStr">
        <is>
          <t>-0.62%</t>
        </is>
      </c>
      <c r="K128" s="16">
        <f>X127</f>
        <v/>
      </c>
      <c r="L128" s="13" t="inlineStr">
        <is>
          <t>2025-04-11</t>
        </is>
      </c>
      <c r="M128" s="13" t="inlineStr">
        <is>
          <t>2025-04-28</t>
        </is>
      </c>
      <c r="N128" s="13" t="inlineStr">
        <is>
          <t>2025-04-22</t>
        </is>
      </c>
      <c r="O128" s="9" t="n">
        <v>1129</v>
      </c>
      <c r="P128" s="17" t="n">
        <v>699.7485961914062</v>
      </c>
      <c r="Q128" s="17" t="n">
        <v>705.1695556640625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Q1 2025-26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4.33%</t>
        </is>
      </c>
      <c r="J129" s="13" t="inlineStr">
        <is>
          <t>3.62%</t>
        </is>
      </c>
      <c r="K129" s="16">
        <f>X128</f>
        <v/>
      </c>
      <c r="L129" s="13" t="inlineStr">
        <is>
          <t>2024-07-30</t>
        </is>
      </c>
      <c r="M129" s="13" t="inlineStr">
        <is>
          <t>2024-08-05</t>
        </is>
      </c>
      <c r="N129" s="13" t="inlineStr">
        <is>
          <t>2024-08-01</t>
        </is>
      </c>
      <c r="O129" s="9" t="n">
        <v>100</v>
      </c>
      <c r="P129" s="17" t="n">
        <v>12070.208984375</v>
      </c>
      <c r="Q129" s="17" t="n">
        <v>12616.63671875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Q1 2025-26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4.13%</t>
        </is>
      </c>
      <c r="J130" s="13" t="inlineStr">
        <is>
          <t>1.51%</t>
        </is>
      </c>
      <c r="K130" s="16">
        <f>X129</f>
        <v/>
      </c>
      <c r="L130" s="13" t="inlineStr">
        <is>
          <t>2023-10-31</t>
        </is>
      </c>
      <c r="M130" s="13" t="inlineStr">
        <is>
          <t>2023-11-07</t>
        </is>
      </c>
      <c r="N130" s="13" t="inlineStr">
        <is>
          <t>2023-11-06</t>
        </is>
      </c>
      <c r="O130" s="9" t="n">
        <v>922</v>
      </c>
      <c r="P130" s="17" t="n">
        <v>571.0838623046875</v>
      </c>
      <c r="Q130" s="17" t="n">
        <v>594.6737060546875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Q1 2025-26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-4.82%</t>
        </is>
      </c>
      <c r="J131" s="13" t="inlineStr">
        <is>
          <t>-9.81%</t>
        </is>
      </c>
      <c r="K131" s="16">
        <f>X130</f>
        <v/>
      </c>
      <c r="L131" s="13" t="inlineStr">
        <is>
          <t>2025-04-15</t>
        </is>
      </c>
      <c r="M131" s="13" t="inlineStr">
        <is>
          <t>2025-04-28</t>
        </is>
      </c>
      <c r="N131" s="13" t="inlineStr">
        <is>
          <t>2025-04-22</t>
        </is>
      </c>
      <c r="O131" s="9" t="n">
        <v>431</v>
      </c>
      <c r="P131" s="17" t="n">
        <v>2769.066650390625</v>
      </c>
      <c r="Q131" s="17" t="n">
        <v>2641.8583984375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Q1 2025-26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18.05%</t>
        </is>
      </c>
      <c r="J132" s="13" t="inlineStr">
        <is>
          <t>7.69%</t>
        </is>
      </c>
      <c r="K132" s="16">
        <f>X131</f>
        <v/>
      </c>
      <c r="L132" s="13" t="inlineStr">
        <is>
          <t>2025-04-08</t>
        </is>
      </c>
      <c r="M132" s="13" t="inlineStr">
        <is>
          <t>2025-04-23</t>
        </is>
      </c>
      <c r="N132" s="13" t="inlineStr">
        <is>
          <t>2025-04-22</t>
        </is>
      </c>
      <c r="O132" s="9" t="n">
        <v>373</v>
      </c>
      <c r="P132" s="17" t="n">
        <v>1035.923583984375</v>
      </c>
      <c r="Q132" s="17" t="n">
        <v>1222.929321289062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Q1 2025-26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-1.89%</t>
        </is>
      </c>
      <c r="J133" s="13" t="inlineStr">
        <is>
          <t>-0.41%</t>
        </is>
      </c>
      <c r="K133" s="16">
        <f>X132</f>
        <v/>
      </c>
      <c r="L133" s="13" t="inlineStr">
        <is>
          <t>2025-04-17</t>
        </is>
      </c>
      <c r="M133" s="13" t="inlineStr">
        <is>
          <t>2025-04-23</t>
        </is>
      </c>
      <c r="N133" s="13" t="inlineStr">
        <is>
          <t>2025-04-22</t>
        </is>
      </c>
      <c r="O133" s="9" t="n">
        <v>661</v>
      </c>
      <c r="P133" s="17" t="n">
        <v>1241</v>
      </c>
      <c r="Q133" s="17" t="n">
        <v>1218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Q1 2025-26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-5.77%</t>
        </is>
      </c>
      <c r="J134" s="13" t="inlineStr">
        <is>
          <t>-7.75%</t>
        </is>
      </c>
      <c r="K134" s="16">
        <f>X133</f>
        <v/>
      </c>
      <c r="L134" s="13" t="inlineStr">
        <is>
          <t>2025-04-15</t>
        </is>
      </c>
      <c r="M134" s="13" t="inlineStr">
        <is>
          <t>2025-04-28</t>
        </is>
      </c>
      <c r="N134" s="13" t="inlineStr">
        <is>
          <t>2025-04-22</t>
        </is>
      </c>
      <c r="O134" s="9" t="n">
        <v>6815</v>
      </c>
      <c r="P134" s="17" t="n">
        <v>89.35052490234375</v>
      </c>
      <c r="Q134" s="17" t="n">
        <v>84.47890472412109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Q1 2025-26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12.25%</t>
        </is>
      </c>
      <c r="J135" s="13" t="inlineStr">
        <is>
          <t>7.13%</t>
        </is>
      </c>
      <c r="K135" s="16">
        <f>X134</f>
        <v/>
      </c>
      <c r="L135" s="13" t="inlineStr">
        <is>
          <t>2025-04-21</t>
        </is>
      </c>
      <c r="M135" s="13" t="inlineStr">
        <is>
          <t>2025-04-23</t>
        </is>
      </c>
      <c r="N135" s="13" t="inlineStr">
        <is>
          <t>2025-04-22</t>
        </is>
      </c>
      <c r="O135" s="9" t="n">
        <v>1194</v>
      </c>
      <c r="P135" s="17" t="n">
        <v>679.5648193359375</v>
      </c>
      <c r="Q135" s="17" t="n">
        <v>762.8426513671875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Q1 2025-26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15.42%</t>
        </is>
      </c>
      <c r="J136" s="13" t="inlineStr">
        <is>
          <t>12.51%</t>
        </is>
      </c>
      <c r="K136" s="16">
        <f>X135</f>
        <v/>
      </c>
      <c r="L136" s="13" t="inlineStr">
        <is>
          <t>2025-04-08</t>
        </is>
      </c>
      <c r="M136" s="13" t="inlineStr">
        <is>
          <t>2025-04-28</t>
        </is>
      </c>
      <c r="N136" s="13" t="inlineStr">
        <is>
          <t>2025-04-22</t>
        </is>
      </c>
      <c r="O136" s="9" t="n">
        <v>426</v>
      </c>
      <c r="P136" s="17" t="n">
        <v>2070.890625</v>
      </c>
      <c r="Q136" s="17" t="n">
        <v>2390.275146484375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Q1 2025-26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-12.14%</t>
        </is>
      </c>
      <c r="J137" s="13" t="inlineStr">
        <is>
          <t>-13.0%</t>
        </is>
      </c>
      <c r="K137" s="16">
        <f>X136</f>
        <v/>
      </c>
      <c r="L137" s="13" t="inlineStr">
        <is>
          <t>2026-02-10</t>
        </is>
      </c>
      <c r="M137" s="13" t="inlineStr">
        <is>
          <t>2026-02-19</t>
        </is>
      </c>
      <c r="N137" s="13" t="inlineStr">
        <is>
          <t>2026-02-12</t>
        </is>
      </c>
      <c r="O137" s="9" t="n">
        <v>332</v>
      </c>
      <c r="P137" s="17" t="n">
        <v>3849.450927734375</v>
      </c>
      <c r="Q137" s="17" t="n">
        <v>3382.301025390625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Q1 2025-26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-5.83%</t>
        </is>
      </c>
      <c r="J138" s="13" t="inlineStr">
        <is>
          <t>-6.34%</t>
        </is>
      </c>
      <c r="K138" s="16">
        <f>X137</f>
        <v/>
      </c>
      <c r="L138" s="13" t="inlineStr">
        <is>
          <t>2025-04-21</t>
        </is>
      </c>
      <c r="M138" s="13" t="inlineStr">
        <is>
          <t>2025-04-23</t>
        </is>
      </c>
      <c r="N138" s="13" t="inlineStr">
        <is>
          <t>2025-04-22</t>
        </is>
      </c>
      <c r="O138" s="9" t="n">
        <v>871</v>
      </c>
      <c r="P138" s="17" t="n">
        <v>648.4130249023438</v>
      </c>
      <c r="Q138" s="17" t="n">
        <v>612.685546875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Q1 2025-26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-7.17%</t>
        </is>
      </c>
      <c r="J139" s="13" t="inlineStr">
        <is>
          <t>-12.69%</t>
        </is>
      </c>
      <c r="K139" s="16">
        <f>X138</f>
        <v/>
      </c>
      <c r="L139" s="13" t="inlineStr">
        <is>
          <t>2025-04-16</t>
        </is>
      </c>
      <c r="M139" s="13" t="inlineStr">
        <is>
          <t>2025-04-23</t>
        </is>
      </c>
      <c r="N139" s="13" t="inlineStr">
        <is>
          <t>2025-04-22</t>
        </is>
      </c>
      <c r="O139" s="9" t="n">
        <v>2876</v>
      </c>
      <c r="P139" s="17" t="n">
        <v>155.0662536621094</v>
      </c>
      <c r="Q139" s="17" t="n">
        <v>144.6851196289062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Q1 2025-26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5.2%</t>
        </is>
      </c>
      <c r="J140" s="13" t="inlineStr">
        <is>
          <t>3.59%</t>
        </is>
      </c>
      <c r="K140" s="16">
        <f>X139</f>
        <v/>
      </c>
      <c r="L140" s="13" t="inlineStr">
        <is>
          <t>2025-04-15</t>
        </is>
      </c>
      <c r="M140" s="13" t="inlineStr">
        <is>
          <t>2025-04-23</t>
        </is>
      </c>
      <c r="N140" s="13" t="inlineStr">
        <is>
          <t>2025-04-22</t>
        </is>
      </c>
      <c r="O140" s="9" t="n">
        <v>803</v>
      </c>
      <c r="P140" s="17" t="n">
        <v>1334.349853515625</v>
      </c>
      <c r="Q140" s="17" t="n">
        <v>1403.687133789062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Q1 2025-26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-2.45%</t>
        </is>
      </c>
      <c r="J141" s="13" t="inlineStr">
        <is>
          <t>-4.54%</t>
        </is>
      </c>
      <c r="K141" s="16">
        <f>X140</f>
        <v/>
      </c>
      <c r="L141" s="13" t="inlineStr">
        <is>
          <t>2025-04-17</t>
        </is>
      </c>
      <c r="M141" s="13" t="inlineStr">
        <is>
          <t>2025-04-23</t>
        </is>
      </c>
      <c r="N141" s="13" t="inlineStr">
        <is>
          <t>2025-04-22</t>
        </is>
      </c>
      <c r="O141" s="9" t="n">
        <v>10687</v>
      </c>
      <c r="P141" s="17" t="n">
        <v>100.158576965332</v>
      </c>
      <c r="Q141" s="17" t="n">
        <v>97.76415252685548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Q1 2025-26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-2.06%</t>
        </is>
      </c>
      <c r="J142" s="13" t="inlineStr">
        <is>
          <t>-1.93%</t>
        </is>
      </c>
      <c r="K142" s="16">
        <f>X141</f>
        <v/>
      </c>
      <c r="L142" s="13" t="inlineStr">
        <is>
          <t>2024-04-25</t>
        </is>
      </c>
      <c r="M142" s="13" t="inlineStr">
        <is>
          <t>2024-04-29</t>
        </is>
      </c>
      <c r="N142" s="13" t="inlineStr">
        <is>
          <t>2024-04-26</t>
        </is>
      </c>
      <c r="O142" s="9" t="n">
        <v>200</v>
      </c>
      <c r="P142" s="17" t="n">
        <v>1249.579833984375</v>
      </c>
      <c r="Q142" s="17" t="n">
        <v>1223.809692382812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Q1 2025-26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-1.58%</t>
        </is>
      </c>
      <c r="J143" s="13" t="inlineStr">
        <is>
          <t>-4.36%</t>
        </is>
      </c>
      <c r="K143" s="16">
        <f>X142</f>
        <v/>
      </c>
      <c r="L143" s="13" t="inlineStr">
        <is>
          <t>2025-04-15</t>
        </is>
      </c>
      <c r="M143" s="13" t="inlineStr">
        <is>
          <t>2025-04-28</t>
        </is>
      </c>
      <c r="N143" s="13" t="inlineStr">
        <is>
          <t>2025-04-22</t>
        </is>
      </c>
      <c r="O143" s="9" t="n">
        <v>12809</v>
      </c>
      <c r="P143" s="17" t="n">
        <v>84.71963500976562</v>
      </c>
      <c r="Q143" s="17" t="n">
        <v>83.40153503417969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Q1 2025-26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4.56%</t>
        </is>
      </c>
      <c r="J144" s="13" t="inlineStr">
        <is>
          <t>5.41%</t>
        </is>
      </c>
      <c r="K144" s="16">
        <f>X143</f>
        <v/>
      </c>
      <c r="L144" s="13" t="inlineStr">
        <is>
          <t>2025-04-15</t>
        </is>
      </c>
      <c r="M144" s="13" t="inlineStr">
        <is>
          <t>2025-04-23</t>
        </is>
      </c>
      <c r="N144" s="13" t="inlineStr">
        <is>
          <t>2025-04-22</t>
        </is>
      </c>
      <c r="O144" s="9" t="n">
        <v>11763</v>
      </c>
      <c r="P144" s="17" t="n">
        <v>62.34722137451172</v>
      </c>
      <c r="Q144" s="17" t="n">
        <v>65.18988800048828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Q1 2025-26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-11.11%</t>
        </is>
      </c>
      <c r="J145" s="13" t="inlineStr">
        <is>
          <t>-9.62%</t>
        </is>
      </c>
      <c r="K145" s="16">
        <f>X144</f>
        <v/>
      </c>
      <c r="L145" s="13" t="inlineStr">
        <is>
          <t>2024-07-18</t>
        </is>
      </c>
      <c r="M145" s="13" t="inlineStr">
        <is>
          <t>2024-08-02</t>
        </is>
      </c>
      <c r="N145" s="13" t="inlineStr">
        <is>
          <t>2024-07-27</t>
        </is>
      </c>
      <c r="O145" s="9" t="n">
        <v>1500</v>
      </c>
      <c r="P145" s="17" t="n">
        <v>400.1023254394531</v>
      </c>
      <c r="Q145" s="17" t="n">
        <v>360.1111450195312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Q1 2025-26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-9.17%</t>
        </is>
      </c>
      <c r="J146" s="13" t="inlineStr">
        <is>
          <t>-12.03%</t>
        </is>
      </c>
      <c r="K146" s="16">
        <f>X145</f>
        <v/>
      </c>
      <c r="L146" s="13" t="inlineStr">
        <is>
          <t>2025-04-08</t>
        </is>
      </c>
      <c r="M146" s="13" t="inlineStr">
        <is>
          <t>2025-04-23</t>
        </is>
      </c>
      <c r="N146" s="13" t="inlineStr">
        <is>
          <t>2025-04-22</t>
        </is>
      </c>
      <c r="O146" s="9" t="n">
        <v>2996</v>
      </c>
      <c r="P146" s="17" t="n">
        <v>192.9499969482422</v>
      </c>
      <c r="Q146" s="17" t="n">
        <v>176.75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Q1 2025-26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7.07%</t>
        </is>
      </c>
      <c r="J147" s="13" t="inlineStr">
        <is>
          <t>8.83%</t>
        </is>
      </c>
      <c r="K147" s="16">
        <f>X146</f>
        <v/>
      </c>
      <c r="L147" s="13" t="inlineStr">
        <is>
          <t>2025-04-11</t>
        </is>
      </c>
      <c r="M147" s="13" t="inlineStr">
        <is>
          <t>2025-04-28</t>
        </is>
      </c>
      <c r="N147" s="13" t="inlineStr">
        <is>
          <t>2025-04-22</t>
        </is>
      </c>
      <c r="O147" s="9" t="n">
        <v>551</v>
      </c>
      <c r="P147" s="17" t="n">
        <v>1536.190307617188</v>
      </c>
      <c r="Q147" s="17" t="n">
        <v>1644.85107421875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Q1 2025-26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-20.03%</t>
        </is>
      </c>
      <c r="J148" s="13" t="inlineStr">
        <is>
          <t>-15.48%</t>
        </is>
      </c>
      <c r="K148" s="16">
        <f>X147</f>
        <v/>
      </c>
      <c r="L148" s="13" t="inlineStr">
        <is>
          <t>2025-04-07</t>
        </is>
      </c>
      <c r="M148" s="13" t="inlineStr">
        <is>
          <t>2025-04-28</t>
        </is>
      </c>
      <c r="N148" s="13" t="inlineStr">
        <is>
          <t>2025-04-22</t>
        </is>
      </c>
      <c r="O148" s="9" t="n">
        <v>100</v>
      </c>
      <c r="P148" s="17" t="n">
        <v>8120.8916015625</v>
      </c>
      <c r="Q148" s="17" t="n">
        <v>6765.8486328125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Q1 2025-26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7.55%</t>
        </is>
      </c>
      <c r="J149" s="13" t="inlineStr">
        <is>
          <t>-0.54%</t>
        </is>
      </c>
      <c r="K149" s="16">
        <f>X148</f>
        <v/>
      </c>
      <c r="L149" s="13" t="inlineStr">
        <is>
          <t>2025-04-16</t>
        </is>
      </c>
      <c r="M149" s="13" t="inlineStr">
        <is>
          <t>2025-04-23</t>
        </is>
      </c>
      <c r="N149" s="13" t="inlineStr">
        <is>
          <t>2025-04-22</t>
        </is>
      </c>
      <c r="O149" s="9" t="n">
        <v>2188</v>
      </c>
      <c r="P149" s="17" t="n">
        <v>368.2351684570313</v>
      </c>
      <c r="Q149" s="17" t="n">
        <v>396.025634765625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Q1 2025-26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-0.9%</t>
        </is>
      </c>
      <c r="J150" s="13" t="inlineStr">
        <is>
          <t>-1.65%</t>
        </is>
      </c>
      <c r="K150" s="16">
        <f>X149</f>
        <v/>
      </c>
      <c r="L150" s="13" t="inlineStr">
        <is>
          <t>2024-07-29</t>
        </is>
      </c>
      <c r="M150" s="13" t="inlineStr">
        <is>
          <t>2024-08-13</t>
        </is>
      </c>
      <c r="N150" s="13" t="inlineStr">
        <is>
          <t>2024-08-06</t>
        </is>
      </c>
      <c r="O150" s="9" t="n">
        <v>3750</v>
      </c>
      <c r="P150" s="17" t="n">
        <v>302.603515625</v>
      </c>
      <c r="Q150" s="17" t="n">
        <v>299.90087890625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Q1 2025-26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-10.4%</t>
        </is>
      </c>
      <c r="J151" s="13" t="inlineStr">
        <is>
          <t>-10.31%</t>
        </is>
      </c>
      <c r="K151" s="16">
        <f>X150</f>
        <v/>
      </c>
      <c r="L151" s="13" t="inlineStr">
        <is>
          <t>2025-04-07</t>
        </is>
      </c>
      <c r="M151" s="13" t="inlineStr">
        <is>
          <t>2025-04-23</t>
        </is>
      </c>
      <c r="N151" s="13" t="inlineStr">
        <is>
          <t>2025-04-22</t>
        </is>
      </c>
      <c r="O151" s="9" t="n">
        <v>100</v>
      </c>
      <c r="P151" s="17" t="n">
        <v>45815</v>
      </c>
      <c r="Q151" s="17" t="n">
        <v>41499.95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Q1 2025-26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-4.07%</t>
        </is>
      </c>
      <c r="J152" s="13" t="inlineStr">
        <is>
          <t>-5.51%</t>
        </is>
      </c>
      <c r="K152" s="16">
        <f>X151</f>
        <v/>
      </c>
      <c r="L152" s="13" t="inlineStr">
        <is>
          <t>2025-04-11</t>
        </is>
      </c>
      <c r="M152" s="13" t="inlineStr">
        <is>
          <t>2025-04-23</t>
        </is>
      </c>
      <c r="N152" s="13" t="inlineStr">
        <is>
          <t>2025-04-22</t>
        </is>
      </c>
      <c r="O152" s="9" t="n">
        <v>2806</v>
      </c>
      <c r="P152" s="17" t="n">
        <v>649.2998046875</v>
      </c>
      <c r="Q152" s="17" t="n">
        <v>623.8828125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Q1 2025-26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-4.95%</t>
        </is>
      </c>
      <c r="J153" s="13" t="inlineStr">
        <is>
          <t>-3.36%</t>
        </is>
      </c>
      <c r="K153" s="16">
        <f>X152</f>
        <v/>
      </c>
      <c r="L153" s="13" t="inlineStr">
        <is>
          <t>2025-04-15</t>
        </is>
      </c>
      <c r="M153" s="13" t="inlineStr">
        <is>
          <t>2025-04-28</t>
        </is>
      </c>
      <c r="N153" s="13" t="inlineStr">
        <is>
          <t>2025-04-22</t>
        </is>
      </c>
      <c r="O153" s="9" t="n">
        <v>750</v>
      </c>
      <c r="P153" s="17" t="n">
        <v>881.75</v>
      </c>
      <c r="Q153" s="17" t="n">
        <v>840.1500244140625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Q1 2025-26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15.05%</t>
        </is>
      </c>
      <c r="J154" s="13" t="inlineStr">
        <is>
          <t>13.0%</t>
        </is>
      </c>
      <c r="K154" s="16">
        <f>X153</f>
        <v/>
      </c>
      <c r="L154" s="13" t="inlineStr">
        <is>
          <t>2025-04-08</t>
        </is>
      </c>
      <c r="M154" s="13" t="inlineStr">
        <is>
          <t>2025-04-28</t>
        </is>
      </c>
      <c r="N154" s="13" t="inlineStr">
        <is>
          <t>2025-04-22</t>
        </is>
      </c>
      <c r="O154" s="9" t="n">
        <v>181</v>
      </c>
      <c r="P154" s="17" t="n">
        <v>4550.7568359375</v>
      </c>
      <c r="Q154" s="17" t="n">
        <v>5235.75244140625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Q1 2025-26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-8.92%</t>
        </is>
      </c>
      <c r="J155" s="13" t="inlineStr">
        <is>
          <t>-8.44%</t>
        </is>
      </c>
      <c r="K155" s="16">
        <f>X154</f>
        <v/>
      </c>
      <c r="L155" s="13" t="inlineStr">
        <is>
          <t>2025-04-11</t>
        </is>
      </c>
      <c r="M155" s="13" t="inlineStr">
        <is>
          <t>2025-04-28</t>
        </is>
      </c>
      <c r="N155" s="13" t="inlineStr">
        <is>
          <t>2025-04-22</t>
        </is>
      </c>
      <c r="O155" s="9" t="n">
        <v>3585</v>
      </c>
      <c r="P155" s="17" t="n">
        <v>296.0801391601562</v>
      </c>
      <c r="Q155" s="17" t="n">
        <v>271.8441467285156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Q1 2025-26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-6.2%</t>
        </is>
      </c>
      <c r="J156" s="13" t="inlineStr">
        <is>
          <t>-4.89%</t>
        </is>
      </c>
      <c r="K156" s="16">
        <f>X155</f>
        <v/>
      </c>
      <c r="L156" s="13" t="inlineStr">
        <is>
          <t>2025-04-07</t>
        </is>
      </c>
      <c r="M156" s="13" t="inlineStr">
        <is>
          <t>2025-04-28</t>
        </is>
      </c>
      <c r="N156" s="13" t="inlineStr">
        <is>
          <t>2025-04-22</t>
        </is>
      </c>
      <c r="O156" s="9" t="n">
        <v>2346</v>
      </c>
      <c r="P156" s="17" t="n">
        <v>402.4003295898438</v>
      </c>
      <c r="Q156" s="17" t="n">
        <v>378.9017944335938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Q1 2025-26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4.17%</t>
        </is>
      </c>
      <c r="J157" s="13" t="inlineStr">
        <is>
          <t>-6.03%</t>
        </is>
      </c>
      <c r="K157" s="16">
        <f>X156</f>
        <v/>
      </c>
      <c r="L157" s="13" t="inlineStr">
        <is>
          <t>2025-04-11</t>
        </is>
      </c>
      <c r="M157" s="13" t="inlineStr">
        <is>
          <t>2025-04-23</t>
        </is>
      </c>
      <c r="N157" s="13" t="inlineStr">
        <is>
          <t>2025-04-22</t>
        </is>
      </c>
      <c r="O157" s="9" t="n">
        <v>1631</v>
      </c>
      <c r="P157" s="17" t="n">
        <v>917.3956298828124</v>
      </c>
      <c r="Q157" s="17" t="n">
        <v>955.6787109375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Q1 2025-26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-2.26%</t>
        </is>
      </c>
      <c r="J158" s="13" t="inlineStr">
        <is>
          <t>-1.22%</t>
        </is>
      </c>
      <c r="K158" s="16">
        <f>X157</f>
        <v/>
      </c>
      <c r="L158" s="13" t="inlineStr">
        <is>
          <t>2025-04-16</t>
        </is>
      </c>
      <c r="M158" s="13" t="inlineStr">
        <is>
          <t>2025-04-28</t>
        </is>
      </c>
      <c r="N158" s="13" t="inlineStr">
        <is>
          <t>2025-04-22</t>
        </is>
      </c>
      <c r="O158" s="9" t="n">
        <v>529</v>
      </c>
      <c r="P158" s="17" t="n">
        <v>1632.180297851562</v>
      </c>
      <c r="Q158" s="17" t="n">
        <v>1596.138061523438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Q1 2025-26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1.33%</t>
        </is>
      </c>
      <c r="J159" s="13" t="inlineStr">
        <is>
          <t>2.06%</t>
        </is>
      </c>
      <c r="K159" s="16">
        <f>X158</f>
        <v/>
      </c>
      <c r="L159" s="13" t="inlineStr">
        <is>
          <t>2025-04-16</t>
        </is>
      </c>
      <c r="M159" s="13" t="inlineStr">
        <is>
          <t>2025-04-23</t>
        </is>
      </c>
      <c r="N159" s="13" t="inlineStr">
        <is>
          <t>2025-04-22</t>
        </is>
      </c>
      <c r="O159" s="9" t="n">
        <v>613</v>
      </c>
      <c r="P159" s="17" t="n">
        <v>1492.191162109375</v>
      </c>
      <c r="Q159" s="17" t="n">
        <v>1512.110107421875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Q1 2025-26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11.58%</t>
        </is>
      </c>
      <c r="J160" s="13" t="inlineStr">
        <is>
          <t>11.71%</t>
        </is>
      </c>
      <c r="K160" s="16">
        <f>X159</f>
        <v/>
      </c>
      <c r="L160" s="13" t="inlineStr">
        <is>
          <t>2025-04-08</t>
        </is>
      </c>
      <c r="M160" s="13" t="inlineStr">
        <is>
          <t>2025-04-23</t>
        </is>
      </c>
      <c r="N160" s="13" t="inlineStr">
        <is>
          <t>2025-04-22</t>
        </is>
      </c>
      <c r="O160" s="9" t="n">
        <v>360</v>
      </c>
      <c r="P160" s="17" t="n">
        <v>3263.71484375</v>
      </c>
      <c r="Q160" s="17" t="n">
        <v>3641.764404296875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Q1 2025-26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-8.52%</t>
        </is>
      </c>
      <c r="J161" s="13" t="inlineStr">
        <is>
          <t>-11.23%</t>
        </is>
      </c>
      <c r="K161" s="16">
        <f>X160</f>
        <v/>
      </c>
      <c r="L161" s="13" t="inlineStr">
        <is>
          <t>2025-04-07</t>
        </is>
      </c>
      <c r="M161" s="13" t="inlineStr">
        <is>
          <t>2025-04-23</t>
        </is>
      </c>
      <c r="N161" s="13" t="inlineStr">
        <is>
          <t>2025-04-22</t>
        </is>
      </c>
      <c r="O161" s="9" t="n">
        <v>8957</v>
      </c>
      <c r="P161" s="17" t="n">
        <v>97.28041076660156</v>
      </c>
      <c r="Q161" s="17" t="n">
        <v>89.64038848876953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Q1 2025-26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-0.7%</t>
        </is>
      </c>
      <c r="J162" s="13" t="inlineStr">
        <is>
          <t>-0.04%</t>
        </is>
      </c>
      <c r="K162" s="16">
        <f>X161</f>
        <v/>
      </c>
      <c r="L162" s="13" t="inlineStr">
        <is>
          <t>2025-04-11</t>
        </is>
      </c>
      <c r="M162" s="13" t="inlineStr">
        <is>
          <t>2025-04-28</t>
        </is>
      </c>
      <c r="N162" s="13" t="inlineStr">
        <is>
          <t>2025-04-22</t>
        </is>
      </c>
      <c r="O162" s="9" t="n">
        <v>967</v>
      </c>
      <c r="P162" s="17" t="n">
        <v>981.249755859375</v>
      </c>
      <c r="Q162" s="17" t="n">
        <v>974.4345092773438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Q1 2025-26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8.59%</t>
        </is>
      </c>
      <c r="J163" s="13" t="inlineStr">
        <is>
          <t>5.06%</t>
        </is>
      </c>
      <c r="K163" s="16">
        <f>X162</f>
        <v/>
      </c>
      <c r="L163" s="13" t="inlineStr">
        <is>
          <t>2025-04-11</t>
        </is>
      </c>
      <c r="M163" s="13" t="inlineStr">
        <is>
          <t>2025-04-23</t>
        </is>
      </c>
      <c r="N163" s="13" t="inlineStr">
        <is>
          <t>2025-04-22</t>
        </is>
      </c>
      <c r="O163" s="9" t="n">
        <v>627</v>
      </c>
      <c r="P163" s="17" t="n">
        <v>1533.150024414062</v>
      </c>
      <c r="Q163" s="17" t="n">
        <v>1664.800048828125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Q1 2025-26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-5.94%</t>
        </is>
      </c>
      <c r="J164" s="13" t="inlineStr">
        <is>
          <t>-5.96%</t>
        </is>
      </c>
      <c r="K164" s="16">
        <f>X163</f>
        <v/>
      </c>
      <c r="L164" s="13" t="inlineStr">
        <is>
          <t>2025-04-16</t>
        </is>
      </c>
      <c r="M164" s="13" t="inlineStr">
        <is>
          <t>2025-04-23</t>
        </is>
      </c>
      <c r="N164" s="13" t="inlineStr">
        <is>
          <t>2025-04-22</t>
        </is>
      </c>
      <c r="O164" s="9" t="n">
        <v>112</v>
      </c>
      <c r="P164" s="17" t="n">
        <v>5556.8896484375</v>
      </c>
      <c r="Q164" s="17" t="n">
        <v>5245.1220703125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Q1 2025-26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-7.1%</t>
        </is>
      </c>
      <c r="J165" s="13" t="inlineStr">
        <is>
          <t>-6.57%</t>
        </is>
      </c>
      <c r="K165" s="16">
        <f>X164</f>
        <v/>
      </c>
      <c r="L165" s="13" t="inlineStr">
        <is>
          <t>2024-07-24</t>
        </is>
      </c>
      <c r="M165" s="13" t="inlineStr">
        <is>
          <t>2024-08-01</t>
        </is>
      </c>
      <c r="N165" s="13" t="inlineStr">
        <is>
          <t>2024-07-26</t>
        </is>
      </c>
      <c r="O165" s="9" t="n">
        <v>1800</v>
      </c>
      <c r="P165" s="17" t="n">
        <v>337.9288330078125</v>
      </c>
      <c r="Q165" s="17" t="n">
        <v>315.515625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Q1 2025-26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2025-04-22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Q1 2025-26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-5.87%</t>
        </is>
      </c>
      <c r="J167" s="13" t="inlineStr">
        <is>
          <t>-10.58%</t>
        </is>
      </c>
      <c r="K167" s="16">
        <f>X166</f>
        <v/>
      </c>
      <c r="L167" s="13" t="inlineStr">
        <is>
          <t>2025-04-21</t>
        </is>
      </c>
      <c r="M167" s="13" t="inlineStr">
        <is>
          <t>2025-04-23</t>
        </is>
      </c>
      <c r="N167" s="13" t="inlineStr">
        <is>
          <t>2025-04-22</t>
        </is>
      </c>
      <c r="O167" s="9" t="n">
        <v>1017</v>
      </c>
      <c r="P167" s="17" t="n">
        <v>1067.121826171875</v>
      </c>
      <c r="Q167" s="17" t="n">
        <v>1007.909484863281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Q1 2025-26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-17.18%</t>
        </is>
      </c>
      <c r="J168" s="13" t="inlineStr">
        <is>
          <t>-20.96%</t>
        </is>
      </c>
      <c r="K168" s="16">
        <f>X167</f>
        <v/>
      </c>
      <c r="L168" s="13" t="inlineStr">
        <is>
          <t>2025-04-11</t>
        </is>
      </c>
      <c r="M168" s="13" t="inlineStr">
        <is>
          <t>2025-04-28</t>
        </is>
      </c>
      <c r="N168" s="13" t="inlineStr">
        <is>
          <t>2025-04-22</t>
        </is>
      </c>
      <c r="O168" s="9" t="n">
        <v>627</v>
      </c>
      <c r="P168" s="17" t="n">
        <v>1314.287231445312</v>
      </c>
      <c r="Q168" s="17" t="n">
        <v>1121.558959960938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Q1 2025-26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-10.81%</t>
        </is>
      </c>
      <c r="J169" s="13" t="inlineStr">
        <is>
          <t>-11.83%</t>
        </is>
      </c>
      <c r="K169" s="16">
        <f>X168</f>
        <v/>
      </c>
      <c r="L169" s="13" t="inlineStr">
        <is>
          <t>2025-04-07</t>
        </is>
      </c>
      <c r="M169" s="13" t="inlineStr">
        <is>
          <t>2025-04-23</t>
        </is>
      </c>
      <c r="N169" s="13" t="inlineStr">
        <is>
          <t>2025-04-22</t>
        </is>
      </c>
      <c r="O169" s="9" t="n">
        <v>229</v>
      </c>
      <c r="P169" s="17" t="n">
        <v>2481.786376953125</v>
      </c>
      <c r="Q169" s="17" t="n">
        <v>2239.77490234375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Q1 2025-26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-4.88%</t>
        </is>
      </c>
      <c r="J170" s="13" t="inlineStr">
        <is>
          <t>-10.52%</t>
        </is>
      </c>
      <c r="K170" s="16">
        <f>X169</f>
        <v/>
      </c>
      <c r="L170" s="13" t="inlineStr">
        <is>
          <t>2025-04-16</t>
        </is>
      </c>
      <c r="M170" s="13" t="inlineStr">
        <is>
          <t>2025-04-23</t>
        </is>
      </c>
      <c r="N170" s="13" t="inlineStr">
        <is>
          <t>2025-04-22</t>
        </is>
      </c>
      <c r="O170" s="9" t="n">
        <v>2645</v>
      </c>
      <c r="P170" s="17" t="n">
        <v>190.9755401611328</v>
      </c>
      <c r="Q170" s="17" t="n">
        <v>182.0978240966797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Q1 2025-26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0.63%</t>
        </is>
      </c>
      <c r="J171" s="13" t="inlineStr">
        <is>
          <t>-0.89%</t>
        </is>
      </c>
      <c r="K171" s="16">
        <f>X170</f>
        <v/>
      </c>
      <c r="L171" s="13" t="inlineStr">
        <is>
          <t>2026-03-23</t>
        </is>
      </c>
      <c r="M171" s="13" t="inlineStr">
        <is>
          <t>2026-03-27</t>
        </is>
      </c>
      <c r="N171" s="13" t="inlineStr">
        <is>
          <t>2026-03-25</t>
        </is>
      </c>
      <c r="O171" s="9" t="n">
        <v>2667</v>
      </c>
      <c r="P171" s="17" t="n">
        <v>316.4500122070312</v>
      </c>
      <c r="Q171" s="17" t="n">
        <v>318.4500122070312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Q1 2025-26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5.32%</t>
        </is>
      </c>
      <c r="J172" s="13" t="inlineStr">
        <is>
          <t>4.09%</t>
        </is>
      </c>
      <c r="K172" s="16">
        <f>X171</f>
        <v/>
      </c>
      <c r="L172" s="13" t="inlineStr">
        <is>
          <t>2024-07-16</t>
        </is>
      </c>
      <c r="M172" s="13" t="inlineStr">
        <is>
          <t>2024-07-25</t>
        </is>
      </c>
      <c r="N172" s="13" t="inlineStr">
        <is>
          <t>2024-07-19</t>
        </is>
      </c>
      <c r="O172" s="9" t="n">
        <v>250</v>
      </c>
      <c r="P172" s="17" t="n">
        <v>1474.6171875</v>
      </c>
      <c r="Q172" s="17" t="n">
        <v>1557.468017578125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Q1 2025-26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-11.3%</t>
        </is>
      </c>
      <c r="J173" s="13" t="inlineStr">
        <is>
          <t>-13.41%</t>
        </is>
      </c>
      <c r="K173" s="16">
        <f>X172</f>
        <v/>
      </c>
      <c r="L173" s="13" t="inlineStr">
        <is>
          <t>2025-04-07</t>
        </is>
      </c>
      <c r="M173" s="13" t="inlineStr">
        <is>
          <t>2025-04-23</t>
        </is>
      </c>
      <c r="N173" s="13" t="inlineStr">
        <is>
          <t>2025-04-22</t>
        </is>
      </c>
      <c r="O173" s="9" t="n">
        <v>4486</v>
      </c>
      <c r="P173" s="17" t="n">
        <v>370.7915344238281</v>
      </c>
      <c r="Q173" s="17" t="n">
        <v>333.1570739746094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Q1 2025-26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-1.29%</t>
        </is>
      </c>
      <c r="J174" s="13" t="inlineStr">
        <is>
          <t>-9.49%</t>
        </is>
      </c>
      <c r="K174" s="16">
        <f>X173</f>
        <v/>
      </c>
      <c r="L174" s="13" t="inlineStr">
        <is>
          <t>2025-04-17</t>
        </is>
      </c>
      <c r="M174" s="13" t="inlineStr">
        <is>
          <t>2025-04-23</t>
        </is>
      </c>
      <c r="N174" s="13" t="inlineStr">
        <is>
          <t>2025-04-22</t>
        </is>
      </c>
      <c r="O174" s="9" t="n">
        <v>21748</v>
      </c>
      <c r="P174" s="17" t="n">
        <v>43.26675033569336</v>
      </c>
      <c r="Q174" s="17" t="n">
        <v>42.70730972290039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Q1 2025-26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-3.11%</t>
        </is>
      </c>
      <c r="J175" s="13" t="inlineStr">
        <is>
          <t>-7.23%</t>
        </is>
      </c>
      <c r="K175" s="16">
        <f>X174</f>
        <v/>
      </c>
      <c r="L175" s="13" t="inlineStr">
        <is>
          <t>2025-04-15</t>
        </is>
      </c>
      <c r="M175" s="13" t="inlineStr">
        <is>
          <t>2025-04-28</t>
        </is>
      </c>
      <c r="N175" s="13" t="inlineStr">
        <is>
          <t>2025-04-22</t>
        </is>
      </c>
      <c r="O175" s="9" t="n">
        <v>5915</v>
      </c>
      <c r="P175" s="17" t="n">
        <v>115.3246002197266</v>
      </c>
      <c r="Q175" s="17" t="n">
        <v>111.8481750488281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Q1 2025-26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-11.97%</t>
        </is>
      </c>
      <c r="J176" s="13" t="inlineStr">
        <is>
          <t>-16.18%</t>
        </is>
      </c>
      <c r="K176" s="16">
        <f>X175</f>
        <v/>
      </c>
      <c r="L176" s="13" t="inlineStr">
        <is>
          <t>2025-04-07</t>
        </is>
      </c>
      <c r="M176" s="13" t="inlineStr">
        <is>
          <t>2025-04-23</t>
        </is>
      </c>
      <c r="N176" s="13" t="inlineStr">
        <is>
          <t>2025-04-22</t>
        </is>
      </c>
      <c r="O176" s="9" t="n">
        <v>1550</v>
      </c>
      <c r="P176" s="17" t="n">
        <v>913.7</v>
      </c>
      <c r="Q176" s="17" t="n">
        <v>816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Q1 2025-26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1.58%</t>
        </is>
      </c>
      <c r="J177" s="13" t="inlineStr">
        <is>
          <t>0.59%</t>
        </is>
      </c>
      <c r="K177" s="16">
        <f>X176</f>
        <v/>
      </c>
      <c r="L177" s="13" t="inlineStr">
        <is>
          <t>2023-10-26</t>
        </is>
      </c>
      <c r="M177" s="13" t="inlineStr">
        <is>
          <t>2023-10-30</t>
        </is>
      </c>
      <c r="N177" s="13" t="inlineStr">
        <is>
          <t>2023-10-27</t>
        </is>
      </c>
      <c r="O177" s="9" t="n">
        <v>375</v>
      </c>
      <c r="P177" s="17" t="n">
        <v>1298.9775390625</v>
      </c>
      <c r="Q177" s="17" t="n">
        <v>1319.472900390625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Q1 2025-26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-5.91%</t>
        </is>
      </c>
      <c r="J178" s="13" t="inlineStr">
        <is>
          <t>-6.38%</t>
        </is>
      </c>
      <c r="K178" s="16">
        <f>X177</f>
        <v/>
      </c>
      <c r="L178" s="13" t="inlineStr">
        <is>
          <t>2024-08-02</t>
        </is>
      </c>
      <c r="M178" s="13" t="inlineStr">
        <is>
          <t>2024-08-06</t>
        </is>
      </c>
      <c r="N178" s="13" t="inlineStr">
        <is>
          <t>2024-08-03</t>
        </is>
      </c>
      <c r="O178" s="9" t="n">
        <v>1500</v>
      </c>
      <c r="P178" s="17" t="n">
        <v>816.4441528320312</v>
      </c>
      <c r="Q178" s="17" t="n">
        <v>768.15185546875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Q1 2025-26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2.06%</t>
        </is>
      </c>
      <c r="J179" s="13" t="inlineStr">
        <is>
          <t>-1.0%</t>
        </is>
      </c>
      <c r="K179" s="16">
        <f>X178</f>
        <v/>
      </c>
      <c r="L179" s="13" t="inlineStr">
        <is>
          <t>2025-04-07</t>
        </is>
      </c>
      <c r="M179" s="13" t="inlineStr">
        <is>
          <t>2025-04-23</t>
        </is>
      </c>
      <c r="N179" s="13" t="inlineStr">
        <is>
          <t>2025-04-22</t>
        </is>
      </c>
      <c r="O179" s="9" t="n">
        <v>100</v>
      </c>
      <c r="P179" s="17" t="n">
        <v>29532.8984375</v>
      </c>
      <c r="Q179" s="17" t="n">
        <v>30141.83984375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Q1 2025-26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11.58%</t>
        </is>
      </c>
      <c r="J180" s="13" t="inlineStr">
        <is>
          <t>9.61%</t>
        </is>
      </c>
      <c r="K180" s="16">
        <f>X179</f>
        <v/>
      </c>
      <c r="L180" s="13" t="inlineStr">
        <is>
          <t>2024-07-25</t>
        </is>
      </c>
      <c r="M180" s="13" t="inlineStr">
        <is>
          <t>2024-08-01</t>
        </is>
      </c>
      <c r="N180" s="13" t="inlineStr">
        <is>
          <t>2024-07-26</t>
        </is>
      </c>
      <c r="O180" s="9" t="n">
        <v>957</v>
      </c>
      <c r="P180" s="17" t="n">
        <v>521.1231079101562</v>
      </c>
      <c r="Q180" s="17" t="n">
        <v>581.473388671875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Q1 2025-26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2.12%</t>
        </is>
      </c>
      <c r="J181" s="13" t="inlineStr">
        <is>
          <t>0.0%</t>
        </is>
      </c>
      <c r="K181" s="16">
        <f>X180</f>
        <v/>
      </c>
      <c r="L181" s="13" t="inlineStr">
        <is>
          <t>2025-04-07</t>
        </is>
      </c>
      <c r="M181" s="13" t="inlineStr">
        <is>
          <t>2025-04-23</t>
        </is>
      </c>
      <c r="N181" s="13" t="inlineStr">
        <is>
          <t>2025-04-22</t>
        </is>
      </c>
      <c r="O181" s="9" t="n">
        <v>273</v>
      </c>
      <c r="P181" s="17" t="n">
        <v>2798.697265625</v>
      </c>
      <c r="Q181" s="17" t="n">
        <v>2857.9560546875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Q1 2025-26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20.06%</t>
        </is>
      </c>
      <c r="J182" s="13" t="inlineStr">
        <is>
          <t>17.67%</t>
        </is>
      </c>
      <c r="K182" s="16">
        <f>X181</f>
        <v/>
      </c>
      <c r="L182" s="13" t="inlineStr">
        <is>
          <t>2025-04-08</t>
        </is>
      </c>
      <c r="M182" s="13" t="inlineStr">
        <is>
          <t>2025-04-28</t>
        </is>
      </c>
      <c r="N182" s="13" t="inlineStr">
        <is>
          <t>2025-04-22</t>
        </is>
      </c>
      <c r="O182" s="9" t="n">
        <v>100</v>
      </c>
      <c r="P182" s="17" t="n">
        <v>10917.759765625</v>
      </c>
      <c r="Q182" s="17" t="n">
        <v>13107.4052734375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Q1 2025-26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-7.71%</t>
        </is>
      </c>
      <c r="J183" s="13" t="inlineStr">
        <is>
          <t>-12.55%</t>
        </is>
      </c>
      <c r="K183" s="16">
        <f>X182</f>
        <v/>
      </c>
      <c r="L183" s="13" t="inlineStr">
        <is>
          <t>2025-04-11</t>
        </is>
      </c>
      <c r="M183" s="13" t="inlineStr">
        <is>
          <t>2025-04-28</t>
        </is>
      </c>
      <c r="N183" s="13" t="inlineStr">
        <is>
          <t>2025-04-22</t>
        </is>
      </c>
      <c r="O183" s="9" t="n">
        <v>1309</v>
      </c>
      <c r="P183" s="17" t="n">
        <v>458.874755859375</v>
      </c>
      <c r="Q183" s="17" t="n">
        <v>426.0378723144531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Q1 2025-26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-1.63%</t>
        </is>
      </c>
      <c r="J184" s="13" t="inlineStr">
        <is>
          <t>-1.65%</t>
        </is>
      </c>
      <c r="K184" s="16">
        <f>X183</f>
        <v/>
      </c>
      <c r="L184" s="13" t="inlineStr">
        <is>
          <t>2025-04-16</t>
        </is>
      </c>
      <c r="M184" s="13" t="inlineStr">
        <is>
          <t>2025-04-28</t>
        </is>
      </c>
      <c r="N184" s="13" t="inlineStr">
        <is>
          <t>2025-04-22</t>
        </is>
      </c>
      <c r="O184" s="9" t="n">
        <v>383</v>
      </c>
      <c r="P184" s="17" t="n">
        <v>3024.9794921875</v>
      </c>
      <c r="Q184" s="17" t="n">
        <v>2976.525146484375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Q1 2025-26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7.26%</t>
        </is>
      </c>
      <c r="J185" s="13" t="inlineStr">
        <is>
          <t>6.7%</t>
        </is>
      </c>
      <c r="K185" s="16">
        <f>X184</f>
        <v/>
      </c>
      <c r="L185" s="13" t="inlineStr">
        <is>
          <t>2024-07-24</t>
        </is>
      </c>
      <c r="M185" s="13" t="inlineStr">
        <is>
          <t>2024-08-08</t>
        </is>
      </c>
      <c r="N185" s="13" t="inlineStr">
        <is>
          <t>2024-08-02</t>
        </is>
      </c>
      <c r="O185" s="9" t="n">
        <v>350</v>
      </c>
      <c r="P185" s="17" t="n">
        <v>1589.94482421875</v>
      </c>
      <c r="Q185" s="17" t="n">
        <v>1705.402465820312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Q1 2025-26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-9.91%</t>
        </is>
      </c>
      <c r="J186" s="13" t="inlineStr">
        <is>
          <t>-13.22%</t>
        </is>
      </c>
      <c r="K186" s="16">
        <f>X185</f>
        <v/>
      </c>
      <c r="L186" s="13" t="inlineStr">
        <is>
          <t>2025-04-08</t>
        </is>
      </c>
      <c r="M186" s="13" t="inlineStr">
        <is>
          <t>2025-04-23</t>
        </is>
      </c>
      <c r="N186" s="13" t="inlineStr">
        <is>
          <t>2025-04-22</t>
        </is>
      </c>
      <c r="O186" s="9" t="n">
        <v>289</v>
      </c>
      <c r="P186" s="17" t="n">
        <v>3472.2744140625</v>
      </c>
      <c r="Q186" s="17" t="n">
        <v>3159.1689453125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Q1 2025-26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8.85%</t>
        </is>
      </c>
      <c r="J187" s="13" t="inlineStr">
        <is>
          <t>2.2%</t>
        </is>
      </c>
      <c r="K187" s="16">
        <f>X186</f>
        <v/>
      </c>
      <c r="L187" s="13" t="inlineStr">
        <is>
          <t>2025-04-08</t>
        </is>
      </c>
      <c r="M187" s="13" t="inlineStr">
        <is>
          <t>2025-04-28</t>
        </is>
      </c>
      <c r="N187" s="13" t="inlineStr">
        <is>
          <t>2025-04-22</t>
        </is>
      </c>
      <c r="O187" s="9" t="n">
        <v>21097</v>
      </c>
      <c r="P187" s="17" t="n">
        <v>53.08000183105469</v>
      </c>
      <c r="Q187" s="17" t="n">
        <v>57.77999877929688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Q1 2025-26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2.13%</t>
        </is>
      </c>
      <c r="J188" s="13" t="inlineStr">
        <is>
          <t>5.04%</t>
        </is>
      </c>
      <c r="K188" s="16">
        <f>X187</f>
        <v/>
      </c>
      <c r="L188" s="13" t="inlineStr">
        <is>
          <t>2025-04-17</t>
        </is>
      </c>
      <c r="M188" s="13" t="inlineStr">
        <is>
          <t>2025-04-23</t>
        </is>
      </c>
      <c r="N188" s="13" t="inlineStr">
        <is>
          <t>2025-04-22</t>
        </is>
      </c>
      <c r="O188" s="9" t="n">
        <v>3379</v>
      </c>
      <c r="P188" s="17" t="n">
        <v>340.7999877929688</v>
      </c>
      <c r="Q188" s="17" t="n">
        <v>348.0499877929688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Q1 2025-26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2.31%</t>
        </is>
      </c>
      <c r="J189" s="13" t="inlineStr">
        <is>
          <t>2.46%</t>
        </is>
      </c>
      <c r="K189" s="16">
        <f>X188</f>
        <v/>
      </c>
      <c r="L189" s="13" t="inlineStr">
        <is>
          <t>2024-07-26</t>
        </is>
      </c>
      <c r="M189" s="13" t="inlineStr">
        <is>
          <t>2024-08-06</t>
        </is>
      </c>
      <c r="N189" s="13" t="inlineStr">
        <is>
          <t>2024-07-30</t>
        </is>
      </c>
      <c r="O189" s="9" t="n">
        <v>450</v>
      </c>
      <c r="P189" s="17" t="n">
        <v>1167.002807617188</v>
      </c>
      <c r="Q189" s="17" t="n">
        <v>1194.612915039062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Q1 2025-26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-16.83%</t>
        </is>
      </c>
      <c r="J190" s="13" t="inlineStr">
        <is>
          <t>-24.33%</t>
        </is>
      </c>
      <c r="K190" s="16">
        <f>X189</f>
        <v/>
      </c>
      <c r="L190" s="13" t="inlineStr">
        <is>
          <t>2025-04-08</t>
        </is>
      </c>
      <c r="M190" s="13" t="inlineStr">
        <is>
          <t>2025-04-28</t>
        </is>
      </c>
      <c r="N190" s="13" t="inlineStr">
        <is>
          <t>2025-04-22</t>
        </is>
      </c>
      <c r="O190" s="9" t="n">
        <v>273</v>
      </c>
      <c r="P190" s="17" t="n">
        <v>5526.26123046875</v>
      </c>
      <c r="Q190" s="17" t="n">
        <v>4730.1064453125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Q1 2025-26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6.03%</t>
        </is>
      </c>
      <c r="J191" s="13" t="inlineStr">
        <is>
          <t>2.81%</t>
        </is>
      </c>
      <c r="K191" s="16">
        <f>X190</f>
        <v/>
      </c>
      <c r="L191" s="13" t="inlineStr">
        <is>
          <t>2025-04-17</t>
        </is>
      </c>
      <c r="M191" s="13" t="inlineStr">
        <is>
          <t>2025-04-23</t>
        </is>
      </c>
      <c r="N191" s="13" t="inlineStr">
        <is>
          <t>2025-04-22</t>
        </is>
      </c>
      <c r="O191" s="9" t="n">
        <v>1425</v>
      </c>
      <c r="P191" s="17" t="n">
        <v>621.15</v>
      </c>
      <c r="Q191" s="17" t="n">
        <v>658.6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Q1 2025-26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-8.41%</t>
        </is>
      </c>
      <c r="J192" s="13" t="inlineStr">
        <is>
          <t>-10.73%</t>
        </is>
      </c>
      <c r="K192" s="16">
        <f>X191</f>
        <v/>
      </c>
      <c r="L192" s="13" t="inlineStr">
        <is>
          <t>2025-04-11</t>
        </is>
      </c>
      <c r="M192" s="13" t="inlineStr">
        <is>
          <t>2025-04-28</t>
        </is>
      </c>
      <c r="N192" s="13" t="inlineStr">
        <is>
          <t>2025-04-22</t>
        </is>
      </c>
      <c r="O192" s="9" t="n">
        <v>2659</v>
      </c>
      <c r="P192" s="17" t="n">
        <v>390.3693542480469</v>
      </c>
      <c r="Q192" s="17" t="n">
        <v>360.0863342285156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Q1 2025-26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4.03%</t>
        </is>
      </c>
      <c r="J193" s="13" t="inlineStr">
        <is>
          <t>4.69%</t>
        </is>
      </c>
      <c r="K193" s="16">
        <f>X192</f>
        <v/>
      </c>
      <c r="L193" s="13" t="inlineStr">
        <is>
          <t>2024-07-22</t>
        </is>
      </c>
      <c r="M193" s="13" t="inlineStr">
        <is>
          <t>2024-08-07</t>
        </is>
      </c>
      <c r="N193" s="13" t="inlineStr">
        <is>
          <t>2024-07-31</t>
        </is>
      </c>
      <c r="O193" s="9" t="n">
        <v>5500</v>
      </c>
      <c r="P193" s="17" t="n">
        <v>147.3156127929688</v>
      </c>
      <c r="Q193" s="17" t="n">
        <v>153.5008392333984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Q1 2025-26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-4.41%</t>
        </is>
      </c>
      <c r="J194" s="13" t="inlineStr">
        <is>
          <t>-4.13%</t>
        </is>
      </c>
      <c r="K194" s="16">
        <f>X193</f>
        <v/>
      </c>
      <c r="L194" s="13" t="inlineStr">
        <is>
          <t>2024-07-08</t>
        </is>
      </c>
      <c r="M194" s="13" t="inlineStr">
        <is>
          <t>2024-07-15</t>
        </is>
      </c>
      <c r="N194" s="13" t="inlineStr">
        <is>
          <t>2024-07-11</t>
        </is>
      </c>
      <c r="O194" s="9" t="n">
        <v>175</v>
      </c>
      <c r="P194" s="17" t="n">
        <v>3885.653076171875</v>
      </c>
      <c r="Q194" s="17" t="n">
        <v>3721.622802734375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Q1 2025-26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-0.73%</t>
        </is>
      </c>
      <c r="J195" s="13" t="inlineStr">
        <is>
          <t>-1.89%</t>
        </is>
      </c>
      <c r="K195" s="16">
        <f>X194</f>
        <v/>
      </c>
      <c r="L195" s="13" t="inlineStr">
        <is>
          <t>2024-07-24</t>
        </is>
      </c>
      <c r="M195" s="13" t="inlineStr">
        <is>
          <t>2024-08-01</t>
        </is>
      </c>
      <c r="N195" s="13" t="inlineStr">
        <is>
          <t>2024-07-25</t>
        </is>
      </c>
      <c r="O195" s="9" t="n">
        <v>600</v>
      </c>
      <c r="P195" s="17" t="n">
        <v>1449.977172851562</v>
      </c>
      <c r="Q195" s="17" t="n">
        <v>1439.509155273438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Q1 2025-26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-3.98%</t>
        </is>
      </c>
      <c r="J196" s="13" t="inlineStr">
        <is>
          <t>-9.8%</t>
        </is>
      </c>
      <c r="K196" s="16">
        <f>X195</f>
        <v/>
      </c>
      <c r="L196" s="13" t="inlineStr">
        <is>
          <t>2025-04-15</t>
        </is>
      </c>
      <c r="M196" s="13" t="inlineStr">
        <is>
          <t>2025-04-23</t>
        </is>
      </c>
      <c r="N196" s="13" t="inlineStr">
        <is>
          <t>2025-04-22</t>
        </is>
      </c>
      <c r="O196" s="9" t="n">
        <v>371</v>
      </c>
      <c r="P196" s="17" t="n">
        <v>2669.373046875</v>
      </c>
      <c r="Q196" s="17" t="n">
        <v>2567.211669921875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Q1 2025-26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2.66%</t>
        </is>
      </c>
      <c r="J197" s="13" t="inlineStr">
        <is>
          <t>2.44%</t>
        </is>
      </c>
      <c r="K197" s="16">
        <f>X196</f>
        <v/>
      </c>
      <c r="L197" s="13" t="inlineStr">
        <is>
          <t>2024-08-01</t>
        </is>
      </c>
      <c r="M197" s="13" t="inlineStr">
        <is>
          <t>2024-08-05</t>
        </is>
      </c>
      <c r="N197" s="13" t="inlineStr">
        <is>
          <t>2024-08-02</t>
        </is>
      </c>
      <c r="O197" s="9" t="n">
        <v>175</v>
      </c>
      <c r="P197" s="17" t="n">
        <v>3354.8125</v>
      </c>
      <c r="Q197" s="17" t="n">
        <v>3446.634033203125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Q1 2025-26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-4.35%</t>
        </is>
      </c>
      <c r="J198" s="13" t="inlineStr">
        <is>
          <t>-5.19%</t>
        </is>
      </c>
      <c r="K198" s="16">
        <f>X197</f>
        <v/>
      </c>
      <c r="L198" s="13" t="inlineStr">
        <is>
          <t>2009-10-23</t>
        </is>
      </c>
      <c r="M198" s="13" t="inlineStr">
        <is>
          <t>2009-11-03</t>
        </is>
      </c>
      <c r="N198" s="13" t="inlineStr">
        <is>
          <t>2009-10-26</t>
        </is>
      </c>
      <c r="O198" s="9" t="n">
        <v>3054</v>
      </c>
      <c r="P198" s="17" t="n">
        <v>99.71281433105467</v>
      </c>
      <c r="Q198" s="17" t="n">
        <v>95.5517120361328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Q1 2025-26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2.47%</t>
        </is>
      </c>
      <c r="J199" s="13" t="inlineStr">
        <is>
          <t>0.69%</t>
        </is>
      </c>
      <c r="K199" s="16">
        <f>X198</f>
        <v/>
      </c>
      <c r="L199" s="13" t="inlineStr">
        <is>
          <t>2025-04-21</t>
        </is>
      </c>
      <c r="M199" s="13" t="inlineStr">
        <is>
          <t>2025-04-28</t>
        </is>
      </c>
      <c r="N199" s="13" t="inlineStr">
        <is>
          <t>2025-04-22</t>
        </is>
      </c>
      <c r="O199" s="9" t="n">
        <v>205</v>
      </c>
      <c r="P199" s="17" t="n">
        <v>3219.9072265625</v>
      </c>
      <c r="Q199" s="17" t="n">
        <v>3299.4501953125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Q1 2025-26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18.82%</t>
        </is>
      </c>
      <c r="J200" s="13" t="inlineStr">
        <is>
          <t>17.44%</t>
        </is>
      </c>
      <c r="K200" s="16">
        <f>X199</f>
        <v/>
      </c>
      <c r="L200" s="13" t="inlineStr">
        <is>
          <t>2024-08-07</t>
        </is>
      </c>
      <c r="M200" s="13" t="inlineStr">
        <is>
          <t>2024-08-16</t>
        </is>
      </c>
      <c r="N200" s="13" t="inlineStr">
        <is>
          <t>2024-08-09</t>
        </is>
      </c>
      <c r="O200" s="9" t="n">
        <v>345</v>
      </c>
      <c r="P200" s="17" t="n">
        <v>5461.22265625</v>
      </c>
      <c r="Q200" s="17" t="n">
        <v>6489.05908203125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Q1 2025-26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-8.51%</t>
        </is>
      </c>
      <c r="J201" s="13" t="inlineStr">
        <is>
          <t>-8.79%</t>
        </is>
      </c>
      <c r="K201" s="16">
        <f>X200</f>
        <v/>
      </c>
      <c r="L201" s="13" t="inlineStr">
        <is>
          <t>2025-04-15</t>
        </is>
      </c>
      <c r="M201" s="13" t="inlineStr">
        <is>
          <t>2025-04-23</t>
        </is>
      </c>
      <c r="N201" s="13" t="inlineStr">
        <is>
          <t>2025-04-22</t>
        </is>
      </c>
      <c r="O201" s="9" t="n">
        <v>237</v>
      </c>
      <c r="P201" s="17" t="n">
        <v>2796.923828125</v>
      </c>
      <c r="Q201" s="17" t="n">
        <v>2577.490966796875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Q1 2025-26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0.98%</t>
        </is>
      </c>
      <c r="J202" s="13" t="inlineStr">
        <is>
          <t>0.0%</t>
        </is>
      </c>
      <c r="K202" s="16">
        <f>X201</f>
        <v/>
      </c>
      <c r="L202" s="13" t="inlineStr">
        <is>
          <t>2024-07-11</t>
        </is>
      </c>
      <c r="M202" s="13" t="inlineStr">
        <is>
          <t>2024-07-25</t>
        </is>
      </c>
      <c r="N202" s="13" t="inlineStr">
        <is>
          <t>2024-07-19</t>
        </is>
      </c>
      <c r="O202" s="9" t="n">
        <v>100</v>
      </c>
      <c r="P202" s="17" t="n">
        <v>11302.40625</v>
      </c>
      <c r="Q202" s="17" t="n">
        <v>11414.4765625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Q1 2025-26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1.55%</t>
        </is>
      </c>
      <c r="J203" s="13" t="inlineStr">
        <is>
          <t>0.0%</t>
        </is>
      </c>
      <c r="K203" s="16">
        <f>X202</f>
        <v/>
      </c>
      <c r="L203" s="13" t="inlineStr">
        <is>
          <t>2025-04-17</t>
        </is>
      </c>
      <c r="M203" s="13" t="inlineStr">
        <is>
          <t>2025-04-28</t>
        </is>
      </c>
      <c r="N203" s="13" t="inlineStr">
        <is>
          <t>2025-04-22</t>
        </is>
      </c>
      <c r="O203" s="9" t="n">
        <v>5868</v>
      </c>
      <c r="P203" s="17" t="n">
        <v>118.9308319091797</v>
      </c>
      <c r="Q203" s="17" t="n">
        <v>120.7722549438477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Q1 2025-26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-3.66%</t>
        </is>
      </c>
      <c r="J204" s="13" t="inlineStr">
        <is>
          <t>-3.46%</t>
        </is>
      </c>
      <c r="K204" s="16">
        <f>X203</f>
        <v/>
      </c>
      <c r="L204" s="13" t="inlineStr">
        <is>
          <t>2025-04-15</t>
        </is>
      </c>
      <c r="M204" s="13" t="inlineStr">
        <is>
          <t>2025-04-28</t>
        </is>
      </c>
      <c r="N204" s="13" t="inlineStr">
        <is>
          <t>2025-04-22</t>
        </is>
      </c>
      <c r="O204" s="9" t="n">
        <v>652</v>
      </c>
      <c r="P204" s="17" t="n">
        <v>1528.572143554688</v>
      </c>
      <c r="Q204" s="17" t="n">
        <v>1474.66064453125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Q1 2025-26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5.54%</t>
        </is>
      </c>
      <c r="J205" s="13" t="inlineStr">
        <is>
          <t>0.55%</t>
        </is>
      </c>
      <c r="K205" s="16">
        <f>X204</f>
        <v/>
      </c>
      <c r="L205" s="13" t="inlineStr">
        <is>
          <t>2025-04-08</t>
        </is>
      </c>
      <c r="M205" s="13" t="inlineStr">
        <is>
          <t>2025-04-28</t>
        </is>
      </c>
      <c r="N205" s="13" t="inlineStr">
        <is>
          <t>2025-04-22</t>
        </is>
      </c>
      <c r="O205" s="9" t="n">
        <v>852</v>
      </c>
      <c r="P205" s="17" t="n">
        <v>834.1493530273438</v>
      </c>
      <c r="Q205" s="17" t="n">
        <v>880.374755859375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Q1 2025-26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-3.09%</t>
        </is>
      </c>
      <c r="J206" s="13" t="inlineStr">
        <is>
          <t>-2.4%</t>
        </is>
      </c>
      <c r="K206" s="16">
        <f>X205</f>
        <v/>
      </c>
      <c r="L206" s="13" t="inlineStr">
        <is>
          <t>2025-04-15</t>
        </is>
      </c>
      <c r="M206" s="13" t="inlineStr">
        <is>
          <t>2025-04-28</t>
        </is>
      </c>
      <c r="N206" s="13" t="inlineStr">
        <is>
          <t>2025-04-22</t>
        </is>
      </c>
      <c r="O206" s="9" t="n">
        <v>1659</v>
      </c>
      <c r="P206" s="17" t="n">
        <v>665.705078125</v>
      </c>
      <c r="Q206" s="17" t="n">
        <v>645.7820434570312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Q1 2025-26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0.01%</t>
        </is>
      </c>
      <c r="J207" s="13" t="inlineStr">
        <is>
          <t>-0.84%</t>
        </is>
      </c>
      <c r="K207" s="16">
        <f>X206</f>
        <v/>
      </c>
      <c r="L207" s="13" t="inlineStr">
        <is>
          <t>2025-04-16</t>
        </is>
      </c>
      <c r="M207" s="13" t="inlineStr">
        <is>
          <t>2025-04-23</t>
        </is>
      </c>
      <c r="N207" s="13" t="inlineStr">
        <is>
          <t>2025-04-22</t>
        </is>
      </c>
      <c r="O207" s="9" t="n">
        <v>2215</v>
      </c>
      <c r="P207" s="17" t="n">
        <v>546.8843383789062</v>
      </c>
      <c r="Q207" s="17" t="n">
        <v>546.9341430664062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Q1 2025-26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4.01%</t>
        </is>
      </c>
      <c r="J208" s="13" t="inlineStr">
        <is>
          <t>2.74%</t>
        </is>
      </c>
      <c r="K208" s="16">
        <f>X207</f>
        <v/>
      </c>
      <c r="L208" s="13" t="inlineStr">
        <is>
          <t>2025-04-17</t>
        </is>
      </c>
      <c r="M208" s="13" t="inlineStr">
        <is>
          <t>2025-04-28</t>
        </is>
      </c>
      <c r="N208" s="13" t="inlineStr">
        <is>
          <t>2025-04-22</t>
        </is>
      </c>
      <c r="O208" s="9" t="n">
        <v>3738</v>
      </c>
      <c r="P208" s="17" t="n">
        <v>373.5922546386719</v>
      </c>
      <c r="Q208" s="17" t="n">
        <v>388.580810546875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Q1 2025-26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5.72%</t>
        </is>
      </c>
      <c r="J209" s="13" t="inlineStr">
        <is>
          <t>-6.39%</t>
        </is>
      </c>
      <c r="K209" s="16">
        <f>X208</f>
        <v/>
      </c>
      <c r="L209" s="13" t="inlineStr">
        <is>
          <t>2025-04-11</t>
        </is>
      </c>
      <c r="M209" s="13" t="inlineStr">
        <is>
          <t>2025-04-23</t>
        </is>
      </c>
      <c r="N209" s="13" t="inlineStr">
        <is>
          <t>2025-04-22</t>
        </is>
      </c>
      <c r="O209" s="9" t="n">
        <v>9268</v>
      </c>
      <c r="P209" s="17" t="n">
        <v>104.5100021362305</v>
      </c>
      <c r="Q209" s="17" t="n">
        <v>110.4899978637695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Q1 2025-26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2.4%</t>
        </is>
      </c>
      <c r="J210" s="13" t="inlineStr">
        <is>
          <t>0.78%</t>
        </is>
      </c>
      <c r="K210" s="16">
        <f>X209</f>
        <v/>
      </c>
      <c r="L210" s="13" t="inlineStr">
        <is>
          <t>2025-04-16</t>
        </is>
      </c>
      <c r="M210" s="13" t="inlineStr">
        <is>
          <t>2025-04-28</t>
        </is>
      </c>
      <c r="N210" s="13" t="inlineStr">
        <is>
          <t>2025-04-22</t>
        </is>
      </c>
      <c r="O210" s="9" t="n">
        <v>750</v>
      </c>
      <c r="P210" s="17" t="n">
        <v>1235.599365234375</v>
      </c>
      <c r="Q210" s="17" t="n">
        <v>1266.033447265625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Q1 2025-26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-29.06%</t>
        </is>
      </c>
      <c r="J211" s="13" t="inlineStr">
        <is>
          <t>-49.67%</t>
        </is>
      </c>
      <c r="K211" s="16">
        <f>X210</f>
        <v/>
      </c>
      <c r="L211" s="13" t="inlineStr">
        <is>
          <t>2025-04-07</t>
        </is>
      </c>
      <c r="M211" s="13" t="inlineStr">
        <is>
          <t>2025-04-28</t>
        </is>
      </c>
      <c r="N211" s="13" t="inlineStr">
        <is>
          <t>2025-04-22</t>
        </is>
      </c>
      <c r="O211" s="9" t="n">
        <v>380</v>
      </c>
      <c r="P211" s="17" t="n">
        <v>2698.68603515625</v>
      </c>
      <c r="Q211" s="17" t="n">
        <v>2090.97705078125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Q1 2025-26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-5.1%</t>
        </is>
      </c>
      <c r="J212" s="13" t="inlineStr">
        <is>
          <t>-5.95%</t>
        </is>
      </c>
      <c r="K212" s="16">
        <f>X211</f>
        <v/>
      </c>
      <c r="L212" s="13" t="inlineStr">
        <is>
          <t>2024-07-11</t>
        </is>
      </c>
      <c r="M212" s="13" t="inlineStr">
        <is>
          <t>2024-07-25</t>
        </is>
      </c>
      <c r="N212" s="13" t="inlineStr">
        <is>
          <t>2024-07-19</t>
        </is>
      </c>
      <c r="O212" s="9" t="n">
        <v>1500</v>
      </c>
      <c r="P212" s="17" t="n">
        <v>250.3328399658203</v>
      </c>
      <c r="Q212" s="17" t="n">
        <v>237.5607452392578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Q1 2025-26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-7.36%</t>
        </is>
      </c>
      <c r="J213" s="13" t="inlineStr">
        <is>
          <t>-7.88%</t>
        </is>
      </c>
      <c r="K213" s="16">
        <f>X212</f>
        <v/>
      </c>
      <c r="L213" s="13" t="inlineStr">
        <is>
          <t>2025-04-07</t>
        </is>
      </c>
      <c r="M213" s="13" t="inlineStr">
        <is>
          <t>2025-04-28</t>
        </is>
      </c>
      <c r="N213" s="13" t="inlineStr">
        <is>
          <t>2025-04-22</t>
        </is>
      </c>
      <c r="O213" s="9" t="n">
        <v>44365</v>
      </c>
      <c r="P213" s="17" t="n">
        <v>18.09000015258789</v>
      </c>
      <c r="Q213" s="17" t="n">
        <v>16.85000038146973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Q1 2025-26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-0.38%</t>
        </is>
      </c>
      <c r="J214" s="13" t="inlineStr">
        <is>
          <t>2.22%</t>
        </is>
      </c>
      <c r="K214" s="16">
        <f>X213</f>
        <v/>
      </c>
      <c r="L214" s="13" t="inlineStr">
        <is>
          <t>2025-04-15</t>
        </is>
      </c>
      <c r="M214" s="13" t="inlineStr">
        <is>
          <t>2025-04-28</t>
        </is>
      </c>
      <c r="N214" s="13" t="inlineStr">
        <is>
          <t>2025-04-22</t>
        </is>
      </c>
      <c r="O214" s="9" t="n">
        <v>896</v>
      </c>
      <c r="P214" s="17" t="n">
        <v>875.7223510742188</v>
      </c>
      <c r="Q214" s="17" t="n">
        <v>872.3638916015625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2024-25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Q4 2024-25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-3.21%</t>
        </is>
      </c>
      <c r="J4" s="13" t="inlineStr">
        <is>
          <t>-5.28%</t>
        </is>
      </c>
      <c r="K4" s="16" t="n">
        <v>42511150.11</v>
      </c>
      <c r="L4" s="13" t="inlineStr">
        <is>
          <t>2026-05-20</t>
        </is>
      </c>
      <c r="M4" s="13" t="inlineStr">
        <is>
          <t>2026-06-04</t>
        </is>
      </c>
      <c r="N4" s="13" t="inlineStr">
        <is>
          <t>2026-05-29</t>
        </is>
      </c>
      <c r="O4" s="9" t="n">
        <v>874</v>
      </c>
      <c r="P4" s="17" t="n">
        <v>1107.400024414062</v>
      </c>
      <c r="Q4" s="17" t="n">
        <v>1071.800048828125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Q4 2024-25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18.31%</t>
        </is>
      </c>
      <c r="J5" s="13" t="inlineStr">
        <is>
          <t>17.7%</t>
        </is>
      </c>
      <c r="K5" s="16">
        <f>X4</f>
        <v/>
      </c>
      <c r="L5" s="13" t="inlineStr">
        <is>
          <t>2026-03-30</t>
        </is>
      </c>
      <c r="M5" s="13" t="inlineStr">
        <is>
          <t>2026-04-17</t>
        </is>
      </c>
      <c r="N5" s="13" t="inlineStr">
        <is>
          <t>2026-04-09</t>
        </is>
      </c>
      <c r="O5" s="9" t="n">
        <v>137</v>
      </c>
      <c r="P5" s="17" t="n">
        <v>5917.298828125</v>
      </c>
      <c r="Q5" s="17" t="n">
        <v>7000.8671875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Q4 2024-25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-3.29%</t>
        </is>
      </c>
      <c r="J6" s="13" t="inlineStr">
        <is>
          <t>-4.61%</t>
        </is>
      </c>
      <c r="K6" s="16">
        <f>X5</f>
        <v/>
      </c>
      <c r="L6" s="13" t="inlineStr">
        <is>
          <t>2026-05-29</t>
        </is>
      </c>
      <c r="M6" s="13" t="inlineStr">
        <is>
          <t>2026-06-09</t>
        </is>
      </c>
      <c r="N6" s="13" t="inlineStr">
        <is>
          <t>2026-06-02</t>
        </is>
      </c>
      <c r="O6" s="9" t="n">
        <v>2537</v>
      </c>
      <c r="P6" s="17" t="n">
        <v>363.2999877929688</v>
      </c>
      <c r="Q6" s="17" t="n">
        <v>351.3500061035156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Q4 2024-25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1.42%</t>
        </is>
      </c>
      <c r="J7" s="13" t="inlineStr">
        <is>
          <t>0.7%</t>
        </is>
      </c>
      <c r="K7" s="16">
        <f>X6</f>
        <v/>
      </c>
      <c r="L7" s="13" t="inlineStr">
        <is>
          <t>2026-06-25</t>
        </is>
      </c>
      <c r="M7" s="13" t="inlineStr">
        <is>
          <t>2026-06-29</t>
        </is>
      </c>
      <c r="N7" s="13" t="inlineStr">
        <is>
          <t>2026-06-25</t>
        </is>
      </c>
      <c r="O7" s="9" t="n">
        <v>602</v>
      </c>
      <c r="P7" s="17" t="n">
        <v>1486.400024414062</v>
      </c>
      <c r="Q7" s="17" t="n">
        <v>1507.800048828125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Q4 2024-25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-5.43%</t>
        </is>
      </c>
      <c r="J8" s="13" t="inlineStr">
        <is>
          <t>-6.05%</t>
        </is>
      </c>
      <c r="K8" s="16">
        <f>X7</f>
        <v/>
      </c>
      <c r="L8" s="13" t="inlineStr">
        <is>
          <t>2024-05-02</t>
        </is>
      </c>
      <c r="M8" s="13" t="inlineStr">
        <is>
          <t>2024-05-06</t>
        </is>
      </c>
      <c r="N8" s="13" t="inlineStr">
        <is>
          <t>2024-05-03</t>
        </is>
      </c>
      <c r="O8" s="9" t="n">
        <v>300</v>
      </c>
      <c r="P8" s="17" t="n">
        <v>3035.54931640625</v>
      </c>
      <c r="Q8" s="17" t="n">
        <v>2870.81884765625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Q4 2024-25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-9.52%</t>
        </is>
      </c>
      <c r="J9" s="13" t="inlineStr">
        <is>
          <t>-10.95%</t>
        </is>
      </c>
      <c r="K9" s="16">
        <f>X8</f>
        <v/>
      </c>
      <c r="L9" s="13" t="inlineStr">
        <is>
          <t>2026-01-20</t>
        </is>
      </c>
      <c r="M9" s="13" t="inlineStr">
        <is>
          <t>2026-01-27</t>
        </is>
      </c>
      <c r="N9" s="13" t="inlineStr">
        <is>
          <t>2026-01-23</t>
        </is>
      </c>
      <c r="O9" s="9" t="n">
        <v>500</v>
      </c>
      <c r="P9" s="17" t="n">
        <v>883.2000122070312</v>
      </c>
      <c r="Q9" s="17" t="n">
        <v>799.0999755859375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Q4 2024-25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-5.87%</t>
        </is>
      </c>
      <c r="J10" s="13" t="inlineStr">
        <is>
          <t>-6.53%</t>
        </is>
      </c>
      <c r="K10" s="16">
        <f>X9</f>
        <v/>
      </c>
      <c r="L10" s="13" t="inlineStr">
        <is>
          <t>2024-04-23</t>
        </is>
      </c>
      <c r="M10" s="13" t="inlineStr">
        <is>
          <t>2024-05-09</t>
        </is>
      </c>
      <c r="N10" s="13" t="inlineStr">
        <is>
          <t>2024-05-02</t>
        </is>
      </c>
      <c r="O10" s="9" t="n">
        <v>625</v>
      </c>
      <c r="P10" s="17" t="n">
        <v>1304.579956054688</v>
      </c>
      <c r="Q10" s="17" t="n">
        <v>1228.057739257812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Q4 2024-25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1.88%</t>
        </is>
      </c>
      <c r="J11" s="13" t="inlineStr">
        <is>
          <t>1.72%</t>
        </is>
      </c>
      <c r="K11" s="16">
        <f>X10</f>
        <v/>
      </c>
      <c r="L11" s="13" t="inlineStr">
        <is>
          <t>2026-06-23</t>
        </is>
      </c>
      <c r="M11" s="13" t="inlineStr">
        <is>
          <t>2026-06-29</t>
        </is>
      </c>
      <c r="N11" s="13" t="inlineStr">
        <is>
          <t>2026-06-25</t>
        </is>
      </c>
      <c r="O11" s="9" t="n">
        <v>4785</v>
      </c>
      <c r="P11" s="17" t="n">
        <v>227.0500030517578</v>
      </c>
      <c r="Q11" s="17" t="n">
        <v>231.3899993896484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Q4 2024-25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-2.51%</t>
        </is>
      </c>
      <c r="J12" s="13" t="inlineStr">
        <is>
          <t>-2.82%</t>
        </is>
      </c>
      <c r="K12" s="16">
        <f>X11</f>
        <v/>
      </c>
      <c r="L12" s="13" t="inlineStr">
        <is>
          <t>2026-05-27</t>
        </is>
      </c>
      <c r="M12" s="13" t="inlineStr">
        <is>
          <t>2026-06-01</t>
        </is>
      </c>
      <c r="N12" s="13" t="inlineStr">
        <is>
          <t>2026-05-28</t>
        </is>
      </c>
      <c r="O12" s="9" t="n">
        <v>171</v>
      </c>
      <c r="P12" s="17" t="n">
        <v>5451.5</v>
      </c>
      <c r="Q12" s="17" t="n">
        <v>5314.5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Q4 2024-25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Q4 2024-25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4.33%</t>
        </is>
      </c>
      <c r="J14" s="13" t="inlineStr">
        <is>
          <t>4.08%</t>
        </is>
      </c>
      <c r="K14" s="16">
        <f>X13</f>
        <v/>
      </c>
      <c r="L14" s="13" t="inlineStr">
        <is>
          <t>2026-05-21</t>
        </is>
      </c>
      <c r="M14" s="13" t="inlineStr">
        <is>
          <t>2026-06-05</t>
        </is>
      </c>
      <c r="N14" s="13" t="inlineStr">
        <is>
          <t>2026-05-30</t>
        </is>
      </c>
      <c r="O14" s="9" t="n">
        <v>2303</v>
      </c>
      <c r="P14" s="17" t="n">
        <v>415.4933471679688</v>
      </c>
      <c r="Q14" s="17" t="n">
        <v>434.30029296875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Q4 2024-25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14.53%</t>
        </is>
      </c>
      <c r="J15" s="13" t="inlineStr">
        <is>
          <t>9.62%</t>
        </is>
      </c>
      <c r="K15" s="16">
        <f>X14</f>
        <v/>
      </c>
      <c r="L15" s="13" t="inlineStr">
        <is>
          <t>2026-04-13</t>
        </is>
      </c>
      <c r="M15" s="13" t="inlineStr">
        <is>
          <t>2026-04-23</t>
        </is>
      </c>
      <c r="N15" s="13" t="inlineStr">
        <is>
          <t>2026-04-16</t>
        </is>
      </c>
      <c r="O15" s="9" t="n">
        <v>3428</v>
      </c>
      <c r="P15" s="17" t="n">
        <v>279.5953063964844</v>
      </c>
      <c r="Q15" s="17" t="n">
        <v>320.2196655273437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Q4 2024-25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8.11%</t>
        </is>
      </c>
      <c r="J16" s="13" t="inlineStr">
        <is>
          <t>7.11%</t>
        </is>
      </c>
      <c r="K16" s="16">
        <f>X15</f>
        <v/>
      </c>
      <c r="L16" s="13" t="inlineStr">
        <is>
          <t>2026-01-20</t>
        </is>
      </c>
      <c r="M16" s="13" t="inlineStr">
        <is>
          <t>2026-01-27</t>
        </is>
      </c>
      <c r="N16" s="13" t="inlineStr">
        <is>
          <t>2026-01-22</t>
        </is>
      </c>
      <c r="O16" s="9" t="n">
        <v>528</v>
      </c>
      <c r="P16" s="17" t="n">
        <v>1906</v>
      </c>
      <c r="Q16" s="17" t="n">
        <v>2060.60009765625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Q4 2024-25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3.39%</t>
        </is>
      </c>
      <c r="J17" s="13" t="inlineStr">
        <is>
          <t>0.76%</t>
        </is>
      </c>
      <c r="K17" s="16">
        <f>X16</f>
        <v/>
      </c>
      <c r="L17" s="13" t="inlineStr">
        <is>
          <t>2024-05-30</t>
        </is>
      </c>
      <c r="M17" s="13" t="inlineStr">
        <is>
          <t>2024-06-06</t>
        </is>
      </c>
      <c r="N17" s="13" t="inlineStr">
        <is>
          <t>2024-05-31</t>
        </is>
      </c>
      <c r="O17" s="9" t="n">
        <v>125</v>
      </c>
      <c r="P17" s="17" t="n">
        <v>5734.505859375</v>
      </c>
      <c r="Q17" s="17" t="n">
        <v>5928.97216796875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Q4 2024-25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-0.89%</t>
        </is>
      </c>
      <c r="J18" s="13" t="inlineStr">
        <is>
          <t>-5.37%</t>
        </is>
      </c>
      <c r="K18" s="16">
        <f>X17</f>
        <v/>
      </c>
      <c r="L18" s="13" t="inlineStr">
        <is>
          <t>2025-01-17</t>
        </is>
      </c>
      <c r="M18" s="13" t="inlineStr">
        <is>
          <t>2025-01-21</t>
        </is>
      </c>
      <c r="N18" s="13" t="inlineStr">
        <is>
          <t>2025-01-20</t>
        </is>
      </c>
      <c r="O18" s="9" t="n">
        <v>5000</v>
      </c>
      <c r="P18" s="17" t="n">
        <v>99.12557983398438</v>
      </c>
      <c r="Q18" s="17" t="n">
        <v>98.24750518798828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Q4 2024-25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1.72%</t>
        </is>
      </c>
      <c r="J19" s="13" t="inlineStr">
        <is>
          <t>1.88%</t>
        </is>
      </c>
      <c r="K19" s="16">
        <f>X18</f>
        <v/>
      </c>
      <c r="L19" s="13" t="inlineStr">
        <is>
          <t>2024-05-03</t>
        </is>
      </c>
      <c r="M19" s="13" t="inlineStr">
        <is>
          <t>2024-05-13</t>
        </is>
      </c>
      <c r="N19" s="13" t="inlineStr">
        <is>
          <t>2024-05-09</t>
        </is>
      </c>
      <c r="O19" s="9" t="n">
        <v>200</v>
      </c>
      <c r="P19" s="17" t="n">
        <v>2792.13427734375</v>
      </c>
      <c r="Q19" s="17" t="n">
        <v>2841.106201171875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Q4 2024-25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-5.47%</t>
        </is>
      </c>
      <c r="J20" s="13" t="inlineStr">
        <is>
          <t>-4.01%</t>
        </is>
      </c>
      <c r="K20" s="16">
        <f>X19</f>
        <v/>
      </c>
      <c r="L20" s="13" t="inlineStr">
        <is>
          <t>2025-01-08</t>
        </is>
      </c>
      <c r="M20" s="13" t="inlineStr">
        <is>
          <t>2025-01-24</t>
        </is>
      </c>
      <c r="N20" s="13" t="inlineStr">
        <is>
          <t>2025-01-20</t>
        </is>
      </c>
      <c r="O20" s="9" t="n">
        <v>679</v>
      </c>
      <c r="P20" s="17" t="n">
        <v>1549.062255859375</v>
      </c>
      <c r="Q20" s="17" t="n">
        <v>1464.391235351562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Q4 2024-25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2025-11-10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Q4 2024-25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-7.11%</t>
        </is>
      </c>
      <c r="J22" s="13" t="inlineStr">
        <is>
          <t>-15.31%</t>
        </is>
      </c>
      <c r="K22" s="16">
        <f>X21</f>
        <v/>
      </c>
      <c r="L22" s="13" t="inlineStr">
        <is>
          <t>2025-01-08</t>
        </is>
      </c>
      <c r="M22" s="13" t="inlineStr">
        <is>
          <t>2025-01-21</t>
        </is>
      </c>
      <c r="N22" s="13" t="inlineStr">
        <is>
          <t>2025-01-20</t>
        </is>
      </c>
      <c r="O22" s="9" t="n">
        <v>970</v>
      </c>
      <c r="P22" s="17" t="n">
        <v>605.9526977539062</v>
      </c>
      <c r="Q22" s="17" t="n">
        <v>565.7523193359375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Q4 2024-25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1.06%</t>
        </is>
      </c>
      <c r="J23" s="13" t="inlineStr">
        <is>
          <t>0.76%</t>
        </is>
      </c>
      <c r="K23" s="16">
        <f>X22</f>
        <v/>
      </c>
      <c r="L23" s="13" t="inlineStr">
        <is>
          <t>2025-01-14</t>
        </is>
      </c>
      <c r="M23" s="13" t="inlineStr">
        <is>
          <t>2025-01-21</t>
        </is>
      </c>
      <c r="N23" s="13" t="inlineStr">
        <is>
          <t>2025-01-20</t>
        </is>
      </c>
      <c r="O23" s="9" t="n">
        <v>634</v>
      </c>
      <c r="P23" s="17" t="n">
        <v>1170.107666015625</v>
      </c>
      <c r="Q23" s="17" t="n">
        <v>1182.560913085938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Q4 2024-25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7.36%</t>
        </is>
      </c>
      <c r="J24" s="13" t="inlineStr">
        <is>
          <t>6.03%</t>
        </is>
      </c>
      <c r="K24" s="16">
        <f>X23</f>
        <v/>
      </c>
      <c r="L24" s="13" t="inlineStr">
        <is>
          <t>2024-04-24</t>
        </is>
      </c>
      <c r="M24" s="13" t="inlineStr">
        <is>
          <t>2024-05-03</t>
        </is>
      </c>
      <c r="N24" s="13" t="inlineStr">
        <is>
          <t>2024-04-25</t>
        </is>
      </c>
      <c r="O24" s="9" t="n">
        <v>625</v>
      </c>
      <c r="P24" s="17" t="n">
        <v>1060.704833984375</v>
      </c>
      <c r="Q24" s="17" t="n">
        <v>1138.767456054688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Q4 2024-25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-2.33%</t>
        </is>
      </c>
      <c r="J25" s="13" t="inlineStr">
        <is>
          <t>-3.98%</t>
        </is>
      </c>
      <c r="K25" s="16">
        <f>X24</f>
        <v/>
      </c>
      <c r="L25" s="13" t="inlineStr">
        <is>
          <t>2024-04-10</t>
        </is>
      </c>
      <c r="M25" s="13" t="inlineStr">
        <is>
          <t>2024-04-22</t>
        </is>
      </c>
      <c r="N25" s="13" t="inlineStr">
        <is>
          <t>2024-04-18</t>
        </is>
      </c>
      <c r="O25" s="9" t="n">
        <v>125</v>
      </c>
      <c r="P25" s="17" t="n">
        <v>8591.2421875</v>
      </c>
      <c r="Q25" s="17" t="n">
        <v>8391.09375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Q4 2024-25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1.1%</t>
        </is>
      </c>
      <c r="J26" s="13" t="inlineStr">
        <is>
          <t>0.57%</t>
        </is>
      </c>
      <c r="K26" s="16">
        <f>X25</f>
        <v/>
      </c>
      <c r="L26" s="13" t="inlineStr">
        <is>
          <t>2024-04-26</t>
        </is>
      </c>
      <c r="M26" s="13" t="inlineStr">
        <is>
          <t>2024-04-30</t>
        </is>
      </c>
      <c r="N26" s="13" t="inlineStr">
        <is>
          <t>2024-04-27</t>
        </is>
      </c>
      <c r="O26" s="9" t="n">
        <v>500</v>
      </c>
      <c r="P26" s="17" t="n">
        <v>1594.205200195312</v>
      </c>
      <c r="Q26" s="17" t="n">
        <v>1611.820434570312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Q4 2024-25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9.46%</t>
        </is>
      </c>
      <c r="J27" s="13" t="inlineStr">
        <is>
          <t>5.68%</t>
        </is>
      </c>
      <c r="K27" s="16">
        <f>X26</f>
        <v/>
      </c>
      <c r="L27" s="13" t="inlineStr">
        <is>
          <t>2025-01-13</t>
        </is>
      </c>
      <c r="M27" s="13" t="inlineStr">
        <is>
          <t>2025-01-24</t>
        </is>
      </c>
      <c r="N27" s="13" t="inlineStr">
        <is>
          <t>2025-01-20</t>
        </is>
      </c>
      <c r="O27" s="9" t="n">
        <v>100</v>
      </c>
      <c r="P27" s="17" t="n">
        <v>10117.5888671875</v>
      </c>
      <c r="Q27" s="17" t="n">
        <v>11074.2421875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Q4 2024-25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-5.43%</t>
        </is>
      </c>
      <c r="J28" s="13" t="inlineStr">
        <is>
          <t>-7.49%</t>
        </is>
      </c>
      <c r="K28" s="16">
        <f>X27</f>
        <v/>
      </c>
      <c r="L28" s="13" t="inlineStr">
        <is>
          <t>2024-04-24</t>
        </is>
      </c>
      <c r="M28" s="13" t="inlineStr">
        <is>
          <t>2024-05-03</t>
        </is>
      </c>
      <c r="N28" s="13" t="inlineStr">
        <is>
          <t>2024-04-25</t>
        </is>
      </c>
      <c r="O28" s="9" t="n">
        <v>125</v>
      </c>
      <c r="P28" s="17" t="n">
        <v>720.3536376953125</v>
      </c>
      <c r="Q28" s="17" t="n">
        <v>681.2701416015625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Q4 2024-25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0.37%</t>
        </is>
      </c>
      <c r="J29" s="13" t="inlineStr">
        <is>
          <t>-0.67%</t>
        </is>
      </c>
      <c r="K29" s="16">
        <f>X28</f>
        <v/>
      </c>
      <c r="L29" s="13" t="inlineStr">
        <is>
          <t>2025-01-15</t>
        </is>
      </c>
      <c r="M29" s="13" t="inlineStr">
        <is>
          <t>2025-01-24</t>
        </is>
      </c>
      <c r="N29" s="13" t="inlineStr">
        <is>
          <t>2025-01-20</t>
        </is>
      </c>
      <c r="O29" s="9" t="n">
        <v>6099</v>
      </c>
      <c r="P29" s="17" t="n">
        <v>145.6749877929688</v>
      </c>
      <c r="Q29" s="17" t="n">
        <v>146.2153167724609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Q4 2024-25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-3.45%</t>
        </is>
      </c>
      <c r="J30" s="13" t="inlineStr">
        <is>
          <t>-3.81%</t>
        </is>
      </c>
      <c r="K30" s="16">
        <f>X29</f>
        <v/>
      </c>
      <c r="L30" s="13" t="inlineStr">
        <is>
          <t>2025-01-13</t>
        </is>
      </c>
      <c r="M30" s="13" t="inlineStr">
        <is>
          <t>2025-01-24</t>
        </is>
      </c>
      <c r="N30" s="13" t="inlineStr">
        <is>
          <t>2025-01-20</t>
        </is>
      </c>
      <c r="O30" s="9" t="n">
        <v>4138</v>
      </c>
      <c r="P30" s="17" t="n">
        <v>210.8862915039062</v>
      </c>
      <c r="Q30" s="17" t="n">
        <v>203.8445739746093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Q4 2024-25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-2.33%</t>
        </is>
      </c>
      <c r="J31" s="13" t="inlineStr">
        <is>
          <t>-5.3%</t>
        </is>
      </c>
      <c r="K31" s="16">
        <f>X30</f>
        <v/>
      </c>
      <c r="L31" s="13" t="inlineStr">
        <is>
          <t>2025-01-15</t>
        </is>
      </c>
      <c r="M31" s="13" t="inlineStr">
        <is>
          <t>2025-01-24</t>
        </is>
      </c>
      <c r="N31" s="13" t="inlineStr">
        <is>
          <t>2025-01-20</t>
        </is>
      </c>
      <c r="O31" s="9" t="n">
        <v>7287</v>
      </c>
      <c r="P31" s="17" t="n">
        <v>91.92327117919922</v>
      </c>
      <c r="Q31" s="17" t="n">
        <v>89.83006286621094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Q4 2024-25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-8.34%</t>
        </is>
      </c>
      <c r="J32" s="13" t="inlineStr">
        <is>
          <t>-3.4%</t>
        </is>
      </c>
      <c r="K32" s="16">
        <f>X31</f>
        <v/>
      </c>
      <c r="L32" s="13" t="inlineStr">
        <is>
          <t>2025-01-08</t>
        </is>
      </c>
      <c r="M32" s="13" t="inlineStr">
        <is>
          <t>2025-01-21</t>
        </is>
      </c>
      <c r="N32" s="13" t="inlineStr">
        <is>
          <t>2025-01-20</t>
        </is>
      </c>
      <c r="O32" s="9" t="n">
        <v>793</v>
      </c>
      <c r="P32" s="17" t="n">
        <v>1270.969970703125</v>
      </c>
      <c r="Q32" s="17" t="n">
        <v>1173.145629882812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Q4 2024-25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-30.17%</t>
        </is>
      </c>
      <c r="J33" s="13" t="inlineStr">
        <is>
          <t>-28.54%</t>
        </is>
      </c>
      <c r="K33" s="16">
        <f>X32</f>
        <v/>
      </c>
      <c r="L33" s="13" t="inlineStr">
        <is>
          <t>2024-05-09</t>
        </is>
      </c>
      <c r="M33" s="13" t="inlineStr">
        <is>
          <t>2024-05-27</t>
        </is>
      </c>
      <c r="N33" s="13" t="inlineStr">
        <is>
          <t>2024-05-20</t>
        </is>
      </c>
      <c r="O33" s="9" t="n">
        <v>2438</v>
      </c>
      <c r="P33" s="17" t="n">
        <v>290.1260986328125</v>
      </c>
      <c r="Q33" s="17" t="n">
        <v>222.8783264160156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Q4 2024-25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2.09%</t>
        </is>
      </c>
      <c r="J34" s="13" t="inlineStr">
        <is>
          <t>-3.54%</t>
        </is>
      </c>
      <c r="K34" s="16">
        <f>X33</f>
        <v/>
      </c>
      <c r="L34" s="13" t="inlineStr">
        <is>
          <t>2025-01-09</t>
        </is>
      </c>
      <c r="M34" s="13" t="inlineStr">
        <is>
          <t>2025-01-21</t>
        </is>
      </c>
      <c r="N34" s="13" t="inlineStr">
        <is>
          <t>2025-01-20</t>
        </is>
      </c>
      <c r="O34" s="9" t="n">
        <v>461</v>
      </c>
      <c r="P34" s="17" t="n">
        <v>1188.368041992188</v>
      </c>
      <c r="Q34" s="17" t="n">
        <v>1213.734497070312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Q4 2024-25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5.52%</t>
        </is>
      </c>
      <c r="J35" s="13" t="inlineStr">
        <is>
          <t>4.02%</t>
        </is>
      </c>
      <c r="K35" s="16">
        <f>X34</f>
        <v/>
      </c>
      <c r="L35" s="13" t="inlineStr">
        <is>
          <t>2024-05-03</t>
        </is>
      </c>
      <c r="M35" s="13" t="inlineStr">
        <is>
          <t>2024-05-22</t>
        </is>
      </c>
      <c r="N35" s="13" t="inlineStr">
        <is>
          <t>2024-05-14</t>
        </is>
      </c>
      <c r="O35" s="9" t="n">
        <v>950</v>
      </c>
      <c r="P35" s="17" t="n">
        <v>1259.7890625</v>
      </c>
      <c r="Q35" s="17" t="n">
        <v>1329.317138671875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Q4 2024-25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-1.57%</t>
        </is>
      </c>
      <c r="J36" s="13" t="inlineStr">
        <is>
          <t>-2.64%</t>
        </is>
      </c>
      <c r="K36" s="16">
        <f>X35</f>
        <v/>
      </c>
      <c r="L36" s="13" t="inlineStr">
        <is>
          <t>2025-01-14</t>
        </is>
      </c>
      <c r="M36" s="13" t="inlineStr">
        <is>
          <t>2025-01-24</t>
        </is>
      </c>
      <c r="N36" s="13" t="inlineStr">
        <is>
          <t>2025-01-20</t>
        </is>
      </c>
      <c r="O36" s="9" t="n">
        <v>2481</v>
      </c>
      <c r="P36" s="17" t="n">
        <v>199.1278839111328</v>
      </c>
      <c r="Q36" s="17" t="n">
        <v>196.0542755126953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Q4 2024-25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-5.35%</t>
        </is>
      </c>
      <c r="J37" s="13" t="inlineStr">
        <is>
          <t>-8.27%</t>
        </is>
      </c>
      <c r="K37" s="16">
        <f>X36</f>
        <v/>
      </c>
      <c r="L37" s="13" t="inlineStr">
        <is>
          <t>2025-01-09</t>
        </is>
      </c>
      <c r="M37" s="13" t="inlineStr">
        <is>
          <t>2025-01-21</t>
        </is>
      </c>
      <c r="N37" s="13" t="inlineStr">
        <is>
          <t>2025-01-20</t>
        </is>
      </c>
      <c r="O37" s="9" t="n">
        <v>2351</v>
      </c>
      <c r="P37" s="17" t="n">
        <v>389.5626220703125</v>
      </c>
      <c r="Q37" s="17" t="n">
        <v>369.7628479003906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Q4 2024-25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11.39%</t>
        </is>
      </c>
      <c r="J38" s="13" t="inlineStr">
        <is>
          <t>10.86%</t>
        </is>
      </c>
      <c r="K38" s="16">
        <f>X37</f>
        <v/>
      </c>
      <c r="L38" s="13" t="inlineStr">
        <is>
          <t>2025-01-08</t>
        </is>
      </c>
      <c r="M38" s="13" t="inlineStr">
        <is>
          <t>2025-01-21</t>
        </is>
      </c>
      <c r="N38" s="13" t="inlineStr">
        <is>
          <t>2025-01-20</t>
        </is>
      </c>
      <c r="O38" s="9" t="n">
        <v>591</v>
      </c>
      <c r="P38" s="17" t="n">
        <v>1847.818237304688</v>
      </c>
      <c r="Q38" s="17" t="n">
        <v>2085.3564453125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Q4 2024-25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8.05%</t>
        </is>
      </c>
      <c r="J39" s="13" t="inlineStr">
        <is>
          <t>8.44%</t>
        </is>
      </c>
      <c r="K39" s="16">
        <f>X38</f>
        <v/>
      </c>
      <c r="L39" s="13" t="inlineStr">
        <is>
          <t>2025-01-08</t>
        </is>
      </c>
      <c r="M39" s="13" t="inlineStr">
        <is>
          <t>2025-01-24</t>
        </is>
      </c>
      <c r="N39" s="13" t="inlineStr">
        <is>
          <t>2025-01-20</t>
        </is>
      </c>
      <c r="O39" s="9" t="n">
        <v>100</v>
      </c>
      <c r="P39" s="17" t="n">
        <v>29950</v>
      </c>
      <c r="Q39" s="17" t="n">
        <v>32572.65234375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Q4 2024-25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1.76%</t>
        </is>
      </c>
      <c r="J40" s="13" t="inlineStr">
        <is>
          <t>2.89%</t>
        </is>
      </c>
      <c r="K40" s="16">
        <f>X39</f>
        <v/>
      </c>
      <c r="L40" s="13" t="inlineStr">
        <is>
          <t>2024-05-03</t>
        </is>
      </c>
      <c r="M40" s="13" t="inlineStr">
        <is>
          <t>2024-05-16</t>
        </is>
      </c>
      <c r="N40" s="13" t="inlineStr">
        <is>
          <t>2024-05-10</t>
        </is>
      </c>
      <c r="O40" s="9" t="n">
        <v>1800</v>
      </c>
      <c r="P40" s="17" t="n">
        <v>275.9171752929688</v>
      </c>
      <c r="Q40" s="17" t="n">
        <v>280.866943359375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Q4 2024-25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9.05%</t>
        </is>
      </c>
      <c r="J41" s="13" t="inlineStr">
        <is>
          <t>8.45%</t>
        </is>
      </c>
      <c r="K41" s="16">
        <f>X40</f>
        <v/>
      </c>
      <c r="L41" s="13" t="inlineStr">
        <is>
          <t>2024-05-03</t>
        </is>
      </c>
      <c r="M41" s="13" t="inlineStr">
        <is>
          <t>2024-05-07</t>
        </is>
      </c>
      <c r="N41" s="13" t="inlineStr">
        <is>
          <t>2024-05-04</t>
        </is>
      </c>
      <c r="O41" s="9" t="n">
        <v>200</v>
      </c>
      <c r="P41" s="17" t="n">
        <v>4623.0517578125</v>
      </c>
      <c r="Q41" s="17" t="n">
        <v>5041.3056640625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Q4 2024-25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11.23%</t>
        </is>
      </c>
      <c r="J42" s="13" t="inlineStr">
        <is>
          <t>8.17%</t>
        </is>
      </c>
      <c r="K42" s="16">
        <f>X41</f>
        <v/>
      </c>
      <c r="L42" s="13" t="inlineStr">
        <is>
          <t>2025-01-09</t>
        </is>
      </c>
      <c r="M42" s="13" t="inlineStr">
        <is>
          <t>2025-01-21</t>
        </is>
      </c>
      <c r="N42" s="13" t="inlineStr">
        <is>
          <t>2025-01-20</t>
        </is>
      </c>
      <c r="O42" s="9" t="n">
        <v>283</v>
      </c>
      <c r="P42" s="17" t="n">
        <v>1725.083374023438</v>
      </c>
      <c r="Q42" s="17" t="n">
        <v>1918.843505859375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Q4 2024-25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4.41%</t>
        </is>
      </c>
      <c r="J43" s="13" t="inlineStr">
        <is>
          <t>0.3%</t>
        </is>
      </c>
      <c r="K43" s="16">
        <f>X42</f>
        <v/>
      </c>
      <c r="L43" s="13" t="inlineStr">
        <is>
          <t>2025-01-16</t>
        </is>
      </c>
      <c r="M43" s="13" t="inlineStr">
        <is>
          <t>2025-01-21</t>
        </is>
      </c>
      <c r="N43" s="13" t="inlineStr">
        <is>
          <t>2025-01-20</t>
        </is>
      </c>
      <c r="O43" s="9" t="n">
        <v>1260</v>
      </c>
      <c r="P43" s="17" t="n">
        <v>827.6688232421875</v>
      </c>
      <c r="Q43" s="17" t="n">
        <v>865.8760375976562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Q4 2024-25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-1.05%</t>
        </is>
      </c>
      <c r="J44" s="13" t="inlineStr">
        <is>
          <t>-3.64%</t>
        </is>
      </c>
      <c r="K44" s="16">
        <f>X43</f>
        <v/>
      </c>
      <c r="L44" s="13" t="inlineStr">
        <is>
          <t>2025-01-09</t>
        </is>
      </c>
      <c r="M44" s="13" t="inlineStr">
        <is>
          <t>2025-01-24</t>
        </is>
      </c>
      <c r="N44" s="13" t="inlineStr">
        <is>
          <t>2025-01-20</t>
        </is>
      </c>
      <c r="O44" s="9" t="n">
        <v>8046</v>
      </c>
      <c r="P44" s="17" t="n">
        <v>90.42063140869141</v>
      </c>
      <c r="Q44" s="17" t="n">
        <v>89.47669982910156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Q4 2024-25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11.31%</t>
        </is>
      </c>
      <c r="J45" s="13" t="inlineStr">
        <is>
          <t>8.41%</t>
        </is>
      </c>
      <c r="K45" s="16">
        <f>X44</f>
        <v/>
      </c>
      <c r="L45" s="13" t="inlineStr">
        <is>
          <t>2025-01-08</t>
        </is>
      </c>
      <c r="M45" s="13" t="inlineStr">
        <is>
          <t>2025-01-21</t>
        </is>
      </c>
      <c r="N45" s="13" t="inlineStr">
        <is>
          <t>2025-01-20</t>
        </is>
      </c>
      <c r="O45" s="9" t="n">
        <v>748</v>
      </c>
      <c r="P45" s="17" t="n">
        <v>1501.499633789062</v>
      </c>
      <c r="Q45" s="17" t="n">
        <v>1693.026733398438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Q4 2024-25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-3.06%</t>
        </is>
      </c>
      <c r="J46" s="13" t="inlineStr">
        <is>
          <t>-2.19%</t>
        </is>
      </c>
      <c r="K46" s="16">
        <f>X45</f>
        <v/>
      </c>
      <c r="L46" s="13" t="inlineStr">
        <is>
          <t>2025-01-14</t>
        </is>
      </c>
      <c r="M46" s="13" t="inlineStr">
        <is>
          <t>2025-01-24</t>
        </is>
      </c>
      <c r="N46" s="13" t="inlineStr">
        <is>
          <t>2025-01-20</t>
        </is>
      </c>
      <c r="O46" s="9" t="n">
        <v>1201</v>
      </c>
      <c r="P46" s="17" t="n">
        <v>637.4717407226562</v>
      </c>
      <c r="Q46" s="17" t="n">
        <v>617.9536743164062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Q4 2024-25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1.34%</t>
        </is>
      </c>
      <c r="J47" s="13" t="inlineStr">
        <is>
          <t>2.4%</t>
        </is>
      </c>
      <c r="K47" s="16">
        <f>X46</f>
        <v/>
      </c>
      <c r="L47" s="13" t="inlineStr">
        <is>
          <t>2025-01-17</t>
        </is>
      </c>
      <c r="M47" s="13" t="inlineStr">
        <is>
          <t>2025-01-21</t>
        </is>
      </c>
      <c r="N47" s="13" t="inlineStr">
        <is>
          <t>2025-01-20</t>
        </is>
      </c>
      <c r="O47" s="9" t="n">
        <v>563</v>
      </c>
      <c r="P47" s="17" t="n">
        <v>1237.36376953125</v>
      </c>
      <c r="Q47" s="17" t="n">
        <v>1254.221069335938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Q4 2024-25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-1.03%</t>
        </is>
      </c>
      <c r="J48" s="13" t="inlineStr">
        <is>
          <t>-1.09%</t>
        </is>
      </c>
      <c r="K48" s="16">
        <f>X47</f>
        <v/>
      </c>
      <c r="L48" s="13" t="inlineStr">
        <is>
          <t>2024-05-08</t>
        </is>
      </c>
      <c r="M48" s="13" t="inlineStr">
        <is>
          <t>2024-05-17</t>
        </is>
      </c>
      <c r="N48" s="13" t="inlineStr">
        <is>
          <t>2024-05-11</t>
        </is>
      </c>
      <c r="O48" s="9" t="n">
        <v>650</v>
      </c>
      <c r="P48" s="17" t="n">
        <v>1359.866821289062</v>
      </c>
      <c r="Q48" s="17" t="n">
        <v>1345.967163085938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Q4 2024-25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3.98%</t>
        </is>
      </c>
      <c r="J49" s="13" t="inlineStr">
        <is>
          <t>3.02%</t>
        </is>
      </c>
      <c r="K49" s="16">
        <f>X48</f>
        <v/>
      </c>
      <c r="L49" s="13" t="inlineStr">
        <is>
          <t>2024-04-22</t>
        </is>
      </c>
      <c r="M49" s="13" t="inlineStr">
        <is>
          <t>2024-05-06</t>
        </is>
      </c>
      <c r="N49" s="13" t="inlineStr">
        <is>
          <t>2024-05-02</t>
        </is>
      </c>
      <c r="O49" s="9" t="n">
        <v>2100</v>
      </c>
      <c r="P49" s="17" t="n">
        <v>389.4483337402344</v>
      </c>
      <c r="Q49" s="17" t="n">
        <v>404.9664611816406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Q4 2024-25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-10.94%</t>
        </is>
      </c>
      <c r="J50" s="13" t="inlineStr">
        <is>
          <t>-4.93%</t>
        </is>
      </c>
      <c r="K50" s="16">
        <f>X49</f>
        <v/>
      </c>
      <c r="L50" s="13" t="inlineStr">
        <is>
          <t>2025-01-13</t>
        </is>
      </c>
      <c r="M50" s="13" t="inlineStr">
        <is>
          <t>2025-01-21</t>
        </is>
      </c>
      <c r="N50" s="13" t="inlineStr">
        <is>
          <t>2025-01-20</t>
        </is>
      </c>
      <c r="O50" s="9" t="n">
        <v>713</v>
      </c>
      <c r="P50" s="17" t="n">
        <v>1495.310668945312</v>
      </c>
      <c r="Q50" s="17" t="n">
        <v>1347.841796875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Q4 2024-25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6.86%</t>
        </is>
      </c>
      <c r="J51" s="13" t="inlineStr">
        <is>
          <t>5.27%</t>
        </is>
      </c>
      <c r="K51" s="16">
        <f>X50</f>
        <v/>
      </c>
      <c r="L51" s="13" t="inlineStr">
        <is>
          <t>2025-01-17</t>
        </is>
      </c>
      <c r="M51" s="13" t="inlineStr">
        <is>
          <t>2025-01-24</t>
        </is>
      </c>
      <c r="N51" s="13" t="inlineStr">
        <is>
          <t>2025-01-20</t>
        </is>
      </c>
      <c r="O51" s="9" t="n">
        <v>572</v>
      </c>
      <c r="P51" s="17" t="n">
        <v>1708.5166015625</v>
      </c>
      <c r="Q51" s="17" t="n">
        <v>1825.768310546875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Q4 2024-25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-0.01%</t>
        </is>
      </c>
      <c r="J52" s="13" t="inlineStr">
        <is>
          <t>0.0%</t>
        </is>
      </c>
      <c r="K52" s="16">
        <f>X51</f>
        <v/>
      </c>
      <c r="L52" s="13" t="inlineStr">
        <is>
          <t>2025-01-13</t>
        </is>
      </c>
      <c r="M52" s="13" t="inlineStr">
        <is>
          <t>2025-01-24</t>
        </is>
      </c>
      <c r="N52" s="13" t="inlineStr">
        <is>
          <t>2025-01-20</t>
        </is>
      </c>
      <c r="O52" s="9" t="n">
        <v>479</v>
      </c>
      <c r="P52" s="17" t="n">
        <v>2661.97216796875</v>
      </c>
      <c r="Q52" s="17" t="n">
        <v>2661.8271484375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Q4 2024-25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-0.43%</t>
        </is>
      </c>
      <c r="J53" s="13" t="inlineStr">
        <is>
          <t>-3.5%</t>
        </is>
      </c>
      <c r="K53" s="16">
        <f>X52</f>
        <v/>
      </c>
      <c r="L53" s="13" t="inlineStr">
        <is>
          <t>2025-01-15</t>
        </is>
      </c>
      <c r="M53" s="13" t="inlineStr">
        <is>
          <t>2025-01-21</t>
        </is>
      </c>
      <c r="N53" s="13" t="inlineStr">
        <is>
          <t>2025-01-20</t>
        </is>
      </c>
      <c r="O53" s="9" t="n">
        <v>1904</v>
      </c>
      <c r="P53" s="17" t="n">
        <v>593.5477905273438</v>
      </c>
      <c r="Q53" s="17" t="n">
        <v>591.0067138671875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Q4 2024-25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1.13%</t>
        </is>
      </c>
      <c r="J54" s="13" t="inlineStr">
        <is>
          <t>2.94%</t>
        </is>
      </c>
      <c r="K54" s="16">
        <f>X53</f>
        <v/>
      </c>
      <c r="L54" s="13" t="inlineStr">
        <is>
          <t>2025-01-14</t>
        </is>
      </c>
      <c r="M54" s="13" t="inlineStr">
        <is>
          <t>2025-01-21</t>
        </is>
      </c>
      <c r="N54" s="13" t="inlineStr">
        <is>
          <t>2025-01-20</t>
        </is>
      </c>
      <c r="O54" s="9" t="n">
        <v>3841</v>
      </c>
      <c r="P54" s="17" t="n">
        <v>345.8743286132812</v>
      </c>
      <c r="Q54" s="17" t="n">
        <v>349.8408813476562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Q4 2024-25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4.65%</t>
        </is>
      </c>
      <c r="J55" s="13" t="inlineStr">
        <is>
          <t>3.86%</t>
        </is>
      </c>
      <c r="K55" s="16">
        <f>X54</f>
        <v/>
      </c>
      <c r="L55" s="13" t="inlineStr">
        <is>
          <t>2025-01-14</t>
        </is>
      </c>
      <c r="M55" s="13" t="inlineStr">
        <is>
          <t>2025-01-24</t>
        </is>
      </c>
      <c r="N55" s="13" t="inlineStr">
        <is>
          <t>2025-01-20</t>
        </is>
      </c>
      <c r="O55" s="9" t="n">
        <v>185</v>
      </c>
      <c r="P55" s="17" t="n">
        <v>2724.90234375</v>
      </c>
      <c r="Q55" s="17" t="n">
        <v>2857.938232421875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Q4 2024-25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2.06%</t>
        </is>
      </c>
      <c r="J56" s="13" t="inlineStr">
        <is>
          <t>0.56%</t>
        </is>
      </c>
      <c r="K56" s="16">
        <f>X55</f>
        <v/>
      </c>
      <c r="L56" s="13" t="inlineStr">
        <is>
          <t>2025-01-13</t>
        </is>
      </c>
      <c r="M56" s="13" t="inlineStr">
        <is>
          <t>2025-01-21</t>
        </is>
      </c>
      <c r="N56" s="13" t="inlineStr">
        <is>
          <t>2025-01-20</t>
        </is>
      </c>
      <c r="O56" s="9" t="n">
        <v>2346</v>
      </c>
      <c r="P56" s="17" t="n">
        <v>496.5806579589844</v>
      </c>
      <c r="Q56" s="17" t="n">
        <v>506.7893676757813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Q4 2024-25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0.9%</t>
        </is>
      </c>
      <c r="J57" s="13" t="inlineStr">
        <is>
          <t>-3.99%</t>
        </is>
      </c>
      <c r="K57" s="16">
        <f>X56</f>
        <v/>
      </c>
      <c r="L57" s="13" t="inlineStr">
        <is>
          <t>2025-01-16</t>
        </is>
      </c>
      <c r="M57" s="13" t="inlineStr">
        <is>
          <t>2025-01-21</t>
        </is>
      </c>
      <c r="N57" s="13" t="inlineStr">
        <is>
          <t>2025-01-20</t>
        </is>
      </c>
      <c r="O57" s="9" t="n">
        <v>2135</v>
      </c>
      <c r="P57" s="17" t="n">
        <v>329.25</v>
      </c>
      <c r="Q57" s="17" t="n">
        <v>332.25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Q4 2024-25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1.51%</t>
        </is>
      </c>
      <c r="J58" s="13" t="inlineStr">
        <is>
          <t>-3.16%</t>
        </is>
      </c>
      <c r="K58" s="16">
        <f>X57</f>
        <v/>
      </c>
      <c r="L58" s="13" t="inlineStr">
        <is>
          <t>2025-01-13</t>
        </is>
      </c>
      <c r="M58" s="13" t="inlineStr">
        <is>
          <t>2025-01-21</t>
        </is>
      </c>
      <c r="N58" s="13" t="inlineStr">
        <is>
          <t>2025-01-20</t>
        </is>
      </c>
      <c r="O58" s="9" t="n">
        <v>200</v>
      </c>
      <c r="P58" s="17" t="n">
        <v>5683.08056640625</v>
      </c>
      <c r="Q58" s="17" t="n">
        <v>5768.73583984375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Q4 2024-25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10.14%</t>
        </is>
      </c>
      <c r="J59" s="13" t="inlineStr">
        <is>
          <t>6.76%</t>
        </is>
      </c>
      <c r="K59" s="16">
        <f>X58</f>
        <v/>
      </c>
      <c r="L59" s="13" t="inlineStr">
        <is>
          <t>2025-01-09</t>
        </is>
      </c>
      <c r="M59" s="13" t="inlineStr">
        <is>
          <t>2025-01-21</t>
        </is>
      </c>
      <c r="N59" s="13" t="inlineStr">
        <is>
          <t>2025-01-20</t>
        </is>
      </c>
      <c r="O59" s="9" t="n">
        <v>100</v>
      </c>
      <c r="P59" s="17" t="n">
        <v>15137.61328125</v>
      </c>
      <c r="Q59" s="17" t="n">
        <v>16845.203125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Q4 2024-25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-0.42%</t>
        </is>
      </c>
      <c r="J60" s="13" t="inlineStr">
        <is>
          <t>-1.95%</t>
        </is>
      </c>
      <c r="K60" s="16">
        <f>X59</f>
        <v/>
      </c>
      <c r="L60" s="13" t="inlineStr">
        <is>
          <t>2025-01-15</t>
        </is>
      </c>
      <c r="M60" s="13" t="inlineStr">
        <is>
          <t>2025-01-21</t>
        </is>
      </c>
      <c r="N60" s="13" t="inlineStr">
        <is>
          <t>2025-01-20</t>
        </is>
      </c>
      <c r="O60" s="9" t="n">
        <v>1527</v>
      </c>
      <c r="P60" s="17" t="n">
        <v>723.458984375</v>
      </c>
      <c r="Q60" s="17" t="n">
        <v>720.4196166992188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Q4 2024-25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0.37%</t>
        </is>
      </c>
      <c r="J61" s="13" t="inlineStr">
        <is>
          <t>-2.55%</t>
        </is>
      </c>
      <c r="K61" s="16">
        <f>X60</f>
        <v/>
      </c>
      <c r="L61" s="13" t="inlineStr">
        <is>
          <t>2025-01-16</t>
        </is>
      </c>
      <c r="M61" s="13" t="inlineStr">
        <is>
          <t>2025-01-21</t>
        </is>
      </c>
      <c r="N61" s="13" t="inlineStr">
        <is>
          <t>2025-01-20</t>
        </is>
      </c>
      <c r="O61" s="9" t="n">
        <v>258</v>
      </c>
      <c r="P61" s="17" t="n">
        <v>3587.800048828125</v>
      </c>
      <c r="Q61" s="17" t="n">
        <v>3600.949951171875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Q4 2024-25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5.99%</t>
        </is>
      </c>
      <c r="J62" s="13" t="inlineStr">
        <is>
          <t>5.26%</t>
        </is>
      </c>
      <c r="K62" s="16">
        <f>X61</f>
        <v/>
      </c>
      <c r="L62" s="13" t="inlineStr">
        <is>
          <t>2024-04-26</t>
        </is>
      </c>
      <c r="M62" s="13" t="inlineStr">
        <is>
          <t>2024-05-09</t>
        </is>
      </c>
      <c r="N62" s="13" t="inlineStr">
        <is>
          <t>2024-05-07</t>
        </is>
      </c>
      <c r="O62" s="9" t="n">
        <v>125</v>
      </c>
      <c r="P62" s="17" t="n">
        <v>1153.8681640625</v>
      </c>
      <c r="Q62" s="17" t="n">
        <v>1227.44091796875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Q4 2024-25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2.9%</t>
        </is>
      </c>
      <c r="J63" s="13" t="inlineStr">
        <is>
          <t>0.6%</t>
        </is>
      </c>
      <c r="K63" s="16">
        <f>X62</f>
        <v/>
      </c>
      <c r="L63" s="13" t="inlineStr">
        <is>
          <t>2024-04-30</t>
        </is>
      </c>
      <c r="M63" s="13" t="inlineStr">
        <is>
          <t>2024-05-14</t>
        </is>
      </c>
      <c r="N63" s="13" t="inlineStr">
        <is>
          <t>2024-05-11</t>
        </is>
      </c>
      <c r="O63" s="9" t="n">
        <v>175</v>
      </c>
      <c r="P63" s="17" t="n">
        <v>4488.81494140625</v>
      </c>
      <c r="Q63" s="17" t="n">
        <v>4618.81982421875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Q4 2024-25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11.03%</t>
        </is>
      </c>
      <c r="J64" s="13" t="inlineStr">
        <is>
          <t>5.2%</t>
        </is>
      </c>
      <c r="K64" s="16">
        <f>X63</f>
        <v/>
      </c>
      <c r="L64" s="13" t="inlineStr">
        <is>
          <t>2023-08-01</t>
        </is>
      </c>
      <c r="M64" s="13" t="inlineStr">
        <is>
          <t>2023-08-09</t>
        </is>
      </c>
      <c r="N64" s="13" t="inlineStr">
        <is>
          <t>2023-08-03</t>
        </is>
      </c>
      <c r="O64" s="9" t="n">
        <v>3399</v>
      </c>
      <c r="P64" s="17" t="n">
        <v>84.75</v>
      </c>
      <c r="Q64" s="17" t="n">
        <v>94.09999847412109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Q4 2024-25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-0.92%</t>
        </is>
      </c>
      <c r="J65" s="13" t="inlineStr">
        <is>
          <t>-2.9%</t>
        </is>
      </c>
      <c r="K65" s="16">
        <f>X64</f>
        <v/>
      </c>
      <c r="L65" s="13" t="inlineStr">
        <is>
          <t>2025-01-15</t>
        </is>
      </c>
      <c r="M65" s="13" t="inlineStr">
        <is>
          <t>2025-01-21</t>
        </is>
      </c>
      <c r="N65" s="13" t="inlineStr">
        <is>
          <t>2025-01-20</t>
        </is>
      </c>
      <c r="O65" s="9" t="n">
        <v>2823</v>
      </c>
      <c r="P65" s="17" t="n">
        <v>192.9718322753907</v>
      </c>
      <c r="Q65" s="17" t="n">
        <v>191.192611694336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Q4 2024-25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-6.44%</t>
        </is>
      </c>
      <c r="J66" s="13" t="inlineStr">
        <is>
          <t>-8.85%</t>
        </is>
      </c>
      <c r="K66" s="16">
        <f>X65</f>
        <v/>
      </c>
      <c r="L66" s="13" t="inlineStr">
        <is>
          <t>2025-11-04</t>
        </is>
      </c>
      <c r="M66" s="13" t="inlineStr">
        <is>
          <t>2025-11-13</t>
        </is>
      </c>
      <c r="N66" s="13" t="inlineStr">
        <is>
          <t>2025-11-07</t>
        </is>
      </c>
      <c r="O66" s="9" t="n">
        <v>100</v>
      </c>
      <c r="P66" s="17" t="n">
        <v>18279</v>
      </c>
      <c r="Q66" s="17" t="n">
        <v>17102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Q4 2024-25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-7.05%</t>
        </is>
      </c>
      <c r="J67" s="13" t="inlineStr">
        <is>
          <t>-7.6%</t>
        </is>
      </c>
      <c r="K67" s="16">
        <f>X66</f>
        <v/>
      </c>
      <c r="L67" s="13" t="inlineStr">
        <is>
          <t>2025-01-13</t>
        </is>
      </c>
      <c r="M67" s="13" t="inlineStr">
        <is>
          <t>2025-01-24</t>
        </is>
      </c>
      <c r="N67" s="13" t="inlineStr">
        <is>
          <t>2025-01-20</t>
        </is>
      </c>
      <c r="O67" s="9" t="n">
        <v>1053</v>
      </c>
      <c r="P67" s="17" t="n">
        <v>661.265625</v>
      </c>
      <c r="Q67" s="17" t="n">
        <v>614.6702270507812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Q4 2024-25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-2.59%</t>
        </is>
      </c>
      <c r="J68" s="13" t="inlineStr">
        <is>
          <t>-5.05%</t>
        </is>
      </c>
      <c r="K68" s="16">
        <f>X67</f>
        <v/>
      </c>
      <c r="L68" s="13" t="inlineStr">
        <is>
          <t>2025-01-16</t>
        </is>
      </c>
      <c r="M68" s="13" t="inlineStr">
        <is>
          <t>2025-01-24</t>
        </is>
      </c>
      <c r="N68" s="13" t="inlineStr">
        <is>
          <t>2025-01-20</t>
        </is>
      </c>
      <c r="O68" s="9" t="n">
        <v>5759</v>
      </c>
      <c r="P68" s="17" t="n">
        <v>167.7179107666016</v>
      </c>
      <c r="Q68" s="17" t="n">
        <v>163.3697967529297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Q4 2024-25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-0.78%</t>
        </is>
      </c>
      <c r="J69" s="13" t="inlineStr">
        <is>
          <t>-5.14%</t>
        </is>
      </c>
      <c r="K69" s="16">
        <f>X68</f>
        <v/>
      </c>
      <c r="L69" s="13" t="inlineStr">
        <is>
          <t>2025-01-16</t>
        </is>
      </c>
      <c r="M69" s="13" t="inlineStr">
        <is>
          <t>2025-01-24</t>
        </is>
      </c>
      <c r="N69" s="13" t="inlineStr">
        <is>
          <t>2025-01-20</t>
        </is>
      </c>
      <c r="O69" s="9" t="n">
        <v>456</v>
      </c>
      <c r="P69" s="17" t="n">
        <v>1457.973876953125</v>
      </c>
      <c r="Q69" s="17" t="n">
        <v>1446.551879882812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Q4 2024-25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4.27%</t>
        </is>
      </c>
      <c r="J70" s="13" t="inlineStr">
        <is>
          <t>5.5%</t>
        </is>
      </c>
      <c r="K70" s="16">
        <f>X69</f>
        <v/>
      </c>
      <c r="L70" s="13" t="inlineStr">
        <is>
          <t>2025-01-16</t>
        </is>
      </c>
      <c r="M70" s="13" t="inlineStr">
        <is>
          <t>2025-01-24</t>
        </is>
      </c>
      <c r="N70" s="13" t="inlineStr">
        <is>
          <t>2025-01-20</t>
        </is>
      </c>
      <c r="O70" s="9" t="n">
        <v>9623</v>
      </c>
      <c r="P70" s="17" t="n">
        <v>71.48999786376953</v>
      </c>
      <c r="Q70" s="17" t="n">
        <v>74.68000030517578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Q4 2024-25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-2.73%</t>
        </is>
      </c>
      <c r="J71" s="13" t="inlineStr">
        <is>
          <t>-5.91%</t>
        </is>
      </c>
      <c r="K71" s="16">
        <f>X70</f>
        <v/>
      </c>
      <c r="L71" s="13" t="inlineStr">
        <is>
          <t>2025-01-15</t>
        </is>
      </c>
      <c r="M71" s="13" t="inlineStr">
        <is>
          <t>2025-01-24</t>
        </is>
      </c>
      <c r="N71" s="13" t="inlineStr">
        <is>
          <t>2025-01-20</t>
        </is>
      </c>
      <c r="O71" s="9" t="n">
        <v>469</v>
      </c>
      <c r="P71" s="17" t="n">
        <v>1473.167602539062</v>
      </c>
      <c r="Q71" s="17" t="n">
        <v>1432.8974609375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Q4 2024-25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-0.0%</t>
        </is>
      </c>
      <c r="J72" s="13" t="inlineStr">
        <is>
          <t>-2.65%</t>
        </is>
      </c>
      <c r="K72" s="16">
        <f>X71</f>
        <v/>
      </c>
      <c r="L72" s="13" t="inlineStr">
        <is>
          <t>2025-01-13</t>
        </is>
      </c>
      <c r="M72" s="13" t="inlineStr">
        <is>
          <t>2025-01-21</t>
        </is>
      </c>
      <c r="N72" s="13" t="inlineStr">
        <is>
          <t>2025-01-20</t>
        </is>
      </c>
      <c r="O72" s="9" t="n">
        <v>932</v>
      </c>
      <c r="P72" s="17" t="n">
        <v>1129.331909179688</v>
      </c>
      <c r="Q72" s="17" t="n">
        <v>1129.283081054688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Q4 2024-25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5.21%</t>
        </is>
      </c>
      <c r="J73" s="13" t="inlineStr">
        <is>
          <t>7.53%</t>
        </is>
      </c>
      <c r="K73" s="16">
        <f>X72</f>
        <v/>
      </c>
      <c r="L73" s="13" t="inlineStr">
        <is>
          <t>2025-01-09</t>
        </is>
      </c>
      <c r="M73" s="13" t="inlineStr">
        <is>
          <t>2025-01-21</t>
        </is>
      </c>
      <c r="N73" s="13" t="inlineStr">
        <is>
          <t>2025-01-20</t>
        </is>
      </c>
      <c r="O73" s="9" t="n">
        <v>473</v>
      </c>
      <c r="P73" s="17" t="n">
        <v>2354.46923828125</v>
      </c>
      <c r="Q73" s="17" t="n">
        <v>2483.8935546875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Q4 2024-25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3.24%</t>
        </is>
      </c>
      <c r="J74" s="13" t="inlineStr">
        <is>
          <t>3.28%</t>
        </is>
      </c>
      <c r="K74" s="16">
        <f>X73</f>
        <v/>
      </c>
      <c r="L74" s="13" t="inlineStr">
        <is>
          <t>2024-05-17</t>
        </is>
      </c>
      <c r="M74" s="13" t="inlineStr">
        <is>
          <t>2024-05-30</t>
        </is>
      </c>
      <c r="N74" s="13" t="inlineStr">
        <is>
          <t>2024-05-23</t>
        </is>
      </c>
      <c r="O74" s="9" t="n">
        <v>250</v>
      </c>
      <c r="P74" s="17" t="n">
        <v>2327.754150390625</v>
      </c>
      <c r="Q74" s="17" t="n">
        <v>2405.62060546875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Q4 2024-25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-6.88%</t>
        </is>
      </c>
      <c r="J75" s="13" t="inlineStr">
        <is>
          <t>-12.99%</t>
        </is>
      </c>
      <c r="K75" s="16">
        <f>X74</f>
        <v/>
      </c>
      <c r="L75" s="13" t="inlineStr">
        <is>
          <t>2025-01-15</t>
        </is>
      </c>
      <c r="M75" s="13" t="inlineStr">
        <is>
          <t>2025-01-24</t>
        </is>
      </c>
      <c r="N75" s="13" t="inlineStr">
        <is>
          <t>2025-01-20</t>
        </is>
      </c>
      <c r="O75" s="9" t="n">
        <v>237</v>
      </c>
      <c r="P75" s="17" t="n">
        <v>1890.236694335937</v>
      </c>
      <c r="Q75" s="17" t="n">
        <v>1760.125122070312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Q4 2024-25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0.56%</t>
        </is>
      </c>
      <c r="J76" s="13" t="inlineStr">
        <is>
          <t>-2.69%</t>
        </is>
      </c>
      <c r="K76" s="16">
        <f>X75</f>
        <v/>
      </c>
      <c r="L76" s="13" t="inlineStr">
        <is>
          <t>2025-01-14</t>
        </is>
      </c>
      <c r="M76" s="13" t="inlineStr">
        <is>
          <t>2025-01-24</t>
        </is>
      </c>
      <c r="N76" s="13" t="inlineStr">
        <is>
          <t>2025-01-20</t>
        </is>
      </c>
      <c r="O76" s="9" t="n">
        <v>218</v>
      </c>
      <c r="P76" s="17" t="n">
        <v>3756.841064453125</v>
      </c>
      <c r="Q76" s="17" t="n">
        <v>3777.890625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Q4 2024-25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0.32%</t>
        </is>
      </c>
      <c r="J77" s="13" t="inlineStr">
        <is>
          <t>-4.23%</t>
        </is>
      </c>
      <c r="K77" s="16">
        <f>X76</f>
        <v/>
      </c>
      <c r="L77" s="13" t="inlineStr">
        <is>
          <t>2025-01-13</t>
        </is>
      </c>
      <c r="M77" s="13" t="inlineStr">
        <is>
          <t>2025-01-24</t>
        </is>
      </c>
      <c r="N77" s="13" t="inlineStr">
        <is>
          <t>2025-01-20</t>
        </is>
      </c>
      <c r="O77" s="9" t="n">
        <v>792</v>
      </c>
      <c r="P77" s="17" t="n">
        <v>1505.235473632812</v>
      </c>
      <c r="Q77" s="17" t="n">
        <v>1510.140014648438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Q4 2024-25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-8.04%</t>
        </is>
      </c>
      <c r="J78" s="13" t="inlineStr">
        <is>
          <t>-8.38%</t>
        </is>
      </c>
      <c r="K78" s="16">
        <f>X77</f>
        <v/>
      </c>
      <c r="L78" s="13" t="inlineStr">
        <is>
          <t>2024-04-22</t>
        </is>
      </c>
      <c r="M78" s="13" t="inlineStr">
        <is>
          <t>2024-05-03</t>
        </is>
      </c>
      <c r="N78" s="13" t="inlineStr">
        <is>
          <t>2024-04-26</t>
        </is>
      </c>
      <c r="O78" s="9" t="n">
        <v>350</v>
      </c>
      <c r="P78" s="17" t="n">
        <v>1338.384765625</v>
      </c>
      <c r="Q78" s="17" t="n">
        <v>1230.786254882812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Q4 2024-25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-4.26%</t>
        </is>
      </c>
      <c r="J79" s="13" t="inlineStr">
        <is>
          <t>-1.97%</t>
        </is>
      </c>
      <c r="K79" s="16">
        <f>X78</f>
        <v/>
      </c>
      <c r="L79" s="13" t="inlineStr">
        <is>
          <t>2025-01-14</t>
        </is>
      </c>
      <c r="M79" s="13" t="inlineStr">
        <is>
          <t>2025-01-21</t>
        </is>
      </c>
      <c r="N79" s="13" t="inlineStr">
        <is>
          <t>2025-01-20</t>
        </is>
      </c>
      <c r="O79" s="9" t="n">
        <v>392</v>
      </c>
      <c r="P79" s="17" t="n">
        <v>1935.403564453125</v>
      </c>
      <c r="Q79" s="17" t="n">
        <v>1856.32470703125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Q4 2024-25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-2.5%</t>
        </is>
      </c>
      <c r="J80" s="13" t="inlineStr">
        <is>
          <t>-2.74%</t>
        </is>
      </c>
      <c r="K80" s="16">
        <f>X79</f>
        <v/>
      </c>
      <c r="L80" s="13" t="inlineStr">
        <is>
          <t>2024-04-09</t>
        </is>
      </c>
      <c r="M80" s="13" t="inlineStr">
        <is>
          <t>2024-04-26</t>
        </is>
      </c>
      <c r="N80" s="13" t="inlineStr">
        <is>
          <t>2024-04-21</t>
        </is>
      </c>
      <c r="O80" s="9" t="n">
        <v>550</v>
      </c>
      <c r="P80" s="17" t="n">
        <v>741.3949584960938</v>
      </c>
      <c r="Q80" s="17" t="n">
        <v>722.8427124023438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Q4 2024-25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-0.52%</t>
        </is>
      </c>
      <c r="J81" s="13" t="inlineStr">
        <is>
          <t>-1.23%</t>
        </is>
      </c>
      <c r="K81" s="16">
        <f>X80</f>
        <v/>
      </c>
      <c r="L81" s="13" t="inlineStr">
        <is>
          <t>2023-07-19</t>
        </is>
      </c>
      <c r="M81" s="13" t="inlineStr">
        <is>
          <t>2023-07-27</t>
        </is>
      </c>
      <c r="N81" s="13" t="inlineStr">
        <is>
          <t>2023-07-21</t>
        </is>
      </c>
      <c r="O81" s="9" t="n">
        <v>1100</v>
      </c>
      <c r="P81" s="17" t="n">
        <v>656.0466918945312</v>
      </c>
      <c r="Q81" s="17" t="n">
        <v>652.6795654296875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Q4 2024-25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12.14%</t>
        </is>
      </c>
      <c r="J82" s="13" t="inlineStr">
        <is>
          <t>10.85%</t>
        </is>
      </c>
      <c r="K82" s="16">
        <f>X81</f>
        <v/>
      </c>
      <c r="L82" s="13" t="inlineStr">
        <is>
          <t>2024-05-06</t>
        </is>
      </c>
      <c r="M82" s="13" t="inlineStr">
        <is>
          <t>2024-05-15</t>
        </is>
      </c>
      <c r="N82" s="13" t="inlineStr">
        <is>
          <t>2024-05-08</t>
        </is>
      </c>
      <c r="O82" s="9" t="n">
        <v>150</v>
      </c>
      <c r="P82" s="17" t="n">
        <v>4219.99658203125</v>
      </c>
      <c r="Q82" s="17" t="n">
        <v>4732.3662109375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Q4 2024-25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2.27%</t>
        </is>
      </c>
      <c r="J83" s="13" t="inlineStr">
        <is>
          <t>2.41%</t>
        </is>
      </c>
      <c r="K83" s="16">
        <f>X82</f>
        <v/>
      </c>
      <c r="L83" s="13" t="inlineStr">
        <is>
          <t>2024-05-21</t>
        </is>
      </c>
      <c r="M83" s="13" t="inlineStr">
        <is>
          <t>2024-05-27</t>
        </is>
      </c>
      <c r="N83" s="13" t="inlineStr">
        <is>
          <t>2024-05-24</t>
        </is>
      </c>
      <c r="O83" s="9" t="n">
        <v>1400</v>
      </c>
      <c r="P83" s="17" t="n">
        <v>665.6073608398438</v>
      </c>
      <c r="Q83" s="17" t="n">
        <v>681.0728759765625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Q4 2024-25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1.69%</t>
        </is>
      </c>
      <c r="J84" s="13" t="inlineStr">
        <is>
          <t>0.34%</t>
        </is>
      </c>
      <c r="K84" s="16">
        <f>X83</f>
        <v/>
      </c>
      <c r="L84" s="13" t="inlineStr">
        <is>
          <t>2025-01-17</t>
        </is>
      </c>
      <c r="M84" s="13" t="inlineStr">
        <is>
          <t>2025-01-24</t>
        </is>
      </c>
      <c r="N84" s="13" t="inlineStr">
        <is>
          <t>2025-01-20</t>
        </is>
      </c>
      <c r="O84" s="9" t="n">
        <v>2574</v>
      </c>
      <c r="P84" s="17" t="n">
        <v>340.2919921875</v>
      </c>
      <c r="Q84" s="17" t="n">
        <v>346.1266174316406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Q4 2024-25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-1.47%</t>
        </is>
      </c>
      <c r="J85" s="13" t="inlineStr">
        <is>
          <t>-1.36%</t>
        </is>
      </c>
      <c r="K85" s="16">
        <f>X84</f>
        <v/>
      </c>
      <c r="L85" s="13" t="inlineStr">
        <is>
          <t>2024-04-15</t>
        </is>
      </c>
      <c r="M85" s="13" t="inlineStr">
        <is>
          <t>2024-05-02</t>
        </is>
      </c>
      <c r="N85" s="13" t="inlineStr">
        <is>
          <t>2024-04-24</t>
        </is>
      </c>
      <c r="O85" s="9" t="n">
        <v>300</v>
      </c>
      <c r="P85" s="17" t="n">
        <v>2118.4091796875</v>
      </c>
      <c r="Q85" s="17" t="n">
        <v>2087.72216796875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Q4 2024-25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-5.54%</t>
        </is>
      </c>
      <c r="J86" s="13" t="inlineStr">
        <is>
          <t>-7.25%</t>
        </is>
      </c>
      <c r="K86" s="16">
        <f>X85</f>
        <v/>
      </c>
      <c r="L86" s="13" t="inlineStr">
        <is>
          <t>2025-01-15</t>
        </is>
      </c>
      <c r="M86" s="13" t="inlineStr">
        <is>
          <t>2025-01-24</t>
        </is>
      </c>
      <c r="N86" s="13" t="inlineStr">
        <is>
          <t>2025-01-20</t>
        </is>
      </c>
      <c r="O86" s="9" t="n">
        <v>1866</v>
      </c>
      <c r="P86" s="17" t="n">
        <v>449.2463989257813</v>
      </c>
      <c r="Q86" s="17" t="n">
        <v>425.6550903320313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Q4 2024-25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3.94%</t>
        </is>
      </c>
      <c r="J87" s="13" t="inlineStr">
        <is>
          <t>0.76%</t>
        </is>
      </c>
      <c r="K87" s="16">
        <f>X86</f>
        <v/>
      </c>
      <c r="L87" s="13" t="inlineStr">
        <is>
          <t>2025-01-16</t>
        </is>
      </c>
      <c r="M87" s="13" t="inlineStr">
        <is>
          <t>2025-01-21</t>
        </is>
      </c>
      <c r="N87" s="13" t="inlineStr">
        <is>
          <t>2025-01-20</t>
        </is>
      </c>
      <c r="O87" s="9" t="n">
        <v>495</v>
      </c>
      <c r="P87" s="17" t="n">
        <v>1728.805786132812</v>
      </c>
      <c r="Q87" s="17" t="n">
        <v>1799.66943359375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Q4 2024-25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7.43%</t>
        </is>
      </c>
      <c r="J88" s="13" t="inlineStr">
        <is>
          <t>4.97%</t>
        </is>
      </c>
      <c r="K88" s="16">
        <f>X87</f>
        <v/>
      </c>
      <c r="L88" s="13" t="inlineStr">
        <is>
          <t>2024-04-16</t>
        </is>
      </c>
      <c r="M88" s="13" t="inlineStr">
        <is>
          <t>2024-05-06</t>
        </is>
      </c>
      <c r="N88" s="13" t="inlineStr">
        <is>
          <t>2024-04-27</t>
        </is>
      </c>
      <c r="O88" s="9" t="n">
        <v>700</v>
      </c>
      <c r="P88" s="17" t="n">
        <v>1049.841796875</v>
      </c>
      <c r="Q88" s="17" t="n">
        <v>1127.813720703125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Q4 2024-25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-2.89%</t>
        </is>
      </c>
      <c r="J89" s="13" t="inlineStr">
        <is>
          <t>-4.91%</t>
        </is>
      </c>
      <c r="K89" s="16">
        <f>X88</f>
        <v/>
      </c>
      <c r="L89" s="13" t="inlineStr">
        <is>
          <t>2025-04-02</t>
        </is>
      </c>
      <c r="M89" s="13" t="inlineStr">
        <is>
          <t>2025-04-23</t>
        </is>
      </c>
      <c r="N89" s="13" t="inlineStr">
        <is>
          <t>2025-04-15</t>
        </is>
      </c>
      <c r="O89" s="9" t="n">
        <v>629</v>
      </c>
      <c r="P89" s="17" t="n">
        <v>1880</v>
      </c>
      <c r="Q89" s="17" t="n">
        <v>1827.2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Q4 2024-25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0.96%</t>
        </is>
      </c>
      <c r="J90" s="13" t="inlineStr">
        <is>
          <t>1.45%</t>
        </is>
      </c>
      <c r="K90" s="16">
        <f>X89</f>
        <v/>
      </c>
      <c r="L90" s="13" t="inlineStr">
        <is>
          <t>2025-10-03</t>
        </is>
      </c>
      <c r="M90" s="13" t="inlineStr">
        <is>
          <t>2025-10-21</t>
        </is>
      </c>
      <c r="N90" s="13" t="inlineStr">
        <is>
          <t>2025-10-14</t>
        </is>
      </c>
      <c r="O90" s="9" t="n">
        <v>1958</v>
      </c>
      <c r="P90" s="17" t="n">
        <v>593.2412109375</v>
      </c>
      <c r="Q90" s="17" t="n">
        <v>599.0211181640625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Q4 2024-25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-22.22%</t>
        </is>
      </c>
      <c r="J91" s="13" t="inlineStr">
        <is>
          <t>-26.12%</t>
        </is>
      </c>
      <c r="K91" s="16">
        <f>X90</f>
        <v/>
      </c>
      <c r="L91" s="13" t="inlineStr">
        <is>
          <t>2025-01-13</t>
        </is>
      </c>
      <c r="M91" s="13" t="inlineStr">
        <is>
          <t>2025-01-24</t>
        </is>
      </c>
      <c r="N91" s="13" t="inlineStr">
        <is>
          <t>2025-01-20</t>
        </is>
      </c>
      <c r="O91" s="9" t="n">
        <v>77700</v>
      </c>
      <c r="P91" s="17" t="n">
        <v>9.460000038146973</v>
      </c>
      <c r="Q91" s="17" t="n">
        <v>7.739999771118164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Q4 2024-25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-1.54%</t>
        </is>
      </c>
      <c r="J92" s="13" t="inlineStr">
        <is>
          <t>-6.21%</t>
        </is>
      </c>
      <c r="K92" s="16">
        <f>X91</f>
        <v/>
      </c>
      <c r="L92" s="13" t="inlineStr">
        <is>
          <t>2025-01-09</t>
        </is>
      </c>
      <c r="M92" s="13" t="inlineStr">
        <is>
          <t>2025-01-21</t>
        </is>
      </c>
      <c r="N92" s="13" t="inlineStr">
        <is>
          <t>2025-01-20</t>
        </is>
      </c>
      <c r="O92" s="9" t="n">
        <v>11798</v>
      </c>
      <c r="P92" s="17" t="n">
        <v>63.12339401245117</v>
      </c>
      <c r="Q92" s="17" t="n">
        <v>62.16652297973633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Q4 2024-25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-1.45%</t>
        </is>
      </c>
      <c r="J93" s="13" t="inlineStr">
        <is>
          <t>-3.26%</t>
        </is>
      </c>
      <c r="K93" s="16">
        <f>X92</f>
        <v/>
      </c>
      <c r="L93" s="13" t="inlineStr">
        <is>
          <t>2025-01-17</t>
        </is>
      </c>
      <c r="M93" s="13" t="inlineStr">
        <is>
          <t>2025-01-21</t>
        </is>
      </c>
      <c r="N93" s="13" t="inlineStr">
        <is>
          <t>2025-01-20</t>
        </is>
      </c>
      <c r="O93" s="9" t="n">
        <v>7610</v>
      </c>
      <c r="P93" s="17" t="n">
        <v>165.2883911132812</v>
      </c>
      <c r="Q93" s="17" t="n">
        <v>162.8861389160156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Q4 2024-25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-3.72%</t>
        </is>
      </c>
      <c r="J94" s="13" t="inlineStr">
        <is>
          <t>-6.68%</t>
        </is>
      </c>
      <c r="K94" s="16">
        <f>X93</f>
        <v/>
      </c>
      <c r="L94" s="13" t="inlineStr">
        <is>
          <t>2025-01-15</t>
        </is>
      </c>
      <c r="M94" s="13" t="inlineStr">
        <is>
          <t>2025-01-24</t>
        </is>
      </c>
      <c r="N94" s="13" t="inlineStr">
        <is>
          <t>2025-01-20</t>
        </is>
      </c>
      <c r="O94" s="9" t="n">
        <v>1334</v>
      </c>
      <c r="P94" s="17" t="n">
        <v>805.4340209960938</v>
      </c>
      <c r="Q94" s="17" t="n">
        <v>775.4560546875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Q4 2024-25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-0.32%</t>
        </is>
      </c>
      <c r="J95" s="13" t="inlineStr">
        <is>
          <t>-6.63%</t>
        </is>
      </c>
      <c r="K95" s="16">
        <f>X94</f>
        <v/>
      </c>
      <c r="L95" s="13" t="inlineStr">
        <is>
          <t>2025-01-15</t>
        </is>
      </c>
      <c r="M95" s="13" t="inlineStr">
        <is>
          <t>2025-01-24</t>
        </is>
      </c>
      <c r="N95" s="13" t="inlineStr">
        <is>
          <t>2025-01-20</t>
        </is>
      </c>
      <c r="O95" s="9" t="n">
        <v>1208</v>
      </c>
      <c r="P95" s="17" t="n">
        <v>480.0863342285156</v>
      </c>
      <c r="Q95" s="17" t="n">
        <v>478.5587768554688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Q4 2024-25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-8.35%</t>
        </is>
      </c>
      <c r="J96" s="13" t="inlineStr">
        <is>
          <t>-7.79%</t>
        </is>
      </c>
      <c r="K96" s="16">
        <f>X95</f>
        <v/>
      </c>
      <c r="L96" s="13" t="inlineStr">
        <is>
          <t>2023-07-24</t>
        </is>
      </c>
      <c r="M96" s="13" t="inlineStr">
        <is>
          <t>2023-08-03</t>
        </is>
      </c>
      <c r="N96" s="13" t="inlineStr">
        <is>
          <t>2023-08-02</t>
        </is>
      </c>
      <c r="O96" s="9" t="n">
        <v>196</v>
      </c>
      <c r="P96" s="17" t="n">
        <v>2666.144287109375</v>
      </c>
      <c r="Q96" s="17" t="n">
        <v>2443.62060546875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Q4 2024-25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0.61%</t>
        </is>
      </c>
      <c r="J97" s="13" t="inlineStr">
        <is>
          <t>-0.29%</t>
        </is>
      </c>
      <c r="K97" s="16">
        <f>X96</f>
        <v/>
      </c>
      <c r="L97" s="13" t="inlineStr">
        <is>
          <t>2024-04-24</t>
        </is>
      </c>
      <c r="M97" s="13" t="inlineStr">
        <is>
          <t>2024-05-03</t>
        </is>
      </c>
      <c r="N97" s="13" t="inlineStr">
        <is>
          <t>2024-04-25</t>
        </is>
      </c>
      <c r="O97" s="9" t="n">
        <v>500</v>
      </c>
      <c r="P97" s="17" t="n">
        <v>1456.10009765625</v>
      </c>
      <c r="Q97" s="17" t="n">
        <v>1465.0361328125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Q4 2024-25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-2.8%</t>
        </is>
      </c>
      <c r="J98" s="13" t="inlineStr">
        <is>
          <t>-5.06%</t>
        </is>
      </c>
      <c r="K98" s="16">
        <f>X97</f>
        <v/>
      </c>
      <c r="L98" s="13" t="inlineStr">
        <is>
          <t>2025-01-15</t>
        </is>
      </c>
      <c r="M98" s="13" t="inlineStr">
        <is>
          <t>2025-01-21</t>
        </is>
      </c>
      <c r="N98" s="13" t="inlineStr">
        <is>
          <t>2025-01-20</t>
        </is>
      </c>
      <c r="O98" s="9" t="n">
        <v>2545</v>
      </c>
      <c r="P98" s="17" t="n">
        <v>361.6499938964844</v>
      </c>
      <c r="Q98" s="17" t="n">
        <v>351.7999877929688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Q4 2024-25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4.91%</t>
        </is>
      </c>
      <c r="J99" s="13" t="inlineStr">
        <is>
          <t>4.07%</t>
        </is>
      </c>
      <c r="K99" s="16">
        <f>X98</f>
        <v/>
      </c>
      <c r="L99" s="13" t="inlineStr">
        <is>
          <t>2024-04-10</t>
        </is>
      </c>
      <c r="M99" s="13" t="inlineStr">
        <is>
          <t>2024-04-22</t>
        </is>
      </c>
      <c r="N99" s="13" t="inlineStr">
        <is>
          <t>2024-04-19</t>
        </is>
      </c>
      <c r="O99" s="9" t="n">
        <v>400</v>
      </c>
      <c r="P99" s="17" t="n">
        <v>1320.340942382812</v>
      </c>
      <c r="Q99" s="17" t="n">
        <v>1388.581298828125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Q4 2024-25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1.64%</t>
        </is>
      </c>
      <c r="J100" s="13" t="inlineStr">
        <is>
          <t>-3.71%</t>
        </is>
      </c>
      <c r="K100" s="16">
        <f>X99</f>
        <v/>
      </c>
      <c r="L100" s="13" t="inlineStr">
        <is>
          <t>2025-01-09</t>
        </is>
      </c>
      <c r="M100" s="13" t="inlineStr">
        <is>
          <t>2025-01-21</t>
        </is>
      </c>
      <c r="N100" s="13" t="inlineStr">
        <is>
          <t>2025-01-20</t>
        </is>
      </c>
      <c r="O100" s="9" t="n">
        <v>13336</v>
      </c>
      <c r="P100" s="17" t="n">
        <v>162.8999938964844</v>
      </c>
      <c r="Q100" s="17" t="n">
        <v>165.5700073242188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Q4 2024-25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-5.14%</t>
        </is>
      </c>
      <c r="J101" s="13" t="inlineStr">
        <is>
          <t>-7.26%</t>
        </is>
      </c>
      <c r="K101" s="16">
        <f>X100</f>
        <v/>
      </c>
      <c r="L101" s="13" t="inlineStr">
        <is>
          <t>2025-01-13</t>
        </is>
      </c>
      <c r="M101" s="13" t="inlineStr">
        <is>
          <t>2025-01-24</t>
        </is>
      </c>
      <c r="N101" s="13" t="inlineStr">
        <is>
          <t>2025-01-20</t>
        </is>
      </c>
      <c r="O101" s="9" t="n">
        <v>7145</v>
      </c>
      <c r="P101" s="17" t="n">
        <v>120.2944183349609</v>
      </c>
      <c r="Q101" s="17" t="n">
        <v>114.413818359375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Q4 2024-25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-12.76%</t>
        </is>
      </c>
      <c r="J102" s="13" t="inlineStr">
        <is>
          <t>-33.13%</t>
        </is>
      </c>
      <c r="K102" s="16">
        <f>X101</f>
        <v/>
      </c>
      <c r="L102" s="13" t="inlineStr">
        <is>
          <t>2025-01-08</t>
        </is>
      </c>
      <c r="M102" s="13" t="inlineStr">
        <is>
          <t>2025-01-24</t>
        </is>
      </c>
      <c r="N102" s="13" t="inlineStr">
        <is>
          <t>2025-01-20</t>
        </is>
      </c>
      <c r="O102" s="9" t="n">
        <v>8341</v>
      </c>
      <c r="P102" s="17" t="n">
        <v>222.2018432617188</v>
      </c>
      <c r="Q102" s="17" t="n">
        <v>193.8521575927734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Q4 2024-25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0.37%</t>
        </is>
      </c>
      <c r="J103" s="13" t="inlineStr">
        <is>
          <t>-0.49%</t>
        </is>
      </c>
      <c r="K103" s="16">
        <f>X102</f>
        <v/>
      </c>
      <c r="L103" s="13" t="inlineStr">
        <is>
          <t>2025-01-16</t>
        </is>
      </c>
      <c r="M103" s="13" t="inlineStr">
        <is>
          <t>2025-01-21</t>
        </is>
      </c>
      <c r="N103" s="13" t="inlineStr">
        <is>
          <t>2025-01-20</t>
        </is>
      </c>
      <c r="O103" s="9" t="n">
        <v>11813</v>
      </c>
      <c r="P103" s="17" t="n">
        <v>142.47</v>
      </c>
      <c r="Q103" s="17" t="n">
        <v>143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Q4 2024-25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0.08%</t>
        </is>
      </c>
      <c r="J104" s="13" t="inlineStr">
        <is>
          <t>0.09%</t>
        </is>
      </c>
      <c r="K104" s="16">
        <f>X103</f>
        <v/>
      </c>
      <c r="L104" s="13" t="inlineStr">
        <is>
          <t>2024-05-13</t>
        </is>
      </c>
      <c r="M104" s="13" t="inlineStr">
        <is>
          <t>2024-05-27</t>
        </is>
      </c>
      <c r="N104" s="13" t="inlineStr">
        <is>
          <t>2024-05-23</t>
        </is>
      </c>
      <c r="O104" s="9" t="n">
        <v>1600</v>
      </c>
      <c r="P104" s="17" t="n">
        <v>376.0321044921875</v>
      </c>
      <c r="Q104" s="17" t="n">
        <v>376.337158203125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Q4 2024-25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0.95%</t>
        </is>
      </c>
      <c r="J105" s="13" t="inlineStr">
        <is>
          <t>-1.15%</t>
        </is>
      </c>
      <c r="K105" s="16">
        <f>X104</f>
        <v/>
      </c>
      <c r="L105" s="13" t="inlineStr">
        <is>
          <t>2025-01-15</t>
        </is>
      </c>
      <c r="M105" s="13" t="inlineStr">
        <is>
          <t>2025-01-21</t>
        </is>
      </c>
      <c r="N105" s="13" t="inlineStr">
        <is>
          <t>2025-01-20</t>
        </is>
      </c>
      <c r="O105" s="9" t="n">
        <v>914</v>
      </c>
      <c r="P105" s="17" t="n">
        <v>908.4478149414062</v>
      </c>
      <c r="Q105" s="17" t="n">
        <v>917.0806884765624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Q4 2024-25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-1.03%</t>
        </is>
      </c>
      <c r="J106" s="13" t="inlineStr">
        <is>
          <t>-4.73%</t>
        </is>
      </c>
      <c r="K106" s="16">
        <f>X105</f>
        <v/>
      </c>
      <c r="L106" s="13" t="inlineStr">
        <is>
          <t>2024-04-18</t>
        </is>
      </c>
      <c r="M106" s="13" t="inlineStr">
        <is>
          <t>2024-04-25</t>
        </is>
      </c>
      <c r="N106" s="13" t="inlineStr">
        <is>
          <t>2024-04-19</t>
        </is>
      </c>
      <c r="O106" s="9" t="n">
        <v>4127</v>
      </c>
      <c r="P106" s="17" t="n">
        <v>381.7047729492188</v>
      </c>
      <c r="Q106" s="17" t="n">
        <v>377.8108520507813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Q4 2024-25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-7.69%</t>
        </is>
      </c>
      <c r="J107" s="13" t="inlineStr">
        <is>
          <t>-11.85%</t>
        </is>
      </c>
      <c r="K107" s="16">
        <f>X106</f>
        <v/>
      </c>
      <c r="L107" s="13" t="inlineStr">
        <is>
          <t>2025-01-13</t>
        </is>
      </c>
      <c r="M107" s="13" t="inlineStr">
        <is>
          <t>2025-01-21</t>
        </is>
      </c>
      <c r="N107" s="13" t="inlineStr">
        <is>
          <t>2025-01-20</t>
        </is>
      </c>
      <c r="O107" s="9" t="n">
        <v>1839</v>
      </c>
      <c r="P107" s="17" t="n">
        <v>553.4729614257812</v>
      </c>
      <c r="Q107" s="17" t="n">
        <v>513.9639892578125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Q4 2024-25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6.45%</t>
        </is>
      </c>
      <c r="J108" s="13" t="inlineStr">
        <is>
          <t>4.78%</t>
        </is>
      </c>
      <c r="K108" s="16">
        <f>X107</f>
        <v/>
      </c>
      <c r="L108" s="13" t="inlineStr">
        <is>
          <t>2024-05-10</t>
        </is>
      </c>
      <c r="M108" s="13" t="inlineStr">
        <is>
          <t>2024-05-24</t>
        </is>
      </c>
      <c r="N108" s="13" t="inlineStr">
        <is>
          <t>2024-05-17</t>
        </is>
      </c>
      <c r="O108" s="9" t="n">
        <v>675</v>
      </c>
      <c r="P108" s="17" t="n">
        <v>839.8666381835938</v>
      </c>
      <c r="Q108" s="17" t="n">
        <v>894.031005859375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Q4 2024-25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-5.04%</t>
        </is>
      </c>
      <c r="J109" s="13" t="inlineStr">
        <is>
          <t>-6.28%</t>
        </is>
      </c>
      <c r="K109" s="16">
        <f>X108</f>
        <v/>
      </c>
      <c r="L109" s="13" t="inlineStr">
        <is>
          <t>2025-01-13</t>
        </is>
      </c>
      <c r="M109" s="13" t="inlineStr">
        <is>
          <t>2025-01-24</t>
        </is>
      </c>
      <c r="N109" s="13" t="inlineStr">
        <is>
          <t>2025-01-20</t>
        </is>
      </c>
      <c r="O109" s="9" t="n">
        <v>2273</v>
      </c>
      <c r="P109" s="17" t="n">
        <v>703.369873046875</v>
      </c>
      <c r="Q109" s="17" t="n">
        <v>667.9326782226562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Q4 2024-25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12.02%</t>
        </is>
      </c>
      <c r="J110" s="13" t="inlineStr">
        <is>
          <t>12.62%</t>
        </is>
      </c>
      <c r="K110" s="16">
        <f>X109</f>
        <v/>
      </c>
      <c r="L110" s="13" t="inlineStr">
        <is>
          <t>2025-01-15</t>
        </is>
      </c>
      <c r="M110" s="13" t="inlineStr">
        <is>
          <t>2025-01-21</t>
        </is>
      </c>
      <c r="N110" s="13" t="inlineStr">
        <is>
          <t>2025-01-20</t>
        </is>
      </c>
      <c r="O110" s="9" t="n">
        <v>1575</v>
      </c>
      <c r="P110" s="17" t="n">
        <v>486.9251403808594</v>
      </c>
      <c r="Q110" s="17" t="n">
        <v>553.4803466796875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Q4 2024-25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-14.27%</t>
        </is>
      </c>
      <c r="J111" s="13" t="inlineStr">
        <is>
          <t>-20.36%</t>
        </is>
      </c>
      <c r="K111" s="16">
        <f>X110</f>
        <v/>
      </c>
      <c r="L111" s="13" t="inlineStr">
        <is>
          <t>2025-01-15</t>
        </is>
      </c>
      <c r="M111" s="13" t="inlineStr">
        <is>
          <t>2025-01-24</t>
        </is>
      </c>
      <c r="N111" s="13" t="inlineStr">
        <is>
          <t>2025-01-20</t>
        </is>
      </c>
      <c r="O111" s="9" t="n">
        <v>276</v>
      </c>
      <c r="P111" s="17" t="n">
        <v>6565.14990234375</v>
      </c>
      <c r="Q111" s="17" t="n">
        <v>5628.5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Q4 2024-25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0.26%</t>
        </is>
      </c>
      <c r="J112" s="13" t="inlineStr">
        <is>
          <t>-3.48%</t>
        </is>
      </c>
      <c r="K112" s="16">
        <f>X111</f>
        <v/>
      </c>
      <c r="L112" s="13" t="inlineStr">
        <is>
          <t>2025-01-08</t>
        </is>
      </c>
      <c r="M112" s="13" t="inlineStr">
        <is>
          <t>2025-01-24</t>
        </is>
      </c>
      <c r="N112" s="13" t="inlineStr">
        <is>
          <t>2025-01-20</t>
        </is>
      </c>
      <c r="O112" s="9" t="n">
        <v>208</v>
      </c>
      <c r="P112" s="17" t="n">
        <v>4244.474609375</v>
      </c>
      <c r="Q112" s="17" t="n">
        <v>4255.451171875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Q4 2024-25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-22.85%</t>
        </is>
      </c>
      <c r="J113" s="13" t="inlineStr">
        <is>
          <t>-25.35%</t>
        </is>
      </c>
      <c r="K113" s="16">
        <f>X112</f>
        <v/>
      </c>
      <c r="L113" s="13" t="inlineStr">
        <is>
          <t>2025-01-08</t>
        </is>
      </c>
      <c r="M113" s="13" t="inlineStr">
        <is>
          <t>2025-01-21</t>
        </is>
      </c>
      <c r="N113" s="13" t="inlineStr">
        <is>
          <t>2025-01-20</t>
        </is>
      </c>
      <c r="O113" s="9" t="n">
        <v>1063</v>
      </c>
      <c r="P113" s="17" t="n">
        <v>1416.654907226562</v>
      </c>
      <c r="Q113" s="17" t="n">
        <v>1092.98388671875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Q4 2024-25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-1.23%</t>
        </is>
      </c>
      <c r="J114" s="13" t="inlineStr">
        <is>
          <t>-1.33%</t>
        </is>
      </c>
      <c r="K114" s="16">
        <f>X113</f>
        <v/>
      </c>
      <c r="L114" s="13" t="inlineStr">
        <is>
          <t>2024-04-30</t>
        </is>
      </c>
      <c r="M114" s="13" t="inlineStr">
        <is>
          <t>2024-05-07</t>
        </is>
      </c>
      <c r="N114" s="13" t="inlineStr">
        <is>
          <t>2024-05-04</t>
        </is>
      </c>
      <c r="O114" s="9" t="n">
        <v>400</v>
      </c>
      <c r="P114" s="17" t="n">
        <v>328.0418395996094</v>
      </c>
      <c r="Q114" s="17" t="n">
        <v>324.0608215332031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Q4 2024-25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0.16%</t>
        </is>
      </c>
      <c r="J115" s="13" t="inlineStr">
        <is>
          <t>1.31%</t>
        </is>
      </c>
      <c r="K115" s="16">
        <f>X114</f>
        <v/>
      </c>
      <c r="L115" s="13" t="inlineStr">
        <is>
          <t>2025-01-13</t>
        </is>
      </c>
      <c r="M115" s="13" t="inlineStr">
        <is>
          <t>2025-01-21</t>
        </is>
      </c>
      <c r="N115" s="13" t="inlineStr">
        <is>
          <t>2025-01-20</t>
        </is>
      </c>
      <c r="O115" s="9" t="n">
        <v>1695</v>
      </c>
      <c r="P115" s="17" t="n">
        <v>1298.52978515625</v>
      </c>
      <c r="Q115" s="17" t="n">
        <v>1300.611206054688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Q4 2024-25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-1.57%</t>
        </is>
      </c>
      <c r="J116" s="13" t="inlineStr">
        <is>
          <t>-4.38%</t>
        </is>
      </c>
      <c r="K116" s="16">
        <f>X115</f>
        <v/>
      </c>
      <c r="L116" s="13" t="inlineStr">
        <is>
          <t>2025-01-14</t>
        </is>
      </c>
      <c r="M116" s="13" t="inlineStr">
        <is>
          <t>2025-01-21</t>
        </is>
      </c>
      <c r="N116" s="13" t="inlineStr">
        <is>
          <t>2025-01-20</t>
        </is>
      </c>
      <c r="O116" s="9" t="n">
        <v>561</v>
      </c>
      <c r="P116" s="17" t="n">
        <v>575.0659790039062</v>
      </c>
      <c r="Q116" s="17" t="n">
        <v>566.1942138671875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Q4 2024-25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1.39%</t>
        </is>
      </c>
      <c r="J117" s="13" t="inlineStr">
        <is>
          <t>1.97%</t>
        </is>
      </c>
      <c r="K117" s="16">
        <f>X116</f>
        <v/>
      </c>
      <c r="L117" s="13" t="inlineStr">
        <is>
          <t>2025-01-16</t>
        </is>
      </c>
      <c r="M117" s="13" t="inlineStr">
        <is>
          <t>2025-01-24</t>
        </is>
      </c>
      <c r="N117" s="13" t="inlineStr">
        <is>
          <t>2025-01-20</t>
        </is>
      </c>
      <c r="O117" s="9" t="n">
        <v>1848</v>
      </c>
      <c r="P117" s="17" t="n">
        <v>555.6646118164062</v>
      </c>
      <c r="Q117" s="17" t="n">
        <v>563.3787231445312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Q4 2024-25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11.69%</t>
        </is>
      </c>
      <c r="J118" s="13" t="inlineStr">
        <is>
          <t>10.74%</t>
        </is>
      </c>
      <c r="K118" s="16">
        <f>X117</f>
        <v/>
      </c>
      <c r="L118" s="13" t="inlineStr">
        <is>
          <t>2025-05-21</t>
        </is>
      </c>
      <c r="M118" s="13" t="inlineStr">
        <is>
          <t>2025-06-03</t>
        </is>
      </c>
      <c r="N118" s="13" t="inlineStr">
        <is>
          <t>2025-05-27</t>
        </is>
      </c>
      <c r="O118" s="9" t="n">
        <v>2364</v>
      </c>
      <c r="P118" s="17" t="n">
        <v>411.6636352539063</v>
      </c>
      <c r="Q118" s="17" t="n">
        <v>459.8067932128906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Q4 2024-25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-0.3%</t>
        </is>
      </c>
      <c r="J119" s="13" t="inlineStr">
        <is>
          <t>-4.55%</t>
        </is>
      </c>
      <c r="K119" s="16">
        <f>X118</f>
        <v/>
      </c>
      <c r="L119" s="13" t="inlineStr">
        <is>
          <t>2025-01-14</t>
        </is>
      </c>
      <c r="M119" s="13" t="inlineStr">
        <is>
          <t>2025-01-21</t>
        </is>
      </c>
      <c r="N119" s="13" t="inlineStr">
        <is>
          <t>2025-01-20</t>
        </is>
      </c>
      <c r="O119" s="9" t="n">
        <v>776</v>
      </c>
      <c r="P119" s="17" t="n">
        <v>1143.779907226562</v>
      </c>
      <c r="Q119" s="17" t="n">
        <v>1140.390991210938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Q4 2024-25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0.56%</t>
        </is>
      </c>
      <c r="J120" s="13" t="inlineStr">
        <is>
          <t>0.0%</t>
        </is>
      </c>
      <c r="K120" s="16">
        <f>X119</f>
        <v/>
      </c>
      <c r="L120" s="13" t="inlineStr">
        <is>
          <t>2024-05-09</t>
        </is>
      </c>
      <c r="M120" s="13" t="inlineStr">
        <is>
          <t>2024-05-13</t>
        </is>
      </c>
      <c r="N120" s="13" t="inlineStr">
        <is>
          <t>2024-05-09</t>
        </is>
      </c>
      <c r="O120" s="9" t="n">
        <v>300</v>
      </c>
      <c r="P120" s="17" t="n">
        <v>3188.727783203125</v>
      </c>
      <c r="Q120" s="17" t="n">
        <v>3206.640625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Q4 2024-25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-2.13%</t>
        </is>
      </c>
      <c r="J121" s="13" t="inlineStr">
        <is>
          <t>-3.59%</t>
        </is>
      </c>
      <c r="K121" s="16">
        <f>X120</f>
        <v/>
      </c>
      <c r="L121" s="13" t="inlineStr">
        <is>
          <t>2025-01-17</t>
        </is>
      </c>
      <c r="M121" s="13" t="inlineStr">
        <is>
          <t>2025-01-21</t>
        </is>
      </c>
      <c r="N121" s="13" t="inlineStr">
        <is>
          <t>2025-01-20</t>
        </is>
      </c>
      <c r="O121" s="9" t="n">
        <v>3265</v>
      </c>
      <c r="P121" s="17" t="n">
        <v>142.3001861572266</v>
      </c>
      <c r="Q121" s="17" t="n">
        <v>139.338623046875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Q4 2024-25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-1.83%</t>
        </is>
      </c>
      <c r="J122" s="13" t="inlineStr">
        <is>
          <t>-4.4%</t>
        </is>
      </c>
      <c r="K122" s="16">
        <f>X121</f>
        <v/>
      </c>
      <c r="L122" s="13" t="inlineStr">
        <is>
          <t>2025-01-17</t>
        </is>
      </c>
      <c r="M122" s="13" t="inlineStr">
        <is>
          <t>2025-01-24</t>
        </is>
      </c>
      <c r="N122" s="13" t="inlineStr">
        <is>
          <t>2025-01-20</t>
        </is>
      </c>
      <c r="O122" s="9" t="n">
        <v>225</v>
      </c>
      <c r="P122" s="17" t="n">
        <v>5842.8310546875</v>
      </c>
      <c r="Q122" s="17" t="n">
        <v>5737.7734375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Q4 2024-25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-6.57%</t>
        </is>
      </c>
      <c r="J123" s="13" t="inlineStr">
        <is>
          <t>-10.36%</t>
        </is>
      </c>
      <c r="K123" s="16">
        <f>X122</f>
        <v/>
      </c>
      <c r="L123" s="13" t="inlineStr">
        <is>
          <t>2025-01-08</t>
        </is>
      </c>
      <c r="M123" s="13" t="inlineStr">
        <is>
          <t>2025-01-21</t>
        </is>
      </c>
      <c r="N123" s="13" t="inlineStr">
        <is>
          <t>2025-01-20</t>
        </is>
      </c>
      <c r="O123" s="9" t="n">
        <v>413</v>
      </c>
      <c r="P123" s="17" t="n">
        <v>2222.1171875</v>
      </c>
      <c r="Q123" s="17" t="n">
        <v>2076.189208984375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Q4 2024-25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15.49%</t>
        </is>
      </c>
      <c r="J124" s="13" t="inlineStr">
        <is>
          <t>13.22%</t>
        </is>
      </c>
      <c r="K124" s="16">
        <f>X123</f>
        <v/>
      </c>
      <c r="L124" s="13" t="inlineStr">
        <is>
          <t>2024-05-13</t>
        </is>
      </c>
      <c r="M124" s="13" t="inlineStr">
        <is>
          <t>2024-05-21</t>
        </is>
      </c>
      <c r="N124" s="13" t="inlineStr">
        <is>
          <t>2024-05-16</t>
        </is>
      </c>
      <c r="O124" s="9" t="n">
        <v>350</v>
      </c>
      <c r="P124" s="17" t="n">
        <v>2128.736083984375</v>
      </c>
      <c r="Q124" s="17" t="n">
        <v>2458.535400390625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Q4 2024-25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-5.86%</t>
        </is>
      </c>
      <c r="J125" s="13" t="inlineStr">
        <is>
          <t>-10.24%</t>
        </is>
      </c>
      <c r="K125" s="16">
        <f>X124</f>
        <v/>
      </c>
      <c r="L125" s="13" t="inlineStr">
        <is>
          <t>2025-01-14</t>
        </is>
      </c>
      <c r="M125" s="13" t="inlineStr">
        <is>
          <t>2025-01-24</t>
        </is>
      </c>
      <c r="N125" s="13" t="inlineStr">
        <is>
          <t>2025-01-20</t>
        </is>
      </c>
      <c r="O125" s="9" t="n">
        <v>12616</v>
      </c>
      <c r="P125" s="17" t="n">
        <v>49.64668655395508</v>
      </c>
      <c r="Q125" s="17" t="n">
        <v>46.73791885375977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Q4 2024-25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4.87%</t>
        </is>
      </c>
      <c r="J126" s="13" t="inlineStr">
        <is>
          <t>4.3%</t>
        </is>
      </c>
      <c r="K126" s="16">
        <f>X125</f>
        <v/>
      </c>
      <c r="L126" s="13" t="inlineStr">
        <is>
          <t>2025-01-16</t>
        </is>
      </c>
      <c r="M126" s="13" t="inlineStr">
        <is>
          <t>2025-01-21</t>
        </is>
      </c>
      <c r="N126" s="13" t="inlineStr">
        <is>
          <t>2025-01-20</t>
        </is>
      </c>
      <c r="O126" s="9" t="n">
        <v>2714</v>
      </c>
      <c r="P126" s="17" t="n">
        <v>180.6265106201172</v>
      </c>
      <c r="Q126" s="17" t="n">
        <v>189.4216766357422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Q4 2024-25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3.84%</t>
        </is>
      </c>
      <c r="J127" s="13" t="inlineStr">
        <is>
          <t>0.74%</t>
        </is>
      </c>
      <c r="K127" s="16">
        <f>X126</f>
        <v/>
      </c>
      <c r="L127" s="13" t="inlineStr">
        <is>
          <t>2025-01-14</t>
        </is>
      </c>
      <c r="M127" s="13" t="inlineStr">
        <is>
          <t>2025-01-21</t>
        </is>
      </c>
      <c r="N127" s="13" t="inlineStr">
        <is>
          <t>2025-01-20</t>
        </is>
      </c>
      <c r="O127" s="9" t="n">
        <v>388</v>
      </c>
      <c r="P127" s="17" t="n">
        <v>2562.539794921875</v>
      </c>
      <c r="Q127" s="17" t="n">
        <v>2664.799560546875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Q4 2024-25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-0.33%</t>
        </is>
      </c>
      <c r="J128" s="13" t="inlineStr">
        <is>
          <t>-1.72%</t>
        </is>
      </c>
      <c r="K128" s="16">
        <f>X127</f>
        <v/>
      </c>
      <c r="L128" s="13" t="inlineStr">
        <is>
          <t>2025-01-13</t>
        </is>
      </c>
      <c r="M128" s="13" t="inlineStr">
        <is>
          <t>2025-01-24</t>
        </is>
      </c>
      <c r="N128" s="13" t="inlineStr">
        <is>
          <t>2025-01-20</t>
        </is>
      </c>
      <c r="O128" s="9" t="n">
        <v>1129</v>
      </c>
      <c r="P128" s="17" t="n">
        <v>655.3102416992188</v>
      </c>
      <c r="Q128" s="17" t="n">
        <v>653.1532592773438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Q4 2024-25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0.98%</t>
        </is>
      </c>
      <c r="J129" s="13" t="inlineStr">
        <is>
          <t>0.27%</t>
        </is>
      </c>
      <c r="K129" s="16">
        <f>X128</f>
        <v/>
      </c>
      <c r="L129" s="13" t="inlineStr">
        <is>
          <t>2024-04-24</t>
        </is>
      </c>
      <c r="M129" s="13" t="inlineStr">
        <is>
          <t>2024-04-30</t>
        </is>
      </c>
      <c r="N129" s="13" t="inlineStr">
        <is>
          <t>2024-04-27</t>
        </is>
      </c>
      <c r="O129" s="9" t="n">
        <v>100</v>
      </c>
      <c r="P129" s="17" t="n">
        <v>12561.6083984375</v>
      </c>
      <c r="Q129" s="17" t="n">
        <v>12685.630859375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Q4 2024-25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-2.24%</t>
        </is>
      </c>
      <c r="J130" s="13" t="inlineStr">
        <is>
          <t>-4.86%</t>
        </is>
      </c>
      <c r="K130" s="16">
        <f>X129</f>
        <v/>
      </c>
      <c r="L130" s="13" t="inlineStr">
        <is>
          <t>2023-08-01</t>
        </is>
      </c>
      <c r="M130" s="13" t="inlineStr">
        <is>
          <t>2023-08-08</t>
        </is>
      </c>
      <c r="N130" s="13" t="inlineStr">
        <is>
          <t>2023-08-07</t>
        </is>
      </c>
      <c r="O130" s="9" t="n">
        <v>922</v>
      </c>
      <c r="P130" s="17" t="n">
        <v>568.69580078125</v>
      </c>
      <c r="Q130" s="17" t="n">
        <v>555.9763793945312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Q4 2024-25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-3.05%</t>
        </is>
      </c>
      <c r="J131" s="13" t="inlineStr">
        <is>
          <t>-8.04%</t>
        </is>
      </c>
      <c r="K131" s="16">
        <f>X130</f>
        <v/>
      </c>
      <c r="L131" s="13" t="inlineStr">
        <is>
          <t>2025-01-14</t>
        </is>
      </c>
      <c r="M131" s="13" t="inlineStr">
        <is>
          <t>2025-01-24</t>
        </is>
      </c>
      <c r="N131" s="13" t="inlineStr">
        <is>
          <t>2025-01-20</t>
        </is>
      </c>
      <c r="O131" s="9" t="n">
        <v>431</v>
      </c>
      <c r="P131" s="17" t="n">
        <v>2282.751220703125</v>
      </c>
      <c r="Q131" s="17" t="n">
        <v>2215.248046875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Q4 2024-25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-6.0%</t>
        </is>
      </c>
      <c r="J132" s="13" t="inlineStr">
        <is>
          <t>-16.36%</t>
        </is>
      </c>
      <c r="K132" s="16">
        <f>X131</f>
        <v/>
      </c>
      <c r="L132" s="13" t="inlineStr">
        <is>
          <t>2025-01-09</t>
        </is>
      </c>
      <c r="M132" s="13" t="inlineStr">
        <is>
          <t>2025-01-21</t>
        </is>
      </c>
      <c r="N132" s="13" t="inlineStr">
        <is>
          <t>2025-01-20</t>
        </is>
      </c>
      <c r="O132" s="9" t="n">
        <v>373</v>
      </c>
      <c r="P132" s="17" t="n">
        <v>1166.843627929688</v>
      </c>
      <c r="Q132" s="17" t="n">
        <v>1096.801025390625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Q4 2024-25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0.95%</t>
        </is>
      </c>
      <c r="J133" s="13" t="inlineStr">
        <is>
          <t>2.43%</t>
        </is>
      </c>
      <c r="K133" s="16">
        <f>X132</f>
        <v/>
      </c>
      <c r="L133" s="13" t="inlineStr">
        <is>
          <t>2025-01-16</t>
        </is>
      </c>
      <c r="M133" s="13" t="inlineStr">
        <is>
          <t>2025-01-21</t>
        </is>
      </c>
      <c r="N133" s="13" t="inlineStr">
        <is>
          <t>2025-01-20</t>
        </is>
      </c>
      <c r="O133" s="9" t="n">
        <v>661</v>
      </c>
      <c r="P133" s="17" t="n">
        <v>1053.099975585938</v>
      </c>
      <c r="Q133" s="17" t="n">
        <v>1063.150024414062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Q4 2024-25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1.78%</t>
        </is>
      </c>
      <c r="J134" s="13" t="inlineStr">
        <is>
          <t>-0.2%</t>
        </is>
      </c>
      <c r="K134" s="16">
        <f>X133</f>
        <v/>
      </c>
      <c r="L134" s="13" t="inlineStr">
        <is>
          <t>2025-01-14</t>
        </is>
      </c>
      <c r="M134" s="13" t="inlineStr">
        <is>
          <t>2025-01-24</t>
        </is>
      </c>
      <c r="N134" s="13" t="inlineStr">
        <is>
          <t>2025-01-20</t>
        </is>
      </c>
      <c r="O134" s="9" t="n">
        <v>6815</v>
      </c>
      <c r="P134" s="17" t="n">
        <v>94.28702545166016</v>
      </c>
      <c r="Q134" s="17" t="n">
        <v>95.99485015869141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Q4 2024-25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-6.38%</t>
        </is>
      </c>
      <c r="J135" s="13" t="inlineStr">
        <is>
          <t>-11.5%</t>
        </is>
      </c>
      <c r="K135" s="16">
        <f>X134</f>
        <v/>
      </c>
      <c r="L135" s="13" t="inlineStr">
        <is>
          <t>2025-01-17</t>
        </is>
      </c>
      <c r="M135" s="13" t="inlineStr">
        <is>
          <t>2025-01-21</t>
        </is>
      </c>
      <c r="N135" s="13" t="inlineStr">
        <is>
          <t>2025-01-20</t>
        </is>
      </c>
      <c r="O135" s="9" t="n">
        <v>1194</v>
      </c>
      <c r="P135" s="17" t="n">
        <v>783.266845703125</v>
      </c>
      <c r="Q135" s="17" t="n">
        <v>733.31298828125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Q4 2024-25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4.78%</t>
        </is>
      </c>
      <c r="J136" s="13" t="inlineStr">
        <is>
          <t>1.87%</t>
        </is>
      </c>
      <c r="K136" s="16">
        <f>X135</f>
        <v/>
      </c>
      <c r="L136" s="13" t="inlineStr">
        <is>
          <t>2025-01-09</t>
        </is>
      </c>
      <c r="M136" s="13" t="inlineStr">
        <is>
          <t>2025-01-24</t>
        </is>
      </c>
      <c r="N136" s="13" t="inlineStr">
        <is>
          <t>2025-01-20</t>
        </is>
      </c>
      <c r="O136" s="9" t="n">
        <v>426</v>
      </c>
      <c r="P136" s="17" t="n">
        <v>2742.1708984375</v>
      </c>
      <c r="Q136" s="17" t="n">
        <v>2873.314453125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Q4 2024-25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9.09%</t>
        </is>
      </c>
      <c r="J137" s="13" t="inlineStr">
        <is>
          <t>8.23%</t>
        </is>
      </c>
      <c r="K137" s="16">
        <f>X136</f>
        <v/>
      </c>
      <c r="L137" s="13" t="inlineStr">
        <is>
          <t>2025-11-11</t>
        </is>
      </c>
      <c r="M137" s="13" t="inlineStr">
        <is>
          <t>2025-11-20</t>
        </is>
      </c>
      <c r="N137" s="13" t="inlineStr">
        <is>
          <t>2025-11-13</t>
        </is>
      </c>
      <c r="O137" s="9" t="n">
        <v>332</v>
      </c>
      <c r="P137" s="17" t="n">
        <v>3360.882080078125</v>
      </c>
      <c r="Q137" s="17" t="n">
        <v>3666.498046875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Q4 2024-25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4.06%</t>
        </is>
      </c>
      <c r="J138" s="13" t="inlineStr">
        <is>
          <t>3.55%</t>
        </is>
      </c>
      <c r="K138" s="16">
        <f>X137</f>
        <v/>
      </c>
      <c r="L138" s="13" t="inlineStr">
        <is>
          <t>2025-01-17</t>
        </is>
      </c>
      <c r="M138" s="13" t="inlineStr">
        <is>
          <t>2025-01-21</t>
        </is>
      </c>
      <c r="N138" s="13" t="inlineStr">
        <is>
          <t>2025-01-20</t>
        </is>
      </c>
      <c r="O138" s="9" t="n">
        <v>871</v>
      </c>
      <c r="P138" s="17" t="n">
        <v>638.0186767578125</v>
      </c>
      <c r="Q138" s="17" t="n">
        <v>664.9955444335938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Q4 2024-25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-5.49%</t>
        </is>
      </c>
      <c r="J139" s="13" t="inlineStr">
        <is>
          <t>-11.01%</t>
        </is>
      </c>
      <c r="K139" s="16">
        <f>X138</f>
        <v/>
      </c>
      <c r="L139" s="13" t="inlineStr">
        <is>
          <t>2025-01-15</t>
        </is>
      </c>
      <c r="M139" s="13" t="inlineStr">
        <is>
          <t>2025-01-21</t>
        </is>
      </c>
      <c r="N139" s="13" t="inlineStr">
        <is>
          <t>2025-01-20</t>
        </is>
      </c>
      <c r="O139" s="9" t="n">
        <v>2876</v>
      </c>
      <c r="P139" s="17" t="n">
        <v>192.9144592285156</v>
      </c>
      <c r="Q139" s="17" t="n">
        <v>182.8720245361328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Q4 2024-25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-0.0%</t>
        </is>
      </c>
      <c r="J140" s="13" t="inlineStr">
        <is>
          <t>-1.61%</t>
        </is>
      </c>
      <c r="K140" s="16">
        <f>X139</f>
        <v/>
      </c>
      <c r="L140" s="13" t="inlineStr">
        <is>
          <t>2025-01-14</t>
        </is>
      </c>
      <c r="M140" s="13" t="inlineStr">
        <is>
          <t>2025-01-21</t>
        </is>
      </c>
      <c r="N140" s="13" t="inlineStr">
        <is>
          <t>2025-01-20</t>
        </is>
      </c>
      <c r="O140" s="9" t="n">
        <v>803</v>
      </c>
      <c r="P140" s="17" t="n">
        <v>1477.4326171875</v>
      </c>
      <c r="Q140" s="17" t="n">
        <v>1477.373168945312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Q4 2024-25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-8.28%</t>
        </is>
      </c>
      <c r="J141" s="13" t="inlineStr">
        <is>
          <t>-10.37%</t>
        </is>
      </c>
      <c r="K141" s="16">
        <f>X140</f>
        <v/>
      </c>
      <c r="L141" s="13" t="inlineStr">
        <is>
          <t>2025-01-16</t>
        </is>
      </c>
      <c r="M141" s="13" t="inlineStr">
        <is>
          <t>2025-01-21</t>
        </is>
      </c>
      <c r="N141" s="13" t="inlineStr">
        <is>
          <t>2025-01-20</t>
        </is>
      </c>
      <c r="O141" s="9" t="n">
        <v>10687</v>
      </c>
      <c r="P141" s="17" t="n">
        <v>93.87492370605467</v>
      </c>
      <c r="Q141" s="17" t="n">
        <v>86.69857025146484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Q4 2024-25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-2.06%</t>
        </is>
      </c>
      <c r="J142" s="13" t="inlineStr">
        <is>
          <t>-1.93%</t>
        </is>
      </c>
      <c r="K142" s="16">
        <f>X141</f>
        <v/>
      </c>
      <c r="L142" s="13" t="inlineStr">
        <is>
          <t>2024-04-25</t>
        </is>
      </c>
      <c r="M142" s="13" t="inlineStr">
        <is>
          <t>2024-04-29</t>
        </is>
      </c>
      <c r="N142" s="13" t="inlineStr">
        <is>
          <t>2024-04-26</t>
        </is>
      </c>
      <c r="O142" s="9" t="n">
        <v>200</v>
      </c>
      <c r="P142" s="17" t="n">
        <v>1249.579833984375</v>
      </c>
      <c r="Q142" s="17" t="n">
        <v>1223.809692382812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Q4 2024-25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-0.64%</t>
        </is>
      </c>
      <c r="J143" s="13" t="inlineStr">
        <is>
          <t>-3.42%</t>
        </is>
      </c>
      <c r="K143" s="16">
        <f>X142</f>
        <v/>
      </c>
      <c r="L143" s="13" t="inlineStr">
        <is>
          <t>2025-01-14</t>
        </is>
      </c>
      <c r="M143" s="13" t="inlineStr">
        <is>
          <t>2025-01-24</t>
        </is>
      </c>
      <c r="N143" s="13" t="inlineStr">
        <is>
          <t>2025-01-20</t>
        </is>
      </c>
      <c r="O143" s="9" t="n">
        <v>12809</v>
      </c>
      <c r="P143" s="17" t="n">
        <v>73.64512634277344</v>
      </c>
      <c r="Q143" s="17" t="n">
        <v>73.17575836181641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Q4 2024-25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4.64%</t>
        </is>
      </c>
      <c r="J144" s="13" t="inlineStr">
        <is>
          <t>5.49%</t>
        </is>
      </c>
      <c r="K144" s="16">
        <f>X143</f>
        <v/>
      </c>
      <c r="L144" s="13" t="inlineStr">
        <is>
          <t>2025-01-14</t>
        </is>
      </c>
      <c r="M144" s="13" t="inlineStr">
        <is>
          <t>2025-01-21</t>
        </is>
      </c>
      <c r="N144" s="13" t="inlineStr">
        <is>
          <t>2025-01-20</t>
        </is>
      </c>
      <c r="O144" s="9" t="n">
        <v>11763</v>
      </c>
      <c r="P144" s="17" t="n">
        <v>58.61591720581055</v>
      </c>
      <c r="Q144" s="17" t="n">
        <v>61.33578109741211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Q4 2024-25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0.65%</t>
        </is>
      </c>
      <c r="J145" s="13" t="inlineStr">
        <is>
          <t>2.14%</t>
        </is>
      </c>
      <c r="K145" s="16">
        <f>X144</f>
        <v/>
      </c>
      <c r="L145" s="13" t="inlineStr">
        <is>
          <t>2024-05-15</t>
        </is>
      </c>
      <c r="M145" s="13" t="inlineStr">
        <is>
          <t>2024-05-31</t>
        </is>
      </c>
      <c r="N145" s="13" t="inlineStr">
        <is>
          <t>2024-05-25</t>
        </is>
      </c>
      <c r="O145" s="9" t="n">
        <v>1500</v>
      </c>
      <c r="P145" s="17" t="n">
        <v>342.2366943359375</v>
      </c>
      <c r="Q145" s="17" t="n">
        <v>344.4769592285156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Q4 2024-25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1.18%</t>
        </is>
      </c>
      <c r="J146" s="13" t="inlineStr">
        <is>
          <t>-1.68%</t>
        </is>
      </c>
      <c r="K146" s="16">
        <f>X145</f>
        <v/>
      </c>
      <c r="L146" s="13" t="inlineStr">
        <is>
          <t>2025-01-09</t>
        </is>
      </c>
      <c r="M146" s="13" t="inlineStr">
        <is>
          <t>2025-01-21</t>
        </is>
      </c>
      <c r="N146" s="13" t="inlineStr">
        <is>
          <t>2025-01-20</t>
        </is>
      </c>
      <c r="O146" s="9" t="n">
        <v>2996</v>
      </c>
      <c r="P146" s="17" t="n">
        <v>168.1999969482422</v>
      </c>
      <c r="Q146" s="17" t="n">
        <v>170.1999969482422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Q4 2024-25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-12.65%</t>
        </is>
      </c>
      <c r="J147" s="13" t="inlineStr">
        <is>
          <t>-10.89%</t>
        </is>
      </c>
      <c r="K147" s="16">
        <f>X146</f>
        <v/>
      </c>
      <c r="L147" s="13" t="inlineStr">
        <is>
          <t>2025-01-13</t>
        </is>
      </c>
      <c r="M147" s="13" t="inlineStr">
        <is>
          <t>2025-01-24</t>
        </is>
      </c>
      <c r="N147" s="13" t="inlineStr">
        <is>
          <t>2025-01-20</t>
        </is>
      </c>
      <c r="O147" s="9" t="n">
        <v>551</v>
      </c>
      <c r="P147" s="17" t="n">
        <v>1996.635498046875</v>
      </c>
      <c r="Q147" s="17" t="n">
        <v>1744.080078125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Q4 2024-25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18.15%</t>
        </is>
      </c>
      <c r="J148" s="13" t="inlineStr">
        <is>
          <t>22.7%</t>
        </is>
      </c>
      <c r="K148" s="16">
        <f>X147</f>
        <v/>
      </c>
      <c r="L148" s="13" t="inlineStr">
        <is>
          <t>2025-01-08</t>
        </is>
      </c>
      <c r="M148" s="13" t="inlineStr">
        <is>
          <t>2025-01-24</t>
        </is>
      </c>
      <c r="N148" s="13" t="inlineStr">
        <is>
          <t>2025-01-20</t>
        </is>
      </c>
      <c r="O148" s="9" t="n">
        <v>100</v>
      </c>
      <c r="P148" s="17" t="n">
        <v>9095.4453125</v>
      </c>
      <c r="Q148" s="17" t="n">
        <v>11112.171875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Q4 2024-25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2.2%</t>
        </is>
      </c>
      <c r="J149" s="13" t="inlineStr">
        <is>
          <t>-5.89%</t>
        </is>
      </c>
      <c r="K149" s="16">
        <f>X148</f>
        <v/>
      </c>
      <c r="L149" s="13" t="inlineStr">
        <is>
          <t>2025-01-15</t>
        </is>
      </c>
      <c r="M149" s="13" t="inlineStr">
        <is>
          <t>2025-01-21</t>
        </is>
      </c>
      <c r="N149" s="13" t="inlineStr">
        <is>
          <t>2025-01-20</t>
        </is>
      </c>
      <c r="O149" s="9" t="n">
        <v>2188</v>
      </c>
      <c r="P149" s="17" t="n">
        <v>443.7261962890625</v>
      </c>
      <c r="Q149" s="17" t="n">
        <v>453.4794616699219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Q4 2024-25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-1.5%</t>
        </is>
      </c>
      <c r="J150" s="13" t="inlineStr">
        <is>
          <t>-2.25%</t>
        </is>
      </c>
      <c r="K150" s="16">
        <f>X149</f>
        <v/>
      </c>
      <c r="L150" s="13" t="inlineStr">
        <is>
          <t>2024-05-10</t>
        </is>
      </c>
      <c r="M150" s="13" t="inlineStr">
        <is>
          <t>2024-05-28</t>
        </is>
      </c>
      <c r="N150" s="13" t="inlineStr">
        <is>
          <t>2024-05-21</t>
        </is>
      </c>
      <c r="O150" s="9" t="n">
        <v>3750</v>
      </c>
      <c r="P150" s="17" t="n">
        <v>247.1096954345703</v>
      </c>
      <c r="Q150" s="17" t="n">
        <v>243.461166381836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Q4 2024-25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3.75%</t>
        </is>
      </c>
      <c r="J151" s="13" t="inlineStr">
        <is>
          <t>3.84%</t>
        </is>
      </c>
      <c r="K151" s="16">
        <f>X150</f>
        <v/>
      </c>
      <c r="L151" s="13" t="inlineStr">
        <is>
          <t>2025-01-08</t>
        </is>
      </c>
      <c r="M151" s="13" t="inlineStr">
        <is>
          <t>2025-01-21</t>
        </is>
      </c>
      <c r="N151" s="13" t="inlineStr">
        <is>
          <t>2025-01-20</t>
        </is>
      </c>
      <c r="O151" s="9" t="n">
        <v>100</v>
      </c>
      <c r="P151" s="17" t="n">
        <v>46298</v>
      </c>
      <c r="Q151" s="17" t="n">
        <v>48100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Q4 2024-25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-3.23%</t>
        </is>
      </c>
      <c r="J152" s="13" t="inlineStr">
        <is>
          <t>-4.67%</t>
        </is>
      </c>
      <c r="K152" s="16">
        <f>X151</f>
        <v/>
      </c>
      <c r="L152" s="13" t="inlineStr">
        <is>
          <t>2025-01-13</t>
        </is>
      </c>
      <c r="M152" s="13" t="inlineStr">
        <is>
          <t>2025-01-21</t>
        </is>
      </c>
      <c r="N152" s="13" t="inlineStr">
        <is>
          <t>2025-01-20</t>
        </is>
      </c>
      <c r="O152" s="9" t="n">
        <v>2806</v>
      </c>
      <c r="P152" s="17" t="n">
        <v>606.486083984375</v>
      </c>
      <c r="Q152" s="17" t="n">
        <v>587.5184326171875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Q4 2024-25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1.28%</t>
        </is>
      </c>
      <c r="J153" s="13" t="inlineStr">
        <is>
          <t>2.87%</t>
        </is>
      </c>
      <c r="K153" s="16">
        <f>X152</f>
        <v/>
      </c>
      <c r="L153" s="13" t="inlineStr">
        <is>
          <t>2025-01-14</t>
        </is>
      </c>
      <c r="M153" s="13" t="inlineStr">
        <is>
          <t>2025-01-24</t>
        </is>
      </c>
      <c r="N153" s="13" t="inlineStr">
        <is>
          <t>2025-01-20</t>
        </is>
      </c>
      <c r="O153" s="9" t="n">
        <v>750</v>
      </c>
      <c r="P153" s="17" t="n">
        <v>807.4500122070312</v>
      </c>
      <c r="Q153" s="17" t="n">
        <v>817.9000244140625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Q4 2024-25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2.93%</t>
        </is>
      </c>
      <c r="J154" s="13" t="inlineStr">
        <is>
          <t>0.88%</t>
        </is>
      </c>
      <c r="K154" s="16">
        <f>X153</f>
        <v/>
      </c>
      <c r="L154" s="13" t="inlineStr">
        <is>
          <t>2025-01-09</t>
        </is>
      </c>
      <c r="M154" s="13" t="inlineStr">
        <is>
          <t>2025-01-24</t>
        </is>
      </c>
      <c r="N154" s="13" t="inlineStr">
        <is>
          <t>2025-01-20</t>
        </is>
      </c>
      <c r="O154" s="9" t="n">
        <v>181</v>
      </c>
      <c r="P154" s="17" t="n">
        <v>6099.24560546875</v>
      </c>
      <c r="Q154" s="17" t="n">
        <v>6278.1953125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Q4 2024-25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-2.48%</t>
        </is>
      </c>
      <c r="J155" s="13" t="inlineStr">
        <is>
          <t>-2.0%</t>
        </is>
      </c>
      <c r="K155" s="16">
        <f>X154</f>
        <v/>
      </c>
      <c r="L155" s="13" t="inlineStr">
        <is>
          <t>2025-01-13</t>
        </is>
      </c>
      <c r="M155" s="13" t="inlineStr">
        <is>
          <t>2025-01-24</t>
        </is>
      </c>
      <c r="N155" s="13" t="inlineStr">
        <is>
          <t>2025-01-20</t>
        </is>
      </c>
      <c r="O155" s="9" t="n">
        <v>3585</v>
      </c>
      <c r="P155" s="17" t="n">
        <v>307.9119567871094</v>
      </c>
      <c r="Q155" s="17" t="n">
        <v>300.4693908691406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Q4 2024-25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6.09%</t>
        </is>
      </c>
      <c r="J156" s="13" t="inlineStr">
        <is>
          <t>7.4%</t>
        </is>
      </c>
      <c r="K156" s="16">
        <f>X155</f>
        <v/>
      </c>
      <c r="L156" s="13" t="inlineStr">
        <is>
          <t>2025-01-08</t>
        </is>
      </c>
      <c r="M156" s="13" t="inlineStr">
        <is>
          <t>2025-01-24</t>
        </is>
      </c>
      <c r="N156" s="13" t="inlineStr">
        <is>
          <t>2025-01-20</t>
        </is>
      </c>
      <c r="O156" s="9" t="n">
        <v>2346</v>
      </c>
      <c r="P156" s="17" t="n">
        <v>384.5946960449219</v>
      </c>
      <c r="Q156" s="17" t="n">
        <v>409.5499572753906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Q4 2024-25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-2.57%</t>
        </is>
      </c>
      <c r="J157" s="13" t="inlineStr">
        <is>
          <t>-12.77%</t>
        </is>
      </c>
      <c r="K157" s="16">
        <f>X156</f>
        <v/>
      </c>
      <c r="L157" s="13" t="inlineStr">
        <is>
          <t>2025-01-13</t>
        </is>
      </c>
      <c r="M157" s="13" t="inlineStr">
        <is>
          <t>2025-01-21</t>
        </is>
      </c>
      <c r="N157" s="13" t="inlineStr">
        <is>
          <t>2025-01-20</t>
        </is>
      </c>
      <c r="O157" s="9" t="n">
        <v>1631</v>
      </c>
      <c r="P157" s="17" t="n">
        <v>826.885498046875</v>
      </c>
      <c r="Q157" s="17" t="n">
        <v>805.5949096679688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Q4 2024-25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8.46%</t>
        </is>
      </c>
      <c r="J158" s="13" t="inlineStr">
        <is>
          <t>9.5%</t>
        </is>
      </c>
      <c r="K158" s="16">
        <f>X157</f>
        <v/>
      </c>
      <c r="L158" s="13" t="inlineStr">
        <is>
          <t>2025-01-15</t>
        </is>
      </c>
      <c r="M158" s="13" t="inlineStr">
        <is>
          <t>2025-01-24</t>
        </is>
      </c>
      <c r="N158" s="13" t="inlineStr">
        <is>
          <t>2025-01-20</t>
        </is>
      </c>
      <c r="O158" s="9" t="n">
        <v>529</v>
      </c>
      <c r="P158" s="17" t="n">
        <v>1514.369384765625</v>
      </c>
      <c r="Q158" s="17" t="n">
        <v>1654.244873046875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Q4 2024-25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-1.89%</t>
        </is>
      </c>
      <c r="J159" s="13" t="inlineStr">
        <is>
          <t>-1.16%</t>
        </is>
      </c>
      <c r="K159" s="16">
        <f>X158</f>
        <v/>
      </c>
      <c r="L159" s="13" t="inlineStr">
        <is>
          <t>2025-01-15</t>
        </is>
      </c>
      <c r="M159" s="13" t="inlineStr">
        <is>
          <t>2025-01-21</t>
        </is>
      </c>
      <c r="N159" s="13" t="inlineStr">
        <is>
          <t>2025-01-20</t>
        </is>
      </c>
      <c r="O159" s="9" t="n">
        <v>613</v>
      </c>
      <c r="P159" s="17" t="n">
        <v>1381.873046875</v>
      </c>
      <c r="Q159" s="17" t="n">
        <v>1355.717163085938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Q4 2024-25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-3.83%</t>
        </is>
      </c>
      <c r="J160" s="13" t="inlineStr">
        <is>
          <t>-3.7%</t>
        </is>
      </c>
      <c r="K160" s="16">
        <f>X159</f>
        <v/>
      </c>
      <c r="L160" s="13" t="inlineStr">
        <is>
          <t>2025-01-09</t>
        </is>
      </c>
      <c r="M160" s="13" t="inlineStr">
        <is>
          <t>2025-01-21</t>
        </is>
      </c>
      <c r="N160" s="13" t="inlineStr">
        <is>
          <t>2025-01-20</t>
        </is>
      </c>
      <c r="O160" s="9" t="n">
        <v>360</v>
      </c>
      <c r="P160" s="17" t="n">
        <v>3638.123779296875</v>
      </c>
      <c r="Q160" s="17" t="n">
        <v>3498.955078125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Q4 2024-25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1.62%</t>
        </is>
      </c>
      <c r="J161" s="13" t="inlineStr">
        <is>
          <t>-1.09%</t>
        </is>
      </c>
      <c r="K161" s="16">
        <f>X160</f>
        <v/>
      </c>
      <c r="L161" s="13" t="inlineStr">
        <is>
          <t>2025-01-08</t>
        </is>
      </c>
      <c r="M161" s="13" t="inlineStr">
        <is>
          <t>2025-01-21</t>
        </is>
      </c>
      <c r="N161" s="13" t="inlineStr">
        <is>
          <t>2025-01-20</t>
        </is>
      </c>
      <c r="O161" s="9" t="n">
        <v>8957</v>
      </c>
      <c r="P161" s="17" t="n">
        <v>94.7400360107422</v>
      </c>
      <c r="Q161" s="17" t="n">
        <v>96.29825592041016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Q4 2024-25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-6.67%</t>
        </is>
      </c>
      <c r="J162" s="13" t="inlineStr">
        <is>
          <t>-6.01%</t>
        </is>
      </c>
      <c r="K162" s="16">
        <f>X161</f>
        <v/>
      </c>
      <c r="L162" s="13" t="inlineStr">
        <is>
          <t>2025-01-13</t>
        </is>
      </c>
      <c r="M162" s="13" t="inlineStr">
        <is>
          <t>2025-01-24</t>
        </is>
      </c>
      <c r="N162" s="13" t="inlineStr">
        <is>
          <t>2025-01-20</t>
        </is>
      </c>
      <c r="O162" s="9" t="n">
        <v>967</v>
      </c>
      <c r="P162" s="17" t="n">
        <v>859.0225830078125</v>
      </c>
      <c r="Q162" s="17" t="n">
        <v>805.29638671875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Q4 2024-25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-2.69%</t>
        </is>
      </c>
      <c r="J163" s="13" t="inlineStr">
        <is>
          <t>-6.22%</t>
        </is>
      </c>
      <c r="K163" s="16">
        <f>X162</f>
        <v/>
      </c>
      <c r="L163" s="13" t="inlineStr">
        <is>
          <t>2025-01-13</t>
        </is>
      </c>
      <c r="M163" s="13" t="inlineStr">
        <is>
          <t>2025-01-21</t>
        </is>
      </c>
      <c r="N163" s="13" t="inlineStr">
        <is>
          <t>2025-01-20</t>
        </is>
      </c>
      <c r="O163" s="9" t="n">
        <v>627</v>
      </c>
      <c r="P163" s="17" t="n">
        <v>1697.150024414062</v>
      </c>
      <c r="Q163" s="17" t="n">
        <v>1651.449951171875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Q4 2024-25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-1.69%</t>
        </is>
      </c>
      <c r="J164" s="13" t="inlineStr">
        <is>
          <t>-1.71%</t>
        </is>
      </c>
      <c r="K164" s="16">
        <f>X163</f>
        <v/>
      </c>
      <c r="L164" s="13" t="inlineStr">
        <is>
          <t>2025-01-15</t>
        </is>
      </c>
      <c r="M164" s="13" t="inlineStr">
        <is>
          <t>2025-01-21</t>
        </is>
      </c>
      <c r="N164" s="13" t="inlineStr">
        <is>
          <t>2025-01-20</t>
        </is>
      </c>
      <c r="O164" s="9" t="n">
        <v>112</v>
      </c>
      <c r="P164" s="17" t="n">
        <v>6492.34130859375</v>
      </c>
      <c r="Q164" s="17" t="n">
        <v>6384.6083984375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Q4 2024-25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5.85%</t>
        </is>
      </c>
      <c r="J165" s="13" t="inlineStr">
        <is>
          <t>6.38%</t>
        </is>
      </c>
      <c r="K165" s="16">
        <f>X164</f>
        <v/>
      </c>
      <c r="L165" s="13" t="inlineStr">
        <is>
          <t>2024-05-22</t>
        </is>
      </c>
      <c r="M165" s="13" t="inlineStr">
        <is>
          <t>2024-05-30</t>
        </is>
      </c>
      <c r="N165" s="13" t="inlineStr">
        <is>
          <t>2024-05-23</t>
        </is>
      </c>
      <c r="O165" s="9" t="n">
        <v>1800</v>
      </c>
      <c r="P165" s="17" t="n">
        <v>287.0195617675781</v>
      </c>
      <c r="Q165" s="17" t="n">
        <v>304.8471984863281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Q4 2024-25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2025-01-20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Q4 2024-25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-3.08%</t>
        </is>
      </c>
      <c r="J167" s="13" t="inlineStr">
        <is>
          <t>-7.79%</t>
        </is>
      </c>
      <c r="K167" s="16">
        <f>X166</f>
        <v/>
      </c>
      <c r="L167" s="13" t="inlineStr">
        <is>
          <t>2025-01-17</t>
        </is>
      </c>
      <c r="M167" s="13" t="inlineStr">
        <is>
          <t>2025-01-21</t>
        </is>
      </c>
      <c r="N167" s="13" t="inlineStr">
        <is>
          <t>2025-01-20</t>
        </is>
      </c>
      <c r="O167" s="9" t="n">
        <v>1017</v>
      </c>
      <c r="P167" s="17" t="n">
        <v>1173.726318359375</v>
      </c>
      <c r="Q167" s="17" t="n">
        <v>1138.645874023438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Q4 2024-25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11.99%</t>
        </is>
      </c>
      <c r="J168" s="13" t="inlineStr">
        <is>
          <t>8.21%</t>
        </is>
      </c>
      <c r="K168" s="16">
        <f>X167</f>
        <v/>
      </c>
      <c r="L168" s="13" t="inlineStr">
        <is>
          <t>2025-01-13</t>
        </is>
      </c>
      <c r="M168" s="13" t="inlineStr">
        <is>
          <t>2025-01-24</t>
        </is>
      </c>
      <c r="N168" s="13" t="inlineStr">
        <is>
          <t>2025-01-20</t>
        </is>
      </c>
      <c r="O168" s="9" t="n">
        <v>627</v>
      </c>
      <c r="P168" s="17" t="n">
        <v>1254.206420898438</v>
      </c>
      <c r="Q168" s="17" t="n">
        <v>1425.009765625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Q4 2024-25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5.26%</t>
        </is>
      </c>
      <c r="J169" s="13" t="inlineStr">
        <is>
          <t>4.24%</t>
        </is>
      </c>
      <c r="K169" s="16">
        <f>X168</f>
        <v/>
      </c>
      <c r="L169" s="13" t="inlineStr">
        <is>
          <t>2025-01-08</t>
        </is>
      </c>
      <c r="M169" s="13" t="inlineStr">
        <is>
          <t>2025-01-21</t>
        </is>
      </c>
      <c r="N169" s="13" t="inlineStr">
        <is>
          <t>2025-01-20</t>
        </is>
      </c>
      <c r="O169" s="9" t="n">
        <v>229</v>
      </c>
      <c r="P169" s="17" t="n">
        <v>2275.942138671875</v>
      </c>
      <c r="Q169" s="17" t="n">
        <v>2402.2783203125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Q4 2024-25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-0.91%</t>
        </is>
      </c>
      <c r="J170" s="13" t="inlineStr">
        <is>
          <t>-6.55%</t>
        </is>
      </c>
      <c r="K170" s="16">
        <f>X169</f>
        <v/>
      </c>
      <c r="L170" s="13" t="inlineStr">
        <is>
          <t>2025-01-15</t>
        </is>
      </c>
      <c r="M170" s="13" t="inlineStr">
        <is>
          <t>2025-01-21</t>
        </is>
      </c>
      <c r="N170" s="13" t="inlineStr">
        <is>
          <t>2025-01-20</t>
        </is>
      </c>
      <c r="O170" s="9" t="n">
        <v>2645</v>
      </c>
      <c r="P170" s="17" t="n">
        <v>157.6965637207031</v>
      </c>
      <c r="Q170" s="17" t="n">
        <v>156.2817077636719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Q4 2024-25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-4.54%</t>
        </is>
      </c>
      <c r="J171" s="13" t="inlineStr">
        <is>
          <t>-6.06%</t>
        </is>
      </c>
      <c r="K171" s="16">
        <f>X170</f>
        <v/>
      </c>
      <c r="L171" s="13" t="inlineStr">
        <is>
          <t>2026-02-04</t>
        </is>
      </c>
      <c r="M171" s="13" t="inlineStr">
        <is>
          <t>2026-02-09</t>
        </is>
      </c>
      <c r="N171" s="13" t="inlineStr">
        <is>
          <t>2026-02-06</t>
        </is>
      </c>
      <c r="O171" s="9" t="n">
        <v>2667</v>
      </c>
      <c r="P171" s="17" t="n">
        <v>373.3875122070313</v>
      </c>
      <c r="Q171" s="17" t="n">
        <v>356.4456481933594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Q4 2024-25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0.35%</t>
        </is>
      </c>
      <c r="J172" s="13" t="inlineStr">
        <is>
          <t>-0.88%</t>
        </is>
      </c>
      <c r="K172" s="16">
        <f>X171</f>
        <v/>
      </c>
      <c r="L172" s="13" t="inlineStr">
        <is>
          <t>2024-04-19</t>
        </is>
      </c>
      <c r="M172" s="13" t="inlineStr">
        <is>
          <t>2024-04-29</t>
        </is>
      </c>
      <c r="N172" s="13" t="inlineStr">
        <is>
          <t>2024-04-22</t>
        </is>
      </c>
      <c r="O172" s="9" t="n">
        <v>250</v>
      </c>
      <c r="P172" s="17" t="n">
        <v>1447.568481445312</v>
      </c>
      <c r="Q172" s="17" t="n">
        <v>1452.607666015625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Q4 2024-25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-0.43%</t>
        </is>
      </c>
      <c r="J173" s="13" t="inlineStr">
        <is>
          <t>-2.54%</t>
        </is>
      </c>
      <c r="K173" s="16">
        <f>X172</f>
        <v/>
      </c>
      <c r="L173" s="13" t="inlineStr">
        <is>
          <t>2025-01-08</t>
        </is>
      </c>
      <c r="M173" s="13" t="inlineStr">
        <is>
          <t>2025-01-21</t>
        </is>
      </c>
      <c r="N173" s="13" t="inlineStr">
        <is>
          <t>2025-01-20</t>
        </is>
      </c>
      <c r="O173" s="9" t="n">
        <v>4486</v>
      </c>
      <c r="P173" s="17" t="n">
        <v>415.7149658203125</v>
      </c>
      <c r="Q173" s="17" t="n">
        <v>413.9299011230469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Q4 2024-25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-0.77%</t>
        </is>
      </c>
      <c r="J174" s="13" t="inlineStr">
        <is>
          <t>-8.97%</t>
        </is>
      </c>
      <c r="K174" s="16">
        <f>X173</f>
        <v/>
      </c>
      <c r="L174" s="13" t="inlineStr">
        <is>
          <t>2025-01-16</t>
        </is>
      </c>
      <c r="M174" s="13" t="inlineStr">
        <is>
          <t>2025-01-21</t>
        </is>
      </c>
      <c r="N174" s="13" t="inlineStr">
        <is>
          <t>2025-01-20</t>
        </is>
      </c>
      <c r="O174" s="9" t="n">
        <v>21748</v>
      </c>
      <c r="P174" s="17" t="n">
        <v>49.03099060058594</v>
      </c>
      <c r="Q174" s="17" t="n">
        <v>48.6513671875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Q4 2024-25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-2.16%</t>
        </is>
      </c>
      <c r="J175" s="13" t="inlineStr">
        <is>
          <t>-6.28%</t>
        </is>
      </c>
      <c r="K175" s="16">
        <f>X174</f>
        <v/>
      </c>
      <c r="L175" s="13" t="inlineStr">
        <is>
          <t>2025-01-14</t>
        </is>
      </c>
      <c r="M175" s="13" t="inlineStr">
        <is>
          <t>2025-01-24</t>
        </is>
      </c>
      <c r="N175" s="13" t="inlineStr">
        <is>
          <t>2025-01-20</t>
        </is>
      </c>
      <c r="O175" s="9" t="n">
        <v>5915</v>
      </c>
      <c r="P175" s="17" t="n">
        <v>106.8310546875</v>
      </c>
      <c r="Q175" s="17" t="n">
        <v>104.5693969726562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Q4 2024-25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-3.68%</t>
        </is>
      </c>
      <c r="J176" s="13" t="inlineStr">
        <is>
          <t>-7.89%</t>
        </is>
      </c>
      <c r="K176" s="16">
        <f>X175</f>
        <v/>
      </c>
      <c r="L176" s="13" t="inlineStr">
        <is>
          <t>2025-01-08</t>
        </is>
      </c>
      <c r="M176" s="13" t="inlineStr">
        <is>
          <t>2025-01-21</t>
        </is>
      </c>
      <c r="N176" s="13" t="inlineStr">
        <is>
          <t>2025-01-20</t>
        </is>
      </c>
      <c r="O176" s="9" t="n">
        <v>1550</v>
      </c>
      <c r="P176" s="17" t="n">
        <v>763</v>
      </c>
      <c r="Q176" s="17" t="n">
        <v>735.95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Q4 2024-25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-1.86%</t>
        </is>
      </c>
      <c r="J177" s="13" t="inlineStr">
        <is>
          <t>-2.85%</t>
        </is>
      </c>
      <c r="K177" s="16">
        <f>X176</f>
        <v/>
      </c>
      <c r="L177" s="13" t="inlineStr">
        <is>
          <t>2023-07-24</t>
        </is>
      </c>
      <c r="M177" s="13" t="inlineStr">
        <is>
          <t>2023-07-26</t>
        </is>
      </c>
      <c r="N177" s="13" t="inlineStr">
        <is>
          <t>2023-07-25</t>
        </is>
      </c>
      <c r="O177" s="9" t="n">
        <v>375</v>
      </c>
      <c r="P177" s="17" t="n">
        <v>1310.468994140625</v>
      </c>
      <c r="Q177" s="17" t="n">
        <v>1286.09326171875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Q4 2024-25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-1.34%</t>
        </is>
      </c>
      <c r="J178" s="13" t="inlineStr">
        <is>
          <t>-1.81%</t>
        </is>
      </c>
      <c r="K178" s="16">
        <f>X177</f>
        <v/>
      </c>
      <c r="L178" s="13" t="inlineStr">
        <is>
          <t>2024-05-09</t>
        </is>
      </c>
      <c r="M178" s="13" t="inlineStr">
        <is>
          <t>2024-05-13</t>
        </is>
      </c>
      <c r="N178" s="13" t="inlineStr">
        <is>
          <t>2024-05-09</t>
        </is>
      </c>
      <c r="O178" s="9" t="n">
        <v>1500</v>
      </c>
      <c r="P178" s="17" t="n">
        <v>776.4129638671875</v>
      </c>
      <c r="Q178" s="17" t="n">
        <v>765.9951782226562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Q4 2024-25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-3.61%</t>
        </is>
      </c>
      <c r="J179" s="13" t="inlineStr">
        <is>
          <t>-6.67%</t>
        </is>
      </c>
      <c r="K179" s="16">
        <f>X178</f>
        <v/>
      </c>
      <c r="L179" s="13" t="inlineStr">
        <is>
          <t>2025-01-08</t>
        </is>
      </c>
      <c r="M179" s="13" t="inlineStr">
        <is>
          <t>2025-01-21</t>
        </is>
      </c>
      <c r="N179" s="13" t="inlineStr">
        <is>
          <t>2025-01-20</t>
        </is>
      </c>
      <c r="O179" s="9" t="n">
        <v>100</v>
      </c>
      <c r="P179" s="17" t="n">
        <v>25789.921875</v>
      </c>
      <c r="Q179" s="17" t="n">
        <v>24857.806640625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Q4 2024-25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3.88%</t>
        </is>
      </c>
      <c r="J180" s="13" t="inlineStr">
        <is>
          <t>1.91%</t>
        </is>
      </c>
      <c r="K180" s="16">
        <f>X179</f>
        <v/>
      </c>
      <c r="L180" s="13" t="inlineStr">
        <is>
          <t>2024-04-25</t>
        </is>
      </c>
      <c r="M180" s="13" t="inlineStr">
        <is>
          <t>2024-05-03</t>
        </is>
      </c>
      <c r="N180" s="13" t="inlineStr">
        <is>
          <t>2024-04-26</t>
        </is>
      </c>
      <c r="O180" s="9" t="n">
        <v>957</v>
      </c>
      <c r="P180" s="17" t="n">
        <v>482.1468811035156</v>
      </c>
      <c r="Q180" s="17" t="n">
        <v>500.8573608398438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Q4 2024-25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-5.92%</t>
        </is>
      </c>
      <c r="J181" s="13" t="inlineStr">
        <is>
          <t>-8.04%</t>
        </is>
      </c>
      <c r="K181" s="16">
        <f>X180</f>
        <v/>
      </c>
      <c r="L181" s="13" t="inlineStr">
        <is>
          <t>2025-01-08</t>
        </is>
      </c>
      <c r="M181" s="13" t="inlineStr">
        <is>
          <t>2025-01-21</t>
        </is>
      </c>
      <c r="N181" s="13" t="inlineStr">
        <is>
          <t>2025-01-20</t>
        </is>
      </c>
      <c r="O181" s="9" t="n">
        <v>273</v>
      </c>
      <c r="P181" s="17" t="n">
        <v>3665.147216796875</v>
      </c>
      <c r="Q181" s="17" t="n">
        <v>3448.002685546875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Q4 2024-25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-1.63%</t>
        </is>
      </c>
      <c r="J182" s="13" t="inlineStr">
        <is>
          <t>-4.02%</t>
        </is>
      </c>
      <c r="K182" s="16">
        <f>X181</f>
        <v/>
      </c>
      <c r="L182" s="13" t="inlineStr">
        <is>
          <t>2025-01-09</t>
        </is>
      </c>
      <c r="M182" s="13" t="inlineStr">
        <is>
          <t>2025-01-24</t>
        </is>
      </c>
      <c r="N182" s="13" t="inlineStr">
        <is>
          <t>2025-01-20</t>
        </is>
      </c>
      <c r="O182" s="9" t="n">
        <v>100</v>
      </c>
      <c r="P182" s="17" t="n">
        <v>9624.1494140625</v>
      </c>
      <c r="Q182" s="17" t="n">
        <v>9466.9375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Q4 2024-25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6.56%</t>
        </is>
      </c>
      <c r="J183" s="13" t="inlineStr">
        <is>
          <t>1.72%</t>
        </is>
      </c>
      <c r="K183" s="16">
        <f>X182</f>
        <v/>
      </c>
      <c r="L183" s="13" t="inlineStr">
        <is>
          <t>2025-01-13</t>
        </is>
      </c>
      <c r="M183" s="13" t="inlineStr">
        <is>
          <t>2025-01-24</t>
        </is>
      </c>
      <c r="N183" s="13" t="inlineStr">
        <is>
          <t>2025-01-20</t>
        </is>
      </c>
      <c r="O183" s="9" t="n">
        <v>1309</v>
      </c>
      <c r="P183" s="17" t="n">
        <v>518.4346923828125</v>
      </c>
      <c r="Q183" s="17" t="n">
        <v>554.8204956054688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Q4 2024-25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-3.7%</t>
        </is>
      </c>
      <c r="J184" s="13" t="inlineStr">
        <is>
          <t>-3.72%</t>
        </is>
      </c>
      <c r="K184" s="16">
        <f>X183</f>
        <v/>
      </c>
      <c r="L184" s="13" t="inlineStr">
        <is>
          <t>2025-01-15</t>
        </is>
      </c>
      <c r="M184" s="13" t="inlineStr">
        <is>
          <t>2025-01-24</t>
        </is>
      </c>
      <c r="N184" s="13" t="inlineStr">
        <is>
          <t>2025-01-20</t>
        </is>
      </c>
      <c r="O184" s="9" t="n">
        <v>383</v>
      </c>
      <c r="P184" s="17" t="n">
        <v>2567.78369140625</v>
      </c>
      <c r="Q184" s="17" t="n">
        <v>2476.110595703125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Q4 2024-25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7.26%</t>
        </is>
      </c>
      <c r="J185" s="13" t="inlineStr">
        <is>
          <t>6.7%</t>
        </is>
      </c>
      <c r="K185" s="16">
        <f>X184</f>
        <v/>
      </c>
      <c r="L185" s="13" t="inlineStr">
        <is>
          <t>2024-07-24</t>
        </is>
      </c>
      <c r="M185" s="13" t="inlineStr">
        <is>
          <t>2024-08-08</t>
        </is>
      </c>
      <c r="N185" s="13" t="inlineStr">
        <is>
          <t>2024-08-01</t>
        </is>
      </c>
      <c r="O185" s="9" t="n">
        <v>350</v>
      </c>
      <c r="P185" s="17" t="n">
        <v>1589.94482421875</v>
      </c>
      <c r="Q185" s="17" t="n">
        <v>1705.402465820312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Q4 2024-25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15.24%</t>
        </is>
      </c>
      <c r="J186" s="13" t="inlineStr">
        <is>
          <t>11.93%</t>
        </is>
      </c>
      <c r="K186" s="16">
        <f>X185</f>
        <v/>
      </c>
      <c r="L186" s="13" t="inlineStr">
        <is>
          <t>2025-01-09</t>
        </is>
      </c>
      <c r="M186" s="13" t="inlineStr">
        <is>
          <t>2025-01-21</t>
        </is>
      </c>
      <c r="N186" s="13" t="inlineStr">
        <is>
          <t>2025-01-20</t>
        </is>
      </c>
      <c r="O186" s="9" t="n">
        <v>289</v>
      </c>
      <c r="P186" s="17" t="n">
        <v>3898.72607421875</v>
      </c>
      <c r="Q186" s="17" t="n">
        <v>4599.53271484375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Q4 2024-25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-9.23%</t>
        </is>
      </c>
      <c r="J187" s="13" t="inlineStr">
        <is>
          <t>-15.88%</t>
        </is>
      </c>
      <c r="K187" s="16">
        <f>X186</f>
        <v/>
      </c>
      <c r="L187" s="13" t="inlineStr">
        <is>
          <t>2025-01-09</t>
        </is>
      </c>
      <c r="M187" s="13" t="inlineStr">
        <is>
          <t>2025-01-24</t>
        </is>
      </c>
      <c r="N187" s="13" t="inlineStr">
        <is>
          <t>2025-01-20</t>
        </is>
      </c>
      <c r="O187" s="9" t="n">
        <v>21097</v>
      </c>
      <c r="P187" s="17" t="n">
        <v>57.88000106811523</v>
      </c>
      <c r="Q187" s="17" t="n">
        <v>52.54000091552734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Q4 2024-25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-8.81%</t>
        </is>
      </c>
      <c r="J188" s="13" t="inlineStr">
        <is>
          <t>-5.9%</t>
        </is>
      </c>
      <c r="K188" s="16">
        <f>X187</f>
        <v/>
      </c>
      <c r="L188" s="13" t="inlineStr">
        <is>
          <t>2025-01-16</t>
        </is>
      </c>
      <c r="M188" s="13" t="inlineStr">
        <is>
          <t>2025-01-21</t>
        </is>
      </c>
      <c r="N188" s="13" t="inlineStr">
        <is>
          <t>2025-01-20</t>
        </is>
      </c>
      <c r="O188" s="9" t="n">
        <v>3379</v>
      </c>
      <c r="P188" s="17" t="n">
        <v>483</v>
      </c>
      <c r="Q188" s="17" t="n">
        <v>440.4500122070313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Q4 2024-25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6.81%</t>
        </is>
      </c>
      <c r="J189" s="13" t="inlineStr">
        <is>
          <t>6.96%</t>
        </is>
      </c>
      <c r="K189" s="16">
        <f>X188</f>
        <v/>
      </c>
      <c r="L189" s="13" t="inlineStr">
        <is>
          <t>2024-04-22</t>
        </is>
      </c>
      <c r="M189" s="13" t="inlineStr">
        <is>
          <t>2024-05-02</t>
        </is>
      </c>
      <c r="N189" s="13" t="inlineStr">
        <is>
          <t>2024-04-24</t>
        </is>
      </c>
      <c r="O189" s="9" t="n">
        <v>450</v>
      </c>
      <c r="P189" s="17" t="n">
        <v>1066.680297851562</v>
      </c>
      <c r="Q189" s="17" t="n">
        <v>1144.690673828125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Q4 2024-25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1.04%</t>
        </is>
      </c>
      <c r="J190" s="13" t="inlineStr">
        <is>
          <t>-6.46%</t>
        </is>
      </c>
      <c r="K190" s="16">
        <f>X189</f>
        <v/>
      </c>
      <c r="L190" s="13" t="inlineStr">
        <is>
          <t>2025-01-09</t>
        </is>
      </c>
      <c r="M190" s="13" t="inlineStr">
        <is>
          <t>2025-01-24</t>
        </is>
      </c>
      <c r="N190" s="13" t="inlineStr">
        <is>
          <t>2025-01-20</t>
        </is>
      </c>
      <c r="O190" s="9" t="n">
        <v>273</v>
      </c>
      <c r="P190" s="17" t="n">
        <v>6190.4033203125</v>
      </c>
      <c r="Q190" s="17" t="n">
        <v>6255.72998046875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Q4 2024-25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-1.88%</t>
        </is>
      </c>
      <c r="J191" s="13" t="inlineStr">
        <is>
          <t>-5.1%</t>
        </is>
      </c>
      <c r="K191" s="16">
        <f>X190</f>
        <v/>
      </c>
      <c r="L191" s="13" t="inlineStr">
        <is>
          <t>2025-01-16</t>
        </is>
      </c>
      <c r="M191" s="13" t="inlineStr">
        <is>
          <t>2025-01-21</t>
        </is>
      </c>
      <c r="N191" s="13" t="inlineStr">
        <is>
          <t>2025-01-20</t>
        </is>
      </c>
      <c r="O191" s="9" t="n">
        <v>1425</v>
      </c>
      <c r="P191" s="17" t="n">
        <v>775.35</v>
      </c>
      <c r="Q191" s="17" t="n">
        <v>760.8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Q4 2024-25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-6.9%</t>
        </is>
      </c>
      <c r="J192" s="13" t="inlineStr">
        <is>
          <t>-9.22%</t>
        </is>
      </c>
      <c r="K192" s="16">
        <f>X191</f>
        <v/>
      </c>
      <c r="L192" s="13" t="inlineStr">
        <is>
          <t>2025-01-13</t>
        </is>
      </c>
      <c r="M192" s="13" t="inlineStr">
        <is>
          <t>2025-01-24</t>
        </is>
      </c>
      <c r="N192" s="13" t="inlineStr">
        <is>
          <t>2025-01-20</t>
        </is>
      </c>
      <c r="O192" s="9" t="n">
        <v>2659</v>
      </c>
      <c r="P192" s="17" t="n">
        <v>359.0488586425781</v>
      </c>
      <c r="Q192" s="17" t="n">
        <v>335.8796691894531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Q4 2024-25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-1.11%</t>
        </is>
      </c>
      <c r="J193" s="13" t="inlineStr">
        <is>
          <t>-0.45%</t>
        </is>
      </c>
      <c r="K193" s="16">
        <f>X192</f>
        <v/>
      </c>
      <c r="L193" s="13" t="inlineStr">
        <is>
          <t>2024-05-17</t>
        </is>
      </c>
      <c r="M193" s="13" t="inlineStr">
        <is>
          <t>2024-06-05</t>
        </is>
      </c>
      <c r="N193" s="13" t="inlineStr">
        <is>
          <t>2024-05-29</t>
        </is>
      </c>
      <c r="O193" s="9" t="n">
        <v>5500</v>
      </c>
      <c r="P193" s="17" t="n">
        <v>158.8035736083984</v>
      </c>
      <c r="Q193" s="17" t="n">
        <v>157.0672607421875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Q4 2024-25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0.96%</t>
        </is>
      </c>
      <c r="J194" s="13" t="inlineStr">
        <is>
          <t>1.24%</t>
        </is>
      </c>
      <c r="K194" s="16">
        <f>X193</f>
        <v/>
      </c>
      <c r="L194" s="13" t="inlineStr">
        <is>
          <t>2024-04-05</t>
        </is>
      </c>
      <c r="M194" s="13" t="inlineStr">
        <is>
          <t>2024-04-15</t>
        </is>
      </c>
      <c r="N194" s="13" t="inlineStr">
        <is>
          <t>2024-04-12</t>
        </is>
      </c>
      <c r="O194" s="9" t="n">
        <v>175</v>
      </c>
      <c r="P194" s="17" t="n">
        <v>3646.654541015625</v>
      </c>
      <c r="Q194" s="17" t="n">
        <v>3681.86083984375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Q4 2024-25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-5.46%</t>
        </is>
      </c>
      <c r="J195" s="13" t="inlineStr">
        <is>
          <t>-6.62%</t>
        </is>
      </c>
      <c r="K195" s="16">
        <f>X194</f>
        <v/>
      </c>
      <c r="L195" s="13" t="inlineStr">
        <is>
          <t>2024-04-24</t>
        </is>
      </c>
      <c r="M195" s="13" t="inlineStr">
        <is>
          <t>2024-05-03</t>
        </is>
      </c>
      <c r="N195" s="13" t="inlineStr">
        <is>
          <t>2024-04-25</t>
        </is>
      </c>
      <c r="O195" s="9" t="n">
        <v>600</v>
      </c>
      <c r="P195" s="17" t="n">
        <v>1152.607055664062</v>
      </c>
      <c r="Q195" s="17" t="n">
        <v>1092.923583984375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Q4 2024-25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-1.77%</t>
        </is>
      </c>
      <c r="J196" s="13" t="inlineStr">
        <is>
          <t>-7.59%</t>
        </is>
      </c>
      <c r="K196" s="16">
        <f>X195</f>
        <v/>
      </c>
      <c r="L196" s="13" t="inlineStr">
        <is>
          <t>2025-01-14</t>
        </is>
      </c>
      <c r="M196" s="13" t="inlineStr">
        <is>
          <t>2025-01-21</t>
        </is>
      </c>
      <c r="N196" s="13" t="inlineStr">
        <is>
          <t>2025-01-20</t>
        </is>
      </c>
      <c r="O196" s="9" t="n">
        <v>371</v>
      </c>
      <c r="P196" s="17" t="n">
        <v>3373.386962890625</v>
      </c>
      <c r="Q196" s="17" t="n">
        <v>3314.556884765625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Q4 2024-25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8.08%</t>
        </is>
      </c>
      <c r="J197" s="13" t="inlineStr">
        <is>
          <t>7.86%</t>
        </is>
      </c>
      <c r="K197" s="16">
        <f>X196</f>
        <v/>
      </c>
      <c r="L197" s="13" t="inlineStr">
        <is>
          <t>2024-05-02</t>
        </is>
      </c>
      <c r="M197" s="13" t="inlineStr">
        <is>
          <t>2024-05-06</t>
        </is>
      </c>
      <c r="N197" s="13" t="inlineStr">
        <is>
          <t>2024-05-03</t>
        </is>
      </c>
      <c r="O197" s="9" t="n">
        <v>175</v>
      </c>
      <c r="P197" s="17" t="n">
        <v>3248.9814453125</v>
      </c>
      <c r="Q197" s="17" t="n">
        <v>3534.54150390625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Q4 2024-25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-12.5%</t>
        </is>
      </c>
      <c r="J198" s="13" t="inlineStr">
        <is>
          <t>-13.34%</t>
        </is>
      </c>
      <c r="K198" s="16">
        <f>X197</f>
        <v/>
      </c>
      <c r="L198" s="13" t="inlineStr">
        <is>
          <t>2008-10-27</t>
        </is>
      </c>
      <c r="M198" s="13" t="inlineStr">
        <is>
          <t>2008-11-06</t>
        </is>
      </c>
      <c r="N198" s="13" t="inlineStr">
        <is>
          <t>2008-10-31</t>
        </is>
      </c>
      <c r="O198" s="9" t="n">
        <v>3054</v>
      </c>
      <c r="P198" s="17" t="n">
        <v>28.02795219421387</v>
      </c>
      <c r="Q198" s="17" t="n">
        <v>24.91373443603516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Q4 2024-25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2.32%</t>
        </is>
      </c>
      <c r="J199" s="13" t="inlineStr">
        <is>
          <t>0.54%</t>
        </is>
      </c>
      <c r="K199" s="16">
        <f>X198</f>
        <v/>
      </c>
      <c r="L199" s="13" t="inlineStr">
        <is>
          <t>2025-01-17</t>
        </is>
      </c>
      <c r="M199" s="13" t="inlineStr">
        <is>
          <t>2025-01-24</t>
        </is>
      </c>
      <c r="N199" s="13" t="inlineStr">
        <is>
          <t>2025-01-20</t>
        </is>
      </c>
      <c r="O199" s="9" t="n">
        <v>205</v>
      </c>
      <c r="P199" s="17" t="n">
        <v>3116.689697265625</v>
      </c>
      <c r="Q199" s="17" t="n">
        <v>3188.891845703125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Q4 2024-25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4.63%</t>
        </is>
      </c>
      <c r="J200" s="13" t="inlineStr">
        <is>
          <t>3.25%</t>
        </is>
      </c>
      <c r="K200" s="16">
        <f>X199</f>
        <v/>
      </c>
      <c r="L200" s="13" t="inlineStr">
        <is>
          <t>2024-04-26</t>
        </is>
      </c>
      <c r="M200" s="13" t="inlineStr">
        <is>
          <t>2024-05-07</t>
        </is>
      </c>
      <c r="N200" s="13" t="inlineStr">
        <is>
          <t>2024-04-30</t>
        </is>
      </c>
      <c r="O200" s="9" t="n">
        <v>345</v>
      </c>
      <c r="P200" s="17" t="n">
        <v>4294.05419921875</v>
      </c>
      <c r="Q200" s="17" t="n">
        <v>4492.65478515625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Q4 2024-25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-2.55%</t>
        </is>
      </c>
      <c r="J201" s="13" t="inlineStr">
        <is>
          <t>-2.83%</t>
        </is>
      </c>
      <c r="K201" s="16">
        <f>X200</f>
        <v/>
      </c>
      <c r="L201" s="13" t="inlineStr">
        <is>
          <t>2025-01-14</t>
        </is>
      </c>
      <c r="M201" s="13" t="inlineStr">
        <is>
          <t>2025-01-21</t>
        </is>
      </c>
      <c r="N201" s="13" t="inlineStr">
        <is>
          <t>2025-01-20</t>
        </is>
      </c>
      <c r="O201" s="9" t="n">
        <v>237</v>
      </c>
      <c r="P201" s="17" t="n">
        <v>2274.485107421875</v>
      </c>
      <c r="Q201" s="17" t="n">
        <v>2218.017822265625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Q4 2024-25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2.45%</t>
        </is>
      </c>
      <c r="J202" s="13" t="inlineStr">
        <is>
          <t>1.47%</t>
        </is>
      </c>
      <c r="K202" s="16">
        <f>X201</f>
        <v/>
      </c>
      <c r="L202" s="13" t="inlineStr">
        <is>
          <t>2024-04-25</t>
        </is>
      </c>
      <c r="M202" s="13" t="inlineStr">
        <is>
          <t>2024-05-09</t>
        </is>
      </c>
      <c r="N202" s="13" t="inlineStr">
        <is>
          <t>2024-05-03</t>
        </is>
      </c>
      <c r="O202" s="9" t="n">
        <v>100</v>
      </c>
      <c r="P202" s="17" t="n">
        <v>9331.263671875</v>
      </c>
      <c r="Q202" s="17" t="n">
        <v>9566.0244140625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Q4 2024-25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-2.39%</t>
        </is>
      </c>
      <c r="J203" s="13" t="inlineStr">
        <is>
          <t>-3.94%</t>
        </is>
      </c>
      <c r="K203" s="16">
        <f>X202</f>
        <v/>
      </c>
      <c r="L203" s="13" t="inlineStr">
        <is>
          <t>2025-01-16</t>
        </is>
      </c>
      <c r="M203" s="13" t="inlineStr">
        <is>
          <t>2025-01-24</t>
        </is>
      </c>
      <c r="N203" s="13" t="inlineStr">
        <is>
          <t>2025-01-20</t>
        </is>
      </c>
      <c r="O203" s="9" t="n">
        <v>5868</v>
      </c>
      <c r="P203" s="17" t="n">
        <v>103.2788314819336</v>
      </c>
      <c r="Q203" s="17" t="n">
        <v>100.8079605102539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Q4 2024-25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-4.44%</t>
        </is>
      </c>
      <c r="J204" s="13" t="inlineStr">
        <is>
          <t>-4.24%</t>
        </is>
      </c>
      <c r="K204" s="16">
        <f>X203</f>
        <v/>
      </c>
      <c r="L204" s="13" t="inlineStr">
        <is>
          <t>2025-01-14</t>
        </is>
      </c>
      <c r="M204" s="13" t="inlineStr">
        <is>
          <t>2025-01-24</t>
        </is>
      </c>
      <c r="N204" s="13" t="inlineStr">
        <is>
          <t>2025-01-20</t>
        </is>
      </c>
      <c r="O204" s="9" t="n">
        <v>652</v>
      </c>
      <c r="P204" s="17" t="n">
        <v>1439.261352539062</v>
      </c>
      <c r="Q204" s="17" t="n">
        <v>1378.057861328125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Q4 2024-25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-14.32%</t>
        </is>
      </c>
      <c r="J205" s="13" t="inlineStr">
        <is>
          <t>-19.31%</t>
        </is>
      </c>
      <c r="K205" s="16">
        <f>X204</f>
        <v/>
      </c>
      <c r="L205" s="13" t="inlineStr">
        <is>
          <t>2025-01-09</t>
        </is>
      </c>
      <c r="M205" s="13" t="inlineStr">
        <is>
          <t>2025-01-24</t>
        </is>
      </c>
      <c r="N205" s="13" t="inlineStr">
        <is>
          <t>2025-01-20</t>
        </is>
      </c>
      <c r="O205" s="9" t="n">
        <v>852</v>
      </c>
      <c r="P205" s="17" t="n">
        <v>1061.480102539062</v>
      </c>
      <c r="Q205" s="17" t="n">
        <v>909.4702758789062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Q4 2024-25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-1.87%</t>
        </is>
      </c>
      <c r="J206" s="13" t="inlineStr">
        <is>
          <t>-1.18%</t>
        </is>
      </c>
      <c r="K206" s="16">
        <f>X205</f>
        <v/>
      </c>
      <c r="L206" s="13" t="inlineStr">
        <is>
          <t>2025-01-14</t>
        </is>
      </c>
      <c r="M206" s="13" t="inlineStr">
        <is>
          <t>2025-01-24</t>
        </is>
      </c>
      <c r="N206" s="13" t="inlineStr">
        <is>
          <t>2025-01-20</t>
        </is>
      </c>
      <c r="O206" s="9" t="n">
        <v>1659</v>
      </c>
      <c r="P206" s="17" t="n">
        <v>541.7503051757812</v>
      </c>
      <c r="Q206" s="17" t="n">
        <v>531.7887573242188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Q4 2024-25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3.39%</t>
        </is>
      </c>
      <c r="J207" s="13" t="inlineStr">
        <is>
          <t>2.54%</t>
        </is>
      </c>
      <c r="K207" s="16">
        <f>X206</f>
        <v/>
      </c>
      <c r="L207" s="13" t="inlineStr">
        <is>
          <t>2025-01-15</t>
        </is>
      </c>
      <c r="M207" s="13" t="inlineStr">
        <is>
          <t>2025-01-21</t>
        </is>
      </c>
      <c r="N207" s="13" t="inlineStr">
        <is>
          <t>2025-01-20</t>
        </is>
      </c>
      <c r="O207" s="9" t="n">
        <v>2215</v>
      </c>
      <c r="P207" s="17" t="n">
        <v>538.7706909179688</v>
      </c>
      <c r="Q207" s="17" t="n">
        <v>557.6748657226562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Q4 2024-25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-1.75%</t>
        </is>
      </c>
      <c r="J208" s="13" t="inlineStr">
        <is>
          <t>-3.02%</t>
        </is>
      </c>
      <c r="K208" s="16">
        <f>X207</f>
        <v/>
      </c>
      <c r="L208" s="13" t="inlineStr">
        <is>
          <t>2025-01-16</t>
        </is>
      </c>
      <c r="M208" s="13" t="inlineStr">
        <is>
          <t>2025-01-24</t>
        </is>
      </c>
      <c r="N208" s="13" t="inlineStr">
        <is>
          <t>2025-01-20</t>
        </is>
      </c>
      <c r="O208" s="9" t="n">
        <v>3738</v>
      </c>
      <c r="P208" s="17" t="n">
        <v>420.0987243652344</v>
      </c>
      <c r="Q208" s="17" t="n">
        <v>412.7678833007813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Q4 2024-25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1.82%</t>
        </is>
      </c>
      <c r="J209" s="13" t="inlineStr">
        <is>
          <t>-10.29%</t>
        </is>
      </c>
      <c r="K209" s="16">
        <f>X208</f>
        <v/>
      </c>
      <c r="L209" s="13" t="inlineStr">
        <is>
          <t>2025-01-13</t>
        </is>
      </c>
      <c r="M209" s="13" t="inlineStr">
        <is>
          <t>2025-01-21</t>
        </is>
      </c>
      <c r="N209" s="13" t="inlineStr">
        <is>
          <t>2025-01-20</t>
        </is>
      </c>
      <c r="O209" s="9" t="n">
        <v>9268</v>
      </c>
      <c r="P209" s="17" t="n">
        <v>104.120002746582</v>
      </c>
      <c r="Q209" s="17" t="n">
        <v>106.0199966430664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Q4 2024-25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10.37%</t>
        </is>
      </c>
      <c r="J210" s="13" t="inlineStr">
        <is>
          <t>8.75%</t>
        </is>
      </c>
      <c r="K210" s="16">
        <f>X209</f>
        <v/>
      </c>
      <c r="L210" s="13" t="inlineStr">
        <is>
          <t>2025-01-15</t>
        </is>
      </c>
      <c r="M210" s="13" t="inlineStr">
        <is>
          <t>2025-01-24</t>
        </is>
      </c>
      <c r="N210" s="13" t="inlineStr">
        <is>
          <t>2025-01-20</t>
        </is>
      </c>
      <c r="O210" s="9" t="n">
        <v>750</v>
      </c>
      <c r="P210" s="17" t="n">
        <v>1443.977905273438</v>
      </c>
      <c r="Q210" s="17" t="n">
        <v>1611.067504882812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Q4 2024-25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16.9%</t>
        </is>
      </c>
      <c r="J211" s="13" t="inlineStr">
        <is>
          <t>-3.71%</t>
        </is>
      </c>
      <c r="K211" s="16">
        <f>X210</f>
        <v/>
      </c>
      <c r="L211" s="13" t="inlineStr">
        <is>
          <t>2025-01-08</t>
        </is>
      </c>
      <c r="M211" s="13" t="inlineStr">
        <is>
          <t>2025-01-24</t>
        </is>
      </c>
      <c r="N211" s="13" t="inlineStr">
        <is>
          <t>2025-01-20</t>
        </is>
      </c>
      <c r="O211" s="9" t="n">
        <v>380</v>
      </c>
      <c r="P211" s="17" t="n">
        <v>2240.443115234375</v>
      </c>
      <c r="Q211" s="17" t="n">
        <v>2696.137451171875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Q4 2024-25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-3.42%</t>
        </is>
      </c>
      <c r="J212" s="13" t="inlineStr">
        <is>
          <t>-4.27%</t>
        </is>
      </c>
      <c r="K212" s="16">
        <f>X211</f>
        <v/>
      </c>
      <c r="L212" s="13" t="inlineStr">
        <is>
          <t>2024-04-10</t>
        </is>
      </c>
      <c r="M212" s="13" t="inlineStr">
        <is>
          <t>2024-04-25</t>
        </is>
      </c>
      <c r="N212" s="13" t="inlineStr">
        <is>
          <t>2024-04-19</t>
        </is>
      </c>
      <c r="O212" s="9" t="n">
        <v>1500</v>
      </c>
      <c r="P212" s="17" t="n">
        <v>223.7106628417969</v>
      </c>
      <c r="Q212" s="17" t="n">
        <v>216.0708465576172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Q4 2024-25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2.82%</t>
        </is>
      </c>
      <c r="J213" s="13" t="inlineStr">
        <is>
          <t>2.3%</t>
        </is>
      </c>
      <c r="K213" s="16">
        <f>X212</f>
        <v/>
      </c>
      <c r="L213" s="13" t="inlineStr">
        <is>
          <t>2025-01-08</t>
        </is>
      </c>
      <c r="M213" s="13" t="inlineStr">
        <is>
          <t>2025-01-24</t>
        </is>
      </c>
      <c r="N213" s="13" t="inlineStr">
        <is>
          <t>2025-01-20</t>
        </is>
      </c>
      <c r="O213" s="9" t="n">
        <v>44365</v>
      </c>
      <c r="P213" s="17" t="n">
        <v>18.23999977111816</v>
      </c>
      <c r="Q213" s="17" t="n">
        <v>18.77000045776367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Q4 2024-25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4.25%</t>
        </is>
      </c>
      <c r="J214" s="13" t="inlineStr">
        <is>
          <t>6.85%</t>
        </is>
      </c>
      <c r="K214" s="16">
        <f>X213</f>
        <v/>
      </c>
      <c r="L214" s="13" t="inlineStr">
        <is>
          <t>2025-01-14</t>
        </is>
      </c>
      <c r="M214" s="13" t="inlineStr">
        <is>
          <t>2025-01-24</t>
        </is>
      </c>
      <c r="N214" s="13" t="inlineStr">
        <is>
          <t>2025-01-20</t>
        </is>
      </c>
      <c r="O214" s="9" t="n">
        <v>896</v>
      </c>
      <c r="P214" s="17" t="n">
        <v>945.9046020507812</v>
      </c>
      <c r="Q214" s="17" t="n">
        <v>987.9349365234376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2024-25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Q3 2024-25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3.19%</t>
        </is>
      </c>
      <c r="J4" s="13" t="inlineStr">
        <is>
          <t>1.12%</t>
        </is>
      </c>
      <c r="K4" s="16" t="n">
        <v>42511150.11</v>
      </c>
      <c r="L4" s="13" t="inlineStr">
        <is>
          <t>2026-04-10</t>
        </is>
      </c>
      <c r="M4" s="13" t="inlineStr">
        <is>
          <t>2026-04-28</t>
        </is>
      </c>
      <c r="N4" s="13" t="inlineStr">
        <is>
          <t>2026-04-21</t>
        </is>
      </c>
      <c r="O4" s="9" t="n">
        <v>874</v>
      </c>
      <c r="P4" s="17" t="n">
        <v>1006.805541992188</v>
      </c>
      <c r="Q4" s="17" t="n">
        <v>1038.949951171875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Q3 2024-25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5.03%</t>
        </is>
      </c>
      <c r="J5" s="13" t="inlineStr">
        <is>
          <t>4.42%</t>
        </is>
      </c>
      <c r="K5" s="16">
        <f>X4</f>
        <v/>
      </c>
      <c r="L5" s="13" t="inlineStr">
        <is>
          <t>2026-03-20</t>
        </is>
      </c>
      <c r="M5" s="13" t="inlineStr">
        <is>
          <t>2026-04-09</t>
        </is>
      </c>
      <c r="N5" s="13" t="inlineStr">
        <is>
          <t>2026-04-02</t>
        </is>
      </c>
      <c r="O5" s="9" t="n">
        <v>137</v>
      </c>
      <c r="P5" s="17" t="n">
        <v>6271.3505859375</v>
      </c>
      <c r="Q5" s="17" t="n">
        <v>6587.0595703125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Q3 2024-25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3.9%</t>
        </is>
      </c>
      <c r="J6" s="13" t="inlineStr">
        <is>
          <t>2.58%</t>
        </is>
      </c>
      <c r="K6" s="16">
        <f>X5</f>
        <v/>
      </c>
      <c r="L6" s="13" t="inlineStr">
        <is>
          <t>2026-05-19</t>
        </is>
      </c>
      <c r="M6" s="13" t="inlineStr">
        <is>
          <t>2026-05-28</t>
        </is>
      </c>
      <c r="N6" s="13" t="inlineStr">
        <is>
          <t>2026-05-21</t>
        </is>
      </c>
      <c r="O6" s="9" t="n">
        <v>2537</v>
      </c>
      <c r="P6" s="17" t="n">
        <v>351.2000122070312</v>
      </c>
      <c r="Q6" s="17" t="n">
        <v>364.8999938964844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Q3 2024-25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-1.14%</t>
        </is>
      </c>
      <c r="J7" s="13" t="inlineStr">
        <is>
          <t>-1.86%</t>
        </is>
      </c>
      <c r="K7" s="16">
        <f>X6</f>
        <v/>
      </c>
      <c r="L7" s="13" t="inlineStr">
        <is>
          <t>2026-05-29</t>
        </is>
      </c>
      <c r="M7" s="13" t="inlineStr">
        <is>
          <t>2026-06-02</t>
        </is>
      </c>
      <c r="N7" s="13" t="inlineStr">
        <is>
          <t>2026-05-31</t>
        </is>
      </c>
      <c r="O7" s="9" t="n">
        <v>602</v>
      </c>
      <c r="P7" s="17" t="n">
        <v>1530.599975585938</v>
      </c>
      <c r="Q7" s="17" t="n">
        <v>1513.300048828125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Q3 2024-25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-5.43%</t>
        </is>
      </c>
      <c r="J8" s="13" t="inlineStr">
        <is>
          <t>-6.05%</t>
        </is>
      </c>
      <c r="K8" s="16">
        <f>X7</f>
        <v/>
      </c>
      <c r="L8" s="13" t="inlineStr">
        <is>
          <t>2024-05-02</t>
        </is>
      </c>
      <c r="M8" s="13" t="inlineStr">
        <is>
          <t>2024-05-06</t>
        </is>
      </c>
      <c r="N8" s="13" t="inlineStr">
        <is>
          <t>2024-05-03</t>
        </is>
      </c>
      <c r="O8" s="9" t="n">
        <v>300</v>
      </c>
      <c r="P8" s="17" t="n">
        <v>3035.54931640625</v>
      </c>
      <c r="Q8" s="17" t="n">
        <v>2870.81884765625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Q3 2024-25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-9.52%</t>
        </is>
      </c>
      <c r="J9" s="13" t="inlineStr">
        <is>
          <t>-10.95%</t>
        </is>
      </c>
      <c r="K9" s="16">
        <f>X8</f>
        <v/>
      </c>
      <c r="L9" s="13" t="inlineStr">
        <is>
          <t>2026-01-20</t>
        </is>
      </c>
      <c r="M9" s="13" t="inlineStr">
        <is>
          <t>2026-01-27</t>
        </is>
      </c>
      <c r="N9" s="13" t="inlineStr">
        <is>
          <t>2026-01-23</t>
        </is>
      </c>
      <c r="O9" s="9" t="n">
        <v>500</v>
      </c>
      <c r="P9" s="17" t="n">
        <v>883.2000122070312</v>
      </c>
      <c r="Q9" s="17" t="n">
        <v>799.0999755859375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Q3 2024-25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-5.87%</t>
        </is>
      </c>
      <c r="J10" s="13" t="inlineStr">
        <is>
          <t>-6.53%</t>
        </is>
      </c>
      <c r="K10" s="16">
        <f>X9</f>
        <v/>
      </c>
      <c r="L10" s="13" t="inlineStr">
        <is>
          <t>2024-04-23</t>
        </is>
      </c>
      <c r="M10" s="13" t="inlineStr">
        <is>
          <t>2024-05-09</t>
        </is>
      </c>
      <c r="N10" s="13" t="inlineStr">
        <is>
          <t>2024-05-02</t>
        </is>
      </c>
      <c r="O10" s="9" t="n">
        <v>625</v>
      </c>
      <c r="P10" s="17" t="n">
        <v>1304.579956054688</v>
      </c>
      <c r="Q10" s="17" t="n">
        <v>1228.057739257812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Q3 2024-25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5.0%</t>
        </is>
      </c>
      <c r="J11" s="13" t="inlineStr">
        <is>
          <t>4.84%</t>
        </is>
      </c>
      <c r="K11" s="16">
        <f>X10</f>
        <v/>
      </c>
      <c r="L11" s="13" t="inlineStr">
        <is>
          <t>2026-05-26</t>
        </is>
      </c>
      <c r="M11" s="13" t="inlineStr">
        <is>
          <t>2026-06-01</t>
        </is>
      </c>
      <c r="N11" s="13" t="inlineStr">
        <is>
          <t>2026-05-29</t>
        </is>
      </c>
      <c r="O11" s="9" t="n">
        <v>4785</v>
      </c>
      <c r="P11" s="17" t="n">
        <v>232.3000030517578</v>
      </c>
      <c r="Q11" s="17" t="n">
        <v>244.5299987792969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Q3 2024-25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-2.51%</t>
        </is>
      </c>
      <c r="J12" s="13" t="inlineStr">
        <is>
          <t>-2.82%</t>
        </is>
      </c>
      <c r="K12" s="16">
        <f>X11</f>
        <v/>
      </c>
      <c r="L12" s="13" t="inlineStr">
        <is>
          <t>2026-05-27</t>
        </is>
      </c>
      <c r="M12" s="13" t="inlineStr">
        <is>
          <t>2026-06-01</t>
        </is>
      </c>
      <c r="N12" s="13" t="inlineStr">
        <is>
          <t>2026-05-28</t>
        </is>
      </c>
      <c r="O12" s="9" t="n">
        <v>171</v>
      </c>
      <c r="P12" s="17" t="n">
        <v>5451.5</v>
      </c>
      <c r="Q12" s="17" t="n">
        <v>5314.5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Q3 2024-25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Q3 2024-25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0.91%</t>
        </is>
      </c>
      <c r="J14" s="13" t="inlineStr">
        <is>
          <t>0.66%</t>
        </is>
      </c>
      <c r="K14" s="16">
        <f>X13</f>
        <v/>
      </c>
      <c r="L14" s="13" t="inlineStr">
        <is>
          <t>2026-05-20</t>
        </is>
      </c>
      <c r="M14" s="13" t="inlineStr">
        <is>
          <t>2026-06-04</t>
        </is>
      </c>
      <c r="N14" s="13" t="inlineStr">
        <is>
          <t>2026-05-29</t>
        </is>
      </c>
      <c r="O14" s="9" t="n">
        <v>2303</v>
      </c>
      <c r="P14" s="17" t="n">
        <v>424.2500305175781</v>
      </c>
      <c r="Q14" s="17" t="n">
        <v>428.1307983398438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Q3 2024-25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14.53%</t>
        </is>
      </c>
      <c r="J15" s="13" t="inlineStr">
        <is>
          <t>9.62%</t>
        </is>
      </c>
      <c r="K15" s="16">
        <f>X14</f>
        <v/>
      </c>
      <c r="L15" s="13" t="inlineStr">
        <is>
          <t>2026-04-13</t>
        </is>
      </c>
      <c r="M15" s="13" t="inlineStr">
        <is>
          <t>2026-04-23</t>
        </is>
      </c>
      <c r="N15" s="13" t="inlineStr">
        <is>
          <t>2026-04-16</t>
        </is>
      </c>
      <c r="O15" s="9" t="n">
        <v>3428</v>
      </c>
      <c r="P15" s="17" t="n">
        <v>279.5953063964844</v>
      </c>
      <c r="Q15" s="17" t="n">
        <v>320.2196655273437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Q3 2024-25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1.39%</t>
        </is>
      </c>
      <c r="J16" s="13" t="inlineStr">
        <is>
          <t>0.39%</t>
        </is>
      </c>
      <c r="K16" s="16">
        <f>X15</f>
        <v/>
      </c>
      <c r="L16" s="13" t="inlineStr">
        <is>
          <t>2025-10-27</t>
        </is>
      </c>
      <c r="M16" s="13" t="inlineStr">
        <is>
          <t>2025-10-31</t>
        </is>
      </c>
      <c r="N16" s="13" t="inlineStr">
        <is>
          <t>2025-10-29</t>
        </is>
      </c>
      <c r="O16" s="9" t="n">
        <v>528</v>
      </c>
      <c r="P16" s="17" t="n">
        <v>1767</v>
      </c>
      <c r="Q16" s="17" t="n">
        <v>1791.5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Q3 2024-25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3.39%</t>
        </is>
      </c>
      <c r="J17" s="13" t="inlineStr">
        <is>
          <t>0.76%</t>
        </is>
      </c>
      <c r="K17" s="16">
        <f>X16</f>
        <v/>
      </c>
      <c r="L17" s="13" t="inlineStr">
        <is>
          <t>2024-05-30</t>
        </is>
      </c>
      <c r="M17" s="13" t="inlineStr">
        <is>
          <t>2024-06-06</t>
        </is>
      </c>
      <c r="N17" s="13" t="inlineStr">
        <is>
          <t>2024-05-31</t>
        </is>
      </c>
      <c r="O17" s="9" t="n">
        <v>125</v>
      </c>
      <c r="P17" s="17" t="n">
        <v>5734.505859375</v>
      </c>
      <c r="Q17" s="17" t="n">
        <v>5928.97216796875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Q3 2024-25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-4.79%</t>
        </is>
      </c>
      <c r="J18" s="13" t="inlineStr">
        <is>
          <t>-9.27%</t>
        </is>
      </c>
      <c r="K18" s="16">
        <f>X17</f>
        <v/>
      </c>
      <c r="L18" s="13" t="inlineStr">
        <is>
          <t>2024-10-18</t>
        </is>
      </c>
      <c r="M18" s="13" t="inlineStr">
        <is>
          <t>2024-10-22</t>
        </is>
      </c>
      <c r="N18" s="13" t="inlineStr">
        <is>
          <t>2024-10-21</t>
        </is>
      </c>
      <c r="O18" s="9" t="n">
        <v>5000</v>
      </c>
      <c r="P18" s="17" t="n">
        <v>106.1608963012695</v>
      </c>
      <c r="Q18" s="17" t="n">
        <v>101.0734710693359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Q3 2024-25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1.72%</t>
        </is>
      </c>
      <c r="J19" s="13" t="inlineStr">
        <is>
          <t>1.88%</t>
        </is>
      </c>
      <c r="K19" s="16">
        <f>X18</f>
        <v/>
      </c>
      <c r="L19" s="13" t="inlineStr">
        <is>
          <t>2024-05-03</t>
        </is>
      </c>
      <c r="M19" s="13" t="inlineStr">
        <is>
          <t>2024-05-13</t>
        </is>
      </c>
      <c r="N19" s="13" t="inlineStr">
        <is>
          <t>2024-05-09</t>
        </is>
      </c>
      <c r="O19" s="9" t="n">
        <v>200</v>
      </c>
      <c r="P19" s="17" t="n">
        <v>2792.13427734375</v>
      </c>
      <c r="Q19" s="17" t="n">
        <v>2841.106201171875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Q3 2024-25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-5.39%</t>
        </is>
      </c>
      <c r="J20" s="13" t="inlineStr">
        <is>
          <t>-3.93%</t>
        </is>
      </c>
      <c r="K20" s="16">
        <f>X19</f>
        <v/>
      </c>
      <c r="L20" s="13" t="inlineStr">
        <is>
          <t>2024-10-09</t>
        </is>
      </c>
      <c r="M20" s="13" t="inlineStr">
        <is>
          <t>2024-10-25</t>
        </is>
      </c>
      <c r="N20" s="13" t="inlineStr">
        <is>
          <t>2024-10-21</t>
        </is>
      </c>
      <c r="O20" s="9" t="n">
        <v>679</v>
      </c>
      <c r="P20" s="17" t="n">
        <v>1894.978393554688</v>
      </c>
      <c r="Q20" s="17" t="n">
        <v>1792.893188476562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Q3 2024-25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2025-08-04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Q3 2024-25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9.47%</t>
        </is>
      </c>
      <c r="J22" s="13" t="inlineStr">
        <is>
          <t>1.27%</t>
        </is>
      </c>
      <c r="K22" s="16">
        <f>X21</f>
        <v/>
      </c>
      <c r="L22" s="13" t="inlineStr">
        <is>
          <t>2024-10-09</t>
        </is>
      </c>
      <c r="M22" s="13" t="inlineStr">
        <is>
          <t>2024-10-22</t>
        </is>
      </c>
      <c r="N22" s="13" t="inlineStr">
        <is>
          <t>2024-10-21</t>
        </is>
      </c>
      <c r="O22" s="9" t="n">
        <v>970</v>
      </c>
      <c r="P22" s="17" t="n">
        <v>637.7135620117188</v>
      </c>
      <c r="Q22" s="17" t="n">
        <v>704.4312744140625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Q3 2024-25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-2.19%</t>
        </is>
      </c>
      <c r="J23" s="13" t="inlineStr">
        <is>
          <t>-2.49%</t>
        </is>
      </c>
      <c r="K23" s="16">
        <f>X22</f>
        <v/>
      </c>
      <c r="L23" s="13" t="inlineStr">
        <is>
          <t>2024-10-15</t>
        </is>
      </c>
      <c r="M23" s="13" t="inlineStr">
        <is>
          <t>2024-10-22</t>
        </is>
      </c>
      <c r="N23" s="13" t="inlineStr">
        <is>
          <t>2024-10-21</t>
        </is>
      </c>
      <c r="O23" s="9" t="n">
        <v>634</v>
      </c>
      <c r="P23" s="17" t="n">
        <v>1474.51513671875</v>
      </c>
      <c r="Q23" s="17" t="n">
        <v>1442.186401367188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Q3 2024-25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7.36%</t>
        </is>
      </c>
      <c r="J24" s="13" t="inlineStr">
        <is>
          <t>6.03%</t>
        </is>
      </c>
      <c r="K24" s="16">
        <f>X23</f>
        <v/>
      </c>
      <c r="L24" s="13" t="inlineStr">
        <is>
          <t>2024-04-24</t>
        </is>
      </c>
      <c r="M24" s="13" t="inlineStr">
        <is>
          <t>2024-05-03</t>
        </is>
      </c>
      <c r="N24" s="13" t="inlineStr">
        <is>
          <t>2024-04-25</t>
        </is>
      </c>
      <c r="O24" s="9" t="n">
        <v>625</v>
      </c>
      <c r="P24" s="17" t="n">
        <v>1060.704833984375</v>
      </c>
      <c r="Q24" s="17" t="n">
        <v>1138.767456054688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Q3 2024-25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-2.33%</t>
        </is>
      </c>
      <c r="J25" s="13" t="inlineStr">
        <is>
          <t>-3.98%</t>
        </is>
      </c>
      <c r="K25" s="16">
        <f>X24</f>
        <v/>
      </c>
      <c r="L25" s="13" t="inlineStr">
        <is>
          <t>2024-04-10</t>
        </is>
      </c>
      <c r="M25" s="13" t="inlineStr">
        <is>
          <t>2024-04-22</t>
        </is>
      </c>
      <c r="N25" s="13" t="inlineStr">
        <is>
          <t>2024-04-18</t>
        </is>
      </c>
      <c r="O25" s="9" t="n">
        <v>125</v>
      </c>
      <c r="P25" s="17" t="n">
        <v>8591.2421875</v>
      </c>
      <c r="Q25" s="17" t="n">
        <v>8391.09375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Q3 2024-25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1.1%</t>
        </is>
      </c>
      <c r="J26" s="13" t="inlineStr">
        <is>
          <t>0.57%</t>
        </is>
      </c>
      <c r="K26" s="16">
        <f>X25</f>
        <v/>
      </c>
      <c r="L26" s="13" t="inlineStr">
        <is>
          <t>2024-04-26</t>
        </is>
      </c>
      <c r="M26" s="13" t="inlineStr">
        <is>
          <t>2024-04-30</t>
        </is>
      </c>
      <c r="N26" s="13" t="inlineStr">
        <is>
          <t>2024-04-27</t>
        </is>
      </c>
      <c r="O26" s="9" t="n">
        <v>500</v>
      </c>
      <c r="P26" s="17" t="n">
        <v>1594.205200195312</v>
      </c>
      <c r="Q26" s="17" t="n">
        <v>1611.820434570312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Q3 2024-25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-4.82%</t>
        </is>
      </c>
      <c r="J27" s="13" t="inlineStr">
        <is>
          <t>-8.6%</t>
        </is>
      </c>
      <c r="K27" s="16">
        <f>X26</f>
        <v/>
      </c>
      <c r="L27" s="13" t="inlineStr">
        <is>
          <t>2024-10-14</t>
        </is>
      </c>
      <c r="M27" s="13" t="inlineStr">
        <is>
          <t>2024-10-25</t>
        </is>
      </c>
      <c r="N27" s="13" t="inlineStr">
        <is>
          <t>2024-10-21</t>
        </is>
      </c>
      <c r="O27" s="9" t="n">
        <v>100</v>
      </c>
      <c r="P27" s="17" t="n">
        <v>10466.2431640625</v>
      </c>
      <c r="Q27" s="17" t="n">
        <v>9962.2666015625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Q3 2024-25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-5.43%</t>
        </is>
      </c>
      <c r="J28" s="13" t="inlineStr">
        <is>
          <t>-7.49%</t>
        </is>
      </c>
      <c r="K28" s="16">
        <f>X27</f>
        <v/>
      </c>
      <c r="L28" s="13" t="inlineStr">
        <is>
          <t>2024-04-24</t>
        </is>
      </c>
      <c r="M28" s="13" t="inlineStr">
        <is>
          <t>2024-05-03</t>
        </is>
      </c>
      <c r="N28" s="13" t="inlineStr">
        <is>
          <t>2024-04-25</t>
        </is>
      </c>
      <c r="O28" s="9" t="n">
        <v>125</v>
      </c>
      <c r="P28" s="17" t="n">
        <v>720.3536376953125</v>
      </c>
      <c r="Q28" s="17" t="n">
        <v>681.2701416015625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Q3 2024-25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-12.73%</t>
        </is>
      </c>
      <c r="J29" s="13" t="inlineStr">
        <is>
          <t>-13.77%</t>
        </is>
      </c>
      <c r="K29" s="16">
        <f>X28</f>
        <v/>
      </c>
      <c r="L29" s="13" t="inlineStr">
        <is>
          <t>2024-10-16</t>
        </is>
      </c>
      <c r="M29" s="13" t="inlineStr">
        <is>
          <t>2024-10-25</t>
        </is>
      </c>
      <c r="N29" s="13" t="inlineStr">
        <is>
          <t>2024-10-21</t>
        </is>
      </c>
      <c r="O29" s="9" t="n">
        <v>6099</v>
      </c>
      <c r="P29" s="17" t="n">
        <v>189.3539123535156</v>
      </c>
      <c r="Q29" s="17" t="n">
        <v>165.2548522949219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Q3 2024-25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2.06%</t>
        </is>
      </c>
      <c r="J30" s="13" t="inlineStr">
        <is>
          <t>1.7%</t>
        </is>
      </c>
      <c r="K30" s="16">
        <f>X29</f>
        <v/>
      </c>
      <c r="L30" s="13" t="inlineStr">
        <is>
          <t>2024-10-14</t>
        </is>
      </c>
      <c r="M30" s="13" t="inlineStr">
        <is>
          <t>2024-10-25</t>
        </is>
      </c>
      <c r="N30" s="13" t="inlineStr">
        <is>
          <t>2024-10-21</t>
        </is>
      </c>
      <c r="O30" s="9" t="n">
        <v>4138</v>
      </c>
      <c r="P30" s="17" t="n">
        <v>224.286148071289</v>
      </c>
      <c r="Q30" s="17" t="n">
        <v>228.9962310791016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Q3 2024-25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7.89%</t>
        </is>
      </c>
      <c r="J31" s="13" t="inlineStr">
        <is>
          <t>4.92%</t>
        </is>
      </c>
      <c r="K31" s="16">
        <f>X30</f>
        <v/>
      </c>
      <c r="L31" s="13" t="inlineStr">
        <is>
          <t>2024-10-16</t>
        </is>
      </c>
      <c r="M31" s="13" t="inlineStr">
        <is>
          <t>2024-10-25</t>
        </is>
      </c>
      <c r="N31" s="13" t="inlineStr">
        <is>
          <t>2024-10-21</t>
        </is>
      </c>
      <c r="O31" s="9" t="n">
        <v>7287</v>
      </c>
      <c r="P31" s="17" t="n">
        <v>90.23188018798828</v>
      </c>
      <c r="Q31" s="17" t="n">
        <v>97.95989990234376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Q3 2024-25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9.05%</t>
        </is>
      </c>
      <c r="J32" s="13" t="inlineStr">
        <is>
          <t>13.99%</t>
        </is>
      </c>
      <c r="K32" s="16">
        <f>X31</f>
        <v/>
      </c>
      <c r="L32" s="13" t="inlineStr">
        <is>
          <t>2024-10-09</t>
        </is>
      </c>
      <c r="M32" s="13" t="inlineStr">
        <is>
          <t>2024-10-22</t>
        </is>
      </c>
      <c r="N32" s="13" t="inlineStr">
        <is>
          <t>2024-10-21</t>
        </is>
      </c>
      <c r="O32" s="9" t="n">
        <v>793</v>
      </c>
      <c r="P32" s="17" t="n">
        <v>1050.058959960938</v>
      </c>
      <c r="Q32" s="17" t="n">
        <v>1154.53369140625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Q3 2024-25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-30.17%</t>
        </is>
      </c>
      <c r="J33" s="13" t="inlineStr">
        <is>
          <t>-28.54%</t>
        </is>
      </c>
      <c r="K33" s="16">
        <f>X32</f>
        <v/>
      </c>
      <c r="L33" s="13" t="inlineStr">
        <is>
          <t>2024-05-09</t>
        </is>
      </c>
      <c r="M33" s="13" t="inlineStr">
        <is>
          <t>2024-05-27</t>
        </is>
      </c>
      <c r="N33" s="13" t="inlineStr">
        <is>
          <t>2024-05-20</t>
        </is>
      </c>
      <c r="O33" s="9" t="n">
        <v>2438</v>
      </c>
      <c r="P33" s="17" t="n">
        <v>290.1260986328125</v>
      </c>
      <c r="Q33" s="17" t="n">
        <v>222.8783264160156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Q3 2024-25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6.32%</t>
        </is>
      </c>
      <c r="J34" s="13" t="inlineStr">
        <is>
          <t>0.69%</t>
        </is>
      </c>
      <c r="K34" s="16">
        <f>X33</f>
        <v/>
      </c>
      <c r="L34" s="13" t="inlineStr">
        <is>
          <t>2024-10-10</t>
        </is>
      </c>
      <c r="M34" s="13" t="inlineStr">
        <is>
          <t>2024-10-22</t>
        </is>
      </c>
      <c r="N34" s="13" t="inlineStr">
        <is>
          <t>2024-10-21</t>
        </is>
      </c>
      <c r="O34" s="9" t="n">
        <v>461</v>
      </c>
      <c r="P34" s="17" t="n">
        <v>1390.656982421875</v>
      </c>
      <c r="Q34" s="17" t="n">
        <v>1484.458740234375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Q3 2024-25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5.52%</t>
        </is>
      </c>
      <c r="J35" s="13" t="inlineStr">
        <is>
          <t>4.02%</t>
        </is>
      </c>
      <c r="K35" s="16">
        <f>X34</f>
        <v/>
      </c>
      <c r="L35" s="13" t="inlineStr">
        <is>
          <t>2024-05-03</t>
        </is>
      </c>
      <c r="M35" s="13" t="inlineStr">
        <is>
          <t>2024-05-22</t>
        </is>
      </c>
      <c r="N35" s="13" t="inlineStr">
        <is>
          <t>2024-05-14</t>
        </is>
      </c>
      <c r="O35" s="9" t="n">
        <v>950</v>
      </c>
      <c r="P35" s="17" t="n">
        <v>1259.7890625</v>
      </c>
      <c r="Q35" s="17" t="n">
        <v>1329.317138671875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Q3 2024-25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20.16%</t>
        </is>
      </c>
      <c r="J36" s="13" t="inlineStr">
        <is>
          <t>19.09%</t>
        </is>
      </c>
      <c r="K36" s="16">
        <f>X35</f>
        <v/>
      </c>
      <c r="L36" s="13" t="inlineStr">
        <is>
          <t>2024-10-15</t>
        </is>
      </c>
      <c r="M36" s="13" t="inlineStr">
        <is>
          <t>2024-10-25</t>
        </is>
      </c>
      <c r="N36" s="13" t="inlineStr">
        <is>
          <t>2024-10-21</t>
        </is>
      </c>
      <c r="O36" s="9" t="n">
        <v>2481</v>
      </c>
      <c r="P36" s="17" t="n">
        <v>215.6994934082031</v>
      </c>
      <c r="Q36" s="17" t="n">
        <v>270.1589965820312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Q3 2024-25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5.78%</t>
        </is>
      </c>
      <c r="J37" s="13" t="inlineStr">
        <is>
          <t>2.86%</t>
        </is>
      </c>
      <c r="K37" s="16">
        <f>X36</f>
        <v/>
      </c>
      <c r="L37" s="13" t="inlineStr">
        <is>
          <t>2024-10-10</t>
        </is>
      </c>
      <c r="M37" s="13" t="inlineStr">
        <is>
          <t>2024-10-22</t>
        </is>
      </c>
      <c r="N37" s="13" t="inlineStr">
        <is>
          <t>2024-10-21</t>
        </is>
      </c>
      <c r="O37" s="9" t="n">
        <v>2351</v>
      </c>
      <c r="P37" s="17" t="n">
        <v>324.976318359375</v>
      </c>
      <c r="Q37" s="17" t="n">
        <v>344.9257507324219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Q3 2024-25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4.93%</t>
        </is>
      </c>
      <c r="J38" s="13" t="inlineStr">
        <is>
          <t>4.4%</t>
        </is>
      </c>
      <c r="K38" s="16">
        <f>X37</f>
        <v/>
      </c>
      <c r="L38" s="13" t="inlineStr">
        <is>
          <t>2024-10-09</t>
        </is>
      </c>
      <c r="M38" s="13" t="inlineStr">
        <is>
          <t>2024-10-22</t>
        </is>
      </c>
      <c r="N38" s="13" t="inlineStr">
        <is>
          <t>2024-10-21</t>
        </is>
      </c>
      <c r="O38" s="9" t="n">
        <v>591</v>
      </c>
      <c r="P38" s="17" t="n">
        <v>1891.641723632812</v>
      </c>
      <c r="Q38" s="17" t="n">
        <v>1989.637939453125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Q3 2024-25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6.93%</t>
        </is>
      </c>
      <c r="J39" s="13" t="inlineStr">
        <is>
          <t>7.32%</t>
        </is>
      </c>
      <c r="K39" s="16">
        <f>X38</f>
        <v/>
      </c>
      <c r="L39" s="13" t="inlineStr">
        <is>
          <t>2024-10-09</t>
        </is>
      </c>
      <c r="M39" s="13" t="inlineStr">
        <is>
          <t>2024-10-25</t>
        </is>
      </c>
      <c r="N39" s="13" t="inlineStr">
        <is>
          <t>2024-10-21</t>
        </is>
      </c>
      <c r="O39" s="9" t="n">
        <v>100</v>
      </c>
      <c r="P39" s="17" t="n">
        <v>35450.7890625</v>
      </c>
      <c r="Q39" s="17" t="n">
        <v>38089.17578125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Q3 2024-25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1.76%</t>
        </is>
      </c>
      <c r="J40" s="13" t="inlineStr">
        <is>
          <t>2.89%</t>
        </is>
      </c>
      <c r="K40" s="16">
        <f>X39</f>
        <v/>
      </c>
      <c r="L40" s="13" t="inlineStr">
        <is>
          <t>2024-05-03</t>
        </is>
      </c>
      <c r="M40" s="13" t="inlineStr">
        <is>
          <t>2024-05-16</t>
        </is>
      </c>
      <c r="N40" s="13" t="inlineStr">
        <is>
          <t>2024-05-10</t>
        </is>
      </c>
      <c r="O40" s="9" t="n">
        <v>1800</v>
      </c>
      <c r="P40" s="17" t="n">
        <v>275.9171752929688</v>
      </c>
      <c r="Q40" s="17" t="n">
        <v>280.866943359375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Q3 2024-25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9.05%</t>
        </is>
      </c>
      <c r="J41" s="13" t="inlineStr">
        <is>
          <t>8.45%</t>
        </is>
      </c>
      <c r="K41" s="16">
        <f>X40</f>
        <v/>
      </c>
      <c r="L41" s="13" t="inlineStr">
        <is>
          <t>2024-05-03</t>
        </is>
      </c>
      <c r="M41" s="13" t="inlineStr">
        <is>
          <t>2024-05-07</t>
        </is>
      </c>
      <c r="N41" s="13" t="inlineStr">
        <is>
          <t>2024-05-04</t>
        </is>
      </c>
      <c r="O41" s="9" t="n">
        <v>200</v>
      </c>
      <c r="P41" s="17" t="n">
        <v>4623.0517578125</v>
      </c>
      <c r="Q41" s="17" t="n">
        <v>5041.3056640625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Q3 2024-25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-2.99%</t>
        </is>
      </c>
      <c r="J42" s="13" t="inlineStr">
        <is>
          <t>-6.05%</t>
        </is>
      </c>
      <c r="K42" s="16">
        <f>X41</f>
        <v/>
      </c>
      <c r="L42" s="13" t="inlineStr">
        <is>
          <t>2024-10-10</t>
        </is>
      </c>
      <c r="M42" s="13" t="inlineStr">
        <is>
          <t>2024-10-22</t>
        </is>
      </c>
      <c r="N42" s="13" t="inlineStr">
        <is>
          <t>2024-10-21</t>
        </is>
      </c>
      <c r="O42" s="9" t="n">
        <v>283</v>
      </c>
      <c r="P42" s="17" t="n">
        <v>1397.283569335938</v>
      </c>
      <c r="Q42" s="17" t="n">
        <v>1355.558715820312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Q3 2024-25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9.3%</t>
        </is>
      </c>
      <c r="J43" s="13" t="inlineStr">
        <is>
          <t>5.19%</t>
        </is>
      </c>
      <c r="K43" s="16">
        <f>X42</f>
        <v/>
      </c>
      <c r="L43" s="13" t="inlineStr">
        <is>
          <t>2024-10-17</t>
        </is>
      </c>
      <c r="M43" s="13" t="inlineStr">
        <is>
          <t>2024-10-22</t>
        </is>
      </c>
      <c r="N43" s="13" t="inlineStr">
        <is>
          <t>2024-10-21</t>
        </is>
      </c>
      <c r="O43" s="9" t="n">
        <v>1260</v>
      </c>
      <c r="P43" s="17" t="n">
        <v>852.7645874023438</v>
      </c>
      <c r="Q43" s="17" t="n">
        <v>940.2028198242188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Q3 2024-25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9.5%</t>
        </is>
      </c>
      <c r="J44" s="13" t="inlineStr">
        <is>
          <t>6.91%</t>
        </is>
      </c>
      <c r="K44" s="16">
        <f>X43</f>
        <v/>
      </c>
      <c r="L44" s="13" t="inlineStr">
        <is>
          <t>2024-10-10</t>
        </is>
      </c>
      <c r="M44" s="13" t="inlineStr">
        <is>
          <t>2024-10-25</t>
        </is>
      </c>
      <c r="N44" s="13" t="inlineStr">
        <is>
          <t>2024-10-21</t>
        </is>
      </c>
      <c r="O44" s="9" t="n">
        <v>8046</v>
      </c>
      <c r="P44" s="17" t="n">
        <v>88.07483673095703</v>
      </c>
      <c r="Q44" s="17" t="n">
        <v>97.31783294677734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Q3 2024-25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0.75%</t>
        </is>
      </c>
      <c r="J45" s="13" t="inlineStr">
        <is>
          <t>-2.15%</t>
        </is>
      </c>
      <c r="K45" s="16">
        <f>X44</f>
        <v/>
      </c>
      <c r="L45" s="13" t="inlineStr">
        <is>
          <t>2024-10-09</t>
        </is>
      </c>
      <c r="M45" s="13" t="inlineStr">
        <is>
          <t>2024-10-22</t>
        </is>
      </c>
      <c r="N45" s="13" t="inlineStr">
        <is>
          <t>2024-10-21</t>
        </is>
      </c>
      <c r="O45" s="9" t="n">
        <v>748</v>
      </c>
      <c r="P45" s="17" t="n">
        <v>1435.937133789062</v>
      </c>
      <c r="Q45" s="17" t="n">
        <v>1446.74951171875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Q3 2024-25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-10.71%</t>
        </is>
      </c>
      <c r="J46" s="13" t="inlineStr">
        <is>
          <t>-9.84%</t>
        </is>
      </c>
      <c r="K46" s="16">
        <f>X45</f>
        <v/>
      </c>
      <c r="L46" s="13" t="inlineStr">
        <is>
          <t>2024-10-15</t>
        </is>
      </c>
      <c r="M46" s="13" t="inlineStr">
        <is>
          <t>2024-10-25</t>
        </is>
      </c>
      <c r="N46" s="13" t="inlineStr">
        <is>
          <t>2024-10-21</t>
        </is>
      </c>
      <c r="O46" s="9" t="n">
        <v>1201</v>
      </c>
      <c r="P46" s="17" t="n">
        <v>829.216064453125</v>
      </c>
      <c r="Q46" s="17" t="n">
        <v>740.3892822265625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Q3 2024-25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3.36%</t>
        </is>
      </c>
      <c r="J47" s="13" t="inlineStr">
        <is>
          <t>4.42%</t>
        </is>
      </c>
      <c r="K47" s="16">
        <f>X46</f>
        <v/>
      </c>
      <c r="L47" s="13" t="inlineStr">
        <is>
          <t>2024-10-18</t>
        </is>
      </c>
      <c r="M47" s="13" t="inlineStr">
        <is>
          <t>2024-10-22</t>
        </is>
      </c>
      <c r="N47" s="13" t="inlineStr">
        <is>
          <t>2024-10-21</t>
        </is>
      </c>
      <c r="O47" s="9" t="n">
        <v>563</v>
      </c>
      <c r="P47" s="17" t="n">
        <v>1407.632080078125</v>
      </c>
      <c r="Q47" s="17" t="n">
        <v>1456.608032226562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Q3 2024-25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-1.03%</t>
        </is>
      </c>
      <c r="J48" s="13" t="inlineStr">
        <is>
          <t>-1.09%</t>
        </is>
      </c>
      <c r="K48" s="16">
        <f>X47</f>
        <v/>
      </c>
      <c r="L48" s="13" t="inlineStr">
        <is>
          <t>2024-05-08</t>
        </is>
      </c>
      <c r="M48" s="13" t="inlineStr">
        <is>
          <t>2024-05-17</t>
        </is>
      </c>
      <c r="N48" s="13" t="inlineStr">
        <is>
          <t>2024-05-11</t>
        </is>
      </c>
      <c r="O48" s="9" t="n">
        <v>650</v>
      </c>
      <c r="P48" s="17" t="n">
        <v>1359.866821289062</v>
      </c>
      <c r="Q48" s="17" t="n">
        <v>1345.967163085938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Q3 2024-25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3.98%</t>
        </is>
      </c>
      <c r="J49" s="13" t="inlineStr">
        <is>
          <t>3.02%</t>
        </is>
      </c>
      <c r="K49" s="16">
        <f>X48</f>
        <v/>
      </c>
      <c r="L49" s="13" t="inlineStr">
        <is>
          <t>2024-04-22</t>
        </is>
      </c>
      <c r="M49" s="13" t="inlineStr">
        <is>
          <t>2024-05-06</t>
        </is>
      </c>
      <c r="N49" s="13" t="inlineStr">
        <is>
          <t>2024-05-02</t>
        </is>
      </c>
      <c r="O49" s="9" t="n">
        <v>2100</v>
      </c>
      <c r="P49" s="17" t="n">
        <v>389.4483337402344</v>
      </c>
      <c r="Q49" s="17" t="n">
        <v>404.9664611816406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Q3 2024-25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10.48%</t>
        </is>
      </c>
      <c r="J50" s="13" t="inlineStr">
        <is>
          <t>16.49%</t>
        </is>
      </c>
      <c r="K50" s="16">
        <f>X49</f>
        <v/>
      </c>
      <c r="L50" s="13" t="inlineStr">
        <is>
          <t>2024-10-14</t>
        </is>
      </c>
      <c r="M50" s="13" t="inlineStr">
        <is>
          <t>2024-10-22</t>
        </is>
      </c>
      <c r="N50" s="13" t="inlineStr">
        <is>
          <t>2024-10-21</t>
        </is>
      </c>
      <c r="O50" s="9" t="n">
        <v>713</v>
      </c>
      <c r="P50" s="17" t="n">
        <v>1437.146728515625</v>
      </c>
      <c r="Q50" s="17" t="n">
        <v>1605.461303710938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Q3 2024-25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7.34%</t>
        </is>
      </c>
      <c r="J51" s="13" t="inlineStr">
        <is>
          <t>5.75%</t>
        </is>
      </c>
      <c r="K51" s="16">
        <f>X50</f>
        <v/>
      </c>
      <c r="L51" s="13" t="inlineStr">
        <is>
          <t>2024-10-18</t>
        </is>
      </c>
      <c r="M51" s="13" t="inlineStr">
        <is>
          <t>2024-10-25</t>
        </is>
      </c>
      <c r="N51" s="13" t="inlineStr">
        <is>
          <t>2024-10-21</t>
        </is>
      </c>
      <c r="O51" s="9" t="n">
        <v>572</v>
      </c>
      <c r="P51" s="17" t="n">
        <v>1425.564697265625</v>
      </c>
      <c r="Q51" s="17" t="n">
        <v>1530.241943359375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Q3 2024-25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-12.5%</t>
        </is>
      </c>
      <c r="J52" s="13" t="inlineStr">
        <is>
          <t>-12.49%</t>
        </is>
      </c>
      <c r="K52" s="16">
        <f>X51</f>
        <v/>
      </c>
      <c r="L52" s="13" t="inlineStr">
        <is>
          <t>2024-10-14</t>
        </is>
      </c>
      <c r="M52" s="13" t="inlineStr">
        <is>
          <t>2024-10-25</t>
        </is>
      </c>
      <c r="N52" s="13" t="inlineStr">
        <is>
          <t>2024-10-21</t>
        </is>
      </c>
      <c r="O52" s="9" t="n">
        <v>479</v>
      </c>
      <c r="P52" s="17" t="n">
        <v>3380.4853515625</v>
      </c>
      <c r="Q52" s="17" t="n">
        <v>2957.97900390625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Q3 2024-25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-4.67%</t>
        </is>
      </c>
      <c r="J53" s="13" t="inlineStr">
        <is>
          <t>-7.74%</t>
        </is>
      </c>
      <c r="K53" s="16">
        <f>X52</f>
        <v/>
      </c>
      <c r="L53" s="13" t="inlineStr">
        <is>
          <t>2024-10-16</t>
        </is>
      </c>
      <c r="M53" s="13" t="inlineStr">
        <is>
          <t>2024-10-22</t>
        </is>
      </c>
      <c r="N53" s="13" t="inlineStr">
        <is>
          <t>2024-10-21</t>
        </is>
      </c>
      <c r="O53" s="9" t="n">
        <v>1904</v>
      </c>
      <c r="P53" s="17" t="n">
        <v>862.8719482421875</v>
      </c>
      <c r="Q53" s="17" t="n">
        <v>822.5435791015625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Q3 2024-25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7.44%</t>
        </is>
      </c>
      <c r="J54" s="13" t="inlineStr">
        <is>
          <t>9.25%</t>
        </is>
      </c>
      <c r="K54" s="16">
        <f>X53</f>
        <v/>
      </c>
      <c r="L54" s="13" t="inlineStr">
        <is>
          <t>2024-10-15</t>
        </is>
      </c>
      <c r="M54" s="13" t="inlineStr">
        <is>
          <t>2024-10-22</t>
        </is>
      </c>
      <c r="N54" s="13" t="inlineStr">
        <is>
          <t>2024-10-21</t>
        </is>
      </c>
      <c r="O54" s="9" t="n">
        <v>3841</v>
      </c>
      <c r="P54" s="17" t="n">
        <v>389.8492736816406</v>
      </c>
      <c r="Q54" s="17" t="n">
        <v>421.1900024414063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Q3 2024-25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8.15%</t>
        </is>
      </c>
      <c r="J55" s="13" t="inlineStr">
        <is>
          <t>7.36%</t>
        </is>
      </c>
      <c r="K55" s="16">
        <f>X54</f>
        <v/>
      </c>
      <c r="L55" s="13" t="inlineStr">
        <is>
          <t>2024-10-15</t>
        </is>
      </c>
      <c r="M55" s="13" t="inlineStr">
        <is>
          <t>2024-10-25</t>
        </is>
      </c>
      <c r="N55" s="13" t="inlineStr">
        <is>
          <t>2024-10-21</t>
        </is>
      </c>
      <c r="O55" s="9" t="n">
        <v>185</v>
      </c>
      <c r="P55" s="17" t="n">
        <v>3275.0234375</v>
      </c>
      <c r="Q55" s="17" t="n">
        <v>3565.48681640625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Q3 2024-25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-1.45%</t>
        </is>
      </c>
      <c r="J56" s="13" t="inlineStr">
        <is>
          <t>-2.95%</t>
        </is>
      </c>
      <c r="K56" s="16">
        <f>X55</f>
        <v/>
      </c>
      <c r="L56" s="13" t="inlineStr">
        <is>
          <t>2024-10-14</t>
        </is>
      </c>
      <c r="M56" s="13" t="inlineStr">
        <is>
          <t>2024-10-22</t>
        </is>
      </c>
      <c r="N56" s="13" t="inlineStr">
        <is>
          <t>2024-10-21</t>
        </is>
      </c>
      <c r="O56" s="9" t="n">
        <v>2346</v>
      </c>
      <c r="P56" s="17" t="n">
        <v>548.7239990234375</v>
      </c>
      <c r="Q56" s="17" t="n">
        <v>540.79248046875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Q3 2024-25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5.16%</t>
        </is>
      </c>
      <c r="J57" s="13" t="inlineStr">
        <is>
          <t>0.27%</t>
        </is>
      </c>
      <c r="K57" s="16">
        <f>X56</f>
        <v/>
      </c>
      <c r="L57" s="13" t="inlineStr">
        <is>
          <t>2024-10-17</t>
        </is>
      </c>
      <c r="M57" s="13" t="inlineStr">
        <is>
          <t>2024-10-22</t>
        </is>
      </c>
      <c r="N57" s="13" t="inlineStr">
        <is>
          <t>2024-10-21</t>
        </is>
      </c>
      <c r="O57" s="9" t="n">
        <v>2135</v>
      </c>
      <c r="P57" s="17" t="n">
        <v>378.8500061035156</v>
      </c>
      <c r="Q57" s="17" t="n">
        <v>399.4500122070313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Q3 2024-25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-6.39%</t>
        </is>
      </c>
      <c r="J58" s="13" t="inlineStr">
        <is>
          <t>-11.06%</t>
        </is>
      </c>
      <c r="K58" s="16">
        <f>X57</f>
        <v/>
      </c>
      <c r="L58" s="13" t="inlineStr">
        <is>
          <t>2024-10-14</t>
        </is>
      </c>
      <c r="M58" s="13" t="inlineStr">
        <is>
          <t>2024-10-22</t>
        </is>
      </c>
      <c r="N58" s="13" t="inlineStr">
        <is>
          <t>2024-10-21</t>
        </is>
      </c>
      <c r="O58" s="9" t="n">
        <v>200</v>
      </c>
      <c r="P58" s="17" t="n">
        <v>6161.2724609375</v>
      </c>
      <c r="Q58" s="17" t="n">
        <v>5767.7939453125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Q3 2024-25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0.17%</t>
        </is>
      </c>
      <c r="J59" s="13" t="inlineStr">
        <is>
          <t>-3.21%</t>
        </is>
      </c>
      <c r="K59" s="16">
        <f>X58</f>
        <v/>
      </c>
      <c r="L59" s="13" t="inlineStr">
        <is>
          <t>2024-10-10</t>
        </is>
      </c>
      <c r="M59" s="13" t="inlineStr">
        <is>
          <t>2024-10-22</t>
        </is>
      </c>
      <c r="N59" s="13" t="inlineStr">
        <is>
          <t>2024-10-21</t>
        </is>
      </c>
      <c r="O59" s="9" t="n">
        <v>100</v>
      </c>
      <c r="P59" s="17" t="n">
        <v>14901.3681640625</v>
      </c>
      <c r="Q59" s="17" t="n">
        <v>14926.9072265625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Q3 2024-25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7.87%</t>
        </is>
      </c>
      <c r="J60" s="13" t="inlineStr">
        <is>
          <t>6.34%</t>
        </is>
      </c>
      <c r="K60" s="16">
        <f>X59</f>
        <v/>
      </c>
      <c r="L60" s="13" t="inlineStr">
        <is>
          <t>2024-10-16</t>
        </is>
      </c>
      <c r="M60" s="13" t="inlineStr">
        <is>
          <t>2024-10-22</t>
        </is>
      </c>
      <c r="N60" s="13" t="inlineStr">
        <is>
          <t>2024-10-21</t>
        </is>
      </c>
      <c r="O60" s="9" t="n">
        <v>1527</v>
      </c>
      <c r="P60" s="17" t="n">
        <v>799.1971435546875</v>
      </c>
      <c r="Q60" s="17" t="n">
        <v>867.4349975585938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Q3 2024-25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2.02%</t>
        </is>
      </c>
      <c r="J61" s="13" t="inlineStr">
        <is>
          <t>-0.9%</t>
        </is>
      </c>
      <c r="K61" s="16">
        <f>X60</f>
        <v/>
      </c>
      <c r="L61" s="13" t="inlineStr">
        <is>
          <t>2024-10-17</t>
        </is>
      </c>
      <c r="M61" s="13" t="inlineStr">
        <is>
          <t>2024-10-22</t>
        </is>
      </c>
      <c r="N61" s="13" t="inlineStr">
        <is>
          <t>2024-10-21</t>
        </is>
      </c>
      <c r="O61" s="9" t="n">
        <v>258</v>
      </c>
      <c r="P61" s="17" t="n">
        <v>4005.199951171875</v>
      </c>
      <c r="Q61" s="17" t="n">
        <v>4087.699951171875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Q3 2024-25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5.99%</t>
        </is>
      </c>
      <c r="J62" s="13" t="inlineStr">
        <is>
          <t>5.26%</t>
        </is>
      </c>
      <c r="K62" s="16">
        <f>X61</f>
        <v/>
      </c>
      <c r="L62" s="13" t="inlineStr">
        <is>
          <t>2024-04-26</t>
        </is>
      </c>
      <c r="M62" s="13" t="inlineStr">
        <is>
          <t>2024-05-09</t>
        </is>
      </c>
      <c r="N62" s="13" t="inlineStr">
        <is>
          <t>2024-05-07</t>
        </is>
      </c>
      <c r="O62" s="9" t="n">
        <v>125</v>
      </c>
      <c r="P62" s="17" t="n">
        <v>1153.8681640625</v>
      </c>
      <c r="Q62" s="17" t="n">
        <v>1227.44091796875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Q3 2024-25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2.9%</t>
        </is>
      </c>
      <c r="J63" s="13" t="inlineStr">
        <is>
          <t>0.6%</t>
        </is>
      </c>
      <c r="K63" s="16">
        <f>X62</f>
        <v/>
      </c>
      <c r="L63" s="13" t="inlineStr">
        <is>
          <t>2024-04-30</t>
        </is>
      </c>
      <c r="M63" s="13" t="inlineStr">
        <is>
          <t>2024-05-14</t>
        </is>
      </c>
      <c r="N63" s="13" t="inlineStr">
        <is>
          <t>2024-05-11</t>
        </is>
      </c>
      <c r="O63" s="9" t="n">
        <v>175</v>
      </c>
      <c r="P63" s="17" t="n">
        <v>4488.81494140625</v>
      </c>
      <c r="Q63" s="17" t="n">
        <v>4618.81982421875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Q3 2024-25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6.24%</t>
        </is>
      </c>
      <c r="J64" s="13" t="inlineStr">
        <is>
          <t>0.41%</t>
        </is>
      </c>
      <c r="K64" s="16">
        <f>X63</f>
        <v/>
      </c>
      <c r="L64" s="13" t="inlineStr">
        <is>
          <t>2023-05-17</t>
        </is>
      </c>
      <c r="M64" s="13" t="inlineStr">
        <is>
          <t>2023-05-25</t>
        </is>
      </c>
      <c r="N64" s="13" t="inlineStr">
        <is>
          <t>2023-05-19</t>
        </is>
      </c>
      <c r="O64" s="9" t="n">
        <v>3399</v>
      </c>
      <c r="P64" s="17" t="n">
        <v>63.34999847412109</v>
      </c>
      <c r="Q64" s="17" t="n">
        <v>67.30000305175781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Q3 2024-25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-2.6%</t>
        </is>
      </c>
      <c r="J65" s="13" t="inlineStr">
        <is>
          <t>-4.58%</t>
        </is>
      </c>
      <c r="K65" s="16">
        <f>X64</f>
        <v/>
      </c>
      <c r="L65" s="13" t="inlineStr">
        <is>
          <t>2024-10-16</t>
        </is>
      </c>
      <c r="M65" s="13" t="inlineStr">
        <is>
          <t>2024-10-22</t>
        </is>
      </c>
      <c r="N65" s="13" t="inlineStr">
        <is>
          <t>2024-10-21</t>
        </is>
      </c>
      <c r="O65" s="9" t="n">
        <v>2823</v>
      </c>
      <c r="P65" s="17" t="n">
        <v>193.2302551269531</v>
      </c>
      <c r="Q65" s="17" t="n">
        <v>188.2007141113281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Q3 2024-25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0.93%</t>
        </is>
      </c>
      <c r="J66" s="13" t="inlineStr">
        <is>
          <t>-1.48%</t>
        </is>
      </c>
      <c r="K66" s="16">
        <f>X65</f>
        <v/>
      </c>
      <c r="L66" s="13" t="inlineStr">
        <is>
          <t>2025-07-22</t>
        </is>
      </c>
      <c r="M66" s="13" t="inlineStr">
        <is>
          <t>2025-07-30</t>
        </is>
      </c>
      <c r="N66" s="13" t="inlineStr">
        <is>
          <t>2025-07-23</t>
        </is>
      </c>
      <c r="O66" s="9" t="n">
        <v>100</v>
      </c>
      <c r="P66" s="17" t="n">
        <v>17468.43359375</v>
      </c>
      <c r="Q66" s="17" t="n">
        <v>17631.076171875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Q3 2024-25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-2.49%</t>
        </is>
      </c>
      <c r="J67" s="13" t="inlineStr">
        <is>
          <t>-3.04%</t>
        </is>
      </c>
      <c r="K67" s="16">
        <f>X66</f>
        <v/>
      </c>
      <c r="L67" s="13" t="inlineStr">
        <is>
          <t>2024-10-14</t>
        </is>
      </c>
      <c r="M67" s="13" t="inlineStr">
        <is>
          <t>2024-10-25</t>
        </is>
      </c>
      <c r="N67" s="13" t="inlineStr">
        <is>
          <t>2024-10-21</t>
        </is>
      </c>
      <c r="O67" s="9" t="n">
        <v>1053</v>
      </c>
      <c r="P67" s="17" t="n">
        <v>596.361328125</v>
      </c>
      <c r="Q67" s="17" t="n">
        <v>581.4946899414062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Q3 2024-25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-7.18%</t>
        </is>
      </c>
      <c r="J68" s="13" t="inlineStr">
        <is>
          <t>-9.64%</t>
        </is>
      </c>
      <c r="K68" s="16">
        <f>X67</f>
        <v/>
      </c>
      <c r="L68" s="13" t="inlineStr">
        <is>
          <t>2024-10-17</t>
        </is>
      </c>
      <c r="M68" s="13" t="inlineStr">
        <is>
          <t>2024-10-25</t>
        </is>
      </c>
      <c r="N68" s="13" t="inlineStr">
        <is>
          <t>2024-10-21</t>
        </is>
      </c>
      <c r="O68" s="9" t="n">
        <v>5759</v>
      </c>
      <c r="P68" s="17" t="n">
        <v>206.2748260498047</v>
      </c>
      <c r="Q68" s="17" t="n">
        <v>191.4652404785156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Q3 2024-25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-4.12%</t>
        </is>
      </c>
      <c r="J69" s="13" t="inlineStr">
        <is>
          <t>-8.48%</t>
        </is>
      </c>
      <c r="K69" s="16">
        <f>X68</f>
        <v/>
      </c>
      <c r="L69" s="13" t="inlineStr">
        <is>
          <t>2024-10-17</t>
        </is>
      </c>
      <c r="M69" s="13" t="inlineStr">
        <is>
          <t>2024-10-25</t>
        </is>
      </c>
      <c r="N69" s="13" t="inlineStr">
        <is>
          <t>2024-10-21</t>
        </is>
      </c>
      <c r="O69" s="9" t="n">
        <v>456</v>
      </c>
      <c r="P69" s="17" t="n">
        <v>1731.054077148438</v>
      </c>
      <c r="Q69" s="17" t="n">
        <v>1659.72900390625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Q3 2024-25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8.97%</t>
        </is>
      </c>
      <c r="J70" s="13" t="inlineStr">
        <is>
          <t>10.2%</t>
        </is>
      </c>
      <c r="K70" s="16">
        <f>X69</f>
        <v/>
      </c>
      <c r="L70" s="13" t="inlineStr">
        <is>
          <t>2024-10-17</t>
        </is>
      </c>
      <c r="M70" s="13" t="inlineStr">
        <is>
          <t>2024-10-25</t>
        </is>
      </c>
      <c r="N70" s="13" t="inlineStr">
        <is>
          <t>2024-10-21</t>
        </is>
      </c>
      <c r="O70" s="9" t="n">
        <v>9623</v>
      </c>
      <c r="P70" s="17" t="n">
        <v>78.81999969482422</v>
      </c>
      <c r="Q70" s="17" t="n">
        <v>86.58999633789062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Q3 2024-25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-11.27%</t>
        </is>
      </c>
      <c r="J71" s="13" t="inlineStr">
        <is>
          <t>-14.45%</t>
        </is>
      </c>
      <c r="K71" s="16">
        <f>X70</f>
        <v/>
      </c>
      <c r="L71" s="13" t="inlineStr">
        <is>
          <t>2024-10-16</t>
        </is>
      </c>
      <c r="M71" s="13" t="inlineStr">
        <is>
          <t>2024-10-25</t>
        </is>
      </c>
      <c r="N71" s="13" t="inlineStr">
        <is>
          <t>2024-10-21</t>
        </is>
      </c>
      <c r="O71" s="9" t="n">
        <v>469</v>
      </c>
      <c r="P71" s="17" t="n">
        <v>2327.197021484375</v>
      </c>
      <c r="Q71" s="17" t="n">
        <v>2064.878173828125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Q3 2024-25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-0.99%</t>
        </is>
      </c>
      <c r="J72" s="13" t="inlineStr">
        <is>
          <t>-3.64%</t>
        </is>
      </c>
      <c r="K72" s="16">
        <f>X71</f>
        <v/>
      </c>
      <c r="L72" s="13" t="inlineStr">
        <is>
          <t>2024-10-14</t>
        </is>
      </c>
      <c r="M72" s="13" t="inlineStr">
        <is>
          <t>2024-10-22</t>
        </is>
      </c>
      <c r="N72" s="13" t="inlineStr">
        <is>
          <t>2024-10-21</t>
        </is>
      </c>
      <c r="O72" s="9" t="n">
        <v>932</v>
      </c>
      <c r="P72" s="17" t="n">
        <v>1274.080932617188</v>
      </c>
      <c r="Q72" s="17" t="n">
        <v>1261.462524414062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Q3 2024-25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3.54%</t>
        </is>
      </c>
      <c r="J73" s="13" t="inlineStr">
        <is>
          <t>5.86%</t>
        </is>
      </c>
      <c r="K73" s="16">
        <f>X72</f>
        <v/>
      </c>
      <c r="L73" s="13" t="inlineStr">
        <is>
          <t>2024-10-10</t>
        </is>
      </c>
      <c r="M73" s="13" t="inlineStr">
        <is>
          <t>2024-10-22</t>
        </is>
      </c>
      <c r="N73" s="13" t="inlineStr">
        <is>
          <t>2024-10-21</t>
        </is>
      </c>
      <c r="O73" s="9" t="n">
        <v>473</v>
      </c>
      <c r="P73" s="17" t="n">
        <v>2893.712646484375</v>
      </c>
      <c r="Q73" s="17" t="n">
        <v>2999.899169921875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Q3 2024-25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3.24%</t>
        </is>
      </c>
      <c r="J74" s="13" t="inlineStr">
        <is>
          <t>3.28%</t>
        </is>
      </c>
      <c r="K74" s="16">
        <f>X73</f>
        <v/>
      </c>
      <c r="L74" s="13" t="inlineStr">
        <is>
          <t>2024-05-17</t>
        </is>
      </c>
      <c r="M74" s="13" t="inlineStr">
        <is>
          <t>2024-05-30</t>
        </is>
      </c>
      <c r="N74" s="13" t="inlineStr">
        <is>
          <t>2024-05-23</t>
        </is>
      </c>
      <c r="O74" s="9" t="n">
        <v>250</v>
      </c>
      <c r="P74" s="17" t="n">
        <v>2327.754150390625</v>
      </c>
      <c r="Q74" s="17" t="n">
        <v>2405.62060546875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Q3 2024-25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-13.44%</t>
        </is>
      </c>
      <c r="J75" s="13" t="inlineStr">
        <is>
          <t>-19.55%</t>
        </is>
      </c>
      <c r="K75" s="16">
        <f>X74</f>
        <v/>
      </c>
      <c r="L75" s="13" t="inlineStr">
        <is>
          <t>2024-10-16</t>
        </is>
      </c>
      <c r="M75" s="13" t="inlineStr">
        <is>
          <t>2024-10-25</t>
        </is>
      </c>
      <c r="N75" s="13" t="inlineStr">
        <is>
          <t>2024-10-21</t>
        </is>
      </c>
      <c r="O75" s="9" t="n">
        <v>237</v>
      </c>
      <c r="P75" s="17" t="n">
        <v>1936.601806640625</v>
      </c>
      <c r="Q75" s="17" t="n">
        <v>1676.32861328125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Q3 2024-25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-8.96%</t>
        </is>
      </c>
      <c r="J76" s="13" t="inlineStr">
        <is>
          <t>-12.21%</t>
        </is>
      </c>
      <c r="K76" s="16">
        <f>X75</f>
        <v/>
      </c>
      <c r="L76" s="13" t="inlineStr">
        <is>
          <t>2024-10-15</t>
        </is>
      </c>
      <c r="M76" s="13" t="inlineStr">
        <is>
          <t>2024-10-25</t>
        </is>
      </c>
      <c r="N76" s="13" t="inlineStr">
        <is>
          <t>2024-10-21</t>
        </is>
      </c>
      <c r="O76" s="9" t="n">
        <v>218</v>
      </c>
      <c r="P76" s="17" t="n">
        <v>4489.93701171875</v>
      </c>
      <c r="Q76" s="17" t="n">
        <v>4087.79150390625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Q3 2024-25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12.64%</t>
        </is>
      </c>
      <c r="J77" s="13" t="inlineStr">
        <is>
          <t>8.09%</t>
        </is>
      </c>
      <c r="K77" s="16">
        <f>X76</f>
        <v/>
      </c>
      <c r="L77" s="13" t="inlineStr">
        <is>
          <t>2024-10-14</t>
        </is>
      </c>
      <c r="M77" s="13" t="inlineStr">
        <is>
          <t>2024-10-25</t>
        </is>
      </c>
      <c r="N77" s="13" t="inlineStr">
        <is>
          <t>2024-10-21</t>
        </is>
      </c>
      <c r="O77" s="9" t="n">
        <v>792</v>
      </c>
      <c r="P77" s="17" t="n">
        <v>1670.71044921875</v>
      </c>
      <c r="Q77" s="17" t="n">
        <v>1912.502319335937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Q3 2024-25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-8.04%</t>
        </is>
      </c>
      <c r="J78" s="13" t="inlineStr">
        <is>
          <t>-8.38%</t>
        </is>
      </c>
      <c r="K78" s="16">
        <f>X77</f>
        <v/>
      </c>
      <c r="L78" s="13" t="inlineStr">
        <is>
          <t>2024-04-22</t>
        </is>
      </c>
      <c r="M78" s="13" t="inlineStr">
        <is>
          <t>2024-05-03</t>
        </is>
      </c>
      <c r="N78" s="13" t="inlineStr">
        <is>
          <t>2024-04-26</t>
        </is>
      </c>
      <c r="O78" s="9" t="n">
        <v>350</v>
      </c>
      <c r="P78" s="17" t="n">
        <v>1338.384765625</v>
      </c>
      <c r="Q78" s="17" t="n">
        <v>1230.786254882812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Q3 2024-25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0.97%</t>
        </is>
      </c>
      <c r="J79" s="13" t="inlineStr">
        <is>
          <t>3.26%</t>
        </is>
      </c>
      <c r="K79" s="16">
        <f>X78</f>
        <v/>
      </c>
      <c r="L79" s="13" t="inlineStr">
        <is>
          <t>2024-10-15</t>
        </is>
      </c>
      <c r="M79" s="13" t="inlineStr">
        <is>
          <t>2024-10-22</t>
        </is>
      </c>
      <c r="N79" s="13" t="inlineStr">
        <is>
          <t>2024-10-21</t>
        </is>
      </c>
      <c r="O79" s="9" t="n">
        <v>392</v>
      </c>
      <c r="P79" s="17" t="n">
        <v>2166.492431640625</v>
      </c>
      <c r="Q79" s="17" t="n">
        <v>2187.745361328125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Q3 2024-25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-2.5%</t>
        </is>
      </c>
      <c r="J80" s="13" t="inlineStr">
        <is>
          <t>-2.74%</t>
        </is>
      </c>
      <c r="K80" s="16">
        <f>X79</f>
        <v/>
      </c>
      <c r="L80" s="13" t="inlineStr">
        <is>
          <t>2024-04-09</t>
        </is>
      </c>
      <c r="M80" s="13" t="inlineStr">
        <is>
          <t>2024-04-26</t>
        </is>
      </c>
      <c r="N80" s="13" t="inlineStr">
        <is>
          <t>2024-04-21</t>
        </is>
      </c>
      <c r="O80" s="9" t="n">
        <v>550</v>
      </c>
      <c r="P80" s="17" t="n">
        <v>741.3949584960938</v>
      </c>
      <c r="Q80" s="17" t="n">
        <v>722.8427124023438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Q3 2024-25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1.62%</t>
        </is>
      </c>
      <c r="J81" s="13" t="inlineStr">
        <is>
          <t>0.91%</t>
        </is>
      </c>
      <c r="K81" s="16">
        <f>X80</f>
        <v/>
      </c>
      <c r="L81" s="13" t="inlineStr">
        <is>
          <t>2023-04-24</t>
        </is>
      </c>
      <c r="M81" s="13" t="inlineStr">
        <is>
          <t>2023-05-03</t>
        </is>
      </c>
      <c r="N81" s="13" t="inlineStr">
        <is>
          <t>2023-04-26</t>
        </is>
      </c>
      <c r="O81" s="9" t="n">
        <v>1100</v>
      </c>
      <c r="P81" s="17" t="n">
        <v>531.7396240234375</v>
      </c>
      <c r="Q81" s="17" t="n">
        <v>540.475341796875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Q3 2024-25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12.14%</t>
        </is>
      </c>
      <c r="J82" s="13" t="inlineStr">
        <is>
          <t>10.85%</t>
        </is>
      </c>
      <c r="K82" s="16">
        <f>X81</f>
        <v/>
      </c>
      <c r="L82" s="13" t="inlineStr">
        <is>
          <t>2024-05-06</t>
        </is>
      </c>
      <c r="M82" s="13" t="inlineStr">
        <is>
          <t>2024-05-15</t>
        </is>
      </c>
      <c r="N82" s="13" t="inlineStr">
        <is>
          <t>2024-05-08</t>
        </is>
      </c>
      <c r="O82" s="9" t="n">
        <v>150</v>
      </c>
      <c r="P82" s="17" t="n">
        <v>4219.99658203125</v>
      </c>
      <c r="Q82" s="17" t="n">
        <v>4732.3662109375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Q3 2024-25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2.27%</t>
        </is>
      </c>
      <c r="J83" s="13" t="inlineStr">
        <is>
          <t>2.41%</t>
        </is>
      </c>
      <c r="K83" s="16">
        <f>X82</f>
        <v/>
      </c>
      <c r="L83" s="13" t="inlineStr">
        <is>
          <t>2024-05-21</t>
        </is>
      </c>
      <c r="M83" s="13" t="inlineStr">
        <is>
          <t>2024-05-27</t>
        </is>
      </c>
      <c r="N83" s="13" t="inlineStr">
        <is>
          <t>2024-05-24</t>
        </is>
      </c>
      <c r="O83" s="9" t="n">
        <v>1400</v>
      </c>
      <c r="P83" s="17" t="n">
        <v>665.6073608398438</v>
      </c>
      <c r="Q83" s="17" t="n">
        <v>681.0728759765625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Q3 2024-25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13.72%</t>
        </is>
      </c>
      <c r="J84" s="13" t="inlineStr">
        <is>
          <t>12.37%</t>
        </is>
      </c>
      <c r="K84" s="16">
        <f>X83</f>
        <v/>
      </c>
      <c r="L84" s="13" t="inlineStr">
        <is>
          <t>2024-10-18</t>
        </is>
      </c>
      <c r="M84" s="13" t="inlineStr">
        <is>
          <t>2024-10-25</t>
        </is>
      </c>
      <c r="N84" s="13" t="inlineStr">
        <is>
          <t>2024-10-21</t>
        </is>
      </c>
      <c r="O84" s="9" t="n">
        <v>2574</v>
      </c>
      <c r="P84" s="17" t="n">
        <v>359.1461486816406</v>
      </c>
      <c r="Q84" s="17" t="n">
        <v>416.2392578125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Q3 2024-25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-1.47%</t>
        </is>
      </c>
      <c r="J85" s="13" t="inlineStr">
        <is>
          <t>-1.36%</t>
        </is>
      </c>
      <c r="K85" s="16">
        <f>X84</f>
        <v/>
      </c>
      <c r="L85" s="13" t="inlineStr">
        <is>
          <t>2024-04-15</t>
        </is>
      </c>
      <c r="M85" s="13" t="inlineStr">
        <is>
          <t>2024-05-02</t>
        </is>
      </c>
      <c r="N85" s="13" t="inlineStr">
        <is>
          <t>2024-04-24</t>
        </is>
      </c>
      <c r="O85" s="9" t="n">
        <v>300</v>
      </c>
      <c r="P85" s="17" t="n">
        <v>2118.4091796875</v>
      </c>
      <c r="Q85" s="17" t="n">
        <v>2087.72216796875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Q3 2024-25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0.07%</t>
        </is>
      </c>
      <c r="J86" s="13" t="inlineStr">
        <is>
          <t>-1.64%</t>
        </is>
      </c>
      <c r="K86" s="16">
        <f>X85</f>
        <v/>
      </c>
      <c r="L86" s="13" t="inlineStr">
        <is>
          <t>2024-10-16</t>
        </is>
      </c>
      <c r="M86" s="13" t="inlineStr">
        <is>
          <t>2024-10-25</t>
        </is>
      </c>
      <c r="N86" s="13" t="inlineStr">
        <is>
          <t>2024-10-21</t>
        </is>
      </c>
      <c r="O86" s="9" t="n">
        <v>1866</v>
      </c>
      <c r="P86" s="17" t="n">
        <v>491.1330871582031</v>
      </c>
      <c r="Q86" s="17" t="n">
        <v>491.4700927734375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Q3 2024-25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-4.25%</t>
        </is>
      </c>
      <c r="J87" s="13" t="inlineStr">
        <is>
          <t>-7.43%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2024-10-21</t>
        </is>
      </c>
      <c r="O87" s="9" t="n">
        <v>495</v>
      </c>
      <c r="P87" s="17" t="n">
        <v>1878.654418945312</v>
      </c>
      <c r="Q87" s="17" t="n">
        <v>1802.145385742188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Q3 2024-25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7.43%</t>
        </is>
      </c>
      <c r="J88" s="13" t="inlineStr">
        <is>
          <t>4.97%</t>
        </is>
      </c>
      <c r="K88" s="16">
        <f>X87</f>
        <v/>
      </c>
      <c r="L88" s="13" t="inlineStr">
        <is>
          <t>2024-04-16</t>
        </is>
      </c>
      <c r="M88" s="13" t="inlineStr">
        <is>
          <t>2024-05-06</t>
        </is>
      </c>
      <c r="N88" s="13" t="inlineStr">
        <is>
          <t>2024-04-27</t>
        </is>
      </c>
      <c r="O88" s="9" t="n">
        <v>700</v>
      </c>
      <c r="P88" s="17" t="n">
        <v>1049.841796875</v>
      </c>
      <c r="Q88" s="17" t="n">
        <v>1127.813720703125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Q3 2024-25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2.48%</t>
        </is>
      </c>
      <c r="J89" s="13" t="inlineStr">
        <is>
          <t>0.46%</t>
        </is>
      </c>
      <c r="K89" s="16">
        <f>X88</f>
        <v/>
      </c>
      <c r="L89" s="13" t="inlineStr">
        <is>
          <t>2025-01-07</t>
        </is>
      </c>
      <c r="M89" s="13" t="inlineStr">
        <is>
          <t>2025-01-23</t>
        </is>
      </c>
      <c r="N89" s="13" t="inlineStr">
        <is>
          <t>2025-01-17</t>
        </is>
      </c>
      <c r="O89" s="9" t="n">
        <v>629</v>
      </c>
      <c r="P89" s="17" t="n">
        <v>1831.6</v>
      </c>
      <c r="Q89" s="17" t="n">
        <v>1878.25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Q3 2024-25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0.96%</t>
        </is>
      </c>
      <c r="J90" s="13" t="inlineStr">
        <is>
          <t>1.45%</t>
        </is>
      </c>
      <c r="K90" s="16">
        <f>X89</f>
        <v/>
      </c>
      <c r="L90" s="13" t="inlineStr">
        <is>
          <t>2025-10-03</t>
        </is>
      </c>
      <c r="M90" s="13" t="inlineStr">
        <is>
          <t>2025-10-21</t>
        </is>
      </c>
      <c r="N90" s="13" t="inlineStr">
        <is>
          <t>2025-10-14</t>
        </is>
      </c>
      <c r="O90" s="9" t="n">
        <v>1958</v>
      </c>
      <c r="P90" s="17" t="n">
        <v>593.2412109375</v>
      </c>
      <c r="Q90" s="17" t="n">
        <v>599.0211181640625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Q3 2024-25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15.73%</t>
        </is>
      </c>
      <c r="J91" s="13" t="inlineStr">
        <is>
          <t>11.83%</t>
        </is>
      </c>
      <c r="K91" s="16">
        <f>X90</f>
        <v/>
      </c>
      <c r="L91" s="13" t="inlineStr">
        <is>
          <t>2024-10-14</t>
        </is>
      </c>
      <c r="M91" s="13" t="inlineStr">
        <is>
          <t>2024-10-25</t>
        </is>
      </c>
      <c r="N91" s="13" t="inlineStr">
        <is>
          <t>2024-10-21</t>
        </is>
      </c>
      <c r="O91" s="9" t="n">
        <v>77700</v>
      </c>
      <c r="P91" s="17" t="n">
        <v>7.659999847412109</v>
      </c>
      <c r="Q91" s="17" t="n">
        <v>9.090000152587891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Q3 2024-25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6.59%</t>
        </is>
      </c>
      <c r="J92" s="13" t="inlineStr">
        <is>
          <t>1.92%</t>
        </is>
      </c>
      <c r="K92" s="16">
        <f>X91</f>
        <v/>
      </c>
      <c r="L92" s="13" t="inlineStr">
        <is>
          <t>2024-10-10</t>
        </is>
      </c>
      <c r="M92" s="13" t="inlineStr">
        <is>
          <t>2024-10-22</t>
        </is>
      </c>
      <c r="N92" s="13" t="inlineStr">
        <is>
          <t>2024-10-21</t>
        </is>
      </c>
      <c r="O92" s="9" t="n">
        <v>11798</v>
      </c>
      <c r="P92" s="17" t="n">
        <v>68.09711456298828</v>
      </c>
      <c r="Q92" s="17" t="n">
        <v>72.90139007568359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Q3 2024-25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-6.18%</t>
        </is>
      </c>
      <c r="J93" s="13" t="inlineStr">
        <is>
          <t>-7.99%</t>
        </is>
      </c>
      <c r="K93" s="16">
        <f>X92</f>
        <v/>
      </c>
      <c r="L93" s="13" t="inlineStr">
        <is>
          <t>2024-10-18</t>
        </is>
      </c>
      <c r="M93" s="13" t="inlineStr">
        <is>
          <t>2024-10-22</t>
        </is>
      </c>
      <c r="N93" s="13" t="inlineStr">
        <is>
          <t>2024-10-21</t>
        </is>
      </c>
      <c r="O93" s="9" t="n">
        <v>7610</v>
      </c>
      <c r="P93" s="17" t="n">
        <v>182.7647552490234</v>
      </c>
      <c r="Q93" s="17" t="n">
        <v>171.4711608886719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Q3 2024-25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-1.89%</t>
        </is>
      </c>
      <c r="J94" s="13" t="inlineStr">
        <is>
          <t>-4.85%</t>
        </is>
      </c>
      <c r="K94" s="16">
        <f>X93</f>
        <v/>
      </c>
      <c r="L94" s="13" t="inlineStr">
        <is>
          <t>2024-10-16</t>
        </is>
      </c>
      <c r="M94" s="13" t="inlineStr">
        <is>
          <t>2024-10-25</t>
        </is>
      </c>
      <c r="N94" s="13" t="inlineStr">
        <is>
          <t>2024-10-21</t>
        </is>
      </c>
      <c r="O94" s="9" t="n">
        <v>1334</v>
      </c>
      <c r="P94" s="17" t="n">
        <v>699.36962890625</v>
      </c>
      <c r="Q94" s="17" t="n">
        <v>686.1674194335938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Q3 2024-25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-3.85%</t>
        </is>
      </c>
      <c r="J95" s="13" t="inlineStr">
        <is>
          <t>-10.16%</t>
        </is>
      </c>
      <c r="K95" s="16">
        <f>X94</f>
        <v/>
      </c>
      <c r="L95" s="13" t="inlineStr">
        <is>
          <t>2024-10-16</t>
        </is>
      </c>
      <c r="M95" s="13" t="inlineStr">
        <is>
          <t>2024-10-25</t>
        </is>
      </c>
      <c r="N95" s="13" t="inlineStr">
        <is>
          <t>2024-10-21</t>
        </is>
      </c>
      <c r="O95" s="9" t="n">
        <v>1208</v>
      </c>
      <c r="P95" s="17" t="n">
        <v>494.9801635742188</v>
      </c>
      <c r="Q95" s="17" t="n">
        <v>475.9332580566406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Q3 2024-25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2.67%</t>
        </is>
      </c>
      <c r="J96" s="13" t="inlineStr">
        <is>
          <t>3.23%</t>
        </is>
      </c>
      <c r="K96" s="16">
        <f>X95</f>
        <v/>
      </c>
      <c r="L96" s="13" t="inlineStr">
        <is>
          <t>2023-05-09</t>
        </is>
      </c>
      <c r="M96" s="13" t="inlineStr">
        <is>
          <t>2023-05-19</t>
        </is>
      </c>
      <c r="N96" s="13" t="inlineStr">
        <is>
          <t>2023-05-18</t>
        </is>
      </c>
      <c r="O96" s="9" t="n">
        <v>196</v>
      </c>
      <c r="P96" s="17" t="n">
        <v>2204.125244140625</v>
      </c>
      <c r="Q96" s="17" t="n">
        <v>2262.975830078125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Q3 2024-25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0.61%</t>
        </is>
      </c>
      <c r="J97" s="13" t="inlineStr">
        <is>
          <t>-0.29%</t>
        </is>
      </c>
      <c r="K97" s="16">
        <f>X96</f>
        <v/>
      </c>
      <c r="L97" s="13" t="inlineStr">
        <is>
          <t>2024-04-24</t>
        </is>
      </c>
      <c r="M97" s="13" t="inlineStr">
        <is>
          <t>2024-05-03</t>
        </is>
      </c>
      <c r="N97" s="13" t="inlineStr">
        <is>
          <t>2024-04-25</t>
        </is>
      </c>
      <c r="O97" s="9" t="n">
        <v>500</v>
      </c>
      <c r="P97" s="17" t="n">
        <v>1456.10009765625</v>
      </c>
      <c r="Q97" s="17" t="n">
        <v>1465.0361328125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Q3 2024-25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5.54%</t>
        </is>
      </c>
      <c r="J98" s="13" t="inlineStr">
        <is>
          <t>3.28%</t>
        </is>
      </c>
      <c r="K98" s="16">
        <f>X97</f>
        <v/>
      </c>
      <c r="L98" s="13" t="inlineStr">
        <is>
          <t>2024-10-16</t>
        </is>
      </c>
      <c r="M98" s="13" t="inlineStr">
        <is>
          <t>2024-10-22</t>
        </is>
      </c>
      <c r="N98" s="13" t="inlineStr">
        <is>
          <t>2024-10-21</t>
        </is>
      </c>
      <c r="O98" s="9" t="n">
        <v>2545</v>
      </c>
      <c r="P98" s="17" t="n">
        <v>366.75</v>
      </c>
      <c r="Q98" s="17" t="n">
        <v>388.25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Q3 2024-25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4.91%</t>
        </is>
      </c>
      <c r="J99" s="13" t="inlineStr">
        <is>
          <t>4.07%</t>
        </is>
      </c>
      <c r="K99" s="16">
        <f>X98</f>
        <v/>
      </c>
      <c r="L99" s="13" t="inlineStr">
        <is>
          <t>2024-04-10</t>
        </is>
      </c>
      <c r="M99" s="13" t="inlineStr">
        <is>
          <t>2024-04-22</t>
        </is>
      </c>
      <c r="N99" s="13" t="inlineStr">
        <is>
          <t>2024-04-19</t>
        </is>
      </c>
      <c r="O99" s="9" t="n">
        <v>400</v>
      </c>
      <c r="P99" s="17" t="n">
        <v>1320.340942382812</v>
      </c>
      <c r="Q99" s="17" t="n">
        <v>1388.581298828125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Q3 2024-25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-6.08%</t>
        </is>
      </c>
      <c r="J100" s="13" t="inlineStr">
        <is>
          <t>-11.43%</t>
        </is>
      </c>
      <c r="K100" s="16">
        <f>X99</f>
        <v/>
      </c>
      <c r="L100" s="13" t="inlineStr">
        <is>
          <t>2024-10-10</t>
        </is>
      </c>
      <c r="M100" s="13" t="inlineStr">
        <is>
          <t>2024-10-22</t>
        </is>
      </c>
      <c r="N100" s="13" t="inlineStr">
        <is>
          <t>2024-10-21</t>
        </is>
      </c>
      <c r="O100" s="9" t="n">
        <v>13336</v>
      </c>
      <c r="P100" s="17" t="n">
        <v>219.1799926757812</v>
      </c>
      <c r="Q100" s="17" t="n">
        <v>205.8500061035156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Q3 2024-25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11.58%</t>
        </is>
      </c>
      <c r="J101" s="13" t="inlineStr">
        <is>
          <t>9.46%</t>
        </is>
      </c>
      <c r="K101" s="16">
        <f>X100</f>
        <v/>
      </c>
      <c r="L101" s="13" t="inlineStr">
        <is>
          <t>2024-10-14</t>
        </is>
      </c>
      <c r="M101" s="13" t="inlineStr">
        <is>
          <t>2024-10-25</t>
        </is>
      </c>
      <c r="N101" s="13" t="inlineStr">
        <is>
          <t>2024-10-21</t>
        </is>
      </c>
      <c r="O101" s="9" t="n">
        <v>7145</v>
      </c>
      <c r="P101" s="17" t="n">
        <v>137.2234497070312</v>
      </c>
      <c r="Q101" s="17" t="n">
        <v>155.1935119628906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Q3 2024-25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-17.25%</t>
        </is>
      </c>
      <c r="J102" s="13" t="inlineStr">
        <is>
          <t>-37.62%</t>
        </is>
      </c>
      <c r="K102" s="16">
        <f>X101</f>
        <v/>
      </c>
      <c r="L102" s="13" t="inlineStr">
        <is>
          <t>2024-10-09</t>
        </is>
      </c>
      <c r="M102" s="13" t="inlineStr">
        <is>
          <t>2024-10-25</t>
        </is>
      </c>
      <c r="N102" s="13" t="inlineStr">
        <is>
          <t>2024-10-21</t>
        </is>
      </c>
      <c r="O102" s="9" t="n">
        <v>8341</v>
      </c>
      <c r="P102" s="17" t="n">
        <v>229.9109649658203</v>
      </c>
      <c r="Q102" s="17" t="n">
        <v>190.2512512207031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Q3 2024-25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2024-10-21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Q3 2024-25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0.08%</t>
        </is>
      </c>
      <c r="J104" s="13" t="inlineStr">
        <is>
          <t>0.09%</t>
        </is>
      </c>
      <c r="K104" s="16">
        <f>X103</f>
        <v/>
      </c>
      <c r="L104" s="13" t="inlineStr">
        <is>
          <t>2024-05-13</t>
        </is>
      </c>
      <c r="M104" s="13" t="inlineStr">
        <is>
          <t>2024-05-27</t>
        </is>
      </c>
      <c r="N104" s="13" t="inlineStr">
        <is>
          <t>2024-05-23</t>
        </is>
      </c>
      <c r="O104" s="9" t="n">
        <v>1600</v>
      </c>
      <c r="P104" s="17" t="n">
        <v>376.0321044921875</v>
      </c>
      <c r="Q104" s="17" t="n">
        <v>376.337158203125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Q3 2024-25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-5.21%</t>
        </is>
      </c>
      <c r="J105" s="13" t="inlineStr">
        <is>
          <t>-7.31%</t>
        </is>
      </c>
      <c r="K105" s="16">
        <f>X104</f>
        <v/>
      </c>
      <c r="L105" s="13" t="inlineStr">
        <is>
          <t>2024-10-16</t>
        </is>
      </c>
      <c r="M105" s="13" t="inlineStr">
        <is>
          <t>2024-10-22</t>
        </is>
      </c>
      <c r="N105" s="13" t="inlineStr">
        <is>
          <t>2024-10-21</t>
        </is>
      </c>
      <c r="O105" s="9" t="n">
        <v>914</v>
      </c>
      <c r="P105" s="17" t="n">
        <v>958.3488159179688</v>
      </c>
      <c r="Q105" s="17" t="n">
        <v>908.4478149414062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Q3 2024-25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-1.03%</t>
        </is>
      </c>
      <c r="J106" s="13" t="inlineStr">
        <is>
          <t>-4.73%</t>
        </is>
      </c>
      <c r="K106" s="16">
        <f>X105</f>
        <v/>
      </c>
      <c r="L106" s="13" t="inlineStr">
        <is>
          <t>2024-04-18</t>
        </is>
      </c>
      <c r="M106" s="13" t="inlineStr">
        <is>
          <t>2024-04-25</t>
        </is>
      </c>
      <c r="N106" s="13" t="inlineStr">
        <is>
          <t>2024-04-19</t>
        </is>
      </c>
      <c r="O106" s="9" t="n">
        <v>4127</v>
      </c>
      <c r="P106" s="17" t="n">
        <v>381.7047729492188</v>
      </c>
      <c r="Q106" s="17" t="n">
        <v>377.8108520507813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Q3 2024-25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4.69%</t>
        </is>
      </c>
      <c r="J107" s="13" t="inlineStr">
        <is>
          <t>0.53%</t>
        </is>
      </c>
      <c r="K107" s="16">
        <f>X106</f>
        <v/>
      </c>
      <c r="L107" s="13" t="inlineStr">
        <is>
          <t>2024-10-14</t>
        </is>
      </c>
      <c r="M107" s="13" t="inlineStr">
        <is>
          <t>2024-10-22</t>
        </is>
      </c>
      <c r="N107" s="13" t="inlineStr">
        <is>
          <t>2024-10-21</t>
        </is>
      </c>
      <c r="O107" s="9" t="n">
        <v>1839</v>
      </c>
      <c r="P107" s="17" t="n">
        <v>665.348876953125</v>
      </c>
      <c r="Q107" s="17" t="n">
        <v>698.0579223632812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Q3 2024-25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6.45%</t>
        </is>
      </c>
      <c r="J108" s="13" t="inlineStr">
        <is>
          <t>4.78%</t>
        </is>
      </c>
      <c r="K108" s="16">
        <f>X107</f>
        <v/>
      </c>
      <c r="L108" s="13" t="inlineStr">
        <is>
          <t>2024-05-10</t>
        </is>
      </c>
      <c r="M108" s="13" t="inlineStr">
        <is>
          <t>2024-05-24</t>
        </is>
      </c>
      <c r="N108" s="13" t="inlineStr">
        <is>
          <t>2024-05-17</t>
        </is>
      </c>
      <c r="O108" s="9" t="n">
        <v>675</v>
      </c>
      <c r="P108" s="17" t="n">
        <v>839.8666381835938</v>
      </c>
      <c r="Q108" s="17" t="n">
        <v>894.031005859375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Q3 2024-25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-5.35%</t>
        </is>
      </c>
      <c r="J109" s="13" t="inlineStr">
        <is>
          <t>-6.59%</t>
        </is>
      </c>
      <c r="K109" s="16">
        <f>X108</f>
        <v/>
      </c>
      <c r="L109" s="13" t="inlineStr">
        <is>
          <t>2024-10-14</t>
        </is>
      </c>
      <c r="M109" s="13" t="inlineStr">
        <is>
          <t>2024-10-25</t>
        </is>
      </c>
      <c r="N109" s="13" t="inlineStr">
        <is>
          <t>2024-10-21</t>
        </is>
      </c>
      <c r="O109" s="9" t="n">
        <v>2273</v>
      </c>
      <c r="P109" s="17" t="n">
        <v>615.5233154296875</v>
      </c>
      <c r="Q109" s="17" t="n">
        <v>582.5746459960938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Q3 2024-25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10.05%</t>
        </is>
      </c>
      <c r="J110" s="13" t="inlineStr">
        <is>
          <t>10.65%</t>
        </is>
      </c>
      <c r="K110" s="16">
        <f>X109</f>
        <v/>
      </c>
      <c r="L110" s="13" t="inlineStr">
        <is>
          <t>2024-10-16</t>
        </is>
      </c>
      <c r="M110" s="13" t="inlineStr">
        <is>
          <t>2024-10-22</t>
        </is>
      </c>
      <c r="N110" s="13" t="inlineStr">
        <is>
          <t>2024-10-21</t>
        </is>
      </c>
      <c r="O110" s="9" t="n">
        <v>1575</v>
      </c>
      <c r="P110" s="17" t="n">
        <v>673.9279174804688</v>
      </c>
      <c r="Q110" s="17" t="n">
        <v>749.2076416015625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Q3 2024-25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-7.5%</t>
        </is>
      </c>
      <c r="J111" s="13" t="inlineStr">
        <is>
          <t>-13.59%</t>
        </is>
      </c>
      <c r="K111" s="16">
        <f>X110</f>
        <v/>
      </c>
      <c r="L111" s="13" t="inlineStr">
        <is>
          <t>2024-10-16</t>
        </is>
      </c>
      <c r="M111" s="13" t="inlineStr">
        <is>
          <t>2024-10-25</t>
        </is>
      </c>
      <c r="N111" s="13" t="inlineStr">
        <is>
          <t>2024-10-21</t>
        </is>
      </c>
      <c r="O111" s="9" t="n">
        <v>276</v>
      </c>
      <c r="P111" s="17" t="n">
        <v>5731.25</v>
      </c>
      <c r="Q111" s="17" t="n">
        <v>5301.60009765625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Q3 2024-25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12.37%</t>
        </is>
      </c>
      <c r="J112" s="13" t="inlineStr">
        <is>
          <t>8.63%</t>
        </is>
      </c>
      <c r="K112" s="16">
        <f>X111</f>
        <v/>
      </c>
      <c r="L112" s="13" t="inlineStr">
        <is>
          <t>2024-10-09</t>
        </is>
      </c>
      <c r="M112" s="13" t="inlineStr">
        <is>
          <t>2024-10-25</t>
        </is>
      </c>
      <c r="N112" s="13" t="inlineStr">
        <is>
          <t>2024-10-21</t>
        </is>
      </c>
      <c r="O112" s="9" t="n">
        <v>208</v>
      </c>
      <c r="P112" s="17" t="n">
        <v>3843.078125</v>
      </c>
      <c r="Q112" s="17" t="n">
        <v>4385.62451171875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Q3 2024-25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-5.08%</t>
        </is>
      </c>
      <c r="J113" s="13" t="inlineStr">
        <is>
          <t>-7.58%</t>
        </is>
      </c>
      <c r="K113" s="16">
        <f>X112</f>
        <v/>
      </c>
      <c r="L113" s="13" t="inlineStr">
        <is>
          <t>2024-10-09</t>
        </is>
      </c>
      <c r="M113" s="13" t="inlineStr">
        <is>
          <t>2024-10-22</t>
        </is>
      </c>
      <c r="N113" s="13" t="inlineStr">
        <is>
          <t>2024-10-21</t>
        </is>
      </c>
      <c r="O113" s="9" t="n">
        <v>1063</v>
      </c>
      <c r="P113" s="17" t="n">
        <v>1009.187133789062</v>
      </c>
      <c r="Q113" s="17" t="n">
        <v>957.9291381835938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Q3 2024-25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-1.23%</t>
        </is>
      </c>
      <c r="J114" s="13" t="inlineStr">
        <is>
          <t>-1.33%</t>
        </is>
      </c>
      <c r="K114" s="16">
        <f>X113</f>
        <v/>
      </c>
      <c r="L114" s="13" t="inlineStr">
        <is>
          <t>2024-04-30</t>
        </is>
      </c>
      <c r="M114" s="13" t="inlineStr">
        <is>
          <t>2024-05-07</t>
        </is>
      </c>
      <c r="N114" s="13" t="inlineStr">
        <is>
          <t>2024-05-04</t>
        </is>
      </c>
      <c r="O114" s="9" t="n">
        <v>400</v>
      </c>
      <c r="P114" s="17" t="n">
        <v>328.0418395996094</v>
      </c>
      <c r="Q114" s="17" t="n">
        <v>324.0608215332031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Q3 2024-25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-5.68%</t>
        </is>
      </c>
      <c r="J115" s="13" t="inlineStr">
        <is>
          <t>-4.53%</t>
        </is>
      </c>
      <c r="K115" s="16">
        <f>X114</f>
        <v/>
      </c>
      <c r="L115" s="13" t="inlineStr">
        <is>
          <t>2024-10-14</t>
        </is>
      </c>
      <c r="M115" s="13" t="inlineStr">
        <is>
          <t>2024-10-22</t>
        </is>
      </c>
      <c r="N115" s="13" t="inlineStr">
        <is>
          <t>2024-10-21</t>
        </is>
      </c>
      <c r="O115" s="9" t="n">
        <v>1695</v>
      </c>
      <c r="P115" s="17" t="n">
        <v>1775.740966796875</v>
      </c>
      <c r="Q115" s="17" t="n">
        <v>1674.847778320312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Q3 2024-25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6.95%</t>
        </is>
      </c>
      <c r="J116" s="13" t="inlineStr">
        <is>
          <t>4.14%</t>
        </is>
      </c>
      <c r="K116" s="16">
        <f>X115</f>
        <v/>
      </c>
      <c r="L116" s="13" t="inlineStr">
        <is>
          <t>2024-10-15</t>
        </is>
      </c>
      <c r="M116" s="13" t="inlineStr">
        <is>
          <t>2024-10-22</t>
        </is>
      </c>
      <c r="N116" s="13" t="inlineStr">
        <is>
          <t>2024-10-21</t>
        </is>
      </c>
      <c r="O116" s="9" t="n">
        <v>561</v>
      </c>
      <c r="P116" s="17" t="n">
        <v>446.7086181640625</v>
      </c>
      <c r="Q116" s="17" t="n">
        <v>480.0747985839844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Q3 2024-25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-2.21%</t>
        </is>
      </c>
      <c r="J117" s="13" t="inlineStr">
        <is>
          <t>-1.63%</t>
        </is>
      </c>
      <c r="K117" s="16">
        <f>X116</f>
        <v/>
      </c>
      <c r="L117" s="13" t="inlineStr">
        <is>
          <t>2024-10-17</t>
        </is>
      </c>
      <c r="M117" s="13" t="inlineStr">
        <is>
          <t>2024-10-25</t>
        </is>
      </c>
      <c r="N117" s="13" t="inlineStr">
        <is>
          <t>2024-10-21</t>
        </is>
      </c>
      <c r="O117" s="9" t="n">
        <v>1848</v>
      </c>
      <c r="P117" s="17" t="n">
        <v>601.2124633789062</v>
      </c>
      <c r="Q117" s="17" t="n">
        <v>587.89697265625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Q3 2024-25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-7.47%</t>
        </is>
      </c>
      <c r="J118" s="13" t="inlineStr">
        <is>
          <t>-8.42%</t>
        </is>
      </c>
      <c r="K118" s="16">
        <f>X117</f>
        <v/>
      </c>
      <c r="L118" s="13" t="inlineStr">
        <is>
          <t>2025-02-01</t>
        </is>
      </c>
      <c r="M118" s="13" t="inlineStr">
        <is>
          <t>2025-02-13</t>
        </is>
      </c>
      <c r="N118" s="13" t="inlineStr">
        <is>
          <t>2025-02-07</t>
        </is>
      </c>
      <c r="O118" s="9" t="n">
        <v>2364</v>
      </c>
      <c r="P118" s="17" t="n">
        <v>408.9635620117188</v>
      </c>
      <c r="Q118" s="17" t="n">
        <v>378.3949584960938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Q3 2024-25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11.4%</t>
        </is>
      </c>
      <c r="J119" s="13" t="inlineStr">
        <is>
          <t>7.15%</t>
        </is>
      </c>
      <c r="K119" s="16">
        <f>X118</f>
        <v/>
      </c>
      <c r="L119" s="13" t="inlineStr">
        <is>
          <t>2024-10-15</t>
        </is>
      </c>
      <c r="M119" s="13" t="inlineStr">
        <is>
          <t>2024-10-22</t>
        </is>
      </c>
      <c r="N119" s="13" t="inlineStr">
        <is>
          <t>2024-10-21</t>
        </is>
      </c>
      <c r="O119" s="9" t="n">
        <v>776</v>
      </c>
      <c r="P119" s="17" t="n">
        <v>1079.391967773438</v>
      </c>
      <c r="Q119" s="17" t="n">
        <v>1218.284301757812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Q3 2024-25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0.56%</t>
        </is>
      </c>
      <c r="J120" s="13" t="inlineStr">
        <is>
          <t>0.0%</t>
        </is>
      </c>
      <c r="K120" s="16">
        <f>X119</f>
        <v/>
      </c>
      <c r="L120" s="13" t="inlineStr">
        <is>
          <t>2024-05-09</t>
        </is>
      </c>
      <c r="M120" s="13" t="inlineStr">
        <is>
          <t>2024-05-13</t>
        </is>
      </c>
      <c r="N120" s="13" t="inlineStr">
        <is>
          <t>2024-05-09</t>
        </is>
      </c>
      <c r="O120" s="9" t="n">
        <v>300</v>
      </c>
      <c r="P120" s="17" t="n">
        <v>3188.727783203125</v>
      </c>
      <c r="Q120" s="17" t="n">
        <v>3206.640625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Q3 2024-25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12.06%</t>
        </is>
      </c>
      <c r="J121" s="13" t="inlineStr">
        <is>
          <t>10.6%</t>
        </is>
      </c>
      <c r="K121" s="16">
        <f>X120</f>
        <v/>
      </c>
      <c r="L121" s="13" t="inlineStr">
        <is>
          <t>2024-10-18</t>
        </is>
      </c>
      <c r="M121" s="13" t="inlineStr">
        <is>
          <t>2024-10-22</t>
        </is>
      </c>
      <c r="N121" s="13" t="inlineStr">
        <is>
          <t>2024-10-21</t>
        </is>
      </c>
      <c r="O121" s="9" t="n">
        <v>3265</v>
      </c>
      <c r="P121" s="17" t="n">
        <v>142.7677917480469</v>
      </c>
      <c r="Q121" s="17" t="n">
        <v>162.3392944335938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Q3 2024-25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1.15%</t>
        </is>
      </c>
      <c r="J122" s="13" t="inlineStr">
        <is>
          <t>-1.42%</t>
        </is>
      </c>
      <c r="K122" s="16">
        <f>X121</f>
        <v/>
      </c>
      <c r="L122" s="13" t="inlineStr">
        <is>
          <t>2024-10-18</t>
        </is>
      </c>
      <c r="M122" s="13" t="inlineStr">
        <is>
          <t>2024-10-25</t>
        </is>
      </c>
      <c r="N122" s="13" t="inlineStr">
        <is>
          <t>2024-10-21</t>
        </is>
      </c>
      <c r="O122" s="9" t="n">
        <v>225</v>
      </c>
      <c r="P122" s="17" t="n">
        <v>5750.33984375</v>
      </c>
      <c r="Q122" s="17" t="n">
        <v>5816.99609375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Q3 2024-25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-6.74%</t>
        </is>
      </c>
      <c r="J123" s="13" t="inlineStr">
        <is>
          <t>-10.53%</t>
        </is>
      </c>
      <c r="K123" s="16">
        <f>X122</f>
        <v/>
      </c>
      <c r="L123" s="13" t="inlineStr">
        <is>
          <t>2024-10-09</t>
        </is>
      </c>
      <c r="M123" s="13" t="inlineStr">
        <is>
          <t>2024-10-22</t>
        </is>
      </c>
      <c r="N123" s="13" t="inlineStr">
        <is>
          <t>2024-10-21</t>
        </is>
      </c>
      <c r="O123" s="9" t="n">
        <v>413</v>
      </c>
      <c r="P123" s="17" t="n">
        <v>2255.565185546875</v>
      </c>
      <c r="Q123" s="17" t="n">
        <v>2103.618896484375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Q3 2024-25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15.49%</t>
        </is>
      </c>
      <c r="J124" s="13" t="inlineStr">
        <is>
          <t>13.22%</t>
        </is>
      </c>
      <c r="K124" s="16">
        <f>X123</f>
        <v/>
      </c>
      <c r="L124" s="13" t="inlineStr">
        <is>
          <t>2024-05-13</t>
        </is>
      </c>
      <c r="M124" s="13" t="inlineStr">
        <is>
          <t>2024-05-21</t>
        </is>
      </c>
      <c r="N124" s="13" t="inlineStr">
        <is>
          <t>2024-05-16</t>
        </is>
      </c>
      <c r="O124" s="9" t="n">
        <v>350</v>
      </c>
      <c r="P124" s="17" t="n">
        <v>2128.736083984375</v>
      </c>
      <c r="Q124" s="17" t="n">
        <v>2458.535400390625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Q3 2024-25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-9.76%</t>
        </is>
      </c>
      <c r="J125" s="13" t="inlineStr">
        <is>
          <t>-14.14%</t>
        </is>
      </c>
      <c r="K125" s="16">
        <f>X124</f>
        <v/>
      </c>
      <c r="L125" s="13" t="inlineStr">
        <is>
          <t>2024-10-15</t>
        </is>
      </c>
      <c r="M125" s="13" t="inlineStr">
        <is>
          <t>2024-10-25</t>
        </is>
      </c>
      <c r="N125" s="13" t="inlineStr">
        <is>
          <t>2024-10-21</t>
        </is>
      </c>
      <c r="O125" s="9" t="n">
        <v>12616</v>
      </c>
      <c r="P125" s="17" t="n">
        <v>51.13400650024414</v>
      </c>
      <c r="Q125" s="17" t="n">
        <v>46.14486694335938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Q3 2024-25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-21.33%</t>
        </is>
      </c>
      <c r="J126" s="13" t="inlineStr">
        <is>
          <t>-21.9%</t>
        </is>
      </c>
      <c r="K126" s="16">
        <f>X125</f>
        <v/>
      </c>
      <c r="L126" s="13" t="inlineStr">
        <is>
          <t>2024-10-17</t>
        </is>
      </c>
      <c r="M126" s="13" t="inlineStr">
        <is>
          <t>2024-10-22</t>
        </is>
      </c>
      <c r="N126" s="13" t="inlineStr">
        <is>
          <t>2024-10-21</t>
        </is>
      </c>
      <c r="O126" s="9" t="n">
        <v>2714</v>
      </c>
      <c r="P126" s="17" t="n">
        <v>173.7250213623047</v>
      </c>
      <c r="Q126" s="17" t="n">
        <v>136.6640625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Q3 2024-25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6.6%</t>
        </is>
      </c>
      <c r="J127" s="13" t="inlineStr">
        <is>
          <t>3.5%</t>
        </is>
      </c>
      <c r="K127" s="16">
        <f>X126</f>
        <v/>
      </c>
      <c r="L127" s="13" t="inlineStr">
        <is>
          <t>2024-10-15</t>
        </is>
      </c>
      <c r="M127" s="13" t="inlineStr">
        <is>
          <t>2024-10-22</t>
        </is>
      </c>
      <c r="N127" s="13" t="inlineStr">
        <is>
          <t>2024-10-21</t>
        </is>
      </c>
      <c r="O127" s="9" t="n">
        <v>388</v>
      </c>
      <c r="P127" s="17" t="n">
        <v>2564.93896484375</v>
      </c>
      <c r="Q127" s="17" t="n">
        <v>2746.217529296875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Q3 2024-25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-7.14%</t>
        </is>
      </c>
      <c r="J128" s="13" t="inlineStr">
        <is>
          <t>-8.53%</t>
        </is>
      </c>
      <c r="K128" s="16">
        <f>X127</f>
        <v/>
      </c>
      <c r="L128" s="13" t="inlineStr">
        <is>
          <t>2024-10-14</t>
        </is>
      </c>
      <c r="M128" s="13" t="inlineStr">
        <is>
          <t>2024-10-25</t>
        </is>
      </c>
      <c r="N128" s="13" t="inlineStr">
        <is>
          <t>2024-10-21</t>
        </is>
      </c>
      <c r="O128" s="9" t="n">
        <v>1129</v>
      </c>
      <c r="P128" s="17" t="n">
        <v>675.849853515625</v>
      </c>
      <c r="Q128" s="17" t="n">
        <v>627.5643310546875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Q3 2024-25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0.98%</t>
        </is>
      </c>
      <c r="J129" s="13" t="inlineStr">
        <is>
          <t>0.27%</t>
        </is>
      </c>
      <c r="K129" s="16">
        <f>X128</f>
        <v/>
      </c>
      <c r="L129" s="13" t="inlineStr">
        <is>
          <t>2024-04-24</t>
        </is>
      </c>
      <c r="M129" s="13" t="inlineStr">
        <is>
          <t>2024-04-30</t>
        </is>
      </c>
      <c r="N129" s="13" t="inlineStr">
        <is>
          <t>2024-04-27</t>
        </is>
      </c>
      <c r="O129" s="9" t="n">
        <v>100</v>
      </c>
      <c r="P129" s="17" t="n">
        <v>12561.6083984375</v>
      </c>
      <c r="Q129" s="17" t="n">
        <v>12685.630859375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Q3 2024-25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8.84%</t>
        </is>
      </c>
      <c r="J130" s="13" t="inlineStr">
        <is>
          <t>6.22%</t>
        </is>
      </c>
      <c r="K130" s="16">
        <f>X129</f>
        <v/>
      </c>
      <c r="L130" s="13" t="inlineStr">
        <is>
          <t>2023-05-10</t>
        </is>
      </c>
      <c r="M130" s="13" t="inlineStr">
        <is>
          <t>2023-05-17</t>
        </is>
      </c>
      <c r="N130" s="13" t="inlineStr">
        <is>
          <t>2023-05-16</t>
        </is>
      </c>
      <c r="O130" s="9" t="n">
        <v>922</v>
      </c>
      <c r="P130" s="17" t="n">
        <v>477.1260986328125</v>
      </c>
      <c r="Q130" s="17" t="n">
        <v>519.3087768554688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Q3 2024-25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7.74%</t>
        </is>
      </c>
      <c r="J131" s="13" t="inlineStr">
        <is>
          <t>2.75%</t>
        </is>
      </c>
      <c r="K131" s="16">
        <f>X130</f>
        <v/>
      </c>
      <c r="L131" s="13" t="inlineStr">
        <is>
          <t>2024-10-15</t>
        </is>
      </c>
      <c r="M131" s="13" t="inlineStr">
        <is>
          <t>2024-10-25</t>
        </is>
      </c>
      <c r="N131" s="13" t="inlineStr">
        <is>
          <t>2024-10-21</t>
        </is>
      </c>
      <c r="O131" s="9" t="n">
        <v>431</v>
      </c>
      <c r="P131" s="17" t="n">
        <v>2004.658569335937</v>
      </c>
      <c r="Q131" s="17" t="n">
        <v>2172.860595703125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Q3 2024-25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3.84%</t>
        </is>
      </c>
      <c r="J132" s="13" t="inlineStr">
        <is>
          <t>-6.52%</t>
        </is>
      </c>
      <c r="K132" s="16">
        <f>X131</f>
        <v/>
      </c>
      <c r="L132" s="13" t="inlineStr">
        <is>
          <t>2024-10-10</t>
        </is>
      </c>
      <c r="M132" s="13" t="inlineStr">
        <is>
          <t>2024-10-22</t>
        </is>
      </c>
      <c r="N132" s="13" t="inlineStr">
        <is>
          <t>2024-10-21</t>
        </is>
      </c>
      <c r="O132" s="9" t="n">
        <v>373</v>
      </c>
      <c r="P132" s="17" t="n">
        <v>1233.917358398438</v>
      </c>
      <c r="Q132" s="17" t="n">
        <v>1281.316284179688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Q3 2024-25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0.28%</t>
        </is>
      </c>
      <c r="J133" s="13" t="inlineStr">
        <is>
          <t>1.76%</t>
        </is>
      </c>
      <c r="K133" s="16">
        <f>X132</f>
        <v/>
      </c>
      <c r="L133" s="13" t="inlineStr">
        <is>
          <t>2024-10-17</t>
        </is>
      </c>
      <c r="M133" s="13" t="inlineStr">
        <is>
          <t>2024-10-22</t>
        </is>
      </c>
      <c r="N133" s="13" t="inlineStr">
        <is>
          <t>2024-10-21</t>
        </is>
      </c>
      <c r="O133" s="9" t="n">
        <v>661</v>
      </c>
      <c r="P133" s="17" t="n">
        <v>1170.449951171875</v>
      </c>
      <c r="Q133" s="17" t="n">
        <v>1173.699951171875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Q3 2024-25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10.17%</t>
        </is>
      </c>
      <c r="J134" s="13" t="inlineStr">
        <is>
          <t>8.19%</t>
        </is>
      </c>
      <c r="K134" s="16">
        <f>X133</f>
        <v/>
      </c>
      <c r="L134" s="13" t="inlineStr">
        <is>
          <t>2024-10-15</t>
        </is>
      </c>
      <c r="M134" s="13" t="inlineStr">
        <is>
          <t>2024-10-25</t>
        </is>
      </c>
      <c r="N134" s="13" t="inlineStr">
        <is>
          <t>2024-10-21</t>
        </is>
      </c>
      <c r="O134" s="9" t="n">
        <v>6815</v>
      </c>
      <c r="P134" s="17" t="n">
        <v>125.0676116943359</v>
      </c>
      <c r="Q134" s="17" t="n">
        <v>139.2248382568359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Q3 2024-25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-9.96%</t>
        </is>
      </c>
      <c r="J135" s="13" t="inlineStr">
        <is>
          <t>-15.08%</t>
        </is>
      </c>
      <c r="K135" s="16">
        <f>X134</f>
        <v/>
      </c>
      <c r="L135" s="13" t="inlineStr">
        <is>
          <t>2024-10-18</t>
        </is>
      </c>
      <c r="M135" s="13" t="inlineStr">
        <is>
          <t>2024-10-22</t>
        </is>
      </c>
      <c r="N135" s="13" t="inlineStr">
        <is>
          <t>2024-10-21</t>
        </is>
      </c>
      <c r="O135" s="9" t="n">
        <v>1194</v>
      </c>
      <c r="P135" s="17" t="n">
        <v>1013.546752929688</v>
      </c>
      <c r="Q135" s="17" t="n">
        <v>912.6055297851562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Q3 2024-25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6.55%</t>
        </is>
      </c>
      <c r="J136" s="13" t="inlineStr">
        <is>
          <t>3.64%</t>
        </is>
      </c>
      <c r="K136" s="16">
        <f>X135</f>
        <v/>
      </c>
      <c r="L136" s="13" t="inlineStr">
        <is>
          <t>2024-10-10</t>
        </is>
      </c>
      <c r="M136" s="13" t="inlineStr">
        <is>
          <t>2024-10-25</t>
        </is>
      </c>
      <c r="N136" s="13" t="inlineStr">
        <is>
          <t>2024-10-21</t>
        </is>
      </c>
      <c r="O136" s="9" t="n">
        <v>426</v>
      </c>
      <c r="P136" s="17" t="n">
        <v>2725.079833984375</v>
      </c>
      <c r="Q136" s="17" t="n">
        <v>2903.629638671875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Q3 2024-25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9.09%</t>
        </is>
      </c>
      <c r="J137" s="13" t="inlineStr">
        <is>
          <t>8.23%</t>
        </is>
      </c>
      <c r="K137" s="16">
        <f>X136</f>
        <v/>
      </c>
      <c r="L137" s="13" t="inlineStr">
        <is>
          <t>2025-11-11</t>
        </is>
      </c>
      <c r="M137" s="13" t="inlineStr">
        <is>
          <t>2025-11-20</t>
        </is>
      </c>
      <c r="N137" s="13" t="inlineStr">
        <is>
          <t>2025-11-13</t>
        </is>
      </c>
      <c r="O137" s="9" t="n">
        <v>332</v>
      </c>
      <c r="P137" s="17" t="n">
        <v>3360.882080078125</v>
      </c>
      <c r="Q137" s="17" t="n">
        <v>3666.498046875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Q3 2024-25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6.2%</t>
        </is>
      </c>
      <c r="J138" s="13" t="inlineStr">
        <is>
          <t>5.69%</t>
        </is>
      </c>
      <c r="K138" s="16">
        <f>X137</f>
        <v/>
      </c>
      <c r="L138" s="13" t="inlineStr">
        <is>
          <t>2024-10-18</t>
        </is>
      </c>
      <c r="M138" s="13" t="inlineStr">
        <is>
          <t>2024-10-22</t>
        </is>
      </c>
      <c r="N138" s="13" t="inlineStr">
        <is>
          <t>2024-10-21</t>
        </is>
      </c>
      <c r="O138" s="9" t="n">
        <v>871</v>
      </c>
      <c r="P138" s="17" t="n">
        <v>630.8605346679688</v>
      </c>
      <c r="Q138" s="17" t="n">
        <v>672.5482788085938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Q3 2024-25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-1.45%</t>
        </is>
      </c>
      <c r="J139" s="13" t="inlineStr">
        <is>
          <t>-6.97%</t>
        </is>
      </c>
      <c r="K139" s="16">
        <f>X138</f>
        <v/>
      </c>
      <c r="L139" s="13" t="inlineStr">
        <is>
          <t>2024-10-16</t>
        </is>
      </c>
      <c r="M139" s="13" t="inlineStr">
        <is>
          <t>2024-10-22</t>
        </is>
      </c>
      <c r="N139" s="13" t="inlineStr">
        <is>
          <t>2024-10-21</t>
        </is>
      </c>
      <c r="O139" s="9" t="n">
        <v>2876</v>
      </c>
      <c r="P139" s="17" t="n">
        <v>203.2179107666016</v>
      </c>
      <c r="Q139" s="17" t="n">
        <v>200.305191040039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Q3 2024-25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-7.71%</t>
        </is>
      </c>
      <c r="J140" s="13" t="inlineStr">
        <is>
          <t>-9.32%</t>
        </is>
      </c>
      <c r="K140" s="16">
        <f>X139</f>
        <v/>
      </c>
      <c r="L140" s="13" t="inlineStr">
        <is>
          <t>2024-10-15</t>
        </is>
      </c>
      <c r="M140" s="13" t="inlineStr">
        <is>
          <t>2024-10-22</t>
        </is>
      </c>
      <c r="N140" s="13" t="inlineStr">
        <is>
          <t>2024-10-21</t>
        </is>
      </c>
      <c r="O140" s="9" t="n">
        <v>803</v>
      </c>
      <c r="P140" s="17" t="n">
        <v>1639.39404296875</v>
      </c>
      <c r="Q140" s="17" t="n">
        <v>1512.934692382812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Q3 2024-25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12.38%</t>
        </is>
      </c>
      <c r="J141" s="13" t="inlineStr">
        <is>
          <t>10.29%</t>
        </is>
      </c>
      <c r="K141" s="16">
        <f>X140</f>
        <v/>
      </c>
      <c r="L141" s="13" t="inlineStr">
        <is>
          <t>2024-10-17</t>
        </is>
      </c>
      <c r="M141" s="13" t="inlineStr">
        <is>
          <t>2024-10-22</t>
        </is>
      </c>
      <c r="N141" s="13" t="inlineStr">
        <is>
          <t>2024-10-21</t>
        </is>
      </c>
      <c r="O141" s="9" t="n">
        <v>10687</v>
      </c>
      <c r="P141" s="17" t="n">
        <v>95.40495300292967</v>
      </c>
      <c r="Q141" s="17" t="n">
        <v>108.8791122436523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Q3 2024-25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1.49%</t>
        </is>
      </c>
      <c r="J142" s="13" t="inlineStr">
        <is>
          <t>1.62%</t>
        </is>
      </c>
      <c r="K142" s="16">
        <f>X141</f>
        <v/>
      </c>
      <c r="L142" s="13" t="inlineStr">
        <is>
          <t>2024-02-08</t>
        </is>
      </c>
      <c r="M142" s="13" t="inlineStr">
        <is>
          <t>2024-02-12</t>
        </is>
      </c>
      <c r="N142" s="13" t="inlineStr">
        <is>
          <t>2024-02-08</t>
        </is>
      </c>
      <c r="O142" s="9" t="n">
        <v>200</v>
      </c>
      <c r="P142" s="17" t="n">
        <v>1178.183837890625</v>
      </c>
      <c r="Q142" s="17" t="n">
        <v>1195.6884765625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Q3 2024-25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12.79%</t>
        </is>
      </c>
      <c r="J143" s="13" t="inlineStr">
        <is>
          <t>10.01%</t>
        </is>
      </c>
      <c r="K143" s="16">
        <f>X142</f>
        <v/>
      </c>
      <c r="L143" s="13" t="inlineStr">
        <is>
          <t>2024-10-15</t>
        </is>
      </c>
      <c r="M143" s="13" t="inlineStr">
        <is>
          <t>2024-10-25</t>
        </is>
      </c>
      <c r="N143" s="13" t="inlineStr">
        <is>
          <t>2024-10-21</t>
        </is>
      </c>
      <c r="O143" s="9" t="n">
        <v>12809</v>
      </c>
      <c r="P143" s="17" t="n">
        <v>75.19696807861328</v>
      </c>
      <c r="Q143" s="17" t="n">
        <v>86.22267150878906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Q3 2024-25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-7.18%</t>
        </is>
      </c>
      <c r="J144" s="13" t="inlineStr">
        <is>
          <t>-6.33%</t>
        </is>
      </c>
      <c r="K144" s="16">
        <f>X143</f>
        <v/>
      </c>
      <c r="L144" s="13" t="inlineStr">
        <is>
          <t>2024-10-15</t>
        </is>
      </c>
      <c r="M144" s="13" t="inlineStr">
        <is>
          <t>2024-10-22</t>
        </is>
      </c>
      <c r="N144" s="13" t="inlineStr">
        <is>
          <t>2024-10-21</t>
        </is>
      </c>
      <c r="O144" s="9" t="n">
        <v>11763</v>
      </c>
      <c r="P144" s="17" t="n">
        <v>71.56765747070312</v>
      </c>
      <c r="Q144" s="17" t="n">
        <v>66.42704772949219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Q3 2024-25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0.65%</t>
        </is>
      </c>
      <c r="J145" s="13" t="inlineStr">
        <is>
          <t>2.14%</t>
        </is>
      </c>
      <c r="K145" s="16">
        <f>X144</f>
        <v/>
      </c>
      <c r="L145" s="13" t="inlineStr">
        <is>
          <t>2024-05-15</t>
        </is>
      </c>
      <c r="M145" s="13" t="inlineStr">
        <is>
          <t>2024-05-31</t>
        </is>
      </c>
      <c r="N145" s="13" t="inlineStr">
        <is>
          <t>2024-05-25</t>
        </is>
      </c>
      <c r="O145" s="9" t="n">
        <v>1500</v>
      </c>
      <c r="P145" s="17" t="n">
        <v>342.2366943359375</v>
      </c>
      <c r="Q145" s="17" t="n">
        <v>344.4769592285156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Q3 2024-25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7.24%</t>
        </is>
      </c>
      <c r="J146" s="13" t="inlineStr">
        <is>
          <t>4.38%</t>
        </is>
      </c>
      <c r="K146" s="16">
        <f>X145</f>
        <v/>
      </c>
      <c r="L146" s="13" t="inlineStr">
        <is>
          <t>2024-10-10</t>
        </is>
      </c>
      <c r="M146" s="13" t="inlineStr">
        <is>
          <t>2024-10-22</t>
        </is>
      </c>
      <c r="N146" s="13" t="inlineStr">
        <is>
          <t>2024-10-21</t>
        </is>
      </c>
      <c r="O146" s="9" t="n">
        <v>2996</v>
      </c>
      <c r="P146" s="17" t="n">
        <v>178.9600067138672</v>
      </c>
      <c r="Q146" s="17" t="n">
        <v>192.9299926757812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Q3 2024-25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-2.81%</t>
        </is>
      </c>
      <c r="J147" s="13" t="inlineStr">
        <is>
          <t>-1.05%</t>
        </is>
      </c>
      <c r="K147" s="16">
        <f>X146</f>
        <v/>
      </c>
      <c r="L147" s="13" t="inlineStr">
        <is>
          <t>2024-10-14</t>
        </is>
      </c>
      <c r="M147" s="13" t="inlineStr">
        <is>
          <t>2024-10-25</t>
        </is>
      </c>
      <c r="N147" s="13" t="inlineStr">
        <is>
          <t>2024-10-21</t>
        </is>
      </c>
      <c r="O147" s="9" t="n">
        <v>551</v>
      </c>
      <c r="P147" s="17" t="n">
        <v>1979.20654296875</v>
      </c>
      <c r="Q147" s="17" t="n">
        <v>1923.678100585937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Q3 2024-25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6.56%</t>
        </is>
      </c>
      <c r="J148" s="13" t="inlineStr">
        <is>
          <t>11.11%</t>
        </is>
      </c>
      <c r="K148" s="16">
        <f>X147</f>
        <v/>
      </c>
      <c r="L148" s="13" t="inlineStr">
        <is>
          <t>2024-10-09</t>
        </is>
      </c>
      <c r="M148" s="13" t="inlineStr">
        <is>
          <t>2024-10-25</t>
        </is>
      </c>
      <c r="N148" s="13" t="inlineStr">
        <is>
          <t>2024-10-21</t>
        </is>
      </c>
      <c r="O148" s="9" t="n">
        <v>100</v>
      </c>
      <c r="P148" s="17" t="n">
        <v>10099.44921875</v>
      </c>
      <c r="Q148" s="17" t="n">
        <v>10809.041015625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Q3 2024-25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-2.01%</t>
        </is>
      </c>
      <c r="J149" s="13" t="inlineStr">
        <is>
          <t>-10.1%</t>
        </is>
      </c>
      <c r="K149" s="16">
        <f>X148</f>
        <v/>
      </c>
      <c r="L149" s="13" t="inlineStr">
        <is>
          <t>2024-10-16</t>
        </is>
      </c>
      <c r="M149" s="13" t="inlineStr">
        <is>
          <t>2024-10-22</t>
        </is>
      </c>
      <c r="N149" s="13" t="inlineStr">
        <is>
          <t>2024-10-21</t>
        </is>
      </c>
      <c r="O149" s="9" t="n">
        <v>2188</v>
      </c>
      <c r="P149" s="17" t="n">
        <v>500.96533203125</v>
      </c>
      <c r="Q149" s="17" t="n">
        <v>490.8927612304688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Q3 2024-25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-1.5%</t>
        </is>
      </c>
      <c r="J150" s="13" t="inlineStr">
        <is>
          <t>-2.25%</t>
        </is>
      </c>
      <c r="K150" s="16">
        <f>X149</f>
        <v/>
      </c>
      <c r="L150" s="13" t="inlineStr">
        <is>
          <t>2024-05-10</t>
        </is>
      </c>
      <c r="M150" s="13" t="inlineStr">
        <is>
          <t>2024-05-28</t>
        </is>
      </c>
      <c r="N150" s="13" t="inlineStr">
        <is>
          <t>2024-05-21</t>
        </is>
      </c>
      <c r="O150" s="9" t="n">
        <v>3750</v>
      </c>
      <c r="P150" s="17" t="n">
        <v>247.1096954345703</v>
      </c>
      <c r="Q150" s="17" t="n">
        <v>243.461166381836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Q3 2024-25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-1.21%</t>
        </is>
      </c>
      <c r="J151" s="13" t="inlineStr">
        <is>
          <t>-1.12%</t>
        </is>
      </c>
      <c r="K151" s="16">
        <f>X150</f>
        <v/>
      </c>
      <c r="L151" s="13" t="inlineStr">
        <is>
          <t>2024-10-09</t>
        </is>
      </c>
      <c r="M151" s="13" t="inlineStr">
        <is>
          <t>2024-10-22</t>
        </is>
      </c>
      <c r="N151" s="13" t="inlineStr">
        <is>
          <t>2024-10-21</t>
        </is>
      </c>
      <c r="O151" s="9" t="n">
        <v>100</v>
      </c>
      <c r="P151" s="17" t="n">
        <v>44248</v>
      </c>
      <c r="Q151" s="17" t="n">
        <v>43720.1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Q3 2024-25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-2.18%</t>
        </is>
      </c>
      <c r="J152" s="13" t="inlineStr">
        <is>
          <t>-3.62%</t>
        </is>
      </c>
      <c r="K152" s="16">
        <f>X151</f>
        <v/>
      </c>
      <c r="L152" s="13" t="inlineStr">
        <is>
          <t>2024-10-14</t>
        </is>
      </c>
      <c r="M152" s="13" t="inlineStr">
        <is>
          <t>2024-10-22</t>
        </is>
      </c>
      <c r="N152" s="13" t="inlineStr">
        <is>
          <t>2024-10-21</t>
        </is>
      </c>
      <c r="O152" s="9" t="n">
        <v>2806</v>
      </c>
      <c r="P152" s="17" t="n">
        <v>581.5975952148438</v>
      </c>
      <c r="Q152" s="17" t="n">
        <v>569.1839599609375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Q3 2024-25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-2.01%</t>
        </is>
      </c>
      <c r="J153" s="13" t="inlineStr">
        <is>
          <t>-0.42%</t>
        </is>
      </c>
      <c r="K153" s="16">
        <f>X152</f>
        <v/>
      </c>
      <c r="L153" s="13" t="inlineStr">
        <is>
          <t>2024-10-15</t>
        </is>
      </c>
      <c r="M153" s="13" t="inlineStr">
        <is>
          <t>2024-10-25</t>
        </is>
      </c>
      <c r="N153" s="13" t="inlineStr">
        <is>
          <t>2024-10-21</t>
        </is>
      </c>
      <c r="O153" s="9" t="n">
        <v>750</v>
      </c>
      <c r="P153" s="17" t="n">
        <v>744.4500122070312</v>
      </c>
      <c r="Q153" s="17" t="n">
        <v>729.75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Q3 2024-25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8.2%</t>
        </is>
      </c>
      <c r="J154" s="13" t="inlineStr">
        <is>
          <t>6.15%</t>
        </is>
      </c>
      <c r="K154" s="16">
        <f>X153</f>
        <v/>
      </c>
      <c r="L154" s="13" t="inlineStr">
        <is>
          <t>2024-10-10</t>
        </is>
      </c>
      <c r="M154" s="13" t="inlineStr">
        <is>
          <t>2024-10-25</t>
        </is>
      </c>
      <c r="N154" s="13" t="inlineStr">
        <is>
          <t>2024-10-21</t>
        </is>
      </c>
      <c r="O154" s="9" t="n">
        <v>181</v>
      </c>
      <c r="P154" s="17" t="n">
        <v>5173.158203125</v>
      </c>
      <c r="Q154" s="17" t="n">
        <v>5597.38623046875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Q3 2024-25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4.79%</t>
        </is>
      </c>
      <c r="J155" s="13" t="inlineStr">
        <is>
          <t>5.27%</t>
        </is>
      </c>
      <c r="K155" s="16">
        <f>X154</f>
        <v/>
      </c>
      <c r="L155" s="13" t="inlineStr">
        <is>
          <t>2024-10-14</t>
        </is>
      </c>
      <c r="M155" s="13" t="inlineStr">
        <is>
          <t>2024-10-25</t>
        </is>
      </c>
      <c r="N155" s="13" t="inlineStr">
        <is>
          <t>2024-10-21</t>
        </is>
      </c>
      <c r="O155" s="9" t="n">
        <v>3585</v>
      </c>
      <c r="P155" s="17" t="n">
        <v>315.5784606933594</v>
      </c>
      <c r="Q155" s="17" t="n">
        <v>331.471923828125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Q3 2024-25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6.95%</t>
        </is>
      </c>
      <c r="J156" s="13" t="inlineStr">
        <is>
          <t>8.26%</t>
        </is>
      </c>
      <c r="K156" s="16">
        <f>X155</f>
        <v/>
      </c>
      <c r="L156" s="13" t="inlineStr">
        <is>
          <t>2024-10-09</t>
        </is>
      </c>
      <c r="M156" s="13" t="inlineStr">
        <is>
          <t>2024-10-25</t>
        </is>
      </c>
      <c r="N156" s="13" t="inlineStr">
        <is>
          <t>2024-10-21</t>
        </is>
      </c>
      <c r="O156" s="9" t="n">
        <v>2346</v>
      </c>
      <c r="P156" s="17" t="n">
        <v>409.5422973632813</v>
      </c>
      <c r="Q156" s="17" t="n">
        <v>440.1107177734375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Q3 2024-25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-7.65%</t>
        </is>
      </c>
      <c r="J157" s="13" t="inlineStr">
        <is>
          <t>-17.85%</t>
        </is>
      </c>
      <c r="K157" s="16">
        <f>X156</f>
        <v/>
      </c>
      <c r="L157" s="13" t="inlineStr">
        <is>
          <t>2024-10-14</t>
        </is>
      </c>
      <c r="M157" s="13" t="inlineStr">
        <is>
          <t>2024-10-22</t>
        </is>
      </c>
      <c r="N157" s="13" t="inlineStr">
        <is>
          <t>2024-10-21</t>
        </is>
      </c>
      <c r="O157" s="9" t="n">
        <v>1631</v>
      </c>
      <c r="P157" s="17" t="n">
        <v>619.027099609375</v>
      </c>
      <c r="Q157" s="17" t="n">
        <v>571.6480712890625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Q3 2024-25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11.64%</t>
        </is>
      </c>
      <c r="J158" s="13" t="inlineStr">
        <is>
          <t>12.68%</t>
        </is>
      </c>
      <c r="K158" s="16">
        <f>X157</f>
        <v/>
      </c>
      <c r="L158" s="13" t="inlineStr">
        <is>
          <t>2024-10-16</t>
        </is>
      </c>
      <c r="M158" s="13" t="inlineStr">
        <is>
          <t>2024-10-25</t>
        </is>
      </c>
      <c r="N158" s="13" t="inlineStr">
        <is>
          <t>2024-10-21</t>
        </is>
      </c>
      <c r="O158" s="9" t="n">
        <v>529</v>
      </c>
      <c r="P158" s="17" t="n">
        <v>1480.22412109375</v>
      </c>
      <c r="Q158" s="17" t="n">
        <v>1675.261108398438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Q3 2024-25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-1.66%</t>
        </is>
      </c>
      <c r="J159" s="13" t="inlineStr">
        <is>
          <t>-0.93%</t>
        </is>
      </c>
      <c r="K159" s="16">
        <f>X158</f>
        <v/>
      </c>
      <c r="L159" s="13" t="inlineStr">
        <is>
          <t>2024-10-16</t>
        </is>
      </c>
      <c r="M159" s="13" t="inlineStr">
        <is>
          <t>2024-10-22</t>
        </is>
      </c>
      <c r="N159" s="13" t="inlineStr">
        <is>
          <t>2024-10-21</t>
        </is>
      </c>
      <c r="O159" s="9" t="n">
        <v>613</v>
      </c>
      <c r="P159" s="17" t="n">
        <v>1567.922485351562</v>
      </c>
      <c r="Q159" s="17" t="n">
        <v>1541.963745117188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Q3 2024-25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-5.32%</t>
        </is>
      </c>
      <c r="J160" s="13" t="inlineStr">
        <is>
          <t>-5.19%</t>
        </is>
      </c>
      <c r="K160" s="16">
        <f>X159</f>
        <v/>
      </c>
      <c r="L160" s="13" t="inlineStr">
        <is>
          <t>2024-10-10</t>
        </is>
      </c>
      <c r="M160" s="13" t="inlineStr">
        <is>
          <t>2024-10-22</t>
        </is>
      </c>
      <c r="N160" s="13" t="inlineStr">
        <is>
          <t>2024-10-21</t>
        </is>
      </c>
      <c r="O160" s="9" t="n">
        <v>360</v>
      </c>
      <c r="P160" s="17" t="n">
        <v>4534.76953125</v>
      </c>
      <c r="Q160" s="17" t="n">
        <v>4293.36083984375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Q3 2024-25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8.79%</t>
        </is>
      </c>
      <c r="J161" s="13" t="inlineStr">
        <is>
          <t>6.08%</t>
        </is>
      </c>
      <c r="K161" s="16">
        <f>X160</f>
        <v/>
      </c>
      <c r="L161" s="13" t="inlineStr">
        <is>
          <t>2024-10-09</t>
        </is>
      </c>
      <c r="M161" s="13" t="inlineStr">
        <is>
          <t>2024-10-22</t>
        </is>
      </c>
      <c r="N161" s="13" t="inlineStr">
        <is>
          <t>2024-10-21</t>
        </is>
      </c>
      <c r="O161" s="9" t="n">
        <v>8957</v>
      </c>
      <c r="P161" s="17" t="n">
        <v>89.66872406005859</v>
      </c>
      <c r="Q161" s="17" t="n">
        <v>98.30978393554688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Q3 2024-25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4.22%</t>
        </is>
      </c>
      <c r="J162" s="13" t="inlineStr">
        <is>
          <t>4.88%</t>
        </is>
      </c>
      <c r="K162" s="16">
        <f>X161</f>
        <v/>
      </c>
      <c r="L162" s="13" t="inlineStr">
        <is>
          <t>2024-10-14</t>
        </is>
      </c>
      <c r="M162" s="13" t="inlineStr">
        <is>
          <t>2024-10-25</t>
        </is>
      </c>
      <c r="N162" s="13" t="inlineStr">
        <is>
          <t>2024-10-21</t>
        </is>
      </c>
      <c r="O162" s="9" t="n">
        <v>967</v>
      </c>
      <c r="P162" s="17" t="n">
        <v>942.9449462890624</v>
      </c>
      <c r="Q162" s="17" t="n">
        <v>984.4832763671876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Q3 2024-25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-1.88%</t>
        </is>
      </c>
      <c r="J163" s="13" t="inlineStr">
        <is>
          <t>-5.41%</t>
        </is>
      </c>
      <c r="K163" s="16">
        <f>X162</f>
        <v/>
      </c>
      <c r="L163" s="13" t="inlineStr">
        <is>
          <t>2024-10-14</t>
        </is>
      </c>
      <c r="M163" s="13" t="inlineStr">
        <is>
          <t>2024-10-22</t>
        </is>
      </c>
      <c r="N163" s="13" t="inlineStr">
        <is>
          <t>2024-10-21</t>
        </is>
      </c>
      <c r="O163" s="9" t="n">
        <v>627</v>
      </c>
      <c r="P163" s="17" t="n">
        <v>1652.650024414062</v>
      </c>
      <c r="Q163" s="17" t="n">
        <v>1621.5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Q3 2024-25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7.38%</t>
        </is>
      </c>
      <c r="J164" s="13" t="inlineStr">
        <is>
          <t>7.36%</t>
        </is>
      </c>
      <c r="K164" s="16">
        <f>X163</f>
        <v/>
      </c>
      <c r="L164" s="13" t="inlineStr">
        <is>
          <t>2024-10-16</t>
        </is>
      </c>
      <c r="M164" s="13" t="inlineStr">
        <is>
          <t>2024-10-22</t>
        </is>
      </c>
      <c r="N164" s="13" t="inlineStr">
        <is>
          <t>2024-10-21</t>
        </is>
      </c>
      <c r="O164" s="9" t="n">
        <v>112</v>
      </c>
      <c r="P164" s="17" t="n">
        <v>6583.19970703125</v>
      </c>
      <c r="Q164" s="17" t="n">
        <v>7107.81103515625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Q3 2024-25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5.85%</t>
        </is>
      </c>
      <c r="J165" s="13" t="inlineStr">
        <is>
          <t>6.38%</t>
        </is>
      </c>
      <c r="K165" s="16">
        <f>X164</f>
        <v/>
      </c>
      <c r="L165" s="13" t="inlineStr">
        <is>
          <t>2024-05-22</t>
        </is>
      </c>
      <c r="M165" s="13" t="inlineStr">
        <is>
          <t>2024-05-30</t>
        </is>
      </c>
      <c r="N165" s="13" t="inlineStr">
        <is>
          <t>2024-05-23</t>
        </is>
      </c>
      <c r="O165" s="9" t="n">
        <v>1800</v>
      </c>
      <c r="P165" s="17" t="n">
        <v>287.0195617675781</v>
      </c>
      <c r="Q165" s="17" t="n">
        <v>304.8471984863281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Q3 2024-25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2024-10-21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Q3 2024-25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8.86%</t>
        </is>
      </c>
      <c r="J167" s="13" t="inlineStr">
        <is>
          <t>4.15%</t>
        </is>
      </c>
      <c r="K167" s="16">
        <f>X166</f>
        <v/>
      </c>
      <c r="L167" s="13" t="inlineStr">
        <is>
          <t>2024-10-18</t>
        </is>
      </c>
      <c r="M167" s="13" t="inlineStr">
        <is>
          <t>2024-10-22</t>
        </is>
      </c>
      <c r="N167" s="13" t="inlineStr">
        <is>
          <t>2024-10-21</t>
        </is>
      </c>
      <c r="O167" s="9" t="n">
        <v>1017</v>
      </c>
      <c r="P167" s="17" t="n">
        <v>995.6788940429688</v>
      </c>
      <c r="Q167" s="17" t="n">
        <v>1092.487182617188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Q3 2024-25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8.01%</t>
        </is>
      </c>
      <c r="J168" s="13" t="inlineStr">
        <is>
          <t>4.23%</t>
        </is>
      </c>
      <c r="K168" s="16">
        <f>X167</f>
        <v/>
      </c>
      <c r="L168" s="13" t="inlineStr">
        <is>
          <t>2024-10-14</t>
        </is>
      </c>
      <c r="M168" s="13" t="inlineStr">
        <is>
          <t>2024-10-25</t>
        </is>
      </c>
      <c r="N168" s="13" t="inlineStr">
        <is>
          <t>2024-10-21</t>
        </is>
      </c>
      <c r="O168" s="9" t="n">
        <v>627</v>
      </c>
      <c r="P168" s="17" t="n">
        <v>1704.987426757812</v>
      </c>
      <c r="Q168" s="17" t="n">
        <v>1853.5166015625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Q3 2024-25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-3.03%</t>
        </is>
      </c>
      <c r="J169" s="13" t="inlineStr">
        <is>
          <t>-4.05%</t>
        </is>
      </c>
      <c r="K169" s="16">
        <f>X168</f>
        <v/>
      </c>
      <c r="L169" s="13" t="inlineStr">
        <is>
          <t>2024-10-09</t>
        </is>
      </c>
      <c r="M169" s="13" t="inlineStr">
        <is>
          <t>2024-10-22</t>
        </is>
      </c>
      <c r="N169" s="13" t="inlineStr">
        <is>
          <t>2024-10-21</t>
        </is>
      </c>
      <c r="O169" s="9" t="n">
        <v>229</v>
      </c>
      <c r="P169" s="17" t="n">
        <v>2172.422119140625</v>
      </c>
      <c r="Q169" s="17" t="n">
        <v>2108.55712890625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Q3 2024-25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20.65%</t>
        </is>
      </c>
      <c r="J170" s="13" t="inlineStr">
        <is>
          <t>15.01%</t>
        </is>
      </c>
      <c r="K170" s="16">
        <f>X169</f>
        <v/>
      </c>
      <c r="L170" s="13" t="inlineStr">
        <is>
          <t>2024-10-16</t>
        </is>
      </c>
      <c r="M170" s="13" t="inlineStr">
        <is>
          <t>2024-10-22</t>
        </is>
      </c>
      <c r="N170" s="13" t="inlineStr">
        <is>
          <t>2024-10-21</t>
        </is>
      </c>
      <c r="O170" s="9" t="n">
        <v>2645</v>
      </c>
      <c r="P170" s="17" t="n">
        <v>166.5941925048828</v>
      </c>
      <c r="Q170" s="17" t="n">
        <v>209.9365844726562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Q3 2024-25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-3.81%</t>
        </is>
      </c>
      <c r="J171" s="13" t="inlineStr">
        <is>
          <t>-5.33%</t>
        </is>
      </c>
      <c r="K171" s="16">
        <f>X170</f>
        <v/>
      </c>
      <c r="L171" s="13" t="inlineStr">
        <is>
          <t>2026-01-28</t>
        </is>
      </c>
      <c r="M171" s="13" t="inlineStr">
        <is>
          <t>2026-02-02</t>
        </is>
      </c>
      <c r="N171" s="13" t="inlineStr">
        <is>
          <t>2026-01-29</t>
        </is>
      </c>
      <c r="O171" s="9" t="n">
        <v>2667</v>
      </c>
      <c r="P171" s="17" t="n">
        <v>369.375732421875</v>
      </c>
      <c r="Q171" s="17" t="n">
        <v>355.2856750488281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Q3 2024-25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0.35%</t>
        </is>
      </c>
      <c r="J172" s="13" t="inlineStr">
        <is>
          <t>-0.88%</t>
        </is>
      </c>
      <c r="K172" s="16">
        <f>X171</f>
        <v/>
      </c>
      <c r="L172" s="13" t="inlineStr">
        <is>
          <t>2024-04-19</t>
        </is>
      </c>
      <c r="M172" s="13" t="inlineStr">
        <is>
          <t>2024-04-29</t>
        </is>
      </c>
      <c r="N172" s="13" t="inlineStr">
        <is>
          <t>2024-04-22</t>
        </is>
      </c>
      <c r="O172" s="9" t="n">
        <v>250</v>
      </c>
      <c r="P172" s="17" t="n">
        <v>1447.568481445312</v>
      </c>
      <c r="Q172" s="17" t="n">
        <v>1452.607666015625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Q3 2024-25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7.97%</t>
        </is>
      </c>
      <c r="J173" s="13" t="inlineStr">
        <is>
          <t>5.86%</t>
        </is>
      </c>
      <c r="K173" s="16">
        <f>X172</f>
        <v/>
      </c>
      <c r="L173" s="13" t="inlineStr">
        <is>
          <t>2024-10-09</t>
        </is>
      </c>
      <c r="M173" s="13" t="inlineStr">
        <is>
          <t>2024-10-22</t>
        </is>
      </c>
      <c r="N173" s="13" t="inlineStr">
        <is>
          <t>2024-10-21</t>
        </is>
      </c>
      <c r="O173" s="9" t="n">
        <v>4486</v>
      </c>
      <c r="P173" s="17" t="n">
        <v>438.8708190917969</v>
      </c>
      <c r="Q173" s="17" t="n">
        <v>476.8524169921875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Q3 2024-25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-2.52%</t>
        </is>
      </c>
      <c r="J174" s="13" t="inlineStr">
        <is>
          <t>-10.72%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2024-10-21</t>
        </is>
      </c>
      <c r="O174" s="9" t="n">
        <v>21748</v>
      </c>
      <c r="P174" s="17" t="n">
        <v>29.29071998596192</v>
      </c>
      <c r="Q174" s="17" t="n">
        <v>28.55146026611328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Q3 2024-25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14.86%</t>
        </is>
      </c>
      <c r="J175" s="13" t="inlineStr">
        <is>
          <t>10.74%</t>
        </is>
      </c>
      <c r="K175" s="16">
        <f>X174</f>
        <v/>
      </c>
      <c r="L175" s="13" t="inlineStr">
        <is>
          <t>2024-10-15</t>
        </is>
      </c>
      <c r="M175" s="13" t="inlineStr">
        <is>
          <t>2024-10-25</t>
        </is>
      </c>
      <c r="N175" s="13" t="inlineStr">
        <is>
          <t>2024-10-21</t>
        </is>
      </c>
      <c r="O175" s="9" t="n">
        <v>5915</v>
      </c>
      <c r="P175" s="17" t="n">
        <v>110.1000900268555</v>
      </c>
      <c r="Q175" s="17" t="n">
        <v>129.3192138671875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Q3 2024-25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4.93%</t>
        </is>
      </c>
      <c r="J176" s="13" t="inlineStr">
        <is>
          <t>0.72%</t>
        </is>
      </c>
      <c r="K176" s="16">
        <f>X175</f>
        <v/>
      </c>
      <c r="L176" s="13" t="inlineStr">
        <is>
          <t>2024-10-09</t>
        </is>
      </c>
      <c r="M176" s="13" t="inlineStr">
        <is>
          <t>2024-10-22</t>
        </is>
      </c>
      <c r="N176" s="13" t="inlineStr">
        <is>
          <t>2024-10-21</t>
        </is>
      </c>
      <c r="O176" s="9" t="n">
        <v>1550</v>
      </c>
      <c r="P176" s="17" t="n">
        <v>703.55</v>
      </c>
      <c r="Q176" s="17" t="n">
        <v>740.05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Q3 2024-25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2.82%</t>
        </is>
      </c>
      <c r="J177" s="13" t="inlineStr">
        <is>
          <t>1.83%</t>
        </is>
      </c>
      <c r="K177" s="16">
        <f>X176</f>
        <v/>
      </c>
      <c r="L177" s="13" t="inlineStr">
        <is>
          <t>2023-04-25</t>
        </is>
      </c>
      <c r="M177" s="13" t="inlineStr">
        <is>
          <t>2023-04-27</t>
        </is>
      </c>
      <c r="N177" s="13" t="inlineStr">
        <is>
          <t>2023-04-26</t>
        </is>
      </c>
      <c r="O177" s="9" t="n">
        <v>375</v>
      </c>
      <c r="P177" s="17" t="n">
        <v>1100.240600585938</v>
      </c>
      <c r="Q177" s="17" t="n">
        <v>1131.282470703125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Q3 2024-25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-1.34%</t>
        </is>
      </c>
      <c r="J178" s="13" t="inlineStr">
        <is>
          <t>-1.81%</t>
        </is>
      </c>
      <c r="K178" s="16">
        <f>X177</f>
        <v/>
      </c>
      <c r="L178" s="13" t="inlineStr">
        <is>
          <t>2024-05-09</t>
        </is>
      </c>
      <c r="M178" s="13" t="inlineStr">
        <is>
          <t>2024-05-13</t>
        </is>
      </c>
      <c r="N178" s="13" t="inlineStr">
        <is>
          <t>2024-05-09</t>
        </is>
      </c>
      <c r="O178" s="9" t="n">
        <v>1500</v>
      </c>
      <c r="P178" s="17" t="n">
        <v>776.4129638671875</v>
      </c>
      <c r="Q178" s="17" t="n">
        <v>765.9951782226562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Q3 2024-25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-2.16%</t>
        </is>
      </c>
      <c r="J179" s="13" t="inlineStr">
        <is>
          <t>-5.22%</t>
        </is>
      </c>
      <c r="K179" s="16">
        <f>X178</f>
        <v/>
      </c>
      <c r="L179" s="13" t="inlineStr">
        <is>
          <t>2024-10-09</t>
        </is>
      </c>
      <c r="M179" s="13" t="inlineStr">
        <is>
          <t>2024-10-22</t>
        </is>
      </c>
      <c r="N179" s="13" t="inlineStr">
        <is>
          <t>2024-10-21</t>
        </is>
      </c>
      <c r="O179" s="9" t="n">
        <v>100</v>
      </c>
      <c r="P179" s="17" t="n">
        <v>24747.125</v>
      </c>
      <c r="Q179" s="17" t="n">
        <v>24211.408203125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Q3 2024-25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3.88%</t>
        </is>
      </c>
      <c r="J180" s="13" t="inlineStr">
        <is>
          <t>1.91%</t>
        </is>
      </c>
      <c r="K180" s="16">
        <f>X179</f>
        <v/>
      </c>
      <c r="L180" s="13" t="inlineStr">
        <is>
          <t>2024-04-25</t>
        </is>
      </c>
      <c r="M180" s="13" t="inlineStr">
        <is>
          <t>2024-05-03</t>
        </is>
      </c>
      <c r="N180" s="13" t="inlineStr">
        <is>
          <t>2024-04-26</t>
        </is>
      </c>
      <c r="O180" s="9" t="n">
        <v>957</v>
      </c>
      <c r="P180" s="17" t="n">
        <v>482.1468811035156</v>
      </c>
      <c r="Q180" s="17" t="n">
        <v>500.8573608398438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Q3 2024-25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-5.71%</t>
        </is>
      </c>
      <c r="J181" s="13" t="inlineStr">
        <is>
          <t>-7.83%</t>
        </is>
      </c>
      <c r="K181" s="16">
        <f>X180</f>
        <v/>
      </c>
      <c r="L181" s="13" t="inlineStr">
        <is>
          <t>2024-10-09</t>
        </is>
      </c>
      <c r="M181" s="13" t="inlineStr">
        <is>
          <t>2024-10-22</t>
        </is>
      </c>
      <c r="N181" s="13" t="inlineStr">
        <is>
          <t>2024-10-21</t>
        </is>
      </c>
      <c r="O181" s="9" t="n">
        <v>273</v>
      </c>
      <c r="P181" s="17" t="n">
        <v>4468.736328125</v>
      </c>
      <c r="Q181" s="17" t="n">
        <v>4213.49462890625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Q3 2024-25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-7.37%</t>
        </is>
      </c>
      <c r="J182" s="13" t="inlineStr">
        <is>
          <t>-9.76%</t>
        </is>
      </c>
      <c r="K182" s="16">
        <f>X181</f>
        <v/>
      </c>
      <c r="L182" s="13" t="inlineStr">
        <is>
          <t>2024-10-10</t>
        </is>
      </c>
      <c r="M182" s="13" t="inlineStr">
        <is>
          <t>2024-10-25</t>
        </is>
      </c>
      <c r="N182" s="13" t="inlineStr">
        <is>
          <t>2024-10-21</t>
        </is>
      </c>
      <c r="O182" s="9" t="n">
        <v>100</v>
      </c>
      <c r="P182" s="17" t="n">
        <v>11283.8251953125</v>
      </c>
      <c r="Q182" s="17" t="n">
        <v>10452.4140625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Q3 2024-25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-5.93%</t>
        </is>
      </c>
      <c r="J183" s="13" t="inlineStr">
        <is>
          <t>-10.77%</t>
        </is>
      </c>
      <c r="K183" s="16">
        <f>X182</f>
        <v/>
      </c>
      <c r="L183" s="13" t="inlineStr">
        <is>
          <t>2024-10-14</t>
        </is>
      </c>
      <c r="M183" s="13" t="inlineStr">
        <is>
          <t>2024-10-25</t>
        </is>
      </c>
      <c r="N183" s="13" t="inlineStr">
        <is>
          <t>2024-10-21</t>
        </is>
      </c>
      <c r="O183" s="9" t="n">
        <v>1309</v>
      </c>
      <c r="P183" s="17" t="n">
        <v>690.43994140625</v>
      </c>
      <c r="Q183" s="17" t="n">
        <v>651.783203125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Q3 2024-25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4.3%</t>
        </is>
      </c>
      <c r="J184" s="13" t="inlineStr">
        <is>
          <t>4.28%</t>
        </is>
      </c>
      <c r="K184" s="16">
        <f>X183</f>
        <v/>
      </c>
      <c r="L184" s="13" t="inlineStr">
        <is>
          <t>2024-10-16</t>
        </is>
      </c>
      <c r="M184" s="13" t="inlineStr">
        <is>
          <t>2024-10-25</t>
        </is>
      </c>
      <c r="N184" s="13" t="inlineStr">
        <is>
          <t>2024-10-21</t>
        </is>
      </c>
      <c r="O184" s="9" t="n">
        <v>383</v>
      </c>
      <c r="P184" s="17" t="n">
        <v>2193.0927734375</v>
      </c>
      <c r="Q184" s="17" t="n">
        <v>2291.672119140625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Q3 2024-25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-3.02%</t>
        </is>
      </c>
      <c r="J185" s="13" t="inlineStr">
        <is>
          <t>-3.58%</t>
        </is>
      </c>
      <c r="K185" s="16">
        <f>X184</f>
        <v/>
      </c>
      <c r="L185" s="13" t="inlineStr">
        <is>
          <t>2024-05-13</t>
        </is>
      </c>
      <c r="M185" s="13" t="inlineStr">
        <is>
          <t>2024-05-29</t>
        </is>
      </c>
      <c r="N185" s="13" t="inlineStr">
        <is>
          <t>2024-05-22</t>
        </is>
      </c>
      <c r="O185" s="9" t="n">
        <v>350</v>
      </c>
      <c r="P185" s="17" t="n">
        <v>1492.531982421875</v>
      </c>
      <c r="Q185" s="17" t="n">
        <v>1447.414794921875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Q3 2024-25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15.54%</t>
        </is>
      </c>
      <c r="J186" s="13" t="inlineStr">
        <is>
          <t>12.23%</t>
        </is>
      </c>
      <c r="K186" s="16">
        <f>X185</f>
        <v/>
      </c>
      <c r="L186" s="13" t="inlineStr">
        <is>
          <t>2024-10-10</t>
        </is>
      </c>
      <c r="M186" s="13" t="inlineStr">
        <is>
          <t>2024-10-22</t>
        </is>
      </c>
      <c r="N186" s="13" t="inlineStr">
        <is>
          <t>2024-10-21</t>
        </is>
      </c>
      <c r="O186" s="9" t="n">
        <v>289</v>
      </c>
      <c r="P186" s="17" t="n">
        <v>4407.361328125</v>
      </c>
      <c r="Q186" s="17" t="n">
        <v>5218.26025390625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Q3 2024-25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-10.56%</t>
        </is>
      </c>
      <c r="J187" s="13" t="inlineStr">
        <is>
          <t>-17.21%</t>
        </is>
      </c>
      <c r="K187" s="16">
        <f>X186</f>
        <v/>
      </c>
      <c r="L187" s="13" t="inlineStr">
        <is>
          <t>2024-10-10</t>
        </is>
      </c>
      <c r="M187" s="13" t="inlineStr">
        <is>
          <t>2024-10-25</t>
        </is>
      </c>
      <c r="N187" s="13" t="inlineStr">
        <is>
          <t>2024-10-21</t>
        </is>
      </c>
      <c r="O187" s="9" t="n">
        <v>21097</v>
      </c>
      <c r="P187" s="17" t="n">
        <v>75.44000244140625</v>
      </c>
      <c r="Q187" s="17" t="n">
        <v>67.47000122070312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Q3 2024-25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-5.55%</t>
        </is>
      </c>
      <c r="J188" s="13" t="inlineStr">
        <is>
          <t>-2.64%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2024-10-21</t>
        </is>
      </c>
      <c r="O188" s="9" t="n">
        <v>3379</v>
      </c>
      <c r="P188" s="17" t="n">
        <v>456</v>
      </c>
      <c r="Q188" s="17" t="n">
        <v>430.7000122070313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Q3 2024-25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6.81%</t>
        </is>
      </c>
      <c r="J189" s="13" t="inlineStr">
        <is>
          <t>6.96%</t>
        </is>
      </c>
      <c r="K189" s="16">
        <f>X188</f>
        <v/>
      </c>
      <c r="L189" s="13" t="inlineStr">
        <is>
          <t>2024-04-22</t>
        </is>
      </c>
      <c r="M189" s="13" t="inlineStr">
        <is>
          <t>2024-05-02</t>
        </is>
      </c>
      <c r="N189" s="13" t="inlineStr">
        <is>
          <t>2024-04-24</t>
        </is>
      </c>
      <c r="O189" s="9" t="n">
        <v>450</v>
      </c>
      <c r="P189" s="17" t="n">
        <v>1066.680297851562</v>
      </c>
      <c r="Q189" s="17" t="n">
        <v>1144.690673828125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Q3 2024-25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9.91%</t>
        </is>
      </c>
      <c r="J190" s="13" t="inlineStr">
        <is>
          <t>2.41%</t>
        </is>
      </c>
      <c r="K190" s="16">
        <f>X189</f>
        <v/>
      </c>
      <c r="L190" s="13" t="inlineStr">
        <is>
          <t>2024-10-10</t>
        </is>
      </c>
      <c r="M190" s="13" t="inlineStr">
        <is>
          <t>2024-10-25</t>
        </is>
      </c>
      <c r="N190" s="13" t="inlineStr">
        <is>
          <t>2024-10-21</t>
        </is>
      </c>
      <c r="O190" s="9" t="n">
        <v>273</v>
      </c>
      <c r="P190" s="17" t="n">
        <v>6790.67626953125</v>
      </c>
      <c r="Q190" s="17" t="n">
        <v>7537.33837890625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Q3 2024-25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-1.43%</t>
        </is>
      </c>
      <c r="J191" s="13" t="inlineStr">
        <is>
          <t>-4.65%</t>
        </is>
      </c>
      <c r="K191" s="16">
        <f>X190</f>
        <v/>
      </c>
      <c r="L191" s="13" t="inlineStr">
        <is>
          <t>2024-10-17</t>
        </is>
      </c>
      <c r="M191" s="13" t="inlineStr">
        <is>
          <t>2024-10-22</t>
        </is>
      </c>
      <c r="N191" s="13" t="inlineStr">
        <is>
          <t>2024-10-21</t>
        </is>
      </c>
      <c r="O191" s="9" t="n">
        <v>1425</v>
      </c>
      <c r="P191" s="17" t="n">
        <v>894.3</v>
      </c>
      <c r="Q191" s="17" t="n">
        <v>881.5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Q3 2024-25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8.7%</t>
        </is>
      </c>
      <c r="J192" s="13" t="inlineStr">
        <is>
          <t>6.38%</t>
        </is>
      </c>
      <c r="K192" s="16">
        <f>X191</f>
        <v/>
      </c>
      <c r="L192" s="13" t="inlineStr">
        <is>
          <t>2024-10-14</t>
        </is>
      </c>
      <c r="M192" s="13" t="inlineStr">
        <is>
          <t>2024-10-25</t>
        </is>
      </c>
      <c r="N192" s="13" t="inlineStr">
        <is>
          <t>2024-10-21</t>
        </is>
      </c>
      <c r="O192" s="9" t="n">
        <v>2659</v>
      </c>
      <c r="P192" s="17" t="n">
        <v>417.0460510253906</v>
      </c>
      <c r="Q192" s="17" t="n">
        <v>456.7647094726562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Q3 2024-25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-1.11%</t>
        </is>
      </c>
      <c r="J193" s="13" t="inlineStr">
        <is>
          <t>-0.45%</t>
        </is>
      </c>
      <c r="K193" s="16">
        <f>X192</f>
        <v/>
      </c>
      <c r="L193" s="13" t="inlineStr">
        <is>
          <t>2024-05-17</t>
        </is>
      </c>
      <c r="M193" s="13" t="inlineStr">
        <is>
          <t>2024-06-05</t>
        </is>
      </c>
      <c r="N193" s="13" t="inlineStr">
        <is>
          <t>2024-05-29</t>
        </is>
      </c>
      <c r="O193" s="9" t="n">
        <v>5500</v>
      </c>
      <c r="P193" s="17" t="n">
        <v>158.8035736083984</v>
      </c>
      <c r="Q193" s="17" t="n">
        <v>157.0672607421875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Q3 2024-25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0.96%</t>
        </is>
      </c>
      <c r="J194" s="13" t="inlineStr">
        <is>
          <t>1.24%</t>
        </is>
      </c>
      <c r="K194" s="16">
        <f>X193</f>
        <v/>
      </c>
      <c r="L194" s="13" t="inlineStr">
        <is>
          <t>2024-04-05</t>
        </is>
      </c>
      <c r="M194" s="13" t="inlineStr">
        <is>
          <t>2024-04-15</t>
        </is>
      </c>
      <c r="N194" s="13" t="inlineStr">
        <is>
          <t>2024-04-12</t>
        </is>
      </c>
      <c r="O194" s="9" t="n">
        <v>175</v>
      </c>
      <c r="P194" s="17" t="n">
        <v>3646.654541015625</v>
      </c>
      <c r="Q194" s="17" t="n">
        <v>3681.86083984375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Q3 2024-25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-5.46%</t>
        </is>
      </c>
      <c r="J195" s="13" t="inlineStr">
        <is>
          <t>-6.62%</t>
        </is>
      </c>
      <c r="K195" s="16">
        <f>X194</f>
        <v/>
      </c>
      <c r="L195" s="13" t="inlineStr">
        <is>
          <t>2024-04-24</t>
        </is>
      </c>
      <c r="M195" s="13" t="inlineStr">
        <is>
          <t>2024-05-03</t>
        </is>
      </c>
      <c r="N195" s="13" t="inlineStr">
        <is>
          <t>2024-04-25</t>
        </is>
      </c>
      <c r="O195" s="9" t="n">
        <v>600</v>
      </c>
      <c r="P195" s="17" t="n">
        <v>1152.607055664062</v>
      </c>
      <c r="Q195" s="17" t="n">
        <v>1092.923583984375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Q3 2024-25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-3.68%</t>
        </is>
      </c>
      <c r="J196" s="13" t="inlineStr">
        <is>
          <t>-9.5%</t>
        </is>
      </c>
      <c r="K196" s="16">
        <f>X195</f>
        <v/>
      </c>
      <c r="L196" s="13" t="inlineStr">
        <is>
          <t>2024-10-15</t>
        </is>
      </c>
      <c r="M196" s="13" t="inlineStr">
        <is>
          <t>2024-10-22</t>
        </is>
      </c>
      <c r="N196" s="13" t="inlineStr">
        <is>
          <t>2024-10-21</t>
        </is>
      </c>
      <c r="O196" s="9" t="n">
        <v>371</v>
      </c>
      <c r="P196" s="17" t="n">
        <v>4477.2412109375</v>
      </c>
      <c r="Q196" s="17" t="n">
        <v>4318.16552734375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Q3 2024-25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8.08%</t>
        </is>
      </c>
      <c r="J197" s="13" t="inlineStr">
        <is>
          <t>7.86%</t>
        </is>
      </c>
      <c r="K197" s="16">
        <f>X196</f>
        <v/>
      </c>
      <c r="L197" s="13" t="inlineStr">
        <is>
          <t>2024-05-02</t>
        </is>
      </c>
      <c r="M197" s="13" t="inlineStr">
        <is>
          <t>2024-05-06</t>
        </is>
      </c>
      <c r="N197" s="13" t="inlineStr">
        <is>
          <t>2024-05-03</t>
        </is>
      </c>
      <c r="O197" s="9" t="n">
        <v>175</v>
      </c>
      <c r="P197" s="17" t="n">
        <v>3248.9814453125</v>
      </c>
      <c r="Q197" s="17" t="n">
        <v>3534.54150390625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Q3 2024-25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6.18%</t>
        </is>
      </c>
      <c r="J198" s="13" t="inlineStr">
        <is>
          <t>5.34%</t>
        </is>
      </c>
      <c r="K198" s="16">
        <f>X197</f>
        <v/>
      </c>
      <c r="L198" s="13" t="inlineStr">
        <is>
          <t>2007-10-30</t>
        </is>
      </c>
      <c r="M198" s="13" t="inlineStr">
        <is>
          <t>2007-11-07</t>
        </is>
      </c>
      <c r="N198" s="13" t="inlineStr">
        <is>
          <t>2007-10-31</t>
        </is>
      </c>
      <c r="O198" s="9" t="n">
        <v>3054</v>
      </c>
      <c r="P198" s="17" t="n">
        <v>120.5270080566406</v>
      </c>
      <c r="Q198" s="17" t="n">
        <v>128.4667663574219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Q3 2024-25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-0.48%</t>
        </is>
      </c>
      <c r="J199" s="13" t="inlineStr">
        <is>
          <t>-2.26%</t>
        </is>
      </c>
      <c r="K199" s="16">
        <f>X198</f>
        <v/>
      </c>
      <c r="L199" s="13" t="inlineStr">
        <is>
          <t>2024-10-18</t>
        </is>
      </c>
      <c r="M199" s="13" t="inlineStr">
        <is>
          <t>2024-10-25</t>
        </is>
      </c>
      <c r="N199" s="13" t="inlineStr">
        <is>
          <t>2024-10-21</t>
        </is>
      </c>
      <c r="O199" s="9" t="n">
        <v>205</v>
      </c>
      <c r="P199" s="17" t="n">
        <v>3386.307861328125</v>
      </c>
      <c r="Q199" s="17" t="n">
        <v>3369.963134765625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Q3 2024-25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4.63%</t>
        </is>
      </c>
      <c r="J200" s="13" t="inlineStr">
        <is>
          <t>3.25%</t>
        </is>
      </c>
      <c r="K200" s="16">
        <f>X199</f>
        <v/>
      </c>
      <c r="L200" s="13" t="inlineStr">
        <is>
          <t>2024-04-26</t>
        </is>
      </c>
      <c r="M200" s="13" t="inlineStr">
        <is>
          <t>2024-05-07</t>
        </is>
      </c>
      <c r="N200" s="13" t="inlineStr">
        <is>
          <t>2024-04-30</t>
        </is>
      </c>
      <c r="O200" s="9" t="n">
        <v>345</v>
      </c>
      <c r="P200" s="17" t="n">
        <v>4294.05419921875</v>
      </c>
      <c r="Q200" s="17" t="n">
        <v>4492.65478515625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Q3 2024-25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6.04%</t>
        </is>
      </c>
      <c r="J201" s="13" t="inlineStr">
        <is>
          <t>5.76%</t>
        </is>
      </c>
      <c r="K201" s="16">
        <f>X200</f>
        <v/>
      </c>
      <c r="L201" s="13" t="inlineStr">
        <is>
          <t>2024-10-15</t>
        </is>
      </c>
      <c r="M201" s="13" t="inlineStr">
        <is>
          <t>2024-10-22</t>
        </is>
      </c>
      <c r="N201" s="13" t="inlineStr">
        <is>
          <t>2024-10-21</t>
        </is>
      </c>
      <c r="O201" s="9" t="n">
        <v>237</v>
      </c>
      <c r="P201" s="17" t="n">
        <v>2642.26953125</v>
      </c>
      <c r="Q201" s="17" t="n">
        <v>2812.069091796875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Q3 2024-25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2.45%</t>
        </is>
      </c>
      <c r="J202" s="13" t="inlineStr">
        <is>
          <t>1.47%</t>
        </is>
      </c>
      <c r="K202" s="16">
        <f>X201</f>
        <v/>
      </c>
      <c r="L202" s="13" t="inlineStr">
        <is>
          <t>2024-04-25</t>
        </is>
      </c>
      <c r="M202" s="13" t="inlineStr">
        <is>
          <t>2024-05-09</t>
        </is>
      </c>
      <c r="N202" s="13" t="inlineStr">
        <is>
          <t>2024-05-03</t>
        </is>
      </c>
      <c r="O202" s="9" t="n">
        <v>100</v>
      </c>
      <c r="P202" s="17" t="n">
        <v>9331.263671875</v>
      </c>
      <c r="Q202" s="17" t="n">
        <v>9566.0244140625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Q3 2024-25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-2.95%</t>
        </is>
      </c>
      <c r="J203" s="13" t="inlineStr">
        <is>
          <t>-4.5%</t>
        </is>
      </c>
      <c r="K203" s="16">
        <f>X202</f>
        <v/>
      </c>
      <c r="L203" s="13" t="inlineStr">
        <is>
          <t>2024-10-17</t>
        </is>
      </c>
      <c r="M203" s="13" t="inlineStr">
        <is>
          <t>2024-10-25</t>
        </is>
      </c>
      <c r="N203" s="13" t="inlineStr">
        <is>
          <t>2024-10-21</t>
        </is>
      </c>
      <c r="O203" s="9" t="n">
        <v>5868</v>
      </c>
      <c r="P203" s="17" t="n">
        <v>104.7820281982422</v>
      </c>
      <c r="Q203" s="17" t="n">
        <v>101.6910781860352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Q3 2024-25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4.37%</t>
        </is>
      </c>
      <c r="J204" s="13" t="inlineStr">
        <is>
          <t>4.57%</t>
        </is>
      </c>
      <c r="K204" s="16">
        <f>X203</f>
        <v/>
      </c>
      <c r="L204" s="13" t="inlineStr">
        <is>
          <t>2024-10-15</t>
        </is>
      </c>
      <c r="M204" s="13" t="inlineStr">
        <is>
          <t>2024-10-25</t>
        </is>
      </c>
      <c r="N204" s="13" t="inlineStr">
        <is>
          <t>2024-10-21</t>
        </is>
      </c>
      <c r="O204" s="9" t="n">
        <v>652</v>
      </c>
      <c r="P204" s="17" t="n">
        <v>1449.49462890625</v>
      </c>
      <c r="Q204" s="17" t="n">
        <v>1515.6923828125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Q3 2024-25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-6.93%</t>
        </is>
      </c>
      <c r="J205" s="13" t="inlineStr">
        <is>
          <t>-11.92%</t>
        </is>
      </c>
      <c r="K205" s="16">
        <f>X204</f>
        <v/>
      </c>
      <c r="L205" s="13" t="inlineStr">
        <is>
          <t>2024-10-10</t>
        </is>
      </c>
      <c r="M205" s="13" t="inlineStr">
        <is>
          <t>2024-10-25</t>
        </is>
      </c>
      <c r="N205" s="13" t="inlineStr">
        <is>
          <t>2024-10-21</t>
        </is>
      </c>
      <c r="O205" s="9" t="n">
        <v>852</v>
      </c>
      <c r="P205" s="17" t="n">
        <v>998.3168334960938</v>
      </c>
      <c r="Q205" s="17" t="n">
        <v>929.1808471679688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Q3 2024-25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9.08%</t>
        </is>
      </c>
      <c r="J206" s="13" t="inlineStr">
        <is>
          <t>9.77%</t>
        </is>
      </c>
      <c r="K206" s="16">
        <f>X205</f>
        <v/>
      </c>
      <c r="L206" s="13" t="inlineStr">
        <is>
          <t>2024-10-15</t>
        </is>
      </c>
      <c r="M206" s="13" t="inlineStr">
        <is>
          <t>2024-10-25</t>
        </is>
      </c>
      <c r="N206" s="13" t="inlineStr">
        <is>
          <t>2024-10-21</t>
        </is>
      </c>
      <c r="O206" s="9" t="n">
        <v>1659</v>
      </c>
      <c r="P206" s="17" t="n">
        <v>512.25830078125</v>
      </c>
      <c r="Q206" s="17" t="n">
        <v>563.43994140625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Q3 2024-25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2.26%</t>
        </is>
      </c>
      <c r="J207" s="13" t="inlineStr">
        <is>
          <t>1.41%</t>
        </is>
      </c>
      <c r="K207" s="16">
        <f>X206</f>
        <v/>
      </c>
      <c r="L207" s="13" t="inlineStr">
        <is>
          <t>2024-10-16</t>
        </is>
      </c>
      <c r="M207" s="13" t="inlineStr">
        <is>
          <t>2024-10-22</t>
        </is>
      </c>
      <c r="N207" s="13" t="inlineStr">
        <is>
          <t>2024-10-21</t>
        </is>
      </c>
      <c r="O207" s="9" t="n">
        <v>2215</v>
      </c>
      <c r="P207" s="17" t="n">
        <v>591.5532836914062</v>
      </c>
      <c r="Q207" s="17" t="n">
        <v>605.2340087890625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Q3 2024-25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-3.55%</t>
        </is>
      </c>
      <c r="J208" s="13" t="inlineStr">
        <is>
          <t>-4.82%</t>
        </is>
      </c>
      <c r="K208" s="16">
        <f>X207</f>
        <v/>
      </c>
      <c r="L208" s="13" t="inlineStr">
        <is>
          <t>2024-10-17</t>
        </is>
      </c>
      <c r="M208" s="13" t="inlineStr">
        <is>
          <t>2024-10-25</t>
        </is>
      </c>
      <c r="N208" s="13" t="inlineStr">
        <is>
          <t>2024-10-21</t>
        </is>
      </c>
      <c r="O208" s="9" t="n">
        <v>3738</v>
      </c>
      <c r="P208" s="17" t="n">
        <v>433.0036010742188</v>
      </c>
      <c r="Q208" s="17" t="n">
        <v>417.6423950195313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Q3 2024-25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-6.08%</t>
        </is>
      </c>
      <c r="J209" s="13" t="inlineStr">
        <is>
          <t>-18.19%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2024-10-21</t>
        </is>
      </c>
      <c r="O209" s="9" t="n">
        <v>9268</v>
      </c>
      <c r="P209" s="17" t="n">
        <v>111.9300003051758</v>
      </c>
      <c r="Q209" s="17" t="n">
        <v>105.129997253418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Q3 2024-25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6.72%</t>
        </is>
      </c>
      <c r="J210" s="13" t="inlineStr">
        <is>
          <t>5.1%</t>
        </is>
      </c>
      <c r="K210" s="16">
        <f>X209</f>
        <v/>
      </c>
      <c r="L210" s="13" t="inlineStr">
        <is>
          <t>2024-10-16</t>
        </is>
      </c>
      <c r="M210" s="13" t="inlineStr">
        <is>
          <t>2024-10-25</t>
        </is>
      </c>
      <c r="N210" s="13" t="inlineStr">
        <is>
          <t>2024-10-21</t>
        </is>
      </c>
      <c r="O210" s="9" t="n">
        <v>750</v>
      </c>
      <c r="P210" s="17" t="n">
        <v>1739.6435546875</v>
      </c>
      <c r="Q210" s="17" t="n">
        <v>1864.997924804688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Q3 2024-25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-23.57%</t>
        </is>
      </c>
      <c r="J211" s="13" t="inlineStr">
        <is>
          <t>-44.18%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2024-10-21</t>
        </is>
      </c>
      <c r="O211" s="9" t="n">
        <v>380</v>
      </c>
      <c r="P211" s="17" t="n">
        <v>2888.479736328125</v>
      </c>
      <c r="Q211" s="17" t="n">
        <v>2337.588623046875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Q3 2024-25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-3.42%</t>
        </is>
      </c>
      <c r="J212" s="13" t="inlineStr">
        <is>
          <t>-4.27%</t>
        </is>
      </c>
      <c r="K212" s="16">
        <f>X211</f>
        <v/>
      </c>
      <c r="L212" s="13" t="inlineStr">
        <is>
          <t>2024-04-10</t>
        </is>
      </c>
      <c r="M212" s="13" t="inlineStr">
        <is>
          <t>2024-04-25</t>
        </is>
      </c>
      <c r="N212" s="13" t="inlineStr">
        <is>
          <t>2024-04-19</t>
        </is>
      </c>
      <c r="O212" s="9" t="n">
        <v>1500</v>
      </c>
      <c r="P212" s="17" t="n">
        <v>223.7106628417969</v>
      </c>
      <c r="Q212" s="17" t="n">
        <v>216.0708465576172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Q3 2024-25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10.07%</t>
        </is>
      </c>
      <c r="J213" s="13" t="inlineStr">
        <is>
          <t>9.55%</t>
        </is>
      </c>
      <c r="K213" s="16">
        <f>X212</f>
        <v/>
      </c>
      <c r="L213" s="13" t="inlineStr">
        <is>
          <t>2024-10-09</t>
        </is>
      </c>
      <c r="M213" s="13" t="inlineStr">
        <is>
          <t>2024-10-25</t>
        </is>
      </c>
      <c r="N213" s="13" t="inlineStr">
        <is>
          <t>2024-10-21</t>
        </is>
      </c>
      <c r="O213" s="9" t="n">
        <v>44365</v>
      </c>
      <c r="P213" s="17" t="n">
        <v>19.3799991607666</v>
      </c>
      <c r="Q213" s="17" t="n">
        <v>21.54999923706055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Q3 2024-25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6.38%</t>
        </is>
      </c>
      <c r="J214" s="13" t="inlineStr">
        <is>
          <t>8.98%</t>
        </is>
      </c>
      <c r="K214" s="16">
        <f>X213</f>
        <v/>
      </c>
      <c r="L214" s="13" t="inlineStr">
        <is>
          <t>2024-10-15</t>
        </is>
      </c>
      <c r="M214" s="13" t="inlineStr">
        <is>
          <t>2024-10-25</t>
        </is>
      </c>
      <c r="N214" s="13" t="inlineStr">
        <is>
          <t>2024-10-21</t>
        </is>
      </c>
      <c r="O214" s="9" t="n">
        <v>896</v>
      </c>
      <c r="P214" s="17" t="n">
        <v>978.5015258789062</v>
      </c>
      <c r="Q214" s="17" t="n">
        <v>1045.2265625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2024-25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Q2 2024-25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-7.4%</t>
        </is>
      </c>
      <c r="J4" s="13" t="inlineStr">
        <is>
          <t>-9.47%</t>
        </is>
      </c>
      <c r="K4" s="16" t="n">
        <v>42511150.11</v>
      </c>
      <c r="L4" s="13" t="inlineStr">
        <is>
          <t>2026-03-06</t>
        </is>
      </c>
      <c r="M4" s="13" t="inlineStr">
        <is>
          <t>2026-03-23</t>
        </is>
      </c>
      <c r="N4" s="13" t="inlineStr">
        <is>
          <t>2026-03-16</t>
        </is>
      </c>
      <c r="O4" s="9" t="n">
        <v>874</v>
      </c>
      <c r="P4" s="17" t="n">
        <v>1058.057983398438</v>
      </c>
      <c r="Q4" s="17" t="n">
        <v>979.7128295898438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Q2 2024-25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3.07%</t>
        </is>
      </c>
      <c r="J5" s="13" t="inlineStr">
        <is>
          <t>2.46%</t>
        </is>
      </c>
      <c r="K5" s="16">
        <f>X4</f>
        <v/>
      </c>
      <c r="L5" s="13" t="inlineStr">
        <is>
          <t>2026-02-18</t>
        </is>
      </c>
      <c r="M5" s="13" t="inlineStr">
        <is>
          <t>2026-03-06</t>
        </is>
      </c>
      <c r="N5" s="13" t="inlineStr">
        <is>
          <t>2026-02-27</t>
        </is>
      </c>
      <c r="O5" s="9" t="n">
        <v>137</v>
      </c>
      <c r="P5" s="17" t="n">
        <v>5857.54296875</v>
      </c>
      <c r="Q5" s="17" t="n">
        <v>6037.30810546875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Q2 2024-25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4.23%</t>
        </is>
      </c>
      <c r="J6" s="13" t="inlineStr">
        <is>
          <t>2.91%</t>
        </is>
      </c>
      <c r="K6" s="16">
        <f>X5</f>
        <v/>
      </c>
      <c r="L6" s="13" t="inlineStr">
        <is>
          <t>2026-05-18</t>
        </is>
      </c>
      <c r="M6" s="13" t="inlineStr">
        <is>
          <t>2026-05-27</t>
        </is>
      </c>
      <c r="N6" s="13" t="inlineStr">
        <is>
          <t>2026-05-20</t>
        </is>
      </c>
      <c r="O6" s="9" t="n">
        <v>2537</v>
      </c>
      <c r="P6" s="17" t="n">
        <v>350.1000061035156</v>
      </c>
      <c r="Q6" s="17" t="n">
        <v>364.8999938964844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Q2 2024-25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-1.34%</t>
        </is>
      </c>
      <c r="J7" s="13" t="inlineStr">
        <is>
          <t>-2.06%</t>
        </is>
      </c>
      <c r="K7" s="16">
        <f>X6</f>
        <v/>
      </c>
      <c r="L7" s="13" t="inlineStr">
        <is>
          <t>2026-05-18</t>
        </is>
      </c>
      <c r="M7" s="13" t="inlineStr">
        <is>
          <t>2026-05-20</t>
        </is>
      </c>
      <c r="N7" s="13" t="inlineStr">
        <is>
          <t>2026-05-18</t>
        </is>
      </c>
      <c r="O7" s="9" t="n">
        <v>602</v>
      </c>
      <c r="P7" s="17" t="n">
        <v>1346.099975585938</v>
      </c>
      <c r="Q7" s="17" t="n">
        <v>1328.300048828125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Q2 2024-25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-5.43%</t>
        </is>
      </c>
      <c r="J8" s="13" t="inlineStr">
        <is>
          <t>-6.05%</t>
        </is>
      </c>
      <c r="K8" s="16">
        <f>X7</f>
        <v/>
      </c>
      <c r="L8" s="13" t="inlineStr">
        <is>
          <t>2024-05-02</t>
        </is>
      </c>
      <c r="M8" s="13" t="inlineStr">
        <is>
          <t>2024-05-06</t>
        </is>
      </c>
      <c r="N8" s="13" t="inlineStr">
        <is>
          <t>2024-05-03</t>
        </is>
      </c>
      <c r="O8" s="9" t="n">
        <v>300</v>
      </c>
      <c r="P8" s="17" t="n">
        <v>3035.54931640625</v>
      </c>
      <c r="Q8" s="17" t="n">
        <v>2870.81884765625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Q2 2024-25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-5.41%</t>
        </is>
      </c>
      <c r="J9" s="13" t="inlineStr">
        <is>
          <t>-6.84%</t>
        </is>
      </c>
      <c r="K9" s="16">
        <f>X8</f>
        <v/>
      </c>
      <c r="L9" s="13" t="inlineStr">
        <is>
          <t>2026-01-08</t>
        </is>
      </c>
      <c r="M9" s="13" t="inlineStr">
        <is>
          <t>2026-01-14</t>
        </is>
      </c>
      <c r="N9" s="13" t="inlineStr">
        <is>
          <t>2026-01-12</t>
        </is>
      </c>
      <c r="O9" s="9" t="n">
        <v>500</v>
      </c>
      <c r="P9" s="17" t="n">
        <v>988.7999877929688</v>
      </c>
      <c r="Q9" s="17" t="n">
        <v>935.2999877929688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Q2 2024-25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-5.87%</t>
        </is>
      </c>
      <c r="J10" s="13" t="inlineStr">
        <is>
          <t>-6.53%</t>
        </is>
      </c>
      <c r="K10" s="16">
        <f>X9</f>
        <v/>
      </c>
      <c r="L10" s="13" t="inlineStr">
        <is>
          <t>2024-04-23</t>
        </is>
      </c>
      <c r="M10" s="13" t="inlineStr">
        <is>
          <t>2024-05-09</t>
        </is>
      </c>
      <c r="N10" s="13" t="inlineStr">
        <is>
          <t>2024-05-02</t>
        </is>
      </c>
      <c r="O10" s="9" t="n">
        <v>625</v>
      </c>
      <c r="P10" s="17" t="n">
        <v>1304.579956054688</v>
      </c>
      <c r="Q10" s="17" t="n">
        <v>1228.057739257812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Q2 2024-25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-1.74%</t>
        </is>
      </c>
      <c r="J11" s="13" t="inlineStr">
        <is>
          <t>-1.9%</t>
        </is>
      </c>
      <c r="K11" s="16">
        <f>X10</f>
        <v/>
      </c>
      <c r="L11" s="13" t="inlineStr">
        <is>
          <t>2026-04-27</t>
        </is>
      </c>
      <c r="M11" s="13" t="inlineStr">
        <is>
          <t>2026-05-01</t>
        </is>
      </c>
      <c r="N11" s="13" t="inlineStr">
        <is>
          <t>2026-04-29</t>
        </is>
      </c>
      <c r="O11" s="9" t="n">
        <v>4785</v>
      </c>
      <c r="P11" s="17" t="n">
        <v>221.8500061035156</v>
      </c>
      <c r="Q11" s="17" t="n">
        <v>218.0500030517578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Q2 2024-25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2.26%</t>
        </is>
      </c>
      <c r="J12" s="13" t="inlineStr">
        <is>
          <t>1.95%</t>
        </is>
      </c>
      <c r="K12" s="16">
        <f>X11</f>
        <v/>
      </c>
      <c r="L12" s="13" t="inlineStr">
        <is>
          <t>2026-04-08</t>
        </is>
      </c>
      <c r="M12" s="13" t="inlineStr">
        <is>
          <t>2026-04-13</t>
        </is>
      </c>
      <c r="N12" s="13" t="inlineStr">
        <is>
          <t>2026-04-10</t>
        </is>
      </c>
      <c r="O12" s="9" t="n">
        <v>171</v>
      </c>
      <c r="P12" s="17" t="n">
        <v>5246</v>
      </c>
      <c r="Q12" s="17" t="n">
        <v>5364.5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Q2 2024-25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0.39%</t>
        </is>
      </c>
      <c r="J13" s="13" t="inlineStr">
        <is>
          <t>1.43%</t>
        </is>
      </c>
      <c r="K13" s="16">
        <f>X12</f>
        <v/>
      </c>
      <c r="L13" s="13" t="inlineStr">
        <is>
          <t>2026-07-23</t>
        </is>
      </c>
      <c r="M13" s="13" t="inlineStr">
        <is>
          <t>2026-07-30</t>
        </is>
      </c>
      <c r="N13" s="13" t="inlineStr">
        <is>
          <t>2026-08-14</t>
        </is>
      </c>
      <c r="O13" s="9" t="n">
        <v>135</v>
      </c>
      <c r="P13" s="17" t="n">
        <v>7401</v>
      </c>
      <c r="Q13" s="17" t="n">
        <v>7430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Q2 2024-25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4.45%</t>
        </is>
      </c>
      <c r="J14" s="13" t="inlineStr">
        <is>
          <t>4.2%</t>
        </is>
      </c>
      <c r="K14" s="16">
        <f>X13</f>
        <v/>
      </c>
      <c r="L14" s="13" t="inlineStr">
        <is>
          <t>2026-04-28</t>
        </is>
      </c>
      <c r="M14" s="13" t="inlineStr">
        <is>
          <t>2026-05-13</t>
        </is>
      </c>
      <c r="N14" s="13" t="inlineStr">
        <is>
          <t>2026-05-06</t>
        </is>
      </c>
      <c r="O14" s="9" t="n">
        <v>2303</v>
      </c>
      <c r="P14" s="17" t="n">
        <v>436.2406616210938</v>
      </c>
      <c r="Q14" s="17" t="n">
        <v>456.5401611328125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Q2 2024-25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9.22%</t>
        </is>
      </c>
      <c r="J15" s="13" t="inlineStr">
        <is>
          <t>4.31%</t>
        </is>
      </c>
      <c r="K15" s="16">
        <f>X14</f>
        <v/>
      </c>
      <c r="L15" s="13" t="inlineStr">
        <is>
          <t>2026-03-17</t>
        </is>
      </c>
      <c r="M15" s="13" t="inlineStr">
        <is>
          <t>2026-03-27</t>
        </is>
      </c>
      <c r="N15" s="13" t="inlineStr">
        <is>
          <t>2026-03-20</t>
        </is>
      </c>
      <c r="O15" s="9" t="n">
        <v>3428</v>
      </c>
      <c r="P15" s="17" t="n">
        <v>214.7446594238281</v>
      </c>
      <c r="Q15" s="17" t="n">
        <v>234.5446472167969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Q2 2024-25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-0.38%</t>
        </is>
      </c>
      <c r="J16" s="13" t="inlineStr">
        <is>
          <t>-1.38%</t>
        </is>
      </c>
      <c r="K16" s="16">
        <f>X15</f>
        <v/>
      </c>
      <c r="L16" s="13" t="inlineStr">
        <is>
          <t>2025-09-12</t>
        </is>
      </c>
      <c r="M16" s="13" t="inlineStr">
        <is>
          <t>2025-09-18</t>
        </is>
      </c>
      <c r="N16" s="13" t="inlineStr">
        <is>
          <t>2025-09-16</t>
        </is>
      </c>
      <c r="O16" s="9" t="n">
        <v>528</v>
      </c>
      <c r="P16" s="17" t="n">
        <v>1703.300048828125</v>
      </c>
      <c r="Q16" s="17" t="n">
        <v>1696.900024414062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Q2 2024-25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3.39%</t>
        </is>
      </c>
      <c r="J17" s="13" t="inlineStr">
        <is>
          <t>0.76%</t>
        </is>
      </c>
      <c r="K17" s="16">
        <f>X16</f>
        <v/>
      </c>
      <c r="L17" s="13" t="inlineStr">
        <is>
          <t>2024-05-30</t>
        </is>
      </c>
      <c r="M17" s="13" t="inlineStr">
        <is>
          <t>2024-06-06</t>
        </is>
      </c>
      <c r="N17" s="13" t="inlineStr">
        <is>
          <t>2024-05-31</t>
        </is>
      </c>
      <c r="O17" s="9" t="n">
        <v>125</v>
      </c>
      <c r="P17" s="17" t="n">
        <v>5734.505859375</v>
      </c>
      <c r="Q17" s="17" t="n">
        <v>5928.97216796875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Q2 2024-25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5.97%</t>
        </is>
      </c>
      <c r="J18" s="13" t="inlineStr">
        <is>
          <t>1.49%</t>
        </is>
      </c>
      <c r="K18" s="16">
        <f>X17</f>
        <v/>
      </c>
      <c r="L18" s="13" t="inlineStr">
        <is>
          <t>2024-07-24</t>
        </is>
      </c>
      <c r="M18" s="13" t="inlineStr">
        <is>
          <t>2024-07-26</t>
        </is>
      </c>
      <c r="N18" s="13" t="inlineStr">
        <is>
          <t>2024-07-25</t>
        </is>
      </c>
      <c r="O18" s="9" t="n">
        <v>5000</v>
      </c>
      <c r="P18" s="17" t="n">
        <v>110.5446548461914</v>
      </c>
      <c r="Q18" s="17" t="n">
        <v>117.1440505981445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Q2 2024-25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1.72%</t>
        </is>
      </c>
      <c r="J19" s="13" t="inlineStr">
        <is>
          <t>1.88%</t>
        </is>
      </c>
      <c r="K19" s="16">
        <f>X18</f>
        <v/>
      </c>
      <c r="L19" s="13" t="inlineStr">
        <is>
          <t>2024-05-03</t>
        </is>
      </c>
      <c r="M19" s="13" t="inlineStr">
        <is>
          <t>2024-05-13</t>
        </is>
      </c>
      <c r="N19" s="13" t="inlineStr">
        <is>
          <t>2024-05-09</t>
        </is>
      </c>
      <c r="O19" s="9" t="n">
        <v>200</v>
      </c>
      <c r="P19" s="17" t="n">
        <v>2792.13427734375</v>
      </c>
      <c r="Q19" s="17" t="n">
        <v>2841.106201171875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Q2 2024-25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-4.93%</t>
        </is>
      </c>
      <c r="J20" s="13" t="inlineStr">
        <is>
          <t>-3.47%</t>
        </is>
      </c>
      <c r="K20" s="16">
        <f>X19</f>
        <v/>
      </c>
      <c r="L20" s="13" t="inlineStr">
        <is>
          <t>2024-07-12</t>
        </is>
      </c>
      <c r="M20" s="13" t="inlineStr">
        <is>
          <t>2024-07-31</t>
        </is>
      </c>
      <c r="N20" s="13" t="inlineStr">
        <is>
          <t>2024-07-25</t>
        </is>
      </c>
      <c r="O20" s="9" t="n">
        <v>679</v>
      </c>
      <c r="P20" s="17" t="n">
        <v>2291.381103515625</v>
      </c>
      <c r="Q20" s="17" t="n">
        <v>2178.322265625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Q2 2024-25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2025-08-04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Q2 2024-25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-1.03%</t>
        </is>
      </c>
      <c r="J22" s="13" t="inlineStr">
        <is>
          <t>-9.23%</t>
        </is>
      </c>
      <c r="K22" s="16">
        <f>X21</f>
        <v/>
      </c>
      <c r="L22" s="13" t="inlineStr">
        <is>
          <t>2024-07-12</t>
        </is>
      </c>
      <c r="M22" s="13" t="inlineStr">
        <is>
          <t>2024-07-26</t>
        </is>
      </c>
      <c r="N22" s="13" t="inlineStr">
        <is>
          <t>2024-07-25</t>
        </is>
      </c>
      <c r="O22" s="9" t="n">
        <v>970</v>
      </c>
      <c r="P22" s="17" t="n">
        <v>649.598876953125</v>
      </c>
      <c r="Q22" s="17" t="n">
        <v>643.0070190429688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Q2 2024-25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4.16%</t>
        </is>
      </c>
      <c r="J23" s="13" t="inlineStr">
        <is>
          <t>3.86%</t>
        </is>
      </c>
      <c r="K23" s="16">
        <f>X22</f>
        <v/>
      </c>
      <c r="L23" s="13" t="inlineStr">
        <is>
          <t>2024-07-19</t>
        </is>
      </c>
      <c r="M23" s="13" t="inlineStr">
        <is>
          <t>2024-07-26</t>
        </is>
      </c>
      <c r="N23" s="13" t="inlineStr">
        <is>
          <t>2024-07-25</t>
        </is>
      </c>
      <c r="O23" s="9" t="n">
        <v>634</v>
      </c>
      <c r="P23" s="17" t="n">
        <v>1325.8232421875</v>
      </c>
      <c r="Q23" s="17" t="n">
        <v>1381.015991210938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Q2 2024-25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7.36%</t>
        </is>
      </c>
      <c r="J24" s="13" t="inlineStr">
        <is>
          <t>6.03%</t>
        </is>
      </c>
      <c r="K24" s="16">
        <f>X23</f>
        <v/>
      </c>
      <c r="L24" s="13" t="inlineStr">
        <is>
          <t>2024-04-24</t>
        </is>
      </c>
      <c r="M24" s="13" t="inlineStr">
        <is>
          <t>2024-05-03</t>
        </is>
      </c>
      <c r="N24" s="13" t="inlineStr">
        <is>
          <t>2024-04-25</t>
        </is>
      </c>
      <c r="O24" s="9" t="n">
        <v>625</v>
      </c>
      <c r="P24" s="17" t="n">
        <v>1060.704833984375</v>
      </c>
      <c r="Q24" s="17" t="n">
        <v>1138.767456054688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Q2 2024-25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-2.33%</t>
        </is>
      </c>
      <c r="J25" s="13" t="inlineStr">
        <is>
          <t>-3.98%</t>
        </is>
      </c>
      <c r="K25" s="16">
        <f>X24</f>
        <v/>
      </c>
      <c r="L25" s="13" t="inlineStr">
        <is>
          <t>2024-04-10</t>
        </is>
      </c>
      <c r="M25" s="13" t="inlineStr">
        <is>
          <t>2024-04-22</t>
        </is>
      </c>
      <c r="N25" s="13" t="inlineStr">
        <is>
          <t>2024-04-18</t>
        </is>
      </c>
      <c r="O25" s="9" t="n">
        <v>125</v>
      </c>
      <c r="P25" s="17" t="n">
        <v>8591.2421875</v>
      </c>
      <c r="Q25" s="17" t="n">
        <v>8391.09375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Q2 2024-25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1.1%</t>
        </is>
      </c>
      <c r="J26" s="13" t="inlineStr">
        <is>
          <t>0.57%</t>
        </is>
      </c>
      <c r="K26" s="16">
        <f>X25</f>
        <v/>
      </c>
      <c r="L26" s="13" t="inlineStr">
        <is>
          <t>2024-04-26</t>
        </is>
      </c>
      <c r="M26" s="13" t="inlineStr">
        <is>
          <t>2024-04-30</t>
        </is>
      </c>
      <c r="N26" s="13" t="inlineStr">
        <is>
          <t>2024-04-27</t>
        </is>
      </c>
      <c r="O26" s="9" t="n">
        <v>500</v>
      </c>
      <c r="P26" s="17" t="n">
        <v>1594.205200195312</v>
      </c>
      <c r="Q26" s="17" t="n">
        <v>1611.820434570312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Q2 2024-25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-1.65%</t>
        </is>
      </c>
      <c r="J27" s="13" t="inlineStr">
        <is>
          <t>-5.43%</t>
        </is>
      </c>
      <c r="K27" s="16">
        <f>X26</f>
        <v/>
      </c>
      <c r="L27" s="13" t="inlineStr">
        <is>
          <t>2024-07-18</t>
        </is>
      </c>
      <c r="M27" s="13" t="inlineStr">
        <is>
          <t>2024-07-31</t>
        </is>
      </c>
      <c r="N27" s="13" t="inlineStr">
        <is>
          <t>2024-07-25</t>
        </is>
      </c>
      <c r="O27" s="9" t="n">
        <v>100</v>
      </c>
      <c r="P27" s="17" t="n">
        <v>9536.1845703125</v>
      </c>
      <c r="Q27" s="17" t="n">
        <v>9379.015625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Q2 2024-25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-5.43%</t>
        </is>
      </c>
      <c r="J28" s="13" t="inlineStr">
        <is>
          <t>-7.49%</t>
        </is>
      </c>
      <c r="K28" s="16">
        <f>X27</f>
        <v/>
      </c>
      <c r="L28" s="13" t="inlineStr">
        <is>
          <t>2024-04-24</t>
        </is>
      </c>
      <c r="M28" s="13" t="inlineStr">
        <is>
          <t>2024-05-03</t>
        </is>
      </c>
      <c r="N28" s="13" t="inlineStr">
        <is>
          <t>2024-04-25</t>
        </is>
      </c>
      <c r="O28" s="9" t="n">
        <v>125</v>
      </c>
      <c r="P28" s="17" t="n">
        <v>720.3536376953125</v>
      </c>
      <c r="Q28" s="17" t="n">
        <v>681.2701416015625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Q2 2024-25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10.17%</t>
        </is>
      </c>
      <c r="J29" s="13" t="inlineStr">
        <is>
          <t>9.13%</t>
        </is>
      </c>
      <c r="K29" s="16">
        <f>X28</f>
        <v/>
      </c>
      <c r="L29" s="13" t="inlineStr">
        <is>
          <t>2024-07-22</t>
        </is>
      </c>
      <c r="M29" s="13" t="inlineStr">
        <is>
          <t>2024-07-31</t>
        </is>
      </c>
      <c r="N29" s="13" t="inlineStr">
        <is>
          <t>2024-07-25</t>
        </is>
      </c>
      <c r="O29" s="9" t="n">
        <v>6099</v>
      </c>
      <c r="P29" s="17" t="n">
        <v>192.9822387695312</v>
      </c>
      <c r="Q29" s="17" t="n">
        <v>212.6177978515625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Q2 2024-25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0.7%</t>
        </is>
      </c>
      <c r="J30" s="13" t="inlineStr">
        <is>
          <t>0.34%</t>
        </is>
      </c>
      <c r="K30" s="16">
        <f>X29</f>
        <v/>
      </c>
      <c r="L30" s="13" t="inlineStr">
        <is>
          <t>2024-07-18</t>
        </is>
      </c>
      <c r="M30" s="13" t="inlineStr">
        <is>
          <t>2024-07-31</t>
        </is>
      </c>
      <c r="N30" s="13" t="inlineStr">
        <is>
          <t>2024-07-25</t>
        </is>
      </c>
      <c r="O30" s="9" t="n">
        <v>4138</v>
      </c>
      <c r="P30" s="17" t="n">
        <v>237.5174560546875</v>
      </c>
      <c r="Q30" s="17" t="n">
        <v>239.2029724121093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Q2 2024-25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-3.11%</t>
        </is>
      </c>
      <c r="J31" s="13" t="inlineStr">
        <is>
          <t>-6.08%</t>
        </is>
      </c>
      <c r="K31" s="16">
        <f>X30</f>
        <v/>
      </c>
      <c r="L31" s="13" t="inlineStr">
        <is>
          <t>2024-07-22</t>
        </is>
      </c>
      <c r="M31" s="13" t="inlineStr">
        <is>
          <t>2024-07-31</t>
        </is>
      </c>
      <c r="N31" s="13" t="inlineStr">
        <is>
          <t>2024-07-25</t>
        </is>
      </c>
      <c r="O31" s="9" t="n">
        <v>7287</v>
      </c>
      <c r="P31" s="17" t="n">
        <v>117.5556259155273</v>
      </c>
      <c r="Q31" s="17" t="n">
        <v>114.0139999389648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Q2 2024-25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15.19%</t>
        </is>
      </c>
      <c r="J32" s="13" t="inlineStr">
        <is>
          <t>20.13%</t>
        </is>
      </c>
      <c r="K32" s="16">
        <f>X31</f>
        <v/>
      </c>
      <c r="L32" s="13" t="inlineStr">
        <is>
          <t>2024-07-12</t>
        </is>
      </c>
      <c r="M32" s="13" t="inlineStr">
        <is>
          <t>2024-07-26</t>
        </is>
      </c>
      <c r="N32" s="13" t="inlineStr">
        <is>
          <t>2024-07-25</t>
        </is>
      </c>
      <c r="O32" s="9" t="n">
        <v>793</v>
      </c>
      <c r="P32" s="17" t="n">
        <v>1401.060180664062</v>
      </c>
      <c r="Q32" s="17" t="n">
        <v>1652.060668945312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Q2 2024-25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-30.17%</t>
        </is>
      </c>
      <c r="J33" s="13" t="inlineStr">
        <is>
          <t>-28.54%</t>
        </is>
      </c>
      <c r="K33" s="16">
        <f>X32</f>
        <v/>
      </c>
      <c r="L33" s="13" t="inlineStr">
        <is>
          <t>2024-05-09</t>
        </is>
      </c>
      <c r="M33" s="13" t="inlineStr">
        <is>
          <t>2024-05-27</t>
        </is>
      </c>
      <c r="N33" s="13" t="inlineStr">
        <is>
          <t>2024-05-20</t>
        </is>
      </c>
      <c r="O33" s="9" t="n">
        <v>2438</v>
      </c>
      <c r="P33" s="17" t="n">
        <v>290.1260986328125</v>
      </c>
      <c r="Q33" s="17" t="n">
        <v>222.8783264160156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Q2 2024-25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-3.13%</t>
        </is>
      </c>
      <c r="J34" s="13" t="inlineStr">
        <is>
          <t>-8.76%</t>
        </is>
      </c>
      <c r="K34" s="16">
        <f>X33</f>
        <v/>
      </c>
      <c r="L34" s="13" t="inlineStr">
        <is>
          <t>2024-07-15</t>
        </is>
      </c>
      <c r="M34" s="13" t="inlineStr">
        <is>
          <t>2024-07-26</t>
        </is>
      </c>
      <c r="N34" s="13" t="inlineStr">
        <is>
          <t>2024-07-25</t>
        </is>
      </c>
      <c r="O34" s="9" t="n">
        <v>461</v>
      </c>
      <c r="P34" s="17" t="n">
        <v>1666.276611328125</v>
      </c>
      <c r="Q34" s="17" t="n">
        <v>1615.741577148438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Q2 2024-25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5.52%</t>
        </is>
      </c>
      <c r="J35" s="13" t="inlineStr">
        <is>
          <t>4.02%</t>
        </is>
      </c>
      <c r="K35" s="16">
        <f>X34</f>
        <v/>
      </c>
      <c r="L35" s="13" t="inlineStr">
        <is>
          <t>2024-05-03</t>
        </is>
      </c>
      <c r="M35" s="13" t="inlineStr">
        <is>
          <t>2024-05-22</t>
        </is>
      </c>
      <c r="N35" s="13" t="inlineStr">
        <is>
          <t>2024-05-14</t>
        </is>
      </c>
      <c r="O35" s="9" t="n">
        <v>950</v>
      </c>
      <c r="P35" s="17" t="n">
        <v>1259.7890625</v>
      </c>
      <c r="Q35" s="17" t="n">
        <v>1329.317138671875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Q2 2024-25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-7.19%</t>
        </is>
      </c>
      <c r="J36" s="13" t="inlineStr">
        <is>
          <t>-8.26%</t>
        </is>
      </c>
      <c r="K36" s="16">
        <f>X35</f>
        <v/>
      </c>
      <c r="L36" s="13" t="inlineStr">
        <is>
          <t>2024-07-19</t>
        </is>
      </c>
      <c r="M36" s="13" t="inlineStr">
        <is>
          <t>2024-07-31</t>
        </is>
      </c>
      <c r="N36" s="13" t="inlineStr">
        <is>
          <t>2024-07-25</t>
        </is>
      </c>
      <c r="O36" s="9" t="n">
        <v>2481</v>
      </c>
      <c r="P36" s="17" t="n">
        <v>313.314208984375</v>
      </c>
      <c r="Q36" s="17" t="n">
        <v>292.2940979003906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Q2 2024-25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-2.6%</t>
        </is>
      </c>
      <c r="J37" s="13" t="inlineStr">
        <is>
          <t>-5.52%</t>
        </is>
      </c>
      <c r="K37" s="16">
        <f>X36</f>
        <v/>
      </c>
      <c r="L37" s="13" t="inlineStr">
        <is>
          <t>2024-07-15</t>
        </is>
      </c>
      <c r="M37" s="13" t="inlineStr">
        <is>
          <t>2024-07-26</t>
        </is>
      </c>
      <c r="N37" s="13" t="inlineStr">
        <is>
          <t>2024-07-25</t>
        </is>
      </c>
      <c r="O37" s="9" t="n">
        <v>2351</v>
      </c>
      <c r="P37" s="17" t="n">
        <v>367.5683898925781</v>
      </c>
      <c r="Q37" s="17" t="n">
        <v>358.2420349121094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Q2 2024-25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-0.7%</t>
        </is>
      </c>
      <c r="J38" s="13" t="inlineStr">
        <is>
          <t>-1.23%</t>
        </is>
      </c>
      <c r="K38" s="16">
        <f>X37</f>
        <v/>
      </c>
      <c r="L38" s="13" t="inlineStr">
        <is>
          <t>2024-07-12</t>
        </is>
      </c>
      <c r="M38" s="13" t="inlineStr">
        <is>
          <t>2024-07-26</t>
        </is>
      </c>
      <c r="N38" s="13" t="inlineStr">
        <is>
          <t>2024-07-25</t>
        </is>
      </c>
      <c r="O38" s="9" t="n">
        <v>591</v>
      </c>
      <c r="P38" s="17" t="n">
        <v>1696.985961914062</v>
      </c>
      <c r="Q38" s="17" t="n">
        <v>1685.245971679688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Q2 2024-25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-0.03%</t>
        </is>
      </c>
      <c r="J39" s="13" t="inlineStr">
        <is>
          <t>0.36%</t>
        </is>
      </c>
      <c r="K39" s="16">
        <f>X38</f>
        <v/>
      </c>
      <c r="L39" s="13" t="inlineStr">
        <is>
          <t>2024-07-12</t>
        </is>
      </c>
      <c r="M39" s="13" t="inlineStr">
        <is>
          <t>2024-07-31</t>
        </is>
      </c>
      <c r="N39" s="13" t="inlineStr">
        <is>
          <t>2024-07-25</t>
        </is>
      </c>
      <c r="O39" s="9" t="n">
        <v>100</v>
      </c>
      <c r="P39" s="17" t="n">
        <v>34510.0546875</v>
      </c>
      <c r="Q39" s="17" t="n">
        <v>34500.83203125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Q2 2024-25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1.76%</t>
        </is>
      </c>
      <c r="J40" s="13" t="inlineStr">
        <is>
          <t>2.89%</t>
        </is>
      </c>
      <c r="K40" s="16">
        <f>X39</f>
        <v/>
      </c>
      <c r="L40" s="13" t="inlineStr">
        <is>
          <t>2024-05-03</t>
        </is>
      </c>
      <c r="M40" s="13" t="inlineStr">
        <is>
          <t>2024-05-16</t>
        </is>
      </c>
      <c r="N40" s="13" t="inlineStr">
        <is>
          <t>2024-05-10</t>
        </is>
      </c>
      <c r="O40" s="9" t="n">
        <v>1800</v>
      </c>
      <c r="P40" s="17" t="n">
        <v>275.9171752929688</v>
      </c>
      <c r="Q40" s="17" t="n">
        <v>280.866943359375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Q2 2024-25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9.05%</t>
        </is>
      </c>
      <c r="J41" s="13" t="inlineStr">
        <is>
          <t>8.45%</t>
        </is>
      </c>
      <c r="K41" s="16">
        <f>X40</f>
        <v/>
      </c>
      <c r="L41" s="13" t="inlineStr">
        <is>
          <t>2024-05-03</t>
        </is>
      </c>
      <c r="M41" s="13" t="inlineStr">
        <is>
          <t>2024-05-07</t>
        </is>
      </c>
      <c r="N41" s="13" t="inlineStr">
        <is>
          <t>2024-05-04</t>
        </is>
      </c>
      <c r="O41" s="9" t="n">
        <v>200</v>
      </c>
      <c r="P41" s="17" t="n">
        <v>4623.0517578125</v>
      </c>
      <c r="Q41" s="17" t="n">
        <v>5041.3056640625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Q2 2024-25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3.22%</t>
        </is>
      </c>
      <c r="J42" s="13" t="inlineStr">
        <is>
          <t>0.16%</t>
        </is>
      </c>
      <c r="K42" s="16">
        <f>X41</f>
        <v/>
      </c>
      <c r="L42" s="13" t="inlineStr">
        <is>
          <t>2024-07-15</t>
        </is>
      </c>
      <c r="M42" s="13" t="inlineStr">
        <is>
          <t>2024-07-26</t>
        </is>
      </c>
      <c r="N42" s="13" t="inlineStr">
        <is>
          <t>2024-07-25</t>
        </is>
      </c>
      <c r="O42" s="9" t="n">
        <v>283</v>
      </c>
      <c r="P42" s="17" t="n">
        <v>785.8612060546875</v>
      </c>
      <c r="Q42" s="17" t="n">
        <v>811.13134765625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Q2 2024-25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0.48%</t>
        </is>
      </c>
      <c r="J43" s="13" t="inlineStr">
        <is>
          <t>-3.63%</t>
        </is>
      </c>
      <c r="K43" s="16">
        <f>X42</f>
        <v/>
      </c>
      <c r="L43" s="13" t="inlineStr">
        <is>
          <t>2024-07-23</t>
        </is>
      </c>
      <c r="M43" s="13" t="inlineStr">
        <is>
          <t>2024-07-26</t>
        </is>
      </c>
      <c r="N43" s="13" t="inlineStr">
        <is>
          <t>2024-07-25</t>
        </is>
      </c>
      <c r="O43" s="9" t="n">
        <v>1260</v>
      </c>
      <c r="P43" s="17" t="n">
        <v>779.3477172851562</v>
      </c>
      <c r="Q43" s="17" t="n">
        <v>783.1364135742188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Q2 2024-25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2.17%</t>
        </is>
      </c>
      <c r="J44" s="13" t="inlineStr">
        <is>
          <t>-0.42%</t>
        </is>
      </c>
      <c r="K44" s="16">
        <f>X43</f>
        <v/>
      </c>
      <c r="L44" s="13" t="inlineStr">
        <is>
          <t>2024-07-15</t>
        </is>
      </c>
      <c r="M44" s="13" t="inlineStr">
        <is>
          <t>2024-07-31</t>
        </is>
      </c>
      <c r="N44" s="13" t="inlineStr">
        <is>
          <t>2024-07-25</t>
        </is>
      </c>
      <c r="O44" s="9" t="n">
        <v>8046</v>
      </c>
      <c r="P44" s="17" t="n">
        <v>107.2056884765625</v>
      </c>
      <c r="Q44" s="17" t="n">
        <v>109.5795211791992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Q2 2024-25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-2.09%</t>
        </is>
      </c>
      <c r="J45" s="13" t="inlineStr">
        <is>
          <t>-4.99%</t>
        </is>
      </c>
      <c r="K45" s="16">
        <f>X44</f>
        <v/>
      </c>
      <c r="L45" s="13" t="inlineStr">
        <is>
          <t>2024-07-12</t>
        </is>
      </c>
      <c r="M45" s="13" t="inlineStr">
        <is>
          <t>2024-07-26</t>
        </is>
      </c>
      <c r="N45" s="13" t="inlineStr">
        <is>
          <t>2024-07-25</t>
        </is>
      </c>
      <c r="O45" s="9" t="n">
        <v>748</v>
      </c>
      <c r="P45" s="17" t="n">
        <v>1202.53662109375</v>
      </c>
      <c r="Q45" s="17" t="n">
        <v>1177.958251953125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Q2 2024-25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8.93%</t>
        </is>
      </c>
      <c r="J46" s="13" t="inlineStr">
        <is>
          <t>9.8%</t>
        </is>
      </c>
      <c r="K46" s="16">
        <f>X45</f>
        <v/>
      </c>
      <c r="L46" s="13" t="inlineStr">
        <is>
          <t>2024-07-19</t>
        </is>
      </c>
      <c r="M46" s="13" t="inlineStr">
        <is>
          <t>2024-07-31</t>
        </is>
      </c>
      <c r="N46" s="13" t="inlineStr">
        <is>
          <t>2024-07-25</t>
        </is>
      </c>
      <c r="O46" s="9" t="n">
        <v>1201</v>
      </c>
      <c r="P46" s="17" t="n">
        <v>672.8231811523438</v>
      </c>
      <c r="Q46" s="17" t="n">
        <v>732.9207153320312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Q2 2024-25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-1.59%</t>
        </is>
      </c>
      <c r="J47" s="13" t="inlineStr">
        <is>
          <t>-0.53%</t>
        </is>
      </c>
      <c r="K47" s="16">
        <f>X46</f>
        <v/>
      </c>
      <c r="L47" s="13" t="inlineStr">
        <is>
          <t>2024-07-24</t>
        </is>
      </c>
      <c r="M47" s="13" t="inlineStr">
        <is>
          <t>2024-07-26</t>
        </is>
      </c>
      <c r="N47" s="13" t="inlineStr">
        <is>
          <t>2024-07-25</t>
        </is>
      </c>
      <c r="O47" s="9" t="n">
        <v>563</v>
      </c>
      <c r="P47" s="17" t="n">
        <v>1407.382690429688</v>
      </c>
      <c r="Q47" s="17" t="n">
        <v>1385.388549804688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Q2 2024-25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-1.03%</t>
        </is>
      </c>
      <c r="J48" s="13" t="inlineStr">
        <is>
          <t>-1.09%</t>
        </is>
      </c>
      <c r="K48" s="16">
        <f>X47</f>
        <v/>
      </c>
      <c r="L48" s="13" t="inlineStr">
        <is>
          <t>2024-05-08</t>
        </is>
      </c>
      <c r="M48" s="13" t="inlineStr">
        <is>
          <t>2024-05-17</t>
        </is>
      </c>
      <c r="N48" s="13" t="inlineStr">
        <is>
          <t>2024-05-11</t>
        </is>
      </c>
      <c r="O48" s="9" t="n">
        <v>650</v>
      </c>
      <c r="P48" s="17" t="n">
        <v>1359.866821289062</v>
      </c>
      <c r="Q48" s="17" t="n">
        <v>1345.967163085938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Q2 2024-25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3.98%</t>
        </is>
      </c>
      <c r="J49" s="13" t="inlineStr">
        <is>
          <t>3.02%</t>
        </is>
      </c>
      <c r="K49" s="16">
        <f>X48</f>
        <v/>
      </c>
      <c r="L49" s="13" t="inlineStr">
        <is>
          <t>2024-04-22</t>
        </is>
      </c>
      <c r="M49" s="13" t="inlineStr">
        <is>
          <t>2024-05-06</t>
        </is>
      </c>
      <c r="N49" s="13" t="inlineStr">
        <is>
          <t>2024-05-02</t>
        </is>
      </c>
      <c r="O49" s="9" t="n">
        <v>2100</v>
      </c>
      <c r="P49" s="17" t="n">
        <v>389.4483337402344</v>
      </c>
      <c r="Q49" s="17" t="n">
        <v>404.9664611816406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Q2 2024-25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5.9%</t>
        </is>
      </c>
      <c r="J50" s="13" t="inlineStr">
        <is>
          <t>11.91%</t>
        </is>
      </c>
      <c r="K50" s="16">
        <f>X49</f>
        <v/>
      </c>
      <c r="L50" s="13" t="inlineStr">
        <is>
          <t>2024-07-18</t>
        </is>
      </c>
      <c r="M50" s="13" t="inlineStr">
        <is>
          <t>2024-07-26</t>
        </is>
      </c>
      <c r="N50" s="13" t="inlineStr">
        <is>
          <t>2024-07-25</t>
        </is>
      </c>
      <c r="O50" s="9" t="n">
        <v>713</v>
      </c>
      <c r="P50" s="17" t="n">
        <v>2435.858154296875</v>
      </c>
      <c r="Q50" s="17" t="n">
        <v>2588.716064453125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Q2 2024-25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-0.45%</t>
        </is>
      </c>
      <c r="J51" s="13" t="inlineStr">
        <is>
          <t>-2.04%</t>
        </is>
      </c>
      <c r="K51" s="16">
        <f>X50</f>
        <v/>
      </c>
      <c r="L51" s="13" t="inlineStr">
        <is>
          <t>2024-07-24</t>
        </is>
      </c>
      <c r="M51" s="13" t="inlineStr">
        <is>
          <t>2024-07-31</t>
        </is>
      </c>
      <c r="N51" s="13" t="inlineStr">
        <is>
          <t>2024-07-25</t>
        </is>
      </c>
      <c r="O51" s="9" t="n">
        <v>572</v>
      </c>
      <c r="P51" s="17" t="n">
        <v>1245.268798828125</v>
      </c>
      <c r="Q51" s="17" t="n">
        <v>1239.64599609375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Q2 2024-25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9.31%</t>
        </is>
      </c>
      <c r="J52" s="13" t="inlineStr">
        <is>
          <t>9.32%</t>
        </is>
      </c>
      <c r="K52" s="16">
        <f>X51</f>
        <v/>
      </c>
      <c r="L52" s="13" t="inlineStr">
        <is>
          <t>2024-07-18</t>
        </is>
      </c>
      <c r="M52" s="13" t="inlineStr">
        <is>
          <t>2024-07-31</t>
        </is>
      </c>
      <c r="N52" s="13" t="inlineStr">
        <is>
          <t>2024-07-25</t>
        </is>
      </c>
      <c r="O52" s="9" t="n">
        <v>479</v>
      </c>
      <c r="P52" s="17" t="n">
        <v>2995.598876953125</v>
      </c>
      <c r="Q52" s="17" t="n">
        <v>3274.583251953125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Q2 2024-25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0.09%</t>
        </is>
      </c>
      <c r="J53" s="13" t="inlineStr">
        <is>
          <t>-2.98%</t>
        </is>
      </c>
      <c r="K53" s="16">
        <f>X52</f>
        <v/>
      </c>
      <c r="L53" s="13" t="inlineStr">
        <is>
          <t>2024-07-22</t>
        </is>
      </c>
      <c r="M53" s="13" t="inlineStr">
        <is>
          <t>2024-07-26</t>
        </is>
      </c>
      <c r="N53" s="13" t="inlineStr">
        <is>
          <t>2024-07-25</t>
        </is>
      </c>
      <c r="O53" s="9" t="n">
        <v>1904</v>
      </c>
      <c r="P53" s="17" t="n">
        <v>1008.329162597656</v>
      </c>
      <c r="Q53" s="17" t="n">
        <v>1009.202453613281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Q2 2024-25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-3.44%</t>
        </is>
      </c>
      <c r="J54" s="13" t="inlineStr">
        <is>
          <t>-1.63%</t>
        </is>
      </c>
      <c r="K54" s="16">
        <f>X53</f>
        <v/>
      </c>
      <c r="L54" s="13" t="inlineStr">
        <is>
          <t>2024-07-19</t>
        </is>
      </c>
      <c r="M54" s="13" t="inlineStr">
        <is>
          <t>2024-07-26</t>
        </is>
      </c>
      <c r="N54" s="13" t="inlineStr">
        <is>
          <t>2024-07-25</t>
        </is>
      </c>
      <c r="O54" s="9" t="n">
        <v>3841</v>
      </c>
      <c r="P54" s="17" t="n">
        <v>433.4814453125</v>
      </c>
      <c r="Q54" s="17" t="n">
        <v>419.0843200683594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Q2 2024-25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-8.23%</t>
        </is>
      </c>
      <c r="J55" s="13" t="inlineStr">
        <is>
          <t>-9.02%</t>
        </is>
      </c>
      <c r="K55" s="16">
        <f>X54</f>
        <v/>
      </c>
      <c r="L55" s="13" t="inlineStr">
        <is>
          <t>2024-07-19</t>
        </is>
      </c>
      <c r="M55" s="13" t="inlineStr">
        <is>
          <t>2024-07-31</t>
        </is>
      </c>
      <c r="N55" s="13" t="inlineStr">
        <is>
          <t>2024-07-25</t>
        </is>
      </c>
      <c r="O55" s="9" t="n">
        <v>185</v>
      </c>
      <c r="P55" s="17" t="n">
        <v>3743.61328125</v>
      </c>
      <c r="Q55" s="17" t="n">
        <v>3458.980224609375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Q2 2024-25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-1.5%</t>
        </is>
      </c>
      <c r="J56" s="13" t="inlineStr">
        <is>
          <t>-3.0%</t>
        </is>
      </c>
      <c r="K56" s="16">
        <f>X55</f>
        <v/>
      </c>
      <c r="L56" s="13" t="inlineStr">
        <is>
          <t>2024-07-18</t>
        </is>
      </c>
      <c r="M56" s="13" t="inlineStr">
        <is>
          <t>2024-07-26</t>
        </is>
      </c>
      <c r="N56" s="13" t="inlineStr">
        <is>
          <t>2024-07-25</t>
        </is>
      </c>
      <c r="O56" s="9" t="n">
        <v>2346</v>
      </c>
      <c r="P56" s="17" t="n">
        <v>621.07470703125</v>
      </c>
      <c r="Q56" s="17" t="n">
        <v>611.74072265625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Q2 2024-25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-4.35%</t>
        </is>
      </c>
      <c r="J57" s="13" t="inlineStr">
        <is>
          <t>-9.24%</t>
        </is>
      </c>
      <c r="K57" s="16">
        <f>X56</f>
        <v/>
      </c>
      <c r="L57" s="13" t="inlineStr">
        <is>
          <t>2024-07-23</t>
        </is>
      </c>
      <c r="M57" s="13" t="inlineStr">
        <is>
          <t>2024-07-26</t>
        </is>
      </c>
      <c r="N57" s="13" t="inlineStr">
        <is>
          <t>2024-07-25</t>
        </is>
      </c>
      <c r="O57" s="9" t="n">
        <v>2135</v>
      </c>
      <c r="P57" s="17" t="n">
        <v>397</v>
      </c>
      <c r="Q57" s="17" t="n">
        <v>380.4500122070313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Q2 2024-25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4.49%</t>
        </is>
      </c>
      <c r="J58" s="13" t="inlineStr">
        <is>
          <t>-0.18%</t>
        </is>
      </c>
      <c r="K58" s="16">
        <f>X57</f>
        <v/>
      </c>
      <c r="L58" s="13" t="inlineStr">
        <is>
          <t>2024-07-18</t>
        </is>
      </c>
      <c r="M58" s="13" t="inlineStr">
        <is>
          <t>2024-07-26</t>
        </is>
      </c>
      <c r="N58" s="13" t="inlineStr">
        <is>
          <t>2024-07-25</t>
        </is>
      </c>
      <c r="O58" s="9" t="n">
        <v>200</v>
      </c>
      <c r="P58" s="17" t="n">
        <v>4517.5478515625</v>
      </c>
      <c r="Q58" s="17" t="n">
        <v>4720.3291015625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Q2 2024-25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11.1%</t>
        </is>
      </c>
      <c r="J59" s="13" t="inlineStr">
        <is>
          <t>7.72%</t>
        </is>
      </c>
      <c r="K59" s="16">
        <f>X58</f>
        <v/>
      </c>
      <c r="L59" s="13" t="inlineStr">
        <is>
          <t>2024-07-15</t>
        </is>
      </c>
      <c r="M59" s="13" t="inlineStr">
        <is>
          <t>2024-07-26</t>
        </is>
      </c>
      <c r="N59" s="13" t="inlineStr">
        <is>
          <t>2024-07-25</t>
        </is>
      </c>
      <c r="O59" s="9" t="n">
        <v>100</v>
      </c>
      <c r="P59" s="17" t="n">
        <v>11263.5576171875</v>
      </c>
      <c r="Q59" s="17" t="n">
        <v>12669.4296875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Q2 2024-25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0.26%</t>
        </is>
      </c>
      <c r="J60" s="13" t="inlineStr">
        <is>
          <t>-1.27%</t>
        </is>
      </c>
      <c r="K60" s="16">
        <f>X59</f>
        <v/>
      </c>
      <c r="L60" s="13" t="inlineStr">
        <is>
          <t>2024-07-22</t>
        </is>
      </c>
      <c r="M60" s="13" t="inlineStr">
        <is>
          <t>2024-07-26</t>
        </is>
      </c>
      <c r="N60" s="13" t="inlineStr">
        <is>
          <t>2024-07-25</t>
        </is>
      </c>
      <c r="O60" s="9" t="n">
        <v>1527</v>
      </c>
      <c r="P60" s="17" t="n">
        <v>808.8399658203125</v>
      </c>
      <c r="Q60" s="17" t="n">
        <v>810.984619140625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Q2 2024-25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-0.13%</t>
        </is>
      </c>
      <c r="J61" s="13" t="inlineStr">
        <is>
          <t>-3.05%</t>
        </is>
      </c>
      <c r="K61" s="16">
        <f>X60</f>
        <v/>
      </c>
      <c r="L61" s="13" t="inlineStr">
        <is>
          <t>2024-07-23</t>
        </is>
      </c>
      <c r="M61" s="13" t="inlineStr">
        <is>
          <t>2024-07-26</t>
        </is>
      </c>
      <c r="N61" s="13" t="inlineStr">
        <is>
          <t>2024-07-25</t>
        </is>
      </c>
      <c r="O61" s="9" t="n">
        <v>258</v>
      </c>
      <c r="P61" s="17" t="n">
        <v>5071.60009765625</v>
      </c>
      <c r="Q61" s="17" t="n">
        <v>5065.25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Q2 2024-25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5.99%</t>
        </is>
      </c>
      <c r="J62" s="13" t="inlineStr">
        <is>
          <t>5.26%</t>
        </is>
      </c>
      <c r="K62" s="16">
        <f>X61</f>
        <v/>
      </c>
      <c r="L62" s="13" t="inlineStr">
        <is>
          <t>2024-04-26</t>
        </is>
      </c>
      <c r="M62" s="13" t="inlineStr">
        <is>
          <t>2024-05-09</t>
        </is>
      </c>
      <c r="N62" s="13" t="inlineStr">
        <is>
          <t>2024-05-07</t>
        </is>
      </c>
      <c r="O62" s="9" t="n">
        <v>125</v>
      </c>
      <c r="P62" s="17" t="n">
        <v>1153.8681640625</v>
      </c>
      <c r="Q62" s="17" t="n">
        <v>1227.44091796875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Q2 2024-25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2.9%</t>
        </is>
      </c>
      <c r="J63" s="13" t="inlineStr">
        <is>
          <t>0.6%</t>
        </is>
      </c>
      <c r="K63" s="16">
        <f>X62</f>
        <v/>
      </c>
      <c r="L63" s="13" t="inlineStr">
        <is>
          <t>2024-04-30</t>
        </is>
      </c>
      <c r="M63" s="13" t="inlineStr">
        <is>
          <t>2024-05-14</t>
        </is>
      </c>
      <c r="N63" s="13" t="inlineStr">
        <is>
          <t>2024-05-11</t>
        </is>
      </c>
      <c r="O63" s="9" t="n">
        <v>175</v>
      </c>
      <c r="P63" s="17" t="n">
        <v>4488.81494140625</v>
      </c>
      <c r="Q63" s="17" t="n">
        <v>4618.81982421875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Q2 2024-25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1.82%</t>
        </is>
      </c>
      <c r="J64" s="13" t="inlineStr">
        <is>
          <t>-4.01%</t>
        </is>
      </c>
      <c r="K64" s="16">
        <f>X63</f>
        <v/>
      </c>
      <c r="L64" s="13" t="inlineStr">
        <is>
          <t>2023-02-07</t>
        </is>
      </c>
      <c r="M64" s="13" t="inlineStr">
        <is>
          <t>2023-02-15</t>
        </is>
      </c>
      <c r="N64" s="13" t="inlineStr">
        <is>
          <t>2023-02-09</t>
        </is>
      </c>
      <c r="O64" s="9" t="n">
        <v>3399</v>
      </c>
      <c r="P64" s="17" t="n">
        <v>49.34999847412109</v>
      </c>
      <c r="Q64" s="17" t="n">
        <v>50.25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Q2 2024-25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2.63%</t>
        </is>
      </c>
      <c r="J65" s="13" t="inlineStr">
        <is>
          <t>0.65%</t>
        </is>
      </c>
      <c r="K65" s="16">
        <f>X64</f>
        <v/>
      </c>
      <c r="L65" s="13" t="inlineStr">
        <is>
          <t>2024-07-22</t>
        </is>
      </c>
      <c r="M65" s="13" t="inlineStr">
        <is>
          <t>2024-07-26</t>
        </is>
      </c>
      <c r="N65" s="13" t="inlineStr">
        <is>
          <t>2024-07-25</t>
        </is>
      </c>
      <c r="O65" s="9" t="n">
        <v>2823</v>
      </c>
      <c r="P65" s="17" t="n">
        <v>190.6372680664062</v>
      </c>
      <c r="Q65" s="17" t="n">
        <v>195.6470336914062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Q2 2024-25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9.28%</t>
        </is>
      </c>
      <c r="J66" s="13" t="inlineStr">
        <is>
          <t>6.87%</t>
        </is>
      </c>
      <c r="K66" s="16">
        <f>X65</f>
        <v/>
      </c>
      <c r="L66" s="13" t="inlineStr">
        <is>
          <t>2025-04-23</t>
        </is>
      </c>
      <c r="M66" s="13" t="inlineStr">
        <is>
          <t>2025-05-02</t>
        </is>
      </c>
      <c r="N66" s="13" t="inlineStr">
        <is>
          <t>2025-04-25</t>
        </is>
      </c>
      <c r="O66" s="9" t="n">
        <v>100</v>
      </c>
      <c r="P66" s="17" t="n">
        <v>9087.4375</v>
      </c>
      <c r="Q66" s="17" t="n">
        <v>9930.576171875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Q2 2024-25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3.02%</t>
        </is>
      </c>
      <c r="J67" s="13" t="inlineStr">
        <is>
          <t>2.47%</t>
        </is>
      </c>
      <c r="K67" s="16">
        <f>X66</f>
        <v/>
      </c>
      <c r="L67" s="13" t="inlineStr">
        <is>
          <t>2024-07-18</t>
        </is>
      </c>
      <c r="M67" s="13" t="inlineStr">
        <is>
          <t>2024-07-31</t>
        </is>
      </c>
      <c r="N67" s="13" t="inlineStr">
        <is>
          <t>2024-07-25</t>
        </is>
      </c>
      <c r="O67" s="9" t="n">
        <v>1053</v>
      </c>
      <c r="P67" s="17" t="n">
        <v>486.1067810058594</v>
      </c>
      <c r="Q67" s="17" t="n">
        <v>500.77587890625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Q2 2024-25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9.64%</t>
        </is>
      </c>
      <c r="J68" s="13" t="inlineStr">
        <is>
          <t>7.18%</t>
        </is>
      </c>
      <c r="K68" s="16">
        <f>X67</f>
        <v/>
      </c>
      <c r="L68" s="13" t="inlineStr">
        <is>
          <t>2024-07-23</t>
        </is>
      </c>
      <c r="M68" s="13" t="inlineStr">
        <is>
          <t>2024-07-31</t>
        </is>
      </c>
      <c r="N68" s="13" t="inlineStr">
        <is>
          <t>2024-07-25</t>
        </is>
      </c>
      <c r="O68" s="9" t="n">
        <v>5759</v>
      </c>
      <c r="P68" s="17" t="n">
        <v>204.2029724121093</v>
      </c>
      <c r="Q68" s="17" t="n">
        <v>223.8809204101562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Q2 2024-25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3.08%</t>
        </is>
      </c>
      <c r="J69" s="13" t="inlineStr">
        <is>
          <t>-1.28%</t>
        </is>
      </c>
      <c r="K69" s="16">
        <f>X68</f>
        <v/>
      </c>
      <c r="L69" s="13" t="inlineStr">
        <is>
          <t>2024-07-23</t>
        </is>
      </c>
      <c r="M69" s="13" t="inlineStr">
        <is>
          <t>2024-07-31</t>
        </is>
      </c>
      <c r="N69" s="13" t="inlineStr">
        <is>
          <t>2024-07-25</t>
        </is>
      </c>
      <c r="O69" s="9" t="n">
        <v>456</v>
      </c>
      <c r="P69" s="17" t="n">
        <v>1419.380493164062</v>
      </c>
      <c r="Q69" s="17" t="n">
        <v>1463.060668945312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Q2 2024-25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-8.07%</t>
        </is>
      </c>
      <c r="J70" s="13" t="inlineStr">
        <is>
          <t>-6.84%</t>
        </is>
      </c>
      <c r="K70" s="16">
        <f>X69</f>
        <v/>
      </c>
      <c r="L70" s="13" t="inlineStr">
        <is>
          <t>2024-07-23</t>
        </is>
      </c>
      <c r="M70" s="13" t="inlineStr">
        <is>
          <t>2024-07-31</t>
        </is>
      </c>
      <c r="N70" s="13" t="inlineStr">
        <is>
          <t>2024-07-25</t>
        </is>
      </c>
      <c r="O70" s="9" t="n">
        <v>9623</v>
      </c>
      <c r="P70" s="17" t="n">
        <v>101.7300033569336</v>
      </c>
      <c r="Q70" s="17" t="n">
        <v>94.12999725341795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Q2 2024-25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-1.15%</t>
        </is>
      </c>
      <c r="J71" s="13" t="inlineStr">
        <is>
          <t>-4.33%</t>
        </is>
      </c>
      <c r="K71" s="16">
        <f>X70</f>
        <v/>
      </c>
      <c r="L71" s="13" t="inlineStr">
        <is>
          <t>2024-07-22</t>
        </is>
      </c>
      <c r="M71" s="13" t="inlineStr">
        <is>
          <t>2024-07-31</t>
        </is>
      </c>
      <c r="N71" s="13" t="inlineStr">
        <is>
          <t>2024-07-25</t>
        </is>
      </c>
      <c r="O71" s="9" t="n">
        <v>469</v>
      </c>
      <c r="P71" s="17" t="n">
        <v>1387.839477539062</v>
      </c>
      <c r="Q71" s="17" t="n">
        <v>1371.941162109375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Q2 2024-25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0.15%</t>
        </is>
      </c>
      <c r="J72" s="13" t="inlineStr">
        <is>
          <t>-2.5%</t>
        </is>
      </c>
      <c r="K72" s="16">
        <f>X71</f>
        <v/>
      </c>
      <c r="L72" s="13" t="inlineStr">
        <is>
          <t>2024-07-18</t>
        </is>
      </c>
      <c r="M72" s="13" t="inlineStr">
        <is>
          <t>2024-07-26</t>
        </is>
      </c>
      <c r="N72" s="13" t="inlineStr">
        <is>
          <t>2024-07-25</t>
        </is>
      </c>
      <c r="O72" s="9" t="n">
        <v>932</v>
      </c>
      <c r="P72" s="17" t="n">
        <v>1417.064697265625</v>
      </c>
      <c r="Q72" s="17" t="n">
        <v>1419.240844726562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Q2 2024-25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5.23%</t>
        </is>
      </c>
      <c r="J73" s="13" t="inlineStr">
        <is>
          <t>7.55%</t>
        </is>
      </c>
      <c r="K73" s="16">
        <f>X72</f>
        <v/>
      </c>
      <c r="L73" s="13" t="inlineStr">
        <is>
          <t>2024-07-15</t>
        </is>
      </c>
      <c r="M73" s="13" t="inlineStr">
        <is>
          <t>2024-07-26</t>
        </is>
      </c>
      <c r="N73" s="13" t="inlineStr">
        <is>
          <t>2024-07-25</t>
        </is>
      </c>
      <c r="O73" s="9" t="n">
        <v>473</v>
      </c>
      <c r="P73" s="17" t="n">
        <v>3113.6494140625</v>
      </c>
      <c r="Q73" s="17" t="n">
        <v>3285.5185546875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Q2 2024-25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3.24%</t>
        </is>
      </c>
      <c r="J74" s="13" t="inlineStr">
        <is>
          <t>3.28%</t>
        </is>
      </c>
      <c r="K74" s="16">
        <f>X73</f>
        <v/>
      </c>
      <c r="L74" s="13" t="inlineStr">
        <is>
          <t>2024-05-17</t>
        </is>
      </c>
      <c r="M74" s="13" t="inlineStr">
        <is>
          <t>2024-05-30</t>
        </is>
      </c>
      <c r="N74" s="13" t="inlineStr">
        <is>
          <t>2024-05-23</t>
        </is>
      </c>
      <c r="O74" s="9" t="n">
        <v>250</v>
      </c>
      <c r="P74" s="17" t="n">
        <v>2327.754150390625</v>
      </c>
      <c r="Q74" s="17" t="n">
        <v>2405.62060546875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Q2 2024-25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9.04%</t>
        </is>
      </c>
      <c r="J75" s="13" t="inlineStr">
        <is>
          <t>2.93%</t>
        </is>
      </c>
      <c r="K75" s="16">
        <f>X74</f>
        <v/>
      </c>
      <c r="L75" s="13" t="inlineStr">
        <is>
          <t>2024-07-22</t>
        </is>
      </c>
      <c r="M75" s="13" t="inlineStr">
        <is>
          <t>2024-07-31</t>
        </is>
      </c>
      <c r="N75" s="13" t="inlineStr">
        <is>
          <t>2024-07-25</t>
        </is>
      </c>
      <c r="O75" s="9" t="n">
        <v>237</v>
      </c>
      <c r="P75" s="17" t="n">
        <v>1449.214111328125</v>
      </c>
      <c r="Q75" s="17" t="n">
        <v>1580.267578125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Q2 2024-25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2.55%</t>
        </is>
      </c>
      <c r="J76" s="13" t="inlineStr">
        <is>
          <t>-0.7%</t>
        </is>
      </c>
      <c r="K76" s="16">
        <f>X75</f>
        <v/>
      </c>
      <c r="L76" s="13" t="inlineStr">
        <is>
          <t>2024-07-19</t>
        </is>
      </c>
      <c r="M76" s="13" t="inlineStr">
        <is>
          <t>2024-07-31</t>
        </is>
      </c>
      <c r="N76" s="13" t="inlineStr">
        <is>
          <t>2024-07-25</t>
        </is>
      </c>
      <c r="O76" s="9" t="n">
        <v>218</v>
      </c>
      <c r="P76" s="17" t="n">
        <v>4697.65673828125</v>
      </c>
      <c r="Q76" s="17" t="n">
        <v>4817.63671875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Q2 2024-25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0.69%</t>
        </is>
      </c>
      <c r="J77" s="13" t="inlineStr">
        <is>
          <t>-3.86%</t>
        </is>
      </c>
      <c r="K77" s="16">
        <f>X76</f>
        <v/>
      </c>
      <c r="L77" s="13" t="inlineStr">
        <is>
          <t>2024-07-18</t>
        </is>
      </c>
      <c r="M77" s="13" t="inlineStr">
        <is>
          <t>2024-07-31</t>
        </is>
      </c>
      <c r="N77" s="13" t="inlineStr">
        <is>
          <t>2024-07-25</t>
        </is>
      </c>
      <c r="O77" s="9" t="n">
        <v>792</v>
      </c>
      <c r="P77" s="17" t="n">
        <v>1823.395141601562</v>
      </c>
      <c r="Q77" s="17" t="n">
        <v>1836.012084960937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Q2 2024-25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-8.04%</t>
        </is>
      </c>
      <c r="J78" s="13" t="inlineStr">
        <is>
          <t>-8.38%</t>
        </is>
      </c>
      <c r="K78" s="16">
        <f>X77</f>
        <v/>
      </c>
      <c r="L78" s="13" t="inlineStr">
        <is>
          <t>2024-04-22</t>
        </is>
      </c>
      <c r="M78" s="13" t="inlineStr">
        <is>
          <t>2024-05-03</t>
        </is>
      </c>
      <c r="N78" s="13" t="inlineStr">
        <is>
          <t>2024-04-26</t>
        </is>
      </c>
      <c r="O78" s="9" t="n">
        <v>350</v>
      </c>
      <c r="P78" s="17" t="n">
        <v>1338.384765625</v>
      </c>
      <c r="Q78" s="17" t="n">
        <v>1230.786254882812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Q2 2024-25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-0.96%</t>
        </is>
      </c>
      <c r="J79" s="13" t="inlineStr">
        <is>
          <t>1.33%</t>
        </is>
      </c>
      <c r="K79" s="16">
        <f>X78</f>
        <v/>
      </c>
      <c r="L79" s="13" t="inlineStr">
        <is>
          <t>2024-07-19</t>
        </is>
      </c>
      <c r="M79" s="13" t="inlineStr">
        <is>
          <t>2024-07-26</t>
        </is>
      </c>
      <c r="N79" s="13" t="inlineStr">
        <is>
          <t>2024-07-25</t>
        </is>
      </c>
      <c r="O79" s="9" t="n">
        <v>392</v>
      </c>
      <c r="P79" s="17" t="n">
        <v>1971.617065429688</v>
      </c>
      <c r="Q79" s="17" t="n">
        <v>1952.909912109375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Q2 2024-25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-2.5%</t>
        </is>
      </c>
      <c r="J80" s="13" t="inlineStr">
        <is>
          <t>-2.74%</t>
        </is>
      </c>
      <c r="K80" s="16">
        <f>X79</f>
        <v/>
      </c>
      <c r="L80" s="13" t="inlineStr">
        <is>
          <t>2024-04-09</t>
        </is>
      </c>
      <c r="M80" s="13" t="inlineStr">
        <is>
          <t>2024-04-26</t>
        </is>
      </c>
      <c r="N80" s="13" t="inlineStr">
        <is>
          <t>2024-04-21</t>
        </is>
      </c>
      <c r="O80" s="9" t="n">
        <v>550</v>
      </c>
      <c r="P80" s="17" t="n">
        <v>741.3949584960938</v>
      </c>
      <c r="Q80" s="17" t="n">
        <v>722.8427124023438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Q2 2024-25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2.22%</t>
        </is>
      </c>
      <c r="J81" s="13" t="inlineStr">
        <is>
          <t>1.51%</t>
        </is>
      </c>
      <c r="K81" s="16">
        <f>X80</f>
        <v/>
      </c>
      <c r="L81" s="13" t="inlineStr">
        <is>
          <t>2023-01-18</t>
        </is>
      </c>
      <c r="M81" s="13" t="inlineStr">
        <is>
          <t>2023-01-27</t>
        </is>
      </c>
      <c r="N81" s="13" t="inlineStr">
        <is>
          <t>2023-01-20</t>
        </is>
      </c>
      <c r="O81" s="9" t="n">
        <v>1100</v>
      </c>
      <c r="P81" s="17" t="n">
        <v>580.1065673828125</v>
      </c>
      <c r="Q81" s="17" t="n">
        <v>593.2839965820312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Q2 2024-25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12.14%</t>
        </is>
      </c>
      <c r="J82" s="13" t="inlineStr">
        <is>
          <t>10.85%</t>
        </is>
      </c>
      <c r="K82" s="16">
        <f>X81</f>
        <v/>
      </c>
      <c r="L82" s="13" t="inlineStr">
        <is>
          <t>2024-05-06</t>
        </is>
      </c>
      <c r="M82" s="13" t="inlineStr">
        <is>
          <t>2024-05-15</t>
        </is>
      </c>
      <c r="N82" s="13" t="inlineStr">
        <is>
          <t>2024-05-08</t>
        </is>
      </c>
      <c r="O82" s="9" t="n">
        <v>150</v>
      </c>
      <c r="P82" s="17" t="n">
        <v>4219.99658203125</v>
      </c>
      <c r="Q82" s="17" t="n">
        <v>4732.3662109375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Q2 2024-25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2.27%</t>
        </is>
      </c>
      <c r="J83" s="13" t="inlineStr">
        <is>
          <t>2.41%</t>
        </is>
      </c>
      <c r="K83" s="16">
        <f>X82</f>
        <v/>
      </c>
      <c r="L83" s="13" t="inlineStr">
        <is>
          <t>2024-05-21</t>
        </is>
      </c>
      <c r="M83" s="13" t="inlineStr">
        <is>
          <t>2024-05-27</t>
        </is>
      </c>
      <c r="N83" s="13" t="inlineStr">
        <is>
          <t>2024-05-24</t>
        </is>
      </c>
      <c r="O83" s="9" t="n">
        <v>1400</v>
      </c>
      <c r="P83" s="17" t="n">
        <v>665.6073608398438</v>
      </c>
      <c r="Q83" s="17" t="n">
        <v>681.0728759765625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Q2 2024-25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-10.85%</t>
        </is>
      </c>
      <c r="J84" s="13" t="inlineStr">
        <is>
          <t>-12.2%</t>
        </is>
      </c>
      <c r="K84" s="16">
        <f>X83</f>
        <v/>
      </c>
      <c r="L84" s="13" t="inlineStr">
        <is>
          <t>2024-07-24</t>
        </is>
      </c>
      <c r="M84" s="13" t="inlineStr">
        <is>
          <t>2024-07-31</t>
        </is>
      </c>
      <c r="N84" s="13" t="inlineStr">
        <is>
          <t>2024-07-25</t>
        </is>
      </c>
      <c r="O84" s="9" t="n">
        <v>2574</v>
      </c>
      <c r="P84" s="17" t="n">
        <v>367.5966796875</v>
      </c>
      <c r="Q84" s="17" t="n">
        <v>331.6101684570312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Q2 2024-25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-1.47%</t>
        </is>
      </c>
      <c r="J85" s="13" t="inlineStr">
        <is>
          <t>-1.36%</t>
        </is>
      </c>
      <c r="K85" s="16">
        <f>X84</f>
        <v/>
      </c>
      <c r="L85" s="13" t="inlineStr">
        <is>
          <t>2024-04-15</t>
        </is>
      </c>
      <c r="M85" s="13" t="inlineStr">
        <is>
          <t>2024-05-02</t>
        </is>
      </c>
      <c r="N85" s="13" t="inlineStr">
        <is>
          <t>2024-04-24</t>
        </is>
      </c>
      <c r="O85" s="9" t="n">
        <v>300</v>
      </c>
      <c r="P85" s="17" t="n">
        <v>2118.4091796875</v>
      </c>
      <c r="Q85" s="17" t="n">
        <v>2087.72216796875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Q2 2024-25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-2.35%</t>
        </is>
      </c>
      <c r="J86" s="13" t="inlineStr">
        <is>
          <t>-4.06%</t>
        </is>
      </c>
      <c r="K86" s="16">
        <f>X85</f>
        <v/>
      </c>
      <c r="L86" s="13" t="inlineStr">
        <is>
          <t>2024-07-22</t>
        </is>
      </c>
      <c r="M86" s="13" t="inlineStr">
        <is>
          <t>2024-07-31</t>
        </is>
      </c>
      <c r="N86" s="13" t="inlineStr">
        <is>
          <t>2024-07-25</t>
        </is>
      </c>
      <c r="O86" s="9" t="n">
        <v>1866</v>
      </c>
      <c r="P86" s="17" t="n">
        <v>600.6290283203125</v>
      </c>
      <c r="Q86" s="17" t="n">
        <v>586.8402099609375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Q2 2024-25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-4.25%</t>
        </is>
      </c>
      <c r="J87" s="13" t="inlineStr">
        <is>
          <t>-7.43%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2024-07-25</t>
        </is>
      </c>
      <c r="O87" s="9" t="n">
        <v>495</v>
      </c>
      <c r="P87" s="17" t="n">
        <v>1878.654418945312</v>
      </c>
      <c r="Q87" s="17" t="n">
        <v>1802.145385742188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Q2 2024-25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7.43%</t>
        </is>
      </c>
      <c r="J88" s="13" t="inlineStr">
        <is>
          <t>4.97%</t>
        </is>
      </c>
      <c r="K88" s="16">
        <f>X87</f>
        <v/>
      </c>
      <c r="L88" s="13" t="inlineStr">
        <is>
          <t>2024-04-16</t>
        </is>
      </c>
      <c r="M88" s="13" t="inlineStr">
        <is>
          <t>2024-05-06</t>
        </is>
      </c>
      <c r="N88" s="13" t="inlineStr">
        <is>
          <t>2024-04-27</t>
        </is>
      </c>
      <c r="O88" s="9" t="n">
        <v>700</v>
      </c>
      <c r="P88" s="17" t="n">
        <v>1049.841796875</v>
      </c>
      <c r="Q88" s="17" t="n">
        <v>1127.813720703125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Q2 2024-25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2.48%</t>
        </is>
      </c>
      <c r="J89" s="13" t="inlineStr">
        <is>
          <t>0.46%</t>
        </is>
      </c>
      <c r="K89" s="16">
        <f>X88</f>
        <v/>
      </c>
      <c r="L89" s="13" t="inlineStr">
        <is>
          <t>2025-01-07</t>
        </is>
      </c>
      <c r="M89" s="13" t="inlineStr">
        <is>
          <t>2025-01-23</t>
        </is>
      </c>
      <c r="N89" s="13" t="inlineStr">
        <is>
          <t>2025-01-17</t>
        </is>
      </c>
      <c r="O89" s="9" t="n">
        <v>629</v>
      </c>
      <c r="P89" s="17" t="n">
        <v>1831.6</v>
      </c>
      <c r="Q89" s="17" t="n">
        <v>1878.25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Q2 2024-25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0.93%</t>
        </is>
      </c>
      <c r="J90" s="13" t="inlineStr">
        <is>
          <t>1.42%</t>
        </is>
      </c>
      <c r="K90" s="16">
        <f>X89</f>
        <v/>
      </c>
      <c r="L90" s="13" t="inlineStr">
        <is>
          <t>2025-09-02</t>
        </is>
      </c>
      <c r="M90" s="13" t="inlineStr">
        <is>
          <t>2025-09-18</t>
        </is>
      </c>
      <c r="N90" s="13" t="inlineStr">
        <is>
          <t>2025-09-12</t>
        </is>
      </c>
      <c r="O90" s="9" t="n">
        <v>1958</v>
      </c>
      <c r="P90" s="17" t="n">
        <v>602.9076538085938</v>
      </c>
      <c r="Q90" s="17" t="n">
        <v>608.5381469726562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Q2 2024-25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0.0%</t>
        </is>
      </c>
      <c r="J91" s="13" t="inlineStr">
        <is>
          <t>-3.9%</t>
        </is>
      </c>
      <c r="K91" s="16">
        <f>X90</f>
        <v/>
      </c>
      <c r="L91" s="13" t="inlineStr">
        <is>
          <t>2024-07-18</t>
        </is>
      </c>
      <c r="M91" s="13" t="inlineStr">
        <is>
          <t>2024-07-31</t>
        </is>
      </c>
      <c r="N91" s="13" t="inlineStr">
        <is>
          <t>2024-07-25</t>
        </is>
      </c>
      <c r="O91" s="9" t="n">
        <v>77700</v>
      </c>
      <c r="P91" s="17" t="n">
        <v>16.27000045776367</v>
      </c>
      <c r="Q91" s="17" t="n">
        <v>16.27000045776367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Q2 2024-25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4.71%</t>
        </is>
      </c>
      <c r="J92" s="13" t="inlineStr">
        <is>
          <t>0.04%</t>
        </is>
      </c>
      <c r="K92" s="16">
        <f>X91</f>
        <v/>
      </c>
      <c r="L92" s="13" t="inlineStr">
        <is>
          <t>2024-07-15</t>
        </is>
      </c>
      <c r="M92" s="13" t="inlineStr">
        <is>
          <t>2024-07-26</t>
        </is>
      </c>
      <c r="N92" s="13" t="inlineStr">
        <is>
          <t>2024-07-25</t>
        </is>
      </c>
      <c r="O92" s="9" t="n">
        <v>11798</v>
      </c>
      <c r="P92" s="17" t="n">
        <v>74.23702239990234</v>
      </c>
      <c r="Q92" s="17" t="n">
        <v>77.90501403808594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Q2 2024-25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1.28%</t>
        </is>
      </c>
      <c r="J93" s="13" t="inlineStr">
        <is>
          <t>-0.53%</t>
        </is>
      </c>
      <c r="K93" s="16">
        <f>X92</f>
        <v/>
      </c>
      <c r="L93" s="13" t="inlineStr">
        <is>
          <t>2024-07-24</t>
        </is>
      </c>
      <c r="M93" s="13" t="inlineStr">
        <is>
          <t>2024-07-26</t>
        </is>
      </c>
      <c r="N93" s="13" t="inlineStr">
        <is>
          <t>2024-07-25</t>
        </is>
      </c>
      <c r="O93" s="9" t="n">
        <v>7610</v>
      </c>
      <c r="P93" s="17" t="n">
        <v>166.9441528320312</v>
      </c>
      <c r="Q93" s="17" t="n">
        <v>169.0784606933594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Q2 2024-25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3.5%</t>
        </is>
      </c>
      <c r="J94" s="13" t="inlineStr">
        <is>
          <t>0.54%</t>
        </is>
      </c>
      <c r="K94" s="16">
        <f>X93</f>
        <v/>
      </c>
      <c r="L94" s="13" t="inlineStr">
        <is>
          <t>2024-07-22</t>
        </is>
      </c>
      <c r="M94" s="13" t="inlineStr">
        <is>
          <t>2024-07-31</t>
        </is>
      </c>
      <c r="N94" s="13" t="inlineStr">
        <is>
          <t>2024-07-25</t>
        </is>
      </c>
      <c r="O94" s="9" t="n">
        <v>1334</v>
      </c>
      <c r="P94" s="17" t="n">
        <v>615.7886962890625</v>
      </c>
      <c r="Q94" s="17" t="n">
        <v>637.3291625976562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Q2 2024-25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6.9%</t>
        </is>
      </c>
      <c r="J95" s="13" t="inlineStr">
        <is>
          <t>0.59%</t>
        </is>
      </c>
      <c r="K95" s="16">
        <f>X94</f>
        <v/>
      </c>
      <c r="L95" s="13" t="inlineStr">
        <is>
          <t>2024-07-22</t>
        </is>
      </c>
      <c r="M95" s="13" t="inlineStr">
        <is>
          <t>2024-07-31</t>
        </is>
      </c>
      <c r="N95" s="13" t="inlineStr">
        <is>
          <t>2024-07-25</t>
        </is>
      </c>
      <c r="O95" s="9" t="n">
        <v>1208</v>
      </c>
      <c r="P95" s="17" t="n">
        <v>543.7191162109375</v>
      </c>
      <c r="Q95" s="17" t="n">
        <v>581.2400512695312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Q2 2024-25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-1.47%</t>
        </is>
      </c>
      <c r="J96" s="13" t="inlineStr">
        <is>
          <t>-0.91%</t>
        </is>
      </c>
      <c r="K96" s="16">
        <f>X95</f>
        <v/>
      </c>
      <c r="L96" s="13" t="inlineStr">
        <is>
          <t>2023-01-24</t>
        </is>
      </c>
      <c r="M96" s="13" t="inlineStr">
        <is>
          <t>2023-02-06</t>
        </is>
      </c>
      <c r="N96" s="13" t="inlineStr">
        <is>
          <t>2023-02-03</t>
        </is>
      </c>
      <c r="O96" s="9" t="n">
        <v>196</v>
      </c>
      <c r="P96" s="17" t="n">
        <v>2098.80322265625</v>
      </c>
      <c r="Q96" s="17" t="n">
        <v>2068.05517578125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Q2 2024-25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0.61%</t>
        </is>
      </c>
      <c r="J97" s="13" t="inlineStr">
        <is>
          <t>-0.29%</t>
        </is>
      </c>
      <c r="K97" s="16">
        <f>X96</f>
        <v/>
      </c>
      <c r="L97" s="13" t="inlineStr">
        <is>
          <t>2024-04-24</t>
        </is>
      </c>
      <c r="M97" s="13" t="inlineStr">
        <is>
          <t>2024-05-03</t>
        </is>
      </c>
      <c r="N97" s="13" t="inlineStr">
        <is>
          <t>2024-04-25</t>
        </is>
      </c>
      <c r="O97" s="9" t="n">
        <v>500</v>
      </c>
      <c r="P97" s="17" t="n">
        <v>1456.10009765625</v>
      </c>
      <c r="Q97" s="17" t="n">
        <v>1465.0361328125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Q2 2024-25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-5.48%</t>
        </is>
      </c>
      <c r="J98" s="13" t="inlineStr">
        <is>
          <t>-7.74%</t>
        </is>
      </c>
      <c r="K98" s="16">
        <f>X97</f>
        <v/>
      </c>
      <c r="L98" s="13" t="inlineStr">
        <is>
          <t>2024-07-22</t>
        </is>
      </c>
      <c r="M98" s="13" t="inlineStr">
        <is>
          <t>2024-07-26</t>
        </is>
      </c>
      <c r="N98" s="13" t="inlineStr">
        <is>
          <t>2024-07-25</t>
        </is>
      </c>
      <c r="O98" s="9" t="n">
        <v>2545</v>
      </c>
      <c r="P98" s="17" t="n">
        <v>444.8500061035156</v>
      </c>
      <c r="Q98" s="17" t="n">
        <v>421.75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Q2 2024-25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4.91%</t>
        </is>
      </c>
      <c r="J99" s="13" t="inlineStr">
        <is>
          <t>4.07%</t>
        </is>
      </c>
      <c r="K99" s="16">
        <f>X98</f>
        <v/>
      </c>
      <c r="L99" s="13" t="inlineStr">
        <is>
          <t>2024-04-10</t>
        </is>
      </c>
      <c r="M99" s="13" t="inlineStr">
        <is>
          <t>2024-04-22</t>
        </is>
      </c>
      <c r="N99" s="13" t="inlineStr">
        <is>
          <t>2024-04-19</t>
        </is>
      </c>
      <c r="O99" s="9" t="n">
        <v>400</v>
      </c>
      <c r="P99" s="17" t="n">
        <v>1320.340942382812</v>
      </c>
      <c r="Q99" s="17" t="n">
        <v>1388.581298828125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Q2 2024-25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0.14%</t>
        </is>
      </c>
      <c r="J100" s="13" t="inlineStr">
        <is>
          <t>-5.21%</t>
        </is>
      </c>
      <c r="K100" s="16">
        <f>X99</f>
        <v/>
      </c>
      <c r="L100" s="13" t="inlineStr">
        <is>
          <t>2024-07-15</t>
        </is>
      </c>
      <c r="M100" s="13" t="inlineStr">
        <is>
          <t>2024-07-26</t>
        </is>
      </c>
      <c r="N100" s="13" t="inlineStr">
        <is>
          <t>2024-07-25</t>
        </is>
      </c>
      <c r="O100" s="9" t="n">
        <v>13336</v>
      </c>
      <c r="P100" s="17" t="n">
        <v>169.9799957275391</v>
      </c>
      <c r="Q100" s="17" t="n">
        <v>170.2200012207031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Q2 2024-25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-7.11%</t>
        </is>
      </c>
      <c r="J101" s="13" t="inlineStr">
        <is>
          <t>-9.23%</t>
        </is>
      </c>
      <c r="K101" s="16">
        <f>X100</f>
        <v/>
      </c>
      <c r="L101" s="13" t="inlineStr">
        <is>
          <t>2024-07-18</t>
        </is>
      </c>
      <c r="M101" s="13" t="inlineStr">
        <is>
          <t>2024-07-31</t>
        </is>
      </c>
      <c r="N101" s="13" t="inlineStr">
        <is>
          <t>2024-07-25</t>
        </is>
      </c>
      <c r="O101" s="9" t="n">
        <v>7145</v>
      </c>
      <c r="P101" s="17" t="n">
        <v>170.3873901367188</v>
      </c>
      <c r="Q101" s="17" t="n">
        <v>159.0763854980469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Q2 2024-25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-7.61%</t>
        </is>
      </c>
      <c r="J102" s="13" t="inlineStr">
        <is>
          <t>-27.98%</t>
        </is>
      </c>
      <c r="K102" s="16">
        <f>X101</f>
        <v/>
      </c>
      <c r="L102" s="13" t="inlineStr">
        <is>
          <t>2024-07-12</t>
        </is>
      </c>
      <c r="M102" s="13" t="inlineStr">
        <is>
          <t>2024-07-31</t>
        </is>
      </c>
      <c r="N102" s="13" t="inlineStr">
        <is>
          <t>2024-07-25</t>
        </is>
      </c>
      <c r="O102" s="9" t="n">
        <v>8341</v>
      </c>
      <c r="P102" s="17" t="n">
        <v>282.7607421875</v>
      </c>
      <c r="Q102" s="17" t="n">
        <v>261.2448425292969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Q2 2024-25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2024-07-25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Q2 2024-25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0.08%</t>
        </is>
      </c>
      <c r="J104" s="13" t="inlineStr">
        <is>
          <t>0.09%</t>
        </is>
      </c>
      <c r="K104" s="16">
        <f>X103</f>
        <v/>
      </c>
      <c r="L104" s="13" t="inlineStr">
        <is>
          <t>2024-05-13</t>
        </is>
      </c>
      <c r="M104" s="13" t="inlineStr">
        <is>
          <t>2024-05-27</t>
        </is>
      </c>
      <c r="N104" s="13" t="inlineStr">
        <is>
          <t>2024-05-23</t>
        </is>
      </c>
      <c r="O104" s="9" t="n">
        <v>1600</v>
      </c>
      <c r="P104" s="17" t="n">
        <v>376.0321044921875</v>
      </c>
      <c r="Q104" s="17" t="n">
        <v>376.337158203125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Q2 2024-25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2.07%</t>
        </is>
      </c>
      <c r="J105" s="13" t="inlineStr">
        <is>
          <t>-0.03%</t>
        </is>
      </c>
      <c r="K105" s="16">
        <f>X104</f>
        <v/>
      </c>
      <c r="L105" s="13" t="inlineStr">
        <is>
          <t>2024-07-22</t>
        </is>
      </c>
      <c r="M105" s="13" t="inlineStr">
        <is>
          <t>2024-07-26</t>
        </is>
      </c>
      <c r="N105" s="13" t="inlineStr">
        <is>
          <t>2024-07-25</t>
        </is>
      </c>
      <c r="O105" s="9" t="n">
        <v>914</v>
      </c>
      <c r="P105" s="17" t="n">
        <v>948.7283325195312</v>
      </c>
      <c r="Q105" s="17" t="n">
        <v>968.3980102539062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Q2 2024-25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-1.03%</t>
        </is>
      </c>
      <c r="J106" s="13" t="inlineStr">
        <is>
          <t>-4.73%</t>
        </is>
      </c>
      <c r="K106" s="16">
        <f>X105</f>
        <v/>
      </c>
      <c r="L106" s="13" t="inlineStr">
        <is>
          <t>2024-04-18</t>
        </is>
      </c>
      <c r="M106" s="13" t="inlineStr">
        <is>
          <t>2024-04-25</t>
        </is>
      </c>
      <c r="N106" s="13" t="inlineStr">
        <is>
          <t>2024-04-19</t>
        </is>
      </c>
      <c r="O106" s="9" t="n">
        <v>4127</v>
      </c>
      <c r="P106" s="17" t="n">
        <v>381.7047729492188</v>
      </c>
      <c r="Q106" s="17" t="n">
        <v>377.8108520507813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Q2 2024-25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2.69%</t>
        </is>
      </c>
      <c r="J107" s="13" t="inlineStr">
        <is>
          <t>-1.47%</t>
        </is>
      </c>
      <c r="K107" s="16">
        <f>X106</f>
        <v/>
      </c>
      <c r="L107" s="13" t="inlineStr">
        <is>
          <t>2024-07-18</t>
        </is>
      </c>
      <c r="M107" s="13" t="inlineStr">
        <is>
          <t>2024-07-26</t>
        </is>
      </c>
      <c r="N107" s="13" t="inlineStr">
        <is>
          <t>2024-07-25</t>
        </is>
      </c>
      <c r="O107" s="9" t="n">
        <v>1839</v>
      </c>
      <c r="P107" s="17" t="n">
        <v>688.4784545898438</v>
      </c>
      <c r="Q107" s="17" t="n">
        <v>707.5380859375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Q2 2024-25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6.45%</t>
        </is>
      </c>
      <c r="J108" s="13" t="inlineStr">
        <is>
          <t>4.78%</t>
        </is>
      </c>
      <c r="K108" s="16">
        <f>X107</f>
        <v/>
      </c>
      <c r="L108" s="13" t="inlineStr">
        <is>
          <t>2024-05-10</t>
        </is>
      </c>
      <c r="M108" s="13" t="inlineStr">
        <is>
          <t>2024-05-24</t>
        </is>
      </c>
      <c r="N108" s="13" t="inlineStr">
        <is>
          <t>2024-05-17</t>
        </is>
      </c>
      <c r="O108" s="9" t="n">
        <v>675</v>
      </c>
      <c r="P108" s="17" t="n">
        <v>839.8666381835938</v>
      </c>
      <c r="Q108" s="17" t="n">
        <v>894.031005859375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Q2 2024-25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5.45%</t>
        </is>
      </c>
      <c r="J109" s="13" t="inlineStr">
        <is>
          <t>4.21%</t>
        </is>
      </c>
      <c r="K109" s="16">
        <f>X108</f>
        <v/>
      </c>
      <c r="L109" s="13" t="inlineStr">
        <is>
          <t>2024-07-18</t>
        </is>
      </c>
      <c r="M109" s="13" t="inlineStr">
        <is>
          <t>2024-07-31</t>
        </is>
      </c>
      <c r="N109" s="13" t="inlineStr">
        <is>
          <t>2024-07-25</t>
        </is>
      </c>
      <c r="O109" s="9" t="n">
        <v>2273</v>
      </c>
      <c r="P109" s="17" t="n">
        <v>565.254150390625</v>
      </c>
      <c r="Q109" s="17" t="n">
        <v>596.0626220703125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Q2 2024-25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-7.27%</t>
        </is>
      </c>
      <c r="J110" s="13" t="inlineStr">
        <is>
          <t>-6.67%</t>
        </is>
      </c>
      <c r="K110" s="16">
        <f>X109</f>
        <v/>
      </c>
      <c r="L110" s="13" t="inlineStr">
        <is>
          <t>2024-07-22</t>
        </is>
      </c>
      <c r="M110" s="13" t="inlineStr">
        <is>
          <t>2024-07-26</t>
        </is>
      </c>
      <c r="N110" s="13" t="inlineStr">
        <is>
          <t>2024-07-25</t>
        </is>
      </c>
      <c r="O110" s="9" t="n">
        <v>1575</v>
      </c>
      <c r="P110" s="17" t="n">
        <v>564.8771362304688</v>
      </c>
      <c r="Q110" s="17" t="n">
        <v>526.5753173828125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Q2 2024-25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13.34%</t>
        </is>
      </c>
      <c r="J111" s="13" t="inlineStr">
        <is>
          <t>7.25%</t>
        </is>
      </c>
      <c r="K111" s="16">
        <f>X110</f>
        <v/>
      </c>
      <c r="L111" s="13" t="inlineStr">
        <is>
          <t>2024-07-22</t>
        </is>
      </c>
      <c r="M111" s="13" t="inlineStr">
        <is>
          <t>2024-07-31</t>
        </is>
      </c>
      <c r="N111" s="13" t="inlineStr">
        <is>
          <t>2024-07-25</t>
        </is>
      </c>
      <c r="O111" s="9" t="n">
        <v>276</v>
      </c>
      <c r="P111" s="17" t="n">
        <v>3919.10009765625</v>
      </c>
      <c r="Q111" s="17" t="n">
        <v>4441.85009765625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Q2 2024-25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5.76%</t>
        </is>
      </c>
      <c r="J112" s="13" t="inlineStr">
        <is>
          <t>2.02%</t>
        </is>
      </c>
      <c r="K112" s="16">
        <f>X111</f>
        <v/>
      </c>
      <c r="L112" s="13" t="inlineStr">
        <is>
          <t>2024-07-12</t>
        </is>
      </c>
      <c r="M112" s="13" t="inlineStr">
        <is>
          <t>2024-07-31</t>
        </is>
      </c>
      <c r="N112" s="13" t="inlineStr">
        <is>
          <t>2024-07-25</t>
        </is>
      </c>
      <c r="O112" s="9" t="n">
        <v>208</v>
      </c>
      <c r="P112" s="17" t="n">
        <v>4320.66259765625</v>
      </c>
      <c r="Q112" s="17" t="n">
        <v>4584.60107421875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Q2 2024-25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3.33%</t>
        </is>
      </c>
      <c r="J113" s="13" t="inlineStr">
        <is>
          <t>0.83%</t>
        </is>
      </c>
      <c r="K113" s="16">
        <f>X112</f>
        <v/>
      </c>
      <c r="L113" s="13" t="inlineStr">
        <is>
          <t>2024-07-12</t>
        </is>
      </c>
      <c r="M113" s="13" t="inlineStr">
        <is>
          <t>2024-07-26</t>
        </is>
      </c>
      <c r="N113" s="13" t="inlineStr">
        <is>
          <t>2024-07-25</t>
        </is>
      </c>
      <c r="O113" s="9" t="n">
        <v>1063</v>
      </c>
      <c r="P113" s="17" t="n">
        <v>730.6550903320312</v>
      </c>
      <c r="Q113" s="17" t="n">
        <v>755.018310546875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Q2 2024-25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-1.23%</t>
        </is>
      </c>
      <c r="J114" s="13" t="inlineStr">
        <is>
          <t>-1.33%</t>
        </is>
      </c>
      <c r="K114" s="16">
        <f>X113</f>
        <v/>
      </c>
      <c r="L114" s="13" t="inlineStr">
        <is>
          <t>2024-04-30</t>
        </is>
      </c>
      <c r="M114" s="13" t="inlineStr">
        <is>
          <t>2024-05-07</t>
        </is>
      </c>
      <c r="N114" s="13" t="inlineStr">
        <is>
          <t>2024-05-04</t>
        </is>
      </c>
      <c r="O114" s="9" t="n">
        <v>400</v>
      </c>
      <c r="P114" s="17" t="n">
        <v>328.0418395996094</v>
      </c>
      <c r="Q114" s="17" t="n">
        <v>324.0608215332031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Q2 2024-25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-3.73%</t>
        </is>
      </c>
      <c r="J115" s="13" t="inlineStr">
        <is>
          <t>-2.58%</t>
        </is>
      </c>
      <c r="K115" s="16">
        <f>X114</f>
        <v/>
      </c>
      <c r="L115" s="13" t="inlineStr">
        <is>
          <t>2024-07-18</t>
        </is>
      </c>
      <c r="M115" s="13" t="inlineStr">
        <is>
          <t>2024-07-26</t>
        </is>
      </c>
      <c r="N115" s="13" t="inlineStr">
        <is>
          <t>2024-07-25</t>
        </is>
      </c>
      <c r="O115" s="9" t="n">
        <v>1695</v>
      </c>
      <c r="P115" s="17" t="n">
        <v>1836.788452148437</v>
      </c>
      <c r="Q115" s="17" t="n">
        <v>1768.2412109375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Q2 2024-25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-1.96%</t>
        </is>
      </c>
      <c r="J116" s="13" t="inlineStr">
        <is>
          <t>-4.77%</t>
        </is>
      </c>
      <c r="K116" s="16">
        <f>X115</f>
        <v/>
      </c>
      <c r="L116" s="13" t="inlineStr">
        <is>
          <t>2024-07-19</t>
        </is>
      </c>
      <c r="M116" s="13" t="inlineStr">
        <is>
          <t>2024-07-26</t>
        </is>
      </c>
      <c r="N116" s="13" t="inlineStr">
        <is>
          <t>2024-07-25</t>
        </is>
      </c>
      <c r="O116" s="9" t="n">
        <v>561</v>
      </c>
      <c r="P116" s="17" t="n">
        <v>447.2563781738281</v>
      </c>
      <c r="Q116" s="17" t="n">
        <v>438.6409301757813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Q2 2024-25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-0.38%</t>
        </is>
      </c>
      <c r="J117" s="13" t="inlineStr">
        <is>
          <t>0.2%</t>
        </is>
      </c>
      <c r="K117" s="16">
        <f>X116</f>
        <v/>
      </c>
      <c r="L117" s="13" t="inlineStr">
        <is>
          <t>2024-07-23</t>
        </is>
      </c>
      <c r="M117" s="13" t="inlineStr">
        <is>
          <t>2024-07-31</t>
        </is>
      </c>
      <c r="N117" s="13" t="inlineStr">
        <is>
          <t>2024-07-25</t>
        </is>
      </c>
      <c r="O117" s="9" t="n">
        <v>1848</v>
      </c>
      <c r="P117" s="17" t="n">
        <v>746.8883056640625</v>
      </c>
      <c r="Q117" s="17" t="n">
        <v>744.0276489257812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Q2 2024-25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-1.99%</t>
        </is>
      </c>
      <c r="J118" s="13" t="inlineStr">
        <is>
          <t>-2.94%</t>
        </is>
      </c>
      <c r="K118" s="16">
        <f>X117</f>
        <v/>
      </c>
      <c r="L118" s="13" t="inlineStr">
        <is>
          <t>2025-01-07</t>
        </is>
      </c>
      <c r="M118" s="13" t="inlineStr">
        <is>
          <t>2025-01-20</t>
        </is>
      </c>
      <c r="N118" s="13" t="inlineStr">
        <is>
          <t>2025-01-13</t>
        </is>
      </c>
      <c r="O118" s="9" t="n">
        <v>2364</v>
      </c>
      <c r="P118" s="17" t="n">
        <v>422.5603637695313</v>
      </c>
      <c r="Q118" s="17" t="n">
        <v>414.1708679199219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Q2 2024-25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3.15%</t>
        </is>
      </c>
      <c r="J119" s="13" t="inlineStr">
        <is>
          <t>-1.1%</t>
        </is>
      </c>
      <c r="K119" s="16">
        <f>X118</f>
        <v/>
      </c>
      <c r="L119" s="13" t="inlineStr">
        <is>
          <t>2024-07-19</t>
        </is>
      </c>
      <c r="M119" s="13" t="inlineStr">
        <is>
          <t>2024-07-26</t>
        </is>
      </c>
      <c r="N119" s="13" t="inlineStr">
        <is>
          <t>2024-07-25</t>
        </is>
      </c>
      <c r="O119" s="9" t="n">
        <v>776</v>
      </c>
      <c r="P119" s="17" t="n">
        <v>1395.940307617188</v>
      </c>
      <c r="Q119" s="17" t="n">
        <v>1441.360595703125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Q2 2024-25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0.56%</t>
        </is>
      </c>
      <c r="J120" s="13" t="inlineStr">
        <is>
          <t>0.0%</t>
        </is>
      </c>
      <c r="K120" s="16">
        <f>X119</f>
        <v/>
      </c>
      <c r="L120" s="13" t="inlineStr">
        <is>
          <t>2024-05-09</t>
        </is>
      </c>
      <c r="M120" s="13" t="inlineStr">
        <is>
          <t>2024-05-13</t>
        </is>
      </c>
      <c r="N120" s="13" t="inlineStr">
        <is>
          <t>2024-05-09</t>
        </is>
      </c>
      <c r="O120" s="9" t="n">
        <v>300</v>
      </c>
      <c r="P120" s="17" t="n">
        <v>3188.727783203125</v>
      </c>
      <c r="Q120" s="17" t="n">
        <v>3206.640625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Q2 2024-25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-3.27%</t>
        </is>
      </c>
      <c r="J121" s="13" t="inlineStr">
        <is>
          <t>-4.73%</t>
        </is>
      </c>
      <c r="K121" s="16">
        <f>X120</f>
        <v/>
      </c>
      <c r="L121" s="13" t="inlineStr">
        <is>
          <t>2024-07-24</t>
        </is>
      </c>
      <c r="M121" s="13" t="inlineStr">
        <is>
          <t>2024-07-26</t>
        </is>
      </c>
      <c r="N121" s="13" t="inlineStr">
        <is>
          <t>2024-07-25</t>
        </is>
      </c>
      <c r="O121" s="9" t="n">
        <v>3265</v>
      </c>
      <c r="P121" s="17" t="n">
        <v>175.8123626708984</v>
      </c>
      <c r="Q121" s="17" t="n">
        <v>170.239990234375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Q2 2024-25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0.12%</t>
        </is>
      </c>
      <c r="J122" s="13" t="inlineStr">
        <is>
          <t>-2.45%</t>
        </is>
      </c>
      <c r="K122" s="16">
        <f>X121</f>
        <v/>
      </c>
      <c r="L122" s="13" t="inlineStr">
        <is>
          <t>2024-07-24</t>
        </is>
      </c>
      <c r="M122" s="13" t="inlineStr">
        <is>
          <t>2024-07-31</t>
        </is>
      </c>
      <c r="N122" s="13" t="inlineStr">
        <is>
          <t>2024-07-25</t>
        </is>
      </c>
      <c r="O122" s="9" t="n">
        <v>225</v>
      </c>
      <c r="P122" s="17" t="n">
        <v>5493.171875</v>
      </c>
      <c r="Q122" s="17" t="n">
        <v>5499.9677734375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Q2 2024-25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2.84%</t>
        </is>
      </c>
      <c r="J123" s="13" t="inlineStr">
        <is>
          <t>-0.95%</t>
        </is>
      </c>
      <c r="K123" s="16">
        <f>X122</f>
        <v/>
      </c>
      <c r="L123" s="13" t="inlineStr">
        <is>
          <t>2024-07-12</t>
        </is>
      </c>
      <c r="M123" s="13" t="inlineStr">
        <is>
          <t>2024-07-26</t>
        </is>
      </c>
      <c r="N123" s="13" t="inlineStr">
        <is>
          <t>2024-07-25</t>
        </is>
      </c>
      <c r="O123" s="9" t="n">
        <v>413</v>
      </c>
      <c r="P123" s="17" t="n">
        <v>1766.033935546875</v>
      </c>
      <c r="Q123" s="17" t="n">
        <v>1816.153930664062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Q2 2024-25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15.49%</t>
        </is>
      </c>
      <c r="J124" s="13" t="inlineStr">
        <is>
          <t>13.22%</t>
        </is>
      </c>
      <c r="K124" s="16">
        <f>X123</f>
        <v/>
      </c>
      <c r="L124" s="13" t="inlineStr">
        <is>
          <t>2024-05-13</t>
        </is>
      </c>
      <c r="M124" s="13" t="inlineStr">
        <is>
          <t>2024-05-21</t>
        </is>
      </c>
      <c r="N124" s="13" t="inlineStr">
        <is>
          <t>2024-05-16</t>
        </is>
      </c>
      <c r="O124" s="9" t="n">
        <v>350</v>
      </c>
      <c r="P124" s="17" t="n">
        <v>2128.736083984375</v>
      </c>
      <c r="Q124" s="17" t="n">
        <v>2458.535400390625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Q2 2024-25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1.96%</t>
        </is>
      </c>
      <c r="J125" s="13" t="inlineStr">
        <is>
          <t>-2.42%</t>
        </is>
      </c>
      <c r="K125" s="16">
        <f>X124</f>
        <v/>
      </c>
      <c r="L125" s="13" t="inlineStr">
        <is>
          <t>2024-07-19</t>
        </is>
      </c>
      <c r="M125" s="13" t="inlineStr">
        <is>
          <t>2024-07-31</t>
        </is>
      </c>
      <c r="N125" s="13" t="inlineStr">
        <is>
          <t>2024-07-25</t>
        </is>
      </c>
      <c r="O125" s="9" t="n">
        <v>12616</v>
      </c>
      <c r="P125" s="17" t="n">
        <v>61.79948043823242</v>
      </c>
      <c r="Q125" s="17" t="n">
        <v>63.01381683349609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Q2 2024-25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5.06%</t>
        </is>
      </c>
      <c r="J126" s="13" t="inlineStr">
        <is>
          <t>4.49%</t>
        </is>
      </c>
      <c r="K126" s="16">
        <f>X125</f>
        <v/>
      </c>
      <c r="L126" s="13" t="inlineStr">
        <is>
          <t>2024-07-23</t>
        </is>
      </c>
      <c r="M126" s="13" t="inlineStr">
        <is>
          <t>2024-07-26</t>
        </is>
      </c>
      <c r="N126" s="13" t="inlineStr">
        <is>
          <t>2024-07-25</t>
        </is>
      </c>
      <c r="O126" s="9" t="n">
        <v>2714</v>
      </c>
      <c r="P126" s="17" t="n">
        <v>197.6852569580078</v>
      </c>
      <c r="Q126" s="17" t="n">
        <v>207.68994140625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Q2 2024-25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3.43%</t>
        </is>
      </c>
      <c r="J127" s="13" t="inlineStr">
        <is>
          <t>0.33%</t>
        </is>
      </c>
      <c r="K127" s="16">
        <f>X126</f>
        <v/>
      </c>
      <c r="L127" s="13" t="inlineStr">
        <is>
          <t>2024-07-19</t>
        </is>
      </c>
      <c r="M127" s="13" t="inlineStr">
        <is>
          <t>2024-07-26</t>
        </is>
      </c>
      <c r="N127" s="13" t="inlineStr">
        <is>
          <t>2024-07-25</t>
        </is>
      </c>
      <c r="O127" s="9" t="n">
        <v>388</v>
      </c>
      <c r="P127" s="17" t="n">
        <v>2055.08984375</v>
      </c>
      <c r="Q127" s="17" t="n">
        <v>2128.1611328125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Q2 2024-25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-1.57%</t>
        </is>
      </c>
      <c r="J128" s="13" t="inlineStr">
        <is>
          <t>-2.96%</t>
        </is>
      </c>
      <c r="K128" s="16">
        <f>X127</f>
        <v/>
      </c>
      <c r="L128" s="13" t="inlineStr">
        <is>
          <t>2024-07-18</t>
        </is>
      </c>
      <c r="M128" s="13" t="inlineStr">
        <is>
          <t>2024-07-31</t>
        </is>
      </c>
      <c r="N128" s="13" t="inlineStr">
        <is>
          <t>2024-07-25</t>
        </is>
      </c>
      <c r="O128" s="9" t="n">
        <v>1129</v>
      </c>
      <c r="P128" s="17" t="n">
        <v>671.43798828125</v>
      </c>
      <c r="Q128" s="17" t="n">
        <v>660.8985595703125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Q2 2024-25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0.98%</t>
        </is>
      </c>
      <c r="J129" s="13" t="inlineStr">
        <is>
          <t>0.27%</t>
        </is>
      </c>
      <c r="K129" s="16">
        <f>X128</f>
        <v/>
      </c>
      <c r="L129" s="13" t="inlineStr">
        <is>
          <t>2024-04-24</t>
        </is>
      </c>
      <c r="M129" s="13" t="inlineStr">
        <is>
          <t>2024-04-30</t>
        </is>
      </c>
      <c r="N129" s="13" t="inlineStr">
        <is>
          <t>2024-04-27</t>
        </is>
      </c>
      <c r="O129" s="9" t="n">
        <v>100</v>
      </c>
      <c r="P129" s="17" t="n">
        <v>12561.6083984375</v>
      </c>
      <c r="Q129" s="17" t="n">
        <v>12685.630859375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Q2 2024-25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-4.2%</t>
        </is>
      </c>
      <c r="J130" s="13" t="inlineStr">
        <is>
          <t>-6.82%</t>
        </is>
      </c>
      <c r="K130" s="16">
        <f>X129</f>
        <v/>
      </c>
      <c r="L130" s="13" t="inlineStr">
        <is>
          <t>2023-01-27</t>
        </is>
      </c>
      <c r="M130" s="13" t="inlineStr">
        <is>
          <t>2023-02-03</t>
        </is>
      </c>
      <c r="N130" s="13" t="inlineStr">
        <is>
          <t>2023-02-02</t>
        </is>
      </c>
      <c r="O130" s="9" t="n">
        <v>922</v>
      </c>
      <c r="P130" s="17" t="n">
        <v>451.737060546875</v>
      </c>
      <c r="Q130" s="17" t="n">
        <v>432.75732421875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Q2 2024-25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-2.2%</t>
        </is>
      </c>
      <c r="J131" s="13" t="inlineStr">
        <is>
          <t>-7.19%</t>
        </is>
      </c>
      <c r="K131" s="16">
        <f>X130</f>
        <v/>
      </c>
      <c r="L131" s="13" t="inlineStr">
        <is>
          <t>2024-07-19</t>
        </is>
      </c>
      <c r="M131" s="13" t="inlineStr">
        <is>
          <t>2024-07-31</t>
        </is>
      </c>
      <c r="N131" s="13" t="inlineStr">
        <is>
          <t>2024-07-25</t>
        </is>
      </c>
      <c r="O131" s="9" t="n">
        <v>431</v>
      </c>
      <c r="P131" s="17" t="n">
        <v>2580.0556640625</v>
      </c>
      <c r="Q131" s="17" t="n">
        <v>2524.552490234375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Q2 2024-25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6.02%</t>
        </is>
      </c>
      <c r="J132" s="13" t="inlineStr">
        <is>
          <t>-4.34%</t>
        </is>
      </c>
      <c r="K132" s="16">
        <f>X131</f>
        <v/>
      </c>
      <c r="L132" s="13" t="inlineStr">
        <is>
          <t>2024-07-15</t>
        </is>
      </c>
      <c r="M132" s="13" t="inlineStr">
        <is>
          <t>2024-07-26</t>
        </is>
      </c>
      <c r="N132" s="13" t="inlineStr">
        <is>
          <t>2024-07-25</t>
        </is>
      </c>
      <c r="O132" s="9" t="n">
        <v>373</v>
      </c>
      <c r="P132" s="17" t="n">
        <v>776.97509765625</v>
      </c>
      <c r="Q132" s="17" t="n">
        <v>823.7645263671875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Q2 2024-25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-7.42%</t>
        </is>
      </c>
      <c r="J133" s="13" t="inlineStr">
        <is>
          <t>-5.94%</t>
        </is>
      </c>
      <c r="K133" s="16">
        <f>X132</f>
        <v/>
      </c>
      <c r="L133" s="13" t="inlineStr">
        <is>
          <t>2024-07-23</t>
        </is>
      </c>
      <c r="M133" s="13" t="inlineStr">
        <is>
          <t>2024-07-26</t>
        </is>
      </c>
      <c r="N133" s="13" t="inlineStr">
        <is>
          <t>2024-07-25</t>
        </is>
      </c>
      <c r="O133" s="9" t="n">
        <v>661</v>
      </c>
      <c r="P133" s="17" t="n">
        <v>1108.25</v>
      </c>
      <c r="Q133" s="17" t="n">
        <v>1031.699951171875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Q2 2024-25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-2.27%</t>
        </is>
      </c>
      <c r="J134" s="13" t="inlineStr">
        <is>
          <t>-4.25%</t>
        </is>
      </c>
      <c r="K134" s="16">
        <f>X133</f>
        <v/>
      </c>
      <c r="L134" s="13" t="inlineStr">
        <is>
          <t>2024-07-19</t>
        </is>
      </c>
      <c r="M134" s="13" t="inlineStr">
        <is>
          <t>2024-07-31</t>
        </is>
      </c>
      <c r="N134" s="13" t="inlineStr">
        <is>
          <t>2024-07-25</t>
        </is>
      </c>
      <c r="O134" s="9" t="n">
        <v>6815</v>
      </c>
      <c r="P134" s="17" t="n">
        <v>129.0435791015625</v>
      </c>
      <c r="Q134" s="17" t="n">
        <v>126.1747894287109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Q2 2024-25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4.0%</t>
        </is>
      </c>
      <c r="J135" s="13" t="inlineStr">
        <is>
          <t>-1.12%</t>
        </is>
      </c>
      <c r="K135" s="16">
        <f>X134</f>
        <v/>
      </c>
      <c r="L135" s="13" t="inlineStr">
        <is>
          <t>2024-07-24</t>
        </is>
      </c>
      <c r="M135" s="13" t="inlineStr">
        <is>
          <t>2024-07-26</t>
        </is>
      </c>
      <c r="N135" s="13" t="inlineStr">
        <is>
          <t>2024-07-25</t>
        </is>
      </c>
      <c r="O135" s="9" t="n">
        <v>1194</v>
      </c>
      <c r="P135" s="17" t="n">
        <v>559.1387939453125</v>
      </c>
      <c r="Q135" s="17" t="n">
        <v>581.4827270507812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Q2 2024-25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5.69%</t>
        </is>
      </c>
      <c r="J136" s="13" t="inlineStr">
        <is>
          <t>2.78%</t>
        </is>
      </c>
      <c r="K136" s="16">
        <f>X135</f>
        <v/>
      </c>
      <c r="L136" s="13" t="inlineStr">
        <is>
          <t>2024-07-15</t>
        </is>
      </c>
      <c r="M136" s="13" t="inlineStr">
        <is>
          <t>2024-07-31</t>
        </is>
      </c>
      <c r="N136" s="13" t="inlineStr">
        <is>
          <t>2024-07-25</t>
        </is>
      </c>
      <c r="O136" s="9" t="n">
        <v>426</v>
      </c>
      <c r="P136" s="17" t="n">
        <v>2613.176025390625</v>
      </c>
      <c r="Q136" s="17" t="n">
        <v>2761.792236328125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Q2 2024-25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3.32%</t>
        </is>
      </c>
      <c r="J137" s="13" t="inlineStr">
        <is>
          <t>2.46%</t>
        </is>
      </c>
      <c r="K137" s="16">
        <f>X136</f>
        <v/>
      </c>
      <c r="L137" s="13" t="inlineStr">
        <is>
          <t>2025-08-11</t>
        </is>
      </c>
      <c r="M137" s="13" t="inlineStr">
        <is>
          <t>2025-08-21</t>
        </is>
      </c>
      <c r="N137" s="13" t="inlineStr">
        <is>
          <t>2025-08-13</t>
        </is>
      </c>
      <c r="O137" s="9" t="n">
        <v>332</v>
      </c>
      <c r="P137" s="17" t="n">
        <v>2568.085693359375</v>
      </c>
      <c r="Q137" s="17" t="n">
        <v>2653.364501953125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Q2 2024-25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-3.11%</t>
        </is>
      </c>
      <c r="J138" s="13" t="inlineStr">
        <is>
          <t>-3.62%</t>
        </is>
      </c>
      <c r="K138" s="16">
        <f>X137</f>
        <v/>
      </c>
      <c r="L138" s="13" t="inlineStr">
        <is>
          <t>2024-07-24</t>
        </is>
      </c>
      <c r="M138" s="13" t="inlineStr">
        <is>
          <t>2024-07-26</t>
        </is>
      </c>
      <c r="N138" s="13" t="inlineStr">
        <is>
          <t>2024-07-25</t>
        </is>
      </c>
      <c r="O138" s="9" t="n">
        <v>871</v>
      </c>
      <c r="P138" s="17" t="n">
        <v>623.6417236328125</v>
      </c>
      <c r="Q138" s="17" t="n">
        <v>604.8057250976562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Q2 2024-25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0.65%</t>
        </is>
      </c>
      <c r="J139" s="13" t="inlineStr">
        <is>
          <t>-4.87%</t>
        </is>
      </c>
      <c r="K139" s="16">
        <f>X138</f>
        <v/>
      </c>
      <c r="L139" s="13" t="inlineStr">
        <is>
          <t>2024-07-22</t>
        </is>
      </c>
      <c r="M139" s="13" t="inlineStr">
        <is>
          <t>2024-07-26</t>
        </is>
      </c>
      <c r="N139" s="13" t="inlineStr">
        <is>
          <t>2024-07-25</t>
        </is>
      </c>
      <c r="O139" s="9" t="n">
        <v>2876</v>
      </c>
      <c r="P139" s="17" t="n">
        <v>172.7539978027344</v>
      </c>
      <c r="Q139" s="17" t="n">
        <v>173.8844146728516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Q2 2024-25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5.27%</t>
        </is>
      </c>
      <c r="J140" s="13" t="inlineStr">
        <is>
          <t>3.66%</t>
        </is>
      </c>
      <c r="K140" s="16">
        <f>X139</f>
        <v/>
      </c>
      <c r="L140" s="13" t="inlineStr">
        <is>
          <t>2024-07-19</t>
        </is>
      </c>
      <c r="M140" s="13" t="inlineStr">
        <is>
          <t>2024-07-26</t>
        </is>
      </c>
      <c r="N140" s="13" t="inlineStr">
        <is>
          <t>2024-07-25</t>
        </is>
      </c>
      <c r="O140" s="9" t="n">
        <v>803</v>
      </c>
      <c r="P140" s="17" t="n">
        <v>1348.202270507812</v>
      </c>
      <c r="Q140" s="17" t="n">
        <v>1419.249755859375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Q2 2024-25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1.55%</t>
        </is>
      </c>
      <c r="J141" s="13" t="inlineStr">
        <is>
          <t>-0.54%</t>
        </is>
      </c>
      <c r="K141" s="16">
        <f>X140</f>
        <v/>
      </c>
      <c r="L141" s="13" t="inlineStr">
        <is>
          <t>2024-07-23</t>
        </is>
      </c>
      <c r="M141" s="13" t="inlineStr">
        <is>
          <t>2024-07-26</t>
        </is>
      </c>
      <c r="N141" s="13" t="inlineStr">
        <is>
          <t>2024-07-25</t>
        </is>
      </c>
      <c r="O141" s="9" t="n">
        <v>10687</v>
      </c>
      <c r="P141" s="17" t="n">
        <v>114.4512100219727</v>
      </c>
      <c r="Q141" s="17" t="n">
        <v>116.2481231689453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Q2 2024-25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2.66%</t>
        </is>
      </c>
      <c r="J142" s="13" t="inlineStr">
        <is>
          <t>2.79%</t>
        </is>
      </c>
      <c r="K142" s="16">
        <f>X141</f>
        <v/>
      </c>
      <c r="L142" s="13" t="inlineStr">
        <is>
          <t>2023-10-26</t>
        </is>
      </c>
      <c r="M142" s="13" t="inlineStr">
        <is>
          <t>2023-10-30</t>
        </is>
      </c>
      <c r="N142" s="13" t="inlineStr">
        <is>
          <t>2023-10-27</t>
        </is>
      </c>
      <c r="O142" s="9" t="n">
        <v>200</v>
      </c>
      <c r="P142" s="17" t="n">
        <v>1138.267456054688</v>
      </c>
      <c r="Q142" s="17" t="n">
        <v>1168.535034179688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Q2 2024-25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1.16%</t>
        </is>
      </c>
      <c r="J143" s="13" t="inlineStr">
        <is>
          <t>-1.62%</t>
        </is>
      </c>
      <c r="K143" s="16">
        <f>X142</f>
        <v/>
      </c>
      <c r="L143" s="13" t="inlineStr">
        <is>
          <t>2024-07-19</t>
        </is>
      </c>
      <c r="M143" s="13" t="inlineStr">
        <is>
          <t>2024-07-31</t>
        </is>
      </c>
      <c r="N143" s="13" t="inlineStr">
        <is>
          <t>2024-07-25</t>
        </is>
      </c>
      <c r="O143" s="9" t="n">
        <v>12809</v>
      </c>
      <c r="P143" s="17" t="n">
        <v>100.1056823730469</v>
      </c>
      <c r="Q143" s="17" t="n">
        <v>101.2778930664062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Q2 2024-25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4.28%</t>
        </is>
      </c>
      <c r="J144" s="13" t="inlineStr">
        <is>
          <t>5.13%</t>
        </is>
      </c>
      <c r="K144" s="16">
        <f>X143</f>
        <v/>
      </c>
      <c r="L144" s="13" t="inlineStr">
        <is>
          <t>2024-07-19</t>
        </is>
      </c>
      <c r="M144" s="13" t="inlineStr">
        <is>
          <t>2024-07-26</t>
        </is>
      </c>
      <c r="N144" s="13" t="inlineStr">
        <is>
          <t>2024-07-25</t>
        </is>
      </c>
      <c r="O144" s="9" t="n">
        <v>11763</v>
      </c>
      <c r="P144" s="17" t="n">
        <v>70.06090545654297</v>
      </c>
      <c r="Q144" s="17" t="n">
        <v>73.05921936035156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Q2 2024-25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0.65%</t>
        </is>
      </c>
      <c r="J145" s="13" t="inlineStr">
        <is>
          <t>2.14%</t>
        </is>
      </c>
      <c r="K145" s="16">
        <f>X144</f>
        <v/>
      </c>
      <c r="L145" s="13" t="inlineStr">
        <is>
          <t>2024-05-15</t>
        </is>
      </c>
      <c r="M145" s="13" t="inlineStr">
        <is>
          <t>2024-05-31</t>
        </is>
      </c>
      <c r="N145" s="13" t="inlineStr">
        <is>
          <t>2024-05-25</t>
        </is>
      </c>
      <c r="O145" s="9" t="n">
        <v>1500</v>
      </c>
      <c r="P145" s="17" t="n">
        <v>342.2366943359375</v>
      </c>
      <c r="Q145" s="17" t="n">
        <v>344.4769592285156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Q2 2024-25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-1.37%</t>
        </is>
      </c>
      <c r="J146" s="13" t="inlineStr">
        <is>
          <t>-4.23%</t>
        </is>
      </c>
      <c r="K146" s="16">
        <f>X145</f>
        <v/>
      </c>
      <c r="L146" s="13" t="inlineStr">
        <is>
          <t>2024-07-15</t>
        </is>
      </c>
      <c r="M146" s="13" t="inlineStr">
        <is>
          <t>2024-07-26</t>
        </is>
      </c>
      <c r="N146" s="13" t="inlineStr">
        <is>
          <t>2024-07-25</t>
        </is>
      </c>
      <c r="O146" s="9" t="n">
        <v>2996</v>
      </c>
      <c r="P146" s="17" t="n">
        <v>182.979995727539</v>
      </c>
      <c r="Q146" s="17" t="n">
        <v>180.509994506836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Q2 2024-25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8.37%</t>
        </is>
      </c>
      <c r="J147" s="13" t="inlineStr">
        <is>
          <t>10.13%</t>
        </is>
      </c>
      <c r="K147" s="16">
        <f>X146</f>
        <v/>
      </c>
      <c r="L147" s="13" t="inlineStr">
        <is>
          <t>2024-07-18</t>
        </is>
      </c>
      <c r="M147" s="13" t="inlineStr">
        <is>
          <t>2024-07-31</t>
        </is>
      </c>
      <c r="N147" s="13" t="inlineStr">
        <is>
          <t>2024-07-25</t>
        </is>
      </c>
      <c r="O147" s="9" t="n">
        <v>551</v>
      </c>
      <c r="P147" s="17" t="n">
        <v>1700.727172851562</v>
      </c>
      <c r="Q147" s="17" t="n">
        <v>1843.085327148437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Q2 2024-25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-4.62%</t>
        </is>
      </c>
      <c r="J148" s="13" t="inlineStr">
        <is>
          <t>-0.07%</t>
        </is>
      </c>
      <c r="K148" s="16">
        <f>X147</f>
        <v/>
      </c>
      <c r="L148" s="13" t="inlineStr">
        <is>
          <t>2024-07-12</t>
        </is>
      </c>
      <c r="M148" s="13" t="inlineStr">
        <is>
          <t>2024-07-31</t>
        </is>
      </c>
      <c r="N148" s="13" t="inlineStr">
        <is>
          <t>2024-07-25</t>
        </is>
      </c>
      <c r="O148" s="9" t="n">
        <v>100</v>
      </c>
      <c r="P148" s="17" t="n">
        <v>10244.8916015625</v>
      </c>
      <c r="Q148" s="17" t="n">
        <v>9792.2373046875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Q2 2024-25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0.97%</t>
        </is>
      </c>
      <c r="J149" s="13" t="inlineStr">
        <is>
          <t>-7.12%</t>
        </is>
      </c>
      <c r="K149" s="16">
        <f>X148</f>
        <v/>
      </c>
      <c r="L149" s="13" t="inlineStr">
        <is>
          <t>2024-07-22</t>
        </is>
      </c>
      <c r="M149" s="13" t="inlineStr">
        <is>
          <t>2024-07-26</t>
        </is>
      </c>
      <c r="N149" s="13" t="inlineStr">
        <is>
          <t>2024-07-25</t>
        </is>
      </c>
      <c r="O149" s="9" t="n">
        <v>2188</v>
      </c>
      <c r="P149" s="17" t="n">
        <v>525.8220825195312</v>
      </c>
      <c r="Q149" s="17" t="n">
        <v>530.93603515625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Q2 2024-25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-1.5%</t>
        </is>
      </c>
      <c r="J150" s="13" t="inlineStr">
        <is>
          <t>-2.25%</t>
        </is>
      </c>
      <c r="K150" s="16">
        <f>X149</f>
        <v/>
      </c>
      <c r="L150" s="13" t="inlineStr">
        <is>
          <t>2024-05-10</t>
        </is>
      </c>
      <c r="M150" s="13" t="inlineStr">
        <is>
          <t>2024-05-28</t>
        </is>
      </c>
      <c r="N150" s="13" t="inlineStr">
        <is>
          <t>2024-05-21</t>
        </is>
      </c>
      <c r="O150" s="9" t="n">
        <v>3750</v>
      </c>
      <c r="P150" s="17" t="n">
        <v>247.1096954345703</v>
      </c>
      <c r="Q150" s="17" t="n">
        <v>243.461166381836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Q2 2024-25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-4.02%</t>
        </is>
      </c>
      <c r="J151" s="13" t="inlineStr">
        <is>
          <t>-3.93%</t>
        </is>
      </c>
      <c r="K151" s="16">
        <f>X150</f>
        <v/>
      </c>
      <c r="L151" s="13" t="inlineStr">
        <is>
          <t>2024-07-12</t>
        </is>
      </c>
      <c r="M151" s="13" t="inlineStr">
        <is>
          <t>2024-07-26</t>
        </is>
      </c>
      <c r="N151" s="13" t="inlineStr">
        <is>
          <t>2024-07-25</t>
        </is>
      </c>
      <c r="O151" s="9" t="n">
        <v>100</v>
      </c>
      <c r="P151" s="17" t="n">
        <v>41401</v>
      </c>
      <c r="Q151" s="17" t="n">
        <v>39800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Q2 2024-25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-4.21%</t>
        </is>
      </c>
      <c r="J152" s="13" t="inlineStr">
        <is>
          <t>-5.65%</t>
        </is>
      </c>
      <c r="K152" s="16">
        <f>X151</f>
        <v/>
      </c>
      <c r="L152" s="13" t="inlineStr">
        <is>
          <t>2024-07-18</t>
        </is>
      </c>
      <c r="M152" s="13" t="inlineStr">
        <is>
          <t>2024-07-26</t>
        </is>
      </c>
      <c r="N152" s="13" t="inlineStr">
        <is>
          <t>2024-07-25</t>
        </is>
      </c>
      <c r="O152" s="9" t="n">
        <v>2806</v>
      </c>
      <c r="P152" s="17" t="n">
        <v>549.2134399414062</v>
      </c>
      <c r="Q152" s="17" t="n">
        <v>527.0203857421875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Q2 2024-25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-7.74%</t>
        </is>
      </c>
      <c r="J153" s="13" t="inlineStr">
        <is>
          <t>-6.15%</t>
        </is>
      </c>
      <c r="K153" s="16">
        <f>X152</f>
        <v/>
      </c>
      <c r="L153" s="13" t="inlineStr">
        <is>
          <t>2024-07-19</t>
        </is>
      </c>
      <c r="M153" s="13" t="inlineStr">
        <is>
          <t>2024-07-31</t>
        </is>
      </c>
      <c r="N153" s="13" t="inlineStr">
        <is>
          <t>2024-07-25</t>
        </is>
      </c>
      <c r="O153" s="9" t="n">
        <v>750</v>
      </c>
      <c r="P153" s="17" t="n">
        <v>494.25</v>
      </c>
      <c r="Q153" s="17" t="n">
        <v>458.75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Q2 2024-25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0.79%</t>
        </is>
      </c>
      <c r="J154" s="13" t="inlineStr">
        <is>
          <t>-1.26%</t>
        </is>
      </c>
      <c r="K154" s="16">
        <f>X153</f>
        <v/>
      </c>
      <c r="L154" s="13" t="inlineStr">
        <is>
          <t>2024-07-15</t>
        </is>
      </c>
      <c r="M154" s="13" t="inlineStr">
        <is>
          <t>2024-07-31</t>
        </is>
      </c>
      <c r="N154" s="13" t="inlineStr">
        <is>
          <t>2024-07-25</t>
        </is>
      </c>
      <c r="O154" s="9" t="n">
        <v>181</v>
      </c>
      <c r="P154" s="17" t="n">
        <v>4732.34765625</v>
      </c>
      <c r="Q154" s="17" t="n">
        <v>4769.6572265625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Q2 2024-25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-6.18%</t>
        </is>
      </c>
      <c r="J155" s="13" t="inlineStr">
        <is>
          <t>-5.7%</t>
        </is>
      </c>
      <c r="K155" s="16">
        <f>X154</f>
        <v/>
      </c>
      <c r="L155" s="13" t="inlineStr">
        <is>
          <t>2024-07-18</t>
        </is>
      </c>
      <c r="M155" s="13" t="inlineStr">
        <is>
          <t>2024-07-31</t>
        </is>
      </c>
      <c r="N155" s="13" t="inlineStr">
        <is>
          <t>2024-07-25</t>
        </is>
      </c>
      <c r="O155" s="9" t="n">
        <v>3585</v>
      </c>
      <c r="P155" s="17" t="n">
        <v>344.5138854980469</v>
      </c>
      <c r="Q155" s="17" t="n">
        <v>324.4600830078125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Q2 2024-25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-0.78%</t>
        </is>
      </c>
      <c r="J156" s="13" t="inlineStr">
        <is>
          <t>0.53%</t>
        </is>
      </c>
      <c r="K156" s="16">
        <f>X155</f>
        <v/>
      </c>
      <c r="L156" s="13" t="inlineStr">
        <is>
          <t>2024-07-12</t>
        </is>
      </c>
      <c r="M156" s="13" t="inlineStr">
        <is>
          <t>2024-07-31</t>
        </is>
      </c>
      <c r="N156" s="13" t="inlineStr">
        <is>
          <t>2024-07-25</t>
        </is>
      </c>
      <c r="O156" s="9" t="n">
        <v>2346</v>
      </c>
      <c r="P156" s="17" t="n">
        <v>517.453857421875</v>
      </c>
      <c r="Q156" s="17" t="n">
        <v>513.4638061523438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Q2 2024-25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23.71%</t>
        </is>
      </c>
      <c r="J157" s="13" t="inlineStr">
        <is>
          <t>13.51%</t>
        </is>
      </c>
      <c r="K157" s="16">
        <f>X156</f>
        <v/>
      </c>
      <c r="L157" s="13" t="inlineStr">
        <is>
          <t>2024-07-18</t>
        </is>
      </c>
      <c r="M157" s="13" t="inlineStr">
        <is>
          <t>2024-07-26</t>
        </is>
      </c>
      <c r="N157" s="13" t="inlineStr">
        <is>
          <t>2024-07-25</t>
        </is>
      </c>
      <c r="O157" s="9" t="n">
        <v>1631</v>
      </c>
      <c r="P157" s="17" t="n">
        <v>356.6764221191406</v>
      </c>
      <c r="Q157" s="17" t="n">
        <v>441.2615356445313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Q2 2024-25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3.38%</t>
        </is>
      </c>
      <c r="J158" s="13" t="inlineStr">
        <is>
          <t>4.42%</t>
        </is>
      </c>
      <c r="K158" s="16">
        <f>X157</f>
        <v/>
      </c>
      <c r="L158" s="13" t="inlineStr">
        <is>
          <t>2024-07-22</t>
        </is>
      </c>
      <c r="M158" s="13" t="inlineStr">
        <is>
          <t>2024-07-31</t>
        </is>
      </c>
      <c r="N158" s="13" t="inlineStr">
        <is>
          <t>2024-07-25</t>
        </is>
      </c>
      <c r="O158" s="9" t="n">
        <v>529</v>
      </c>
      <c r="P158" s="17" t="n">
        <v>1793.145751953125</v>
      </c>
      <c r="Q158" s="17" t="n">
        <v>1855.85498046875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Q2 2024-25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0.03%</t>
        </is>
      </c>
      <c r="J159" s="13" t="inlineStr">
        <is>
          <t>0.76%</t>
        </is>
      </c>
      <c r="K159" s="16">
        <f>X158</f>
        <v/>
      </c>
      <c r="L159" s="13" t="inlineStr">
        <is>
          <t>2024-07-22</t>
        </is>
      </c>
      <c r="M159" s="13" t="inlineStr">
        <is>
          <t>2024-07-26</t>
        </is>
      </c>
      <c r="N159" s="13" t="inlineStr">
        <is>
          <t>2024-07-25</t>
        </is>
      </c>
      <c r="O159" s="9" t="n">
        <v>613</v>
      </c>
      <c r="P159" s="17" t="n">
        <v>1545.430541992188</v>
      </c>
      <c r="Q159" s="17" t="n">
        <v>1545.858764648438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Q2 2024-25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8.8%</t>
        </is>
      </c>
      <c r="J160" s="13" t="inlineStr">
        <is>
          <t>8.93%</t>
        </is>
      </c>
      <c r="K160" s="16">
        <f>X159</f>
        <v/>
      </c>
      <c r="L160" s="13" t="inlineStr">
        <is>
          <t>2024-07-15</t>
        </is>
      </c>
      <c r="M160" s="13" t="inlineStr">
        <is>
          <t>2024-07-26</t>
        </is>
      </c>
      <c r="N160" s="13" t="inlineStr">
        <is>
          <t>2024-07-25</t>
        </is>
      </c>
      <c r="O160" s="9" t="n">
        <v>360</v>
      </c>
      <c r="P160" s="17" t="n">
        <v>3835.893798828125</v>
      </c>
      <c r="Q160" s="17" t="n">
        <v>4173.3203125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Q2 2024-25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-1.88%</t>
        </is>
      </c>
      <c r="J161" s="13" t="inlineStr">
        <is>
          <t>-4.59%</t>
        </is>
      </c>
      <c r="K161" s="16">
        <f>X160</f>
        <v/>
      </c>
      <c r="L161" s="13" t="inlineStr">
        <is>
          <t>2024-07-12</t>
        </is>
      </c>
      <c r="M161" s="13" t="inlineStr">
        <is>
          <t>2024-07-26</t>
        </is>
      </c>
      <c r="N161" s="13" t="inlineStr">
        <is>
          <t>2024-07-25</t>
        </is>
      </c>
      <c r="O161" s="9" t="n">
        <v>8957</v>
      </c>
      <c r="P161" s="17" t="n">
        <v>113.2781753540039</v>
      </c>
      <c r="Q161" s="17" t="n">
        <v>111.1911010742188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Q2 2024-25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-2.07%</t>
        </is>
      </c>
      <c r="J162" s="13" t="inlineStr">
        <is>
          <t>-1.41%</t>
        </is>
      </c>
      <c r="K162" s="16">
        <f>X161</f>
        <v/>
      </c>
      <c r="L162" s="13" t="inlineStr">
        <is>
          <t>2024-07-18</t>
        </is>
      </c>
      <c r="M162" s="13" t="inlineStr">
        <is>
          <t>2024-07-31</t>
        </is>
      </c>
      <c r="N162" s="13" t="inlineStr">
        <is>
          <t>2024-07-25</t>
        </is>
      </c>
      <c r="O162" s="9" t="n">
        <v>967</v>
      </c>
      <c r="P162" s="17" t="n">
        <v>801.4161376953125</v>
      </c>
      <c r="Q162" s="17" t="n">
        <v>785.1987915039062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Q2 2024-25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3.05%</t>
        </is>
      </c>
      <c r="J163" s="13" t="inlineStr">
        <is>
          <t>-0.48%</t>
        </is>
      </c>
      <c r="K163" s="16">
        <f>X162</f>
        <v/>
      </c>
      <c r="L163" s="13" t="inlineStr">
        <is>
          <t>2024-07-18</t>
        </is>
      </c>
      <c r="M163" s="13" t="inlineStr">
        <is>
          <t>2024-07-26</t>
        </is>
      </c>
      <c r="N163" s="13" t="inlineStr">
        <is>
          <t>2024-07-25</t>
        </is>
      </c>
      <c r="O163" s="9" t="n">
        <v>627</v>
      </c>
      <c r="P163" s="17" t="n">
        <v>1454.599975585938</v>
      </c>
      <c r="Q163" s="17" t="n">
        <v>1498.900024414062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Q2 2024-25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-4.13%</t>
        </is>
      </c>
      <c r="J164" s="13" t="inlineStr">
        <is>
          <t>-4.15%</t>
        </is>
      </c>
      <c r="K164" s="16">
        <f>X163</f>
        <v/>
      </c>
      <c r="L164" s="13" t="inlineStr">
        <is>
          <t>2024-07-22</t>
        </is>
      </c>
      <c r="M164" s="13" t="inlineStr">
        <is>
          <t>2024-07-26</t>
        </is>
      </c>
      <c r="N164" s="13" t="inlineStr">
        <is>
          <t>2024-07-25</t>
        </is>
      </c>
      <c r="O164" s="9" t="n">
        <v>112</v>
      </c>
      <c r="P164" s="17" t="n">
        <v>6481.30615234375</v>
      </c>
      <c r="Q164" s="17" t="n">
        <v>6224.46875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Q2 2024-25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5.85%</t>
        </is>
      </c>
      <c r="J165" s="13" t="inlineStr">
        <is>
          <t>6.38%</t>
        </is>
      </c>
      <c r="K165" s="16">
        <f>X164</f>
        <v/>
      </c>
      <c r="L165" s="13" t="inlineStr">
        <is>
          <t>2024-05-22</t>
        </is>
      </c>
      <c r="M165" s="13" t="inlineStr">
        <is>
          <t>2024-05-30</t>
        </is>
      </c>
      <c r="N165" s="13" t="inlineStr">
        <is>
          <t>2024-05-23</t>
        </is>
      </c>
      <c r="O165" s="9" t="n">
        <v>1800</v>
      </c>
      <c r="P165" s="17" t="n">
        <v>287.0195617675781</v>
      </c>
      <c r="Q165" s="17" t="n">
        <v>304.8471984863281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Q2 2024-25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2024-07-25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Q2 2024-25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-0.24%</t>
        </is>
      </c>
      <c r="J167" s="13" t="inlineStr">
        <is>
          <t>-4.95%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2024-07-25</t>
        </is>
      </c>
      <c r="O167" s="9" t="n">
        <v>1017</v>
      </c>
      <c r="P167" s="17" t="n">
        <v>840.2365112304688</v>
      </c>
      <c r="Q167" s="17" t="n">
        <v>838.2405395507812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Q2 2024-25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-3.38%</t>
        </is>
      </c>
      <c r="J168" s="13" t="inlineStr">
        <is>
          <t>-7.16%</t>
        </is>
      </c>
      <c r="K168" s="16">
        <f>X167</f>
        <v/>
      </c>
      <c r="L168" s="13" t="inlineStr">
        <is>
          <t>2024-07-18</t>
        </is>
      </c>
      <c r="M168" s="13" t="inlineStr">
        <is>
          <t>2024-07-31</t>
        </is>
      </c>
      <c r="N168" s="13" t="inlineStr">
        <is>
          <t>2024-07-25</t>
        </is>
      </c>
      <c r="O168" s="9" t="n">
        <v>627</v>
      </c>
      <c r="P168" s="17" t="n">
        <v>1812.074584960937</v>
      </c>
      <c r="Q168" s="17" t="n">
        <v>1752.8994140625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Q2 2024-25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-3.98%</t>
        </is>
      </c>
      <c r="J169" s="13" t="inlineStr">
        <is>
          <t>-5.0%</t>
        </is>
      </c>
      <c r="K169" s="16">
        <f>X168</f>
        <v/>
      </c>
      <c r="L169" s="13" t="inlineStr">
        <is>
          <t>2024-07-12</t>
        </is>
      </c>
      <c r="M169" s="13" t="inlineStr">
        <is>
          <t>2024-07-26</t>
        </is>
      </c>
      <c r="N169" s="13" t="inlineStr">
        <is>
          <t>2024-07-25</t>
        </is>
      </c>
      <c r="O169" s="9" t="n">
        <v>229</v>
      </c>
      <c r="P169" s="17" t="n">
        <v>1725.662963867188</v>
      </c>
      <c r="Q169" s="17" t="n">
        <v>1659.64404296875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Q2 2024-25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2.08%</t>
        </is>
      </c>
      <c r="J170" s="13" t="inlineStr">
        <is>
          <t>-3.56%</t>
        </is>
      </c>
      <c r="K170" s="16">
        <f>X169</f>
        <v/>
      </c>
      <c r="L170" s="13" t="inlineStr">
        <is>
          <t>2024-07-22</t>
        </is>
      </c>
      <c r="M170" s="13" t="inlineStr">
        <is>
          <t>2024-07-26</t>
        </is>
      </c>
      <c r="N170" s="13" t="inlineStr">
        <is>
          <t>2024-07-25</t>
        </is>
      </c>
      <c r="O170" s="9" t="n">
        <v>2645</v>
      </c>
      <c r="P170" s="17" t="n">
        <v>234.9954833984375</v>
      </c>
      <c r="Q170" s="17" t="n">
        <v>239.9974517822266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Q2 2024-25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-3.81%</t>
        </is>
      </c>
      <c r="J171" s="13" t="inlineStr">
        <is>
          <t>-5.33%</t>
        </is>
      </c>
      <c r="K171" s="16">
        <f>X170</f>
        <v/>
      </c>
      <c r="L171" s="13" t="inlineStr">
        <is>
          <t>2026-01-28</t>
        </is>
      </c>
      <c r="M171" s="13" t="inlineStr">
        <is>
          <t>2026-02-02</t>
        </is>
      </c>
      <c r="N171" s="13" t="inlineStr">
        <is>
          <t>2026-01-29</t>
        </is>
      </c>
      <c r="O171" s="9" t="n">
        <v>2667</v>
      </c>
      <c r="P171" s="17" t="n">
        <v>369.375732421875</v>
      </c>
      <c r="Q171" s="17" t="n">
        <v>355.2856750488281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Q2 2024-25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0.35%</t>
        </is>
      </c>
      <c r="J172" s="13" t="inlineStr">
        <is>
          <t>-0.88%</t>
        </is>
      </c>
      <c r="K172" s="16">
        <f>X171</f>
        <v/>
      </c>
      <c r="L172" s="13" t="inlineStr">
        <is>
          <t>2024-04-19</t>
        </is>
      </c>
      <c r="M172" s="13" t="inlineStr">
        <is>
          <t>2024-04-29</t>
        </is>
      </c>
      <c r="N172" s="13" t="inlineStr">
        <is>
          <t>2024-04-22</t>
        </is>
      </c>
      <c r="O172" s="9" t="n">
        <v>250</v>
      </c>
      <c r="P172" s="17" t="n">
        <v>1447.568481445312</v>
      </c>
      <c r="Q172" s="17" t="n">
        <v>1452.607666015625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Q2 2024-25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11.87%</t>
        </is>
      </c>
      <c r="J173" s="13" t="inlineStr">
        <is>
          <t>9.76%</t>
        </is>
      </c>
      <c r="K173" s="16">
        <f>X172</f>
        <v/>
      </c>
      <c r="L173" s="13" t="inlineStr">
        <is>
          <t>2024-07-12</t>
        </is>
      </c>
      <c r="M173" s="13" t="inlineStr">
        <is>
          <t>2024-07-26</t>
        </is>
      </c>
      <c r="N173" s="13" t="inlineStr">
        <is>
          <t>2024-07-25</t>
        </is>
      </c>
      <c r="O173" s="9" t="n">
        <v>4486</v>
      </c>
      <c r="P173" s="17" t="n">
        <v>545.6343383789062</v>
      </c>
      <c r="Q173" s="17" t="n">
        <v>619.1297607421875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Q2 2024-25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-2.52%</t>
        </is>
      </c>
      <c r="J174" s="13" t="inlineStr">
        <is>
          <t>-10.72%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2024-07-25</t>
        </is>
      </c>
      <c r="O174" s="9" t="n">
        <v>21748</v>
      </c>
      <c r="P174" s="17" t="n">
        <v>29.29071998596192</v>
      </c>
      <c r="Q174" s="17" t="n">
        <v>28.55146026611328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Q2 2024-25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-7.91%</t>
        </is>
      </c>
      <c r="J175" s="13" t="inlineStr">
        <is>
          <t>-12.03%</t>
        </is>
      </c>
      <c r="K175" s="16">
        <f>X174</f>
        <v/>
      </c>
      <c r="L175" s="13" t="inlineStr">
        <is>
          <t>2024-07-19</t>
        </is>
      </c>
      <c r="M175" s="13" t="inlineStr">
        <is>
          <t>2024-07-31</t>
        </is>
      </c>
      <c r="N175" s="13" t="inlineStr">
        <is>
          <t>2024-07-25</t>
        </is>
      </c>
      <c r="O175" s="9" t="n">
        <v>5915</v>
      </c>
      <c r="P175" s="17" t="n">
        <v>149.9798431396484</v>
      </c>
      <c r="Q175" s="17" t="n">
        <v>138.9842224121094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Q2 2024-25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2.29%</t>
        </is>
      </c>
      <c r="J176" s="13" t="inlineStr">
        <is>
          <t>-1.92%</t>
        </is>
      </c>
      <c r="K176" s="16">
        <f>X175</f>
        <v/>
      </c>
      <c r="L176" s="13" t="inlineStr">
        <is>
          <t>2024-07-12</t>
        </is>
      </c>
      <c r="M176" s="13" t="inlineStr">
        <is>
          <t>2024-07-26</t>
        </is>
      </c>
      <c r="N176" s="13" t="inlineStr">
        <is>
          <t>2024-07-25</t>
        </is>
      </c>
      <c r="O176" s="9" t="n">
        <v>1550</v>
      </c>
      <c r="P176" s="17" t="n">
        <v>720.45</v>
      </c>
      <c r="Q176" s="17" t="n">
        <v>737.3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Q2 2024-25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-2.09%</t>
        </is>
      </c>
      <c r="J177" s="13" t="inlineStr">
        <is>
          <t>-3.08%</t>
        </is>
      </c>
      <c r="K177" s="16">
        <f>X176</f>
        <v/>
      </c>
      <c r="L177" s="13" t="inlineStr">
        <is>
          <t>2023-01-19</t>
        </is>
      </c>
      <c r="M177" s="13" t="inlineStr">
        <is>
          <t>2023-01-23</t>
        </is>
      </c>
      <c r="N177" s="13" t="inlineStr">
        <is>
          <t>2023-01-21</t>
        </is>
      </c>
      <c r="O177" s="9" t="n">
        <v>375</v>
      </c>
      <c r="P177" s="17" t="n">
        <v>1313.304565429688</v>
      </c>
      <c r="Q177" s="17" t="n">
        <v>1285.809692382812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Q2 2024-25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-1.34%</t>
        </is>
      </c>
      <c r="J178" s="13" t="inlineStr">
        <is>
          <t>-1.81%</t>
        </is>
      </c>
      <c r="K178" s="16">
        <f>X177</f>
        <v/>
      </c>
      <c r="L178" s="13" t="inlineStr">
        <is>
          <t>2024-05-09</t>
        </is>
      </c>
      <c r="M178" s="13" t="inlineStr">
        <is>
          <t>2024-05-13</t>
        </is>
      </c>
      <c r="N178" s="13" t="inlineStr">
        <is>
          <t>2024-05-09</t>
        </is>
      </c>
      <c r="O178" s="9" t="n">
        <v>1500</v>
      </c>
      <c r="P178" s="17" t="n">
        <v>776.4129638671875</v>
      </c>
      <c r="Q178" s="17" t="n">
        <v>765.9951782226562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Q2 2024-25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-0.16%</t>
        </is>
      </c>
      <c r="J179" s="13" t="inlineStr">
        <is>
          <t>-3.22%</t>
        </is>
      </c>
      <c r="K179" s="16">
        <f>X178</f>
        <v/>
      </c>
      <c r="L179" s="13" t="inlineStr">
        <is>
          <t>2024-07-12</t>
        </is>
      </c>
      <c r="M179" s="13" t="inlineStr">
        <is>
          <t>2024-07-26</t>
        </is>
      </c>
      <c r="N179" s="13" t="inlineStr">
        <is>
          <t>2024-07-25</t>
        </is>
      </c>
      <c r="O179" s="9" t="n">
        <v>100</v>
      </c>
      <c r="P179" s="17" t="n">
        <v>27359.01953125</v>
      </c>
      <c r="Q179" s="17" t="n">
        <v>27315.173828125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Q2 2024-25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3.88%</t>
        </is>
      </c>
      <c r="J180" s="13" t="inlineStr">
        <is>
          <t>1.91%</t>
        </is>
      </c>
      <c r="K180" s="16">
        <f>X179</f>
        <v/>
      </c>
      <c r="L180" s="13" t="inlineStr">
        <is>
          <t>2024-04-25</t>
        </is>
      </c>
      <c r="M180" s="13" t="inlineStr">
        <is>
          <t>2024-05-03</t>
        </is>
      </c>
      <c r="N180" s="13" t="inlineStr">
        <is>
          <t>2024-04-26</t>
        </is>
      </c>
      <c r="O180" s="9" t="n">
        <v>957</v>
      </c>
      <c r="P180" s="17" t="n">
        <v>482.1468811035156</v>
      </c>
      <c r="Q180" s="17" t="n">
        <v>500.8573608398438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Q2 2024-25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-9.14%</t>
        </is>
      </c>
      <c r="J181" s="13" t="inlineStr">
        <is>
          <t>-11.26%</t>
        </is>
      </c>
      <c r="K181" s="16">
        <f>X180</f>
        <v/>
      </c>
      <c r="L181" s="13" t="inlineStr">
        <is>
          <t>2024-07-12</t>
        </is>
      </c>
      <c r="M181" s="13" t="inlineStr">
        <is>
          <t>2024-07-26</t>
        </is>
      </c>
      <c r="N181" s="13" t="inlineStr">
        <is>
          <t>2024-07-25</t>
        </is>
      </c>
      <c r="O181" s="9" t="n">
        <v>273</v>
      </c>
      <c r="P181" s="17" t="n">
        <v>4431.6865234375</v>
      </c>
      <c r="Q181" s="17" t="n">
        <v>4026.414306640625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Q2 2024-25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-10.24%</t>
        </is>
      </c>
      <c r="J182" s="13" t="inlineStr">
        <is>
          <t>-12.63%</t>
        </is>
      </c>
      <c r="K182" s="16">
        <f>X181</f>
        <v/>
      </c>
      <c r="L182" s="13" t="inlineStr">
        <is>
          <t>2024-07-15</t>
        </is>
      </c>
      <c r="M182" s="13" t="inlineStr">
        <is>
          <t>2024-07-31</t>
        </is>
      </c>
      <c r="N182" s="13" t="inlineStr">
        <is>
          <t>2024-07-25</t>
        </is>
      </c>
      <c r="O182" s="9" t="n">
        <v>100</v>
      </c>
      <c r="P182" s="17" t="n">
        <v>11998.82421875</v>
      </c>
      <c r="Q182" s="17" t="n">
        <v>10770.5869140625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Q2 2024-25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4.53%</t>
        </is>
      </c>
      <c r="J183" s="13" t="inlineStr">
        <is>
          <t>-0.31%</t>
        </is>
      </c>
      <c r="K183" s="16">
        <f>X182</f>
        <v/>
      </c>
      <c r="L183" s="13" t="inlineStr">
        <is>
          <t>2024-07-18</t>
        </is>
      </c>
      <c r="M183" s="13" t="inlineStr">
        <is>
          <t>2024-07-31</t>
        </is>
      </c>
      <c r="N183" s="13" t="inlineStr">
        <is>
          <t>2024-07-25</t>
        </is>
      </c>
      <c r="O183" s="9" t="n">
        <v>1309</v>
      </c>
      <c r="P183" s="17" t="n">
        <v>670.69189453125</v>
      </c>
      <c r="Q183" s="17" t="n">
        <v>702.5355224609375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Q2 2024-25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-11.87%</t>
        </is>
      </c>
      <c r="J184" s="13" t="inlineStr">
        <is>
          <t>-11.89%</t>
        </is>
      </c>
      <c r="K184" s="16">
        <f>X183</f>
        <v/>
      </c>
      <c r="L184" s="13" t="inlineStr">
        <is>
          <t>2024-07-22</t>
        </is>
      </c>
      <c r="M184" s="13" t="inlineStr">
        <is>
          <t>2024-07-31</t>
        </is>
      </c>
      <c r="N184" s="13" t="inlineStr">
        <is>
          <t>2024-07-25</t>
        </is>
      </c>
      <c r="O184" s="9" t="n">
        <v>383</v>
      </c>
      <c r="P184" s="17" t="n">
        <v>2628.352294921875</v>
      </c>
      <c r="Q184" s="17" t="n">
        <v>2349.419189453125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Q2 2024-25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-3.02%</t>
        </is>
      </c>
      <c r="J185" s="13" t="inlineStr">
        <is>
          <t>-3.58%</t>
        </is>
      </c>
      <c r="K185" s="16">
        <f>X184</f>
        <v/>
      </c>
      <c r="L185" s="13" t="inlineStr">
        <is>
          <t>2024-05-13</t>
        </is>
      </c>
      <c r="M185" s="13" t="inlineStr">
        <is>
          <t>2024-05-29</t>
        </is>
      </c>
      <c r="N185" s="13" t="inlineStr">
        <is>
          <t>2024-05-22</t>
        </is>
      </c>
      <c r="O185" s="9" t="n">
        <v>350</v>
      </c>
      <c r="P185" s="17" t="n">
        <v>1492.531982421875</v>
      </c>
      <c r="Q185" s="17" t="n">
        <v>1447.414794921875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Q2 2024-25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6.98%</t>
        </is>
      </c>
      <c r="J186" s="13" t="inlineStr">
        <is>
          <t>3.67%</t>
        </is>
      </c>
      <c r="K186" s="16">
        <f>X185</f>
        <v/>
      </c>
      <c r="L186" s="13" t="inlineStr">
        <is>
          <t>2024-07-15</t>
        </is>
      </c>
      <c r="M186" s="13" t="inlineStr">
        <is>
          <t>2024-07-26</t>
        </is>
      </c>
      <c r="N186" s="13" t="inlineStr">
        <is>
          <t>2024-07-25</t>
        </is>
      </c>
      <c r="O186" s="9" t="n">
        <v>289</v>
      </c>
      <c r="P186" s="17" t="n">
        <v>5344.51123046875</v>
      </c>
      <c r="Q186" s="17" t="n">
        <v>5745.31884765625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Q2 2024-25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27.02%</t>
        </is>
      </c>
      <c r="J187" s="13" t="inlineStr">
        <is>
          <t>20.37%</t>
        </is>
      </c>
      <c r="K187" s="16">
        <f>X186</f>
        <v/>
      </c>
      <c r="L187" s="13" t="inlineStr">
        <is>
          <t>2024-07-15</t>
        </is>
      </c>
      <c r="M187" s="13" t="inlineStr">
        <is>
          <t>2024-07-31</t>
        </is>
      </c>
      <c r="N187" s="13" t="inlineStr">
        <is>
          <t>2024-07-25</t>
        </is>
      </c>
      <c r="O187" s="9" t="n">
        <v>21097</v>
      </c>
      <c r="P187" s="17" t="n">
        <v>54.61999893188477</v>
      </c>
      <c r="Q187" s="17" t="n">
        <v>69.37999725341797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Q2 2024-25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-5.55%</t>
        </is>
      </c>
      <c r="J188" s="13" t="inlineStr">
        <is>
          <t>-2.64%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2024-07-25</t>
        </is>
      </c>
      <c r="O188" s="9" t="n">
        <v>3379</v>
      </c>
      <c r="P188" s="17" t="n">
        <v>456</v>
      </c>
      <c r="Q188" s="17" t="n">
        <v>430.7000122070313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Q2 2024-25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6.81%</t>
        </is>
      </c>
      <c r="J189" s="13" t="inlineStr">
        <is>
          <t>6.96%</t>
        </is>
      </c>
      <c r="K189" s="16">
        <f>X188</f>
        <v/>
      </c>
      <c r="L189" s="13" t="inlineStr">
        <is>
          <t>2024-04-22</t>
        </is>
      </c>
      <c r="M189" s="13" t="inlineStr">
        <is>
          <t>2024-05-02</t>
        </is>
      </c>
      <c r="N189" s="13" t="inlineStr">
        <is>
          <t>2024-04-24</t>
        </is>
      </c>
      <c r="O189" s="9" t="n">
        <v>450</v>
      </c>
      <c r="P189" s="17" t="n">
        <v>1066.680297851562</v>
      </c>
      <c r="Q189" s="17" t="n">
        <v>1144.690673828125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Q2 2024-25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0.47%</t>
        </is>
      </c>
      <c r="J190" s="13" t="inlineStr">
        <is>
          <t>-7.03%</t>
        </is>
      </c>
      <c r="K190" s="16">
        <f>X189</f>
        <v/>
      </c>
      <c r="L190" s="13" t="inlineStr">
        <is>
          <t>2024-07-15</t>
        </is>
      </c>
      <c r="M190" s="13" t="inlineStr">
        <is>
          <t>2024-07-31</t>
        </is>
      </c>
      <c r="N190" s="13" t="inlineStr">
        <is>
          <t>2024-07-25</t>
        </is>
      </c>
      <c r="O190" s="9" t="n">
        <v>273</v>
      </c>
      <c r="P190" s="17" t="n">
        <v>6784.70263671875</v>
      </c>
      <c r="Q190" s="17" t="n">
        <v>6817.04931640625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Q2 2024-25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11.54%</t>
        </is>
      </c>
      <c r="J191" s="13" t="inlineStr">
        <is>
          <t>8.32%</t>
        </is>
      </c>
      <c r="K191" s="16">
        <f>X190</f>
        <v/>
      </c>
      <c r="L191" s="13" t="inlineStr">
        <is>
          <t>2024-07-23</t>
        </is>
      </c>
      <c r="M191" s="13" t="inlineStr">
        <is>
          <t>2024-07-26</t>
        </is>
      </c>
      <c r="N191" s="13" t="inlineStr">
        <is>
          <t>2024-07-25</t>
        </is>
      </c>
      <c r="O191" s="9" t="n">
        <v>1425</v>
      </c>
      <c r="P191" s="17" t="n">
        <v>1000.6</v>
      </c>
      <c r="Q191" s="17" t="n">
        <v>1116.05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Q2 2024-25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-5.5%</t>
        </is>
      </c>
      <c r="J192" s="13" t="inlineStr">
        <is>
          <t>-7.82%</t>
        </is>
      </c>
      <c r="K192" s="16">
        <f>X191</f>
        <v/>
      </c>
      <c r="L192" s="13" t="inlineStr">
        <is>
          <t>2024-07-18</t>
        </is>
      </c>
      <c r="M192" s="13" t="inlineStr">
        <is>
          <t>2024-07-31</t>
        </is>
      </c>
      <c r="N192" s="13" t="inlineStr">
        <is>
          <t>2024-07-25</t>
        </is>
      </c>
      <c r="O192" s="9" t="n">
        <v>2659</v>
      </c>
      <c r="P192" s="17" t="n">
        <v>448.1689147949219</v>
      </c>
      <c r="Q192" s="17" t="n">
        <v>424.8020629882813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Q2 2024-25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-1.11%</t>
        </is>
      </c>
      <c r="J193" s="13" t="inlineStr">
        <is>
          <t>-0.45%</t>
        </is>
      </c>
      <c r="K193" s="16">
        <f>X192</f>
        <v/>
      </c>
      <c r="L193" s="13" t="inlineStr">
        <is>
          <t>2024-05-17</t>
        </is>
      </c>
      <c r="M193" s="13" t="inlineStr">
        <is>
          <t>2024-06-05</t>
        </is>
      </c>
      <c r="N193" s="13" t="inlineStr">
        <is>
          <t>2024-05-29</t>
        </is>
      </c>
      <c r="O193" s="9" t="n">
        <v>5500</v>
      </c>
      <c r="P193" s="17" t="n">
        <v>158.8035736083984</v>
      </c>
      <c r="Q193" s="17" t="n">
        <v>157.0672607421875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Q2 2024-25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0.96%</t>
        </is>
      </c>
      <c r="J194" s="13" t="inlineStr">
        <is>
          <t>1.24%</t>
        </is>
      </c>
      <c r="K194" s="16">
        <f>X193</f>
        <v/>
      </c>
      <c r="L194" s="13" t="inlineStr">
        <is>
          <t>2024-04-05</t>
        </is>
      </c>
      <c r="M194" s="13" t="inlineStr">
        <is>
          <t>2024-04-15</t>
        </is>
      </c>
      <c r="N194" s="13" t="inlineStr">
        <is>
          <t>2024-04-12</t>
        </is>
      </c>
      <c r="O194" s="9" t="n">
        <v>175</v>
      </c>
      <c r="P194" s="17" t="n">
        <v>3646.654541015625</v>
      </c>
      <c r="Q194" s="17" t="n">
        <v>3681.86083984375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Q2 2024-25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-5.46%</t>
        </is>
      </c>
      <c r="J195" s="13" t="inlineStr">
        <is>
          <t>-6.62%</t>
        </is>
      </c>
      <c r="K195" s="16">
        <f>X194</f>
        <v/>
      </c>
      <c r="L195" s="13" t="inlineStr">
        <is>
          <t>2024-04-24</t>
        </is>
      </c>
      <c r="M195" s="13" t="inlineStr">
        <is>
          <t>2024-05-03</t>
        </is>
      </c>
      <c r="N195" s="13" t="inlineStr">
        <is>
          <t>2024-04-25</t>
        </is>
      </c>
      <c r="O195" s="9" t="n">
        <v>600</v>
      </c>
      <c r="P195" s="17" t="n">
        <v>1152.607055664062</v>
      </c>
      <c r="Q195" s="17" t="n">
        <v>1092.923583984375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Q2 2024-25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-4.05%</t>
        </is>
      </c>
      <c r="J196" s="13" t="inlineStr">
        <is>
          <t>-9.87%</t>
        </is>
      </c>
      <c r="K196" s="16">
        <f>X195</f>
        <v/>
      </c>
      <c r="L196" s="13" t="inlineStr">
        <is>
          <t>2024-07-19</t>
        </is>
      </c>
      <c r="M196" s="13" t="inlineStr">
        <is>
          <t>2024-07-26</t>
        </is>
      </c>
      <c r="N196" s="13" t="inlineStr">
        <is>
          <t>2024-07-25</t>
        </is>
      </c>
      <c r="O196" s="9" t="n">
        <v>371</v>
      </c>
      <c r="P196" s="17" t="n">
        <v>4154.498046875</v>
      </c>
      <c r="Q196" s="17" t="n">
        <v>3992.77001953125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Q2 2024-25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8.08%</t>
        </is>
      </c>
      <c r="J197" s="13" t="inlineStr">
        <is>
          <t>7.86%</t>
        </is>
      </c>
      <c r="K197" s="16">
        <f>X196</f>
        <v/>
      </c>
      <c r="L197" s="13" t="inlineStr">
        <is>
          <t>2024-05-02</t>
        </is>
      </c>
      <c r="M197" s="13" t="inlineStr">
        <is>
          <t>2024-05-06</t>
        </is>
      </c>
      <c r="N197" s="13" t="inlineStr">
        <is>
          <t>2024-05-03</t>
        </is>
      </c>
      <c r="O197" s="9" t="n">
        <v>175</v>
      </c>
      <c r="P197" s="17" t="n">
        <v>3248.9814453125</v>
      </c>
      <c r="Q197" s="17" t="n">
        <v>3534.54150390625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Q2 2024-25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6.18%</t>
        </is>
      </c>
      <c r="J198" s="13" t="inlineStr">
        <is>
          <t>5.34%</t>
        </is>
      </c>
      <c r="K198" s="16">
        <f>X197</f>
        <v/>
      </c>
      <c r="L198" s="13" t="inlineStr">
        <is>
          <t>2007-10-30</t>
        </is>
      </c>
      <c r="M198" s="13" t="inlineStr">
        <is>
          <t>2007-11-07</t>
        </is>
      </c>
      <c r="N198" s="13" t="inlineStr">
        <is>
          <t>2007-10-31</t>
        </is>
      </c>
      <c r="O198" s="9" t="n">
        <v>3054</v>
      </c>
      <c r="P198" s="17" t="n">
        <v>120.5270080566406</v>
      </c>
      <c r="Q198" s="17" t="n">
        <v>128.4667663574219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Q2 2024-25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0.82%</t>
        </is>
      </c>
      <c r="J199" s="13" t="inlineStr">
        <is>
          <t>-0.96%</t>
        </is>
      </c>
      <c r="K199" s="16">
        <f>X198</f>
        <v/>
      </c>
      <c r="L199" s="13" t="inlineStr">
        <is>
          <t>2024-07-24</t>
        </is>
      </c>
      <c r="M199" s="13" t="inlineStr">
        <is>
          <t>2024-07-31</t>
        </is>
      </c>
      <c r="N199" s="13" t="inlineStr">
        <is>
          <t>2024-07-25</t>
        </is>
      </c>
      <c r="O199" s="9" t="n">
        <v>205</v>
      </c>
      <c r="P199" s="17" t="n">
        <v>3088.26953125</v>
      </c>
      <c r="Q199" s="17" t="n">
        <v>3113.646240234375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Q2 2024-25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4.63%</t>
        </is>
      </c>
      <c r="J200" s="13" t="inlineStr">
        <is>
          <t>3.25%</t>
        </is>
      </c>
      <c r="K200" s="16">
        <f>X199</f>
        <v/>
      </c>
      <c r="L200" s="13" t="inlineStr">
        <is>
          <t>2024-04-26</t>
        </is>
      </c>
      <c r="M200" s="13" t="inlineStr">
        <is>
          <t>2024-05-07</t>
        </is>
      </c>
      <c r="N200" s="13" t="inlineStr">
        <is>
          <t>2024-04-30</t>
        </is>
      </c>
      <c r="O200" s="9" t="n">
        <v>345</v>
      </c>
      <c r="P200" s="17" t="n">
        <v>4294.05419921875</v>
      </c>
      <c r="Q200" s="17" t="n">
        <v>4492.65478515625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Q2 2024-25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-4.3%</t>
        </is>
      </c>
      <c r="J201" s="13" t="inlineStr">
        <is>
          <t>-4.58%</t>
        </is>
      </c>
      <c r="K201" s="16">
        <f>X200</f>
        <v/>
      </c>
      <c r="L201" s="13" t="inlineStr">
        <is>
          <t>2024-07-19</t>
        </is>
      </c>
      <c r="M201" s="13" t="inlineStr">
        <is>
          <t>2024-07-26</t>
        </is>
      </c>
      <c r="N201" s="13" t="inlineStr">
        <is>
          <t>2024-07-25</t>
        </is>
      </c>
      <c r="O201" s="9" t="n">
        <v>237</v>
      </c>
      <c r="P201" s="17" t="n">
        <v>2488.943359375</v>
      </c>
      <c r="Q201" s="17" t="n">
        <v>2386.279541015625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Q2 2024-25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-1.56%</t>
        </is>
      </c>
      <c r="J202" s="13" t="inlineStr">
        <is>
          <t>-2.54%</t>
        </is>
      </c>
      <c r="K202" s="16">
        <f>X201</f>
        <v/>
      </c>
      <c r="L202" s="13" t="inlineStr">
        <is>
          <t>2024-04-23</t>
        </is>
      </c>
      <c r="M202" s="13" t="inlineStr">
        <is>
          <t>2024-05-07</t>
        </is>
      </c>
      <c r="N202" s="13" t="inlineStr">
        <is>
          <t>2024-04-29</t>
        </is>
      </c>
      <c r="O202" s="9" t="n">
        <v>100</v>
      </c>
      <c r="P202" s="17" t="n">
        <v>9564.69140625</v>
      </c>
      <c r="Q202" s="17" t="n">
        <v>9417.650390625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Q2 2024-25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0.05%</t>
        </is>
      </c>
      <c r="J203" s="13" t="inlineStr">
        <is>
          <t>-1.5%</t>
        </is>
      </c>
      <c r="K203" s="16">
        <f>X202</f>
        <v/>
      </c>
      <c r="L203" s="13" t="inlineStr">
        <is>
          <t>2024-07-23</t>
        </is>
      </c>
      <c r="M203" s="13" t="inlineStr">
        <is>
          <t>2024-07-31</t>
        </is>
      </c>
      <c r="N203" s="13" t="inlineStr">
        <is>
          <t>2024-07-25</t>
        </is>
      </c>
      <c r="O203" s="9" t="n">
        <v>5868</v>
      </c>
      <c r="P203" s="17" t="n">
        <v>126.5783309936523</v>
      </c>
      <c r="Q203" s="17" t="n">
        <v>126.6441116333008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Q2 2024-25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-8.9%</t>
        </is>
      </c>
      <c r="J204" s="13" t="inlineStr">
        <is>
          <t>-8.7%</t>
        </is>
      </c>
      <c r="K204" s="16">
        <f>X203</f>
        <v/>
      </c>
      <c r="L204" s="13" t="inlineStr">
        <is>
          <t>2024-07-19</t>
        </is>
      </c>
      <c r="M204" s="13" t="inlineStr">
        <is>
          <t>2024-07-31</t>
        </is>
      </c>
      <c r="N204" s="13" t="inlineStr">
        <is>
          <t>2024-07-25</t>
        </is>
      </c>
      <c r="O204" s="9" t="n">
        <v>652</v>
      </c>
      <c r="P204" s="17" t="n">
        <v>1383.982421875</v>
      </c>
      <c r="Q204" s="17" t="n">
        <v>1270.829345703125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Q2 2024-25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1.51%</t>
        </is>
      </c>
      <c r="J205" s="13" t="inlineStr">
        <is>
          <t>-3.48%</t>
        </is>
      </c>
      <c r="K205" s="16">
        <f>X204</f>
        <v/>
      </c>
      <c r="L205" s="13" t="inlineStr">
        <is>
          <t>2024-07-15</t>
        </is>
      </c>
      <c r="M205" s="13" t="inlineStr">
        <is>
          <t>2024-07-31</t>
        </is>
      </c>
      <c r="N205" s="13" t="inlineStr">
        <is>
          <t>2024-07-25</t>
        </is>
      </c>
      <c r="O205" s="9" t="n">
        <v>852</v>
      </c>
      <c r="P205" s="17" t="n">
        <v>1020.864440917969</v>
      </c>
      <c r="Q205" s="17" t="n">
        <v>1036.29443359375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Q2 2024-25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-5.43%</t>
        </is>
      </c>
      <c r="J206" s="13" t="inlineStr">
        <is>
          <t>-4.74%</t>
        </is>
      </c>
      <c r="K206" s="16">
        <f>X205</f>
        <v/>
      </c>
      <c r="L206" s="13" t="inlineStr">
        <is>
          <t>2024-07-19</t>
        </is>
      </c>
      <c r="M206" s="13" t="inlineStr">
        <is>
          <t>2024-07-31</t>
        </is>
      </c>
      <c r="N206" s="13" t="inlineStr">
        <is>
          <t>2024-07-25</t>
        </is>
      </c>
      <c r="O206" s="9" t="n">
        <v>1659</v>
      </c>
      <c r="P206" s="17" t="n">
        <v>560.4569091796875</v>
      </c>
      <c r="Q206" s="17" t="n">
        <v>531.603759765625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Q2 2024-25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-7.3%</t>
        </is>
      </c>
      <c r="J207" s="13" t="inlineStr">
        <is>
          <t>-8.15%</t>
        </is>
      </c>
      <c r="K207" s="16">
        <f>X206</f>
        <v/>
      </c>
      <c r="L207" s="13" t="inlineStr">
        <is>
          <t>2024-07-22</t>
        </is>
      </c>
      <c r="M207" s="13" t="inlineStr">
        <is>
          <t>2024-07-26</t>
        </is>
      </c>
      <c r="N207" s="13" t="inlineStr">
        <is>
          <t>2024-07-25</t>
        </is>
      </c>
      <c r="O207" s="9" t="n">
        <v>2215</v>
      </c>
      <c r="P207" s="17" t="n">
        <v>666.7196655273438</v>
      </c>
      <c r="Q207" s="17" t="n">
        <v>621.3478393554688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Q2 2024-25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3.63%</t>
        </is>
      </c>
      <c r="J208" s="13" t="inlineStr">
        <is>
          <t>2.36%</t>
        </is>
      </c>
      <c r="K208" s="16">
        <f>X207</f>
        <v/>
      </c>
      <c r="L208" s="13" t="inlineStr">
        <is>
          <t>2024-07-23</t>
        </is>
      </c>
      <c r="M208" s="13" t="inlineStr">
        <is>
          <t>2024-07-31</t>
        </is>
      </c>
      <c r="N208" s="13" t="inlineStr">
        <is>
          <t>2024-07-25</t>
        </is>
      </c>
      <c r="O208" s="9" t="n">
        <v>3738</v>
      </c>
      <c r="P208" s="17" t="n">
        <v>378.1483764648438</v>
      </c>
      <c r="Q208" s="17" t="n">
        <v>391.8850402832031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Q2 2024-25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-6.08%</t>
        </is>
      </c>
      <c r="J209" s="13" t="inlineStr">
        <is>
          <t>-18.19%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2024-07-25</t>
        </is>
      </c>
      <c r="O209" s="9" t="n">
        <v>9268</v>
      </c>
      <c r="P209" s="17" t="n">
        <v>111.9300003051758</v>
      </c>
      <c r="Q209" s="17" t="n">
        <v>105.129997253418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Q2 2024-25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-3.67%</t>
        </is>
      </c>
      <c r="J210" s="13" t="inlineStr">
        <is>
          <t>-5.29%</t>
        </is>
      </c>
      <c r="K210" s="16">
        <f>X209</f>
        <v/>
      </c>
      <c r="L210" s="13" t="inlineStr">
        <is>
          <t>2024-07-22</t>
        </is>
      </c>
      <c r="M210" s="13" t="inlineStr">
        <is>
          <t>2024-07-31</t>
        </is>
      </c>
      <c r="N210" s="13" t="inlineStr">
        <is>
          <t>2024-07-25</t>
        </is>
      </c>
      <c r="O210" s="9" t="n">
        <v>750</v>
      </c>
      <c r="P210" s="17" t="n">
        <v>1524.276000976562</v>
      </c>
      <c r="Q210" s="17" t="n">
        <v>1470.347534179688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Q2 2024-25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-23.57%</t>
        </is>
      </c>
      <c r="J211" s="13" t="inlineStr">
        <is>
          <t>-44.18%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2024-07-25</t>
        </is>
      </c>
      <c r="O211" s="9" t="n">
        <v>380</v>
      </c>
      <c r="P211" s="17" t="n">
        <v>2888.479736328125</v>
      </c>
      <c r="Q211" s="17" t="n">
        <v>2337.588623046875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Q2 2024-25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-3.42%</t>
        </is>
      </c>
      <c r="J212" s="13" t="inlineStr">
        <is>
          <t>-4.27%</t>
        </is>
      </c>
      <c r="K212" s="16">
        <f>X211</f>
        <v/>
      </c>
      <c r="L212" s="13" t="inlineStr">
        <is>
          <t>2024-04-10</t>
        </is>
      </c>
      <c r="M212" s="13" t="inlineStr">
        <is>
          <t>2024-04-25</t>
        </is>
      </c>
      <c r="N212" s="13" t="inlineStr">
        <is>
          <t>2024-04-19</t>
        </is>
      </c>
      <c r="O212" s="9" t="n">
        <v>1500</v>
      </c>
      <c r="P212" s="17" t="n">
        <v>223.7106628417969</v>
      </c>
      <c r="Q212" s="17" t="n">
        <v>216.0708465576172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Q2 2024-25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-3.55%</t>
        </is>
      </c>
      <c r="J213" s="13" t="inlineStr">
        <is>
          <t>-4.07%</t>
        </is>
      </c>
      <c r="K213" s="16">
        <f>X212</f>
        <v/>
      </c>
      <c r="L213" s="13" t="inlineStr">
        <is>
          <t>2024-07-12</t>
        </is>
      </c>
      <c r="M213" s="13" t="inlineStr">
        <is>
          <t>2024-07-31</t>
        </is>
      </c>
      <c r="N213" s="13" t="inlineStr">
        <is>
          <t>2024-07-25</t>
        </is>
      </c>
      <c r="O213" s="9" t="n">
        <v>44365</v>
      </c>
      <c r="P213" s="17" t="n">
        <v>26.51000022888184</v>
      </c>
      <c r="Q213" s="17" t="n">
        <v>25.60000038146973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Q2 2024-25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-9.25%</t>
        </is>
      </c>
      <c r="J214" s="13" t="inlineStr">
        <is>
          <t>-6.65%</t>
        </is>
      </c>
      <c r="K214" s="16">
        <f>X213</f>
        <v/>
      </c>
      <c r="L214" s="13" t="inlineStr">
        <is>
          <t>2024-07-19</t>
        </is>
      </c>
      <c r="M214" s="13" t="inlineStr">
        <is>
          <t>2024-07-31</t>
        </is>
      </c>
      <c r="N214" s="13" t="inlineStr">
        <is>
          <t>2024-07-25</t>
        </is>
      </c>
      <c r="O214" s="9" t="n">
        <v>896</v>
      </c>
      <c r="P214" s="17" t="n">
        <v>1231.967651367188</v>
      </c>
      <c r="Q214" s="17" t="n">
        <v>1127.660034179688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2024-25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Q1 2024-25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-6.8%</t>
        </is>
      </c>
      <c r="J4" s="13" t="inlineStr">
        <is>
          <t>-8.87%</t>
        </is>
      </c>
      <c r="K4" s="16" t="n">
        <v>42511150.11</v>
      </c>
      <c r="L4" s="13" t="inlineStr">
        <is>
          <t>2026-01-06</t>
        </is>
      </c>
      <c r="M4" s="13" t="inlineStr">
        <is>
          <t>2026-01-22</t>
        </is>
      </c>
      <c r="N4" s="13" t="inlineStr">
        <is>
          <t>2026-01-15</t>
        </is>
      </c>
      <c r="O4" s="9" t="n">
        <v>874</v>
      </c>
      <c r="P4" s="17" t="n">
        <v>1180.149291992188</v>
      </c>
      <c r="Q4" s="17" t="n">
        <v>1099.9150390625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Q1 2024-25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5.28%</t>
        </is>
      </c>
      <c r="J5" s="13" t="inlineStr">
        <is>
          <t>4.67%</t>
        </is>
      </c>
      <c r="K5" s="16">
        <f>X4</f>
        <v/>
      </c>
      <c r="L5" s="13" t="inlineStr">
        <is>
          <t>2026-02-11</t>
        </is>
      </c>
      <c r="M5" s="13" t="inlineStr">
        <is>
          <t>2026-02-26</t>
        </is>
      </c>
      <c r="N5" s="13" t="inlineStr">
        <is>
          <t>2026-02-19</t>
        </is>
      </c>
      <c r="O5" s="9" t="n">
        <v>137</v>
      </c>
      <c r="P5" s="17" t="n">
        <v>5801.77099609375</v>
      </c>
      <c r="Q5" s="17" t="n">
        <v>6108.0185546875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Q1 2024-25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2.16%</t>
        </is>
      </c>
      <c r="J6" s="13" t="inlineStr">
        <is>
          <t>0.84%</t>
        </is>
      </c>
      <c r="K6" s="16">
        <f>X5</f>
        <v/>
      </c>
      <c r="L6" s="13" t="inlineStr">
        <is>
          <t>2026-04-30</t>
        </is>
      </c>
      <c r="M6" s="13" t="inlineStr">
        <is>
          <t>2026-05-11</t>
        </is>
      </c>
      <c r="N6" s="13" t="inlineStr">
        <is>
          <t>2026-05-04</t>
        </is>
      </c>
      <c r="O6" s="9" t="n">
        <v>2537</v>
      </c>
      <c r="P6" s="17" t="n">
        <v>345.5</v>
      </c>
      <c r="Q6" s="17" t="n">
        <v>352.9500122070312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Q1 2024-25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-5.48%</t>
        </is>
      </c>
      <c r="J7" s="13" t="inlineStr">
        <is>
          <t>-6.2%</t>
        </is>
      </c>
      <c r="K7" s="16">
        <f>X6</f>
        <v/>
      </c>
      <c r="L7" s="13" t="inlineStr">
        <is>
          <t>2026-04-23</t>
        </is>
      </c>
      <c r="M7" s="13" t="inlineStr">
        <is>
          <t>2026-04-27</t>
        </is>
      </c>
      <c r="N7" s="13" t="inlineStr">
        <is>
          <t>2026-04-23</t>
        </is>
      </c>
      <c r="O7" s="9" t="n">
        <v>602</v>
      </c>
      <c r="P7" s="17" t="n">
        <v>1435.800048828125</v>
      </c>
      <c r="Q7" s="17" t="n">
        <v>1361.25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Q1 2024-25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-5.43%</t>
        </is>
      </c>
      <c r="J8" s="13" t="inlineStr">
        <is>
          <t>-6.05%</t>
        </is>
      </c>
      <c r="K8" s="16">
        <f>X7</f>
        <v/>
      </c>
      <c r="L8" s="13" t="inlineStr">
        <is>
          <t>2024-05-02</t>
        </is>
      </c>
      <c r="M8" s="13" t="inlineStr">
        <is>
          <t>2024-05-06</t>
        </is>
      </c>
      <c r="N8" s="13" t="inlineStr">
        <is>
          <t>2024-05-03</t>
        </is>
      </c>
      <c r="O8" s="9" t="n">
        <v>300</v>
      </c>
      <c r="P8" s="17" t="n">
        <v>3035.54931640625</v>
      </c>
      <c r="Q8" s="17" t="n">
        <v>2870.81884765625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Q1 2024-25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2.32%</t>
        </is>
      </c>
      <c r="J9" s="13" t="inlineStr">
        <is>
          <t>0.89%</t>
        </is>
      </c>
      <c r="K9" s="16">
        <f>X8</f>
        <v/>
      </c>
      <c r="L9" s="13" t="inlineStr">
        <is>
          <t>2025-12-30</t>
        </is>
      </c>
      <c r="M9" s="13" t="inlineStr">
        <is>
          <t>2026-01-05</t>
        </is>
      </c>
      <c r="N9" s="13" t="inlineStr">
        <is>
          <t>2026-01-02</t>
        </is>
      </c>
      <c r="O9" s="9" t="n">
        <v>500</v>
      </c>
      <c r="P9" s="17" t="n">
        <v>1007.099975585938</v>
      </c>
      <c r="Q9" s="17" t="n">
        <v>1030.5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Q1 2024-25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-5.87%</t>
        </is>
      </c>
      <c r="J10" s="13" t="inlineStr">
        <is>
          <t>-6.53%</t>
        </is>
      </c>
      <c r="K10" s="16">
        <f>X9</f>
        <v/>
      </c>
      <c r="L10" s="13" t="inlineStr">
        <is>
          <t>2024-04-23</t>
        </is>
      </c>
      <c r="M10" s="13" t="inlineStr">
        <is>
          <t>2024-05-09</t>
        </is>
      </c>
      <c r="N10" s="13" t="inlineStr">
        <is>
          <t>2024-05-02</t>
        </is>
      </c>
      <c r="O10" s="9" t="n">
        <v>625</v>
      </c>
      <c r="P10" s="17" t="n">
        <v>1304.579956054688</v>
      </c>
      <c r="Q10" s="17" t="n">
        <v>1228.057739257812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Q1 2024-25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-7.42%</t>
        </is>
      </c>
      <c r="J11" s="13" t="inlineStr">
        <is>
          <t>-7.58%</t>
        </is>
      </c>
      <c r="K11" s="16">
        <f>X10</f>
        <v/>
      </c>
      <c r="L11" s="13" t="inlineStr">
        <is>
          <t>2026-04-21</t>
        </is>
      </c>
      <c r="M11" s="13" t="inlineStr">
        <is>
          <t>2026-04-27</t>
        </is>
      </c>
      <c r="N11" s="13" t="inlineStr">
        <is>
          <t>2026-04-23</t>
        </is>
      </c>
      <c r="O11" s="9" t="n">
        <v>4785</v>
      </c>
      <c r="P11" s="17" t="n">
        <v>218.0500030517578</v>
      </c>
      <c r="Q11" s="17" t="n">
        <v>202.979995727539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Q1 2024-25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2.56%</t>
        </is>
      </c>
      <c r="J12" s="13" t="inlineStr">
        <is>
          <t>2.25%</t>
        </is>
      </c>
      <c r="K12" s="16">
        <f>X11</f>
        <v/>
      </c>
      <c r="L12" s="13" t="inlineStr">
        <is>
          <t>2026-04-06</t>
        </is>
      </c>
      <c r="M12" s="13" t="inlineStr">
        <is>
          <t>2026-04-09</t>
        </is>
      </c>
      <c r="N12" s="13" t="inlineStr">
        <is>
          <t>2026-04-07</t>
        </is>
      </c>
      <c r="O12" s="9" t="n">
        <v>171</v>
      </c>
      <c r="P12" s="17" t="n">
        <v>5236.5</v>
      </c>
      <c r="Q12" s="17" t="n">
        <v>5370.5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Q1 2024-25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-2.5%</t>
        </is>
      </c>
      <c r="J13" s="13" t="inlineStr">
        <is>
          <t>-1.46%</t>
        </is>
      </c>
      <c r="K13" s="16">
        <f>X12</f>
        <v/>
      </c>
      <c r="L13" s="13" t="inlineStr">
        <is>
          <t>2026-07-06</t>
        </is>
      </c>
      <c r="M13" s="13" t="inlineStr">
        <is>
          <t>2026-07-17</t>
        </is>
      </c>
      <c r="N13" s="13" t="inlineStr">
        <is>
          <t>2026-07-11</t>
        </is>
      </c>
      <c r="O13" s="9" t="n">
        <v>135</v>
      </c>
      <c r="P13" s="17" t="n">
        <v>7804.5</v>
      </c>
      <c r="Q13" s="17" t="n">
        <v>7614.5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Q1 2024-25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3.32%</t>
        </is>
      </c>
      <c r="J14" s="13" t="inlineStr">
        <is>
          <t>3.07%</t>
        </is>
      </c>
      <c r="K14" s="16">
        <f>X13</f>
        <v/>
      </c>
      <c r="L14" s="13" t="inlineStr">
        <is>
          <t>2026-04-24</t>
        </is>
      </c>
      <c r="M14" s="13" t="inlineStr">
        <is>
          <t>2026-05-11</t>
        </is>
      </c>
      <c r="N14" s="13" t="inlineStr">
        <is>
          <t>2026-05-04</t>
        </is>
      </c>
      <c r="O14" s="9" t="n">
        <v>2303</v>
      </c>
      <c r="P14" s="17" t="n">
        <v>434.051513671875</v>
      </c>
      <c r="Q14" s="17" t="n">
        <v>448.9776306152344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Q1 2024-25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3.68%</t>
        </is>
      </c>
      <c r="J15" s="13" t="inlineStr">
        <is>
          <t>-1.23%</t>
        </is>
      </c>
      <c r="K15" s="16">
        <f>X14</f>
        <v/>
      </c>
      <c r="L15" s="13" t="inlineStr">
        <is>
          <t>2026-03-12</t>
        </is>
      </c>
      <c r="M15" s="13" t="inlineStr">
        <is>
          <t>2026-03-23</t>
        </is>
      </c>
      <c r="N15" s="13" t="inlineStr">
        <is>
          <t>2026-03-16</t>
        </is>
      </c>
      <c r="O15" s="9" t="n">
        <v>3428</v>
      </c>
      <c r="P15" s="17" t="n">
        <v>210.8749389648437</v>
      </c>
      <c r="Q15" s="17" t="n">
        <v>218.6341705322266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Q1 2024-25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0.45%</t>
        </is>
      </c>
      <c r="J16" s="13" t="inlineStr">
        <is>
          <t>-0.55%</t>
        </is>
      </c>
      <c r="K16" s="16">
        <f>X15</f>
        <v/>
      </c>
      <c r="L16" s="13" t="inlineStr">
        <is>
          <t>2025-09-11</t>
        </is>
      </c>
      <c r="M16" s="13" t="inlineStr">
        <is>
          <t>2025-09-17</t>
        </is>
      </c>
      <c r="N16" s="13" t="inlineStr">
        <is>
          <t>2025-09-15</t>
        </is>
      </c>
      <c r="O16" s="9" t="n">
        <v>528</v>
      </c>
      <c r="P16" s="17" t="n">
        <v>1681.699951171875</v>
      </c>
      <c r="Q16" s="17" t="n">
        <v>1689.199951171875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Q1 2024-25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3.39%</t>
        </is>
      </c>
      <c r="J17" s="13" t="inlineStr">
        <is>
          <t>0.76%</t>
        </is>
      </c>
      <c r="K17" s="16">
        <f>X16</f>
        <v/>
      </c>
      <c r="L17" s="13" t="inlineStr">
        <is>
          <t>2024-05-30</t>
        </is>
      </c>
      <c r="M17" s="13" t="inlineStr">
        <is>
          <t>2024-06-06</t>
        </is>
      </c>
      <c r="N17" s="13" t="inlineStr">
        <is>
          <t>2024-05-31</t>
        </is>
      </c>
      <c r="O17" s="9" t="n">
        <v>125</v>
      </c>
      <c r="P17" s="17" t="n">
        <v>5734.505859375</v>
      </c>
      <c r="Q17" s="17" t="n">
        <v>5928.97216796875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Q1 2024-25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3.13%</t>
        </is>
      </c>
      <c r="J18" s="13" t="inlineStr">
        <is>
          <t>-1.35%</t>
        </is>
      </c>
      <c r="K18" s="16">
        <f>X17</f>
        <v/>
      </c>
      <c r="L18" s="13" t="inlineStr">
        <is>
          <t>2024-04-19</t>
        </is>
      </c>
      <c r="M18" s="13" t="inlineStr">
        <is>
          <t>2024-04-23</t>
        </is>
      </c>
      <c r="N18" s="13" t="inlineStr">
        <is>
          <t>2024-04-22</t>
        </is>
      </c>
      <c r="O18" s="9" t="n">
        <v>5000</v>
      </c>
      <c r="P18" s="17" t="n">
        <v>80.51930236816406</v>
      </c>
      <c r="Q18" s="17" t="n">
        <v>83.03923034667969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Q1 2024-25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1.72%</t>
        </is>
      </c>
      <c r="J19" s="13" t="inlineStr">
        <is>
          <t>1.88%</t>
        </is>
      </c>
      <c r="K19" s="16">
        <f>X18</f>
        <v/>
      </c>
      <c r="L19" s="13" t="inlineStr">
        <is>
          <t>2024-05-03</t>
        </is>
      </c>
      <c r="M19" s="13" t="inlineStr">
        <is>
          <t>2024-05-13</t>
        </is>
      </c>
      <c r="N19" s="13" t="inlineStr">
        <is>
          <t>2024-05-09</t>
        </is>
      </c>
      <c r="O19" s="9" t="n">
        <v>200</v>
      </c>
      <c r="P19" s="17" t="n">
        <v>2792.13427734375</v>
      </c>
      <c r="Q19" s="17" t="n">
        <v>2841.106201171875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Q1 2024-25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0.74%</t>
        </is>
      </c>
      <c r="J20" s="13" t="inlineStr">
        <is>
          <t>2.2%</t>
        </is>
      </c>
      <c r="K20" s="16">
        <f>X19</f>
        <v/>
      </c>
      <c r="L20" s="13" t="inlineStr">
        <is>
          <t>2024-04-08</t>
        </is>
      </c>
      <c r="M20" s="13" t="inlineStr">
        <is>
          <t>2024-04-26</t>
        </is>
      </c>
      <c r="N20" s="13" t="inlineStr">
        <is>
          <t>2024-04-22</t>
        </is>
      </c>
      <c r="O20" s="9" t="n">
        <v>679</v>
      </c>
      <c r="P20" s="17" t="n">
        <v>2015.153442382812</v>
      </c>
      <c r="Q20" s="17" t="n">
        <v>2030.0322265625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Q1 2024-25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2025-05-29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Q1 2024-25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3.85%</t>
        </is>
      </c>
      <c r="J22" s="13" t="inlineStr">
        <is>
          <t>-4.35%</t>
        </is>
      </c>
      <c r="K22" s="16">
        <f>X21</f>
        <v/>
      </c>
      <c r="L22" s="13" t="inlineStr">
        <is>
          <t>2024-04-08</t>
        </is>
      </c>
      <c r="M22" s="13" t="inlineStr">
        <is>
          <t>2024-04-23</t>
        </is>
      </c>
      <c r="N22" s="13" t="inlineStr">
        <is>
          <t>2024-04-22</t>
        </is>
      </c>
      <c r="O22" s="9" t="n">
        <v>970</v>
      </c>
      <c r="P22" s="17" t="n">
        <v>607.7881469726562</v>
      </c>
      <c r="Q22" s="17" t="n">
        <v>632.1196899414062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Q1 2024-25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0.73%</t>
        </is>
      </c>
      <c r="J23" s="13" t="inlineStr">
        <is>
          <t>0.43%</t>
        </is>
      </c>
      <c r="K23" s="16">
        <f>X22</f>
        <v/>
      </c>
      <c r="L23" s="13" t="inlineStr">
        <is>
          <t>2024-04-15</t>
        </is>
      </c>
      <c r="M23" s="13" t="inlineStr">
        <is>
          <t>2024-04-23</t>
        </is>
      </c>
      <c r="N23" s="13" t="inlineStr">
        <is>
          <t>2024-04-22</t>
        </is>
      </c>
      <c r="O23" s="9" t="n">
        <v>634</v>
      </c>
      <c r="P23" s="17" t="n">
        <v>1081.241333007812</v>
      </c>
      <c r="Q23" s="17" t="n">
        <v>1089.161499023438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Q1 2024-25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7.36%</t>
        </is>
      </c>
      <c r="J24" s="13" t="inlineStr">
        <is>
          <t>6.03%</t>
        </is>
      </c>
      <c r="K24" s="16">
        <f>X23</f>
        <v/>
      </c>
      <c r="L24" s="13" t="inlineStr">
        <is>
          <t>2024-04-24</t>
        </is>
      </c>
      <c r="M24" s="13" t="inlineStr">
        <is>
          <t>2024-05-03</t>
        </is>
      </c>
      <c r="N24" s="13" t="inlineStr">
        <is>
          <t>2024-04-25</t>
        </is>
      </c>
      <c r="O24" s="9" t="n">
        <v>625</v>
      </c>
      <c r="P24" s="17" t="n">
        <v>1060.704833984375</v>
      </c>
      <c r="Q24" s="17" t="n">
        <v>1138.767456054688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Q1 2024-25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-2.33%</t>
        </is>
      </c>
      <c r="J25" s="13" t="inlineStr">
        <is>
          <t>-3.98%</t>
        </is>
      </c>
      <c r="K25" s="16">
        <f>X24</f>
        <v/>
      </c>
      <c r="L25" s="13" t="inlineStr">
        <is>
          <t>2024-04-10</t>
        </is>
      </c>
      <c r="M25" s="13" t="inlineStr">
        <is>
          <t>2024-04-22</t>
        </is>
      </c>
      <c r="N25" s="13" t="inlineStr">
        <is>
          <t>2024-04-18</t>
        </is>
      </c>
      <c r="O25" s="9" t="n">
        <v>125</v>
      </c>
      <c r="P25" s="17" t="n">
        <v>8591.2421875</v>
      </c>
      <c r="Q25" s="17" t="n">
        <v>8391.09375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Q1 2024-25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1.1%</t>
        </is>
      </c>
      <c r="J26" s="13" t="inlineStr">
        <is>
          <t>0.57%</t>
        </is>
      </c>
      <c r="K26" s="16">
        <f>X25</f>
        <v/>
      </c>
      <c r="L26" s="13" t="inlineStr">
        <is>
          <t>2024-04-26</t>
        </is>
      </c>
      <c r="M26" s="13" t="inlineStr">
        <is>
          <t>2024-04-30</t>
        </is>
      </c>
      <c r="N26" s="13" t="inlineStr">
        <is>
          <t>2024-04-27</t>
        </is>
      </c>
      <c r="O26" s="9" t="n">
        <v>500</v>
      </c>
      <c r="P26" s="17" t="n">
        <v>1594.205200195312</v>
      </c>
      <c r="Q26" s="17" t="n">
        <v>1611.820434570312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Q1 2024-25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-0.35%</t>
        </is>
      </c>
      <c r="J27" s="13" t="inlineStr">
        <is>
          <t>-4.13%</t>
        </is>
      </c>
      <c r="K27" s="16">
        <f>X26</f>
        <v/>
      </c>
      <c r="L27" s="13" t="inlineStr">
        <is>
          <t>2024-04-12</t>
        </is>
      </c>
      <c r="M27" s="13" t="inlineStr">
        <is>
          <t>2024-04-26</t>
        </is>
      </c>
      <c r="N27" s="13" t="inlineStr">
        <is>
          <t>2024-04-22</t>
        </is>
      </c>
      <c r="O27" s="9" t="n">
        <v>100</v>
      </c>
      <c r="P27" s="17" t="n">
        <v>7951.35302734375</v>
      </c>
      <c r="Q27" s="17" t="n">
        <v>7923.2451171875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Q1 2024-25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-5.43%</t>
        </is>
      </c>
      <c r="J28" s="13" t="inlineStr">
        <is>
          <t>-7.49%</t>
        </is>
      </c>
      <c r="K28" s="16">
        <f>X27</f>
        <v/>
      </c>
      <c r="L28" s="13" t="inlineStr">
        <is>
          <t>2024-04-24</t>
        </is>
      </c>
      <c r="M28" s="13" t="inlineStr">
        <is>
          <t>2024-05-03</t>
        </is>
      </c>
      <c r="N28" s="13" t="inlineStr">
        <is>
          <t>2024-04-25</t>
        </is>
      </c>
      <c r="O28" s="9" t="n">
        <v>125</v>
      </c>
      <c r="P28" s="17" t="n">
        <v>720.3536376953125</v>
      </c>
      <c r="Q28" s="17" t="n">
        <v>681.2701416015625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Q1 2024-25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5.95%</t>
        </is>
      </c>
      <c r="J29" s="13" t="inlineStr">
        <is>
          <t>4.91%</t>
        </is>
      </c>
      <c r="K29" s="16">
        <f>X28</f>
        <v/>
      </c>
      <c r="L29" s="13" t="inlineStr">
        <is>
          <t>2024-04-16</t>
        </is>
      </c>
      <c r="M29" s="13" t="inlineStr">
        <is>
          <t>2024-04-26</t>
        </is>
      </c>
      <c r="N29" s="13" t="inlineStr">
        <is>
          <t>2024-04-22</t>
        </is>
      </c>
      <c r="O29" s="9" t="n">
        <v>6099</v>
      </c>
      <c r="P29" s="17" t="n">
        <v>169.4956207275391</v>
      </c>
      <c r="Q29" s="17" t="n">
        <v>179.5863800048828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Q1 2024-25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-0.04%</t>
        </is>
      </c>
      <c r="J30" s="13" t="inlineStr">
        <is>
          <t>-0.4%</t>
        </is>
      </c>
      <c r="K30" s="16">
        <f>X29</f>
        <v/>
      </c>
      <c r="L30" s="13" t="inlineStr">
        <is>
          <t>2024-04-12</t>
        </is>
      </c>
      <c r="M30" s="13" t="inlineStr">
        <is>
          <t>2024-04-26</t>
        </is>
      </c>
      <c r="N30" s="13" t="inlineStr">
        <is>
          <t>2024-04-22</t>
        </is>
      </c>
      <c r="O30" s="9" t="n">
        <v>4138</v>
      </c>
      <c r="P30" s="17" t="n">
        <v>244.1850433349609</v>
      </c>
      <c r="Q30" s="17" t="n">
        <v>244.0939636230469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Q1 2024-25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-8.6%</t>
        </is>
      </c>
      <c r="J31" s="13" t="inlineStr">
        <is>
          <t>-11.57%</t>
        </is>
      </c>
      <c r="K31" s="16">
        <f>X30</f>
        <v/>
      </c>
      <c r="L31" s="13" t="inlineStr">
        <is>
          <t>2024-04-16</t>
        </is>
      </c>
      <c r="M31" s="13" t="inlineStr">
        <is>
          <t>2024-04-26</t>
        </is>
      </c>
      <c r="N31" s="13" t="inlineStr">
        <is>
          <t>2024-04-22</t>
        </is>
      </c>
      <c r="O31" s="9" t="n">
        <v>7287</v>
      </c>
      <c r="P31" s="17" t="n">
        <v>137.3686370849609</v>
      </c>
      <c r="Q31" s="17" t="n">
        <v>126.4960861206055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Q1 2024-25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-8.89%</t>
        </is>
      </c>
      <c r="J32" s="13" t="inlineStr">
        <is>
          <t>-3.95%</t>
        </is>
      </c>
      <c r="K32" s="16">
        <f>X31</f>
        <v/>
      </c>
      <c r="L32" s="13" t="inlineStr">
        <is>
          <t>2024-04-08</t>
        </is>
      </c>
      <c r="M32" s="13" t="inlineStr">
        <is>
          <t>2024-04-23</t>
        </is>
      </c>
      <c r="N32" s="13" t="inlineStr">
        <is>
          <t>2024-04-22</t>
        </is>
      </c>
      <c r="O32" s="9" t="n">
        <v>793</v>
      </c>
      <c r="P32" s="17" t="n">
        <v>953.7623291015624</v>
      </c>
      <c r="Q32" s="17" t="n">
        <v>875.9229125976562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Q1 2024-25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-30.17%</t>
        </is>
      </c>
      <c r="J33" s="13" t="inlineStr">
        <is>
          <t>-28.54%</t>
        </is>
      </c>
      <c r="K33" s="16">
        <f>X32</f>
        <v/>
      </c>
      <c r="L33" s="13" t="inlineStr">
        <is>
          <t>2024-05-09</t>
        </is>
      </c>
      <c r="M33" s="13" t="inlineStr">
        <is>
          <t>2024-05-27</t>
        </is>
      </c>
      <c r="N33" s="13" t="inlineStr">
        <is>
          <t>2024-05-20</t>
        </is>
      </c>
      <c r="O33" s="9" t="n">
        <v>2438</v>
      </c>
      <c r="P33" s="17" t="n">
        <v>290.1260986328125</v>
      </c>
      <c r="Q33" s="17" t="n">
        <v>222.8783264160156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Q1 2024-25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-5.04%</t>
        </is>
      </c>
      <c r="J34" s="13" t="inlineStr">
        <is>
          <t>-10.67%</t>
        </is>
      </c>
      <c r="K34" s="16">
        <f>X33</f>
        <v/>
      </c>
      <c r="L34" s="13" t="inlineStr">
        <is>
          <t>2024-04-09</t>
        </is>
      </c>
      <c r="M34" s="13" t="inlineStr">
        <is>
          <t>2024-04-23</t>
        </is>
      </c>
      <c r="N34" s="13" t="inlineStr">
        <is>
          <t>2024-04-22</t>
        </is>
      </c>
      <c r="O34" s="9" t="n">
        <v>461</v>
      </c>
      <c r="P34" s="17" t="n">
        <v>1188.570556640625</v>
      </c>
      <c r="Q34" s="17" t="n">
        <v>1131.58251953125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Q1 2024-25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5.52%</t>
        </is>
      </c>
      <c r="J35" s="13" t="inlineStr">
        <is>
          <t>4.02%</t>
        </is>
      </c>
      <c r="K35" s="16">
        <f>X34</f>
        <v/>
      </c>
      <c r="L35" s="13" t="inlineStr">
        <is>
          <t>2024-05-03</t>
        </is>
      </c>
      <c r="M35" s="13" t="inlineStr">
        <is>
          <t>2024-05-22</t>
        </is>
      </c>
      <c r="N35" s="13" t="inlineStr">
        <is>
          <t>2024-05-14</t>
        </is>
      </c>
      <c r="O35" s="9" t="n">
        <v>950</v>
      </c>
      <c r="P35" s="17" t="n">
        <v>1259.7890625</v>
      </c>
      <c r="Q35" s="17" t="n">
        <v>1329.317138671875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Q1 2024-25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-8.71%</t>
        </is>
      </c>
      <c r="J36" s="13" t="inlineStr">
        <is>
          <t>-9.78%</t>
        </is>
      </c>
      <c r="K36" s="16">
        <f>X35</f>
        <v/>
      </c>
      <c r="L36" s="13" t="inlineStr">
        <is>
          <t>2024-04-15</t>
        </is>
      </c>
      <c r="M36" s="13" t="inlineStr">
        <is>
          <t>2024-04-26</t>
        </is>
      </c>
      <c r="N36" s="13" t="inlineStr">
        <is>
          <t>2024-04-22</t>
        </is>
      </c>
      <c r="O36" s="9" t="n">
        <v>2481</v>
      </c>
      <c r="P36" s="17" t="n">
        <v>277.1377258300781</v>
      </c>
      <c r="Q36" s="17" t="n">
        <v>254.9249725341797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Q1 2024-25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-3.26%</t>
        </is>
      </c>
      <c r="J37" s="13" t="inlineStr">
        <is>
          <t>-6.18%</t>
        </is>
      </c>
      <c r="K37" s="16">
        <f>X36</f>
        <v/>
      </c>
      <c r="L37" s="13" t="inlineStr">
        <is>
          <t>2024-04-09</t>
        </is>
      </c>
      <c r="M37" s="13" t="inlineStr">
        <is>
          <t>2024-04-23</t>
        </is>
      </c>
      <c r="N37" s="13" t="inlineStr">
        <is>
          <t>2024-04-22</t>
        </is>
      </c>
      <c r="O37" s="9" t="n">
        <v>2351</v>
      </c>
      <c r="P37" s="17" t="n">
        <v>279.0550231933594</v>
      </c>
      <c r="Q37" s="17" t="n">
        <v>270.2395935058594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Q1 2024-25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-3.57%</t>
        </is>
      </c>
      <c r="J38" s="13" t="inlineStr">
        <is>
          <t>-4.1%</t>
        </is>
      </c>
      <c r="K38" s="16">
        <f>X37</f>
        <v/>
      </c>
      <c r="L38" s="13" t="inlineStr">
        <is>
          <t>2024-04-08</t>
        </is>
      </c>
      <c r="M38" s="13" t="inlineStr">
        <is>
          <t>2024-04-23</t>
        </is>
      </c>
      <c r="N38" s="13" t="inlineStr">
        <is>
          <t>2024-04-22</t>
        </is>
      </c>
      <c r="O38" s="9" t="n">
        <v>591</v>
      </c>
      <c r="P38" s="17" t="n">
        <v>1437.54345703125</v>
      </c>
      <c r="Q38" s="17" t="n">
        <v>1387.933837890625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Q1 2024-25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7.11%</t>
        </is>
      </c>
      <c r="J39" s="13" t="inlineStr">
        <is>
          <t>7.5%</t>
        </is>
      </c>
      <c r="K39" s="16">
        <f>X38</f>
        <v/>
      </c>
      <c r="L39" s="13" t="inlineStr">
        <is>
          <t>2024-04-08</t>
        </is>
      </c>
      <c r="M39" s="13" t="inlineStr">
        <is>
          <t>2024-04-26</t>
        </is>
      </c>
      <c r="N39" s="13" t="inlineStr">
        <is>
          <t>2024-04-22</t>
        </is>
      </c>
      <c r="O39" s="9" t="n">
        <v>100</v>
      </c>
      <c r="P39" s="17" t="n">
        <v>28352.71484375</v>
      </c>
      <c r="Q39" s="17" t="n">
        <v>30522.724609375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Q1 2024-25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1.76%</t>
        </is>
      </c>
      <c r="J40" s="13" t="inlineStr">
        <is>
          <t>2.89%</t>
        </is>
      </c>
      <c r="K40" s="16">
        <f>X39</f>
        <v/>
      </c>
      <c r="L40" s="13" t="inlineStr">
        <is>
          <t>2024-05-03</t>
        </is>
      </c>
      <c r="M40" s="13" t="inlineStr">
        <is>
          <t>2024-05-16</t>
        </is>
      </c>
      <c r="N40" s="13" t="inlineStr">
        <is>
          <t>2024-05-10</t>
        </is>
      </c>
      <c r="O40" s="9" t="n">
        <v>1800</v>
      </c>
      <c r="P40" s="17" t="n">
        <v>275.9171752929688</v>
      </c>
      <c r="Q40" s="17" t="n">
        <v>280.866943359375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Q1 2024-25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9.05%</t>
        </is>
      </c>
      <c r="J41" s="13" t="inlineStr">
        <is>
          <t>8.45%</t>
        </is>
      </c>
      <c r="K41" s="16">
        <f>X40</f>
        <v/>
      </c>
      <c r="L41" s="13" t="inlineStr">
        <is>
          <t>2024-05-03</t>
        </is>
      </c>
      <c r="M41" s="13" t="inlineStr">
        <is>
          <t>2024-05-07</t>
        </is>
      </c>
      <c r="N41" s="13" t="inlineStr">
        <is>
          <t>2024-05-04</t>
        </is>
      </c>
      <c r="O41" s="9" t="n">
        <v>200</v>
      </c>
      <c r="P41" s="17" t="n">
        <v>4623.0517578125</v>
      </c>
      <c r="Q41" s="17" t="n">
        <v>5041.3056640625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Q1 2024-25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16.54%</t>
        </is>
      </c>
      <c r="J42" s="13" t="inlineStr">
        <is>
          <t>13.48%</t>
        </is>
      </c>
      <c r="K42" s="16">
        <f>X41</f>
        <v/>
      </c>
      <c r="L42" s="13" t="inlineStr">
        <is>
          <t>2024-04-09</t>
        </is>
      </c>
      <c r="M42" s="13" t="inlineStr">
        <is>
          <t>2024-04-23</t>
        </is>
      </c>
      <c r="N42" s="13" t="inlineStr">
        <is>
          <t>2024-04-22</t>
        </is>
      </c>
      <c r="O42" s="9" t="n">
        <v>283</v>
      </c>
      <c r="P42" s="17" t="n">
        <v>904.9700927734376</v>
      </c>
      <c r="Q42" s="17" t="n">
        <v>1054.65576171875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Q1 2024-25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-1.78%</t>
        </is>
      </c>
      <c r="J43" s="13" t="inlineStr">
        <is>
          <t>-5.89%</t>
        </is>
      </c>
      <c r="K43" s="16">
        <f>X42</f>
        <v/>
      </c>
      <c r="L43" s="13" t="inlineStr">
        <is>
          <t>2024-04-18</t>
        </is>
      </c>
      <c r="M43" s="13" t="inlineStr">
        <is>
          <t>2024-04-23</t>
        </is>
      </c>
      <c r="N43" s="13" t="inlineStr">
        <is>
          <t>2024-04-22</t>
        </is>
      </c>
      <c r="O43" s="9" t="n">
        <v>1260</v>
      </c>
      <c r="P43" s="17" t="n">
        <v>627.1451416015625</v>
      </c>
      <c r="Q43" s="17" t="n">
        <v>616.184814453125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Q1 2024-25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-1.55%</t>
        </is>
      </c>
      <c r="J44" s="13" t="inlineStr">
        <is>
          <t>-4.14%</t>
        </is>
      </c>
      <c r="K44" s="16">
        <f>X43</f>
        <v/>
      </c>
      <c r="L44" s="13" t="inlineStr">
        <is>
          <t>2024-04-09</t>
        </is>
      </c>
      <c r="M44" s="13" t="inlineStr">
        <is>
          <t>2024-04-26</t>
        </is>
      </c>
      <c r="N44" s="13" t="inlineStr">
        <is>
          <t>2024-04-22</t>
        </is>
      </c>
      <c r="O44" s="9" t="n">
        <v>8046</v>
      </c>
      <c r="P44" s="17" t="n">
        <v>112.390495300293</v>
      </c>
      <c r="Q44" s="17" t="n">
        <v>110.6707916259766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Q1 2024-25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-12.18%</t>
        </is>
      </c>
      <c r="J45" s="13" t="inlineStr">
        <is>
          <t>-15.08%</t>
        </is>
      </c>
      <c r="K45" s="16">
        <f>X44</f>
        <v/>
      </c>
      <c r="L45" s="13" t="inlineStr">
        <is>
          <t>2024-04-08</t>
        </is>
      </c>
      <c r="M45" s="13" t="inlineStr">
        <is>
          <t>2024-04-23</t>
        </is>
      </c>
      <c r="N45" s="13" t="inlineStr">
        <is>
          <t>2024-04-22</t>
        </is>
      </c>
      <c r="O45" s="9" t="n">
        <v>748</v>
      </c>
      <c r="P45" s="17" t="n">
        <v>1025.533081054688</v>
      </c>
      <c r="Q45" s="17" t="n">
        <v>914.18505859375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Q1 2024-25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12.71%</t>
        </is>
      </c>
      <c r="J46" s="13" t="inlineStr">
        <is>
          <t>13.58%</t>
        </is>
      </c>
      <c r="K46" s="16">
        <f>X45</f>
        <v/>
      </c>
      <c r="L46" s="13" t="inlineStr">
        <is>
          <t>2024-04-15</t>
        </is>
      </c>
      <c r="M46" s="13" t="inlineStr">
        <is>
          <t>2024-04-26</t>
        </is>
      </c>
      <c r="N46" s="13" t="inlineStr">
        <is>
          <t>2024-04-22</t>
        </is>
      </c>
      <c r="O46" s="9" t="n">
        <v>1201</v>
      </c>
      <c r="P46" s="17" t="n">
        <v>492.6302490234375</v>
      </c>
      <c r="Q46" s="17" t="n">
        <v>555.26708984375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Q1 2024-25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-1.34%</t>
        </is>
      </c>
      <c r="J47" s="13" t="inlineStr">
        <is>
          <t>-0.28%</t>
        </is>
      </c>
      <c r="K47" s="16">
        <f>X46</f>
        <v/>
      </c>
      <c r="L47" s="13" t="inlineStr">
        <is>
          <t>2024-04-19</t>
        </is>
      </c>
      <c r="M47" s="13" t="inlineStr">
        <is>
          <t>2024-04-23</t>
        </is>
      </c>
      <c r="N47" s="13" t="inlineStr">
        <is>
          <t>2024-04-22</t>
        </is>
      </c>
      <c r="O47" s="9" t="n">
        <v>563</v>
      </c>
      <c r="P47" s="17" t="n">
        <v>1139.809204101562</v>
      </c>
      <c r="Q47" s="17" t="n">
        <v>1124.754516601562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Q1 2024-25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-1.03%</t>
        </is>
      </c>
      <c r="J48" s="13" t="inlineStr">
        <is>
          <t>-1.09%</t>
        </is>
      </c>
      <c r="K48" s="16">
        <f>X47</f>
        <v/>
      </c>
      <c r="L48" s="13" t="inlineStr">
        <is>
          <t>2024-05-08</t>
        </is>
      </c>
      <c r="M48" s="13" t="inlineStr">
        <is>
          <t>2024-05-17</t>
        </is>
      </c>
      <c r="N48" s="13" t="inlineStr">
        <is>
          <t>2024-05-11</t>
        </is>
      </c>
      <c r="O48" s="9" t="n">
        <v>650</v>
      </c>
      <c r="P48" s="17" t="n">
        <v>1359.866821289062</v>
      </c>
      <c r="Q48" s="17" t="n">
        <v>1345.967163085938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Q1 2024-25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3.98%</t>
        </is>
      </c>
      <c r="J49" s="13" t="inlineStr">
        <is>
          <t>3.02%</t>
        </is>
      </c>
      <c r="K49" s="16">
        <f>X48</f>
        <v/>
      </c>
      <c r="L49" s="13" t="inlineStr">
        <is>
          <t>2024-04-22</t>
        </is>
      </c>
      <c r="M49" s="13" t="inlineStr">
        <is>
          <t>2024-05-06</t>
        </is>
      </c>
      <c r="N49" s="13" t="inlineStr">
        <is>
          <t>2024-05-02</t>
        </is>
      </c>
      <c r="O49" s="9" t="n">
        <v>2100</v>
      </c>
      <c r="P49" s="17" t="n">
        <v>389.4483337402344</v>
      </c>
      <c r="Q49" s="17" t="n">
        <v>404.9664611816406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Q1 2024-25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-14.17%</t>
        </is>
      </c>
      <c r="J50" s="13" t="inlineStr">
        <is>
          <t>-8.16%</t>
        </is>
      </c>
      <c r="K50" s="16">
        <f>X49</f>
        <v/>
      </c>
      <c r="L50" s="13" t="inlineStr">
        <is>
          <t>2024-04-12</t>
        </is>
      </c>
      <c r="M50" s="13" t="inlineStr">
        <is>
          <t>2024-04-23</t>
        </is>
      </c>
      <c r="N50" s="13" t="inlineStr">
        <is>
          <t>2024-04-22</t>
        </is>
      </c>
      <c r="O50" s="9" t="n">
        <v>713</v>
      </c>
      <c r="P50" s="17" t="n">
        <v>1235.845581054688</v>
      </c>
      <c r="Q50" s="17" t="n">
        <v>1082.444702148438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Q1 2024-25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2.6%</t>
        </is>
      </c>
      <c r="J51" s="13" t="inlineStr">
        <is>
          <t>1.01%</t>
        </is>
      </c>
      <c r="K51" s="16">
        <f>X50</f>
        <v/>
      </c>
      <c r="L51" s="13" t="inlineStr">
        <is>
          <t>2024-04-19</t>
        </is>
      </c>
      <c r="M51" s="13" t="inlineStr">
        <is>
          <t>2024-04-26</t>
        </is>
      </c>
      <c r="N51" s="13" t="inlineStr">
        <is>
          <t>2024-04-22</t>
        </is>
      </c>
      <c r="O51" s="9" t="n">
        <v>572</v>
      </c>
      <c r="P51" s="17" t="n">
        <v>1002.022827148438</v>
      </c>
      <c r="Q51" s="17" t="n">
        <v>1028.032104492188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Q1 2024-25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7.26%</t>
        </is>
      </c>
      <c r="J52" s="13" t="inlineStr">
        <is>
          <t>7.27%</t>
        </is>
      </c>
      <c r="K52" s="16">
        <f>X51</f>
        <v/>
      </c>
      <c r="L52" s="13" t="inlineStr">
        <is>
          <t>2024-04-12</t>
        </is>
      </c>
      <c r="M52" s="13" t="inlineStr">
        <is>
          <t>2024-04-26</t>
        </is>
      </c>
      <c r="N52" s="13" t="inlineStr">
        <is>
          <t>2024-04-22</t>
        </is>
      </c>
      <c r="O52" s="9" t="n">
        <v>479</v>
      </c>
      <c r="P52" s="17" t="n">
        <v>2520.701171875</v>
      </c>
      <c r="Q52" s="17" t="n">
        <v>2703.7001953125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Q1 2024-25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0.16%</t>
        </is>
      </c>
      <c r="J53" s="13" t="inlineStr">
        <is>
          <t>-2.91%</t>
        </is>
      </c>
      <c r="K53" s="16">
        <f>X52</f>
        <v/>
      </c>
      <c r="L53" s="13" t="inlineStr">
        <is>
          <t>2024-04-16</t>
        </is>
      </c>
      <c r="M53" s="13" t="inlineStr">
        <is>
          <t>2024-04-23</t>
        </is>
      </c>
      <c r="N53" s="13" t="inlineStr">
        <is>
          <t>2024-04-22</t>
        </is>
      </c>
      <c r="O53" s="9" t="n">
        <v>1904</v>
      </c>
      <c r="P53" s="17" t="n">
        <v>918.8551635742188</v>
      </c>
      <c r="Q53" s="17" t="n">
        <v>920.3106689453124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Q1 2024-25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-5.39%</t>
        </is>
      </c>
      <c r="J54" s="13" t="inlineStr">
        <is>
          <t>-3.58%</t>
        </is>
      </c>
      <c r="K54" s="16">
        <f>X53</f>
        <v/>
      </c>
      <c r="L54" s="13" t="inlineStr">
        <is>
          <t>2024-04-15</t>
        </is>
      </c>
      <c r="M54" s="13" t="inlineStr">
        <is>
          <t>2024-04-23</t>
        </is>
      </c>
      <c r="N54" s="13" t="inlineStr">
        <is>
          <t>2024-04-22</t>
        </is>
      </c>
      <c r="O54" s="9" t="n">
        <v>3841</v>
      </c>
      <c r="P54" s="17" t="n">
        <v>299.4897766113281</v>
      </c>
      <c r="Q54" s="17" t="n">
        <v>284.1724243164062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Q1 2024-25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-6.52%</t>
        </is>
      </c>
      <c r="J55" s="13" t="inlineStr">
        <is>
          <t>-7.31%</t>
        </is>
      </c>
      <c r="K55" s="16">
        <f>X54</f>
        <v/>
      </c>
      <c r="L55" s="13" t="inlineStr">
        <is>
          <t>2024-04-15</t>
        </is>
      </c>
      <c r="M55" s="13" t="inlineStr">
        <is>
          <t>2024-04-26</t>
        </is>
      </c>
      <c r="N55" s="13" t="inlineStr">
        <is>
          <t>2024-04-22</t>
        </is>
      </c>
      <c r="O55" s="9" t="n">
        <v>185</v>
      </c>
      <c r="P55" s="17" t="n">
        <v>3132.7841796875</v>
      </c>
      <c r="Q55" s="17" t="n">
        <v>2941.14453125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Q1 2024-25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1.31%</t>
        </is>
      </c>
      <c r="J56" s="13" t="inlineStr">
        <is>
          <t>-0.19%</t>
        </is>
      </c>
      <c r="K56" s="16">
        <f>X55</f>
        <v/>
      </c>
      <c r="L56" s="13" t="inlineStr">
        <is>
          <t>2024-04-12</t>
        </is>
      </c>
      <c r="M56" s="13" t="inlineStr">
        <is>
          <t>2024-04-23</t>
        </is>
      </c>
      <c r="N56" s="13" t="inlineStr">
        <is>
          <t>2024-04-22</t>
        </is>
      </c>
      <c r="O56" s="9" t="n">
        <v>2346</v>
      </c>
      <c r="P56" s="17" t="n">
        <v>482.1431579589844</v>
      </c>
      <c r="Q56" s="17" t="n">
        <v>488.4516296386719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Q1 2024-25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0.7%</t>
        </is>
      </c>
      <c r="J57" s="13" t="inlineStr">
        <is>
          <t>-4.19%</t>
        </is>
      </c>
      <c r="K57" s="16">
        <f>X56</f>
        <v/>
      </c>
      <c r="L57" s="13" t="inlineStr">
        <is>
          <t>2024-04-18</t>
        </is>
      </c>
      <c r="M57" s="13" t="inlineStr">
        <is>
          <t>2024-04-23</t>
        </is>
      </c>
      <c r="N57" s="13" t="inlineStr">
        <is>
          <t>2024-04-22</t>
        </is>
      </c>
      <c r="O57" s="9" t="n">
        <v>2135</v>
      </c>
      <c r="P57" s="17" t="n">
        <v>448.3999938964844</v>
      </c>
      <c r="Q57" s="17" t="n">
        <v>451.5499877929688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Q1 2024-25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-0.29%</t>
        </is>
      </c>
      <c r="J58" s="13" t="inlineStr">
        <is>
          <t>-4.96%</t>
        </is>
      </c>
      <c r="K58" s="16">
        <f>X57</f>
        <v/>
      </c>
      <c r="L58" s="13" t="inlineStr">
        <is>
          <t>2024-04-12</t>
        </is>
      </c>
      <c r="M58" s="13" t="inlineStr">
        <is>
          <t>2024-04-23</t>
        </is>
      </c>
      <c r="N58" s="13" t="inlineStr">
        <is>
          <t>2024-04-22</t>
        </is>
      </c>
      <c r="O58" s="9" t="n">
        <v>200</v>
      </c>
      <c r="P58" s="17" t="n">
        <v>3724.257568359375</v>
      </c>
      <c r="Q58" s="17" t="n">
        <v>3713.369384765625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Q1 2024-25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-0.96%</t>
        </is>
      </c>
      <c r="J59" s="13" t="inlineStr">
        <is>
          <t>-4.34%</t>
        </is>
      </c>
      <c r="K59" s="16">
        <f>X58</f>
        <v/>
      </c>
      <c r="L59" s="13" t="inlineStr">
        <is>
          <t>2024-04-09</t>
        </is>
      </c>
      <c r="M59" s="13" t="inlineStr">
        <is>
          <t>2024-04-23</t>
        </is>
      </c>
      <c r="N59" s="13" t="inlineStr">
        <is>
          <t>2024-04-22</t>
        </is>
      </c>
      <c r="O59" s="9" t="n">
        <v>100</v>
      </c>
      <c r="P59" s="17" t="n">
        <v>7760.42041015625</v>
      </c>
      <c r="Q59" s="17" t="n">
        <v>7686.2802734375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Q1 2024-25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-1.1%</t>
        </is>
      </c>
      <c r="J60" s="13" t="inlineStr">
        <is>
          <t>-2.63%</t>
        </is>
      </c>
      <c r="K60" s="16">
        <f>X59</f>
        <v/>
      </c>
      <c r="L60" s="13" t="inlineStr">
        <is>
          <t>2024-04-16</t>
        </is>
      </c>
      <c r="M60" s="13" t="inlineStr">
        <is>
          <t>2024-04-23</t>
        </is>
      </c>
      <c r="N60" s="13" t="inlineStr">
        <is>
          <t>2024-04-22</t>
        </is>
      </c>
      <c r="O60" s="9" t="n">
        <v>1527</v>
      </c>
      <c r="P60" s="17" t="n">
        <v>862.9932250976562</v>
      </c>
      <c r="Q60" s="17" t="n">
        <v>853.5858154296875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Q1 2024-25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-3.75%</t>
        </is>
      </c>
      <c r="J61" s="13" t="inlineStr">
        <is>
          <t>-6.67%</t>
        </is>
      </c>
      <c r="K61" s="16">
        <f>X60</f>
        <v/>
      </c>
      <c r="L61" s="13" t="inlineStr">
        <is>
          <t>2024-04-18</t>
        </is>
      </c>
      <c r="M61" s="13" t="inlineStr">
        <is>
          <t>2024-04-23</t>
        </is>
      </c>
      <c r="N61" s="13" t="inlineStr">
        <is>
          <t>2024-04-22</t>
        </is>
      </c>
      <c r="O61" s="9" t="n">
        <v>258</v>
      </c>
      <c r="P61" s="17" t="n">
        <v>4800.5498046875</v>
      </c>
      <c r="Q61" s="17" t="n">
        <v>4627.10009765625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Q1 2024-25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5.99%</t>
        </is>
      </c>
      <c r="J62" s="13" t="inlineStr">
        <is>
          <t>5.26%</t>
        </is>
      </c>
      <c r="K62" s="16">
        <f>X61</f>
        <v/>
      </c>
      <c r="L62" s="13" t="inlineStr">
        <is>
          <t>2024-04-26</t>
        </is>
      </c>
      <c r="M62" s="13" t="inlineStr">
        <is>
          <t>2024-05-09</t>
        </is>
      </c>
      <c r="N62" s="13" t="inlineStr">
        <is>
          <t>2024-05-07</t>
        </is>
      </c>
      <c r="O62" s="9" t="n">
        <v>125</v>
      </c>
      <c r="P62" s="17" t="n">
        <v>1153.8681640625</v>
      </c>
      <c r="Q62" s="17" t="n">
        <v>1227.44091796875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Q1 2024-25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2.9%</t>
        </is>
      </c>
      <c r="J63" s="13" t="inlineStr">
        <is>
          <t>0.6%</t>
        </is>
      </c>
      <c r="K63" s="16">
        <f>X62</f>
        <v/>
      </c>
      <c r="L63" s="13" t="inlineStr">
        <is>
          <t>2024-04-30</t>
        </is>
      </c>
      <c r="M63" s="13" t="inlineStr">
        <is>
          <t>2024-05-14</t>
        </is>
      </c>
      <c r="N63" s="13" t="inlineStr">
        <is>
          <t>2024-05-11</t>
        </is>
      </c>
      <c r="O63" s="9" t="n">
        <v>175</v>
      </c>
      <c r="P63" s="17" t="n">
        <v>4488.81494140625</v>
      </c>
      <c r="Q63" s="17" t="n">
        <v>4618.81982421875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Q1 2024-25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12.1%</t>
        </is>
      </c>
      <c r="J64" s="13" t="inlineStr">
        <is>
          <t>6.27%</t>
        </is>
      </c>
      <c r="K64" s="16">
        <f>X63</f>
        <v/>
      </c>
      <c r="L64" s="13" t="inlineStr">
        <is>
          <t>2022-05-19</t>
        </is>
      </c>
      <c r="M64" s="13" t="inlineStr">
        <is>
          <t>2022-05-27</t>
        </is>
      </c>
      <c r="N64" s="13" t="inlineStr">
        <is>
          <t>2022-05-23</t>
        </is>
      </c>
      <c r="O64" s="9" t="n">
        <v>3399</v>
      </c>
      <c r="P64" s="17" t="n">
        <v>55.34999847412109</v>
      </c>
      <c r="Q64" s="17" t="n">
        <v>62.04999923706055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Q1 2024-25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1.08%</t>
        </is>
      </c>
      <c r="J65" s="13" t="inlineStr">
        <is>
          <t>-0.9%</t>
        </is>
      </c>
      <c r="K65" s="16">
        <f>X64</f>
        <v/>
      </c>
      <c r="L65" s="13" t="inlineStr">
        <is>
          <t>2024-04-16</t>
        </is>
      </c>
      <c r="M65" s="13" t="inlineStr">
        <is>
          <t>2024-04-23</t>
        </is>
      </c>
      <c r="N65" s="13" t="inlineStr">
        <is>
          <t>2024-04-22</t>
        </is>
      </c>
      <c r="O65" s="9" t="n">
        <v>2823</v>
      </c>
      <c r="P65" s="17" t="n">
        <v>150.2924957275391</v>
      </c>
      <c r="Q65" s="17" t="n">
        <v>151.9228820800781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Q1 2024-25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-0.55%</t>
        </is>
      </c>
      <c r="J66" s="13" t="inlineStr">
        <is>
          <t>-2.96%</t>
        </is>
      </c>
      <c r="K66" s="16">
        <f>X65</f>
        <v/>
      </c>
      <c r="L66" s="13" t="inlineStr">
        <is>
          <t>2025-02-07</t>
        </is>
      </c>
      <c r="M66" s="13" t="inlineStr">
        <is>
          <t>2025-02-17</t>
        </is>
      </c>
      <c r="N66" s="13" t="inlineStr">
        <is>
          <t>2025-02-10</t>
        </is>
      </c>
      <c r="O66" s="9" t="n">
        <v>100</v>
      </c>
      <c r="P66" s="17" t="n">
        <v>6573.9365234375</v>
      </c>
      <c r="Q66" s="17" t="n">
        <v>6537.86572265625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Q1 2024-25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2.8%</t>
        </is>
      </c>
      <c r="J67" s="13" t="inlineStr">
        <is>
          <t>2.25%</t>
        </is>
      </c>
      <c r="K67" s="16">
        <f>X66</f>
        <v/>
      </c>
      <c r="L67" s="13" t="inlineStr">
        <is>
          <t>2024-04-12</t>
        </is>
      </c>
      <c r="M67" s="13" t="inlineStr">
        <is>
          <t>2024-04-26</t>
        </is>
      </c>
      <c r="N67" s="13" t="inlineStr">
        <is>
          <t>2024-04-22</t>
        </is>
      </c>
      <c r="O67" s="9" t="n">
        <v>1053</v>
      </c>
      <c r="P67" s="17" t="n">
        <v>429.60009765625</v>
      </c>
      <c r="Q67" s="17" t="n">
        <v>441.6482238769531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Q1 2024-25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2.21%</t>
        </is>
      </c>
      <c r="J68" s="13" t="inlineStr">
        <is>
          <t>-0.25%</t>
        </is>
      </c>
      <c r="K68" s="16">
        <f>X67</f>
        <v/>
      </c>
      <c r="L68" s="13" t="inlineStr">
        <is>
          <t>2024-04-18</t>
        </is>
      </c>
      <c r="M68" s="13" t="inlineStr">
        <is>
          <t>2024-04-26</t>
        </is>
      </c>
      <c r="N68" s="13" t="inlineStr">
        <is>
          <t>2024-04-22</t>
        </is>
      </c>
      <c r="O68" s="9" t="n">
        <v>5759</v>
      </c>
      <c r="P68" s="17" t="n">
        <v>189.1146697998047</v>
      </c>
      <c r="Q68" s="17" t="n">
        <v>193.2955474853516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Q1 2024-25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3.6%</t>
        </is>
      </c>
      <c r="J69" s="13" t="inlineStr">
        <is>
          <t>-0.76%</t>
        </is>
      </c>
      <c r="K69" s="16">
        <f>X68</f>
        <v/>
      </c>
      <c r="L69" s="13" t="inlineStr">
        <is>
          <t>2024-04-18</t>
        </is>
      </c>
      <c r="M69" s="13" t="inlineStr">
        <is>
          <t>2024-04-26</t>
        </is>
      </c>
      <c r="N69" s="13" t="inlineStr">
        <is>
          <t>2024-04-22</t>
        </is>
      </c>
      <c r="O69" s="9" t="n">
        <v>456</v>
      </c>
      <c r="P69" s="17" t="n">
        <v>1037.764526367188</v>
      </c>
      <c r="Q69" s="17" t="n">
        <v>1075.1689453125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Q1 2024-25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-13.44%</t>
        </is>
      </c>
      <c r="J70" s="13" t="inlineStr">
        <is>
          <t>-12.21%</t>
        </is>
      </c>
      <c r="K70" s="16">
        <f>X69</f>
        <v/>
      </c>
      <c r="L70" s="13" t="inlineStr">
        <is>
          <t>2024-04-18</t>
        </is>
      </c>
      <c r="M70" s="13" t="inlineStr">
        <is>
          <t>2024-04-26</t>
        </is>
      </c>
      <c r="N70" s="13" t="inlineStr">
        <is>
          <t>2024-04-22</t>
        </is>
      </c>
      <c r="O70" s="9" t="n">
        <v>9623</v>
      </c>
      <c r="P70" s="17" t="n">
        <v>90.75</v>
      </c>
      <c r="Q70" s="17" t="n">
        <v>80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Q1 2024-25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10.25%</t>
        </is>
      </c>
      <c r="J71" s="13" t="inlineStr">
        <is>
          <t>7.07%</t>
        </is>
      </c>
      <c r="K71" s="16">
        <f>X70</f>
        <v/>
      </c>
      <c r="L71" s="13" t="inlineStr">
        <is>
          <t>2024-04-16</t>
        </is>
      </c>
      <c r="M71" s="13" t="inlineStr">
        <is>
          <t>2024-04-26</t>
        </is>
      </c>
      <c r="N71" s="13" t="inlineStr">
        <is>
          <t>2024-04-22</t>
        </is>
      </c>
      <c r="O71" s="9" t="n">
        <v>469</v>
      </c>
      <c r="P71" s="17" t="n">
        <v>974.8571166992188</v>
      </c>
      <c r="Q71" s="17" t="n">
        <v>1074.756591796875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Q1 2024-25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-1.78%</t>
        </is>
      </c>
      <c r="J72" s="13" t="inlineStr">
        <is>
          <t>-4.43%</t>
        </is>
      </c>
      <c r="K72" s="16">
        <f>X71</f>
        <v/>
      </c>
      <c r="L72" s="13" t="inlineStr">
        <is>
          <t>2024-04-12</t>
        </is>
      </c>
      <c r="M72" s="13" t="inlineStr">
        <is>
          <t>2024-04-23</t>
        </is>
      </c>
      <c r="N72" s="13" t="inlineStr">
        <is>
          <t>2024-04-22</t>
        </is>
      </c>
      <c r="O72" s="9" t="n">
        <v>932</v>
      </c>
      <c r="P72" s="17" t="n">
        <v>1151.625854492188</v>
      </c>
      <c r="Q72" s="17" t="n">
        <v>1131.084350585938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Q1 2024-25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6.24%</t>
        </is>
      </c>
      <c r="J73" s="13" t="inlineStr">
        <is>
          <t>8.56%</t>
        </is>
      </c>
      <c r="K73" s="16">
        <f>X72</f>
        <v/>
      </c>
      <c r="L73" s="13" t="inlineStr">
        <is>
          <t>2024-04-09</t>
        </is>
      </c>
      <c r="M73" s="13" t="inlineStr">
        <is>
          <t>2024-04-23</t>
        </is>
      </c>
      <c r="N73" s="13" t="inlineStr">
        <is>
          <t>2024-04-22</t>
        </is>
      </c>
      <c r="O73" s="9" t="n">
        <v>473</v>
      </c>
      <c r="P73" s="17" t="n">
        <v>2523.601806640625</v>
      </c>
      <c r="Q73" s="17" t="n">
        <v>2691.490234375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Q1 2024-25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3.24%</t>
        </is>
      </c>
      <c r="J74" s="13" t="inlineStr">
        <is>
          <t>3.28%</t>
        </is>
      </c>
      <c r="K74" s="16">
        <f>X73</f>
        <v/>
      </c>
      <c r="L74" s="13" t="inlineStr">
        <is>
          <t>2024-05-17</t>
        </is>
      </c>
      <c r="M74" s="13" t="inlineStr">
        <is>
          <t>2024-05-30</t>
        </is>
      </c>
      <c r="N74" s="13" t="inlineStr">
        <is>
          <t>2024-05-23</t>
        </is>
      </c>
      <c r="O74" s="9" t="n">
        <v>250</v>
      </c>
      <c r="P74" s="17" t="n">
        <v>2327.754150390625</v>
      </c>
      <c r="Q74" s="17" t="n">
        <v>2405.62060546875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Q1 2024-25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19.05%</t>
        </is>
      </c>
      <c r="J75" s="13" t="inlineStr">
        <is>
          <t>12.94%</t>
        </is>
      </c>
      <c r="K75" s="16">
        <f>X74</f>
        <v/>
      </c>
      <c r="L75" s="13" t="inlineStr">
        <is>
          <t>2024-04-16</t>
        </is>
      </c>
      <c r="M75" s="13" t="inlineStr">
        <is>
          <t>2024-04-26</t>
        </is>
      </c>
      <c r="N75" s="13" t="inlineStr">
        <is>
          <t>2024-04-22</t>
        </is>
      </c>
      <c r="O75" s="9" t="n">
        <v>237</v>
      </c>
      <c r="P75" s="17" t="n">
        <v>912.588134765625</v>
      </c>
      <c r="Q75" s="17" t="n">
        <v>1086.412109375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Q1 2024-25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9.79%</t>
        </is>
      </c>
      <c r="J76" s="13" t="inlineStr">
        <is>
          <t>6.54%</t>
        </is>
      </c>
      <c r="K76" s="16">
        <f>X75</f>
        <v/>
      </c>
      <c r="L76" s="13" t="inlineStr">
        <is>
          <t>2024-04-15</t>
        </is>
      </c>
      <c r="M76" s="13" t="inlineStr">
        <is>
          <t>2024-04-26</t>
        </is>
      </c>
      <c r="N76" s="13" t="inlineStr">
        <is>
          <t>2024-04-22</t>
        </is>
      </c>
      <c r="O76" s="9" t="n">
        <v>218</v>
      </c>
      <c r="P76" s="17" t="n">
        <v>3551.68408203125</v>
      </c>
      <c r="Q76" s="17" t="n">
        <v>3899.24365234375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Q1 2024-25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-8.57%</t>
        </is>
      </c>
      <c r="J77" s="13" t="inlineStr">
        <is>
          <t>-13.12%</t>
        </is>
      </c>
      <c r="K77" s="16">
        <f>X76</f>
        <v/>
      </c>
      <c r="L77" s="13" t="inlineStr">
        <is>
          <t>2024-04-12</t>
        </is>
      </c>
      <c r="M77" s="13" t="inlineStr">
        <is>
          <t>2024-04-26</t>
        </is>
      </c>
      <c r="N77" s="13" t="inlineStr">
        <is>
          <t>2024-04-22</t>
        </is>
      </c>
      <c r="O77" s="9" t="n">
        <v>792</v>
      </c>
      <c r="P77" s="17" t="n">
        <v>1611.38232421875</v>
      </c>
      <c r="Q77" s="17" t="n">
        <v>1484.244262695312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Q1 2024-25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-8.04%</t>
        </is>
      </c>
      <c r="J78" s="13" t="inlineStr">
        <is>
          <t>-8.38%</t>
        </is>
      </c>
      <c r="K78" s="16">
        <f>X77</f>
        <v/>
      </c>
      <c r="L78" s="13" t="inlineStr">
        <is>
          <t>2024-04-22</t>
        </is>
      </c>
      <c r="M78" s="13" t="inlineStr">
        <is>
          <t>2024-05-03</t>
        </is>
      </c>
      <c r="N78" s="13" t="inlineStr">
        <is>
          <t>2024-04-26</t>
        </is>
      </c>
      <c r="O78" s="9" t="n">
        <v>350</v>
      </c>
      <c r="P78" s="17" t="n">
        <v>1338.384765625</v>
      </c>
      <c r="Q78" s="17" t="n">
        <v>1230.786254882812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Q1 2024-25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0.03%</t>
        </is>
      </c>
      <c r="J79" s="13" t="inlineStr">
        <is>
          <t>2.32%</t>
        </is>
      </c>
      <c r="K79" s="16">
        <f>X78</f>
        <v/>
      </c>
      <c r="L79" s="13" t="inlineStr">
        <is>
          <t>2024-04-15</t>
        </is>
      </c>
      <c r="M79" s="13" t="inlineStr">
        <is>
          <t>2024-04-23</t>
        </is>
      </c>
      <c r="N79" s="13" t="inlineStr">
        <is>
          <t>2024-04-22</t>
        </is>
      </c>
      <c r="O79" s="9" t="n">
        <v>392</v>
      </c>
      <c r="P79" s="17" t="n">
        <v>1720.4658203125</v>
      </c>
      <c r="Q79" s="17" t="n">
        <v>1721.00830078125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Q1 2024-25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-2.5%</t>
        </is>
      </c>
      <c r="J80" s="13" t="inlineStr">
        <is>
          <t>-2.74%</t>
        </is>
      </c>
      <c r="K80" s="16">
        <f>X79</f>
        <v/>
      </c>
      <c r="L80" s="13" t="inlineStr">
        <is>
          <t>2024-04-09</t>
        </is>
      </c>
      <c r="M80" s="13" t="inlineStr">
        <is>
          <t>2024-04-26</t>
        </is>
      </c>
      <c r="N80" s="13" t="inlineStr">
        <is>
          <t>2024-04-21</t>
        </is>
      </c>
      <c r="O80" s="9" t="n">
        <v>550</v>
      </c>
      <c r="P80" s="17" t="n">
        <v>741.3949584960938</v>
      </c>
      <c r="Q80" s="17" t="n">
        <v>722.8427124023438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Q1 2024-25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-4.66%</t>
        </is>
      </c>
      <c r="J81" s="13" t="inlineStr">
        <is>
          <t>-5.37%</t>
        </is>
      </c>
      <c r="K81" s="16">
        <f>X80</f>
        <v/>
      </c>
      <c r="L81" s="13" t="inlineStr">
        <is>
          <t>2022-04-22</t>
        </is>
      </c>
      <c r="M81" s="13" t="inlineStr">
        <is>
          <t>2022-05-02</t>
        </is>
      </c>
      <c r="N81" s="13" t="inlineStr">
        <is>
          <t>2022-04-26</t>
        </is>
      </c>
      <c r="O81" s="9" t="n">
        <v>1100</v>
      </c>
      <c r="P81" s="17" t="n">
        <v>570.7599487304688</v>
      </c>
      <c r="Q81" s="17" t="n">
        <v>545.3643798828125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Q1 2024-25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12.14%</t>
        </is>
      </c>
      <c r="J82" s="13" t="inlineStr">
        <is>
          <t>10.85%</t>
        </is>
      </c>
      <c r="K82" s="16">
        <f>X81</f>
        <v/>
      </c>
      <c r="L82" s="13" t="inlineStr">
        <is>
          <t>2024-05-06</t>
        </is>
      </c>
      <c r="M82" s="13" t="inlineStr">
        <is>
          <t>2024-05-15</t>
        </is>
      </c>
      <c r="N82" s="13" t="inlineStr">
        <is>
          <t>2024-05-08</t>
        </is>
      </c>
      <c r="O82" s="9" t="n">
        <v>150</v>
      </c>
      <c r="P82" s="17" t="n">
        <v>4219.99658203125</v>
      </c>
      <c r="Q82" s="17" t="n">
        <v>4732.3662109375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Q1 2024-25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2.27%</t>
        </is>
      </c>
      <c r="J83" s="13" t="inlineStr">
        <is>
          <t>2.41%</t>
        </is>
      </c>
      <c r="K83" s="16">
        <f>X82</f>
        <v/>
      </c>
      <c r="L83" s="13" t="inlineStr">
        <is>
          <t>2024-05-21</t>
        </is>
      </c>
      <c r="M83" s="13" t="inlineStr">
        <is>
          <t>2024-05-27</t>
        </is>
      </c>
      <c r="N83" s="13" t="inlineStr">
        <is>
          <t>2024-05-24</t>
        </is>
      </c>
      <c r="O83" s="9" t="n">
        <v>1400</v>
      </c>
      <c r="P83" s="17" t="n">
        <v>665.6073608398438</v>
      </c>
      <c r="Q83" s="17" t="n">
        <v>681.0728759765625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Q1 2024-25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-2.65%</t>
        </is>
      </c>
      <c r="J84" s="13" t="inlineStr">
        <is>
          <t>-4.0%</t>
        </is>
      </c>
      <c r="K84" s="16">
        <f>X83</f>
        <v/>
      </c>
      <c r="L84" s="13" t="inlineStr">
        <is>
          <t>2024-04-19</t>
        </is>
      </c>
      <c r="M84" s="13" t="inlineStr">
        <is>
          <t>2024-04-26</t>
        </is>
      </c>
      <c r="N84" s="13" t="inlineStr">
        <is>
          <t>2024-04-22</t>
        </is>
      </c>
      <c r="O84" s="9" t="n">
        <v>2574</v>
      </c>
      <c r="P84" s="17" t="n">
        <v>306.8226013183594</v>
      </c>
      <c r="Q84" s="17" t="n">
        <v>298.8880310058594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Q1 2024-25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-1.47%</t>
        </is>
      </c>
      <c r="J85" s="13" t="inlineStr">
        <is>
          <t>-1.36%</t>
        </is>
      </c>
      <c r="K85" s="16">
        <f>X84</f>
        <v/>
      </c>
      <c r="L85" s="13" t="inlineStr">
        <is>
          <t>2024-04-15</t>
        </is>
      </c>
      <c r="M85" s="13" t="inlineStr">
        <is>
          <t>2024-05-02</t>
        </is>
      </c>
      <c r="N85" s="13" t="inlineStr">
        <is>
          <t>2024-04-24</t>
        </is>
      </c>
      <c r="O85" s="9" t="n">
        <v>300</v>
      </c>
      <c r="P85" s="17" t="n">
        <v>2118.4091796875</v>
      </c>
      <c r="Q85" s="17" t="n">
        <v>2087.72216796875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Q1 2024-25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-4.68%</t>
        </is>
      </c>
      <c r="J86" s="13" t="inlineStr">
        <is>
          <t>-6.39%</t>
        </is>
      </c>
      <c r="K86" s="16">
        <f>X85</f>
        <v/>
      </c>
      <c r="L86" s="13" t="inlineStr">
        <is>
          <t>2024-04-16</t>
        </is>
      </c>
      <c r="M86" s="13" t="inlineStr">
        <is>
          <t>2024-04-26</t>
        </is>
      </c>
      <c r="N86" s="13" t="inlineStr">
        <is>
          <t>2024-04-22</t>
        </is>
      </c>
      <c r="O86" s="9" t="n">
        <v>1866</v>
      </c>
      <c r="P86" s="17" t="n">
        <v>384.4825439453125</v>
      </c>
      <c r="Q86" s="17" t="n">
        <v>367.2920837402344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Q1 2024-25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-4.25%</t>
        </is>
      </c>
      <c r="J87" s="13" t="inlineStr">
        <is>
          <t>-7.43%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2024-04-22</t>
        </is>
      </c>
      <c r="O87" s="9" t="n">
        <v>495</v>
      </c>
      <c r="P87" s="17" t="n">
        <v>1878.654418945312</v>
      </c>
      <c r="Q87" s="17" t="n">
        <v>1802.145385742188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Q1 2024-25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7.43%</t>
        </is>
      </c>
      <c r="J88" s="13" t="inlineStr">
        <is>
          <t>4.97%</t>
        </is>
      </c>
      <c r="K88" s="16">
        <f>X87</f>
        <v/>
      </c>
      <c r="L88" s="13" t="inlineStr">
        <is>
          <t>2024-04-16</t>
        </is>
      </c>
      <c r="M88" s="13" t="inlineStr">
        <is>
          <t>2024-05-06</t>
        </is>
      </c>
      <c r="N88" s="13" t="inlineStr">
        <is>
          <t>2024-04-27</t>
        </is>
      </c>
      <c r="O88" s="9" t="n">
        <v>700</v>
      </c>
      <c r="P88" s="17" t="n">
        <v>1049.841796875</v>
      </c>
      <c r="Q88" s="17" t="n">
        <v>1127.813720703125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Q1 2024-25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-3.05%</t>
        </is>
      </c>
      <c r="J89" s="13" t="inlineStr">
        <is>
          <t>-5.07%</t>
        </is>
      </c>
      <c r="K89" s="16">
        <f>X88</f>
        <v/>
      </c>
      <c r="L89" s="13" t="inlineStr">
        <is>
          <t>2024-11-29</t>
        </is>
      </c>
      <c r="M89" s="13" t="inlineStr">
        <is>
          <t>2024-12-17</t>
        </is>
      </c>
      <c r="N89" s="13" t="inlineStr">
        <is>
          <t>2024-12-10</t>
        </is>
      </c>
      <c r="O89" s="9" t="n">
        <v>629</v>
      </c>
      <c r="P89" s="17" t="n">
        <v>1918.55</v>
      </c>
      <c r="Q89" s="17" t="n">
        <v>1861.7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Q1 2024-25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0.93%</t>
        </is>
      </c>
      <c r="J90" s="13" t="inlineStr">
        <is>
          <t>1.42%</t>
        </is>
      </c>
      <c r="K90" s="16">
        <f>X89</f>
        <v/>
      </c>
      <c r="L90" s="13" t="inlineStr">
        <is>
          <t>2025-09-02</t>
        </is>
      </c>
      <c r="M90" s="13" t="inlineStr">
        <is>
          <t>2025-09-18</t>
        </is>
      </c>
      <c r="N90" s="13" t="inlineStr">
        <is>
          <t>2025-09-12</t>
        </is>
      </c>
      <c r="O90" s="9" t="n">
        <v>1958</v>
      </c>
      <c r="P90" s="17" t="n">
        <v>602.9076538085938</v>
      </c>
      <c r="Q90" s="17" t="n">
        <v>608.5381469726562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Q1 2024-25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-8.11%</t>
        </is>
      </c>
      <c r="J91" s="13" t="inlineStr">
        <is>
          <t>-12.01%</t>
        </is>
      </c>
      <c r="K91" s="16">
        <f>X90</f>
        <v/>
      </c>
      <c r="L91" s="13" t="inlineStr">
        <is>
          <t>2024-04-12</t>
        </is>
      </c>
      <c r="M91" s="13" t="inlineStr">
        <is>
          <t>2024-04-26</t>
        </is>
      </c>
      <c r="N91" s="13" t="inlineStr">
        <is>
          <t>2024-04-22</t>
        </is>
      </c>
      <c r="O91" s="9" t="n">
        <v>77700</v>
      </c>
      <c r="P91" s="17" t="n">
        <v>14</v>
      </c>
      <c r="Q91" s="17" t="n">
        <v>12.94999980926514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Q1 2024-25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-1.58%</t>
        </is>
      </c>
      <c r="J92" s="13" t="inlineStr">
        <is>
          <t>-6.25%</t>
        </is>
      </c>
      <c r="K92" s="16">
        <f>X91</f>
        <v/>
      </c>
      <c r="L92" s="13" t="inlineStr">
        <is>
          <t>2024-04-09</t>
        </is>
      </c>
      <c r="M92" s="13" t="inlineStr">
        <is>
          <t>2024-04-23</t>
        </is>
      </c>
      <c r="N92" s="13" t="inlineStr">
        <is>
          <t>2024-04-22</t>
        </is>
      </c>
      <c r="O92" s="9" t="n">
        <v>11798</v>
      </c>
      <c r="P92" s="17" t="n">
        <v>83.17774963378906</v>
      </c>
      <c r="Q92" s="17" t="n">
        <v>81.88199615478516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Q1 2024-25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3.69%</t>
        </is>
      </c>
      <c r="J93" s="13" t="inlineStr">
        <is>
          <t>1.88%</t>
        </is>
      </c>
      <c r="K93" s="16">
        <f>X92</f>
        <v/>
      </c>
      <c r="L93" s="13" t="inlineStr">
        <is>
          <t>2024-04-19</t>
        </is>
      </c>
      <c r="M93" s="13" t="inlineStr">
        <is>
          <t>2024-04-23</t>
        </is>
      </c>
      <c r="N93" s="13" t="inlineStr">
        <is>
          <t>2024-04-22</t>
        </is>
      </c>
      <c r="O93" s="9" t="n">
        <v>7610</v>
      </c>
      <c r="P93" s="17" t="n">
        <v>139.939697265625</v>
      </c>
      <c r="Q93" s="17" t="n">
        <v>145.1050872802734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Q1 2024-25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-2.52%</t>
        </is>
      </c>
      <c r="J94" s="13" t="inlineStr">
        <is>
          <t>-5.48%</t>
        </is>
      </c>
      <c r="K94" s="16">
        <f>X93</f>
        <v/>
      </c>
      <c r="L94" s="13" t="inlineStr">
        <is>
          <t>2024-04-16</t>
        </is>
      </c>
      <c r="M94" s="13" t="inlineStr">
        <is>
          <t>2024-04-26</t>
        </is>
      </c>
      <c r="N94" s="13" t="inlineStr">
        <is>
          <t>2024-04-22</t>
        </is>
      </c>
      <c r="O94" s="9" t="n">
        <v>1334</v>
      </c>
      <c r="P94" s="17" t="n">
        <v>577.6210327148438</v>
      </c>
      <c r="Q94" s="17" t="n">
        <v>563.0728149414062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Q1 2024-25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1.24%</t>
        </is>
      </c>
      <c r="J95" s="13" t="inlineStr">
        <is>
          <t>-5.07%</t>
        </is>
      </c>
      <c r="K95" s="16">
        <f>X94</f>
        <v/>
      </c>
      <c r="L95" s="13" t="inlineStr">
        <is>
          <t>2024-04-16</t>
        </is>
      </c>
      <c r="M95" s="13" t="inlineStr">
        <is>
          <t>2024-04-26</t>
        </is>
      </c>
      <c r="N95" s="13" t="inlineStr">
        <is>
          <t>2024-04-22</t>
        </is>
      </c>
      <c r="O95" s="9" t="n">
        <v>1208</v>
      </c>
      <c r="P95" s="17" t="n">
        <v>485.5727233886719</v>
      </c>
      <c r="Q95" s="17" t="n">
        <v>491.5945434570313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Q1 2024-25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9.77%</t>
        </is>
      </c>
      <c r="J96" s="13" t="inlineStr">
        <is>
          <t>10.33%</t>
        </is>
      </c>
      <c r="K96" s="16">
        <f>X95</f>
        <v/>
      </c>
      <c r="L96" s="13" t="inlineStr">
        <is>
          <t>2022-05-16</t>
        </is>
      </c>
      <c r="M96" s="13" t="inlineStr">
        <is>
          <t>2022-05-26</t>
        </is>
      </c>
      <c r="N96" s="13" t="inlineStr">
        <is>
          <t>2022-05-25</t>
        </is>
      </c>
      <c r="O96" s="9" t="n">
        <v>196</v>
      </c>
      <c r="P96" s="17" t="n">
        <v>1651.80859375</v>
      </c>
      <c r="Q96" s="17" t="n">
        <v>1813.135986328125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Q1 2024-25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0.61%</t>
        </is>
      </c>
      <c r="J97" s="13" t="inlineStr">
        <is>
          <t>-0.29%</t>
        </is>
      </c>
      <c r="K97" s="16">
        <f>X96</f>
        <v/>
      </c>
      <c r="L97" s="13" t="inlineStr">
        <is>
          <t>2024-04-24</t>
        </is>
      </c>
      <c r="M97" s="13" t="inlineStr">
        <is>
          <t>2024-05-03</t>
        </is>
      </c>
      <c r="N97" s="13" t="inlineStr">
        <is>
          <t>2024-04-25</t>
        </is>
      </c>
      <c r="O97" s="9" t="n">
        <v>500</v>
      </c>
      <c r="P97" s="17" t="n">
        <v>1456.10009765625</v>
      </c>
      <c r="Q97" s="17" t="n">
        <v>1465.0361328125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Q1 2024-25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-8.12%</t>
        </is>
      </c>
      <c r="J98" s="13" t="inlineStr">
        <is>
          <t>-10.38%</t>
        </is>
      </c>
      <c r="K98" s="16">
        <f>X97</f>
        <v/>
      </c>
      <c r="L98" s="13" t="inlineStr">
        <is>
          <t>2024-04-16</t>
        </is>
      </c>
      <c r="M98" s="13" t="inlineStr">
        <is>
          <t>2024-04-23</t>
        </is>
      </c>
      <c r="N98" s="13" t="inlineStr">
        <is>
          <t>2024-04-22</t>
        </is>
      </c>
      <c r="O98" s="9" t="n">
        <v>2545</v>
      </c>
      <c r="P98" s="17" t="n">
        <v>359.5</v>
      </c>
      <c r="Q98" s="17" t="n">
        <v>332.5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Q1 2024-25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4.91%</t>
        </is>
      </c>
      <c r="J99" s="13" t="inlineStr">
        <is>
          <t>4.07%</t>
        </is>
      </c>
      <c r="K99" s="16">
        <f>X98</f>
        <v/>
      </c>
      <c r="L99" s="13" t="inlineStr">
        <is>
          <t>2024-04-10</t>
        </is>
      </c>
      <c r="M99" s="13" t="inlineStr">
        <is>
          <t>2024-04-22</t>
        </is>
      </c>
      <c r="N99" s="13" t="inlineStr">
        <is>
          <t>2024-04-19</t>
        </is>
      </c>
      <c r="O99" s="9" t="n">
        <v>400</v>
      </c>
      <c r="P99" s="17" t="n">
        <v>1320.340942382812</v>
      </c>
      <c r="Q99" s="17" t="n">
        <v>1388.581298828125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Q1 2024-25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7.27%</t>
        </is>
      </c>
      <c r="J100" s="13" t="inlineStr">
        <is>
          <t>1.92%</t>
        </is>
      </c>
      <c r="K100" s="16">
        <f>X99</f>
        <v/>
      </c>
      <c r="L100" s="13" t="inlineStr">
        <is>
          <t>2024-04-09</t>
        </is>
      </c>
      <c r="M100" s="13" t="inlineStr">
        <is>
          <t>2024-04-23</t>
        </is>
      </c>
      <c r="N100" s="13" t="inlineStr">
        <is>
          <t>2024-04-22</t>
        </is>
      </c>
      <c r="O100" s="9" t="n">
        <v>13336</v>
      </c>
      <c r="P100" s="17" t="n">
        <v>139.7624969482422</v>
      </c>
      <c r="Q100" s="17" t="n">
        <v>149.9250030517578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Q1 2024-25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-0.82%</t>
        </is>
      </c>
      <c r="J101" s="13" t="inlineStr">
        <is>
          <t>-2.94%</t>
        </is>
      </c>
      <c r="K101" s="16">
        <f>X100</f>
        <v/>
      </c>
      <c r="L101" s="13" t="inlineStr">
        <is>
          <t>2024-04-12</t>
        </is>
      </c>
      <c r="M101" s="13" t="inlineStr">
        <is>
          <t>2024-04-26</t>
        </is>
      </c>
      <c r="N101" s="13" t="inlineStr">
        <is>
          <t>2024-04-22</t>
        </is>
      </c>
      <c r="O101" s="9" t="n">
        <v>7145</v>
      </c>
      <c r="P101" s="17" t="n">
        <v>154.4394073486328</v>
      </c>
      <c r="Q101" s="17" t="n">
        <v>153.1790466308594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Q1 2024-25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-2.09%</t>
        </is>
      </c>
      <c r="J102" s="13" t="inlineStr">
        <is>
          <t>-22.46%</t>
        </is>
      </c>
      <c r="K102" s="16">
        <f>X101</f>
        <v/>
      </c>
      <c r="L102" s="13" t="inlineStr">
        <is>
          <t>2024-04-08</t>
        </is>
      </c>
      <c r="M102" s="13" t="inlineStr">
        <is>
          <t>2024-04-26</t>
        </is>
      </c>
      <c r="N102" s="13" t="inlineStr">
        <is>
          <t>2024-04-22</t>
        </is>
      </c>
      <c r="O102" s="9" t="n">
        <v>8341</v>
      </c>
      <c r="P102" s="17" t="n">
        <v>173.3807067871094</v>
      </c>
      <c r="Q102" s="17" t="n">
        <v>169.7499389648438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Q1 2024-25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2024-04-22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Q1 2024-25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0.08%</t>
        </is>
      </c>
      <c r="J104" s="13" t="inlineStr">
        <is>
          <t>0.09%</t>
        </is>
      </c>
      <c r="K104" s="16">
        <f>X103</f>
        <v/>
      </c>
      <c r="L104" s="13" t="inlineStr">
        <is>
          <t>2024-05-13</t>
        </is>
      </c>
      <c r="M104" s="13" t="inlineStr">
        <is>
          <t>2024-05-27</t>
        </is>
      </c>
      <c r="N104" s="13" t="inlineStr">
        <is>
          <t>2024-05-23</t>
        </is>
      </c>
      <c r="O104" s="9" t="n">
        <v>1600</v>
      </c>
      <c r="P104" s="17" t="n">
        <v>376.0321044921875</v>
      </c>
      <c r="Q104" s="17" t="n">
        <v>376.337158203125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Q1 2024-25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0.89%</t>
        </is>
      </c>
      <c r="J105" s="13" t="inlineStr">
        <is>
          <t>-1.21%</t>
        </is>
      </c>
      <c r="K105" s="16">
        <f>X104</f>
        <v/>
      </c>
      <c r="L105" s="13" t="inlineStr">
        <is>
          <t>2024-04-16</t>
        </is>
      </c>
      <c r="M105" s="13" t="inlineStr">
        <is>
          <t>2024-04-23</t>
        </is>
      </c>
      <c r="N105" s="13" t="inlineStr">
        <is>
          <t>2024-04-22</t>
        </is>
      </c>
      <c r="O105" s="9" t="n">
        <v>914</v>
      </c>
      <c r="P105" s="17" t="n">
        <v>898.1348266601562</v>
      </c>
      <c r="Q105" s="17" t="n">
        <v>906.152099609375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Q1 2024-25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-1.03%</t>
        </is>
      </c>
      <c r="J106" s="13" t="inlineStr">
        <is>
          <t>-4.73%</t>
        </is>
      </c>
      <c r="K106" s="16">
        <f>X105</f>
        <v/>
      </c>
      <c r="L106" s="13" t="inlineStr">
        <is>
          <t>2024-04-18</t>
        </is>
      </c>
      <c r="M106" s="13" t="inlineStr">
        <is>
          <t>2024-04-25</t>
        </is>
      </c>
      <c r="N106" s="13" t="inlineStr">
        <is>
          <t>2024-04-19</t>
        </is>
      </c>
      <c r="O106" s="9" t="n">
        <v>4127</v>
      </c>
      <c r="P106" s="17" t="n">
        <v>381.7047729492188</v>
      </c>
      <c r="Q106" s="17" t="n">
        <v>377.8108520507813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Q1 2024-25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0.02%</t>
        </is>
      </c>
      <c r="J107" s="13" t="inlineStr">
        <is>
          <t>-4.14%</t>
        </is>
      </c>
      <c r="K107" s="16">
        <f>X106</f>
        <v/>
      </c>
      <c r="L107" s="13" t="inlineStr">
        <is>
          <t>2024-04-12</t>
        </is>
      </c>
      <c r="M107" s="13" t="inlineStr">
        <is>
          <t>2024-04-23</t>
        </is>
      </c>
      <c r="N107" s="13" t="inlineStr">
        <is>
          <t>2024-04-22</t>
        </is>
      </c>
      <c r="O107" s="9" t="n">
        <v>1839</v>
      </c>
      <c r="P107" s="17" t="n">
        <v>609.8336181640625</v>
      </c>
      <c r="Q107" s="17" t="n">
        <v>609.9325561523438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Q1 2024-25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6.45%</t>
        </is>
      </c>
      <c r="J108" s="13" t="inlineStr">
        <is>
          <t>4.78%</t>
        </is>
      </c>
      <c r="K108" s="16">
        <f>X107</f>
        <v/>
      </c>
      <c r="L108" s="13" t="inlineStr">
        <is>
          <t>2024-05-10</t>
        </is>
      </c>
      <c r="M108" s="13" t="inlineStr">
        <is>
          <t>2024-05-24</t>
        </is>
      </c>
      <c r="N108" s="13" t="inlineStr">
        <is>
          <t>2024-05-17</t>
        </is>
      </c>
      <c r="O108" s="9" t="n">
        <v>675</v>
      </c>
      <c r="P108" s="17" t="n">
        <v>839.8666381835938</v>
      </c>
      <c r="Q108" s="17" t="n">
        <v>894.031005859375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Q1 2024-25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-5.2%</t>
        </is>
      </c>
      <c r="J109" s="13" t="inlineStr">
        <is>
          <t>-6.44%</t>
        </is>
      </c>
      <c r="K109" s="16">
        <f>X108</f>
        <v/>
      </c>
      <c r="L109" s="13" t="inlineStr">
        <is>
          <t>2024-04-12</t>
        </is>
      </c>
      <c r="M109" s="13" t="inlineStr">
        <is>
          <t>2024-04-26</t>
        </is>
      </c>
      <c r="N109" s="13" t="inlineStr">
        <is>
          <t>2024-04-22</t>
        </is>
      </c>
      <c r="O109" s="9" t="n">
        <v>2273</v>
      </c>
      <c r="P109" s="17" t="n">
        <v>458.2938232421875</v>
      </c>
      <c r="Q109" s="17" t="n">
        <v>434.4527893066406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Q1 2024-25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-0.34%</t>
        </is>
      </c>
      <c r="J110" s="13" t="inlineStr">
        <is>
          <t>0.26%</t>
        </is>
      </c>
      <c r="K110" s="16">
        <f>X109</f>
        <v/>
      </c>
      <c r="L110" s="13" t="inlineStr">
        <is>
          <t>2024-04-16</t>
        </is>
      </c>
      <c r="M110" s="13" t="inlineStr">
        <is>
          <t>2024-04-23</t>
        </is>
      </c>
      <c r="N110" s="13" t="inlineStr">
        <is>
          <t>2024-04-22</t>
        </is>
      </c>
      <c r="O110" s="9" t="n">
        <v>1575</v>
      </c>
      <c r="P110" s="17" t="n">
        <v>412.5155029296875</v>
      </c>
      <c r="Q110" s="17" t="n">
        <v>411.1227416992188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Q1 2024-25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10.62%</t>
        </is>
      </c>
      <c r="J111" s="13" t="inlineStr">
        <is>
          <t>4.53%</t>
        </is>
      </c>
      <c r="K111" s="16">
        <f>X110</f>
        <v/>
      </c>
      <c r="L111" s="13" t="inlineStr">
        <is>
          <t>2024-04-16</t>
        </is>
      </c>
      <c r="M111" s="13" t="inlineStr">
        <is>
          <t>2024-04-26</t>
        </is>
      </c>
      <c r="N111" s="13" t="inlineStr">
        <is>
          <t>2024-04-22</t>
        </is>
      </c>
      <c r="O111" s="9" t="n">
        <v>276</v>
      </c>
      <c r="P111" s="17" t="n">
        <v>2466.5</v>
      </c>
      <c r="Q111" s="17" t="n">
        <v>2728.5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Q1 2024-25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-3.54%</t>
        </is>
      </c>
      <c r="J112" s="13" t="inlineStr">
        <is>
          <t>-7.28%</t>
        </is>
      </c>
      <c r="K112" s="16">
        <f>X111</f>
        <v/>
      </c>
      <c r="L112" s="13" t="inlineStr">
        <is>
          <t>2024-04-08</t>
        </is>
      </c>
      <c r="M112" s="13" t="inlineStr">
        <is>
          <t>2024-04-26</t>
        </is>
      </c>
      <c r="N112" s="13" t="inlineStr">
        <is>
          <t>2024-04-22</t>
        </is>
      </c>
      <c r="O112" s="9" t="n">
        <v>208</v>
      </c>
      <c r="P112" s="17" t="n">
        <v>3888.880615234375</v>
      </c>
      <c r="Q112" s="17" t="n">
        <v>3756.01318359375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Q1 2024-25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-0.33%</t>
        </is>
      </c>
      <c r="J113" s="13" t="inlineStr">
        <is>
          <t>-2.83%</t>
        </is>
      </c>
      <c r="K113" s="16">
        <f>X112</f>
        <v/>
      </c>
      <c r="L113" s="13" t="inlineStr">
        <is>
          <t>2024-04-08</t>
        </is>
      </c>
      <c r="M113" s="13" t="inlineStr">
        <is>
          <t>2024-04-23</t>
        </is>
      </c>
      <c r="N113" s="13" t="inlineStr">
        <is>
          <t>2024-04-22</t>
        </is>
      </c>
      <c r="O113" s="9" t="n">
        <v>1063</v>
      </c>
      <c r="P113" s="17" t="n">
        <v>628.3292236328125</v>
      </c>
      <c r="Q113" s="17" t="n">
        <v>626.2340087890625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Q1 2024-25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-1.23%</t>
        </is>
      </c>
      <c r="J114" s="13" t="inlineStr">
        <is>
          <t>-1.33%</t>
        </is>
      </c>
      <c r="K114" s="16">
        <f>X113</f>
        <v/>
      </c>
      <c r="L114" s="13" t="inlineStr">
        <is>
          <t>2024-04-30</t>
        </is>
      </c>
      <c r="M114" s="13" t="inlineStr">
        <is>
          <t>2024-05-07</t>
        </is>
      </c>
      <c r="N114" s="13" t="inlineStr">
        <is>
          <t>2024-05-04</t>
        </is>
      </c>
      <c r="O114" s="9" t="n">
        <v>400</v>
      </c>
      <c r="P114" s="17" t="n">
        <v>328.0418395996094</v>
      </c>
      <c r="Q114" s="17" t="n">
        <v>324.0608215332031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Q1 2024-25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-6.85%</t>
        </is>
      </c>
      <c r="J115" s="13" t="inlineStr">
        <is>
          <t>-5.7%</t>
        </is>
      </c>
      <c r="K115" s="16">
        <f>X114</f>
        <v/>
      </c>
      <c r="L115" s="13" t="inlineStr">
        <is>
          <t>2024-04-12</t>
        </is>
      </c>
      <c r="M115" s="13" t="inlineStr">
        <is>
          <t>2024-04-23</t>
        </is>
      </c>
      <c r="N115" s="13" t="inlineStr">
        <is>
          <t>2024-04-22</t>
        </is>
      </c>
      <c r="O115" s="9" t="n">
        <v>1695</v>
      </c>
      <c r="P115" s="17" t="n">
        <v>1457.678466796875</v>
      </c>
      <c r="Q115" s="17" t="n">
        <v>1357.798095703125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Q1 2024-25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-0.73%</t>
        </is>
      </c>
      <c r="J116" s="13" t="inlineStr">
        <is>
          <t>-3.54%</t>
        </is>
      </c>
      <c r="K116" s="16">
        <f>X115</f>
        <v/>
      </c>
      <c r="L116" s="13" t="inlineStr">
        <is>
          <t>2024-04-15</t>
        </is>
      </c>
      <c r="M116" s="13" t="inlineStr">
        <is>
          <t>2024-04-23</t>
        </is>
      </c>
      <c r="N116" s="13" t="inlineStr">
        <is>
          <t>2024-04-22</t>
        </is>
      </c>
      <c r="O116" s="9" t="n">
        <v>561</v>
      </c>
      <c r="P116" s="17" t="n">
        <v>430.9682922363281</v>
      </c>
      <c r="Q116" s="17" t="n">
        <v>427.8338012695313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Q1 2024-25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2.95%</t>
        </is>
      </c>
      <c r="J117" s="13" t="inlineStr">
        <is>
          <t>3.53%</t>
        </is>
      </c>
      <c r="K117" s="16">
        <f>X116</f>
        <v/>
      </c>
      <c r="L117" s="13" t="inlineStr">
        <is>
          <t>2024-04-18</t>
        </is>
      </c>
      <c r="M117" s="13" t="inlineStr">
        <is>
          <t>2024-04-26</t>
        </is>
      </c>
      <c r="N117" s="13" t="inlineStr">
        <is>
          <t>2024-04-22</t>
        </is>
      </c>
      <c r="O117" s="9" t="n">
        <v>1848</v>
      </c>
      <c r="P117" s="17" t="n">
        <v>622.9564819335938</v>
      </c>
      <c r="Q117" s="17" t="n">
        <v>641.3328857421875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Q1 2024-25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-2.33%</t>
        </is>
      </c>
      <c r="J118" s="13" t="inlineStr">
        <is>
          <t>-3.28%</t>
        </is>
      </c>
      <c r="K118" s="16">
        <f>X117</f>
        <v/>
      </c>
      <c r="L118" s="13" t="inlineStr">
        <is>
          <t>2024-11-01</t>
        </is>
      </c>
      <c r="M118" s="13" t="inlineStr">
        <is>
          <t>2024-11-14</t>
        </is>
      </c>
      <c r="N118" s="13" t="inlineStr">
        <is>
          <t>2024-11-08</t>
        </is>
      </c>
      <c r="O118" s="9" t="n">
        <v>2364</v>
      </c>
      <c r="P118" s="17" t="n">
        <v>448.5725708007813</v>
      </c>
      <c r="Q118" s="17" t="n">
        <v>438.10986328125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Q1 2024-25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-3.42%</t>
        </is>
      </c>
      <c r="J119" s="13" t="inlineStr">
        <is>
          <t>-7.67%</t>
        </is>
      </c>
      <c r="K119" s="16">
        <f>X118</f>
        <v/>
      </c>
      <c r="L119" s="13" t="inlineStr">
        <is>
          <t>2024-04-15</t>
        </is>
      </c>
      <c r="M119" s="13" t="inlineStr">
        <is>
          <t>2024-04-23</t>
        </is>
      </c>
      <c r="N119" s="13" t="inlineStr">
        <is>
          <t>2024-04-22</t>
        </is>
      </c>
      <c r="O119" s="9" t="n">
        <v>776</v>
      </c>
      <c r="P119" s="17" t="n">
        <v>1228.934814453125</v>
      </c>
      <c r="Q119" s="17" t="n">
        <v>1188.340087890625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Q1 2024-25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0.56%</t>
        </is>
      </c>
      <c r="J120" s="13" t="inlineStr">
        <is>
          <t>0.0%</t>
        </is>
      </c>
      <c r="K120" s="16">
        <f>X119</f>
        <v/>
      </c>
      <c r="L120" s="13" t="inlineStr">
        <is>
          <t>2024-05-09</t>
        </is>
      </c>
      <c r="M120" s="13" t="inlineStr">
        <is>
          <t>2024-05-13</t>
        </is>
      </c>
      <c r="N120" s="13" t="inlineStr">
        <is>
          <t>2024-05-09</t>
        </is>
      </c>
      <c r="O120" s="9" t="n">
        <v>300</v>
      </c>
      <c r="P120" s="17" t="n">
        <v>3188.727783203125</v>
      </c>
      <c r="Q120" s="17" t="n">
        <v>3206.640625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Q1 2024-25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-4.29%</t>
        </is>
      </c>
      <c r="J121" s="13" t="inlineStr">
        <is>
          <t>-5.75%</t>
        </is>
      </c>
      <c r="K121" s="16">
        <f>X120</f>
        <v/>
      </c>
      <c r="L121" s="13" t="inlineStr">
        <is>
          <t>2024-04-19</t>
        </is>
      </c>
      <c r="M121" s="13" t="inlineStr">
        <is>
          <t>2024-04-23</t>
        </is>
      </c>
      <c r="N121" s="13" t="inlineStr">
        <is>
          <t>2024-04-22</t>
        </is>
      </c>
      <c r="O121" s="9" t="n">
        <v>3265</v>
      </c>
      <c r="P121" s="17" t="n">
        <v>161.2703399658203</v>
      </c>
      <c r="Q121" s="17" t="n">
        <v>154.6408081054688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Q1 2024-25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-2.74%</t>
        </is>
      </c>
      <c r="J122" s="13" t="inlineStr">
        <is>
          <t>-5.31%</t>
        </is>
      </c>
      <c r="K122" s="16">
        <f>X121</f>
        <v/>
      </c>
      <c r="L122" s="13" t="inlineStr">
        <is>
          <t>2024-04-19</t>
        </is>
      </c>
      <c r="M122" s="13" t="inlineStr">
        <is>
          <t>2024-04-26</t>
        </is>
      </c>
      <c r="N122" s="13" t="inlineStr">
        <is>
          <t>2024-04-22</t>
        </is>
      </c>
      <c r="O122" s="9" t="n">
        <v>225</v>
      </c>
      <c r="P122" s="17" t="n">
        <v>4607.34228515625</v>
      </c>
      <c r="Q122" s="17" t="n">
        <v>4484.65478515625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Q1 2024-25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-1.98%</t>
        </is>
      </c>
      <c r="J123" s="13" t="inlineStr">
        <is>
          <t>-5.77%</t>
        </is>
      </c>
      <c r="K123" s="16">
        <f>X122</f>
        <v/>
      </c>
      <c r="L123" s="13" t="inlineStr">
        <is>
          <t>2024-04-08</t>
        </is>
      </c>
      <c r="M123" s="13" t="inlineStr">
        <is>
          <t>2024-04-23</t>
        </is>
      </c>
      <c r="N123" s="13" t="inlineStr">
        <is>
          <t>2024-04-22</t>
        </is>
      </c>
      <c r="O123" s="9" t="n">
        <v>413</v>
      </c>
      <c r="P123" s="17" t="n">
        <v>1583.56103515625</v>
      </c>
      <c r="Q123" s="17" t="n">
        <v>1552.1748046875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Q1 2024-25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15.49%</t>
        </is>
      </c>
      <c r="J124" s="13" t="inlineStr">
        <is>
          <t>13.22%</t>
        </is>
      </c>
      <c r="K124" s="16">
        <f>X123</f>
        <v/>
      </c>
      <c r="L124" s="13" t="inlineStr">
        <is>
          <t>2024-05-13</t>
        </is>
      </c>
      <c r="M124" s="13" t="inlineStr">
        <is>
          <t>2024-05-21</t>
        </is>
      </c>
      <c r="N124" s="13" t="inlineStr">
        <is>
          <t>2024-05-16</t>
        </is>
      </c>
      <c r="O124" s="9" t="n">
        <v>350</v>
      </c>
      <c r="P124" s="17" t="n">
        <v>2128.736083984375</v>
      </c>
      <c r="Q124" s="17" t="n">
        <v>2458.535400390625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Q1 2024-25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9.73%</t>
        </is>
      </c>
      <c r="J125" s="13" t="inlineStr">
        <is>
          <t>5.35%</t>
        </is>
      </c>
      <c r="K125" s="16">
        <f>X124</f>
        <v/>
      </c>
      <c r="L125" s="13" t="inlineStr">
        <is>
          <t>2024-04-15</t>
        </is>
      </c>
      <c r="M125" s="13" t="inlineStr">
        <is>
          <t>2024-04-26</t>
        </is>
      </c>
      <c r="N125" s="13" t="inlineStr">
        <is>
          <t>2024-04-22</t>
        </is>
      </c>
      <c r="O125" s="9" t="n">
        <v>12616</v>
      </c>
      <c r="P125" s="17" t="n">
        <v>56.7556037902832</v>
      </c>
      <c r="Q125" s="17" t="n">
        <v>62.27927017211914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Q1 2024-25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0.69%</t>
        </is>
      </c>
      <c r="J126" s="13" t="inlineStr">
        <is>
          <t>0.12%</t>
        </is>
      </c>
      <c r="K126" s="16">
        <f>X125</f>
        <v/>
      </c>
      <c r="L126" s="13" t="inlineStr">
        <is>
          <t>2024-04-18</t>
        </is>
      </c>
      <c r="M126" s="13" t="inlineStr">
        <is>
          <t>2024-04-23</t>
        </is>
      </c>
      <c r="N126" s="13" t="inlineStr">
        <is>
          <t>2024-04-22</t>
        </is>
      </c>
      <c r="O126" s="9" t="n">
        <v>2714</v>
      </c>
      <c r="P126" s="17" t="n">
        <v>183.0958557128907</v>
      </c>
      <c r="Q126" s="17" t="n">
        <v>184.3556060791016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Q1 2024-25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-5.54%</t>
        </is>
      </c>
      <c r="J127" s="13" t="inlineStr">
        <is>
          <t>-8.64%</t>
        </is>
      </c>
      <c r="K127" s="16">
        <f>X126</f>
        <v/>
      </c>
      <c r="L127" s="13" t="inlineStr">
        <is>
          <t>2024-04-15</t>
        </is>
      </c>
      <c r="M127" s="13" t="inlineStr">
        <is>
          <t>2024-04-23</t>
        </is>
      </c>
      <c r="N127" s="13" t="inlineStr">
        <is>
          <t>2024-04-22</t>
        </is>
      </c>
      <c r="O127" s="9" t="n">
        <v>388</v>
      </c>
      <c r="P127" s="17" t="n">
        <v>2392.107177734375</v>
      </c>
      <c r="Q127" s="17" t="n">
        <v>2266.45654296875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Q1 2024-25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0.64%</t>
        </is>
      </c>
      <c r="J128" s="13" t="inlineStr">
        <is>
          <t>-0.75%</t>
        </is>
      </c>
      <c r="K128" s="16">
        <f>X127</f>
        <v/>
      </c>
      <c r="L128" s="13" t="inlineStr">
        <is>
          <t>2024-04-12</t>
        </is>
      </c>
      <c r="M128" s="13" t="inlineStr">
        <is>
          <t>2024-04-26</t>
        </is>
      </c>
      <c r="N128" s="13" t="inlineStr">
        <is>
          <t>2024-04-22</t>
        </is>
      </c>
      <c r="O128" s="9" t="n">
        <v>1129</v>
      </c>
      <c r="P128" s="17" t="n">
        <v>504.4731140136719</v>
      </c>
      <c r="Q128" s="17" t="n">
        <v>507.7084655761719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Q1 2024-25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0.98%</t>
        </is>
      </c>
      <c r="J129" s="13" t="inlineStr">
        <is>
          <t>0.27%</t>
        </is>
      </c>
      <c r="K129" s="16">
        <f>X128</f>
        <v/>
      </c>
      <c r="L129" s="13" t="inlineStr">
        <is>
          <t>2024-04-24</t>
        </is>
      </c>
      <c r="M129" s="13" t="inlineStr">
        <is>
          <t>2024-04-30</t>
        </is>
      </c>
      <c r="N129" s="13" t="inlineStr">
        <is>
          <t>2024-04-27</t>
        </is>
      </c>
      <c r="O129" s="9" t="n">
        <v>100</v>
      </c>
      <c r="P129" s="17" t="n">
        <v>12561.6083984375</v>
      </c>
      <c r="Q129" s="17" t="n">
        <v>12685.630859375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Q1 2024-25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-0.67%</t>
        </is>
      </c>
      <c r="J130" s="13" t="inlineStr">
        <is>
          <t>-3.29%</t>
        </is>
      </c>
      <c r="K130" s="16">
        <f>X129</f>
        <v/>
      </c>
      <c r="L130" s="13" t="inlineStr">
        <is>
          <t>2022-05-19</t>
        </is>
      </c>
      <c r="M130" s="13" t="inlineStr">
        <is>
          <t>2022-05-26</t>
        </is>
      </c>
      <c r="N130" s="13" t="inlineStr">
        <is>
          <t>2022-05-25</t>
        </is>
      </c>
      <c r="O130" s="9" t="n">
        <v>922</v>
      </c>
      <c r="P130" s="17" t="n">
        <v>365.7321166992188</v>
      </c>
      <c r="Q130" s="17" t="n">
        <v>363.2975463867188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Q1 2024-25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-12.2%</t>
        </is>
      </c>
      <c r="J131" s="13" t="inlineStr">
        <is>
          <t>-17.19%</t>
        </is>
      </c>
      <c r="K131" s="16">
        <f>X130</f>
        <v/>
      </c>
      <c r="L131" s="13" t="inlineStr">
        <is>
          <t>2024-04-15</t>
        </is>
      </c>
      <c r="M131" s="13" t="inlineStr">
        <is>
          <t>2024-04-26</t>
        </is>
      </c>
      <c r="N131" s="13" t="inlineStr">
        <is>
          <t>2024-04-22</t>
        </is>
      </c>
      <c r="O131" s="9" t="n">
        <v>431</v>
      </c>
      <c r="P131" s="17" t="n">
        <v>1185.123046875</v>
      </c>
      <c r="Q131" s="17" t="n">
        <v>1056.231079101562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Q1 2024-25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7.77%</t>
        </is>
      </c>
      <c r="J132" s="13" t="inlineStr">
        <is>
          <t>-2.59%</t>
        </is>
      </c>
      <c r="K132" s="16">
        <f>X131</f>
        <v/>
      </c>
      <c r="L132" s="13" t="inlineStr">
        <is>
          <t>2024-04-09</t>
        </is>
      </c>
      <c r="M132" s="13" t="inlineStr">
        <is>
          <t>2024-04-23</t>
        </is>
      </c>
      <c r="N132" s="13" t="inlineStr">
        <is>
          <t>2024-04-22</t>
        </is>
      </c>
      <c r="O132" s="9" t="n">
        <v>373</v>
      </c>
      <c r="P132" s="17" t="n">
        <v>742.601806640625</v>
      </c>
      <c r="Q132" s="17" t="n">
        <v>800.3051147460938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Q1 2024-25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-5.35%</t>
        </is>
      </c>
      <c r="J133" s="13" t="inlineStr">
        <is>
          <t>-3.87%</t>
        </is>
      </c>
      <c r="K133" s="16">
        <f>X132</f>
        <v/>
      </c>
      <c r="L133" s="13" t="inlineStr">
        <is>
          <t>2024-04-18</t>
        </is>
      </c>
      <c r="M133" s="13" t="inlineStr">
        <is>
          <t>2024-04-23</t>
        </is>
      </c>
      <c r="N133" s="13" t="inlineStr">
        <is>
          <t>2024-04-22</t>
        </is>
      </c>
      <c r="O133" s="9" t="n">
        <v>661</v>
      </c>
      <c r="P133" s="17" t="n">
        <v>1058.900024414062</v>
      </c>
      <c r="Q133" s="17" t="n">
        <v>1005.150024414062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Q1 2024-25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-8.53%</t>
        </is>
      </c>
      <c r="J134" s="13" t="inlineStr">
        <is>
          <t>-10.51%</t>
        </is>
      </c>
      <c r="K134" s="16">
        <f>X133</f>
        <v/>
      </c>
      <c r="L134" s="13" t="inlineStr">
        <is>
          <t>2024-04-15</t>
        </is>
      </c>
      <c r="M134" s="13" t="inlineStr">
        <is>
          <t>2024-04-26</t>
        </is>
      </c>
      <c r="N134" s="13" t="inlineStr">
        <is>
          <t>2024-04-22</t>
        </is>
      </c>
      <c r="O134" s="9" t="n">
        <v>6815</v>
      </c>
      <c r="P134" s="17" t="n">
        <v>86.06407928466797</v>
      </c>
      <c r="Q134" s="17" t="n">
        <v>79.3023681640625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Q1 2024-25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3.54%</t>
        </is>
      </c>
      <c r="J135" s="13" t="inlineStr">
        <is>
          <t>-1.58%</t>
        </is>
      </c>
      <c r="K135" s="16">
        <f>X134</f>
        <v/>
      </c>
      <c r="L135" s="13" t="inlineStr">
        <is>
          <t>2024-04-19</t>
        </is>
      </c>
      <c r="M135" s="13" t="inlineStr">
        <is>
          <t>2024-04-23</t>
        </is>
      </c>
      <c r="N135" s="13" t="inlineStr">
        <is>
          <t>2024-04-22</t>
        </is>
      </c>
      <c r="O135" s="9" t="n">
        <v>1194</v>
      </c>
      <c r="P135" s="17" t="n">
        <v>549.2464599609375</v>
      </c>
      <c r="Q135" s="17" t="n">
        <v>568.698974609375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Q1 2024-25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-6.48%</t>
        </is>
      </c>
      <c r="J136" s="13" t="inlineStr">
        <is>
          <t>-9.39%</t>
        </is>
      </c>
      <c r="K136" s="16">
        <f>X135</f>
        <v/>
      </c>
      <c r="L136" s="13" t="inlineStr">
        <is>
          <t>2024-04-09</t>
        </is>
      </c>
      <c r="M136" s="13" t="inlineStr">
        <is>
          <t>2024-04-26</t>
        </is>
      </c>
      <c r="N136" s="13" t="inlineStr">
        <is>
          <t>2024-04-22</t>
        </is>
      </c>
      <c r="O136" s="9" t="n">
        <v>426</v>
      </c>
      <c r="P136" s="17" t="n">
        <v>2296.6357421875</v>
      </c>
      <c r="Q136" s="17" t="n">
        <v>2147.8447265625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Q1 2024-25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3.32%</t>
        </is>
      </c>
      <c r="J137" s="13" t="inlineStr">
        <is>
          <t>2.46%</t>
        </is>
      </c>
      <c r="K137" s="16">
        <f>X136</f>
        <v/>
      </c>
      <c r="L137" s="13" t="inlineStr">
        <is>
          <t>2025-08-11</t>
        </is>
      </c>
      <c r="M137" s="13" t="inlineStr">
        <is>
          <t>2025-08-21</t>
        </is>
      </c>
      <c r="N137" s="13" t="inlineStr">
        <is>
          <t>2025-08-13</t>
        </is>
      </c>
      <c r="O137" s="9" t="n">
        <v>332</v>
      </c>
      <c r="P137" s="17" t="n">
        <v>2568.085693359375</v>
      </c>
      <c r="Q137" s="17" t="n">
        <v>2653.364501953125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Q1 2024-25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-0.27%</t>
        </is>
      </c>
      <c r="J138" s="13" t="inlineStr">
        <is>
          <t>-0.78%</t>
        </is>
      </c>
      <c r="K138" s="16">
        <f>X137</f>
        <v/>
      </c>
      <c r="L138" s="13" t="inlineStr">
        <is>
          <t>2024-04-19</t>
        </is>
      </c>
      <c r="M138" s="13" t="inlineStr">
        <is>
          <t>2024-04-23</t>
        </is>
      </c>
      <c r="N138" s="13" t="inlineStr">
        <is>
          <t>2024-04-22</t>
        </is>
      </c>
      <c r="O138" s="9" t="n">
        <v>871</v>
      </c>
      <c r="P138" s="17" t="n">
        <v>529.0359497070312</v>
      </c>
      <c r="Q138" s="17" t="n">
        <v>527.62548828125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Q1 2024-25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-0.22%</t>
        </is>
      </c>
      <c r="J139" s="13" t="inlineStr">
        <is>
          <t>-5.74%</t>
        </is>
      </c>
      <c r="K139" s="16">
        <f>X138</f>
        <v/>
      </c>
      <c r="L139" s="13" t="inlineStr">
        <is>
          <t>2024-04-16</t>
        </is>
      </c>
      <c r="M139" s="13" t="inlineStr">
        <is>
          <t>2024-04-23</t>
        </is>
      </c>
      <c r="N139" s="13" t="inlineStr">
        <is>
          <t>2024-04-22</t>
        </is>
      </c>
      <c r="O139" s="9" t="n">
        <v>2876</v>
      </c>
      <c r="P139" s="17" t="n">
        <v>167.1474609375</v>
      </c>
      <c r="Q139" s="17" t="n">
        <v>166.7828063964844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Q1 2024-25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0.0%</t>
        </is>
      </c>
      <c r="J140" s="13" t="inlineStr">
        <is>
          <t>-1.61%</t>
        </is>
      </c>
      <c r="K140" s="16">
        <f>X139</f>
        <v/>
      </c>
      <c r="L140" s="13" t="inlineStr">
        <is>
          <t>2024-04-15</t>
        </is>
      </c>
      <c r="M140" s="13" t="inlineStr">
        <is>
          <t>2024-04-23</t>
        </is>
      </c>
      <c r="N140" s="13" t="inlineStr">
        <is>
          <t>2024-04-22</t>
        </is>
      </c>
      <c r="O140" s="9" t="n">
        <v>803</v>
      </c>
      <c r="P140" s="17" t="n">
        <v>1150.590454101562</v>
      </c>
      <c r="Q140" s="17" t="n">
        <v>1150.639892578125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Q1 2024-25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-7.66%</t>
        </is>
      </c>
      <c r="J141" s="13" t="inlineStr">
        <is>
          <t>-9.75%</t>
        </is>
      </c>
      <c r="K141" s="16">
        <f>X140</f>
        <v/>
      </c>
      <c r="L141" s="13" t="inlineStr">
        <is>
          <t>2024-04-18</t>
        </is>
      </c>
      <c r="M141" s="13" t="inlineStr">
        <is>
          <t>2024-04-23</t>
        </is>
      </c>
      <c r="N141" s="13" t="inlineStr">
        <is>
          <t>2024-04-22</t>
        </is>
      </c>
      <c r="O141" s="9" t="n">
        <v>10687</v>
      </c>
      <c r="P141" s="17" t="n">
        <v>88.04190826416016</v>
      </c>
      <c r="Q141" s="17" t="n">
        <v>81.77896118164062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Q1 2024-25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0.79%</t>
        </is>
      </c>
      <c r="J142" s="13" t="inlineStr">
        <is>
          <t>0.92%</t>
        </is>
      </c>
      <c r="K142" s="16">
        <f>X141</f>
        <v/>
      </c>
      <c r="L142" s="13" t="inlineStr">
        <is>
          <t>2010-06-16</t>
        </is>
      </c>
      <c r="M142" s="13" t="inlineStr">
        <is>
          <t>2010-06-18</t>
        </is>
      </c>
      <c r="N142" s="13" t="inlineStr">
        <is>
          <t>2010-06-16</t>
        </is>
      </c>
      <c r="O142" s="9" t="n">
        <v>200</v>
      </c>
      <c r="P142" s="17" t="n">
        <v>121.3150482177734</v>
      </c>
      <c r="Q142" s="17" t="n">
        <v>122.2781982421875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Q1 2024-25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-4.05%</t>
        </is>
      </c>
      <c r="J143" s="13" t="inlineStr">
        <is>
          <t>-6.83%</t>
        </is>
      </c>
      <c r="K143" s="16">
        <f>X142</f>
        <v/>
      </c>
      <c r="L143" s="13" t="inlineStr">
        <is>
          <t>2024-04-15</t>
        </is>
      </c>
      <c r="M143" s="13" t="inlineStr">
        <is>
          <t>2024-04-26</t>
        </is>
      </c>
      <c r="N143" s="13" t="inlineStr">
        <is>
          <t>2024-04-22</t>
        </is>
      </c>
      <c r="O143" s="9" t="n">
        <v>12809</v>
      </c>
      <c r="P143" s="17" t="n">
        <v>88.20240783691406</v>
      </c>
      <c r="Q143" s="17" t="n">
        <v>84.77150726318359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Q1 2024-25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-2.59%</t>
        </is>
      </c>
      <c r="J144" s="13" t="inlineStr">
        <is>
          <t>-1.74%</t>
        </is>
      </c>
      <c r="K144" s="16">
        <f>X143</f>
        <v/>
      </c>
      <c r="L144" s="13" t="inlineStr">
        <is>
          <t>2024-04-15</t>
        </is>
      </c>
      <c r="M144" s="13" t="inlineStr">
        <is>
          <t>2024-04-23</t>
        </is>
      </c>
      <c r="N144" s="13" t="inlineStr">
        <is>
          <t>2024-04-22</t>
        </is>
      </c>
      <c r="O144" s="9" t="n">
        <v>11763</v>
      </c>
      <c r="P144" s="17" t="n">
        <v>73.77893829345703</v>
      </c>
      <c r="Q144" s="17" t="n">
        <v>71.86479187011719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Q1 2024-25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0.65%</t>
        </is>
      </c>
      <c r="J145" s="13" t="inlineStr">
        <is>
          <t>2.14%</t>
        </is>
      </c>
      <c r="K145" s="16">
        <f>X144</f>
        <v/>
      </c>
      <c r="L145" s="13" t="inlineStr">
        <is>
          <t>2024-05-15</t>
        </is>
      </c>
      <c r="M145" s="13" t="inlineStr">
        <is>
          <t>2024-05-31</t>
        </is>
      </c>
      <c r="N145" s="13" t="inlineStr">
        <is>
          <t>2024-05-25</t>
        </is>
      </c>
      <c r="O145" s="9" t="n">
        <v>1500</v>
      </c>
      <c r="P145" s="17" t="n">
        <v>342.2366943359375</v>
      </c>
      <c r="Q145" s="17" t="n">
        <v>344.4769592285156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Q1 2024-25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2.95%</t>
        </is>
      </c>
      <c r="J146" s="13" t="inlineStr">
        <is>
          <t>0.09%</t>
        </is>
      </c>
      <c r="K146" s="16">
        <f>X145</f>
        <v/>
      </c>
      <c r="L146" s="13" t="inlineStr">
        <is>
          <t>2024-04-09</t>
        </is>
      </c>
      <c r="M146" s="13" t="inlineStr">
        <is>
          <t>2024-04-23</t>
        </is>
      </c>
      <c r="N146" s="13" t="inlineStr">
        <is>
          <t>2024-04-22</t>
        </is>
      </c>
      <c r="O146" s="9" t="n">
        <v>2996</v>
      </c>
      <c r="P146" s="17" t="n">
        <v>172.75</v>
      </c>
      <c r="Q146" s="17" t="n">
        <v>178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Q1 2024-25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0.12%</t>
        </is>
      </c>
      <c r="J147" s="13" t="inlineStr">
        <is>
          <t>1.88%</t>
        </is>
      </c>
      <c r="K147" s="16">
        <f>X146</f>
        <v/>
      </c>
      <c r="L147" s="13" t="inlineStr">
        <is>
          <t>2024-04-12</t>
        </is>
      </c>
      <c r="M147" s="13" t="inlineStr">
        <is>
          <t>2024-04-26</t>
        </is>
      </c>
      <c r="N147" s="13" t="inlineStr">
        <is>
          <t>2024-04-22</t>
        </is>
      </c>
      <c r="O147" s="9" t="n">
        <v>551</v>
      </c>
      <c r="P147" s="17" t="n">
        <v>1481.199584960938</v>
      </c>
      <c r="Q147" s="17" t="n">
        <v>1482.976684570312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Q1 2024-25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12.52%</t>
        </is>
      </c>
      <c r="J148" s="13" t="inlineStr">
        <is>
          <t>17.07%</t>
        </is>
      </c>
      <c r="K148" s="16">
        <f>X147</f>
        <v/>
      </c>
      <c r="L148" s="13" t="inlineStr">
        <is>
          <t>2024-04-08</t>
        </is>
      </c>
      <c r="M148" s="13" t="inlineStr">
        <is>
          <t>2024-04-26</t>
        </is>
      </c>
      <c r="N148" s="13" t="inlineStr">
        <is>
          <t>2024-04-22</t>
        </is>
      </c>
      <c r="O148" s="9" t="n">
        <v>100</v>
      </c>
      <c r="P148" s="17" t="n">
        <v>6735.92919921875</v>
      </c>
      <c r="Q148" s="17" t="n">
        <v>7700.375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Q1 2024-25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-5.17%</t>
        </is>
      </c>
      <c r="J149" s="13" t="inlineStr">
        <is>
          <t>-13.26%</t>
        </is>
      </c>
      <c r="K149" s="16">
        <f>X148</f>
        <v/>
      </c>
      <c r="L149" s="13" t="inlineStr">
        <is>
          <t>2024-04-16</t>
        </is>
      </c>
      <c r="M149" s="13" t="inlineStr">
        <is>
          <t>2024-04-23</t>
        </is>
      </c>
      <c r="N149" s="13" t="inlineStr">
        <is>
          <t>2024-04-22</t>
        </is>
      </c>
      <c r="O149" s="9" t="n">
        <v>2188</v>
      </c>
      <c r="P149" s="17" t="n">
        <v>393.2893981933594</v>
      </c>
      <c r="Q149" s="17" t="n">
        <v>372.9605102539063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Q1 2024-25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-1.5%</t>
        </is>
      </c>
      <c r="J150" s="13" t="inlineStr">
        <is>
          <t>-2.25%</t>
        </is>
      </c>
      <c r="K150" s="16">
        <f>X149</f>
        <v/>
      </c>
      <c r="L150" s="13" t="inlineStr">
        <is>
          <t>2024-05-10</t>
        </is>
      </c>
      <c r="M150" s="13" t="inlineStr">
        <is>
          <t>2024-05-28</t>
        </is>
      </c>
      <c r="N150" s="13" t="inlineStr">
        <is>
          <t>2024-05-21</t>
        </is>
      </c>
      <c r="O150" s="9" t="n">
        <v>3750</v>
      </c>
      <c r="P150" s="17" t="n">
        <v>247.1096954345703</v>
      </c>
      <c r="Q150" s="17" t="n">
        <v>243.461166381836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Q1 2024-25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-2.6%</t>
        </is>
      </c>
      <c r="J151" s="13" t="inlineStr">
        <is>
          <t>-2.51%</t>
        </is>
      </c>
      <c r="K151" s="16">
        <f>X150</f>
        <v/>
      </c>
      <c r="L151" s="13" t="inlineStr">
        <is>
          <t>2024-04-08</t>
        </is>
      </c>
      <c r="M151" s="13" t="inlineStr">
        <is>
          <t>2024-04-23</t>
        </is>
      </c>
      <c r="N151" s="13" t="inlineStr">
        <is>
          <t>2024-04-22</t>
        </is>
      </c>
      <c r="O151" s="9" t="n">
        <v>100</v>
      </c>
      <c r="P151" s="17" t="n">
        <v>36000</v>
      </c>
      <c r="Q151" s="17" t="n">
        <v>35089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Q1 2024-25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-10.82%</t>
        </is>
      </c>
      <c r="J152" s="13" t="inlineStr">
        <is>
          <t>-12.26%</t>
        </is>
      </c>
      <c r="K152" s="16">
        <f>X151</f>
        <v/>
      </c>
      <c r="L152" s="13" t="inlineStr">
        <is>
          <t>2024-04-12</t>
        </is>
      </c>
      <c r="M152" s="13" t="inlineStr">
        <is>
          <t>2024-04-23</t>
        </is>
      </c>
      <c r="N152" s="13" t="inlineStr">
        <is>
          <t>2024-04-22</t>
        </is>
      </c>
      <c r="O152" s="9" t="n">
        <v>2806</v>
      </c>
      <c r="P152" s="17" t="n">
        <v>489.8452453613281</v>
      </c>
      <c r="Q152" s="17" t="n">
        <v>442.0346069335938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Q1 2024-25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3.3%</t>
        </is>
      </c>
      <c r="J153" s="13" t="inlineStr">
        <is>
          <t>4.89%</t>
        </is>
      </c>
      <c r="K153" s="16">
        <f>X152</f>
        <v/>
      </c>
      <c r="L153" s="13" t="inlineStr">
        <is>
          <t>2024-04-15</t>
        </is>
      </c>
      <c r="M153" s="13" t="inlineStr">
        <is>
          <t>2024-04-26</t>
        </is>
      </c>
      <c r="N153" s="13" t="inlineStr">
        <is>
          <t>2024-04-22</t>
        </is>
      </c>
      <c r="O153" s="9" t="n">
        <v>750</v>
      </c>
      <c r="P153" s="17" t="n">
        <v>376.8999938964844</v>
      </c>
      <c r="Q153" s="17" t="n">
        <v>389.75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Q1 2024-25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-14.14%</t>
        </is>
      </c>
      <c r="J154" s="13" t="inlineStr">
        <is>
          <t>-16.19%</t>
        </is>
      </c>
      <c r="K154" s="16">
        <f>X153</f>
        <v/>
      </c>
      <c r="L154" s="13" t="inlineStr">
        <is>
          <t>2024-04-09</t>
        </is>
      </c>
      <c r="M154" s="13" t="inlineStr">
        <is>
          <t>2024-04-26</t>
        </is>
      </c>
      <c r="N154" s="13" t="inlineStr">
        <is>
          <t>2024-04-22</t>
        </is>
      </c>
      <c r="O154" s="9" t="n">
        <v>181</v>
      </c>
      <c r="P154" s="17" t="n">
        <v>3897.040771484375</v>
      </c>
      <c r="Q154" s="17" t="n">
        <v>3346.095947265625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Q1 2024-25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-1.05%</t>
        </is>
      </c>
      <c r="J155" s="13" t="inlineStr">
        <is>
          <t>-0.57%</t>
        </is>
      </c>
      <c r="K155" s="16">
        <f>X154</f>
        <v/>
      </c>
      <c r="L155" s="13" t="inlineStr">
        <is>
          <t>2024-04-12</t>
        </is>
      </c>
      <c r="M155" s="13" t="inlineStr">
        <is>
          <t>2024-04-26</t>
        </is>
      </c>
      <c r="N155" s="13" t="inlineStr">
        <is>
          <t>2024-04-22</t>
        </is>
      </c>
      <c r="O155" s="9" t="n">
        <v>3585</v>
      </c>
      <c r="P155" s="17" t="n">
        <v>286.0258178710937</v>
      </c>
      <c r="Q155" s="17" t="n">
        <v>283.0603942871094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Q1 2024-25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1.02%</t>
        </is>
      </c>
      <c r="J156" s="13" t="inlineStr">
        <is>
          <t>2.33%</t>
        </is>
      </c>
      <c r="K156" s="16">
        <f>X155</f>
        <v/>
      </c>
      <c r="L156" s="13" t="inlineStr">
        <is>
          <t>2024-04-08</t>
        </is>
      </c>
      <c r="M156" s="13" t="inlineStr">
        <is>
          <t>2024-04-26</t>
        </is>
      </c>
      <c r="N156" s="13" t="inlineStr">
        <is>
          <t>2024-04-22</t>
        </is>
      </c>
      <c r="O156" s="9" t="n">
        <v>2346</v>
      </c>
      <c r="P156" s="17" t="n">
        <v>375.6521606445313</v>
      </c>
      <c r="Q156" s="17" t="n">
        <v>379.536865234375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Q1 2024-25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10.31%</t>
        </is>
      </c>
      <c r="J157" s="13" t="inlineStr">
        <is>
          <t>0.11%</t>
        </is>
      </c>
      <c r="K157" s="16">
        <f>X156</f>
        <v/>
      </c>
      <c r="L157" s="13" t="inlineStr">
        <is>
          <t>2024-04-12</t>
        </is>
      </c>
      <c r="M157" s="13" t="inlineStr">
        <is>
          <t>2024-04-23</t>
        </is>
      </c>
      <c r="N157" s="13" t="inlineStr">
        <is>
          <t>2024-04-22</t>
        </is>
      </c>
      <c r="O157" s="9" t="n">
        <v>1631</v>
      </c>
      <c r="P157" s="17" t="n">
        <v>183.6591339111328</v>
      </c>
      <c r="Q157" s="17" t="n">
        <v>202.5946197509766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Q1 2024-25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1.21%</t>
        </is>
      </c>
      <c r="J158" s="13" t="inlineStr">
        <is>
          <t>2.25%</t>
        </is>
      </c>
      <c r="K158" s="16">
        <f>X157</f>
        <v/>
      </c>
      <c r="L158" s="13" t="inlineStr">
        <is>
          <t>2024-04-16</t>
        </is>
      </c>
      <c r="M158" s="13" t="inlineStr">
        <is>
          <t>2024-04-26</t>
        </is>
      </c>
      <c r="N158" s="13" t="inlineStr">
        <is>
          <t>2024-04-22</t>
        </is>
      </c>
      <c r="O158" s="9" t="n">
        <v>529</v>
      </c>
      <c r="P158" s="17" t="n">
        <v>1540.86328125</v>
      </c>
      <c r="Q158" s="17" t="n">
        <v>1559.705810546875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Q1 2024-25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1.23%</t>
        </is>
      </c>
      <c r="J159" s="13" t="inlineStr">
        <is>
          <t>1.96%</t>
        </is>
      </c>
      <c r="K159" s="16">
        <f>X158</f>
        <v/>
      </c>
      <c r="L159" s="13" t="inlineStr">
        <is>
          <t>2024-04-16</t>
        </is>
      </c>
      <c r="M159" s="13" t="inlineStr">
        <is>
          <t>2024-04-23</t>
        </is>
      </c>
      <c r="N159" s="13" t="inlineStr">
        <is>
          <t>2024-04-22</t>
        </is>
      </c>
      <c r="O159" s="9" t="n">
        <v>613</v>
      </c>
      <c r="P159" s="17" t="n">
        <v>1412.366577148438</v>
      </c>
      <c r="Q159" s="17" t="n">
        <v>1429.68310546875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Q1 2024-25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-5.49%</t>
        </is>
      </c>
      <c r="J160" s="13" t="inlineStr">
        <is>
          <t>-5.36%</t>
        </is>
      </c>
      <c r="K160" s="16">
        <f>X159</f>
        <v/>
      </c>
      <c r="L160" s="13" t="inlineStr">
        <is>
          <t>2024-04-09</t>
        </is>
      </c>
      <c r="M160" s="13" t="inlineStr">
        <is>
          <t>2024-04-23</t>
        </is>
      </c>
      <c r="N160" s="13" t="inlineStr">
        <is>
          <t>2024-04-22</t>
        </is>
      </c>
      <c r="O160" s="9" t="n">
        <v>360</v>
      </c>
      <c r="P160" s="17" t="n">
        <v>3874.482421875</v>
      </c>
      <c r="Q160" s="17" t="n">
        <v>3661.947509765625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Q1 2024-25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0.04%</t>
        </is>
      </c>
      <c r="J161" s="13" t="inlineStr">
        <is>
          <t>-2.67%</t>
        </is>
      </c>
      <c r="K161" s="16">
        <f>X160</f>
        <v/>
      </c>
      <c r="L161" s="13" t="inlineStr">
        <is>
          <t>2024-04-08</t>
        </is>
      </c>
      <c r="M161" s="13" t="inlineStr">
        <is>
          <t>2024-04-23</t>
        </is>
      </c>
      <c r="N161" s="13" t="inlineStr">
        <is>
          <t>2024-04-22</t>
        </is>
      </c>
      <c r="O161" s="9" t="n">
        <v>8957</v>
      </c>
      <c r="P161" s="17" t="n">
        <v>123.9960327148438</v>
      </c>
      <c r="Q161" s="17" t="n">
        <v>124.0426940917969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Q1 2024-25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-2.87%</t>
        </is>
      </c>
      <c r="J162" s="13" t="inlineStr">
        <is>
          <t>-2.21%</t>
        </is>
      </c>
      <c r="K162" s="16">
        <f>X161</f>
        <v/>
      </c>
      <c r="L162" s="13" t="inlineStr">
        <is>
          <t>2024-04-12</t>
        </is>
      </c>
      <c r="M162" s="13" t="inlineStr">
        <is>
          <t>2024-04-26</t>
        </is>
      </c>
      <c r="N162" s="13" t="inlineStr">
        <is>
          <t>2024-04-22</t>
        </is>
      </c>
      <c r="O162" s="9" t="n">
        <v>967</v>
      </c>
      <c r="P162" s="17" t="n">
        <v>780.7713623046875</v>
      </c>
      <c r="Q162" s="17" t="n">
        <v>758.9823608398438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Q1 2024-25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-5.74%</t>
        </is>
      </c>
      <c r="J163" s="13" t="inlineStr">
        <is>
          <t>-9.27%</t>
        </is>
      </c>
      <c r="K163" s="16">
        <f>X162</f>
        <v/>
      </c>
      <c r="L163" s="13" t="inlineStr">
        <is>
          <t>2024-04-12</t>
        </is>
      </c>
      <c r="M163" s="13" t="inlineStr">
        <is>
          <t>2024-04-23</t>
        </is>
      </c>
      <c r="N163" s="13" t="inlineStr">
        <is>
          <t>2024-04-22</t>
        </is>
      </c>
      <c r="O163" s="9" t="n">
        <v>627</v>
      </c>
      <c r="P163" s="17" t="n">
        <v>1264.150024414062</v>
      </c>
      <c r="Q163" s="17" t="n">
        <v>1191.650024414062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Q1 2024-25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-4.36%</t>
        </is>
      </c>
      <c r="J164" s="13" t="inlineStr">
        <is>
          <t>-4.38%</t>
        </is>
      </c>
      <c r="K164" s="16">
        <f>X163</f>
        <v/>
      </c>
      <c r="L164" s="13" t="inlineStr">
        <is>
          <t>2024-04-16</t>
        </is>
      </c>
      <c r="M164" s="13" t="inlineStr">
        <is>
          <t>2024-04-23</t>
        </is>
      </c>
      <c r="N164" s="13" t="inlineStr">
        <is>
          <t>2024-04-22</t>
        </is>
      </c>
      <c r="O164" s="9" t="n">
        <v>112</v>
      </c>
      <c r="P164" s="17" t="n">
        <v>5415.91015625</v>
      </c>
      <c r="Q164" s="17" t="n">
        <v>5189.6083984375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Q1 2024-25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5.85%</t>
        </is>
      </c>
      <c r="J165" s="13" t="inlineStr">
        <is>
          <t>6.38%</t>
        </is>
      </c>
      <c r="K165" s="16">
        <f>X164</f>
        <v/>
      </c>
      <c r="L165" s="13" t="inlineStr">
        <is>
          <t>2024-05-22</t>
        </is>
      </c>
      <c r="M165" s="13" t="inlineStr">
        <is>
          <t>2024-05-30</t>
        </is>
      </c>
      <c r="N165" s="13" t="inlineStr">
        <is>
          <t>2024-05-23</t>
        </is>
      </c>
      <c r="O165" s="9" t="n">
        <v>1800</v>
      </c>
      <c r="P165" s="17" t="n">
        <v>287.0195617675781</v>
      </c>
      <c r="Q165" s="17" t="n">
        <v>304.8471984863281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Q1 2024-25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2024-04-22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Q1 2024-25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-0.24%</t>
        </is>
      </c>
      <c r="J167" s="13" t="inlineStr">
        <is>
          <t>-4.95%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2024-04-22</t>
        </is>
      </c>
      <c r="O167" s="9" t="n">
        <v>1017</v>
      </c>
      <c r="P167" s="17" t="n">
        <v>840.2365112304688</v>
      </c>
      <c r="Q167" s="17" t="n">
        <v>838.2405395507812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Q1 2024-25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-13.79%</t>
        </is>
      </c>
      <c r="J168" s="13" t="inlineStr">
        <is>
          <t>-17.57%</t>
        </is>
      </c>
      <c r="K168" s="16">
        <f>X167</f>
        <v/>
      </c>
      <c r="L168" s="13" t="inlineStr">
        <is>
          <t>2024-04-12</t>
        </is>
      </c>
      <c r="M168" s="13" t="inlineStr">
        <is>
          <t>2024-04-26</t>
        </is>
      </c>
      <c r="N168" s="13" t="inlineStr">
        <is>
          <t>2024-04-22</t>
        </is>
      </c>
      <c r="O168" s="9" t="n">
        <v>627</v>
      </c>
      <c r="P168" s="17" t="n">
        <v>1352.045776367188</v>
      </c>
      <c r="Q168" s="17" t="n">
        <v>1188.141845703125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Q1 2024-25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-3.2%</t>
        </is>
      </c>
      <c r="J169" s="13" t="inlineStr">
        <is>
          <t>-4.22%</t>
        </is>
      </c>
      <c r="K169" s="16">
        <f>X168</f>
        <v/>
      </c>
      <c r="L169" s="13" t="inlineStr">
        <is>
          <t>2024-04-08</t>
        </is>
      </c>
      <c r="M169" s="13" t="inlineStr">
        <is>
          <t>2024-04-23</t>
        </is>
      </c>
      <c r="N169" s="13" t="inlineStr">
        <is>
          <t>2024-04-22</t>
        </is>
      </c>
      <c r="O169" s="9" t="n">
        <v>229</v>
      </c>
      <c r="P169" s="17" t="n">
        <v>1711.313598632812</v>
      </c>
      <c r="Q169" s="17" t="n">
        <v>1658.201782226562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Q1 2024-25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-7.81%</t>
        </is>
      </c>
      <c r="J170" s="13" t="inlineStr">
        <is>
          <t>-13.45%</t>
        </is>
      </c>
      <c r="K170" s="16">
        <f>X169</f>
        <v/>
      </c>
      <c r="L170" s="13" t="inlineStr">
        <is>
          <t>2024-04-16</t>
        </is>
      </c>
      <c r="M170" s="13" t="inlineStr">
        <is>
          <t>2024-04-23</t>
        </is>
      </c>
      <c r="N170" s="13" t="inlineStr">
        <is>
          <t>2024-04-22</t>
        </is>
      </c>
      <c r="O170" s="9" t="n">
        <v>2645</v>
      </c>
      <c r="P170" s="17" t="n">
        <v>260.2406005859375</v>
      </c>
      <c r="Q170" s="17" t="n">
        <v>241.38330078125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Q1 2024-25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2.29%</t>
        </is>
      </c>
      <c r="J171" s="13" t="inlineStr">
        <is>
          <t>0.77%</t>
        </is>
      </c>
      <c r="K171" s="16">
        <f>X170</f>
        <v/>
      </c>
      <c r="L171" s="13" t="inlineStr">
        <is>
          <t>2026-01-21</t>
        </is>
      </c>
      <c r="M171" s="13" t="inlineStr">
        <is>
          <t>2026-01-27</t>
        </is>
      </c>
      <c r="N171" s="13" t="inlineStr">
        <is>
          <t>2026-01-23</t>
        </is>
      </c>
      <c r="O171" s="9" t="n">
        <v>2667</v>
      </c>
      <c r="P171" s="17" t="n">
        <v>348.1427307128906</v>
      </c>
      <c r="Q171" s="17" t="n">
        <v>356.1173400878906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Q1 2024-25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0.35%</t>
        </is>
      </c>
      <c r="J172" s="13" t="inlineStr">
        <is>
          <t>-0.88%</t>
        </is>
      </c>
      <c r="K172" s="16">
        <f>X171</f>
        <v/>
      </c>
      <c r="L172" s="13" t="inlineStr">
        <is>
          <t>2024-04-19</t>
        </is>
      </c>
      <c r="M172" s="13" t="inlineStr">
        <is>
          <t>2024-04-29</t>
        </is>
      </c>
      <c r="N172" s="13" t="inlineStr">
        <is>
          <t>2024-04-22</t>
        </is>
      </c>
      <c r="O172" s="9" t="n">
        <v>250</v>
      </c>
      <c r="P172" s="17" t="n">
        <v>1447.568481445312</v>
      </c>
      <c r="Q172" s="17" t="n">
        <v>1452.607666015625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Q1 2024-25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-4.98%</t>
        </is>
      </c>
      <c r="J173" s="13" t="inlineStr">
        <is>
          <t>-7.09%</t>
        </is>
      </c>
      <c r="K173" s="16">
        <f>X172</f>
        <v/>
      </c>
      <c r="L173" s="13" t="inlineStr">
        <is>
          <t>2024-04-08</t>
        </is>
      </c>
      <c r="M173" s="13" t="inlineStr">
        <is>
          <t>2024-04-23</t>
        </is>
      </c>
      <c r="N173" s="13" t="inlineStr">
        <is>
          <t>2024-04-22</t>
        </is>
      </c>
      <c r="O173" s="9" t="n">
        <v>4486</v>
      </c>
      <c r="P173" s="17" t="n">
        <v>273.9779052734375</v>
      </c>
      <c r="Q173" s="17" t="n">
        <v>260.9877624511719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Q1 2024-25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-2.52%</t>
        </is>
      </c>
      <c r="J174" s="13" t="inlineStr">
        <is>
          <t>-10.72%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2024-04-22</t>
        </is>
      </c>
      <c r="O174" s="9" t="n">
        <v>21748</v>
      </c>
      <c r="P174" s="17" t="n">
        <v>29.29071998596192</v>
      </c>
      <c r="Q174" s="17" t="n">
        <v>28.55146026611328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Q1 2024-25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-11.59%</t>
        </is>
      </c>
      <c r="J175" s="13" t="inlineStr">
        <is>
          <t>-15.71%</t>
        </is>
      </c>
      <c r="K175" s="16">
        <f>X174</f>
        <v/>
      </c>
      <c r="L175" s="13" t="inlineStr">
        <is>
          <t>2024-04-15</t>
        </is>
      </c>
      <c r="M175" s="13" t="inlineStr">
        <is>
          <t>2024-04-26</t>
        </is>
      </c>
      <c r="N175" s="13" t="inlineStr">
        <is>
          <t>2024-04-22</t>
        </is>
      </c>
      <c r="O175" s="9" t="n">
        <v>5915</v>
      </c>
      <c r="P175" s="17" t="n">
        <v>165.1797180175781</v>
      </c>
      <c r="Q175" s="17" t="n">
        <v>148.0296478271484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Q1 2024-25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-3.14%</t>
        </is>
      </c>
      <c r="J176" s="13" t="inlineStr">
        <is>
          <t>-7.35%</t>
        </is>
      </c>
      <c r="K176" s="16">
        <f>X175</f>
        <v/>
      </c>
      <c r="L176" s="13" t="inlineStr">
        <is>
          <t>2024-04-08</t>
        </is>
      </c>
      <c r="M176" s="13" t="inlineStr">
        <is>
          <t>2024-04-23</t>
        </is>
      </c>
      <c r="N176" s="13" t="inlineStr">
        <is>
          <t>2024-04-22</t>
        </is>
      </c>
      <c r="O176" s="9" t="n">
        <v>1550</v>
      </c>
      <c r="P176" s="17" t="n">
        <v>746.25</v>
      </c>
      <c r="Q176" s="17" t="n">
        <v>723.5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Q1 2024-25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2.91%</t>
        </is>
      </c>
      <c r="J177" s="13" t="inlineStr">
        <is>
          <t>1.92%</t>
        </is>
      </c>
      <c r="K177" s="16">
        <f>X176</f>
        <v/>
      </c>
      <c r="L177" s="13" t="inlineStr">
        <is>
          <t>2022-04-27</t>
        </is>
      </c>
      <c r="M177" s="13" t="inlineStr">
        <is>
          <t>2022-04-29</t>
        </is>
      </c>
      <c r="N177" s="13" t="inlineStr">
        <is>
          <t>2022-04-28</t>
        </is>
      </c>
      <c r="O177" s="9" t="n">
        <v>375</v>
      </c>
      <c r="P177" s="17" t="n">
        <v>1066.247192382812</v>
      </c>
      <c r="Q177" s="17" t="n">
        <v>1097.315551757812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Q1 2024-25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-1.34%</t>
        </is>
      </c>
      <c r="J178" s="13" t="inlineStr">
        <is>
          <t>-1.81%</t>
        </is>
      </c>
      <c r="K178" s="16">
        <f>X177</f>
        <v/>
      </c>
      <c r="L178" s="13" t="inlineStr">
        <is>
          <t>2024-05-09</t>
        </is>
      </c>
      <c r="M178" s="13" t="inlineStr">
        <is>
          <t>2024-05-13</t>
        </is>
      </c>
      <c r="N178" s="13" t="inlineStr">
        <is>
          <t>2024-05-09</t>
        </is>
      </c>
      <c r="O178" s="9" t="n">
        <v>1500</v>
      </c>
      <c r="P178" s="17" t="n">
        <v>776.4129638671875</v>
      </c>
      <c r="Q178" s="17" t="n">
        <v>765.9951782226562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Q1 2024-25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-6.08%</t>
        </is>
      </c>
      <c r="J179" s="13" t="inlineStr">
        <is>
          <t>-9.14%</t>
        </is>
      </c>
      <c r="K179" s="16">
        <f>X178</f>
        <v/>
      </c>
      <c r="L179" s="13" t="inlineStr">
        <is>
          <t>2024-04-08</t>
        </is>
      </c>
      <c r="M179" s="13" t="inlineStr">
        <is>
          <t>2024-04-23</t>
        </is>
      </c>
      <c r="N179" s="13" t="inlineStr">
        <is>
          <t>2024-04-22</t>
        </is>
      </c>
      <c r="O179" s="9" t="n">
        <v>100</v>
      </c>
      <c r="P179" s="17" t="n">
        <v>25667.666015625</v>
      </c>
      <c r="Q179" s="17" t="n">
        <v>24107.689453125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Q1 2024-25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3.88%</t>
        </is>
      </c>
      <c r="J180" s="13" t="inlineStr">
        <is>
          <t>1.91%</t>
        </is>
      </c>
      <c r="K180" s="16">
        <f>X179</f>
        <v/>
      </c>
      <c r="L180" s="13" t="inlineStr">
        <is>
          <t>2024-04-25</t>
        </is>
      </c>
      <c r="M180" s="13" t="inlineStr">
        <is>
          <t>2024-05-03</t>
        </is>
      </c>
      <c r="N180" s="13" t="inlineStr">
        <is>
          <t>2024-04-26</t>
        </is>
      </c>
      <c r="O180" s="9" t="n">
        <v>957</v>
      </c>
      <c r="P180" s="17" t="n">
        <v>482.1468811035156</v>
      </c>
      <c r="Q180" s="17" t="n">
        <v>500.8573608398438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Q1 2024-25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0.49%</t>
        </is>
      </c>
      <c r="J181" s="13" t="inlineStr">
        <is>
          <t>-1.63%</t>
        </is>
      </c>
      <c r="K181" s="16">
        <f>X180</f>
        <v/>
      </c>
      <c r="L181" s="13" t="inlineStr">
        <is>
          <t>2024-04-08</t>
        </is>
      </c>
      <c r="M181" s="13" t="inlineStr">
        <is>
          <t>2024-04-23</t>
        </is>
      </c>
      <c r="N181" s="13" t="inlineStr">
        <is>
          <t>2024-04-22</t>
        </is>
      </c>
      <c r="O181" s="9" t="n">
        <v>273</v>
      </c>
      <c r="P181" s="17" t="n">
        <v>3299.22314453125</v>
      </c>
      <c r="Q181" s="17" t="n">
        <v>3315.346923828125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Q1 2024-25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0.87%</t>
        </is>
      </c>
      <c r="J182" s="13" t="inlineStr">
        <is>
          <t>-1.52%</t>
        </is>
      </c>
      <c r="K182" s="16">
        <f>X181</f>
        <v/>
      </c>
      <c r="L182" s="13" t="inlineStr">
        <is>
          <t>2024-04-09</t>
        </is>
      </c>
      <c r="M182" s="13" t="inlineStr">
        <is>
          <t>2024-04-26</t>
        </is>
      </c>
      <c r="N182" s="13" t="inlineStr">
        <is>
          <t>2024-04-22</t>
        </is>
      </c>
      <c r="O182" s="9" t="n">
        <v>100</v>
      </c>
      <c r="P182" s="17" t="n">
        <v>8692.4580078125</v>
      </c>
      <c r="Q182" s="17" t="n">
        <v>8767.76171875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Q1 2024-25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4.75%</t>
        </is>
      </c>
      <c r="J183" s="13" t="inlineStr">
        <is>
          <t>-0.09%</t>
        </is>
      </c>
      <c r="K183" s="16">
        <f>X182</f>
        <v/>
      </c>
      <c r="L183" s="13" t="inlineStr">
        <is>
          <t>2024-04-12</t>
        </is>
      </c>
      <c r="M183" s="13" t="inlineStr">
        <is>
          <t>2024-04-26</t>
        </is>
      </c>
      <c r="N183" s="13" t="inlineStr">
        <is>
          <t>2024-04-22</t>
        </is>
      </c>
      <c r="O183" s="9" t="n">
        <v>1309</v>
      </c>
      <c r="P183" s="17" t="n">
        <v>638.0384521484375</v>
      </c>
      <c r="Q183" s="17" t="n">
        <v>669.8566284179688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Q1 2024-25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-4.87%</t>
        </is>
      </c>
      <c r="J184" s="13" t="inlineStr">
        <is>
          <t>-4.89%</t>
        </is>
      </c>
      <c r="K184" s="16">
        <f>X183</f>
        <v/>
      </c>
      <c r="L184" s="13" t="inlineStr">
        <is>
          <t>2024-04-16</t>
        </is>
      </c>
      <c r="M184" s="13" t="inlineStr">
        <is>
          <t>2024-04-26</t>
        </is>
      </c>
      <c r="N184" s="13" t="inlineStr">
        <is>
          <t>2024-04-22</t>
        </is>
      </c>
      <c r="O184" s="9" t="n">
        <v>383</v>
      </c>
      <c r="P184" s="17" t="n">
        <v>2620.57666015625</v>
      </c>
      <c r="Q184" s="17" t="n">
        <v>2498.965087890625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Q1 2024-25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-3.02%</t>
        </is>
      </c>
      <c r="J185" s="13" t="inlineStr">
        <is>
          <t>-3.58%</t>
        </is>
      </c>
      <c r="K185" s="16">
        <f>X184</f>
        <v/>
      </c>
      <c r="L185" s="13" t="inlineStr">
        <is>
          <t>2024-05-13</t>
        </is>
      </c>
      <c r="M185" s="13" t="inlineStr">
        <is>
          <t>2024-05-29</t>
        </is>
      </c>
      <c r="N185" s="13" t="inlineStr">
        <is>
          <t>2024-05-22</t>
        </is>
      </c>
      <c r="O185" s="9" t="n">
        <v>350</v>
      </c>
      <c r="P185" s="17" t="n">
        <v>1492.531982421875</v>
      </c>
      <c r="Q185" s="17" t="n">
        <v>1447.414794921875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Q1 2024-25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-0.05%</t>
        </is>
      </c>
      <c r="J186" s="13" t="inlineStr">
        <is>
          <t>-3.36%</t>
        </is>
      </c>
      <c r="K186" s="16">
        <f>X185</f>
        <v/>
      </c>
      <c r="L186" s="13" t="inlineStr">
        <is>
          <t>2024-04-09</t>
        </is>
      </c>
      <c r="M186" s="13" t="inlineStr">
        <is>
          <t>2024-04-23</t>
        </is>
      </c>
      <c r="N186" s="13" t="inlineStr">
        <is>
          <t>2024-04-22</t>
        </is>
      </c>
      <c r="O186" s="9" t="n">
        <v>289</v>
      </c>
      <c r="P186" s="17" t="n">
        <v>4097.80224609375</v>
      </c>
      <c r="Q186" s="17" t="n">
        <v>4095.796142578125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Q1 2024-25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1.83%</t>
        </is>
      </c>
      <c r="J187" s="13" t="inlineStr">
        <is>
          <t>-4.82%</t>
        </is>
      </c>
      <c r="K187" s="16">
        <f>X186</f>
        <v/>
      </c>
      <c r="L187" s="13" t="inlineStr">
        <is>
          <t>2024-04-09</t>
        </is>
      </c>
      <c r="M187" s="13" t="inlineStr">
        <is>
          <t>2024-04-26</t>
        </is>
      </c>
      <c r="N187" s="13" t="inlineStr">
        <is>
          <t>2024-04-22</t>
        </is>
      </c>
      <c r="O187" s="9" t="n">
        <v>21097</v>
      </c>
      <c r="P187" s="17" t="n">
        <v>40.90000152587891</v>
      </c>
      <c r="Q187" s="17" t="n">
        <v>41.65000152587891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Q1 2024-25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-5.55%</t>
        </is>
      </c>
      <c r="J188" s="13" t="inlineStr">
        <is>
          <t>-2.64%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2024-04-22</t>
        </is>
      </c>
      <c r="O188" s="9" t="n">
        <v>3379</v>
      </c>
      <c r="P188" s="17" t="n">
        <v>456</v>
      </c>
      <c r="Q188" s="17" t="n">
        <v>430.7000122070313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Q1 2024-25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6.81%</t>
        </is>
      </c>
      <c r="J189" s="13" t="inlineStr">
        <is>
          <t>6.96%</t>
        </is>
      </c>
      <c r="K189" s="16">
        <f>X188</f>
        <v/>
      </c>
      <c r="L189" s="13" t="inlineStr">
        <is>
          <t>2024-04-22</t>
        </is>
      </c>
      <c r="M189" s="13" t="inlineStr">
        <is>
          <t>2024-05-02</t>
        </is>
      </c>
      <c r="N189" s="13" t="inlineStr">
        <is>
          <t>2024-04-24</t>
        </is>
      </c>
      <c r="O189" s="9" t="n">
        <v>450</v>
      </c>
      <c r="P189" s="17" t="n">
        <v>1066.680297851562</v>
      </c>
      <c r="Q189" s="17" t="n">
        <v>1144.690673828125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Q1 2024-25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10.08%</t>
        </is>
      </c>
      <c r="J190" s="13" t="inlineStr">
        <is>
          <t>2.58%</t>
        </is>
      </c>
      <c r="K190" s="16">
        <f>X189</f>
        <v/>
      </c>
      <c r="L190" s="13" t="inlineStr">
        <is>
          <t>2024-04-09</t>
        </is>
      </c>
      <c r="M190" s="13" t="inlineStr">
        <is>
          <t>2024-04-26</t>
        </is>
      </c>
      <c r="N190" s="13" t="inlineStr">
        <is>
          <t>2024-04-22</t>
        </is>
      </c>
      <c r="O190" s="9" t="n">
        <v>273</v>
      </c>
      <c r="P190" s="17" t="n">
        <v>6833.87353515625</v>
      </c>
      <c r="Q190" s="17" t="n">
        <v>7599.97509765625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Q1 2024-25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1.0%</t>
        </is>
      </c>
      <c r="J191" s="13" t="inlineStr">
        <is>
          <t>-2.22%</t>
        </is>
      </c>
      <c r="K191" s="16">
        <f>X190</f>
        <v/>
      </c>
      <c r="L191" s="13" t="inlineStr">
        <is>
          <t>2024-04-18</t>
        </is>
      </c>
      <c r="M191" s="13" t="inlineStr">
        <is>
          <t>2024-04-23</t>
        </is>
      </c>
      <c r="N191" s="13" t="inlineStr">
        <is>
          <t>2024-04-22</t>
        </is>
      </c>
      <c r="O191" s="9" t="n">
        <v>1425</v>
      </c>
      <c r="P191" s="17" t="n">
        <v>978</v>
      </c>
      <c r="Q191" s="17" t="n">
        <v>987.75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Q1 2024-25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0.01%</t>
        </is>
      </c>
      <c r="J192" s="13" t="inlineStr">
        <is>
          <t>-2.31%</t>
        </is>
      </c>
      <c r="K192" s="16">
        <f>X191</f>
        <v/>
      </c>
      <c r="L192" s="13" t="inlineStr">
        <is>
          <t>2024-04-12</t>
        </is>
      </c>
      <c r="M192" s="13" t="inlineStr">
        <is>
          <t>2024-04-26</t>
        </is>
      </c>
      <c r="N192" s="13" t="inlineStr">
        <is>
          <t>2024-04-22</t>
        </is>
      </c>
      <c r="O192" s="9" t="n">
        <v>2659</v>
      </c>
      <c r="P192" s="17" t="n">
        <v>429.6788940429688</v>
      </c>
      <c r="Q192" s="17" t="n">
        <v>429.7280883789063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Q1 2024-25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-1.11%</t>
        </is>
      </c>
      <c r="J193" s="13" t="inlineStr">
        <is>
          <t>-0.45%</t>
        </is>
      </c>
      <c r="K193" s="16">
        <f>X192</f>
        <v/>
      </c>
      <c r="L193" s="13" t="inlineStr">
        <is>
          <t>2024-05-17</t>
        </is>
      </c>
      <c r="M193" s="13" t="inlineStr">
        <is>
          <t>2024-06-05</t>
        </is>
      </c>
      <c r="N193" s="13" t="inlineStr">
        <is>
          <t>2024-05-29</t>
        </is>
      </c>
      <c r="O193" s="9" t="n">
        <v>5500</v>
      </c>
      <c r="P193" s="17" t="n">
        <v>158.8035736083984</v>
      </c>
      <c r="Q193" s="17" t="n">
        <v>157.0672607421875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Q1 2024-25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0.96%</t>
        </is>
      </c>
      <c r="J194" s="13" t="inlineStr">
        <is>
          <t>1.24%</t>
        </is>
      </c>
      <c r="K194" s="16">
        <f>X193</f>
        <v/>
      </c>
      <c r="L194" s="13" t="inlineStr">
        <is>
          <t>2024-04-05</t>
        </is>
      </c>
      <c r="M194" s="13" t="inlineStr">
        <is>
          <t>2024-04-15</t>
        </is>
      </c>
      <c r="N194" s="13" t="inlineStr">
        <is>
          <t>2024-04-12</t>
        </is>
      </c>
      <c r="O194" s="9" t="n">
        <v>175</v>
      </c>
      <c r="P194" s="17" t="n">
        <v>3646.654541015625</v>
      </c>
      <c r="Q194" s="17" t="n">
        <v>3681.86083984375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Q1 2024-25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-5.46%</t>
        </is>
      </c>
      <c r="J195" s="13" t="inlineStr">
        <is>
          <t>-6.62%</t>
        </is>
      </c>
      <c r="K195" s="16">
        <f>X194</f>
        <v/>
      </c>
      <c r="L195" s="13" t="inlineStr">
        <is>
          <t>2024-04-24</t>
        </is>
      </c>
      <c r="M195" s="13" t="inlineStr">
        <is>
          <t>2024-05-03</t>
        </is>
      </c>
      <c r="N195" s="13" t="inlineStr">
        <is>
          <t>2024-04-25</t>
        </is>
      </c>
      <c r="O195" s="9" t="n">
        <v>600</v>
      </c>
      <c r="P195" s="17" t="n">
        <v>1152.607055664062</v>
      </c>
      <c r="Q195" s="17" t="n">
        <v>1092.923583984375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Q1 2024-25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-2.63%</t>
        </is>
      </c>
      <c r="J196" s="13" t="inlineStr">
        <is>
          <t>-8.45%</t>
        </is>
      </c>
      <c r="K196" s="16">
        <f>X195</f>
        <v/>
      </c>
      <c r="L196" s="13" t="inlineStr">
        <is>
          <t>2024-04-15</t>
        </is>
      </c>
      <c r="M196" s="13" t="inlineStr">
        <is>
          <t>2024-04-23</t>
        </is>
      </c>
      <c r="N196" s="13" t="inlineStr">
        <is>
          <t>2024-04-22</t>
        </is>
      </c>
      <c r="O196" s="9" t="n">
        <v>371</v>
      </c>
      <c r="P196" s="17" t="n">
        <v>3573.12646484375</v>
      </c>
      <c r="Q196" s="17" t="n">
        <v>3481.546142578125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Q1 2024-25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8.08%</t>
        </is>
      </c>
      <c r="J197" s="13" t="inlineStr">
        <is>
          <t>7.86%</t>
        </is>
      </c>
      <c r="K197" s="16">
        <f>X196</f>
        <v/>
      </c>
      <c r="L197" s="13" t="inlineStr">
        <is>
          <t>2024-05-02</t>
        </is>
      </c>
      <c r="M197" s="13" t="inlineStr">
        <is>
          <t>2024-05-06</t>
        </is>
      </c>
      <c r="N197" s="13" t="inlineStr">
        <is>
          <t>2024-05-03</t>
        </is>
      </c>
      <c r="O197" s="9" t="n">
        <v>175</v>
      </c>
      <c r="P197" s="17" t="n">
        <v>3248.9814453125</v>
      </c>
      <c r="Q197" s="17" t="n">
        <v>3534.54150390625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Q1 2024-25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-2.9%</t>
        </is>
      </c>
      <c r="J198" s="13" t="inlineStr">
        <is>
          <t>-3.74%</t>
        </is>
      </c>
      <c r="K198" s="16">
        <f>X197</f>
        <v/>
      </c>
      <c r="L198" s="13" t="inlineStr">
        <is>
          <t>2024-04-18</t>
        </is>
      </c>
      <c r="M198" s="13" t="inlineStr">
        <is>
          <t>2024-04-26</t>
        </is>
      </c>
      <c r="N198" s="13" t="inlineStr">
        <is>
          <t>2024-04-22</t>
        </is>
      </c>
      <c r="O198" s="9" t="n">
        <v>3054</v>
      </c>
      <c r="P198" s="17" t="n">
        <v>976.7796630859376</v>
      </c>
      <c r="Q198" s="17" t="n">
        <v>949.2694702148438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Q1 2024-25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5.97%</t>
        </is>
      </c>
      <c r="J199" s="13" t="inlineStr">
        <is>
          <t>4.19%</t>
        </is>
      </c>
      <c r="K199" s="16">
        <f>X198</f>
        <v/>
      </c>
      <c r="L199" s="13" t="inlineStr">
        <is>
          <t>2024-04-19</t>
        </is>
      </c>
      <c r="M199" s="13" t="inlineStr">
        <is>
          <t>2024-04-26</t>
        </is>
      </c>
      <c r="N199" s="13" t="inlineStr">
        <is>
          <t>2024-04-22</t>
        </is>
      </c>
      <c r="O199" s="9" t="n">
        <v>205</v>
      </c>
      <c r="P199" s="17" t="n">
        <v>2487.64697265625</v>
      </c>
      <c r="Q199" s="17" t="n">
        <v>2636.157470703125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Q1 2024-25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4.63%</t>
        </is>
      </c>
      <c r="J200" s="13" t="inlineStr">
        <is>
          <t>3.25%</t>
        </is>
      </c>
      <c r="K200" s="16">
        <f>X199</f>
        <v/>
      </c>
      <c r="L200" s="13" t="inlineStr">
        <is>
          <t>2024-04-26</t>
        </is>
      </c>
      <c r="M200" s="13" t="inlineStr">
        <is>
          <t>2024-05-07</t>
        </is>
      </c>
      <c r="N200" s="13" t="inlineStr">
        <is>
          <t>2024-04-30</t>
        </is>
      </c>
      <c r="O200" s="9" t="n">
        <v>345</v>
      </c>
      <c r="P200" s="17" t="n">
        <v>4294.05419921875</v>
      </c>
      <c r="Q200" s="17" t="n">
        <v>4492.65478515625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Q1 2024-25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2.35%</t>
        </is>
      </c>
      <c r="J201" s="13" t="inlineStr">
        <is>
          <t>2.07%</t>
        </is>
      </c>
      <c r="K201" s="16">
        <f>X200</f>
        <v/>
      </c>
      <c r="L201" s="13" t="inlineStr">
        <is>
          <t>2024-04-15</t>
        </is>
      </c>
      <c r="M201" s="13" t="inlineStr">
        <is>
          <t>2024-04-23</t>
        </is>
      </c>
      <c r="N201" s="13" t="inlineStr">
        <is>
          <t>2024-04-22</t>
        </is>
      </c>
      <c r="O201" s="9" t="n">
        <v>237</v>
      </c>
      <c r="P201" s="17" t="n">
        <v>1938.259643554688</v>
      </c>
      <c r="Q201" s="17" t="n">
        <v>1984.952026367188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Q1 2024-25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-1.56%</t>
        </is>
      </c>
      <c r="J202" s="13" t="inlineStr">
        <is>
          <t>-2.54%</t>
        </is>
      </c>
      <c r="K202" s="16">
        <f>X201</f>
        <v/>
      </c>
      <c r="L202" s="13" t="inlineStr">
        <is>
          <t>2024-04-23</t>
        </is>
      </c>
      <c r="M202" s="13" t="inlineStr">
        <is>
          <t>2024-05-07</t>
        </is>
      </c>
      <c r="N202" s="13" t="inlineStr">
        <is>
          <t>2024-04-29</t>
        </is>
      </c>
      <c r="O202" s="9" t="n">
        <v>100</v>
      </c>
      <c r="P202" s="17" t="n">
        <v>9564.69140625</v>
      </c>
      <c r="Q202" s="17" t="n">
        <v>9417.650390625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Q1 2024-25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5.86%</t>
        </is>
      </c>
      <c r="J203" s="13" t="inlineStr">
        <is>
          <t>4.31%</t>
        </is>
      </c>
      <c r="K203" s="16">
        <f>X202</f>
        <v/>
      </c>
      <c r="L203" s="13" t="inlineStr">
        <is>
          <t>2024-04-18</t>
        </is>
      </c>
      <c r="M203" s="13" t="inlineStr">
        <is>
          <t>2024-04-26</t>
        </is>
      </c>
      <c r="N203" s="13" t="inlineStr">
        <is>
          <t>2024-04-22</t>
        </is>
      </c>
      <c r="O203" s="9" t="n">
        <v>5868</v>
      </c>
      <c r="P203" s="17" t="n">
        <v>130.4764862060547</v>
      </c>
      <c r="Q203" s="17" t="n">
        <v>138.1192626953125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Q1 2024-25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-4.35%</t>
        </is>
      </c>
      <c r="J204" s="13" t="inlineStr">
        <is>
          <t>-4.15%</t>
        </is>
      </c>
      <c r="K204" s="16">
        <f>X203</f>
        <v/>
      </c>
      <c r="L204" s="13" t="inlineStr">
        <is>
          <t>2024-04-15</t>
        </is>
      </c>
      <c r="M204" s="13" t="inlineStr">
        <is>
          <t>2024-04-26</t>
        </is>
      </c>
      <c r="N204" s="13" t="inlineStr">
        <is>
          <t>2024-04-22</t>
        </is>
      </c>
      <c r="O204" s="9" t="n">
        <v>652</v>
      </c>
      <c r="P204" s="17" t="n">
        <v>1169.508544921875</v>
      </c>
      <c r="Q204" s="17" t="n">
        <v>1120.736328125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Q1 2024-25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-2.62%</t>
        </is>
      </c>
      <c r="J205" s="13" t="inlineStr">
        <is>
          <t>-7.61%</t>
        </is>
      </c>
      <c r="K205" s="16">
        <f>X204</f>
        <v/>
      </c>
      <c r="L205" s="13" t="inlineStr">
        <is>
          <t>2024-04-09</t>
        </is>
      </c>
      <c r="M205" s="13" t="inlineStr">
        <is>
          <t>2024-04-26</t>
        </is>
      </c>
      <c r="N205" s="13" t="inlineStr">
        <is>
          <t>2024-04-22</t>
        </is>
      </c>
      <c r="O205" s="9" t="n">
        <v>852</v>
      </c>
      <c r="P205" s="17" t="n">
        <v>739.859130859375</v>
      </c>
      <c r="Q205" s="17" t="n">
        <v>720.47412109375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Q1 2024-25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-3.78%</t>
        </is>
      </c>
      <c r="J206" s="13" t="inlineStr">
        <is>
          <t>-3.09%</t>
        </is>
      </c>
      <c r="K206" s="16">
        <f>X205</f>
        <v/>
      </c>
      <c r="L206" s="13" t="inlineStr">
        <is>
          <t>2024-04-15</t>
        </is>
      </c>
      <c r="M206" s="13" t="inlineStr">
        <is>
          <t>2024-04-26</t>
        </is>
      </c>
      <c r="N206" s="13" t="inlineStr">
        <is>
          <t>2024-04-22</t>
        </is>
      </c>
      <c r="O206" s="9" t="n">
        <v>1659</v>
      </c>
      <c r="P206" s="17" t="n">
        <v>498.1458740234375</v>
      </c>
      <c r="Q206" s="17" t="n">
        <v>480.0207824707031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Q1 2024-25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-1.92%</t>
        </is>
      </c>
      <c r="J207" s="13" t="inlineStr">
        <is>
          <t>-2.77%</t>
        </is>
      </c>
      <c r="K207" s="16">
        <f>X206</f>
        <v/>
      </c>
      <c r="L207" s="13" t="inlineStr">
        <is>
          <t>2024-04-16</t>
        </is>
      </c>
      <c r="M207" s="13" t="inlineStr">
        <is>
          <t>2024-04-23</t>
        </is>
      </c>
      <c r="N207" s="13" t="inlineStr">
        <is>
          <t>2024-04-22</t>
        </is>
      </c>
      <c r="O207" s="9" t="n">
        <v>2215</v>
      </c>
      <c r="P207" s="17" t="n">
        <v>569.01708984375</v>
      </c>
      <c r="Q207" s="17" t="n">
        <v>558.2806396484375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Q1 2024-25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2.07%</t>
        </is>
      </c>
      <c r="J208" s="13" t="inlineStr">
        <is>
          <t>0.8%</t>
        </is>
      </c>
      <c r="K208" s="16">
        <f>X207</f>
        <v/>
      </c>
      <c r="L208" s="13" t="inlineStr">
        <is>
          <t>2024-04-18</t>
        </is>
      </c>
      <c r="M208" s="13" t="inlineStr">
        <is>
          <t>2024-04-26</t>
        </is>
      </c>
      <c r="N208" s="13" t="inlineStr">
        <is>
          <t>2024-04-22</t>
        </is>
      </c>
      <c r="O208" s="9" t="n">
        <v>3738</v>
      </c>
      <c r="P208" s="17" t="n">
        <v>329.9044799804688</v>
      </c>
      <c r="Q208" s="17" t="n">
        <v>336.7403869628906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Q1 2024-25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-6.08%</t>
        </is>
      </c>
      <c r="J209" s="13" t="inlineStr">
        <is>
          <t>-18.19%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2024-04-22</t>
        </is>
      </c>
      <c r="O209" s="9" t="n">
        <v>9268</v>
      </c>
      <c r="P209" s="17" t="n">
        <v>111.9300003051758</v>
      </c>
      <c r="Q209" s="17" t="n">
        <v>105.129997253418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Q1 2024-25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-12.15%</t>
        </is>
      </c>
      <c r="J210" s="13" t="inlineStr">
        <is>
          <t>-13.77%</t>
        </is>
      </c>
      <c r="K210" s="16">
        <f>X209</f>
        <v/>
      </c>
      <c r="L210" s="13" t="inlineStr">
        <is>
          <t>2024-04-16</t>
        </is>
      </c>
      <c r="M210" s="13" t="inlineStr">
        <is>
          <t>2024-04-26</t>
        </is>
      </c>
      <c r="N210" s="13" t="inlineStr">
        <is>
          <t>2024-04-22</t>
        </is>
      </c>
      <c r="O210" s="9" t="n">
        <v>750</v>
      </c>
      <c r="P210" s="17" t="n">
        <v>1436.900146484375</v>
      </c>
      <c r="Q210" s="17" t="n">
        <v>1281.1845703125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Q1 2024-25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-23.57%</t>
        </is>
      </c>
      <c r="J211" s="13" t="inlineStr">
        <is>
          <t>-44.18%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2024-04-22</t>
        </is>
      </c>
      <c r="O211" s="9" t="n">
        <v>380</v>
      </c>
      <c r="P211" s="17" t="n">
        <v>2888.479736328125</v>
      </c>
      <c r="Q211" s="17" t="n">
        <v>2337.588623046875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Q1 2024-25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-3.42%</t>
        </is>
      </c>
      <c r="J212" s="13" t="inlineStr">
        <is>
          <t>-4.27%</t>
        </is>
      </c>
      <c r="K212" s="16">
        <f>X211</f>
        <v/>
      </c>
      <c r="L212" s="13" t="inlineStr">
        <is>
          <t>2024-04-10</t>
        </is>
      </c>
      <c r="M212" s="13" t="inlineStr">
        <is>
          <t>2024-04-25</t>
        </is>
      </c>
      <c r="N212" s="13" t="inlineStr">
        <is>
          <t>2024-04-19</t>
        </is>
      </c>
      <c r="O212" s="9" t="n">
        <v>1500</v>
      </c>
      <c r="P212" s="17" t="n">
        <v>223.7106628417969</v>
      </c>
      <c r="Q212" s="17" t="n">
        <v>216.0708465576172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Q1 2024-25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-5.66%</t>
        </is>
      </c>
      <c r="J213" s="13" t="inlineStr">
        <is>
          <t>-6.18%</t>
        </is>
      </c>
      <c r="K213" s="16">
        <f>X212</f>
        <v/>
      </c>
      <c r="L213" s="13" t="inlineStr">
        <is>
          <t>2024-04-08</t>
        </is>
      </c>
      <c r="M213" s="13" t="inlineStr">
        <is>
          <t>2024-04-26</t>
        </is>
      </c>
      <c r="N213" s="13" t="inlineStr">
        <is>
          <t>2024-04-22</t>
        </is>
      </c>
      <c r="O213" s="9" t="n">
        <v>44365</v>
      </c>
      <c r="P213" s="17" t="n">
        <v>26.14999961853028</v>
      </c>
      <c r="Q213" s="17" t="n">
        <v>24.75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Q1 2024-25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-1.31%</t>
        </is>
      </c>
      <c r="J214" s="13" t="inlineStr">
        <is>
          <t>1.29%</t>
        </is>
      </c>
      <c r="K214" s="16">
        <f>X213</f>
        <v/>
      </c>
      <c r="L214" s="13" t="inlineStr">
        <is>
          <t>2024-04-15</t>
        </is>
      </c>
      <c r="M214" s="13" t="inlineStr">
        <is>
          <t>2024-04-26</t>
        </is>
      </c>
      <c r="N214" s="13" t="inlineStr">
        <is>
          <t>2024-04-22</t>
        </is>
      </c>
      <c r="O214" s="9" t="n">
        <v>896</v>
      </c>
      <c r="P214" s="17" t="n">
        <v>933.5009155273438</v>
      </c>
      <c r="Q214" s="17" t="n">
        <v>921.4306030273438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2023-24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Q4 2023-24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-2.89%</t>
        </is>
      </c>
      <c r="J4" s="13" t="inlineStr">
        <is>
          <t>-4.96%</t>
        </is>
      </c>
      <c r="K4" s="16" t="n">
        <v>42511150.11</v>
      </c>
      <c r="L4" s="13" t="inlineStr">
        <is>
          <t>2025-12-29</t>
        </is>
      </c>
      <c r="M4" s="13" t="inlineStr">
        <is>
          <t>2026-01-13</t>
        </is>
      </c>
      <c r="N4" s="13" t="inlineStr">
        <is>
          <t>2026-01-06</t>
        </is>
      </c>
      <c r="O4" s="9" t="n">
        <v>874</v>
      </c>
      <c r="P4" s="17" t="n">
        <v>1163.843872070312</v>
      </c>
      <c r="Q4" s="17" t="n">
        <v>1130.239013671875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Q4 2023-24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5.28%</t>
        </is>
      </c>
      <c r="J5" s="13" t="inlineStr">
        <is>
          <t>4.67%</t>
        </is>
      </c>
      <c r="K5" s="16">
        <f>X4</f>
        <v/>
      </c>
      <c r="L5" s="13" t="inlineStr">
        <is>
          <t>2026-02-11</t>
        </is>
      </c>
      <c r="M5" s="13" t="inlineStr">
        <is>
          <t>2026-02-26</t>
        </is>
      </c>
      <c r="N5" s="13" t="inlineStr">
        <is>
          <t>2026-02-19</t>
        </is>
      </c>
      <c r="O5" s="9" t="n">
        <v>137</v>
      </c>
      <c r="P5" s="17" t="n">
        <v>5801.77099609375</v>
      </c>
      <c r="Q5" s="17" t="n">
        <v>6108.0185546875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Q4 2023-24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9.42%</t>
        </is>
      </c>
      <c r="J6" s="13" t="inlineStr">
        <is>
          <t>8.1%</t>
        </is>
      </c>
      <c r="K6" s="16">
        <f>X5</f>
        <v/>
      </c>
      <c r="L6" s="13" t="inlineStr">
        <is>
          <t>2026-03-27</t>
        </is>
      </c>
      <c r="M6" s="13" t="inlineStr">
        <is>
          <t>2026-04-09</t>
        </is>
      </c>
      <c r="N6" s="13" t="inlineStr">
        <is>
          <t>2026-04-02</t>
        </is>
      </c>
      <c r="O6" s="9" t="n">
        <v>2537</v>
      </c>
      <c r="P6" s="17" t="n">
        <v>305.75</v>
      </c>
      <c r="Q6" s="17" t="n">
        <v>334.5499877929688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Q4 2023-24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0.14%</t>
        </is>
      </c>
      <c r="J7" s="13" t="inlineStr">
        <is>
          <t>-0.58%</t>
        </is>
      </c>
      <c r="K7" s="16">
        <f>X6</f>
        <v/>
      </c>
      <c r="L7" s="13" t="inlineStr">
        <is>
          <t>2026-02-25</t>
        </is>
      </c>
      <c r="M7" s="13" t="inlineStr">
        <is>
          <t>2026-02-27</t>
        </is>
      </c>
      <c r="N7" s="13" t="inlineStr">
        <is>
          <t>2026-02-25</t>
        </is>
      </c>
      <c r="O7" s="9" t="n">
        <v>602</v>
      </c>
      <c r="P7" s="17" t="n">
        <v>1011.549987792969</v>
      </c>
      <c r="Q7" s="17" t="n">
        <v>1013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Q4 2023-24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0.63%</t>
        </is>
      </c>
      <c r="J8" s="13" t="inlineStr">
        <is>
          <t>0.01%</t>
        </is>
      </c>
      <c r="K8" s="16">
        <f>X7</f>
        <v/>
      </c>
      <c r="L8" s="13" t="inlineStr">
        <is>
          <t>2024-02-01</t>
        </is>
      </c>
      <c r="M8" s="13" t="inlineStr">
        <is>
          <t>2024-02-05</t>
        </is>
      </c>
      <c r="N8" s="13" t="inlineStr">
        <is>
          <t>2024-02-02</t>
        </is>
      </c>
      <c r="O8" s="9" t="n">
        <v>300</v>
      </c>
      <c r="P8" s="17" t="n">
        <v>3149.29736328125</v>
      </c>
      <c r="Q8" s="17" t="n">
        <v>3169.220947265625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Q4 2023-24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2.32%</t>
        </is>
      </c>
      <c r="J9" s="13" t="inlineStr">
        <is>
          <t>0.89%</t>
        </is>
      </c>
      <c r="K9" s="16">
        <f>X8</f>
        <v/>
      </c>
      <c r="L9" s="13" t="inlineStr">
        <is>
          <t>2025-12-30</t>
        </is>
      </c>
      <c r="M9" s="13" t="inlineStr">
        <is>
          <t>2026-01-05</t>
        </is>
      </c>
      <c r="N9" s="13" t="inlineStr">
        <is>
          <t>2026-01-02</t>
        </is>
      </c>
      <c r="O9" s="9" t="n">
        <v>500</v>
      </c>
      <c r="P9" s="17" t="n">
        <v>1007.099975585938</v>
      </c>
      <c r="Q9" s="17" t="n">
        <v>1030.5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Q4 2023-24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9.51%</t>
        </is>
      </c>
      <c r="J10" s="13" t="inlineStr">
        <is>
          <t>8.85%</t>
        </is>
      </c>
      <c r="K10" s="16">
        <f>X9</f>
        <v/>
      </c>
      <c r="L10" s="13" t="inlineStr">
        <is>
          <t>2024-01-23</t>
        </is>
      </c>
      <c r="M10" s="13" t="inlineStr">
        <is>
          <t>2024-02-08</t>
        </is>
      </c>
      <c r="N10" s="13" t="inlineStr">
        <is>
          <t>2024-02-01</t>
        </is>
      </c>
      <c r="O10" s="9" t="n">
        <v>625</v>
      </c>
      <c r="P10" s="17" t="n">
        <v>1122.031372070312</v>
      </c>
      <c r="Q10" s="17" t="n">
        <v>1228.698852539062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Q4 2023-24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-6.07%</t>
        </is>
      </c>
      <c r="J11" s="13" t="inlineStr">
        <is>
          <t>-6.23%</t>
        </is>
      </c>
      <c r="K11" s="16">
        <f>X10</f>
        <v/>
      </c>
      <c r="L11" s="13" t="inlineStr">
        <is>
          <t>2026-03-27</t>
        </is>
      </c>
      <c r="M11" s="13" t="inlineStr">
        <is>
          <t>2026-04-06</t>
        </is>
      </c>
      <c r="N11" s="13" t="inlineStr">
        <is>
          <t>2026-04-01</t>
        </is>
      </c>
      <c r="O11" s="9" t="n">
        <v>4785</v>
      </c>
      <c r="P11" s="17" t="n">
        <v>163.2599945068359</v>
      </c>
      <c r="Q11" s="17" t="n">
        <v>153.9199981689453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Q4 2023-24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-6.95%</t>
        </is>
      </c>
      <c r="J12" s="13" t="inlineStr">
        <is>
          <t>-7.26%</t>
        </is>
      </c>
      <c r="K12" s="16">
        <f>X11</f>
        <v/>
      </c>
      <c r="L12" s="13" t="inlineStr">
        <is>
          <t>2026-02-11</t>
        </is>
      </c>
      <c r="M12" s="13" t="inlineStr">
        <is>
          <t>2026-02-16</t>
        </is>
      </c>
      <c r="N12" s="13" t="inlineStr">
        <is>
          <t>2026-02-13</t>
        </is>
      </c>
      <c r="O12" s="9" t="n">
        <v>171</v>
      </c>
      <c r="P12" s="17" t="n">
        <v>5842.8974609375</v>
      </c>
      <c r="Q12" s="17" t="n">
        <v>5436.67236328125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Q4 2023-24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2.79%</t>
        </is>
      </c>
      <c r="J13" s="13" t="inlineStr">
        <is>
          <t>3.83%</t>
        </is>
      </c>
      <c r="K13" s="16">
        <f>X12</f>
        <v/>
      </c>
      <c r="L13" s="13" t="inlineStr">
        <is>
          <t>2026-06-24</t>
        </is>
      </c>
      <c r="M13" s="13" t="inlineStr">
        <is>
          <t>2026-07-07</t>
        </is>
      </c>
      <c r="N13" s="13" t="inlineStr">
        <is>
          <t>2026-06-30</t>
        </is>
      </c>
      <c r="O13" s="9" t="n">
        <v>135</v>
      </c>
      <c r="P13" s="17" t="n">
        <v>7625</v>
      </c>
      <c r="Q13" s="17" t="n">
        <v>7843.5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Q4 2023-24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3.32%</t>
        </is>
      </c>
      <c r="J14" s="13" t="inlineStr">
        <is>
          <t>3.07%</t>
        </is>
      </c>
      <c r="K14" s="16">
        <f>X13</f>
        <v/>
      </c>
      <c r="L14" s="13" t="inlineStr">
        <is>
          <t>2026-04-24</t>
        </is>
      </c>
      <c r="M14" s="13" t="inlineStr">
        <is>
          <t>2026-05-11</t>
        </is>
      </c>
      <c r="N14" s="13" t="inlineStr">
        <is>
          <t>2026-05-04</t>
        </is>
      </c>
      <c r="O14" s="9" t="n">
        <v>2303</v>
      </c>
      <c r="P14" s="17" t="n">
        <v>434.051513671875</v>
      </c>
      <c r="Q14" s="17" t="n">
        <v>448.9776306152344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Q4 2023-24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-3.22%</t>
        </is>
      </c>
      <c r="J15" s="13" t="inlineStr">
        <is>
          <t>-8.13%</t>
        </is>
      </c>
      <c r="K15" s="16">
        <f>X14</f>
        <v/>
      </c>
      <c r="L15" s="13" t="inlineStr">
        <is>
          <t>2026-02-16</t>
        </is>
      </c>
      <c r="M15" s="13" t="inlineStr">
        <is>
          <t>2026-02-25</t>
        </is>
      </c>
      <c r="N15" s="13" t="inlineStr">
        <is>
          <t>2026-02-18</t>
        </is>
      </c>
      <c r="O15" s="9" t="n">
        <v>3428</v>
      </c>
      <c r="P15" s="17" t="n">
        <v>254.6294860839844</v>
      </c>
      <c r="Q15" s="17" t="n">
        <v>246.4248962402344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Q4 2023-24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1.52%</t>
        </is>
      </c>
      <c r="J16" s="13" t="inlineStr">
        <is>
          <t>0.52%</t>
        </is>
      </c>
      <c r="K16" s="16">
        <f>X15</f>
        <v/>
      </c>
      <c r="L16" s="13" t="inlineStr">
        <is>
          <t>2025-08-19</t>
        </is>
      </c>
      <c r="M16" s="13" t="inlineStr">
        <is>
          <t>2025-08-25</t>
        </is>
      </c>
      <c r="N16" s="13" t="inlineStr">
        <is>
          <t>2025-08-22</t>
        </is>
      </c>
      <c r="O16" s="9" t="n">
        <v>528</v>
      </c>
      <c r="P16" s="17" t="n">
        <v>1620.6435546875</v>
      </c>
      <c r="Q16" s="17" t="n">
        <v>1645.199951171875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Q4 2023-24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6.36%</t>
        </is>
      </c>
      <c r="J17" s="13" t="inlineStr">
        <is>
          <t>3.73%</t>
        </is>
      </c>
      <c r="K17" s="16">
        <f>X16</f>
        <v/>
      </c>
      <c r="L17" s="13" t="inlineStr">
        <is>
          <t>2024-02-08</t>
        </is>
      </c>
      <c r="M17" s="13" t="inlineStr">
        <is>
          <t>2024-02-15</t>
        </is>
      </c>
      <c r="N17" s="13" t="inlineStr">
        <is>
          <t>2024-02-09</t>
        </is>
      </c>
      <c r="O17" s="9" t="n">
        <v>125</v>
      </c>
      <c r="P17" s="17" t="n">
        <v>6190.89697265625</v>
      </c>
      <c r="Q17" s="17" t="n">
        <v>6584.9443359375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Q4 2023-24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-1.9%</t>
        </is>
      </c>
      <c r="J18" s="13" t="inlineStr">
        <is>
          <t>-6.38%</t>
        </is>
      </c>
      <c r="K18" s="16">
        <f>X17</f>
        <v/>
      </c>
      <c r="L18" s="13" t="inlineStr">
        <is>
          <t>2024-01-18</t>
        </is>
      </c>
      <c r="M18" s="13" t="inlineStr">
        <is>
          <t>2024-01-23</t>
        </is>
      </c>
      <c r="N18" s="13" t="inlineStr">
        <is>
          <t>2024-01-20</t>
        </is>
      </c>
      <c r="O18" s="9" t="n">
        <v>5000</v>
      </c>
      <c r="P18" s="17" t="n">
        <v>80.20204162597656</v>
      </c>
      <c r="Q18" s="17" t="n">
        <v>78.67702484130859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Q4 2023-24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3.72%</t>
        </is>
      </c>
      <c r="J19" s="13" t="inlineStr">
        <is>
          <t>3.88%</t>
        </is>
      </c>
      <c r="K19" s="16">
        <f>X18</f>
        <v/>
      </c>
      <c r="L19" s="13" t="inlineStr">
        <is>
          <t>2024-01-11</t>
        </is>
      </c>
      <c r="M19" s="13" t="inlineStr">
        <is>
          <t>2024-01-19</t>
        </is>
      </c>
      <c r="N19" s="13" t="inlineStr">
        <is>
          <t>2024-01-17</t>
        </is>
      </c>
      <c r="O19" s="9" t="n">
        <v>200</v>
      </c>
      <c r="P19" s="17" t="n">
        <v>3070.06298828125</v>
      </c>
      <c r="Q19" s="17" t="n">
        <v>3188.7109375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Q4 2023-24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2.55%</t>
        </is>
      </c>
      <c r="J20" s="13" t="inlineStr">
        <is>
          <t>4.01%</t>
        </is>
      </c>
      <c r="K20" s="16">
        <f>X19</f>
        <v/>
      </c>
      <c r="L20" s="13" t="inlineStr">
        <is>
          <t>2024-01-09</t>
        </is>
      </c>
      <c r="M20" s="13" t="inlineStr">
        <is>
          <t>2024-01-29</t>
        </is>
      </c>
      <c r="N20" s="13" t="inlineStr">
        <is>
          <t>2024-01-20</t>
        </is>
      </c>
      <c r="O20" s="9" t="n">
        <v>679</v>
      </c>
      <c r="P20" s="17" t="n">
        <v>1813.5185546875</v>
      </c>
      <c r="Q20" s="17" t="n">
        <v>1859.846923828125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Q4 2023-24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2025-05-12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Q4 2023-24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7.82%</t>
        </is>
      </c>
      <c r="J22" s="13" t="inlineStr">
        <is>
          <t>-0.38%</t>
        </is>
      </c>
      <c r="K22" s="16">
        <f>X21</f>
        <v/>
      </c>
      <c r="L22" s="13" t="inlineStr">
        <is>
          <t>2024-01-09</t>
        </is>
      </c>
      <c r="M22" s="13" t="inlineStr">
        <is>
          <t>2024-01-23</t>
        </is>
      </c>
      <c r="N22" s="13" t="inlineStr">
        <is>
          <t>2024-01-20</t>
        </is>
      </c>
      <c r="O22" s="9" t="n">
        <v>970</v>
      </c>
      <c r="P22" s="17" t="n">
        <v>714.4876098632812</v>
      </c>
      <c r="Q22" s="17" t="n">
        <v>775.1168212890625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Q4 2023-24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-1.4%</t>
        </is>
      </c>
      <c r="J23" s="13" t="inlineStr">
        <is>
          <t>-1.7%</t>
        </is>
      </c>
      <c r="K23" s="16">
        <f>X22</f>
        <v/>
      </c>
      <c r="L23" s="13" t="inlineStr">
        <is>
          <t>2024-01-15</t>
        </is>
      </c>
      <c r="M23" s="13" t="inlineStr">
        <is>
          <t>2024-01-23</t>
        </is>
      </c>
      <c r="N23" s="13" t="inlineStr">
        <is>
          <t>2024-01-20</t>
        </is>
      </c>
      <c r="O23" s="9" t="n">
        <v>634</v>
      </c>
      <c r="P23" s="17" t="n">
        <v>1143.7001953125</v>
      </c>
      <c r="Q23" s="17" t="n">
        <v>1127.733154296875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Q4 2023-24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-0.46%</t>
        </is>
      </c>
      <c r="J24" s="13" t="inlineStr">
        <is>
          <t>-1.79%</t>
        </is>
      </c>
      <c r="K24" s="16">
        <f>X23</f>
        <v/>
      </c>
      <c r="L24" s="13" t="inlineStr">
        <is>
          <t>2024-01-23</t>
        </is>
      </c>
      <c r="M24" s="13" t="inlineStr">
        <is>
          <t>2024-02-01</t>
        </is>
      </c>
      <c r="N24" s="13" t="inlineStr">
        <is>
          <t>2024-01-24</t>
        </is>
      </c>
      <c r="O24" s="9" t="n">
        <v>625</v>
      </c>
      <c r="P24" s="17" t="n">
        <v>1086.642578125</v>
      </c>
      <c r="Q24" s="17" t="n">
        <v>1081.654418945312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Q4 2023-24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5.34%</t>
        </is>
      </c>
      <c r="J25" s="13" t="inlineStr">
        <is>
          <t>3.69%</t>
        </is>
      </c>
      <c r="K25" s="16">
        <f>X24</f>
        <v/>
      </c>
      <c r="L25" s="13" t="inlineStr">
        <is>
          <t>2024-01-17</t>
        </is>
      </c>
      <c r="M25" s="13" t="inlineStr">
        <is>
          <t>2024-01-29</t>
        </is>
      </c>
      <c r="N25" s="13" t="inlineStr">
        <is>
          <t>2024-01-24</t>
        </is>
      </c>
      <c r="O25" s="9" t="n">
        <v>125</v>
      </c>
      <c r="P25" s="17" t="n">
        <v>6836.2744140625</v>
      </c>
      <c r="Q25" s="17" t="n">
        <v>7201.5107421875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Q4 2023-24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1.99%</t>
        </is>
      </c>
      <c r="J26" s="13" t="inlineStr">
        <is>
          <t>1.46%</t>
        </is>
      </c>
      <c r="K26" s="16">
        <f>X25</f>
        <v/>
      </c>
      <c r="L26" s="13" t="inlineStr">
        <is>
          <t>2024-01-30</t>
        </is>
      </c>
      <c r="M26" s="13" t="inlineStr">
        <is>
          <t>2024-02-01</t>
        </is>
      </c>
      <c r="N26" s="13" t="inlineStr">
        <is>
          <t>2024-01-30</t>
        </is>
      </c>
      <c r="O26" s="9" t="n">
        <v>500</v>
      </c>
      <c r="P26" s="17" t="n">
        <v>1587.418579101562</v>
      </c>
      <c r="Q26" s="17" t="n">
        <v>1619.056030273438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Q4 2023-24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2.42%</t>
        </is>
      </c>
      <c r="J27" s="13" t="inlineStr">
        <is>
          <t>-1.36%</t>
        </is>
      </c>
      <c r="K27" s="16">
        <f>X26</f>
        <v/>
      </c>
      <c r="L27" s="13" t="inlineStr">
        <is>
          <t>2024-01-12</t>
        </is>
      </c>
      <c r="M27" s="13" t="inlineStr">
        <is>
          <t>2024-01-29</t>
        </is>
      </c>
      <c r="N27" s="13" t="inlineStr">
        <is>
          <t>2024-01-20</t>
        </is>
      </c>
      <c r="O27" s="9" t="n">
        <v>100</v>
      </c>
      <c r="P27" s="17" t="n">
        <v>7830.75390625</v>
      </c>
      <c r="Q27" s="17" t="n">
        <v>8020.40625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Q4 2023-24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-6.74%</t>
        </is>
      </c>
      <c r="J28" s="13" t="inlineStr">
        <is>
          <t>-8.8%</t>
        </is>
      </c>
      <c r="K28" s="16">
        <f>X27</f>
        <v/>
      </c>
      <c r="L28" s="13" t="inlineStr">
        <is>
          <t>2024-01-25</t>
        </is>
      </c>
      <c r="M28" s="13" t="inlineStr">
        <is>
          <t>2024-02-05</t>
        </is>
      </c>
      <c r="N28" s="13" t="inlineStr">
        <is>
          <t>2024-01-29</t>
        </is>
      </c>
      <c r="O28" s="9" t="n">
        <v>125</v>
      </c>
      <c r="P28" s="17" t="n">
        <v>696.4061889648438</v>
      </c>
      <c r="Q28" s="17" t="n">
        <v>649.4943237304688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Q4 2023-24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-2.81%</t>
        </is>
      </c>
      <c r="J29" s="13" t="inlineStr">
        <is>
          <t>-3.85%</t>
        </is>
      </c>
      <c r="K29" s="16">
        <f>X28</f>
        <v/>
      </c>
      <c r="L29" s="13" t="inlineStr">
        <is>
          <t>2024-01-16</t>
        </is>
      </c>
      <c r="M29" s="13" t="inlineStr">
        <is>
          <t>2024-01-29</t>
        </is>
      </c>
      <c r="N29" s="13" t="inlineStr">
        <is>
          <t>2024-01-20</t>
        </is>
      </c>
      <c r="O29" s="9" t="n">
        <v>6099</v>
      </c>
      <c r="P29" s="17" t="n">
        <v>223.9955139160156</v>
      </c>
      <c r="Q29" s="17" t="n">
        <v>217.707046508789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Q4 2023-24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-1.89%</t>
        </is>
      </c>
      <c r="J30" s="13" t="inlineStr">
        <is>
          <t>-2.25%</t>
        </is>
      </c>
      <c r="K30" s="16">
        <f>X29</f>
        <v/>
      </c>
      <c r="L30" s="13" t="inlineStr">
        <is>
          <t>2024-01-12</t>
        </is>
      </c>
      <c r="M30" s="13" t="inlineStr">
        <is>
          <t>2024-01-29</t>
        </is>
      </c>
      <c r="N30" s="13" t="inlineStr">
        <is>
          <t>2024-01-20</t>
        </is>
      </c>
      <c r="O30" s="9" t="n">
        <v>4138</v>
      </c>
      <c r="P30" s="17" t="n">
        <v>213.3943176269531</v>
      </c>
      <c r="Q30" s="17" t="n">
        <v>209.4315948486328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Q4 2023-24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-0.71%</t>
        </is>
      </c>
      <c r="J31" s="13" t="inlineStr">
        <is>
          <t>-3.68%</t>
        </is>
      </c>
      <c r="K31" s="16">
        <f>X30</f>
        <v/>
      </c>
      <c r="L31" s="13" t="inlineStr">
        <is>
          <t>2024-01-16</t>
        </is>
      </c>
      <c r="M31" s="13" t="inlineStr">
        <is>
          <t>2024-01-29</t>
        </is>
      </c>
      <c r="N31" s="13" t="inlineStr">
        <is>
          <t>2024-01-20</t>
        </is>
      </c>
      <c r="O31" s="9" t="n">
        <v>7287</v>
      </c>
      <c r="P31" s="17" t="n">
        <v>123.80078125</v>
      </c>
      <c r="Q31" s="17" t="n">
        <v>122.9328155517578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Q4 2023-24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4.14%</t>
        </is>
      </c>
      <c r="J32" s="13" t="inlineStr">
        <is>
          <t>9.08%</t>
        </is>
      </c>
      <c r="K32" s="16">
        <f>X31</f>
        <v/>
      </c>
      <c r="L32" s="13" t="inlineStr">
        <is>
          <t>2024-01-09</t>
        </is>
      </c>
      <c r="M32" s="13" t="inlineStr">
        <is>
          <t>2024-01-23</t>
        </is>
      </c>
      <c r="N32" s="13" t="inlineStr">
        <is>
          <t>2024-01-20</t>
        </is>
      </c>
      <c r="O32" s="9" t="n">
        <v>793</v>
      </c>
      <c r="P32" s="17" t="n">
        <v>823.9324951171875</v>
      </c>
      <c r="Q32" s="17" t="n">
        <v>859.536865234375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Q4 2023-24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2.21%</t>
        </is>
      </c>
      <c r="J33" s="13" t="inlineStr">
        <is>
          <t>3.84%</t>
        </is>
      </c>
      <c r="K33" s="16">
        <f>X32</f>
        <v/>
      </c>
      <c r="L33" s="13" t="inlineStr">
        <is>
          <t>2024-01-17</t>
        </is>
      </c>
      <c r="M33" s="13" t="inlineStr">
        <is>
          <t>2024-02-05</t>
        </is>
      </c>
      <c r="N33" s="13" t="inlineStr">
        <is>
          <t>2024-01-29</t>
        </is>
      </c>
      <c r="O33" s="9" t="n">
        <v>2438</v>
      </c>
      <c r="P33" s="17" t="n">
        <v>177.5727081298828</v>
      </c>
      <c r="Q33" s="17" t="n">
        <v>181.5828857421875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Q4 2023-24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7.04%</t>
        </is>
      </c>
      <c r="J34" s="13" t="inlineStr">
        <is>
          <t>1.41%</t>
        </is>
      </c>
      <c r="K34" s="16">
        <f>X33</f>
        <v/>
      </c>
      <c r="L34" s="13" t="inlineStr">
        <is>
          <t>2024-01-10</t>
        </is>
      </c>
      <c r="M34" s="13" t="inlineStr">
        <is>
          <t>2024-01-23</t>
        </is>
      </c>
      <c r="N34" s="13" t="inlineStr">
        <is>
          <t>2024-01-20</t>
        </is>
      </c>
      <c r="O34" s="9" t="n">
        <v>461</v>
      </c>
      <c r="P34" s="17" t="n">
        <v>1173.071533203125</v>
      </c>
      <c r="Q34" s="17" t="n">
        <v>1261.927978515625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Q4 2023-24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-5.99%</t>
        </is>
      </c>
      <c r="J35" s="13" t="inlineStr">
        <is>
          <t>-7.49%</t>
        </is>
      </c>
      <c r="K35" s="16">
        <f>X34</f>
        <v/>
      </c>
      <c r="L35" s="13" t="inlineStr">
        <is>
          <t>2024-01-24</t>
        </is>
      </c>
      <c r="M35" s="13" t="inlineStr">
        <is>
          <t>2024-02-12</t>
        </is>
      </c>
      <c r="N35" s="13" t="inlineStr">
        <is>
          <t>2024-02-05</t>
        </is>
      </c>
      <c r="O35" s="9" t="n">
        <v>950</v>
      </c>
      <c r="P35" s="17" t="n">
        <v>1173.544677734375</v>
      </c>
      <c r="Q35" s="17" t="n">
        <v>1103.276977539062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Q4 2023-24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-9.96%</t>
        </is>
      </c>
      <c r="J36" s="13" t="inlineStr">
        <is>
          <t>-11.03%</t>
        </is>
      </c>
      <c r="K36" s="16">
        <f>X35</f>
        <v/>
      </c>
      <c r="L36" s="13" t="inlineStr">
        <is>
          <t>2024-01-15</t>
        </is>
      </c>
      <c r="M36" s="13" t="inlineStr">
        <is>
          <t>2024-01-29</t>
        </is>
      </c>
      <c r="N36" s="13" t="inlineStr">
        <is>
          <t>2024-01-20</t>
        </is>
      </c>
      <c r="O36" s="9" t="n">
        <v>2481</v>
      </c>
      <c r="P36" s="17" t="n">
        <v>219.9411163330078</v>
      </c>
      <c r="Q36" s="17" t="n">
        <v>200.0142211914062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Q4 2023-24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6.73%</t>
        </is>
      </c>
      <c r="J37" s="13" t="inlineStr">
        <is>
          <t>3.81%</t>
        </is>
      </c>
      <c r="K37" s="16">
        <f>X36</f>
        <v/>
      </c>
      <c r="L37" s="13" t="inlineStr">
        <is>
          <t>2024-01-10</t>
        </is>
      </c>
      <c r="M37" s="13" t="inlineStr">
        <is>
          <t>2024-01-23</t>
        </is>
      </c>
      <c r="N37" s="13" t="inlineStr">
        <is>
          <t>2024-01-20</t>
        </is>
      </c>
      <c r="O37" s="9" t="n">
        <v>2351</v>
      </c>
      <c r="P37" s="17" t="n">
        <v>261.4739990234375</v>
      </c>
      <c r="Q37" s="17" t="n">
        <v>280.3499450683594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Q4 2023-24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-10.47%</t>
        </is>
      </c>
      <c r="J38" s="13" t="inlineStr">
        <is>
          <t>-11.0%</t>
        </is>
      </c>
      <c r="K38" s="16">
        <f>X37</f>
        <v/>
      </c>
      <c r="L38" s="13" t="inlineStr">
        <is>
          <t>2024-01-09</t>
        </is>
      </c>
      <c r="M38" s="13" t="inlineStr">
        <is>
          <t>2024-01-23</t>
        </is>
      </c>
      <c r="N38" s="13" t="inlineStr">
        <is>
          <t>2024-01-20</t>
        </is>
      </c>
      <c r="O38" s="9" t="n">
        <v>591</v>
      </c>
      <c r="P38" s="17" t="n">
        <v>1053.43896484375</v>
      </c>
      <c r="Q38" s="17" t="n">
        <v>953.628173828125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Q4 2023-24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-2.17%</t>
        </is>
      </c>
      <c r="J39" s="13" t="inlineStr">
        <is>
          <t>-1.78%</t>
        </is>
      </c>
      <c r="K39" s="16">
        <f>X38</f>
        <v/>
      </c>
      <c r="L39" s="13" t="inlineStr">
        <is>
          <t>2024-01-09</t>
        </is>
      </c>
      <c r="M39" s="13" t="inlineStr">
        <is>
          <t>2024-01-29</t>
        </is>
      </c>
      <c r="N39" s="13" t="inlineStr">
        <is>
          <t>2024-01-20</t>
        </is>
      </c>
      <c r="O39" s="9" t="n">
        <v>100</v>
      </c>
      <c r="P39" s="17" t="n">
        <v>22662.029296875</v>
      </c>
      <c r="Q39" s="17" t="n">
        <v>22180.302734375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Q4 2023-24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-31.58%</t>
        </is>
      </c>
      <c r="J40" s="13" t="inlineStr">
        <is>
          <t>-30.45%</t>
        </is>
      </c>
      <c r="K40" s="16">
        <f>X39</f>
        <v/>
      </c>
      <c r="L40" s="13" t="inlineStr">
        <is>
          <t>2024-01-23</t>
        </is>
      </c>
      <c r="M40" s="13" t="inlineStr">
        <is>
          <t>2024-02-06</t>
        </is>
      </c>
      <c r="N40" s="13" t="inlineStr">
        <is>
          <t>2024-01-30</t>
        </is>
      </c>
      <c r="O40" s="9" t="n">
        <v>1800</v>
      </c>
      <c r="P40" s="17" t="n">
        <v>271.7031860351562</v>
      </c>
      <c r="Q40" s="17" t="n">
        <v>206.4863891601562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Q4 2023-24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-2.1%</t>
        </is>
      </c>
      <c r="J41" s="13" t="inlineStr">
        <is>
          <t>-2.7%</t>
        </is>
      </c>
      <c r="K41" s="16">
        <f>X40</f>
        <v/>
      </c>
      <c r="L41" s="13" t="inlineStr">
        <is>
          <t>2024-02-07</t>
        </is>
      </c>
      <c r="M41" s="13" t="inlineStr">
        <is>
          <t>2024-02-09</t>
        </is>
      </c>
      <c r="N41" s="13" t="inlineStr">
        <is>
          <t>2024-02-07</t>
        </is>
      </c>
      <c r="O41" s="9" t="n">
        <v>200</v>
      </c>
      <c r="P41" s="17" t="n">
        <v>4948.154296875</v>
      </c>
      <c r="Q41" s="17" t="n">
        <v>4844.13916015625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Q4 2023-24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-6.56%</t>
        </is>
      </c>
      <c r="J42" s="13" t="inlineStr">
        <is>
          <t>-9.62%</t>
        </is>
      </c>
      <c r="K42" s="16">
        <f>X41</f>
        <v/>
      </c>
      <c r="L42" s="13" t="inlineStr">
        <is>
          <t>2024-01-10</t>
        </is>
      </c>
      <c r="M42" s="13" t="inlineStr">
        <is>
          <t>2024-01-23</t>
        </is>
      </c>
      <c r="N42" s="13" t="inlineStr">
        <is>
          <t>2024-01-20</t>
        </is>
      </c>
      <c r="O42" s="9" t="n">
        <v>283</v>
      </c>
      <c r="P42" s="17" t="n">
        <v>744.7372436523438</v>
      </c>
      <c r="Q42" s="17" t="n">
        <v>695.8582763671875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Q4 2023-24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2.98%</t>
        </is>
      </c>
      <c r="J43" s="13" t="inlineStr">
        <is>
          <t>-1.13%</t>
        </is>
      </c>
      <c r="K43" s="16">
        <f>X42</f>
        <v/>
      </c>
      <c r="L43" s="13" t="inlineStr">
        <is>
          <t>2024-01-17</t>
        </is>
      </c>
      <c r="M43" s="13" t="inlineStr">
        <is>
          <t>2024-01-23</t>
        </is>
      </c>
      <c r="N43" s="13" t="inlineStr">
        <is>
          <t>2024-01-20</t>
        </is>
      </c>
      <c r="O43" s="9" t="n">
        <v>1260</v>
      </c>
      <c r="P43" s="17" t="n">
        <v>525.1435546875</v>
      </c>
      <c r="Q43" s="17" t="n">
        <v>541.252685546875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Q4 2023-24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-5.75%</t>
        </is>
      </c>
      <c r="J44" s="13" t="inlineStr">
        <is>
          <t>-8.34%</t>
        </is>
      </c>
      <c r="K44" s="16">
        <f>X43</f>
        <v/>
      </c>
      <c r="L44" s="13" t="inlineStr">
        <is>
          <t>2024-01-10</t>
        </is>
      </c>
      <c r="M44" s="13" t="inlineStr">
        <is>
          <t>2024-01-29</t>
        </is>
      </c>
      <c r="N44" s="13" t="inlineStr">
        <is>
          <t>2024-01-20</t>
        </is>
      </c>
      <c r="O44" s="9" t="n">
        <v>8046</v>
      </c>
      <c r="P44" s="17" t="n">
        <v>86.35834503173828</v>
      </c>
      <c r="Q44" s="17" t="n">
        <v>81.66327667236328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Q4 2023-24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7.52%</t>
        </is>
      </c>
      <c r="J45" s="13" t="inlineStr">
        <is>
          <t>4.62%</t>
        </is>
      </c>
      <c r="K45" s="16">
        <f>X44</f>
        <v/>
      </c>
      <c r="L45" s="13" t="inlineStr">
        <is>
          <t>2024-01-09</t>
        </is>
      </c>
      <c r="M45" s="13" t="inlineStr">
        <is>
          <t>2024-01-23</t>
        </is>
      </c>
      <c r="N45" s="13" t="inlineStr">
        <is>
          <t>2024-01-20</t>
        </is>
      </c>
      <c r="O45" s="9" t="n">
        <v>748</v>
      </c>
      <c r="P45" s="17" t="n">
        <v>844.1084594726562</v>
      </c>
      <c r="Q45" s="17" t="n">
        <v>912.7484741210938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Q4 2023-24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2.03%</t>
        </is>
      </c>
      <c r="J46" s="13" t="inlineStr">
        <is>
          <t>2.9%</t>
        </is>
      </c>
      <c r="K46" s="16">
        <f>X45</f>
        <v/>
      </c>
      <c r="L46" s="13" t="inlineStr">
        <is>
          <t>2024-01-15</t>
        </is>
      </c>
      <c r="M46" s="13" t="inlineStr">
        <is>
          <t>2024-01-29</t>
        </is>
      </c>
      <c r="N46" s="13" t="inlineStr">
        <is>
          <t>2024-01-20</t>
        </is>
      </c>
      <c r="O46" s="9" t="n">
        <v>1201</v>
      </c>
      <c r="P46" s="17" t="n">
        <v>454.5120849609375</v>
      </c>
      <c r="Q46" s="17" t="n">
        <v>463.7463073730469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Q4 2023-24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5.53%</t>
        </is>
      </c>
      <c r="J47" s="13" t="inlineStr">
        <is>
          <t>6.59%</t>
        </is>
      </c>
      <c r="K47" s="16">
        <f>X46</f>
        <v/>
      </c>
      <c r="L47" s="13" t="inlineStr">
        <is>
          <t>2024-01-18</t>
        </is>
      </c>
      <c r="M47" s="13" t="inlineStr">
        <is>
          <t>2024-01-23</t>
        </is>
      </c>
      <c r="N47" s="13" t="inlineStr">
        <is>
          <t>2024-01-20</t>
        </is>
      </c>
      <c r="O47" s="9" t="n">
        <v>563</v>
      </c>
      <c r="P47" s="17" t="n">
        <v>1215.210327148438</v>
      </c>
      <c r="Q47" s="17" t="n">
        <v>1286.315673828125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Q4 2023-24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-1.79%</t>
        </is>
      </c>
      <c r="J48" s="13" t="inlineStr">
        <is>
          <t>-1.85%</t>
        </is>
      </c>
      <c r="K48" s="16">
        <f>X47</f>
        <v/>
      </c>
      <c r="L48" s="13" t="inlineStr">
        <is>
          <t>2024-01-17</t>
        </is>
      </c>
      <c r="M48" s="13" t="inlineStr">
        <is>
          <t>2024-01-30</t>
        </is>
      </c>
      <c r="N48" s="13" t="inlineStr">
        <is>
          <t>2024-01-22</t>
        </is>
      </c>
      <c r="O48" s="9" t="n">
        <v>650</v>
      </c>
      <c r="P48" s="17" t="n">
        <v>1280.211791992188</v>
      </c>
      <c r="Q48" s="17" t="n">
        <v>1257.7587890625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Q4 2023-24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14.67%</t>
        </is>
      </c>
      <c r="J49" s="13" t="inlineStr">
        <is>
          <t>13.71%</t>
        </is>
      </c>
      <c r="K49" s="16">
        <f>X48</f>
        <v/>
      </c>
      <c r="L49" s="13" t="inlineStr">
        <is>
          <t>2024-02-01</t>
        </is>
      </c>
      <c r="M49" s="13" t="inlineStr">
        <is>
          <t>2024-02-14</t>
        </is>
      </c>
      <c r="N49" s="13" t="inlineStr">
        <is>
          <t>2024-02-12</t>
        </is>
      </c>
      <c r="O49" s="9" t="n">
        <v>2100</v>
      </c>
      <c r="P49" s="17" t="n">
        <v>353.5045776367188</v>
      </c>
      <c r="Q49" s="17" t="n">
        <v>405.3524780273438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Q4 2023-24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-12.57%</t>
        </is>
      </c>
      <c r="J50" s="13" t="inlineStr">
        <is>
          <t>-6.56%</t>
        </is>
      </c>
      <c r="K50" s="16">
        <f>X49</f>
        <v/>
      </c>
      <c r="L50" s="13" t="inlineStr">
        <is>
          <t>2024-01-12</t>
        </is>
      </c>
      <c r="M50" s="13" t="inlineStr">
        <is>
          <t>2024-01-23</t>
        </is>
      </c>
      <c r="N50" s="13" t="inlineStr">
        <is>
          <t>2024-01-20</t>
        </is>
      </c>
      <c r="O50" s="9" t="n">
        <v>713</v>
      </c>
      <c r="P50" s="17" t="n">
        <v>834.3623657226562</v>
      </c>
      <c r="Q50" s="17" t="n">
        <v>741.2020263671875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Q4 2023-24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-3.57%</t>
        </is>
      </c>
      <c r="J51" s="13" t="inlineStr">
        <is>
          <t>-5.16%</t>
        </is>
      </c>
      <c r="K51" s="16">
        <f>X50</f>
        <v/>
      </c>
      <c r="L51" s="13" t="inlineStr">
        <is>
          <t>2024-01-18</t>
        </is>
      </c>
      <c r="M51" s="13" t="inlineStr">
        <is>
          <t>2024-01-29</t>
        </is>
      </c>
      <c r="N51" s="13" t="inlineStr">
        <is>
          <t>2024-01-20</t>
        </is>
      </c>
      <c r="O51" s="9" t="n">
        <v>572</v>
      </c>
      <c r="P51" s="17" t="n">
        <v>1266.180297851562</v>
      </c>
      <c r="Q51" s="17" t="n">
        <v>1220.92333984375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Q4 2023-24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3.07%</t>
        </is>
      </c>
      <c r="J52" s="13" t="inlineStr">
        <is>
          <t>3.08%</t>
        </is>
      </c>
      <c r="K52" s="16">
        <f>X51</f>
        <v/>
      </c>
      <c r="L52" s="13" t="inlineStr">
        <is>
          <t>2024-01-12</t>
        </is>
      </c>
      <c r="M52" s="13" t="inlineStr">
        <is>
          <t>2024-01-29</t>
        </is>
      </c>
      <c r="N52" s="13" t="inlineStr">
        <is>
          <t>2024-01-20</t>
        </is>
      </c>
      <c r="O52" s="9" t="n">
        <v>479</v>
      </c>
      <c r="P52" s="17" t="n">
        <v>2321.31982421875</v>
      </c>
      <c r="Q52" s="17" t="n">
        <v>2392.53076171875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Q4 2023-24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-6.5%</t>
        </is>
      </c>
      <c r="J53" s="13" t="inlineStr">
        <is>
          <t>-9.57%</t>
        </is>
      </c>
      <c r="K53" s="16">
        <f>X52</f>
        <v/>
      </c>
      <c r="L53" s="13" t="inlineStr">
        <is>
          <t>2024-01-16</t>
        </is>
      </c>
      <c r="M53" s="13" t="inlineStr">
        <is>
          <t>2024-01-23</t>
        </is>
      </c>
      <c r="N53" s="13" t="inlineStr">
        <is>
          <t>2024-01-20</t>
        </is>
      </c>
      <c r="O53" s="9" t="n">
        <v>1904</v>
      </c>
      <c r="P53" s="17" t="n">
        <v>853.6725463867188</v>
      </c>
      <c r="Q53" s="17" t="n">
        <v>798.16015625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Q4 2023-24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7.36%</t>
        </is>
      </c>
      <c r="J54" s="13" t="inlineStr">
        <is>
          <t>9.17%</t>
        </is>
      </c>
      <c r="K54" s="16">
        <f>X53</f>
        <v/>
      </c>
      <c r="L54" s="13" t="inlineStr">
        <is>
          <t>2024-01-15</t>
        </is>
      </c>
      <c r="M54" s="13" t="inlineStr">
        <is>
          <t>2024-01-23</t>
        </is>
      </c>
      <c r="N54" s="13" t="inlineStr">
        <is>
          <t>2024-01-20</t>
        </is>
      </c>
      <c r="O54" s="9" t="n">
        <v>3841</v>
      </c>
      <c r="P54" s="17" t="n">
        <v>292.0013122558594</v>
      </c>
      <c r="Q54" s="17" t="n">
        <v>315.1960754394531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Q4 2023-24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-10.24%</t>
        </is>
      </c>
      <c r="J55" s="13" t="inlineStr">
        <is>
          <t>-11.03%</t>
        </is>
      </c>
      <c r="K55" s="16">
        <f>X54</f>
        <v/>
      </c>
      <c r="L55" s="13" t="inlineStr">
        <is>
          <t>2024-01-15</t>
        </is>
      </c>
      <c r="M55" s="13" t="inlineStr">
        <is>
          <t>2024-01-29</t>
        </is>
      </c>
      <c r="N55" s="13" t="inlineStr">
        <is>
          <t>2024-01-20</t>
        </is>
      </c>
      <c r="O55" s="9" t="n">
        <v>185</v>
      </c>
      <c r="P55" s="17" t="n">
        <v>2165.028076171875</v>
      </c>
      <c r="Q55" s="17" t="n">
        <v>1963.996337890625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Q4 2023-24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-4.53%</t>
        </is>
      </c>
      <c r="J56" s="13" t="inlineStr">
        <is>
          <t>-6.03%</t>
        </is>
      </c>
      <c r="K56" s="16">
        <f>X55</f>
        <v/>
      </c>
      <c r="L56" s="13" t="inlineStr">
        <is>
          <t>2024-01-12</t>
        </is>
      </c>
      <c r="M56" s="13" t="inlineStr">
        <is>
          <t>2024-01-23</t>
        </is>
      </c>
      <c r="N56" s="13" t="inlineStr">
        <is>
          <t>2024-01-20</t>
        </is>
      </c>
      <c r="O56" s="9" t="n">
        <v>2346</v>
      </c>
      <c r="P56" s="17" t="n">
        <v>529.432861328125</v>
      </c>
      <c r="Q56" s="17" t="n">
        <v>505.4508972167969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Q4 2023-24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3.39%</t>
        </is>
      </c>
      <c r="J57" s="13" t="inlineStr">
        <is>
          <t>-1.5%</t>
        </is>
      </c>
      <c r="K57" s="16">
        <f>X56</f>
        <v/>
      </c>
      <c r="L57" s="13" t="inlineStr">
        <is>
          <t>2024-01-17</t>
        </is>
      </c>
      <c r="M57" s="13" t="inlineStr">
        <is>
          <t>2024-01-23</t>
        </is>
      </c>
      <c r="N57" s="13" t="inlineStr">
        <is>
          <t>2024-01-20</t>
        </is>
      </c>
      <c r="O57" s="9" t="n">
        <v>2135</v>
      </c>
      <c r="P57" s="17" t="n">
        <v>390.25</v>
      </c>
      <c r="Q57" s="17" t="n">
        <v>403.9500122070313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Q4 2023-24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-6.92%</t>
        </is>
      </c>
      <c r="J58" s="13" t="inlineStr">
        <is>
          <t>-11.59%</t>
        </is>
      </c>
      <c r="K58" s="16">
        <f>X57</f>
        <v/>
      </c>
      <c r="L58" s="13" t="inlineStr">
        <is>
          <t>2024-01-12</t>
        </is>
      </c>
      <c r="M58" s="13" t="inlineStr">
        <is>
          <t>2024-01-23</t>
        </is>
      </c>
      <c r="N58" s="13" t="inlineStr">
        <is>
          <t>2024-01-20</t>
        </is>
      </c>
      <c r="O58" s="9" t="n">
        <v>200</v>
      </c>
      <c r="P58" s="17" t="n">
        <v>3826.978271484375</v>
      </c>
      <c r="Q58" s="17" t="n">
        <v>3562.318359375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Q4 2023-24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7.48%</t>
        </is>
      </c>
      <c r="J59" s="13" t="inlineStr">
        <is>
          <t>4.1%</t>
        </is>
      </c>
      <c r="K59" s="16">
        <f>X58</f>
        <v/>
      </c>
      <c r="L59" s="13" t="inlineStr">
        <is>
          <t>2024-01-10</t>
        </is>
      </c>
      <c r="M59" s="13" t="inlineStr">
        <is>
          <t>2024-01-23</t>
        </is>
      </c>
      <c r="N59" s="13" t="inlineStr">
        <is>
          <t>2024-01-20</t>
        </is>
      </c>
      <c r="O59" s="9" t="n">
        <v>100</v>
      </c>
      <c r="P59" s="17" t="n">
        <v>5849.15478515625</v>
      </c>
      <c r="Q59" s="17" t="n">
        <v>6321.87548828125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Q4 2023-24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6.04%</t>
        </is>
      </c>
      <c r="J60" s="13" t="inlineStr">
        <is>
          <t>4.51%</t>
        </is>
      </c>
      <c r="K60" s="16">
        <f>X59</f>
        <v/>
      </c>
      <c r="L60" s="13" t="inlineStr">
        <is>
          <t>2024-01-16</t>
        </is>
      </c>
      <c r="M60" s="13" t="inlineStr">
        <is>
          <t>2024-01-23</t>
        </is>
      </c>
      <c r="N60" s="13" t="inlineStr">
        <is>
          <t>2024-01-20</t>
        </is>
      </c>
      <c r="O60" s="9" t="n">
        <v>1527</v>
      </c>
      <c r="P60" s="17" t="n">
        <v>720.712646484375</v>
      </c>
      <c r="Q60" s="17" t="n">
        <v>767.067138671875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Q4 2023-24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2.92%</t>
        </is>
      </c>
      <c r="J61" s="13" t="inlineStr">
        <is>
          <t>0.0%</t>
        </is>
      </c>
      <c r="K61" s="16">
        <f>X60</f>
        <v/>
      </c>
      <c r="L61" s="13" t="inlineStr">
        <is>
          <t>2024-01-17</t>
        </is>
      </c>
      <c r="M61" s="13" t="inlineStr">
        <is>
          <t>2024-01-23</t>
        </is>
      </c>
      <c r="N61" s="13" t="inlineStr">
        <is>
          <t>2024-01-20</t>
        </is>
      </c>
      <c r="O61" s="9" t="n">
        <v>258</v>
      </c>
      <c r="P61" s="17" t="n">
        <v>3675.89990234375</v>
      </c>
      <c r="Q61" s="17" t="n">
        <v>3786.449951171875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Q4 2023-24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-6.07%</t>
        </is>
      </c>
      <c r="J62" s="13" t="inlineStr">
        <is>
          <t>-6.8%</t>
        </is>
      </c>
      <c r="K62" s="16">
        <f>X61</f>
        <v/>
      </c>
      <c r="L62" s="13" t="inlineStr">
        <is>
          <t>2024-01-18</t>
        </is>
      </c>
      <c r="M62" s="13" t="inlineStr">
        <is>
          <t>2024-02-01</t>
        </is>
      </c>
      <c r="N62" s="13" t="inlineStr">
        <is>
          <t>2024-01-30</t>
        </is>
      </c>
      <c r="O62" s="9" t="n">
        <v>125</v>
      </c>
      <c r="P62" s="17" t="n">
        <v>1176.6025390625</v>
      </c>
      <c r="Q62" s="17" t="n">
        <v>1109.22412109375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Q4 2023-24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2.38%</t>
        </is>
      </c>
      <c r="J63" s="13" t="inlineStr">
        <is>
          <t>0.08%</t>
        </is>
      </c>
      <c r="K63" s="16">
        <f>X62</f>
        <v/>
      </c>
      <c r="L63" s="13" t="inlineStr">
        <is>
          <t>2024-02-02</t>
        </is>
      </c>
      <c r="M63" s="13" t="inlineStr">
        <is>
          <t>2024-02-15</t>
        </is>
      </c>
      <c r="N63" s="13" t="inlineStr">
        <is>
          <t>2024-02-13</t>
        </is>
      </c>
      <c r="O63" s="9" t="n">
        <v>175</v>
      </c>
      <c r="P63" s="17" t="n">
        <v>3735.195068359375</v>
      </c>
      <c r="Q63" s="17" t="n">
        <v>3824.045654296875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Q4 2023-24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-9.19%</t>
        </is>
      </c>
      <c r="J64" s="13" t="inlineStr">
        <is>
          <t>-15.02%</t>
        </is>
      </c>
      <c r="K64" s="16">
        <f>X63</f>
        <v/>
      </c>
      <c r="L64" s="13" t="inlineStr">
        <is>
          <t>2022-02-08</t>
        </is>
      </c>
      <c r="M64" s="13" t="inlineStr">
        <is>
          <t>2022-02-16</t>
        </is>
      </c>
      <c r="N64" s="13" t="inlineStr">
        <is>
          <t>2022-02-10</t>
        </is>
      </c>
      <c r="O64" s="9" t="n">
        <v>3399</v>
      </c>
      <c r="P64" s="17" t="n">
        <v>93.5500030517578</v>
      </c>
      <c r="Q64" s="17" t="n">
        <v>84.94999694824219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Q4 2023-24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-6.31%</t>
        </is>
      </c>
      <c r="J65" s="13" t="inlineStr">
        <is>
          <t>-8.29%</t>
        </is>
      </c>
      <c r="K65" s="16">
        <f>X64</f>
        <v/>
      </c>
      <c r="L65" s="13" t="inlineStr">
        <is>
          <t>2024-01-16</t>
        </is>
      </c>
      <c r="M65" s="13" t="inlineStr">
        <is>
          <t>2024-01-23</t>
        </is>
      </c>
      <c r="N65" s="13" t="inlineStr">
        <is>
          <t>2024-01-20</t>
        </is>
      </c>
      <c r="O65" s="9" t="n">
        <v>2823</v>
      </c>
      <c r="P65" s="17" t="n">
        <v>147.9210205078125</v>
      </c>
      <c r="Q65" s="17" t="n">
        <v>138.5833129882812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Q4 2023-24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15.21%</t>
        </is>
      </c>
      <c r="J66" s="13" t="inlineStr">
        <is>
          <t>12.8%</t>
        </is>
      </c>
      <c r="K66" s="16">
        <f>X65</f>
        <v/>
      </c>
      <c r="L66" s="13" t="inlineStr">
        <is>
          <t>2024-10-28</t>
        </is>
      </c>
      <c r="M66" s="13" t="inlineStr">
        <is>
          <t>2024-11-05</t>
        </is>
      </c>
      <c r="N66" s="13" t="inlineStr">
        <is>
          <t>2024-10-29</t>
        </is>
      </c>
      <c r="O66" s="9" t="n">
        <v>100</v>
      </c>
      <c r="P66" s="17" t="n">
        <v>6400.6689453125</v>
      </c>
      <c r="Q66" s="17" t="n">
        <v>7374.26953125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Q4 2023-24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0.7%</t>
        </is>
      </c>
      <c r="J67" s="13" t="inlineStr">
        <is>
          <t>0.15%</t>
        </is>
      </c>
      <c r="K67" s="16">
        <f>X66</f>
        <v/>
      </c>
      <c r="L67" s="13" t="inlineStr">
        <is>
          <t>2024-01-12</t>
        </is>
      </c>
      <c r="M67" s="13" t="inlineStr">
        <is>
          <t>2024-01-29</t>
        </is>
      </c>
      <c r="N67" s="13" t="inlineStr">
        <is>
          <t>2024-01-20</t>
        </is>
      </c>
      <c r="O67" s="9" t="n">
        <v>1053</v>
      </c>
      <c r="P67" s="17" t="n">
        <v>419.39404296875</v>
      </c>
      <c r="Q67" s="17" t="n">
        <v>422.3313903808594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Q4 2023-24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4.66%</t>
        </is>
      </c>
      <c r="J68" s="13" t="inlineStr">
        <is>
          <t>2.2%</t>
        </is>
      </c>
      <c r="K68" s="16">
        <f>X67</f>
        <v/>
      </c>
      <c r="L68" s="13" t="inlineStr">
        <is>
          <t>2024-01-17</t>
        </is>
      </c>
      <c r="M68" s="13" t="inlineStr">
        <is>
          <t>2024-01-29</t>
        </is>
      </c>
      <c r="N68" s="13" t="inlineStr">
        <is>
          <t>2024-01-20</t>
        </is>
      </c>
      <c r="O68" s="9" t="n">
        <v>5759</v>
      </c>
      <c r="P68" s="17" t="n">
        <v>147.8448486328125</v>
      </c>
      <c r="Q68" s="17" t="n">
        <v>154.7370758056641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Q4 2023-24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3.17%</t>
        </is>
      </c>
      <c r="J69" s="13" t="inlineStr">
        <is>
          <t>-1.19%</t>
        </is>
      </c>
      <c r="K69" s="16">
        <f>X68</f>
        <v/>
      </c>
      <c r="L69" s="13" t="inlineStr">
        <is>
          <t>2024-01-17</t>
        </is>
      </c>
      <c r="M69" s="13" t="inlineStr">
        <is>
          <t>2024-01-29</t>
        </is>
      </c>
      <c r="N69" s="13" t="inlineStr">
        <is>
          <t>2024-01-20</t>
        </is>
      </c>
      <c r="O69" s="9" t="n">
        <v>456</v>
      </c>
      <c r="P69" s="17" t="n">
        <v>868.8214721679688</v>
      </c>
      <c r="Q69" s="17" t="n">
        <v>896.3643798828125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Q4 2023-24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6.24%</t>
        </is>
      </c>
      <c r="J70" s="13" t="inlineStr">
        <is>
          <t>7.47%</t>
        </is>
      </c>
      <c r="K70" s="16">
        <f>X69</f>
        <v/>
      </c>
      <c r="L70" s="13" t="inlineStr">
        <is>
          <t>2024-01-17</t>
        </is>
      </c>
      <c r="M70" s="13" t="inlineStr">
        <is>
          <t>2024-01-29</t>
        </is>
      </c>
      <c r="N70" s="13" t="inlineStr">
        <is>
          <t>2024-01-20</t>
        </is>
      </c>
      <c r="O70" s="9" t="n">
        <v>9623</v>
      </c>
      <c r="P70" s="17" t="n">
        <v>78.19999694824219</v>
      </c>
      <c r="Q70" s="17" t="n">
        <v>83.40000152587891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Q4 2023-24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7.85%</t>
        </is>
      </c>
      <c r="J71" s="13" t="inlineStr">
        <is>
          <t>4.67%</t>
        </is>
      </c>
      <c r="K71" s="16">
        <f>X70</f>
        <v/>
      </c>
      <c r="L71" s="13" t="inlineStr">
        <is>
          <t>2024-01-16</t>
        </is>
      </c>
      <c r="M71" s="13" t="inlineStr">
        <is>
          <t>2024-01-29</t>
        </is>
      </c>
      <c r="N71" s="13" t="inlineStr">
        <is>
          <t>2024-01-20</t>
        </is>
      </c>
      <c r="O71" s="9" t="n">
        <v>469</v>
      </c>
      <c r="P71" s="17" t="n">
        <v>691.5593872070312</v>
      </c>
      <c r="Q71" s="17" t="n">
        <v>745.8731079101562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Q4 2023-24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-2.17%</t>
        </is>
      </c>
      <c r="J72" s="13" t="inlineStr">
        <is>
          <t>-4.82%</t>
        </is>
      </c>
      <c r="K72" s="16">
        <f>X71</f>
        <v/>
      </c>
      <c r="L72" s="13" t="inlineStr">
        <is>
          <t>2024-01-12</t>
        </is>
      </c>
      <c r="M72" s="13" t="inlineStr">
        <is>
          <t>2024-01-23</t>
        </is>
      </c>
      <c r="N72" s="13" t="inlineStr">
        <is>
          <t>2024-01-20</t>
        </is>
      </c>
      <c r="O72" s="9" t="n">
        <v>932</v>
      </c>
      <c r="P72" s="17" t="n">
        <v>1109.15087890625</v>
      </c>
      <c r="Q72" s="17" t="n">
        <v>1085.057861328125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Q4 2023-24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-2.63%</t>
        </is>
      </c>
      <c r="J73" s="13" t="inlineStr">
        <is>
          <t>-0.31%</t>
        </is>
      </c>
      <c r="K73" s="16">
        <f>X72</f>
        <v/>
      </c>
      <c r="L73" s="13" t="inlineStr">
        <is>
          <t>2024-01-10</t>
        </is>
      </c>
      <c r="M73" s="13" t="inlineStr">
        <is>
          <t>2024-01-23</t>
        </is>
      </c>
      <c r="N73" s="13" t="inlineStr">
        <is>
          <t>2024-01-20</t>
        </is>
      </c>
      <c r="O73" s="9" t="n">
        <v>473</v>
      </c>
      <c r="P73" s="17" t="n">
        <v>2258.03515625</v>
      </c>
      <c r="Q73" s="17" t="n">
        <v>2200.264404296875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Q4 2023-24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0.24%</t>
        </is>
      </c>
      <c r="J74" s="13" t="inlineStr">
        <is>
          <t>0.28%</t>
        </is>
      </c>
      <c r="K74" s="16">
        <f>X73</f>
        <v/>
      </c>
      <c r="L74" s="13" t="inlineStr">
        <is>
          <t>2024-02-05</t>
        </is>
      </c>
      <c r="M74" s="13" t="inlineStr">
        <is>
          <t>2024-02-15</t>
        </is>
      </c>
      <c r="N74" s="13" t="inlineStr">
        <is>
          <t>2024-02-09</t>
        </is>
      </c>
      <c r="O74" s="9" t="n">
        <v>250</v>
      </c>
      <c r="P74" s="17" t="n">
        <v>2069.29150390625</v>
      </c>
      <c r="Q74" s="17" t="n">
        <v>2074.20458984375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Q4 2023-24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-2.27%</t>
        </is>
      </c>
      <c r="J75" s="13" t="inlineStr">
        <is>
          <t>-8.38%</t>
        </is>
      </c>
      <c r="K75" s="16">
        <f>X74</f>
        <v/>
      </c>
      <c r="L75" s="13" t="inlineStr">
        <is>
          <t>2024-01-16</t>
        </is>
      </c>
      <c r="M75" s="13" t="inlineStr">
        <is>
          <t>2024-01-29</t>
        </is>
      </c>
      <c r="N75" s="13" t="inlineStr">
        <is>
          <t>2024-01-20</t>
        </is>
      </c>
      <c r="O75" s="9" t="n">
        <v>237</v>
      </c>
      <c r="P75" s="17" t="n">
        <v>647.9889526367188</v>
      </c>
      <c r="Q75" s="17" t="n">
        <v>633.2835083007812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Q4 2023-24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-1.77%</t>
        </is>
      </c>
      <c r="J76" s="13" t="inlineStr">
        <is>
          <t>-5.02%</t>
        </is>
      </c>
      <c r="K76" s="16">
        <f>X75</f>
        <v/>
      </c>
      <c r="L76" s="13" t="inlineStr">
        <is>
          <t>2024-01-15</t>
        </is>
      </c>
      <c r="M76" s="13" t="inlineStr">
        <is>
          <t>2024-01-29</t>
        </is>
      </c>
      <c r="N76" s="13" t="inlineStr">
        <is>
          <t>2024-01-20</t>
        </is>
      </c>
      <c r="O76" s="9" t="n">
        <v>218</v>
      </c>
      <c r="P76" s="17" t="n">
        <v>2944.187255859375</v>
      </c>
      <c r="Q76" s="17" t="n">
        <v>2892.11474609375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Q4 2023-24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7.97%</t>
        </is>
      </c>
      <c r="J77" s="13" t="inlineStr">
        <is>
          <t>3.42%</t>
        </is>
      </c>
      <c r="K77" s="16">
        <f>X76</f>
        <v/>
      </c>
      <c r="L77" s="13" t="inlineStr">
        <is>
          <t>2024-01-12</t>
        </is>
      </c>
      <c r="M77" s="13" t="inlineStr">
        <is>
          <t>2024-01-29</t>
        </is>
      </c>
      <c r="N77" s="13" t="inlineStr">
        <is>
          <t>2024-01-20</t>
        </is>
      </c>
      <c r="O77" s="9" t="n">
        <v>792</v>
      </c>
      <c r="P77" s="17" t="n">
        <v>1291.862426757812</v>
      </c>
      <c r="Q77" s="17" t="n">
        <v>1403.757202148438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Q4 2023-24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8.26%</t>
        </is>
      </c>
      <c r="J78" s="13" t="inlineStr">
        <is>
          <t>7.92%</t>
        </is>
      </c>
      <c r="K78" s="16">
        <f>X77</f>
        <v/>
      </c>
      <c r="L78" s="13" t="inlineStr">
        <is>
          <t>2024-01-08</t>
        </is>
      </c>
      <c r="M78" s="13" t="inlineStr">
        <is>
          <t>2024-01-18</t>
        </is>
      </c>
      <c r="N78" s="13" t="inlineStr">
        <is>
          <t>2024-01-12</t>
        </is>
      </c>
      <c r="O78" s="9" t="n">
        <v>350</v>
      </c>
      <c r="P78" s="17" t="n">
        <v>1311.830322265625</v>
      </c>
      <c r="Q78" s="17" t="n">
        <v>1420.236328125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Q4 2023-24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3.85%</t>
        </is>
      </c>
      <c r="J79" s="13" t="inlineStr">
        <is>
          <t>6.14%</t>
        </is>
      </c>
      <c r="K79" s="16">
        <f>X78</f>
        <v/>
      </c>
      <c r="L79" s="13" t="inlineStr">
        <is>
          <t>2024-01-15</t>
        </is>
      </c>
      <c r="M79" s="13" t="inlineStr">
        <is>
          <t>2024-01-23</t>
        </is>
      </c>
      <c r="N79" s="13" t="inlineStr">
        <is>
          <t>2024-01-20</t>
        </is>
      </c>
      <c r="O79" s="9" t="n">
        <v>392</v>
      </c>
      <c r="P79" s="17" t="n">
        <v>1588.968017578125</v>
      </c>
      <c r="Q79" s="17" t="n">
        <v>1652.675903320312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Q4 2023-24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-12.48%</t>
        </is>
      </c>
      <c r="J80" s="13" t="inlineStr">
        <is>
          <t>-12.72%</t>
        </is>
      </c>
      <c r="K80" s="16">
        <f>X79</f>
        <v/>
      </c>
      <c r="L80" s="13" t="inlineStr">
        <is>
          <t>2024-01-08</t>
        </is>
      </c>
      <c r="M80" s="13" t="inlineStr">
        <is>
          <t>2024-01-24</t>
        </is>
      </c>
      <c r="N80" s="13" t="inlineStr">
        <is>
          <t>2024-01-16</t>
        </is>
      </c>
      <c r="O80" s="9" t="n">
        <v>550</v>
      </c>
      <c r="P80" s="17" t="n">
        <v>796.4052734375</v>
      </c>
      <c r="Q80" s="17" t="n">
        <v>697.0371704101562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Q4 2023-24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5.43%</t>
        </is>
      </c>
      <c r="J81" s="13" t="inlineStr">
        <is>
          <t>4.72%</t>
        </is>
      </c>
      <c r="K81" s="16">
        <f>X80</f>
        <v/>
      </c>
      <c r="L81" s="13" t="inlineStr">
        <is>
          <t>2022-01-19</t>
        </is>
      </c>
      <c r="M81" s="13" t="inlineStr">
        <is>
          <t>2022-01-28</t>
        </is>
      </c>
      <c r="N81" s="13" t="inlineStr">
        <is>
          <t>2022-01-21</t>
        </is>
      </c>
      <c r="O81" s="9" t="n">
        <v>1100</v>
      </c>
      <c r="P81" s="17" t="n">
        <v>610.7235717773438</v>
      </c>
      <c r="Q81" s="17" t="n">
        <v>645.765380859375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Q4 2023-24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2.11%</t>
        </is>
      </c>
      <c r="J82" s="13" t="inlineStr">
        <is>
          <t>0.82%</t>
        </is>
      </c>
      <c r="K82" s="16">
        <f>X81</f>
        <v/>
      </c>
      <c r="L82" s="13" t="inlineStr">
        <is>
          <t>2024-02-07</t>
        </is>
      </c>
      <c r="M82" s="13" t="inlineStr">
        <is>
          <t>2024-02-16</t>
        </is>
      </c>
      <c r="N82" s="13" t="inlineStr">
        <is>
          <t>2024-02-10</t>
        </is>
      </c>
      <c r="O82" s="9" t="n">
        <v>150</v>
      </c>
      <c r="P82" s="17" t="n">
        <v>4389.19189453125</v>
      </c>
      <c r="Q82" s="17" t="n">
        <v>4481.63037109375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Q4 2023-24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13.21%</t>
        </is>
      </c>
      <c r="J83" s="13" t="inlineStr">
        <is>
          <t>13.35%</t>
        </is>
      </c>
      <c r="K83" s="16">
        <f>X82</f>
        <v/>
      </c>
      <c r="L83" s="13" t="inlineStr">
        <is>
          <t>2024-02-09</t>
        </is>
      </c>
      <c r="M83" s="13" t="inlineStr">
        <is>
          <t>2024-02-15</t>
        </is>
      </c>
      <c r="N83" s="13" t="inlineStr">
        <is>
          <t>2024-02-13</t>
        </is>
      </c>
      <c r="O83" s="9" t="n">
        <v>1400</v>
      </c>
      <c r="P83" s="17" t="n">
        <v>503.9311218261719</v>
      </c>
      <c r="Q83" s="17" t="n">
        <v>580.6204833984375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Q4 2023-24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0.51%</t>
        </is>
      </c>
      <c r="J84" s="13" t="inlineStr">
        <is>
          <t>-0.84%</t>
        </is>
      </c>
      <c r="K84" s="16">
        <f>X83</f>
        <v/>
      </c>
      <c r="L84" s="13" t="inlineStr">
        <is>
          <t>2024-01-18</t>
        </is>
      </c>
      <c r="M84" s="13" t="inlineStr">
        <is>
          <t>2024-01-29</t>
        </is>
      </c>
      <c r="N84" s="13" t="inlineStr">
        <is>
          <t>2024-01-20</t>
        </is>
      </c>
      <c r="O84" s="9" t="n">
        <v>2574</v>
      </c>
      <c r="P84" s="17" t="n">
        <v>274.6706237792969</v>
      </c>
      <c r="Q84" s="17" t="n">
        <v>276.0673522949219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Q4 2023-24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5.16%</t>
        </is>
      </c>
      <c r="J85" s="13" t="inlineStr">
        <is>
          <t>5.27%</t>
        </is>
      </c>
      <c r="K85" s="16">
        <f>X84</f>
        <v/>
      </c>
      <c r="L85" s="13" t="inlineStr">
        <is>
          <t>2024-01-10</t>
        </is>
      </c>
      <c r="M85" s="13" t="inlineStr">
        <is>
          <t>2024-01-29</t>
        </is>
      </c>
      <c r="N85" s="13" t="inlineStr">
        <is>
          <t>2024-01-19</t>
        </is>
      </c>
      <c r="O85" s="9" t="n">
        <v>300</v>
      </c>
      <c r="P85" s="17" t="n">
        <v>2325.939453125</v>
      </c>
      <c r="Q85" s="17" t="n">
        <v>2452.493896484375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Q4 2023-24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2.06%</t>
        </is>
      </c>
      <c r="J86" s="13" t="inlineStr">
        <is>
          <t>0.35%</t>
        </is>
      </c>
      <c r="K86" s="16">
        <f>X85</f>
        <v/>
      </c>
      <c r="L86" s="13" t="inlineStr">
        <is>
          <t>2024-01-16</t>
        </is>
      </c>
      <c r="M86" s="13" t="inlineStr">
        <is>
          <t>2024-01-29</t>
        </is>
      </c>
      <c r="N86" s="13" t="inlineStr">
        <is>
          <t>2024-01-20</t>
        </is>
      </c>
      <c r="O86" s="9" t="n">
        <v>1866</v>
      </c>
      <c r="P86" s="17" t="n">
        <v>286.3555908203125</v>
      </c>
      <c r="Q86" s="17" t="n">
        <v>292.37451171875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Q4 2023-24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-4.25%</t>
        </is>
      </c>
      <c r="J87" s="13" t="inlineStr">
        <is>
          <t>-7.43%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2024-01-20</t>
        </is>
      </c>
      <c r="O87" s="9" t="n">
        <v>495</v>
      </c>
      <c r="P87" s="17" t="n">
        <v>1878.654418945312</v>
      </c>
      <c r="Q87" s="17" t="n">
        <v>1802.145385742188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Q4 2023-24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3.74%</t>
        </is>
      </c>
      <c r="J88" s="13" t="inlineStr">
        <is>
          <t>1.28%</t>
        </is>
      </c>
      <c r="K88" s="16">
        <f>X87</f>
        <v/>
      </c>
      <c r="L88" s="13" t="inlineStr">
        <is>
          <t>2024-01-09</t>
        </is>
      </c>
      <c r="M88" s="13" t="inlineStr">
        <is>
          <t>2024-01-29</t>
        </is>
      </c>
      <c r="N88" s="13" t="inlineStr">
        <is>
          <t>2024-01-20</t>
        </is>
      </c>
      <c r="O88" s="9" t="n">
        <v>700</v>
      </c>
      <c r="P88" s="17" t="n">
        <v>963.9495849609376</v>
      </c>
      <c r="Q88" s="17" t="n">
        <v>1000.008544921875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Q4 2023-24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7.01%</t>
        </is>
      </c>
      <c r="J89" s="13" t="inlineStr">
        <is>
          <t>4.99%</t>
        </is>
      </c>
      <c r="K89" s="16">
        <f>X88</f>
        <v/>
      </c>
      <c r="L89" s="13" t="inlineStr">
        <is>
          <t>2024-10-08</t>
        </is>
      </c>
      <c r="M89" s="13" t="inlineStr">
        <is>
          <t>2024-10-24</t>
        </is>
      </c>
      <c r="N89" s="13" t="inlineStr">
        <is>
          <t>2024-10-18</t>
        </is>
      </c>
      <c r="O89" s="9" t="n">
        <v>629</v>
      </c>
      <c r="P89" s="17" t="n">
        <v>1954.1</v>
      </c>
      <c r="Q89" s="17" t="n">
        <v>2101.35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Q4 2023-24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3.97%</t>
        </is>
      </c>
      <c r="J90" s="13" t="inlineStr">
        <is>
          <t>4.46%</t>
        </is>
      </c>
      <c r="K90" s="16">
        <f>X89</f>
        <v/>
      </c>
      <c r="L90" s="13" t="inlineStr">
        <is>
          <t>2025-07-04</t>
        </is>
      </c>
      <c r="M90" s="13" t="inlineStr">
        <is>
          <t>2025-07-22</t>
        </is>
      </c>
      <c r="N90" s="13" t="inlineStr">
        <is>
          <t>2025-07-15</t>
        </is>
      </c>
      <c r="O90" s="9" t="n">
        <v>1958</v>
      </c>
      <c r="P90" s="17" t="n">
        <v>622.9381713867188</v>
      </c>
      <c r="Q90" s="17" t="n">
        <v>648.6987915039062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Q4 2023-24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7.26%</t>
        </is>
      </c>
      <c r="J91" s="13" t="inlineStr">
        <is>
          <t>3.36%</t>
        </is>
      </c>
      <c r="K91" s="16">
        <f>X90</f>
        <v/>
      </c>
      <c r="L91" s="13" t="inlineStr">
        <is>
          <t>2024-01-12</t>
        </is>
      </c>
      <c r="M91" s="13" t="inlineStr">
        <is>
          <t>2024-01-29</t>
        </is>
      </c>
      <c r="N91" s="13" t="inlineStr">
        <is>
          <t>2024-01-20</t>
        </is>
      </c>
      <c r="O91" s="9" t="n">
        <v>77700</v>
      </c>
      <c r="P91" s="17" t="n">
        <v>14.69999980926514</v>
      </c>
      <c r="Q91" s="17" t="n">
        <v>15.85000038146973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Q4 2023-24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2.5%</t>
        </is>
      </c>
      <c r="J92" s="13" t="inlineStr">
        <is>
          <t>-2.17%</t>
        </is>
      </c>
      <c r="K92" s="16">
        <f>X91</f>
        <v/>
      </c>
      <c r="L92" s="13" t="inlineStr">
        <is>
          <t>2024-01-10</t>
        </is>
      </c>
      <c r="M92" s="13" t="inlineStr">
        <is>
          <t>2024-01-23</t>
        </is>
      </c>
      <c r="N92" s="13" t="inlineStr">
        <is>
          <t>2024-01-20</t>
        </is>
      </c>
      <c r="O92" s="9" t="n">
        <v>11798</v>
      </c>
      <c r="P92" s="17" t="n">
        <v>81.53314208984375</v>
      </c>
      <c r="Q92" s="17" t="n">
        <v>83.62628936767578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Q4 2023-24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-0.55%</t>
        </is>
      </c>
      <c r="J93" s="13" t="inlineStr">
        <is>
          <t>-2.36%</t>
        </is>
      </c>
      <c r="K93" s="16">
        <f>X92</f>
        <v/>
      </c>
      <c r="L93" s="13" t="inlineStr">
        <is>
          <t>2024-01-18</t>
        </is>
      </c>
      <c r="M93" s="13" t="inlineStr">
        <is>
          <t>2024-01-23</t>
        </is>
      </c>
      <c r="N93" s="13" t="inlineStr">
        <is>
          <t>2024-01-20</t>
        </is>
      </c>
      <c r="O93" s="9" t="n">
        <v>7610</v>
      </c>
      <c r="P93" s="17" t="n">
        <v>129.1465606689453</v>
      </c>
      <c r="Q93" s="17" t="n">
        <v>128.4405975341797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Q4 2023-24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5.91%</t>
        </is>
      </c>
      <c r="J94" s="13" t="inlineStr">
        <is>
          <t>2.95%</t>
        </is>
      </c>
      <c r="K94" s="16">
        <f>X93</f>
        <v/>
      </c>
      <c r="L94" s="13" t="inlineStr">
        <is>
          <t>2024-01-16</t>
        </is>
      </c>
      <c r="M94" s="13" t="inlineStr">
        <is>
          <t>2024-01-29</t>
        </is>
      </c>
      <c r="N94" s="13" t="inlineStr">
        <is>
          <t>2024-01-20</t>
        </is>
      </c>
      <c r="O94" s="9" t="n">
        <v>1334</v>
      </c>
      <c r="P94" s="17" t="n">
        <v>463.6109924316406</v>
      </c>
      <c r="Q94" s="17" t="n">
        <v>491.0248413085938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Q4 2023-24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9.13%</t>
        </is>
      </c>
      <c r="J95" s="13" t="inlineStr">
        <is>
          <t>2.82%</t>
        </is>
      </c>
      <c r="K95" s="16">
        <f>X94</f>
        <v/>
      </c>
      <c r="L95" s="13" t="inlineStr">
        <is>
          <t>2024-01-16</t>
        </is>
      </c>
      <c r="M95" s="13" t="inlineStr">
        <is>
          <t>2024-01-29</t>
        </is>
      </c>
      <c r="N95" s="13" t="inlineStr">
        <is>
          <t>2024-01-20</t>
        </is>
      </c>
      <c r="O95" s="9" t="n">
        <v>1208</v>
      </c>
      <c r="P95" s="17" t="n">
        <v>411.0703125</v>
      </c>
      <c r="Q95" s="17" t="n">
        <v>448.6016540527344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Q4 2023-24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10.34%</t>
        </is>
      </c>
      <c r="J96" s="13" t="inlineStr">
        <is>
          <t>10.9%</t>
        </is>
      </c>
      <c r="K96" s="16">
        <f>X95</f>
        <v/>
      </c>
      <c r="L96" s="13" t="inlineStr">
        <is>
          <t>2022-01-25</t>
        </is>
      </c>
      <c r="M96" s="13" t="inlineStr">
        <is>
          <t>2022-02-07</t>
        </is>
      </c>
      <c r="N96" s="13" t="inlineStr">
        <is>
          <t>2022-02-04</t>
        </is>
      </c>
      <c r="O96" s="9" t="n">
        <v>196</v>
      </c>
      <c r="P96" s="17" t="n">
        <v>1963.382080078125</v>
      </c>
      <c r="Q96" s="17" t="n">
        <v>2166.43896484375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Q4 2023-24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-7.12%</t>
        </is>
      </c>
      <c r="J97" s="13" t="inlineStr">
        <is>
          <t>-8.02%</t>
        </is>
      </c>
      <c r="K97" s="16">
        <f>X96</f>
        <v/>
      </c>
      <c r="L97" s="13" t="inlineStr">
        <is>
          <t>2024-01-17</t>
        </is>
      </c>
      <c r="M97" s="13" t="inlineStr">
        <is>
          <t>2024-01-29</t>
        </is>
      </c>
      <c r="N97" s="13" t="inlineStr">
        <is>
          <t>2024-01-18</t>
        </is>
      </c>
      <c r="O97" s="9" t="n">
        <v>500</v>
      </c>
      <c r="P97" s="17" t="n">
        <v>1623.221069335938</v>
      </c>
      <c r="Q97" s="17" t="n">
        <v>1507.594116210938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Q4 2023-24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1.09%</t>
        </is>
      </c>
      <c r="J98" s="13" t="inlineStr">
        <is>
          <t>-1.17%</t>
        </is>
      </c>
      <c r="K98" s="16">
        <f>X97</f>
        <v/>
      </c>
      <c r="L98" s="13" t="inlineStr">
        <is>
          <t>2024-01-16</t>
        </is>
      </c>
      <c r="M98" s="13" t="inlineStr">
        <is>
          <t>2024-01-23</t>
        </is>
      </c>
      <c r="N98" s="13" t="inlineStr">
        <is>
          <t>2024-01-20</t>
        </is>
      </c>
      <c r="O98" s="9" t="n">
        <v>2545</v>
      </c>
      <c r="P98" s="17" t="n">
        <v>217.1000061035156</v>
      </c>
      <c r="Q98" s="17" t="n">
        <v>219.5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Q4 2023-24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-7.8%</t>
        </is>
      </c>
      <c r="J99" s="13" t="inlineStr">
        <is>
          <t>-8.64%</t>
        </is>
      </c>
      <c r="K99" s="16">
        <f>X98</f>
        <v/>
      </c>
      <c r="L99" s="13" t="inlineStr">
        <is>
          <t>2024-01-05</t>
        </is>
      </c>
      <c r="M99" s="13" t="inlineStr">
        <is>
          <t>2024-01-15</t>
        </is>
      </c>
      <c r="N99" s="13" t="inlineStr">
        <is>
          <t>2024-01-11</t>
        </is>
      </c>
      <c r="O99" s="9" t="n">
        <v>400</v>
      </c>
      <c r="P99" s="17" t="n">
        <v>1522.4814453125</v>
      </c>
      <c r="Q99" s="17" t="n">
        <v>1412.31103515625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Q4 2023-24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-5.51%</t>
        </is>
      </c>
      <c r="J100" s="13" t="inlineStr">
        <is>
          <t>-10.86%</t>
        </is>
      </c>
      <c r="K100" s="16">
        <f>X99</f>
        <v/>
      </c>
      <c r="L100" s="13" t="inlineStr">
        <is>
          <t>2024-01-10</t>
        </is>
      </c>
      <c r="M100" s="13" t="inlineStr">
        <is>
          <t>2024-01-23</t>
        </is>
      </c>
      <c r="N100" s="13" t="inlineStr">
        <is>
          <t>2024-01-20</t>
        </is>
      </c>
      <c r="O100" s="9" t="n">
        <v>13336</v>
      </c>
      <c r="P100" s="17" t="n">
        <v>113.9375</v>
      </c>
      <c r="Q100" s="17" t="n">
        <v>107.6624984741211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Q4 2023-24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-8.43%</t>
        </is>
      </c>
      <c r="J101" s="13" t="inlineStr">
        <is>
          <t>-10.55%</t>
        </is>
      </c>
      <c r="K101" s="16">
        <f>X100</f>
        <v/>
      </c>
      <c r="L101" s="13" t="inlineStr">
        <is>
          <t>2024-01-12</t>
        </is>
      </c>
      <c r="M101" s="13" t="inlineStr">
        <is>
          <t>2024-01-29</t>
        </is>
      </c>
      <c r="N101" s="13" t="inlineStr">
        <is>
          <t>2024-01-20</t>
        </is>
      </c>
      <c r="O101" s="9" t="n">
        <v>7145</v>
      </c>
      <c r="P101" s="17" t="n">
        <v>132.0679626464844</v>
      </c>
      <c r="Q101" s="17" t="n">
        <v>121.8050308227539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Q4 2023-24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72.56%</t>
        </is>
      </c>
      <c r="J102" s="13" t="inlineStr">
        <is>
          <t>52.19%</t>
        </is>
      </c>
      <c r="K102" s="16">
        <f>X101</f>
        <v/>
      </c>
      <c r="L102" s="13" t="inlineStr">
        <is>
          <t>2024-01-09</t>
        </is>
      </c>
      <c r="M102" s="13" t="inlineStr">
        <is>
          <t>2024-01-29</t>
        </is>
      </c>
      <c r="N102" s="13" t="inlineStr">
        <is>
          <t>2024-01-20</t>
        </is>
      </c>
      <c r="O102" s="9" t="n">
        <v>8341</v>
      </c>
      <c r="P102" s="17" t="n">
        <v>102.7551727294922</v>
      </c>
      <c r="Q102" s="17" t="n">
        <v>177.3098602294922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Q4 2023-24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2024-01-20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Q4 2023-24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6.51%</t>
        </is>
      </c>
      <c r="J104" s="13" t="inlineStr">
        <is>
          <t>6.52%</t>
        </is>
      </c>
      <c r="K104" s="16">
        <f>X103</f>
        <v/>
      </c>
      <c r="L104" s="13" t="inlineStr">
        <is>
          <t>2024-01-16</t>
        </is>
      </c>
      <c r="M104" s="13" t="inlineStr">
        <is>
          <t>2024-01-31</t>
        </is>
      </c>
      <c r="N104" s="13" t="inlineStr">
        <is>
          <t>2024-01-29</t>
        </is>
      </c>
      <c r="O104" s="9" t="n">
        <v>1600</v>
      </c>
      <c r="P104" s="17" t="n">
        <v>379.0061645507813</v>
      </c>
      <c r="Q104" s="17" t="n">
        <v>405.4006042480469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Q4 2023-24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-7.35%</t>
        </is>
      </c>
      <c r="J105" s="13" t="inlineStr">
        <is>
          <t>-9.45%</t>
        </is>
      </c>
      <c r="K105" s="16">
        <f>X104</f>
        <v/>
      </c>
      <c r="L105" s="13" t="inlineStr">
        <is>
          <t>2024-01-16</t>
        </is>
      </c>
      <c r="M105" s="13" t="inlineStr">
        <is>
          <t>2024-01-23</t>
        </is>
      </c>
      <c r="N105" s="13" t="inlineStr">
        <is>
          <t>2024-01-20</t>
        </is>
      </c>
      <c r="O105" s="9" t="n">
        <v>914</v>
      </c>
      <c r="P105" s="17" t="n">
        <v>746.7027587890625</v>
      </c>
      <c r="Q105" s="17" t="n">
        <v>691.8267822265625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Q4 2023-24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5.74%</t>
        </is>
      </c>
      <c r="J106" s="13" t="inlineStr">
        <is>
          <t>2.04%</t>
        </is>
      </c>
      <c r="K106" s="16">
        <f>X105</f>
        <v/>
      </c>
      <c r="L106" s="13" t="inlineStr">
        <is>
          <t>2024-01-15</t>
        </is>
      </c>
      <c r="M106" s="13" t="inlineStr">
        <is>
          <t>2024-01-23</t>
        </is>
      </c>
      <c r="N106" s="13" t="inlineStr">
        <is>
          <t>2024-01-15</t>
        </is>
      </c>
      <c r="O106" s="9" t="n">
        <v>4127</v>
      </c>
      <c r="P106" s="17" t="n">
        <v>240.0257110595703</v>
      </c>
      <c r="Q106" s="17" t="n">
        <v>254.6529083251953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Q4 2023-24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-0.29%</t>
        </is>
      </c>
      <c r="J107" s="13" t="inlineStr">
        <is>
          <t>-4.45%</t>
        </is>
      </c>
      <c r="K107" s="16">
        <f>X106</f>
        <v/>
      </c>
      <c r="L107" s="13" t="inlineStr">
        <is>
          <t>2024-01-12</t>
        </is>
      </c>
      <c r="M107" s="13" t="inlineStr">
        <is>
          <t>2024-01-23</t>
        </is>
      </c>
      <c r="N107" s="13" t="inlineStr">
        <is>
          <t>2024-01-20</t>
        </is>
      </c>
      <c r="O107" s="9" t="n">
        <v>1839</v>
      </c>
      <c r="P107" s="17" t="n">
        <v>479.7733764648438</v>
      </c>
      <c r="Q107" s="17" t="n">
        <v>478.38818359375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Q4 2023-24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-1.35%</t>
        </is>
      </c>
      <c r="J108" s="13" t="inlineStr">
        <is>
          <t>-3.02%</t>
        </is>
      </c>
      <c r="K108" s="16">
        <f>X107</f>
        <v/>
      </c>
      <c r="L108" s="13" t="inlineStr">
        <is>
          <t>2024-01-17</t>
        </is>
      </c>
      <c r="M108" s="13" t="inlineStr">
        <is>
          <t>2024-02-01</t>
        </is>
      </c>
      <c r="N108" s="13" t="inlineStr">
        <is>
          <t>2024-01-25</t>
        </is>
      </c>
      <c r="O108" s="9" t="n">
        <v>675</v>
      </c>
      <c r="P108" s="17" t="n">
        <v>799.5755004882812</v>
      </c>
      <c r="Q108" s="17" t="n">
        <v>788.8016357421875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Q4 2023-24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-2.38%</t>
        </is>
      </c>
      <c r="J109" s="13" t="inlineStr">
        <is>
          <t>-3.62%</t>
        </is>
      </c>
      <c r="K109" s="16">
        <f>X108</f>
        <v/>
      </c>
      <c r="L109" s="13" t="inlineStr">
        <is>
          <t>2024-01-12</t>
        </is>
      </c>
      <c r="M109" s="13" t="inlineStr">
        <is>
          <t>2024-01-29</t>
        </is>
      </c>
      <c r="N109" s="13" t="inlineStr">
        <is>
          <t>2024-01-20</t>
        </is>
      </c>
      <c r="O109" s="9" t="n">
        <v>2273</v>
      </c>
      <c r="P109" s="17" t="n">
        <v>522.1679077148438</v>
      </c>
      <c r="Q109" s="17" t="n">
        <v>509.7506713867188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Q4 2023-24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4.28%</t>
        </is>
      </c>
      <c r="J110" s="13" t="inlineStr">
        <is>
          <t>4.88%</t>
        </is>
      </c>
      <c r="K110" s="16">
        <f>X109</f>
        <v/>
      </c>
      <c r="L110" s="13" t="inlineStr">
        <is>
          <t>2024-01-16</t>
        </is>
      </c>
      <c r="M110" s="13" t="inlineStr">
        <is>
          <t>2024-01-23</t>
        </is>
      </c>
      <c r="N110" s="13" t="inlineStr">
        <is>
          <t>2024-01-20</t>
        </is>
      </c>
      <c r="O110" s="9" t="n">
        <v>1575</v>
      </c>
      <c r="P110" s="17" t="n">
        <v>350.3372497558594</v>
      </c>
      <c r="Q110" s="17" t="n">
        <v>366.0061645507813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Q4 2023-24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4.57%</t>
        </is>
      </c>
      <c r="J111" s="13" t="inlineStr">
        <is>
          <t>-1.52%</t>
        </is>
      </c>
      <c r="K111" s="16">
        <f>X110</f>
        <v/>
      </c>
      <c r="L111" s="13" t="inlineStr">
        <is>
          <t>2024-01-16</t>
        </is>
      </c>
      <c r="M111" s="13" t="inlineStr">
        <is>
          <t>2024-01-29</t>
        </is>
      </c>
      <c r="N111" s="13" t="inlineStr">
        <is>
          <t>2024-01-20</t>
        </is>
      </c>
      <c r="O111" s="9" t="n">
        <v>276</v>
      </c>
      <c r="P111" s="17" t="n">
        <v>2761</v>
      </c>
      <c r="Q111" s="17" t="n">
        <v>2887.300048828125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Q4 2023-24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0.86%</t>
        </is>
      </c>
      <c r="J112" s="13" t="inlineStr">
        <is>
          <t>-2.88%</t>
        </is>
      </c>
      <c r="K112" s="16">
        <f>X111</f>
        <v/>
      </c>
      <c r="L112" s="13" t="inlineStr">
        <is>
          <t>2024-01-09</t>
        </is>
      </c>
      <c r="M112" s="13" t="inlineStr">
        <is>
          <t>2024-01-29</t>
        </is>
      </c>
      <c r="N112" s="13" t="inlineStr">
        <is>
          <t>2024-01-20</t>
        </is>
      </c>
      <c r="O112" s="9" t="n">
        <v>208</v>
      </c>
      <c r="P112" s="17" t="n">
        <v>3182.871826171875</v>
      </c>
      <c r="Q112" s="17" t="n">
        <v>3210.483154296875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Q4 2023-24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6.48%</t>
        </is>
      </c>
      <c r="J113" s="13" t="inlineStr">
        <is>
          <t>3.98%</t>
        </is>
      </c>
      <c r="K113" s="16">
        <f>X112</f>
        <v/>
      </c>
      <c r="L113" s="13" t="inlineStr">
        <is>
          <t>2024-01-09</t>
        </is>
      </c>
      <c r="M113" s="13" t="inlineStr">
        <is>
          <t>2024-01-23</t>
        </is>
      </c>
      <c r="N113" s="13" t="inlineStr">
        <is>
          <t>2024-01-20</t>
        </is>
      </c>
      <c r="O113" s="9" t="n">
        <v>1063</v>
      </c>
      <c r="P113" s="17" t="n">
        <v>501.786376953125</v>
      </c>
      <c r="Q113" s="17" t="n">
        <v>534.2869873046875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Q4 2023-24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3.44%</t>
        </is>
      </c>
      <c r="J114" s="13" t="inlineStr">
        <is>
          <t>3.34%</t>
        </is>
      </c>
      <c r="K114" s="16">
        <f>X113</f>
        <v/>
      </c>
      <c r="L114" s="13" t="inlineStr">
        <is>
          <t>2024-01-16</t>
        </is>
      </c>
      <c r="M114" s="13" t="inlineStr">
        <is>
          <t>2024-01-23</t>
        </is>
      </c>
      <c r="N114" s="13" t="inlineStr">
        <is>
          <t>2024-01-20</t>
        </is>
      </c>
      <c r="O114" s="9" t="n">
        <v>400</v>
      </c>
      <c r="P114" s="17" t="n">
        <v>356.0986938476562</v>
      </c>
      <c r="Q114" s="17" t="n">
        <v>368.7702026367188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Q4 2023-24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-3.15%</t>
        </is>
      </c>
      <c r="J115" s="13" t="inlineStr">
        <is>
          <t>-2.0%</t>
        </is>
      </c>
      <c r="K115" s="16">
        <f>X114</f>
        <v/>
      </c>
      <c r="L115" s="13" t="inlineStr">
        <is>
          <t>2024-01-12</t>
        </is>
      </c>
      <c r="M115" s="13" t="inlineStr">
        <is>
          <t>2024-01-23</t>
        </is>
      </c>
      <c r="N115" s="13" t="inlineStr">
        <is>
          <t>2024-01-20</t>
        </is>
      </c>
      <c r="O115" s="9" t="n">
        <v>1695</v>
      </c>
      <c r="P115" s="17" t="n">
        <v>1530.47314453125</v>
      </c>
      <c r="Q115" s="17" t="n">
        <v>1482.297241210938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Q4 2023-24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5.22%</t>
        </is>
      </c>
      <c r="J116" s="13" t="inlineStr">
        <is>
          <t>2.41%</t>
        </is>
      </c>
      <c r="K116" s="16">
        <f>X115</f>
        <v/>
      </c>
      <c r="L116" s="13" t="inlineStr">
        <is>
          <t>2024-01-15</t>
        </is>
      </c>
      <c r="M116" s="13" t="inlineStr">
        <is>
          <t>2024-01-23</t>
        </is>
      </c>
      <c r="N116" s="13" t="inlineStr">
        <is>
          <t>2024-01-20</t>
        </is>
      </c>
      <c r="O116" s="9" t="n">
        <v>561</v>
      </c>
      <c r="P116" s="17" t="n">
        <v>396.9864196777344</v>
      </c>
      <c r="Q116" s="17" t="n">
        <v>418.8283386230469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Q4 2023-24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4.3%</t>
        </is>
      </c>
      <c r="J117" s="13" t="inlineStr">
        <is>
          <t>4.88%</t>
        </is>
      </c>
      <c r="K117" s="16">
        <f>X116</f>
        <v/>
      </c>
      <c r="L117" s="13" t="inlineStr">
        <is>
          <t>2024-01-17</t>
        </is>
      </c>
      <c r="M117" s="13" t="inlineStr">
        <is>
          <t>2024-01-29</t>
        </is>
      </c>
      <c r="N117" s="13" t="inlineStr">
        <is>
          <t>2024-01-20</t>
        </is>
      </c>
      <c r="O117" s="9" t="n">
        <v>1848</v>
      </c>
      <c r="P117" s="17" t="n">
        <v>557.8388671875</v>
      </c>
      <c r="Q117" s="17" t="n">
        <v>581.8397827148438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Q4 2023-24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-10.36%</t>
        </is>
      </c>
      <c r="J118" s="13" t="inlineStr">
        <is>
          <t>-11.31%</t>
        </is>
      </c>
      <c r="K118" s="16">
        <f>X117</f>
        <v/>
      </c>
      <c r="L118" s="13" t="inlineStr">
        <is>
          <t>2024-08-02</t>
        </is>
      </c>
      <c r="M118" s="13" t="inlineStr">
        <is>
          <t>2024-08-16</t>
        </is>
      </c>
      <c r="N118" s="13" t="inlineStr">
        <is>
          <t>2024-08-08</t>
        </is>
      </c>
      <c r="O118" s="9" t="n">
        <v>2364</v>
      </c>
      <c r="P118" s="17" t="n">
        <v>568.7255859375</v>
      </c>
      <c r="Q118" s="17" t="n">
        <v>509.7821350097656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Q4 2023-24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11.18%</t>
        </is>
      </c>
      <c r="J119" s="13" t="inlineStr">
        <is>
          <t>6.93%</t>
        </is>
      </c>
      <c r="K119" s="16">
        <f>X118</f>
        <v/>
      </c>
      <c r="L119" s="13" t="inlineStr">
        <is>
          <t>2024-01-15</t>
        </is>
      </c>
      <c r="M119" s="13" t="inlineStr">
        <is>
          <t>2024-01-23</t>
        </is>
      </c>
      <c r="N119" s="13" t="inlineStr">
        <is>
          <t>2024-01-20</t>
        </is>
      </c>
      <c r="O119" s="9" t="n">
        <v>776</v>
      </c>
      <c r="P119" s="17" t="n">
        <v>1067.650634765625</v>
      </c>
      <c r="Q119" s="17" t="n">
        <v>1201.97119140625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Q4 2023-24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-2.98%</t>
        </is>
      </c>
      <c r="J120" s="13" t="inlineStr">
        <is>
          <t>-3.54%</t>
        </is>
      </c>
      <c r="K120" s="16">
        <f>X119</f>
        <v/>
      </c>
      <c r="L120" s="13" t="inlineStr">
        <is>
          <t>2024-01-31</t>
        </is>
      </c>
      <c r="M120" s="13" t="inlineStr">
        <is>
          <t>2024-02-02</t>
        </is>
      </c>
      <c r="N120" s="13" t="inlineStr">
        <is>
          <t>2024-01-31</t>
        </is>
      </c>
      <c r="O120" s="9" t="n">
        <v>300</v>
      </c>
      <c r="P120" s="17" t="n">
        <v>3387.61865234375</v>
      </c>
      <c r="Q120" s="17" t="n">
        <v>3286.664306640625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Q4 2023-24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4.15%</t>
        </is>
      </c>
      <c r="J121" s="13" t="inlineStr">
        <is>
          <t>2.69%</t>
        </is>
      </c>
      <c r="K121" s="16">
        <f>X120</f>
        <v/>
      </c>
      <c r="L121" s="13" t="inlineStr">
        <is>
          <t>2024-01-18</t>
        </is>
      </c>
      <c r="M121" s="13" t="inlineStr">
        <is>
          <t>2024-01-23</t>
        </is>
      </c>
      <c r="N121" s="13" t="inlineStr">
        <is>
          <t>2024-01-20</t>
        </is>
      </c>
      <c r="O121" s="9" t="n">
        <v>3265</v>
      </c>
      <c r="P121" s="17" t="n">
        <v>153.2957000732422</v>
      </c>
      <c r="Q121" s="17" t="n">
        <v>159.9252166748047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Q4 2023-24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2.76%</t>
        </is>
      </c>
      <c r="J122" s="13" t="inlineStr">
        <is>
          <t>0.19%</t>
        </is>
      </c>
      <c r="K122" s="16">
        <f>X121</f>
        <v/>
      </c>
      <c r="L122" s="13" t="inlineStr">
        <is>
          <t>2024-01-18</t>
        </is>
      </c>
      <c r="M122" s="13" t="inlineStr">
        <is>
          <t>2024-01-29</t>
        </is>
      </c>
      <c r="N122" s="13" t="inlineStr">
        <is>
          <t>2024-01-20</t>
        </is>
      </c>
      <c r="O122" s="9" t="n">
        <v>225</v>
      </c>
      <c r="P122" s="17" t="n">
        <v>5242.72216796875</v>
      </c>
      <c r="Q122" s="17" t="n">
        <v>5391.53466796875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Q4 2023-24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3.08%</t>
        </is>
      </c>
      <c r="J123" s="13" t="inlineStr">
        <is>
          <t>-0.71%</t>
        </is>
      </c>
      <c r="K123" s="16">
        <f>X122</f>
        <v/>
      </c>
      <c r="L123" s="13" t="inlineStr">
        <is>
          <t>2024-01-09</t>
        </is>
      </c>
      <c r="M123" s="13" t="inlineStr">
        <is>
          <t>2024-01-23</t>
        </is>
      </c>
      <c r="N123" s="13" t="inlineStr">
        <is>
          <t>2024-01-20</t>
        </is>
      </c>
      <c r="O123" s="9" t="n">
        <v>413</v>
      </c>
      <c r="P123" s="17" t="n">
        <v>1371.66650390625</v>
      </c>
      <c r="Q123" s="17" t="n">
        <v>1413.858642578125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Q4 2023-24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11.49%</t>
        </is>
      </c>
      <c r="J124" s="13" t="inlineStr">
        <is>
          <t>9.22%</t>
        </is>
      </c>
      <c r="K124" s="16">
        <f>X123</f>
        <v/>
      </c>
      <c r="L124" s="13" t="inlineStr">
        <is>
          <t>2024-02-09</t>
        </is>
      </c>
      <c r="M124" s="13" t="inlineStr">
        <is>
          <t>2024-02-16</t>
        </is>
      </c>
      <c r="N124" s="13" t="inlineStr">
        <is>
          <t>2024-02-14</t>
        </is>
      </c>
      <c r="O124" s="9" t="n">
        <v>350</v>
      </c>
      <c r="P124" s="17" t="n">
        <v>1604.555908203125</v>
      </c>
      <c r="Q124" s="17" t="n">
        <v>1788.898559570312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Q4 2023-24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7.14%</t>
        </is>
      </c>
      <c r="J125" s="13" t="inlineStr">
        <is>
          <t>2.76%</t>
        </is>
      </c>
      <c r="K125" s="16">
        <f>X124</f>
        <v/>
      </c>
      <c r="L125" s="13" t="inlineStr">
        <is>
          <t>2024-01-15</t>
        </is>
      </c>
      <c r="M125" s="13" t="inlineStr">
        <is>
          <t>2024-01-29</t>
        </is>
      </c>
      <c r="N125" s="13" t="inlineStr">
        <is>
          <t>2024-01-20</t>
        </is>
      </c>
      <c r="O125" s="9" t="n">
        <v>12616</v>
      </c>
      <c r="P125" s="17" t="n">
        <v>46.39874267578125</v>
      </c>
      <c r="Q125" s="17" t="n">
        <v>49.71294021606445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Q4 2023-24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-2.8%</t>
        </is>
      </c>
      <c r="J126" s="13" t="inlineStr">
        <is>
          <t>-3.37%</t>
        </is>
      </c>
      <c r="K126" s="16">
        <f>X125</f>
        <v/>
      </c>
      <c r="L126" s="13" t="inlineStr">
        <is>
          <t>2024-01-17</t>
        </is>
      </c>
      <c r="M126" s="13" t="inlineStr">
        <is>
          <t>2024-01-23</t>
        </is>
      </c>
      <c r="N126" s="13" t="inlineStr">
        <is>
          <t>2024-01-20</t>
        </is>
      </c>
      <c r="O126" s="9" t="n">
        <v>2714</v>
      </c>
      <c r="P126" s="17" t="n">
        <v>166.9743957519531</v>
      </c>
      <c r="Q126" s="17" t="n">
        <v>162.2973937988281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Q4 2023-24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3.26%</t>
        </is>
      </c>
      <c r="J127" s="13" t="inlineStr">
        <is>
          <t>0.16%</t>
        </is>
      </c>
      <c r="K127" s="16">
        <f>X126</f>
        <v/>
      </c>
      <c r="L127" s="13" t="inlineStr">
        <is>
          <t>2024-01-15</t>
        </is>
      </c>
      <c r="M127" s="13" t="inlineStr">
        <is>
          <t>2024-01-23</t>
        </is>
      </c>
      <c r="N127" s="13" t="inlineStr">
        <is>
          <t>2024-01-20</t>
        </is>
      </c>
      <c r="O127" s="9" t="n">
        <v>388</v>
      </c>
      <c r="P127" s="17" t="n">
        <v>2142.005615234375</v>
      </c>
      <c r="Q127" s="17" t="n">
        <v>2214.127197265625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Q4 2023-24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-3.06%</t>
        </is>
      </c>
      <c r="J128" s="13" t="inlineStr">
        <is>
          <t>-4.45%</t>
        </is>
      </c>
      <c r="K128" s="16">
        <f>X127</f>
        <v/>
      </c>
      <c r="L128" s="13" t="inlineStr">
        <is>
          <t>2024-01-12</t>
        </is>
      </c>
      <c r="M128" s="13" t="inlineStr">
        <is>
          <t>2024-01-29</t>
        </is>
      </c>
      <c r="N128" s="13" t="inlineStr">
        <is>
          <t>2024-01-20</t>
        </is>
      </c>
      <c r="O128" s="9" t="n">
        <v>1129</v>
      </c>
      <c r="P128" s="17" t="n">
        <v>515.9141235351562</v>
      </c>
      <c r="Q128" s="17" t="n">
        <v>500.1335754394531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Q4 2023-24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-6.65%</t>
        </is>
      </c>
      <c r="J129" s="13" t="inlineStr">
        <is>
          <t>-7.36%</t>
        </is>
      </c>
      <c r="K129" s="16">
        <f>X128</f>
        <v/>
      </c>
      <c r="L129" s="13" t="inlineStr">
        <is>
          <t>2024-01-29</t>
        </is>
      </c>
      <c r="M129" s="13" t="inlineStr">
        <is>
          <t>2024-02-02</t>
        </is>
      </c>
      <c r="N129" s="13" t="inlineStr">
        <is>
          <t>2024-01-31</t>
        </is>
      </c>
      <c r="O129" s="9" t="n">
        <v>100</v>
      </c>
      <c r="P129" s="17" t="n">
        <v>10442.72265625</v>
      </c>
      <c r="Q129" s="17" t="n">
        <v>9791.9296875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Q4 2023-24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3.75%</t>
        </is>
      </c>
      <c r="J130" s="13" t="inlineStr">
        <is>
          <t>1.13%</t>
        </is>
      </c>
      <c r="K130" s="16">
        <f>X129</f>
        <v/>
      </c>
      <c r="L130" s="13" t="inlineStr">
        <is>
          <t>2022-02-07</t>
        </is>
      </c>
      <c r="M130" s="13" t="inlineStr">
        <is>
          <t>2022-02-14</t>
        </is>
      </c>
      <c r="N130" s="13" t="inlineStr">
        <is>
          <t>2022-02-12</t>
        </is>
      </c>
      <c r="O130" s="9" t="n">
        <v>922</v>
      </c>
      <c r="P130" s="17" t="n">
        <v>347.2989501953125</v>
      </c>
      <c r="Q130" s="17" t="n">
        <v>360.3164367675781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Q4 2023-24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-1.17%</t>
        </is>
      </c>
      <c r="J131" s="13" t="inlineStr">
        <is>
          <t>-6.16%</t>
        </is>
      </c>
      <c r="K131" s="16">
        <f>X130</f>
        <v/>
      </c>
      <c r="L131" s="13" t="inlineStr">
        <is>
          <t>2024-01-15</t>
        </is>
      </c>
      <c r="M131" s="13" t="inlineStr">
        <is>
          <t>2024-01-29</t>
        </is>
      </c>
      <c r="N131" s="13" t="inlineStr">
        <is>
          <t>2024-01-20</t>
        </is>
      </c>
      <c r="O131" s="9" t="n">
        <v>431</v>
      </c>
      <c r="P131" s="17" t="n">
        <v>1141.15869140625</v>
      </c>
      <c r="Q131" s="17" t="n">
        <v>1127.996215820312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Q4 2023-24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-0.96%</t>
        </is>
      </c>
      <c r="J132" s="13" t="inlineStr">
        <is>
          <t>-11.32%</t>
        </is>
      </c>
      <c r="K132" s="16">
        <f>X131</f>
        <v/>
      </c>
      <c r="L132" s="13" t="inlineStr">
        <is>
          <t>2024-01-10</t>
        </is>
      </c>
      <c r="M132" s="13" t="inlineStr">
        <is>
          <t>2024-01-23</t>
        </is>
      </c>
      <c r="N132" s="13" t="inlineStr">
        <is>
          <t>2024-01-20</t>
        </is>
      </c>
      <c r="O132" s="9" t="n">
        <v>373</v>
      </c>
      <c r="P132" s="17" t="n">
        <v>609.1777954101562</v>
      </c>
      <c r="Q132" s="17" t="n">
        <v>603.3477783203125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Q4 2023-24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6.78%</t>
        </is>
      </c>
      <c r="J133" s="13" t="inlineStr">
        <is>
          <t>8.26%</t>
        </is>
      </c>
      <c r="K133" s="16">
        <f>X132</f>
        <v/>
      </c>
      <c r="L133" s="13" t="inlineStr">
        <is>
          <t>2024-01-17</t>
        </is>
      </c>
      <c r="M133" s="13" t="inlineStr">
        <is>
          <t>2024-01-23</t>
        </is>
      </c>
      <c r="N133" s="13" t="inlineStr">
        <is>
          <t>2024-01-20</t>
        </is>
      </c>
      <c r="O133" s="9" t="n">
        <v>661</v>
      </c>
      <c r="P133" s="17" t="n">
        <v>865</v>
      </c>
      <c r="Q133" s="17" t="n">
        <v>927.9500122070312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Q4 2023-24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-8.38%</t>
        </is>
      </c>
      <c r="J134" s="13" t="inlineStr">
        <is>
          <t>-10.36%</t>
        </is>
      </c>
      <c r="K134" s="16">
        <f>X133</f>
        <v/>
      </c>
      <c r="L134" s="13" t="inlineStr">
        <is>
          <t>2024-01-15</t>
        </is>
      </c>
      <c r="M134" s="13" t="inlineStr">
        <is>
          <t>2024-01-29</t>
        </is>
      </c>
      <c r="N134" s="13" t="inlineStr">
        <is>
          <t>2024-01-20</t>
        </is>
      </c>
      <c r="O134" s="9" t="n">
        <v>6815</v>
      </c>
      <c r="P134" s="17" t="n">
        <v>76.41387176513672</v>
      </c>
      <c r="Q134" s="17" t="n">
        <v>70.50558471679688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Q4 2023-24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1.77%</t>
        </is>
      </c>
      <c r="J135" s="13" t="inlineStr">
        <is>
          <t>-3.35%</t>
        </is>
      </c>
      <c r="K135" s="16">
        <f>X134</f>
        <v/>
      </c>
      <c r="L135" s="13" t="inlineStr">
        <is>
          <t>2024-01-18</t>
        </is>
      </c>
      <c r="M135" s="13" t="inlineStr">
        <is>
          <t>2024-01-23</t>
        </is>
      </c>
      <c r="N135" s="13" t="inlineStr">
        <is>
          <t>2024-01-20</t>
        </is>
      </c>
      <c r="O135" s="9" t="n">
        <v>1194</v>
      </c>
      <c r="P135" s="17" t="n">
        <v>371.9189453125</v>
      </c>
      <c r="Q135" s="17" t="n">
        <v>378.4977722167969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Q4 2023-24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0.91%</t>
        </is>
      </c>
      <c r="J136" s="13" t="inlineStr">
        <is>
          <t>-2.0%</t>
        </is>
      </c>
      <c r="K136" s="16">
        <f>X135</f>
        <v/>
      </c>
      <c r="L136" s="13" t="inlineStr">
        <is>
          <t>2024-01-10</t>
        </is>
      </c>
      <c r="M136" s="13" t="inlineStr">
        <is>
          <t>2024-01-29</t>
        </is>
      </c>
      <c r="N136" s="13" t="inlineStr">
        <is>
          <t>2024-01-20</t>
        </is>
      </c>
      <c r="O136" s="9" t="n">
        <v>426</v>
      </c>
      <c r="P136" s="17" t="n">
        <v>2392.06005859375</v>
      </c>
      <c r="Q136" s="17" t="n">
        <v>2413.836669921875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Q4 2023-24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0.14%</t>
        </is>
      </c>
      <c r="J137" s="13" t="inlineStr">
        <is>
          <t>-0.72%</t>
        </is>
      </c>
      <c r="K137" s="16">
        <f>X136</f>
        <v/>
      </c>
      <c r="L137" s="13" t="inlineStr">
        <is>
          <t>2025-07-24</t>
        </is>
      </c>
      <c r="M137" s="13" t="inlineStr">
        <is>
          <t>2025-08-04</t>
        </is>
      </c>
      <c r="N137" s="13" t="inlineStr">
        <is>
          <t>2025-07-28</t>
        </is>
      </c>
      <c r="O137" s="9" t="n">
        <v>332</v>
      </c>
      <c r="P137" s="17" t="n">
        <v>2639.87841796875</v>
      </c>
      <c r="Q137" s="17" t="n">
        <v>2643.448486328125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Q4 2023-24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4.8%</t>
        </is>
      </c>
      <c r="J138" s="13" t="inlineStr">
        <is>
          <t>4.29%</t>
        </is>
      </c>
      <c r="K138" s="16">
        <f>X137</f>
        <v/>
      </c>
      <c r="L138" s="13" t="inlineStr">
        <is>
          <t>2024-01-18</t>
        </is>
      </c>
      <c r="M138" s="13" t="inlineStr">
        <is>
          <t>2024-01-23</t>
        </is>
      </c>
      <c r="N138" s="13" t="inlineStr">
        <is>
          <t>2024-01-20</t>
        </is>
      </c>
      <c r="O138" s="9" t="n">
        <v>871</v>
      </c>
      <c r="P138" s="17" t="n">
        <v>457.2942504882813</v>
      </c>
      <c r="Q138" s="17" t="n">
        <v>480.33056640625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Q4 2023-24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8.75%</t>
        </is>
      </c>
      <c r="J139" s="13" t="inlineStr">
        <is>
          <t>3.23%</t>
        </is>
      </c>
      <c r="K139" s="16">
        <f>X138</f>
        <v/>
      </c>
      <c r="L139" s="13" t="inlineStr">
        <is>
          <t>2024-01-16</t>
        </is>
      </c>
      <c r="M139" s="13" t="inlineStr">
        <is>
          <t>2024-01-23</t>
        </is>
      </c>
      <c r="N139" s="13" t="inlineStr">
        <is>
          <t>2024-01-20</t>
        </is>
      </c>
      <c r="O139" s="9" t="n">
        <v>2876</v>
      </c>
      <c r="P139" s="17" t="n">
        <v>114.1191101074219</v>
      </c>
      <c r="Q139" s="17" t="n">
        <v>125.0583267211914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Q4 2023-24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-7.43%</t>
        </is>
      </c>
      <c r="J140" s="13" t="inlineStr">
        <is>
          <t>-9.04%</t>
        </is>
      </c>
      <c r="K140" s="16">
        <f>X139</f>
        <v/>
      </c>
      <c r="L140" s="13" t="inlineStr">
        <is>
          <t>2024-01-15</t>
        </is>
      </c>
      <c r="M140" s="13" t="inlineStr">
        <is>
          <t>2024-01-23</t>
        </is>
      </c>
      <c r="N140" s="13" t="inlineStr">
        <is>
          <t>2024-01-20</t>
        </is>
      </c>
      <c r="O140" s="9" t="n">
        <v>803</v>
      </c>
      <c r="P140" s="17" t="n">
        <v>1055.067504882812</v>
      </c>
      <c r="Q140" s="17" t="n">
        <v>976.6744995117188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Q4 2023-24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-12.11%</t>
        </is>
      </c>
      <c r="J141" s="13" t="inlineStr">
        <is>
          <t>-14.2%</t>
        </is>
      </c>
      <c r="K141" s="16">
        <f>X140</f>
        <v/>
      </c>
      <c r="L141" s="13" t="inlineStr">
        <is>
          <t>2024-01-17</t>
        </is>
      </c>
      <c r="M141" s="13" t="inlineStr">
        <is>
          <t>2024-01-23</t>
        </is>
      </c>
      <c r="N141" s="13" t="inlineStr">
        <is>
          <t>2024-01-20</t>
        </is>
      </c>
      <c r="O141" s="9" t="n">
        <v>10687</v>
      </c>
      <c r="P141" s="17" t="n">
        <v>64.66243743896484</v>
      </c>
      <c r="Q141" s="17" t="n">
        <v>57.67810821533203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Q4 2023-24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-1.56%</t>
        </is>
      </c>
      <c r="J142" s="13" t="inlineStr">
        <is>
          <t>-1.43%</t>
        </is>
      </c>
      <c r="K142" s="16">
        <f>X141</f>
        <v/>
      </c>
      <c r="L142" s="13" t="inlineStr">
        <is>
          <t>2024-01-18</t>
        </is>
      </c>
      <c r="M142" s="13" t="inlineStr">
        <is>
          <t>2024-01-23</t>
        </is>
      </c>
      <c r="N142" s="13" t="inlineStr">
        <is>
          <t>2024-01-20</t>
        </is>
      </c>
      <c r="O142" s="9" t="n">
        <v>200</v>
      </c>
      <c r="P142" s="17" t="n">
        <v>1216.572509765625</v>
      </c>
      <c r="Q142" s="17" t="n">
        <v>1197.560424804688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Q4 2023-24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-20.01%</t>
        </is>
      </c>
      <c r="J143" s="13" t="inlineStr">
        <is>
          <t>-22.79%</t>
        </is>
      </c>
      <c r="K143" s="16">
        <f>X142</f>
        <v/>
      </c>
      <c r="L143" s="13" t="inlineStr">
        <is>
          <t>2024-01-15</t>
        </is>
      </c>
      <c r="M143" s="13" t="inlineStr">
        <is>
          <t>2024-01-29</t>
        </is>
      </c>
      <c r="N143" s="13" t="inlineStr">
        <is>
          <t>2024-01-20</t>
        </is>
      </c>
      <c r="O143" s="9" t="n">
        <v>12809</v>
      </c>
      <c r="P143" s="17" t="n">
        <v>81.61331176757812</v>
      </c>
      <c r="Q143" s="17" t="n">
        <v>68.00328063964844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Q4 2023-24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-3.32%</t>
        </is>
      </c>
      <c r="J144" s="13" t="inlineStr">
        <is>
          <t>-2.47%</t>
        </is>
      </c>
      <c r="K144" s="16">
        <f>X143</f>
        <v/>
      </c>
      <c r="L144" s="13" t="inlineStr">
        <is>
          <t>2024-01-15</t>
        </is>
      </c>
      <c r="M144" s="13" t="inlineStr">
        <is>
          <t>2024-01-23</t>
        </is>
      </c>
      <c r="N144" s="13" t="inlineStr">
        <is>
          <t>2024-01-20</t>
        </is>
      </c>
      <c r="O144" s="9" t="n">
        <v>11763</v>
      </c>
      <c r="P144" s="17" t="n">
        <v>62.5621223449707</v>
      </c>
      <c r="Q144" s="17" t="n">
        <v>60.48567199707031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Q4 2023-24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-8.66%</t>
        </is>
      </c>
      <c r="J145" s="13" t="inlineStr">
        <is>
          <t>-7.17%</t>
        </is>
      </c>
      <c r="K145" s="16">
        <f>X144</f>
        <v/>
      </c>
      <c r="L145" s="13" t="inlineStr">
        <is>
          <t>2024-01-17</t>
        </is>
      </c>
      <c r="M145" s="13" t="inlineStr">
        <is>
          <t>2024-02-05</t>
        </is>
      </c>
      <c r="N145" s="13" t="inlineStr">
        <is>
          <t>2024-01-29</t>
        </is>
      </c>
      <c r="O145" s="9" t="n">
        <v>1500</v>
      </c>
      <c r="P145" s="17" t="n">
        <v>317.3077697753906</v>
      </c>
      <c r="Q145" s="17" t="n">
        <v>292.0061950683594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Q4 2023-24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14.15%</t>
        </is>
      </c>
      <c r="J146" s="13" t="inlineStr">
        <is>
          <t>11.29%</t>
        </is>
      </c>
      <c r="K146" s="16">
        <f>X145</f>
        <v/>
      </c>
      <c r="L146" s="13" t="inlineStr">
        <is>
          <t>2024-01-10</t>
        </is>
      </c>
      <c r="M146" s="13" t="inlineStr">
        <is>
          <t>2024-01-23</t>
        </is>
      </c>
      <c r="N146" s="13" t="inlineStr">
        <is>
          <t>2024-01-20</t>
        </is>
      </c>
      <c r="O146" s="9" t="n">
        <v>2996</v>
      </c>
      <c r="P146" s="17" t="n">
        <v>163.5500030517578</v>
      </c>
      <c r="Q146" s="17" t="n">
        <v>190.5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Q4 2023-24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-15.11%</t>
        </is>
      </c>
      <c r="J147" s="13" t="inlineStr">
        <is>
          <t>-13.35%</t>
        </is>
      </c>
      <c r="K147" s="16">
        <f>X146</f>
        <v/>
      </c>
      <c r="L147" s="13" t="inlineStr">
        <is>
          <t>2024-01-12</t>
        </is>
      </c>
      <c r="M147" s="13" t="inlineStr">
        <is>
          <t>2024-01-29</t>
        </is>
      </c>
      <c r="N147" s="13" t="inlineStr">
        <is>
          <t>2024-01-20</t>
        </is>
      </c>
      <c r="O147" s="9" t="n">
        <v>551</v>
      </c>
      <c r="P147" s="17" t="n">
        <v>1519.110107421875</v>
      </c>
      <c r="Q147" s="17" t="n">
        <v>1289.537963867188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Q4 2023-24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-52.49%</t>
        </is>
      </c>
      <c r="J148" s="13" t="inlineStr">
        <is>
          <t>-47.94%</t>
        </is>
      </c>
      <c r="K148" s="16">
        <f>X147</f>
        <v/>
      </c>
      <c r="L148" s="13" t="inlineStr">
        <is>
          <t>2024-01-09</t>
        </is>
      </c>
      <c r="M148" s="13" t="inlineStr">
        <is>
          <t>2024-01-29</t>
        </is>
      </c>
      <c r="N148" s="13" t="inlineStr">
        <is>
          <t>2024-01-20</t>
        </is>
      </c>
      <c r="O148" s="9" t="n">
        <v>100</v>
      </c>
      <c r="P148" s="17" t="n">
        <v>5963.38232421875</v>
      </c>
      <c r="Q148" s="17" t="n">
        <v>3910.70751953125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Q4 2023-24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1.77%</t>
        </is>
      </c>
      <c r="J149" s="13" t="inlineStr">
        <is>
          <t>-6.32%</t>
        </is>
      </c>
      <c r="K149" s="16">
        <f>X148</f>
        <v/>
      </c>
      <c r="L149" s="13" t="inlineStr">
        <is>
          <t>2024-01-16</t>
        </is>
      </c>
      <c r="M149" s="13" t="inlineStr">
        <is>
          <t>2024-01-23</t>
        </is>
      </c>
      <c r="N149" s="13" t="inlineStr">
        <is>
          <t>2024-01-20</t>
        </is>
      </c>
      <c r="O149" s="9" t="n">
        <v>2188</v>
      </c>
      <c r="P149" s="17" t="n">
        <v>242.0495910644531</v>
      </c>
      <c r="Q149" s="17" t="n">
        <v>246.3391265869141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Q4 2023-24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-8.33%</t>
        </is>
      </c>
      <c r="J150" s="13" t="inlineStr">
        <is>
          <t>-9.08%</t>
        </is>
      </c>
      <c r="K150" s="16">
        <f>X149</f>
        <v/>
      </c>
      <c r="L150" s="13" t="inlineStr">
        <is>
          <t>2024-02-02</t>
        </is>
      </c>
      <c r="M150" s="13" t="inlineStr">
        <is>
          <t>2024-02-19</t>
        </is>
      </c>
      <c r="N150" s="13" t="inlineStr">
        <is>
          <t>2024-02-12</t>
        </is>
      </c>
      <c r="O150" s="9" t="n">
        <v>3750</v>
      </c>
      <c r="P150" s="17" t="n">
        <v>247.4249877929688</v>
      </c>
      <c r="Q150" s="17" t="n">
        <v>228.4068603515625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Q4 2023-24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1.28%</t>
        </is>
      </c>
      <c r="J151" s="13" t="inlineStr">
        <is>
          <t>1.37%</t>
        </is>
      </c>
      <c r="K151" s="16">
        <f>X150</f>
        <v/>
      </c>
      <c r="L151" s="13" t="inlineStr">
        <is>
          <t>2024-01-10</t>
        </is>
      </c>
      <c r="M151" s="13" t="inlineStr">
        <is>
          <t>2024-01-23</t>
        </is>
      </c>
      <c r="N151" s="13" t="inlineStr">
        <is>
          <t>2024-01-20</t>
        </is>
      </c>
      <c r="O151" s="9" t="n">
        <v>100</v>
      </c>
      <c r="P151" s="17" t="n">
        <v>36575</v>
      </c>
      <c r="Q151" s="17" t="n">
        <v>37050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Q4 2023-24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5.8%</t>
        </is>
      </c>
      <c r="J152" s="13" t="inlineStr">
        <is>
          <t>4.36%</t>
        </is>
      </c>
      <c r="K152" s="16">
        <f>X151</f>
        <v/>
      </c>
      <c r="L152" s="13" t="inlineStr">
        <is>
          <t>2024-01-12</t>
        </is>
      </c>
      <c r="M152" s="13" t="inlineStr">
        <is>
          <t>2024-01-23</t>
        </is>
      </c>
      <c r="N152" s="13" t="inlineStr">
        <is>
          <t>2024-01-20</t>
        </is>
      </c>
      <c r="O152" s="9" t="n">
        <v>2806</v>
      </c>
      <c r="P152" s="17" t="n">
        <v>506.5538330078125</v>
      </c>
      <c r="Q152" s="17" t="n">
        <v>537.7288818359375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Q4 2023-24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-8.61%</t>
        </is>
      </c>
      <c r="J153" s="13" t="inlineStr">
        <is>
          <t>-7.02%</t>
        </is>
      </c>
      <c r="K153" s="16">
        <f>X152</f>
        <v/>
      </c>
      <c r="L153" s="13" t="inlineStr">
        <is>
          <t>2024-01-15</t>
        </is>
      </c>
      <c r="M153" s="13" t="inlineStr">
        <is>
          <t>2024-01-29</t>
        </is>
      </c>
      <c r="N153" s="13" t="inlineStr">
        <is>
          <t>2024-01-20</t>
        </is>
      </c>
      <c r="O153" s="9" t="n">
        <v>750</v>
      </c>
      <c r="P153" s="17" t="n">
        <v>752.0499877929688</v>
      </c>
      <c r="Q153" s="17" t="n">
        <v>692.4500122070312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Q4 2023-24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17.02%</t>
        </is>
      </c>
      <c r="J154" s="13" t="inlineStr">
        <is>
          <t>14.97%</t>
        </is>
      </c>
      <c r="K154" s="16">
        <f>X153</f>
        <v/>
      </c>
      <c r="L154" s="13" t="inlineStr">
        <is>
          <t>2024-01-10</t>
        </is>
      </c>
      <c r="M154" s="13" t="inlineStr">
        <is>
          <t>2024-01-29</t>
        </is>
      </c>
      <c r="N154" s="13" t="inlineStr">
        <is>
          <t>2024-01-20</t>
        </is>
      </c>
      <c r="O154" s="9" t="n">
        <v>181</v>
      </c>
      <c r="P154" s="17" t="n">
        <v>3621.398193359375</v>
      </c>
      <c r="Q154" s="17" t="n">
        <v>4237.76171875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Q4 2023-24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-14.55%</t>
        </is>
      </c>
      <c r="J155" s="13" t="inlineStr">
        <is>
          <t>-14.07%</t>
        </is>
      </c>
      <c r="K155" s="16">
        <f>X154</f>
        <v/>
      </c>
      <c r="L155" s="13" t="inlineStr">
        <is>
          <t>2024-01-12</t>
        </is>
      </c>
      <c r="M155" s="13" t="inlineStr">
        <is>
          <t>2024-01-29</t>
        </is>
      </c>
      <c r="N155" s="13" t="inlineStr">
        <is>
          <t>2024-01-20</t>
        </is>
      </c>
      <c r="O155" s="9" t="n">
        <v>3585</v>
      </c>
      <c r="P155" s="17" t="n">
        <v>243.6756439208984</v>
      </c>
      <c r="Q155" s="17" t="n">
        <v>212.723876953125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Q4 2023-24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-13.45%</t>
        </is>
      </c>
      <c r="J156" s="13" t="inlineStr">
        <is>
          <t>-12.14%</t>
        </is>
      </c>
      <c r="K156" s="16">
        <f>X155</f>
        <v/>
      </c>
      <c r="L156" s="13" t="inlineStr">
        <is>
          <t>2024-01-09</t>
        </is>
      </c>
      <c r="M156" s="13" t="inlineStr">
        <is>
          <t>2024-01-29</t>
        </is>
      </c>
      <c r="N156" s="13" t="inlineStr">
        <is>
          <t>2024-01-20</t>
        </is>
      </c>
      <c r="O156" s="9" t="n">
        <v>2346</v>
      </c>
      <c r="P156" s="17" t="n">
        <v>406.6701354980469</v>
      </c>
      <c r="Q156" s="17" t="n">
        <v>358.4705200195312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Q4 2023-24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-4.44%</t>
        </is>
      </c>
      <c r="J157" s="13" t="inlineStr">
        <is>
          <t>-14.64%</t>
        </is>
      </c>
      <c r="K157" s="16">
        <f>X156</f>
        <v/>
      </c>
      <c r="L157" s="13" t="inlineStr">
        <is>
          <t>2024-01-12</t>
        </is>
      </c>
      <c r="M157" s="13" t="inlineStr">
        <is>
          <t>2024-01-23</t>
        </is>
      </c>
      <c r="N157" s="13" t="inlineStr">
        <is>
          <t>2024-01-20</t>
        </is>
      </c>
      <c r="O157" s="9" t="n">
        <v>1631</v>
      </c>
      <c r="P157" s="17" t="n">
        <v>215.9593505859375</v>
      </c>
      <c r="Q157" s="17" t="n">
        <v>206.3717041015625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Q4 2023-24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3.77%</t>
        </is>
      </c>
      <c r="J158" s="13" t="inlineStr">
        <is>
          <t>4.81%</t>
        </is>
      </c>
      <c r="K158" s="16">
        <f>X157</f>
        <v/>
      </c>
      <c r="L158" s="13" t="inlineStr">
        <is>
          <t>2024-01-16</t>
        </is>
      </c>
      <c r="M158" s="13" t="inlineStr">
        <is>
          <t>2024-01-29</t>
        </is>
      </c>
      <c r="N158" s="13" t="inlineStr">
        <is>
          <t>2024-01-20</t>
        </is>
      </c>
      <c r="O158" s="9" t="n">
        <v>529</v>
      </c>
      <c r="P158" s="17" t="n">
        <v>1173.704956054688</v>
      </c>
      <c r="Q158" s="17" t="n">
        <v>1219.690063476562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Q4 2023-24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-9.76%</t>
        </is>
      </c>
      <c r="J159" s="13" t="inlineStr">
        <is>
          <t>-9.03%</t>
        </is>
      </c>
      <c r="K159" s="16">
        <f>X158</f>
        <v/>
      </c>
      <c r="L159" s="13" t="inlineStr">
        <is>
          <t>2024-01-16</t>
        </is>
      </c>
      <c r="M159" s="13" t="inlineStr">
        <is>
          <t>2024-01-23</t>
        </is>
      </c>
      <c r="N159" s="13" t="inlineStr">
        <is>
          <t>2024-01-20</t>
        </is>
      </c>
      <c r="O159" s="9" t="n">
        <v>613</v>
      </c>
      <c r="P159" s="17" t="n">
        <v>1371.38037109375</v>
      </c>
      <c r="Q159" s="17" t="n">
        <v>1237.482666015625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Q4 2023-24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-5.22%</t>
        </is>
      </c>
      <c r="J160" s="13" t="inlineStr">
        <is>
          <t>-5.09%</t>
        </is>
      </c>
      <c r="K160" s="16">
        <f>X159</f>
        <v/>
      </c>
      <c r="L160" s="13" t="inlineStr">
        <is>
          <t>2024-01-10</t>
        </is>
      </c>
      <c r="M160" s="13" t="inlineStr">
        <is>
          <t>2024-01-23</t>
        </is>
      </c>
      <c r="N160" s="13" t="inlineStr">
        <is>
          <t>2024-01-20</t>
        </is>
      </c>
      <c r="O160" s="9" t="n">
        <v>360</v>
      </c>
      <c r="P160" s="17" t="n">
        <v>3426.115478515625</v>
      </c>
      <c r="Q160" s="17" t="n">
        <v>3247.35205078125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Q4 2023-24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-4.0%</t>
        </is>
      </c>
      <c r="J161" s="13" t="inlineStr">
        <is>
          <t>-6.71%</t>
        </is>
      </c>
      <c r="K161" s="16">
        <f>X160</f>
        <v/>
      </c>
      <c r="L161" s="13" t="inlineStr">
        <is>
          <t>2024-01-09</t>
        </is>
      </c>
      <c r="M161" s="13" t="inlineStr">
        <is>
          <t>2024-01-23</t>
        </is>
      </c>
      <c r="N161" s="13" t="inlineStr">
        <is>
          <t>2024-01-20</t>
        </is>
      </c>
      <c r="O161" s="9" t="n">
        <v>8957</v>
      </c>
      <c r="P161" s="17" t="n">
        <v>92.16867065429688</v>
      </c>
      <c r="Q161" s="17" t="n">
        <v>88.62192535400391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Q4 2023-24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1.03%</t>
        </is>
      </c>
      <c r="J162" s="13" t="inlineStr">
        <is>
          <t>1.69%</t>
        </is>
      </c>
      <c r="K162" s="16">
        <f>X161</f>
        <v/>
      </c>
      <c r="L162" s="13" t="inlineStr">
        <is>
          <t>2024-01-12</t>
        </is>
      </c>
      <c r="M162" s="13" t="inlineStr">
        <is>
          <t>2024-01-29</t>
        </is>
      </c>
      <c r="N162" s="13" t="inlineStr">
        <is>
          <t>2024-01-20</t>
        </is>
      </c>
      <c r="O162" s="9" t="n">
        <v>967</v>
      </c>
      <c r="P162" s="17" t="n">
        <v>787.2384033203125</v>
      </c>
      <c r="Q162" s="17" t="n">
        <v>795.3968505859375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Q4 2023-24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0.96%</t>
        </is>
      </c>
      <c r="J163" s="13" t="inlineStr">
        <is>
          <t>-2.57%</t>
        </is>
      </c>
      <c r="K163" s="16">
        <f>X162</f>
        <v/>
      </c>
      <c r="L163" s="13" t="inlineStr">
        <is>
          <t>2024-01-12</t>
        </is>
      </c>
      <c r="M163" s="13" t="inlineStr">
        <is>
          <t>2024-01-23</t>
        </is>
      </c>
      <c r="N163" s="13" t="inlineStr">
        <is>
          <t>2024-01-20</t>
        </is>
      </c>
      <c r="O163" s="9" t="n">
        <v>627</v>
      </c>
      <c r="P163" s="17" t="n">
        <v>852.0499877929688</v>
      </c>
      <c r="Q163" s="17" t="n">
        <v>860.2000122070312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Q4 2023-24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3.94%</t>
        </is>
      </c>
      <c r="J164" s="13" t="inlineStr">
        <is>
          <t>3.92%</t>
        </is>
      </c>
      <c r="K164" s="16">
        <f>X163</f>
        <v/>
      </c>
      <c r="L164" s="13" t="inlineStr">
        <is>
          <t>2024-01-16</t>
        </is>
      </c>
      <c r="M164" s="13" t="inlineStr">
        <is>
          <t>2024-01-23</t>
        </is>
      </c>
      <c r="N164" s="13" t="inlineStr">
        <is>
          <t>2024-01-20</t>
        </is>
      </c>
      <c r="O164" s="9" t="n">
        <v>112</v>
      </c>
      <c r="P164" s="17" t="n">
        <v>4108.24951171875</v>
      </c>
      <c r="Q164" s="17" t="n">
        <v>4276.5712890625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Q4 2023-24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-6.87%</t>
        </is>
      </c>
      <c r="J165" s="13" t="inlineStr">
        <is>
          <t>-6.34%</t>
        </is>
      </c>
      <c r="K165" s="16">
        <f>X164</f>
        <v/>
      </c>
      <c r="L165" s="13" t="inlineStr">
        <is>
          <t>2024-02-07</t>
        </is>
      </c>
      <c r="M165" s="13" t="inlineStr">
        <is>
          <t>2024-02-15</t>
        </is>
      </c>
      <c r="N165" s="13" t="inlineStr">
        <is>
          <t>2024-02-08</t>
        </is>
      </c>
      <c r="O165" s="9" t="n">
        <v>1800</v>
      </c>
      <c r="P165" s="17" t="n">
        <v>263.5769958496094</v>
      </c>
      <c r="Q165" s="17" t="n">
        <v>246.632553100586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Q4 2023-24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2024-01-20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Q4 2023-24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-0.24%</t>
        </is>
      </c>
      <c r="J167" s="13" t="inlineStr">
        <is>
          <t>-4.95%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2024-01-20</t>
        </is>
      </c>
      <c r="O167" s="9" t="n">
        <v>1017</v>
      </c>
      <c r="P167" s="17" t="n">
        <v>840.2365112304688</v>
      </c>
      <c r="Q167" s="17" t="n">
        <v>838.2405395507812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Q4 2023-24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12.15%</t>
        </is>
      </c>
      <c r="J168" s="13" t="inlineStr">
        <is>
          <t>8.37%</t>
        </is>
      </c>
      <c r="K168" s="16">
        <f>X167</f>
        <v/>
      </c>
      <c r="L168" s="13" t="inlineStr">
        <is>
          <t>2024-01-12</t>
        </is>
      </c>
      <c r="M168" s="13" t="inlineStr">
        <is>
          <t>2024-01-29</t>
        </is>
      </c>
      <c r="N168" s="13" t="inlineStr">
        <is>
          <t>2024-01-20</t>
        </is>
      </c>
      <c r="O168" s="9" t="n">
        <v>627</v>
      </c>
      <c r="P168" s="17" t="n">
        <v>1210.2451171875</v>
      </c>
      <c r="Q168" s="17" t="n">
        <v>1377.641723632812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Q4 2023-24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4.07%</t>
        </is>
      </c>
      <c r="J169" s="13" t="inlineStr">
        <is>
          <t>3.05%</t>
        </is>
      </c>
      <c r="K169" s="16">
        <f>X168</f>
        <v/>
      </c>
      <c r="L169" s="13" t="inlineStr">
        <is>
          <t>2024-01-09</t>
        </is>
      </c>
      <c r="M169" s="13" t="inlineStr">
        <is>
          <t>2024-01-23</t>
        </is>
      </c>
      <c r="N169" s="13" t="inlineStr">
        <is>
          <t>2024-01-20</t>
        </is>
      </c>
      <c r="O169" s="9" t="n">
        <v>229</v>
      </c>
      <c r="P169" s="17" t="n">
        <v>1603.995849609375</v>
      </c>
      <c r="Q169" s="17" t="n">
        <v>1671.977172851562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Q4 2023-24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13.74%</t>
        </is>
      </c>
      <c r="J170" s="13" t="inlineStr">
        <is>
          <t>8.1%</t>
        </is>
      </c>
      <c r="K170" s="16">
        <f>X169</f>
        <v/>
      </c>
      <c r="L170" s="13" t="inlineStr">
        <is>
          <t>2024-01-16</t>
        </is>
      </c>
      <c r="M170" s="13" t="inlineStr">
        <is>
          <t>2024-01-23</t>
        </is>
      </c>
      <c r="N170" s="13" t="inlineStr">
        <is>
          <t>2024-01-20</t>
        </is>
      </c>
      <c r="O170" s="9" t="n">
        <v>2645</v>
      </c>
      <c r="P170" s="17" t="n">
        <v>250.7872009277344</v>
      </c>
      <c r="Q170" s="17" t="n">
        <v>290.7290344238281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Q4 2023-24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-0.29%</t>
        </is>
      </c>
      <c r="J171" s="13" t="inlineStr">
        <is>
          <t>-1.81%</t>
        </is>
      </c>
      <c r="K171" s="16">
        <f>X170</f>
        <v/>
      </c>
      <c r="L171" s="13" t="inlineStr">
        <is>
          <t>2025-10-15</t>
        </is>
      </c>
      <c r="M171" s="13" t="inlineStr">
        <is>
          <t>2025-10-20</t>
        </is>
      </c>
      <c r="N171" s="13" t="inlineStr">
        <is>
          <t>2025-10-17</t>
        </is>
      </c>
      <c r="O171" s="9" t="n">
        <v>2667</v>
      </c>
      <c r="P171" s="17" t="n">
        <v>363.1726379394531</v>
      </c>
      <c r="Q171" s="17" t="n">
        <v>362.1096496582031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Q4 2023-24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-6.35%</t>
        </is>
      </c>
      <c r="J172" s="13" t="inlineStr">
        <is>
          <t>-7.58%</t>
        </is>
      </c>
      <c r="K172" s="16">
        <f>X171</f>
        <v/>
      </c>
      <c r="L172" s="13" t="inlineStr">
        <is>
          <t>2024-01-17</t>
        </is>
      </c>
      <c r="M172" s="13" t="inlineStr">
        <is>
          <t>2024-01-29</t>
        </is>
      </c>
      <c r="N172" s="13" t="inlineStr">
        <is>
          <t>2024-01-19</t>
        </is>
      </c>
      <c r="O172" s="9" t="n">
        <v>250</v>
      </c>
      <c r="P172" s="17" t="n">
        <v>1430.795776367188</v>
      </c>
      <c r="Q172" s="17" t="n">
        <v>1345.35107421875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Q4 2023-24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-55.83%</t>
        </is>
      </c>
      <c r="J173" s="13" t="inlineStr">
        <is>
          <t>-57.94%</t>
        </is>
      </c>
      <c r="K173" s="16">
        <f>X172</f>
        <v/>
      </c>
      <c r="L173" s="13" t="inlineStr">
        <is>
          <t>2024-01-09</t>
        </is>
      </c>
      <c r="M173" s="13" t="inlineStr">
        <is>
          <t>2024-01-23</t>
        </is>
      </c>
      <c r="N173" s="13" t="inlineStr">
        <is>
          <t>2024-01-20</t>
        </is>
      </c>
      <c r="O173" s="9" t="n">
        <v>4486</v>
      </c>
      <c r="P173" s="17" t="n">
        <v>285.2392883300781</v>
      </c>
      <c r="Q173" s="17" t="n">
        <v>183.0470733642578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Q4 2023-24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-2.52%</t>
        </is>
      </c>
      <c r="J174" s="13" t="inlineStr">
        <is>
          <t>-10.72%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2024-01-20</t>
        </is>
      </c>
      <c r="O174" s="9" t="n">
        <v>21748</v>
      </c>
      <c r="P174" s="17" t="n">
        <v>29.29071998596192</v>
      </c>
      <c r="Q174" s="17" t="n">
        <v>28.55146026611328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Q4 2023-24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-5.06%</t>
        </is>
      </c>
      <c r="J175" s="13" t="inlineStr">
        <is>
          <t>-9.18%</t>
        </is>
      </c>
      <c r="K175" s="16">
        <f>X174</f>
        <v/>
      </c>
      <c r="L175" s="13" t="inlineStr">
        <is>
          <t>2024-01-15</t>
        </is>
      </c>
      <c r="M175" s="13" t="inlineStr">
        <is>
          <t>2024-01-29</t>
        </is>
      </c>
      <c r="N175" s="13" t="inlineStr">
        <is>
          <t>2024-01-20</t>
        </is>
      </c>
      <c r="O175" s="9" t="n">
        <v>5915</v>
      </c>
      <c r="P175" s="17" t="n">
        <v>117.121452331543</v>
      </c>
      <c r="Q175" s="17" t="n">
        <v>111.4817352294922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Q4 2023-24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4.73%</t>
        </is>
      </c>
      <c r="J176" s="13" t="inlineStr">
        <is>
          <t>0.52%</t>
        </is>
      </c>
      <c r="K176" s="16">
        <f>X175</f>
        <v/>
      </c>
      <c r="L176" s="13" t="inlineStr">
        <is>
          <t>2024-01-10</t>
        </is>
      </c>
      <c r="M176" s="13" t="inlineStr">
        <is>
          <t>2024-01-23</t>
        </is>
      </c>
      <c r="N176" s="13" t="inlineStr">
        <is>
          <t>2024-01-20</t>
        </is>
      </c>
      <c r="O176" s="9" t="n">
        <v>1550</v>
      </c>
      <c r="P176" s="17" t="n">
        <v>730.75</v>
      </c>
      <c r="Q176" s="17" t="n">
        <v>767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Q4 2023-24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-1.11%</t>
        </is>
      </c>
      <c r="J177" s="13" t="inlineStr">
        <is>
          <t>-2.1%</t>
        </is>
      </c>
      <c r="K177" s="16">
        <f>X176</f>
        <v/>
      </c>
      <c r="L177" s="13" t="inlineStr">
        <is>
          <t>2022-01-20</t>
        </is>
      </c>
      <c r="M177" s="13" t="inlineStr">
        <is>
          <t>2022-01-24</t>
        </is>
      </c>
      <c r="N177" s="13" t="inlineStr">
        <is>
          <t>2022-01-21</t>
        </is>
      </c>
      <c r="O177" s="9" t="n">
        <v>375</v>
      </c>
      <c r="P177" s="17" t="n">
        <v>1227.24609375</v>
      </c>
      <c r="Q177" s="17" t="n">
        <v>1213.672973632812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Q4 2023-24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0.09%</t>
        </is>
      </c>
      <c r="J178" s="13" t="inlineStr">
        <is>
          <t>-0.38%</t>
        </is>
      </c>
      <c r="K178" s="16">
        <f>X177</f>
        <v/>
      </c>
      <c r="L178" s="13" t="inlineStr">
        <is>
          <t>2024-02-02</t>
        </is>
      </c>
      <c r="M178" s="13" t="inlineStr">
        <is>
          <t>2024-02-06</t>
        </is>
      </c>
      <c r="N178" s="13" t="inlineStr">
        <is>
          <t>2024-02-03</t>
        </is>
      </c>
      <c r="O178" s="9" t="n">
        <v>1500</v>
      </c>
      <c r="P178" s="17" t="n">
        <v>615.26806640625</v>
      </c>
      <c r="Q178" s="17" t="n">
        <v>615.8362426757812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Q4 2023-24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0.66%</t>
        </is>
      </c>
      <c r="J179" s="13" t="inlineStr">
        <is>
          <t>-2.4%</t>
        </is>
      </c>
      <c r="K179" s="16">
        <f>X178</f>
        <v/>
      </c>
      <c r="L179" s="13" t="inlineStr">
        <is>
          <t>2024-01-09</t>
        </is>
      </c>
      <c r="M179" s="13" t="inlineStr">
        <is>
          <t>2024-01-23</t>
        </is>
      </c>
      <c r="N179" s="13" t="inlineStr">
        <is>
          <t>2024-01-20</t>
        </is>
      </c>
      <c r="O179" s="9" t="n">
        <v>100</v>
      </c>
      <c r="P179" s="17" t="n">
        <v>26962.29296875</v>
      </c>
      <c r="Q179" s="17" t="n">
        <v>27140.8203125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Q4 2023-24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4.12%</t>
        </is>
      </c>
      <c r="J180" s="13" t="inlineStr">
        <is>
          <t>2.15%</t>
        </is>
      </c>
      <c r="K180" s="16">
        <f>X179</f>
        <v/>
      </c>
      <c r="L180" s="13" t="inlineStr">
        <is>
          <t>2024-01-24</t>
        </is>
      </c>
      <c r="M180" s="13" t="inlineStr">
        <is>
          <t>2024-02-01</t>
        </is>
      </c>
      <c r="N180" s="13" t="inlineStr">
        <is>
          <t>2024-01-25</t>
        </is>
      </c>
      <c r="O180" s="9" t="n">
        <v>957</v>
      </c>
      <c r="P180" s="17" t="n">
        <v>443.6099243164063</v>
      </c>
      <c r="Q180" s="17" t="n">
        <v>461.8653259277344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Q4 2023-24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-2.61%</t>
        </is>
      </c>
      <c r="J181" s="13" t="inlineStr">
        <is>
          <t>-4.73%</t>
        </is>
      </c>
      <c r="K181" s="16">
        <f>X180</f>
        <v/>
      </c>
      <c r="L181" s="13" t="inlineStr">
        <is>
          <t>2024-01-09</t>
        </is>
      </c>
      <c r="M181" s="13" t="inlineStr">
        <is>
          <t>2024-01-23</t>
        </is>
      </c>
      <c r="N181" s="13" t="inlineStr">
        <is>
          <t>2024-01-20</t>
        </is>
      </c>
      <c r="O181" s="9" t="n">
        <v>273</v>
      </c>
      <c r="P181" s="17" t="n">
        <v>2431.23193359375</v>
      </c>
      <c r="Q181" s="17" t="n">
        <v>2367.74658203125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Q4 2023-24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-6.31%</t>
        </is>
      </c>
      <c r="J182" s="13" t="inlineStr">
        <is>
          <t>-8.7%</t>
        </is>
      </c>
      <c r="K182" s="16">
        <f>X181</f>
        <v/>
      </c>
      <c r="L182" s="13" t="inlineStr">
        <is>
          <t>2024-01-10</t>
        </is>
      </c>
      <c r="M182" s="13" t="inlineStr">
        <is>
          <t>2024-01-29</t>
        </is>
      </c>
      <c r="N182" s="13" t="inlineStr">
        <is>
          <t>2024-01-20</t>
        </is>
      </c>
      <c r="O182" s="9" t="n">
        <v>100</v>
      </c>
      <c r="P182" s="17" t="n">
        <v>6862.4931640625</v>
      </c>
      <c r="Q182" s="17" t="n">
        <v>6429.77880859375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Q4 2023-24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1.33%</t>
        </is>
      </c>
      <c r="J183" s="13" t="inlineStr">
        <is>
          <t>-3.51%</t>
        </is>
      </c>
      <c r="K183" s="16">
        <f>X182</f>
        <v/>
      </c>
      <c r="L183" s="13" t="inlineStr">
        <is>
          <t>2024-01-12</t>
        </is>
      </c>
      <c r="M183" s="13" t="inlineStr">
        <is>
          <t>2024-01-29</t>
        </is>
      </c>
      <c r="N183" s="13" t="inlineStr">
        <is>
          <t>2024-01-20</t>
        </is>
      </c>
      <c r="O183" s="9" t="n">
        <v>1309</v>
      </c>
      <c r="P183" s="17" t="n">
        <v>586.9620361328125</v>
      </c>
      <c r="Q183" s="17" t="n">
        <v>594.8727416992188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Q4 2023-24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4.73%</t>
        </is>
      </c>
      <c r="J184" s="13" t="inlineStr">
        <is>
          <t>4.71%</t>
        </is>
      </c>
      <c r="K184" s="16">
        <f>X183</f>
        <v/>
      </c>
      <c r="L184" s="13" t="inlineStr">
        <is>
          <t>2024-01-16</t>
        </is>
      </c>
      <c r="M184" s="13" t="inlineStr">
        <is>
          <t>2024-01-29</t>
        </is>
      </c>
      <c r="N184" s="13" t="inlineStr">
        <is>
          <t>2024-01-20</t>
        </is>
      </c>
      <c r="O184" s="9" t="n">
        <v>383</v>
      </c>
      <c r="P184" s="17" t="n">
        <v>2225.88134765625</v>
      </c>
      <c r="Q184" s="17" t="n">
        <v>2336.40234375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Q4 2023-24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-3.02%</t>
        </is>
      </c>
      <c r="J185" s="13" t="inlineStr">
        <is>
          <t>-3.58%</t>
        </is>
      </c>
      <c r="K185" s="16">
        <f>X184</f>
        <v/>
      </c>
      <c r="L185" s="13" t="inlineStr">
        <is>
          <t>2024-05-13</t>
        </is>
      </c>
      <c r="M185" s="13" t="inlineStr">
        <is>
          <t>2024-05-29</t>
        </is>
      </c>
      <c r="N185" s="13" t="inlineStr">
        <is>
          <t>2024-05-22</t>
        </is>
      </c>
      <c r="O185" s="9" t="n">
        <v>350</v>
      </c>
      <c r="P185" s="17" t="n">
        <v>1492.531982421875</v>
      </c>
      <c r="Q185" s="17" t="n">
        <v>1447.414794921875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Q4 2023-24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3.33%</t>
        </is>
      </c>
      <c r="J186" s="13" t="inlineStr">
        <is>
          <t>0.02%</t>
        </is>
      </c>
      <c r="K186" s="16">
        <f>X185</f>
        <v/>
      </c>
      <c r="L186" s="13" t="inlineStr">
        <is>
          <t>2024-01-10</t>
        </is>
      </c>
      <c r="M186" s="13" t="inlineStr">
        <is>
          <t>2024-01-23</t>
        </is>
      </c>
      <c r="N186" s="13" t="inlineStr">
        <is>
          <t>2024-01-20</t>
        </is>
      </c>
      <c r="O186" s="9" t="n">
        <v>289</v>
      </c>
      <c r="P186" s="17" t="n">
        <v>4075.139404296875</v>
      </c>
      <c r="Q186" s="17" t="n">
        <v>4215.57373046875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Q4 2023-24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-0.69%</t>
        </is>
      </c>
      <c r="J187" s="13" t="inlineStr">
        <is>
          <t>-7.34%</t>
        </is>
      </c>
      <c r="K187" s="16">
        <f>X186</f>
        <v/>
      </c>
      <c r="L187" s="13" t="inlineStr">
        <is>
          <t>2024-01-10</t>
        </is>
      </c>
      <c r="M187" s="13" t="inlineStr">
        <is>
          <t>2024-01-29</t>
        </is>
      </c>
      <c r="N187" s="13" t="inlineStr">
        <is>
          <t>2024-01-20</t>
        </is>
      </c>
      <c r="O187" s="9" t="n">
        <v>21097</v>
      </c>
      <c r="P187" s="17" t="n">
        <v>43.54999923706055</v>
      </c>
      <c r="Q187" s="17" t="n">
        <v>43.25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Q4 2023-24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-5.55%</t>
        </is>
      </c>
      <c r="J188" s="13" t="inlineStr">
        <is>
          <t>-2.64%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2024-01-20</t>
        </is>
      </c>
      <c r="O188" s="9" t="n">
        <v>3379</v>
      </c>
      <c r="P188" s="17" t="n">
        <v>456</v>
      </c>
      <c r="Q188" s="17" t="n">
        <v>430.7000122070313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Q4 2023-24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1.32%</t>
        </is>
      </c>
      <c r="J189" s="13" t="inlineStr">
        <is>
          <t>1.47%</t>
        </is>
      </c>
      <c r="K189" s="16">
        <f>X188</f>
        <v/>
      </c>
      <c r="L189" s="13" t="inlineStr">
        <is>
          <t>2024-02-05</t>
        </is>
      </c>
      <c r="M189" s="13" t="inlineStr">
        <is>
          <t>2024-02-14</t>
        </is>
      </c>
      <c r="N189" s="13" t="inlineStr">
        <is>
          <t>2024-02-07</t>
        </is>
      </c>
      <c r="O189" s="9" t="n">
        <v>450</v>
      </c>
      <c r="P189" s="17" t="n">
        <v>1110.133422851562</v>
      </c>
      <c r="Q189" s="17" t="n">
        <v>1124.943725585938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Q4 2023-24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12.12%</t>
        </is>
      </c>
      <c r="J190" s="13" t="inlineStr">
        <is>
          <t>4.62%</t>
        </is>
      </c>
      <c r="K190" s="16">
        <f>X189</f>
        <v/>
      </c>
      <c r="L190" s="13" t="inlineStr">
        <is>
          <t>2024-01-10</t>
        </is>
      </c>
      <c r="M190" s="13" t="inlineStr">
        <is>
          <t>2024-01-29</t>
        </is>
      </c>
      <c r="N190" s="13" t="inlineStr">
        <is>
          <t>2024-01-20</t>
        </is>
      </c>
      <c r="O190" s="9" t="n">
        <v>273</v>
      </c>
      <c r="P190" s="17" t="n">
        <v>7401.75146484375</v>
      </c>
      <c r="Q190" s="17" t="n">
        <v>8422.8837890625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Q4 2023-24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-2.08%</t>
        </is>
      </c>
      <c r="J191" s="13" t="inlineStr">
        <is>
          <t>-5.3%</t>
        </is>
      </c>
      <c r="K191" s="16">
        <f>X190</f>
        <v/>
      </c>
      <c r="L191" s="13" t="inlineStr">
        <is>
          <t>2024-01-18</t>
        </is>
      </c>
      <c r="M191" s="13" t="inlineStr">
        <is>
          <t>2024-01-23</t>
        </is>
      </c>
      <c r="N191" s="13" t="inlineStr">
        <is>
          <t>2024-01-20</t>
        </is>
      </c>
      <c r="O191" s="9" t="n">
        <v>1425</v>
      </c>
      <c r="P191" s="17" t="n">
        <v>819.55</v>
      </c>
      <c r="Q191" s="17" t="n">
        <v>802.5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Q4 2023-24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-6.75%</t>
        </is>
      </c>
      <c r="J192" s="13" t="inlineStr">
        <is>
          <t>-9.07%</t>
        </is>
      </c>
      <c r="K192" s="16">
        <f>X191</f>
        <v/>
      </c>
      <c r="L192" s="13" t="inlineStr">
        <is>
          <t>2024-01-12</t>
        </is>
      </c>
      <c r="M192" s="13" t="inlineStr">
        <is>
          <t>2024-01-29</t>
        </is>
      </c>
      <c r="N192" s="13" t="inlineStr">
        <is>
          <t>2024-01-20</t>
        </is>
      </c>
      <c r="O192" s="9" t="n">
        <v>2659</v>
      </c>
      <c r="P192" s="17" t="n">
        <v>375.5879211425781</v>
      </c>
      <c r="Q192" s="17" t="n">
        <v>351.8370971679688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Q4 2023-24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0.37%</t>
        </is>
      </c>
      <c r="J193" s="13" t="inlineStr">
        <is>
          <t>1.03%</t>
        </is>
      </c>
      <c r="K193" s="16">
        <f>X192</f>
        <v/>
      </c>
      <c r="L193" s="13" t="inlineStr">
        <is>
          <t>2024-01-12</t>
        </is>
      </c>
      <c r="M193" s="13" t="inlineStr">
        <is>
          <t>2024-02-01</t>
        </is>
      </c>
      <c r="N193" s="13" t="inlineStr">
        <is>
          <t>2024-01-25</t>
        </is>
      </c>
      <c r="O193" s="9" t="n">
        <v>5500</v>
      </c>
      <c r="P193" s="17" t="n">
        <v>126.5172805786133</v>
      </c>
      <c r="Q193" s="17" t="n">
        <v>126.9865493774414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Q4 2023-24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-6.13%</t>
        </is>
      </c>
      <c r="J194" s="13" t="inlineStr">
        <is>
          <t>-5.85%</t>
        </is>
      </c>
      <c r="K194" s="16">
        <f>X193</f>
        <v/>
      </c>
      <c r="L194" s="13" t="inlineStr">
        <is>
          <t>2024-01-08</t>
        </is>
      </c>
      <c r="M194" s="13" t="inlineStr">
        <is>
          <t>2024-01-15</t>
        </is>
      </c>
      <c r="N194" s="13" t="inlineStr">
        <is>
          <t>2024-01-11</t>
        </is>
      </c>
      <c r="O194" s="9" t="n">
        <v>175</v>
      </c>
      <c r="P194" s="17" t="n">
        <v>3587.0595703125</v>
      </c>
      <c r="Q194" s="17" t="n">
        <v>3379.855712890625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Q4 2023-24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3.96%</t>
        </is>
      </c>
      <c r="J195" s="13" t="inlineStr">
        <is>
          <t>2.8%</t>
        </is>
      </c>
      <c r="K195" s="16">
        <f>X194</f>
        <v/>
      </c>
      <c r="L195" s="13" t="inlineStr">
        <is>
          <t>2024-01-23</t>
        </is>
      </c>
      <c r="M195" s="13" t="inlineStr">
        <is>
          <t>2024-02-01</t>
        </is>
      </c>
      <c r="N195" s="13" t="inlineStr">
        <is>
          <t>2024-01-24</t>
        </is>
      </c>
      <c r="O195" s="9" t="n">
        <v>600</v>
      </c>
      <c r="P195" s="17" t="n">
        <v>1209.802001953125</v>
      </c>
      <c r="Q195" s="17" t="n">
        <v>1259.714965820312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Q4 2023-24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1.73%</t>
        </is>
      </c>
      <c r="J196" s="13" t="inlineStr">
        <is>
          <t>-4.09%</t>
        </is>
      </c>
      <c r="K196" s="16">
        <f>X195</f>
        <v/>
      </c>
      <c r="L196" s="13" t="inlineStr">
        <is>
          <t>2024-01-15</t>
        </is>
      </c>
      <c r="M196" s="13" t="inlineStr">
        <is>
          <t>2024-01-23</t>
        </is>
      </c>
      <c r="N196" s="13" t="inlineStr">
        <is>
          <t>2024-01-20</t>
        </is>
      </c>
      <c r="O196" s="9" t="n">
        <v>371</v>
      </c>
      <c r="P196" s="17" t="n">
        <v>3920.643798828125</v>
      </c>
      <c r="Q196" s="17" t="n">
        <v>3989.4892578125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Q4 2023-24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2.08%</t>
        </is>
      </c>
      <c r="J197" s="13" t="inlineStr">
        <is>
          <t>1.86%</t>
        </is>
      </c>
      <c r="K197" s="16">
        <f>X196</f>
        <v/>
      </c>
      <c r="L197" s="13" t="inlineStr">
        <is>
          <t>2024-02-01</t>
        </is>
      </c>
      <c r="M197" s="13" t="inlineStr">
        <is>
          <t>2024-02-05</t>
        </is>
      </c>
      <c r="N197" s="13" t="inlineStr">
        <is>
          <t>2024-02-02</t>
        </is>
      </c>
      <c r="O197" s="9" t="n">
        <v>175</v>
      </c>
      <c r="P197" s="17" t="n">
        <v>3518.2978515625</v>
      </c>
      <c r="Q197" s="17" t="n">
        <v>3592.98095703125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Q4 2023-24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-4.4%</t>
        </is>
      </c>
      <c r="J198" s="13" t="inlineStr">
        <is>
          <t>-5.24%</t>
        </is>
      </c>
      <c r="K198" s="16">
        <f>X197</f>
        <v/>
      </c>
      <c r="L198" s="13" t="inlineStr">
        <is>
          <t>2024-01-17</t>
        </is>
      </c>
      <c r="M198" s="13" t="inlineStr">
        <is>
          <t>2024-01-29</t>
        </is>
      </c>
      <c r="N198" s="13" t="inlineStr">
        <is>
          <t>2024-01-20</t>
        </is>
      </c>
      <c r="O198" s="9" t="n">
        <v>3054</v>
      </c>
      <c r="P198" s="17" t="n">
        <v>821.8826293945312</v>
      </c>
      <c r="Q198" s="17" t="n">
        <v>787.2384033203125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Q4 2023-24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-1.0%</t>
        </is>
      </c>
      <c r="J199" s="13" t="inlineStr">
        <is>
          <t>-2.78%</t>
        </is>
      </c>
      <c r="K199" s="16">
        <f>X198</f>
        <v/>
      </c>
      <c r="L199" s="13" t="inlineStr">
        <is>
          <t>2024-01-18</t>
        </is>
      </c>
      <c r="M199" s="13" t="inlineStr">
        <is>
          <t>2024-01-29</t>
        </is>
      </c>
      <c r="N199" s="13" t="inlineStr">
        <is>
          <t>2024-01-20</t>
        </is>
      </c>
      <c r="O199" s="9" t="n">
        <v>205</v>
      </c>
      <c r="P199" s="17" t="n">
        <v>2392.391845703125</v>
      </c>
      <c r="Q199" s="17" t="n">
        <v>2368.44384765625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Q4 2023-24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29.19%</t>
        </is>
      </c>
      <c r="J200" s="13" t="inlineStr">
        <is>
          <t>27.81%</t>
        </is>
      </c>
      <c r="K200" s="16">
        <f>X199</f>
        <v/>
      </c>
      <c r="L200" s="13" t="inlineStr">
        <is>
          <t>2024-02-06</t>
        </is>
      </c>
      <c r="M200" s="13" t="inlineStr">
        <is>
          <t>2024-02-14</t>
        </is>
      </c>
      <c r="N200" s="13" t="inlineStr">
        <is>
          <t>2024-02-07</t>
        </is>
      </c>
      <c r="O200" s="9" t="n">
        <v>345</v>
      </c>
      <c r="P200" s="17" t="n">
        <v>3027.388671875</v>
      </c>
      <c r="Q200" s="17" t="n">
        <v>3911.166748046875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Q4 2023-24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1.69%</t>
        </is>
      </c>
      <c r="J201" s="13" t="inlineStr">
        <is>
          <t>1.41%</t>
        </is>
      </c>
      <c r="K201" s="16">
        <f>X200</f>
        <v/>
      </c>
      <c r="L201" s="13" t="inlineStr">
        <is>
          <t>2024-01-15</t>
        </is>
      </c>
      <c r="M201" s="13" t="inlineStr">
        <is>
          <t>2024-01-23</t>
        </is>
      </c>
      <c r="N201" s="13" t="inlineStr">
        <is>
          <t>2024-01-20</t>
        </is>
      </c>
      <c r="O201" s="9" t="n">
        <v>237</v>
      </c>
      <c r="P201" s="17" t="n">
        <v>1964.482543945312</v>
      </c>
      <c r="Q201" s="17" t="n">
        <v>1998.33837890625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Q4 2023-24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-1.56%</t>
        </is>
      </c>
      <c r="J202" s="13" t="inlineStr">
        <is>
          <t>-2.54%</t>
        </is>
      </c>
      <c r="K202" s="16">
        <f>X201</f>
        <v/>
      </c>
      <c r="L202" s="13" t="inlineStr">
        <is>
          <t>2024-04-23</t>
        </is>
      </c>
      <c r="M202" s="13" t="inlineStr">
        <is>
          <t>2024-05-07</t>
        </is>
      </c>
      <c r="N202" s="13" t="inlineStr">
        <is>
          <t>2024-04-29</t>
        </is>
      </c>
      <c r="O202" s="9" t="n">
        <v>100</v>
      </c>
      <c r="P202" s="17" t="n">
        <v>9564.69140625</v>
      </c>
      <c r="Q202" s="17" t="n">
        <v>9417.650390625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Q4 2023-24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7.69%</t>
        </is>
      </c>
      <c r="J203" s="13" t="inlineStr">
        <is>
          <t>6.14%</t>
        </is>
      </c>
      <c r="K203" s="16">
        <f>X202</f>
        <v/>
      </c>
      <c r="L203" s="13" t="inlineStr">
        <is>
          <t>2024-01-17</t>
        </is>
      </c>
      <c r="M203" s="13" t="inlineStr">
        <is>
          <t>2024-01-29</t>
        </is>
      </c>
      <c r="N203" s="13" t="inlineStr">
        <is>
          <t>2024-01-20</t>
        </is>
      </c>
      <c r="O203" s="9" t="n">
        <v>5868</v>
      </c>
      <c r="P203" s="17" t="n">
        <v>120.7742614746094</v>
      </c>
      <c r="Q203" s="17" t="n">
        <v>130.0645904541016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Q4 2023-24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1.58%</t>
        </is>
      </c>
      <c r="J204" s="13" t="inlineStr">
        <is>
          <t>1.78%</t>
        </is>
      </c>
      <c r="K204" s="16">
        <f>X203</f>
        <v/>
      </c>
      <c r="L204" s="13" t="inlineStr">
        <is>
          <t>2024-01-15</t>
        </is>
      </c>
      <c r="M204" s="13" t="inlineStr">
        <is>
          <t>2024-01-29</t>
        </is>
      </c>
      <c r="N204" s="13" t="inlineStr">
        <is>
          <t>2024-01-20</t>
        </is>
      </c>
      <c r="O204" s="9" t="n">
        <v>652</v>
      </c>
      <c r="P204" s="17" t="n">
        <v>1067.038330078125</v>
      </c>
      <c r="Q204" s="17" t="n">
        <v>1084.206176757812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Q4 2023-24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-3.6%</t>
        </is>
      </c>
      <c r="J205" s="13" t="inlineStr">
        <is>
          <t>-8.59%</t>
        </is>
      </c>
      <c r="K205" s="16">
        <f>X204</f>
        <v/>
      </c>
      <c r="L205" s="13" t="inlineStr">
        <is>
          <t>2024-01-10</t>
        </is>
      </c>
      <c r="M205" s="13" t="inlineStr">
        <is>
          <t>2024-01-29</t>
        </is>
      </c>
      <c r="N205" s="13" t="inlineStr">
        <is>
          <t>2024-01-20</t>
        </is>
      </c>
      <c r="O205" s="9" t="n">
        <v>852</v>
      </c>
      <c r="P205" s="17" t="n">
        <v>705.3233642578125</v>
      </c>
      <c r="Q205" s="17" t="n">
        <v>679.9010009765625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Q4 2023-24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4.95%</t>
        </is>
      </c>
      <c r="J206" s="13" t="inlineStr">
        <is>
          <t>5.64%</t>
        </is>
      </c>
      <c r="K206" s="16">
        <f>X205</f>
        <v/>
      </c>
      <c r="L206" s="13" t="inlineStr">
        <is>
          <t>2024-01-15</t>
        </is>
      </c>
      <c r="M206" s="13" t="inlineStr">
        <is>
          <t>2024-01-29</t>
        </is>
      </c>
      <c r="N206" s="13" t="inlineStr">
        <is>
          <t>2024-01-20</t>
        </is>
      </c>
      <c r="O206" s="9" t="n">
        <v>1659</v>
      </c>
      <c r="P206" s="17" t="n">
        <v>528.7135620117188</v>
      </c>
      <c r="Q206" s="17" t="n">
        <v>556.2440795898438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Q4 2023-24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-0.45%</t>
        </is>
      </c>
      <c r="J207" s="13" t="inlineStr">
        <is>
          <t>-1.3%</t>
        </is>
      </c>
      <c r="K207" s="16">
        <f>X206</f>
        <v/>
      </c>
      <c r="L207" s="13" t="inlineStr">
        <is>
          <t>2024-01-16</t>
        </is>
      </c>
      <c r="M207" s="13" t="inlineStr">
        <is>
          <t>2024-01-23</t>
        </is>
      </c>
      <c r="N207" s="13" t="inlineStr">
        <is>
          <t>2024-01-20</t>
        </is>
      </c>
      <c r="O207" s="9" t="n">
        <v>2215</v>
      </c>
      <c r="P207" s="17" t="n">
        <v>505.2830200195313</v>
      </c>
      <c r="Q207" s="17" t="n">
        <v>503.0382080078125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Q4 2023-24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1.11%</t>
        </is>
      </c>
      <c r="J208" s="13" t="inlineStr">
        <is>
          <t>-0.16%</t>
        </is>
      </c>
      <c r="K208" s="16">
        <f>X207</f>
        <v/>
      </c>
      <c r="L208" s="13" t="inlineStr">
        <is>
          <t>2024-01-17</t>
        </is>
      </c>
      <c r="M208" s="13" t="inlineStr">
        <is>
          <t>2024-01-29</t>
        </is>
      </c>
      <c r="N208" s="13" t="inlineStr">
        <is>
          <t>2024-01-20</t>
        </is>
      </c>
      <c r="O208" s="9" t="n">
        <v>3738</v>
      </c>
      <c r="P208" s="17" t="n">
        <v>224.9040069580078</v>
      </c>
      <c r="Q208" s="17" t="n">
        <v>227.4090881347656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Q4 2023-24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-6.08%</t>
        </is>
      </c>
      <c r="J209" s="13" t="inlineStr">
        <is>
          <t>-18.19%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2024-01-20</t>
        </is>
      </c>
      <c r="O209" s="9" t="n">
        <v>9268</v>
      </c>
      <c r="P209" s="17" t="n">
        <v>111.9300003051758</v>
      </c>
      <c r="Q209" s="17" t="n">
        <v>105.129997253418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Q4 2023-24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1.05%</t>
        </is>
      </c>
      <c r="J210" s="13" t="inlineStr">
        <is>
          <t>-0.57%</t>
        </is>
      </c>
      <c r="K210" s="16">
        <f>X209</f>
        <v/>
      </c>
      <c r="L210" s="13" t="inlineStr">
        <is>
          <t>2024-01-16</t>
        </is>
      </c>
      <c r="M210" s="13" t="inlineStr">
        <is>
          <t>2024-01-29</t>
        </is>
      </c>
      <c r="N210" s="13" t="inlineStr">
        <is>
          <t>2024-01-20</t>
        </is>
      </c>
      <c r="O210" s="9" t="n">
        <v>750</v>
      </c>
      <c r="P210" s="17" t="n">
        <v>1027.63427734375</v>
      </c>
      <c r="Q210" s="17" t="n">
        <v>1038.499389648438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Q4 2023-24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-23.57%</t>
        </is>
      </c>
      <c r="J211" s="13" t="inlineStr">
        <is>
          <t>-44.18%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2024-01-20</t>
        </is>
      </c>
      <c r="O211" s="9" t="n">
        <v>380</v>
      </c>
      <c r="P211" s="17" t="n">
        <v>2888.479736328125</v>
      </c>
      <c r="Q211" s="17" t="n">
        <v>2337.588623046875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Q4 2023-24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5.71%</t>
        </is>
      </c>
      <c r="J212" s="13" t="inlineStr">
        <is>
          <t>4.86%</t>
        </is>
      </c>
      <c r="K212" s="16">
        <f>X211</f>
        <v/>
      </c>
      <c r="L212" s="13" t="inlineStr">
        <is>
          <t>2024-01-05</t>
        </is>
      </c>
      <c r="M212" s="13" t="inlineStr">
        <is>
          <t>2024-01-18</t>
        </is>
      </c>
      <c r="N212" s="13" t="inlineStr">
        <is>
          <t>2024-01-12</t>
        </is>
      </c>
      <c r="O212" s="9" t="n">
        <v>1500</v>
      </c>
      <c r="P212" s="17" t="n">
        <v>213.5531158447266</v>
      </c>
      <c r="Q212" s="17" t="n">
        <v>225.7367858886719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Q4 2023-24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-0.62%</t>
        </is>
      </c>
      <c r="J213" s="13" t="inlineStr">
        <is>
          <t>-1.14%</t>
        </is>
      </c>
      <c r="K213" s="16">
        <f>X212</f>
        <v/>
      </c>
      <c r="L213" s="13" t="inlineStr">
        <is>
          <t>2024-01-09</t>
        </is>
      </c>
      <c r="M213" s="13" t="inlineStr">
        <is>
          <t>2024-01-29</t>
        </is>
      </c>
      <c r="N213" s="13" t="inlineStr">
        <is>
          <t>2024-01-20</t>
        </is>
      </c>
      <c r="O213" s="9" t="n">
        <v>44365</v>
      </c>
      <c r="P213" s="17" t="n">
        <v>24.35000038146973</v>
      </c>
      <c r="Q213" s="17" t="n">
        <v>24.20000076293945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Q4 2023-24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-6.33%</t>
        </is>
      </c>
      <c r="J214" s="13" t="inlineStr">
        <is>
          <t>-3.73%</t>
        </is>
      </c>
      <c r="K214" s="16">
        <f>X213</f>
        <v/>
      </c>
      <c r="L214" s="13" t="inlineStr">
        <is>
          <t>2024-01-15</t>
        </is>
      </c>
      <c r="M214" s="13" t="inlineStr">
        <is>
          <t>2024-01-29</t>
        </is>
      </c>
      <c r="N214" s="13" t="inlineStr">
        <is>
          <t>2024-01-20</t>
        </is>
      </c>
      <c r="O214" s="9" t="n">
        <v>896</v>
      </c>
      <c r="P214" s="17" t="n">
        <v>737.5189208984375</v>
      </c>
      <c r="Q214" s="17" t="n">
        <v>693.6224975585938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2023-24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Q3 2023-24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-1.01%</t>
        </is>
      </c>
      <c r="J4" s="13" t="inlineStr">
        <is>
          <t>-3.08%</t>
        </is>
      </c>
      <c r="K4" s="16" t="n">
        <v>42511150.11</v>
      </c>
      <c r="L4" s="13" t="inlineStr">
        <is>
          <t>2025-11-21</t>
        </is>
      </c>
      <c r="M4" s="13" t="inlineStr">
        <is>
          <t>2025-12-08</t>
        </is>
      </c>
      <c r="N4" s="13" t="inlineStr">
        <is>
          <t>2025-12-01</t>
        </is>
      </c>
      <c r="O4" s="9" t="n">
        <v>874</v>
      </c>
      <c r="P4" s="17" t="n">
        <v>1133.122192382812</v>
      </c>
      <c r="Q4" s="17" t="n">
        <v>1121.688598632812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Q3 2023-24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23.75%</t>
        </is>
      </c>
      <c r="J5" s="13" t="inlineStr">
        <is>
          <t>23.14%</t>
        </is>
      </c>
      <c r="K5" s="16">
        <f>X4</f>
        <v/>
      </c>
      <c r="L5" s="13" t="inlineStr">
        <is>
          <t>2026-01-27</t>
        </is>
      </c>
      <c r="M5" s="13" t="inlineStr">
        <is>
          <t>2026-02-11</t>
        </is>
      </c>
      <c r="N5" s="13" t="inlineStr">
        <is>
          <t>2026-02-04</t>
        </is>
      </c>
      <c r="O5" s="9" t="n">
        <v>137</v>
      </c>
      <c r="P5" s="17" t="n">
        <v>4688.3251953125</v>
      </c>
      <c r="Q5" s="17" t="n">
        <v>5801.77099609375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Q3 2023-24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9.42%</t>
        </is>
      </c>
      <c r="J6" s="13" t="inlineStr">
        <is>
          <t>8.1%</t>
        </is>
      </c>
      <c r="K6" s="16">
        <f>X5</f>
        <v/>
      </c>
      <c r="L6" s="13" t="inlineStr">
        <is>
          <t>2026-03-27</t>
        </is>
      </c>
      <c r="M6" s="13" t="inlineStr">
        <is>
          <t>2026-04-09</t>
        </is>
      </c>
      <c r="N6" s="13" t="inlineStr">
        <is>
          <t>2026-04-02</t>
        </is>
      </c>
      <c r="O6" s="9" t="n">
        <v>2537</v>
      </c>
      <c r="P6" s="17" t="n">
        <v>305.75</v>
      </c>
      <c r="Q6" s="17" t="n">
        <v>334.5499877929688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Q3 2023-24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8.19%</t>
        </is>
      </c>
      <c r="J7" s="13" t="inlineStr">
        <is>
          <t>7.47%</t>
        </is>
      </c>
      <c r="K7" s="16">
        <f>X6</f>
        <v/>
      </c>
      <c r="L7" s="13" t="inlineStr">
        <is>
          <t>2026-01-22</t>
        </is>
      </c>
      <c r="M7" s="13" t="inlineStr">
        <is>
          <t>2026-01-27</t>
        </is>
      </c>
      <c r="N7" s="13" t="inlineStr">
        <is>
          <t>2026-01-23</t>
        </is>
      </c>
      <c r="O7" s="9" t="n">
        <v>602</v>
      </c>
      <c r="P7" s="17" t="n">
        <v>849.0999755859375</v>
      </c>
      <c r="Q7" s="17" t="n">
        <v>924.7999877929688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Q3 2023-24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0.63%</t>
        </is>
      </c>
      <c r="J8" s="13" t="inlineStr">
        <is>
          <t>0.01%</t>
        </is>
      </c>
      <c r="K8" s="16">
        <f>X7</f>
        <v/>
      </c>
      <c r="L8" s="13" t="inlineStr">
        <is>
          <t>2024-02-01</t>
        </is>
      </c>
      <c r="M8" s="13" t="inlineStr">
        <is>
          <t>2024-02-05</t>
        </is>
      </c>
      <c r="N8" s="13" t="inlineStr">
        <is>
          <t>2024-02-02</t>
        </is>
      </c>
      <c r="O8" s="9" t="n">
        <v>300</v>
      </c>
      <c r="P8" s="17" t="n">
        <v>3149.29736328125</v>
      </c>
      <c r="Q8" s="17" t="n">
        <v>3169.220947265625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Q3 2023-24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-2.33%</t>
        </is>
      </c>
      <c r="J9" s="13" t="inlineStr">
        <is>
          <t>-3.76%</t>
        </is>
      </c>
      <c r="K9" s="16">
        <f>X8</f>
        <v/>
      </c>
      <c r="L9" s="13" t="inlineStr">
        <is>
          <t>2025-12-04</t>
        </is>
      </c>
      <c r="M9" s="13" t="inlineStr">
        <is>
          <t>2025-12-10</t>
        </is>
      </c>
      <c r="N9" s="13" t="inlineStr">
        <is>
          <t>2025-12-08</t>
        </is>
      </c>
      <c r="O9" s="9" t="n">
        <v>500</v>
      </c>
      <c r="P9" s="17" t="n">
        <v>1013.400024414062</v>
      </c>
      <c r="Q9" s="17" t="n">
        <v>989.7999877929688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Q3 2023-24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9.51%</t>
        </is>
      </c>
      <c r="J10" s="13" t="inlineStr">
        <is>
          <t>8.85%</t>
        </is>
      </c>
      <c r="K10" s="16">
        <f>X9</f>
        <v/>
      </c>
      <c r="L10" s="13" t="inlineStr">
        <is>
          <t>2024-01-23</t>
        </is>
      </c>
      <c r="M10" s="13" t="inlineStr">
        <is>
          <t>2024-02-08</t>
        </is>
      </c>
      <c r="N10" s="13" t="inlineStr">
        <is>
          <t>2024-02-01</t>
        </is>
      </c>
      <c r="O10" s="9" t="n">
        <v>625</v>
      </c>
      <c r="P10" s="17" t="n">
        <v>1122.031372070312</v>
      </c>
      <c r="Q10" s="17" t="n">
        <v>1228.698852539062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Q3 2023-24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-0.07%</t>
        </is>
      </c>
      <c r="J11" s="13" t="inlineStr">
        <is>
          <t>-0.23%</t>
        </is>
      </c>
      <c r="K11" s="16">
        <f>X10</f>
        <v/>
      </c>
      <c r="L11" s="13" t="inlineStr">
        <is>
          <t>2026-01-27</t>
        </is>
      </c>
      <c r="M11" s="13" t="inlineStr">
        <is>
          <t>2026-02-02</t>
        </is>
      </c>
      <c r="N11" s="13" t="inlineStr">
        <is>
          <t>2026-01-29</t>
        </is>
      </c>
      <c r="O11" s="9" t="n">
        <v>4785</v>
      </c>
      <c r="P11" s="17" t="n">
        <v>134.6000061035156</v>
      </c>
      <c r="Q11" s="17" t="n">
        <v>134.5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Q3 2023-24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-6.95%</t>
        </is>
      </c>
      <c r="J12" s="13" t="inlineStr">
        <is>
          <t>-7.26%</t>
        </is>
      </c>
      <c r="K12" s="16">
        <f>X11</f>
        <v/>
      </c>
      <c r="L12" s="13" t="inlineStr">
        <is>
          <t>2026-02-11</t>
        </is>
      </c>
      <c r="M12" s="13" t="inlineStr">
        <is>
          <t>2026-02-16</t>
        </is>
      </c>
      <c r="N12" s="13" t="inlineStr">
        <is>
          <t>2026-02-13</t>
        </is>
      </c>
      <c r="O12" s="9" t="n">
        <v>171</v>
      </c>
      <c r="P12" s="17" t="n">
        <v>5842.8974609375</v>
      </c>
      <c r="Q12" s="17" t="n">
        <v>5436.67236328125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Q3 2023-24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-1.79%</t>
        </is>
      </c>
      <c r="J13" s="13" t="inlineStr">
        <is>
          <t>-0.75%</t>
        </is>
      </c>
      <c r="K13" s="16">
        <f>X12</f>
        <v/>
      </c>
      <c r="L13" s="13" t="inlineStr">
        <is>
          <t>2026-06-08</t>
        </is>
      </c>
      <c r="M13" s="13" t="inlineStr">
        <is>
          <t>2026-06-19</t>
        </is>
      </c>
      <c r="N13" s="13" t="inlineStr">
        <is>
          <t>2026-06-13</t>
        </is>
      </c>
      <c r="O13" s="9" t="n">
        <v>135</v>
      </c>
      <c r="P13" s="17" t="n">
        <v>7889</v>
      </c>
      <c r="Q13" s="17" t="n">
        <v>7750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Q3 2023-24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-3.21%</t>
        </is>
      </c>
      <c r="J14" s="13" t="inlineStr">
        <is>
          <t>-3.46%</t>
        </is>
      </c>
      <c r="K14" s="16">
        <f>X13</f>
        <v/>
      </c>
      <c r="L14" s="13" t="inlineStr">
        <is>
          <t>2026-03-20</t>
        </is>
      </c>
      <c r="M14" s="13" t="inlineStr">
        <is>
          <t>2026-04-09</t>
        </is>
      </c>
      <c r="N14" s="13" t="inlineStr">
        <is>
          <t>2026-04-02</t>
        </is>
      </c>
      <c r="O14" s="9" t="n">
        <v>2303</v>
      </c>
      <c r="P14" s="17" t="n">
        <v>431.9120788574219</v>
      </c>
      <c r="Q14" s="17" t="n">
        <v>418.4785766601562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Q3 2023-24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9.53%</t>
        </is>
      </c>
      <c r="J15" s="13" t="inlineStr">
        <is>
          <t>4.62%</t>
        </is>
      </c>
      <c r="K15" s="16">
        <f>X14</f>
        <v/>
      </c>
      <c r="L15" s="13" t="inlineStr">
        <is>
          <t>2026-01-30</t>
        </is>
      </c>
      <c r="M15" s="13" t="inlineStr">
        <is>
          <t>2026-02-10</t>
        </is>
      </c>
      <c r="N15" s="13" t="inlineStr">
        <is>
          <t>2026-02-03</t>
        </is>
      </c>
      <c r="O15" s="9" t="n">
        <v>3428</v>
      </c>
      <c r="P15" s="17" t="n">
        <v>251.4723358154297</v>
      </c>
      <c r="Q15" s="17" t="n">
        <v>275.4329223632812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Q3 2023-24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-9.37%</t>
        </is>
      </c>
      <c r="J16" s="13" t="inlineStr">
        <is>
          <t>-10.37%</t>
        </is>
      </c>
      <c r="K16" s="16">
        <f>X15</f>
        <v/>
      </c>
      <c r="L16" s="13" t="inlineStr">
        <is>
          <t>2025-07-22</t>
        </is>
      </c>
      <c r="M16" s="13" t="inlineStr">
        <is>
          <t>2025-07-28</t>
        </is>
      </c>
      <c r="N16" s="13" t="inlineStr">
        <is>
          <t>2025-07-24</t>
        </is>
      </c>
      <c r="O16" s="9" t="n">
        <v>528</v>
      </c>
      <c r="P16" s="17" t="n">
        <v>1654.625</v>
      </c>
      <c r="Q16" s="17" t="n">
        <v>1499.566162109375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Q3 2023-24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6.36%</t>
        </is>
      </c>
      <c r="J17" s="13" t="inlineStr">
        <is>
          <t>3.73%</t>
        </is>
      </c>
      <c r="K17" s="16">
        <f>X16</f>
        <v/>
      </c>
      <c r="L17" s="13" t="inlineStr">
        <is>
          <t>2024-02-08</t>
        </is>
      </c>
      <c r="M17" s="13" t="inlineStr">
        <is>
          <t>2024-02-15</t>
        </is>
      </c>
      <c r="N17" s="13" t="inlineStr">
        <is>
          <t>2024-02-09</t>
        </is>
      </c>
      <c r="O17" s="9" t="n">
        <v>125</v>
      </c>
      <c r="P17" s="17" t="n">
        <v>6190.89697265625</v>
      </c>
      <c r="Q17" s="17" t="n">
        <v>6584.9443359375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Q3 2023-24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-3.56%</t>
        </is>
      </c>
      <c r="J18" s="13" t="inlineStr">
        <is>
          <t>-8.04%</t>
        </is>
      </c>
      <c r="K18" s="16">
        <f>X17</f>
        <v/>
      </c>
      <c r="L18" s="13" t="inlineStr">
        <is>
          <t>2023-10-19</t>
        </is>
      </c>
      <c r="M18" s="13" t="inlineStr">
        <is>
          <t>2023-10-23</t>
        </is>
      </c>
      <c r="N18" s="13" t="inlineStr">
        <is>
          <t>2023-10-21</t>
        </is>
      </c>
      <c r="O18" s="9" t="n">
        <v>5000</v>
      </c>
      <c r="P18" s="17" t="n">
        <v>81.70394897460938</v>
      </c>
      <c r="Q18" s="17" t="n">
        <v>78.79255676269531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Q3 2023-24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3.72%</t>
        </is>
      </c>
      <c r="J19" s="13" t="inlineStr">
        <is>
          <t>3.88%</t>
        </is>
      </c>
      <c r="K19" s="16">
        <f>X18</f>
        <v/>
      </c>
      <c r="L19" s="13" t="inlineStr">
        <is>
          <t>2024-01-11</t>
        </is>
      </c>
      <c r="M19" s="13" t="inlineStr">
        <is>
          <t>2024-01-19</t>
        </is>
      </c>
      <c r="N19" s="13" t="inlineStr">
        <is>
          <t>2024-01-17</t>
        </is>
      </c>
      <c r="O19" s="9" t="n">
        <v>200</v>
      </c>
      <c r="P19" s="17" t="n">
        <v>3070.06298828125</v>
      </c>
      <c r="Q19" s="17" t="n">
        <v>3188.7109375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Q3 2023-24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-4.35%</t>
        </is>
      </c>
      <c r="J20" s="13" t="inlineStr">
        <is>
          <t>-2.89%</t>
        </is>
      </c>
      <c r="K20" s="16">
        <f>X19</f>
        <v/>
      </c>
      <c r="L20" s="13" t="inlineStr">
        <is>
          <t>2023-10-10</t>
        </is>
      </c>
      <c r="M20" s="13" t="inlineStr">
        <is>
          <t>2023-10-27</t>
        </is>
      </c>
      <c r="N20" s="13" t="inlineStr">
        <is>
          <t>2023-10-21</t>
        </is>
      </c>
      <c r="O20" s="9" t="n">
        <v>679</v>
      </c>
      <c r="P20" s="17" t="n">
        <v>1900.841552734375</v>
      </c>
      <c r="Q20" s="17" t="n">
        <v>1818.245971679688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Q3 2023-24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2023-10-21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Q3 2023-24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2.76%</t>
        </is>
      </c>
      <c r="J22" s="13" t="inlineStr">
        <is>
          <t>-5.44%</t>
        </is>
      </c>
      <c r="K22" s="16">
        <f>X21</f>
        <v/>
      </c>
      <c r="L22" s="13" t="inlineStr">
        <is>
          <t>2023-10-10</t>
        </is>
      </c>
      <c r="M22" s="13" t="inlineStr">
        <is>
          <t>2023-10-23</t>
        </is>
      </c>
      <c r="N22" s="13" t="inlineStr">
        <is>
          <t>2023-10-21</t>
        </is>
      </c>
      <c r="O22" s="9" t="n">
        <v>970</v>
      </c>
      <c r="P22" s="17" t="n">
        <v>693.496826171875</v>
      </c>
      <c r="Q22" s="17" t="n">
        <v>713.1913452148438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Q3 2023-24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-3.82%</t>
        </is>
      </c>
      <c r="J23" s="13" t="inlineStr">
        <is>
          <t>-4.12%</t>
        </is>
      </c>
      <c r="K23" s="16">
        <f>X22</f>
        <v/>
      </c>
      <c r="L23" s="13" t="inlineStr">
        <is>
          <t>2023-10-16</t>
        </is>
      </c>
      <c r="M23" s="13" t="inlineStr">
        <is>
          <t>2023-10-23</t>
        </is>
      </c>
      <c r="N23" s="13" t="inlineStr">
        <is>
          <t>2023-10-21</t>
        </is>
      </c>
      <c r="O23" s="9" t="n">
        <v>634</v>
      </c>
      <c r="P23" s="17" t="n">
        <v>902.0984497070312</v>
      </c>
      <c r="Q23" s="17" t="n">
        <v>867.6808471679688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Q3 2023-24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-0.46%</t>
        </is>
      </c>
      <c r="J24" s="13" t="inlineStr">
        <is>
          <t>-1.79%</t>
        </is>
      </c>
      <c r="K24" s="16">
        <f>X23</f>
        <v/>
      </c>
      <c r="L24" s="13" t="inlineStr">
        <is>
          <t>2024-01-23</t>
        </is>
      </c>
      <c r="M24" s="13" t="inlineStr">
        <is>
          <t>2024-02-01</t>
        </is>
      </c>
      <c r="N24" s="13" t="inlineStr">
        <is>
          <t>2024-01-24</t>
        </is>
      </c>
      <c r="O24" s="9" t="n">
        <v>625</v>
      </c>
      <c r="P24" s="17" t="n">
        <v>1086.642578125</v>
      </c>
      <c r="Q24" s="17" t="n">
        <v>1081.654418945312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Q3 2023-24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5.34%</t>
        </is>
      </c>
      <c r="J25" s="13" t="inlineStr">
        <is>
          <t>3.69%</t>
        </is>
      </c>
      <c r="K25" s="16">
        <f>X24</f>
        <v/>
      </c>
      <c r="L25" s="13" t="inlineStr">
        <is>
          <t>2024-01-17</t>
        </is>
      </c>
      <c r="M25" s="13" t="inlineStr">
        <is>
          <t>2024-01-29</t>
        </is>
      </c>
      <c r="N25" s="13" t="inlineStr">
        <is>
          <t>2024-01-24</t>
        </is>
      </c>
      <c r="O25" s="9" t="n">
        <v>125</v>
      </c>
      <c r="P25" s="17" t="n">
        <v>6836.2744140625</v>
      </c>
      <c r="Q25" s="17" t="n">
        <v>7201.5107421875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Q3 2023-24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1.99%</t>
        </is>
      </c>
      <c r="J26" s="13" t="inlineStr">
        <is>
          <t>1.46%</t>
        </is>
      </c>
      <c r="K26" s="16">
        <f>X25</f>
        <v/>
      </c>
      <c r="L26" s="13" t="inlineStr">
        <is>
          <t>2024-01-30</t>
        </is>
      </c>
      <c r="M26" s="13" t="inlineStr">
        <is>
          <t>2024-02-01</t>
        </is>
      </c>
      <c r="N26" s="13" t="inlineStr">
        <is>
          <t>2024-01-30</t>
        </is>
      </c>
      <c r="O26" s="9" t="n">
        <v>500</v>
      </c>
      <c r="P26" s="17" t="n">
        <v>1587.418579101562</v>
      </c>
      <c r="Q26" s="17" t="n">
        <v>1619.056030273438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Q3 2023-24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-1.61%</t>
        </is>
      </c>
      <c r="J27" s="13" t="inlineStr">
        <is>
          <t>-5.39%</t>
        </is>
      </c>
      <c r="K27" s="16">
        <f>X26</f>
        <v/>
      </c>
      <c r="L27" s="13" t="inlineStr">
        <is>
          <t>2023-10-13</t>
        </is>
      </c>
      <c r="M27" s="13" t="inlineStr">
        <is>
          <t>2023-10-27</t>
        </is>
      </c>
      <c r="N27" s="13" t="inlineStr">
        <is>
          <t>2023-10-21</t>
        </is>
      </c>
      <c r="O27" s="9" t="n">
        <v>100</v>
      </c>
      <c r="P27" s="17" t="n">
        <v>6651.30859375</v>
      </c>
      <c r="Q27" s="17" t="n">
        <v>6544.47119140625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Q3 2023-24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-6.74%</t>
        </is>
      </c>
      <c r="J28" s="13" t="inlineStr">
        <is>
          <t>-8.8%</t>
        </is>
      </c>
      <c r="K28" s="16">
        <f>X27</f>
        <v/>
      </c>
      <c r="L28" s="13" t="inlineStr">
        <is>
          <t>2024-01-25</t>
        </is>
      </c>
      <c r="M28" s="13" t="inlineStr">
        <is>
          <t>2024-02-05</t>
        </is>
      </c>
      <c r="N28" s="13" t="inlineStr">
        <is>
          <t>2024-01-29</t>
        </is>
      </c>
      <c r="O28" s="9" t="n">
        <v>125</v>
      </c>
      <c r="P28" s="17" t="n">
        <v>696.4061889648438</v>
      </c>
      <c r="Q28" s="17" t="n">
        <v>649.4943237304688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Q3 2023-24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-10.55%</t>
        </is>
      </c>
      <c r="J29" s="13" t="inlineStr">
        <is>
          <t>-11.59%</t>
        </is>
      </c>
      <c r="K29" s="16">
        <f>X28</f>
        <v/>
      </c>
      <c r="L29" s="13" t="inlineStr">
        <is>
          <t>2023-10-17</t>
        </is>
      </c>
      <c r="M29" s="13" t="inlineStr">
        <is>
          <t>2023-10-27</t>
        </is>
      </c>
      <c r="N29" s="13" t="inlineStr">
        <is>
          <t>2023-10-21</t>
        </is>
      </c>
      <c r="O29" s="9" t="n">
        <v>6099</v>
      </c>
      <c r="P29" s="17" t="n">
        <v>233.6962890625</v>
      </c>
      <c r="Q29" s="17" t="n">
        <v>209.0299530029297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Q3 2023-24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3.27%</t>
        </is>
      </c>
      <c r="J30" s="13" t="inlineStr">
        <is>
          <t>2.91%</t>
        </is>
      </c>
      <c r="K30" s="16">
        <f>X29</f>
        <v/>
      </c>
      <c r="L30" s="13" t="inlineStr">
        <is>
          <t>2023-10-13</t>
        </is>
      </c>
      <c r="M30" s="13" t="inlineStr">
        <is>
          <t>2023-10-27</t>
        </is>
      </c>
      <c r="N30" s="13" t="inlineStr">
        <is>
          <t>2023-10-21</t>
        </is>
      </c>
      <c r="O30" s="9" t="n">
        <v>4138</v>
      </c>
      <c r="P30" s="17" t="n">
        <v>179.3240966796875</v>
      </c>
      <c r="Q30" s="17" t="n">
        <v>185.3820495605469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Q3 2023-24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8.72%</t>
        </is>
      </c>
      <c r="J31" s="13" t="inlineStr">
        <is>
          <t>5.75%</t>
        </is>
      </c>
      <c r="K31" s="16">
        <f>X30</f>
        <v/>
      </c>
      <c r="L31" s="13" t="inlineStr">
        <is>
          <t>2023-10-17</t>
        </is>
      </c>
      <c r="M31" s="13" t="inlineStr">
        <is>
          <t>2023-10-27</t>
        </is>
      </c>
      <c r="N31" s="13" t="inlineStr">
        <is>
          <t>2023-10-21</t>
        </is>
      </c>
      <c r="O31" s="9" t="n">
        <v>7287</v>
      </c>
      <c r="P31" s="17" t="n">
        <v>88.44218444824219</v>
      </c>
      <c r="Q31" s="17" t="n">
        <v>96.89353179931641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Q3 2023-24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5.86%</t>
        </is>
      </c>
      <c r="J32" s="13" t="inlineStr">
        <is>
          <t>10.8%</t>
        </is>
      </c>
      <c r="K32" s="16">
        <f>X31</f>
        <v/>
      </c>
      <c r="L32" s="13" t="inlineStr">
        <is>
          <t>2023-10-10</t>
        </is>
      </c>
      <c r="M32" s="13" t="inlineStr">
        <is>
          <t>2023-10-23</t>
        </is>
      </c>
      <c r="N32" s="13" t="inlineStr">
        <is>
          <t>2023-10-21</t>
        </is>
      </c>
      <c r="O32" s="9" t="n">
        <v>793</v>
      </c>
      <c r="P32" s="17" t="n">
        <v>478.62255859375</v>
      </c>
      <c r="Q32" s="17" t="n">
        <v>508.4285278320313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Q3 2023-24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2.21%</t>
        </is>
      </c>
      <c r="J33" s="13" t="inlineStr">
        <is>
          <t>3.84%</t>
        </is>
      </c>
      <c r="K33" s="16">
        <f>X32</f>
        <v/>
      </c>
      <c r="L33" s="13" t="inlineStr">
        <is>
          <t>2024-01-17</t>
        </is>
      </c>
      <c r="M33" s="13" t="inlineStr">
        <is>
          <t>2024-02-05</t>
        </is>
      </c>
      <c r="N33" s="13" t="inlineStr">
        <is>
          <t>2024-01-29</t>
        </is>
      </c>
      <c r="O33" s="9" t="n">
        <v>2438</v>
      </c>
      <c r="P33" s="17" t="n">
        <v>177.5727081298828</v>
      </c>
      <c r="Q33" s="17" t="n">
        <v>181.5828857421875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Q3 2023-24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5.2%</t>
        </is>
      </c>
      <c r="J34" s="13" t="inlineStr">
        <is>
          <t>-0.43%</t>
        </is>
      </c>
      <c r="K34" s="16">
        <f>X33</f>
        <v/>
      </c>
      <c r="L34" s="13" t="inlineStr">
        <is>
          <t>2023-10-11</t>
        </is>
      </c>
      <c r="M34" s="13" t="inlineStr">
        <is>
          <t>2023-10-23</t>
        </is>
      </c>
      <c r="N34" s="13" t="inlineStr">
        <is>
          <t>2023-10-21</t>
        </is>
      </c>
      <c r="O34" s="9" t="n">
        <v>461</v>
      </c>
      <c r="P34" s="17" t="n">
        <v>1038.411010742188</v>
      </c>
      <c r="Q34" s="17" t="n">
        <v>1095.322143554688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Q3 2023-24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-5.99%</t>
        </is>
      </c>
      <c r="J35" s="13" t="inlineStr">
        <is>
          <t>-7.49%</t>
        </is>
      </c>
      <c r="K35" s="16">
        <f>X34</f>
        <v/>
      </c>
      <c r="L35" s="13" t="inlineStr">
        <is>
          <t>2024-01-24</t>
        </is>
      </c>
      <c r="M35" s="13" t="inlineStr">
        <is>
          <t>2024-02-12</t>
        </is>
      </c>
      <c r="N35" s="13" t="inlineStr">
        <is>
          <t>2024-02-05</t>
        </is>
      </c>
      <c r="O35" s="9" t="n">
        <v>950</v>
      </c>
      <c r="P35" s="17" t="n">
        <v>1173.544677734375</v>
      </c>
      <c r="Q35" s="17" t="n">
        <v>1103.276977539062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Q3 2023-24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10.29%</t>
        </is>
      </c>
      <c r="J36" s="13" t="inlineStr">
        <is>
          <t>9.22%</t>
        </is>
      </c>
      <c r="K36" s="16">
        <f>X35</f>
        <v/>
      </c>
      <c r="L36" s="13" t="inlineStr">
        <is>
          <t>2023-10-16</t>
        </is>
      </c>
      <c r="M36" s="13" t="inlineStr">
        <is>
          <t>2023-10-27</t>
        </is>
      </c>
      <c r="N36" s="13" t="inlineStr">
        <is>
          <t>2023-10-21</t>
        </is>
      </c>
      <c r="O36" s="9" t="n">
        <v>2481</v>
      </c>
      <c r="P36" s="17" t="n">
        <v>116.9275741577148</v>
      </c>
      <c r="Q36" s="17" t="n">
        <v>130.3446655273438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Q3 2023-24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12.1%</t>
        </is>
      </c>
      <c r="J37" s="13" t="inlineStr">
        <is>
          <t>9.18%</t>
        </is>
      </c>
      <c r="K37" s="16">
        <f>X36</f>
        <v/>
      </c>
      <c r="L37" s="13" t="inlineStr">
        <is>
          <t>2023-10-11</t>
        </is>
      </c>
      <c r="M37" s="13" t="inlineStr">
        <is>
          <t>2023-10-23</t>
        </is>
      </c>
      <c r="N37" s="13" t="inlineStr">
        <is>
          <t>2023-10-21</t>
        </is>
      </c>
      <c r="O37" s="9" t="n">
        <v>2351</v>
      </c>
      <c r="P37" s="17" t="n">
        <v>225.3656921386719</v>
      </c>
      <c r="Q37" s="17" t="n">
        <v>256.3939208984375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Q3 2023-24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-2.02%</t>
        </is>
      </c>
      <c r="J38" s="13" t="inlineStr">
        <is>
          <t>-2.55%</t>
        </is>
      </c>
      <c r="K38" s="16">
        <f>X37</f>
        <v/>
      </c>
      <c r="L38" s="13" t="inlineStr">
        <is>
          <t>2023-10-10</t>
        </is>
      </c>
      <c r="M38" s="13" t="inlineStr">
        <is>
          <t>2023-10-23</t>
        </is>
      </c>
      <c r="N38" s="13" t="inlineStr">
        <is>
          <t>2023-10-21</t>
        </is>
      </c>
      <c r="O38" s="9" t="n">
        <v>591</v>
      </c>
      <c r="P38" s="17" t="n">
        <v>870.8798217773438</v>
      </c>
      <c r="Q38" s="17" t="n">
        <v>853.6693115234375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Q3 2023-24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-0.13%</t>
        </is>
      </c>
      <c r="J39" s="13" t="inlineStr">
        <is>
          <t>0.26%</t>
        </is>
      </c>
      <c r="K39" s="16">
        <f>X38</f>
        <v/>
      </c>
      <c r="L39" s="13" t="inlineStr">
        <is>
          <t>2023-10-10</t>
        </is>
      </c>
      <c r="M39" s="13" t="inlineStr">
        <is>
          <t>2023-10-27</t>
        </is>
      </c>
      <c r="N39" s="13" t="inlineStr">
        <is>
          <t>2023-10-21</t>
        </is>
      </c>
      <c r="O39" s="9" t="n">
        <v>100</v>
      </c>
      <c r="P39" s="17" t="n">
        <v>19244.369140625</v>
      </c>
      <c r="Q39" s="17" t="n">
        <v>19220.099609375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Q3 2023-24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-31.58%</t>
        </is>
      </c>
      <c r="J40" s="13" t="inlineStr">
        <is>
          <t>-30.45%</t>
        </is>
      </c>
      <c r="K40" s="16">
        <f>X39</f>
        <v/>
      </c>
      <c r="L40" s="13" t="inlineStr">
        <is>
          <t>2024-01-23</t>
        </is>
      </c>
      <c r="M40" s="13" t="inlineStr">
        <is>
          <t>2024-02-06</t>
        </is>
      </c>
      <c r="N40" s="13" t="inlineStr">
        <is>
          <t>2024-01-30</t>
        </is>
      </c>
      <c r="O40" s="9" t="n">
        <v>1800</v>
      </c>
      <c r="P40" s="17" t="n">
        <v>271.7031860351562</v>
      </c>
      <c r="Q40" s="17" t="n">
        <v>206.4863891601562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Q3 2023-24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-2.1%</t>
        </is>
      </c>
      <c r="J41" s="13" t="inlineStr">
        <is>
          <t>-2.7%</t>
        </is>
      </c>
      <c r="K41" s="16">
        <f>X40</f>
        <v/>
      </c>
      <c r="L41" s="13" t="inlineStr">
        <is>
          <t>2024-02-07</t>
        </is>
      </c>
      <c r="M41" s="13" t="inlineStr">
        <is>
          <t>2024-02-09</t>
        </is>
      </c>
      <c r="N41" s="13" t="inlineStr">
        <is>
          <t>2024-02-07</t>
        </is>
      </c>
      <c r="O41" s="9" t="n">
        <v>200</v>
      </c>
      <c r="P41" s="17" t="n">
        <v>4948.154296875</v>
      </c>
      <c r="Q41" s="17" t="n">
        <v>4844.13916015625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Q3 2023-24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15.21%</t>
        </is>
      </c>
      <c r="J42" s="13" t="inlineStr">
        <is>
          <t>12.15%</t>
        </is>
      </c>
      <c r="K42" s="16">
        <f>X41</f>
        <v/>
      </c>
      <c r="L42" s="13" t="inlineStr">
        <is>
          <t>2023-10-11</t>
        </is>
      </c>
      <c r="M42" s="13" t="inlineStr">
        <is>
          <t>2023-10-23</t>
        </is>
      </c>
      <c r="N42" s="13" t="inlineStr">
        <is>
          <t>2023-10-21</t>
        </is>
      </c>
      <c r="O42" s="9" t="n">
        <v>283</v>
      </c>
      <c r="P42" s="17" t="n">
        <v>488.3779296875</v>
      </c>
      <c r="Q42" s="17" t="n">
        <v>562.6687622070312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Q3 2023-24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6.98%</t>
        </is>
      </c>
      <c r="J43" s="13" t="inlineStr">
        <is>
          <t>2.87%</t>
        </is>
      </c>
      <c r="K43" s="16">
        <f>X42</f>
        <v/>
      </c>
      <c r="L43" s="13" t="inlineStr">
        <is>
          <t>2023-10-18</t>
        </is>
      </c>
      <c r="M43" s="13" t="inlineStr">
        <is>
          <t>2023-10-23</t>
        </is>
      </c>
      <c r="N43" s="13" t="inlineStr">
        <is>
          <t>2023-10-21</t>
        </is>
      </c>
      <c r="O43" s="9" t="n">
        <v>1260</v>
      </c>
      <c r="P43" s="17" t="n">
        <v>461.2044982910156</v>
      </c>
      <c r="Q43" s="17" t="n">
        <v>495.8303527832031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Q3 2023-24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-2.96%</t>
        </is>
      </c>
      <c r="J44" s="13" t="inlineStr">
        <is>
          <t>-5.55%</t>
        </is>
      </c>
      <c r="K44" s="16">
        <f>X43</f>
        <v/>
      </c>
      <c r="L44" s="13" t="inlineStr">
        <is>
          <t>2023-10-11</t>
        </is>
      </c>
      <c r="M44" s="13" t="inlineStr">
        <is>
          <t>2023-10-27</t>
        </is>
      </c>
      <c r="N44" s="13" t="inlineStr">
        <is>
          <t>2023-10-21</t>
        </is>
      </c>
      <c r="O44" s="9" t="n">
        <v>8046</v>
      </c>
      <c r="P44" s="17" t="n">
        <v>69.29776763916016</v>
      </c>
      <c r="Q44" s="17" t="n">
        <v>67.30509185791016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Q3 2023-24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1.15%</t>
        </is>
      </c>
      <c r="J45" s="13" t="inlineStr">
        <is>
          <t>-1.75%</t>
        </is>
      </c>
      <c r="K45" s="16">
        <f>X44</f>
        <v/>
      </c>
      <c r="L45" s="13" t="inlineStr">
        <is>
          <t>2023-10-10</t>
        </is>
      </c>
      <c r="M45" s="13" t="inlineStr">
        <is>
          <t>2023-10-23</t>
        </is>
      </c>
      <c r="N45" s="13" t="inlineStr">
        <is>
          <t>2023-10-21</t>
        </is>
      </c>
      <c r="O45" s="9" t="n">
        <v>748</v>
      </c>
      <c r="P45" s="17" t="n">
        <v>636.5571899414062</v>
      </c>
      <c r="Q45" s="17" t="n">
        <v>643.9837036132812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Q3 2023-24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-2.23%</t>
        </is>
      </c>
      <c r="J46" s="13" t="inlineStr">
        <is>
          <t>-1.36%</t>
        </is>
      </c>
      <c r="K46" s="16">
        <f>X45</f>
        <v/>
      </c>
      <c r="L46" s="13" t="inlineStr">
        <is>
          <t>2023-10-16</t>
        </is>
      </c>
      <c r="M46" s="13" t="inlineStr">
        <is>
          <t>2023-10-27</t>
        </is>
      </c>
      <c r="N46" s="13" t="inlineStr">
        <is>
          <t>2023-10-21</t>
        </is>
      </c>
      <c r="O46" s="9" t="n">
        <v>1201</v>
      </c>
      <c r="P46" s="17" t="n">
        <v>390.3690490722656</v>
      </c>
      <c r="Q46" s="17" t="n">
        <v>381.680908203125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Q3 2023-24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2.51%</t>
        </is>
      </c>
      <c r="J47" s="13" t="inlineStr">
        <is>
          <t>3.57%</t>
        </is>
      </c>
      <c r="K47" s="16">
        <f>X46</f>
        <v/>
      </c>
      <c r="L47" s="13" t="inlineStr">
        <is>
          <t>2023-10-19</t>
        </is>
      </c>
      <c r="M47" s="13" t="inlineStr">
        <is>
          <t>2023-10-23</t>
        </is>
      </c>
      <c r="N47" s="13" t="inlineStr">
        <is>
          <t>2023-10-21</t>
        </is>
      </c>
      <c r="O47" s="9" t="n">
        <v>563</v>
      </c>
      <c r="P47" s="17" t="n">
        <v>1162.429321289062</v>
      </c>
      <c r="Q47" s="17" t="n">
        <v>1192.355224609375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Q3 2023-24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-1.79%</t>
        </is>
      </c>
      <c r="J48" s="13" t="inlineStr">
        <is>
          <t>-1.85%</t>
        </is>
      </c>
      <c r="K48" s="16">
        <f>X47</f>
        <v/>
      </c>
      <c r="L48" s="13" t="inlineStr">
        <is>
          <t>2024-01-17</t>
        </is>
      </c>
      <c r="M48" s="13" t="inlineStr">
        <is>
          <t>2024-01-30</t>
        </is>
      </c>
      <c r="N48" s="13" t="inlineStr">
        <is>
          <t>2024-01-22</t>
        </is>
      </c>
      <c r="O48" s="9" t="n">
        <v>650</v>
      </c>
      <c r="P48" s="17" t="n">
        <v>1280.211791992188</v>
      </c>
      <c r="Q48" s="17" t="n">
        <v>1257.7587890625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Q3 2023-24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14.67%</t>
        </is>
      </c>
      <c r="J49" s="13" t="inlineStr">
        <is>
          <t>13.71%</t>
        </is>
      </c>
      <c r="K49" s="16">
        <f>X48</f>
        <v/>
      </c>
      <c r="L49" s="13" t="inlineStr">
        <is>
          <t>2024-02-01</t>
        </is>
      </c>
      <c r="M49" s="13" t="inlineStr">
        <is>
          <t>2024-02-14</t>
        </is>
      </c>
      <c r="N49" s="13" t="inlineStr">
        <is>
          <t>2024-02-12</t>
        </is>
      </c>
      <c r="O49" s="9" t="n">
        <v>2100</v>
      </c>
      <c r="P49" s="17" t="n">
        <v>353.5045776367188</v>
      </c>
      <c r="Q49" s="17" t="n">
        <v>405.3524780273438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Q3 2023-24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5.33%</t>
        </is>
      </c>
      <c r="J50" s="13" t="inlineStr">
        <is>
          <t>11.34%</t>
        </is>
      </c>
      <c r="K50" s="16">
        <f>X49</f>
        <v/>
      </c>
      <c r="L50" s="13" t="inlineStr">
        <is>
          <t>2023-10-13</t>
        </is>
      </c>
      <c r="M50" s="13" t="inlineStr">
        <is>
          <t>2023-10-23</t>
        </is>
      </c>
      <c r="N50" s="13" t="inlineStr">
        <is>
          <t>2023-10-21</t>
        </is>
      </c>
      <c r="O50" s="9" t="n">
        <v>713</v>
      </c>
      <c r="P50" s="17" t="n">
        <v>475.8970336914063</v>
      </c>
      <c r="Q50" s="17" t="n">
        <v>502.6868896484375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Q3 2023-24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-1.95%</t>
        </is>
      </c>
      <c r="J51" s="13" t="inlineStr">
        <is>
          <t>-3.54%</t>
        </is>
      </c>
      <c r="K51" s="16">
        <f>X50</f>
        <v/>
      </c>
      <c r="L51" s="13" t="inlineStr">
        <is>
          <t>2023-10-19</t>
        </is>
      </c>
      <c r="M51" s="13" t="inlineStr">
        <is>
          <t>2023-10-27</t>
        </is>
      </c>
      <c r="N51" s="13" t="inlineStr">
        <is>
          <t>2023-10-21</t>
        </is>
      </c>
      <c r="O51" s="9" t="n">
        <v>572</v>
      </c>
      <c r="P51" s="17" t="n">
        <v>993.46533203125</v>
      </c>
      <c r="Q51" s="17" t="n">
        <v>974.0482788085938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Q3 2023-24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1.53%</t>
        </is>
      </c>
      <c r="J52" s="13" t="inlineStr">
        <is>
          <t>1.54%</t>
        </is>
      </c>
      <c r="K52" s="16">
        <f>X51</f>
        <v/>
      </c>
      <c r="L52" s="13" t="inlineStr">
        <is>
          <t>2023-10-13</t>
        </is>
      </c>
      <c r="M52" s="13" t="inlineStr">
        <is>
          <t>2023-10-27</t>
        </is>
      </c>
      <c r="N52" s="13" t="inlineStr">
        <is>
          <t>2023-10-21</t>
        </is>
      </c>
      <c r="O52" s="9" t="n">
        <v>479</v>
      </c>
      <c r="P52" s="17" t="n">
        <v>1920.173217773437</v>
      </c>
      <c r="Q52" s="17" t="n">
        <v>1949.550048828125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Q3 2023-24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-3.02%</t>
        </is>
      </c>
      <c r="J53" s="13" t="inlineStr">
        <is>
          <t>-6.09%</t>
        </is>
      </c>
      <c r="K53" s="16">
        <f>X52</f>
        <v/>
      </c>
      <c r="L53" s="13" t="inlineStr">
        <is>
          <t>2023-10-17</t>
        </is>
      </c>
      <c r="M53" s="13" t="inlineStr">
        <is>
          <t>2023-10-23</t>
        </is>
      </c>
      <c r="N53" s="13" t="inlineStr">
        <is>
          <t>2023-10-21</t>
        </is>
      </c>
      <c r="O53" s="9" t="n">
        <v>1904</v>
      </c>
      <c r="P53" s="17" t="n">
        <v>696.5211181640625</v>
      </c>
      <c r="Q53" s="17" t="n">
        <v>675.5050048828125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Q3 2023-24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6.89%</t>
        </is>
      </c>
      <c r="J54" s="13" t="inlineStr">
        <is>
          <t>8.7%</t>
        </is>
      </c>
      <c r="K54" s="16">
        <f>X53</f>
        <v/>
      </c>
      <c r="L54" s="13" t="inlineStr">
        <is>
          <t>2023-10-16</t>
        </is>
      </c>
      <c r="M54" s="13" t="inlineStr">
        <is>
          <t>2023-10-23</t>
        </is>
      </c>
      <c r="N54" s="13" t="inlineStr">
        <is>
          <t>2023-10-21</t>
        </is>
      </c>
      <c r="O54" s="9" t="n">
        <v>3841</v>
      </c>
      <c r="P54" s="17" t="n">
        <v>272.064453125</v>
      </c>
      <c r="Q54" s="17" t="n">
        <v>292.1958312988281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Q3 2023-24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1.63%</t>
        </is>
      </c>
      <c r="J55" s="13" t="inlineStr">
        <is>
          <t>0.84%</t>
        </is>
      </c>
      <c r="K55" s="16">
        <f>X54</f>
        <v/>
      </c>
      <c r="L55" s="13" t="inlineStr">
        <is>
          <t>2023-10-16</t>
        </is>
      </c>
      <c r="M55" s="13" t="inlineStr">
        <is>
          <t>2023-10-27</t>
        </is>
      </c>
      <c r="N55" s="13" t="inlineStr">
        <is>
          <t>2023-10-21</t>
        </is>
      </c>
      <c r="O55" s="9" t="n">
        <v>185</v>
      </c>
      <c r="P55" s="17" t="n">
        <v>1621.59912109375</v>
      </c>
      <c r="Q55" s="17" t="n">
        <v>1648.528198242188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Q3 2023-24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-3.25%</t>
        </is>
      </c>
      <c r="J56" s="13" t="inlineStr">
        <is>
          <t>-4.75%</t>
        </is>
      </c>
      <c r="K56" s="16">
        <f>X55</f>
        <v/>
      </c>
      <c r="L56" s="13" t="inlineStr">
        <is>
          <t>2023-10-13</t>
        </is>
      </c>
      <c r="M56" s="13" t="inlineStr">
        <is>
          <t>2023-10-23</t>
        </is>
      </c>
      <c r="N56" s="13" t="inlineStr">
        <is>
          <t>2023-10-21</t>
        </is>
      </c>
      <c r="O56" s="9" t="n">
        <v>2346</v>
      </c>
      <c r="P56" s="17" t="n">
        <v>516.3145141601562</v>
      </c>
      <c r="Q56" s="17" t="n">
        <v>499.5463562011719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Q3 2023-24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2.37%</t>
        </is>
      </c>
      <c r="J57" s="13" t="inlineStr">
        <is>
          <t>-2.52%</t>
        </is>
      </c>
      <c r="K57" s="16">
        <f>X56</f>
        <v/>
      </c>
      <c r="L57" s="13" t="inlineStr">
        <is>
          <t>2023-10-18</t>
        </is>
      </c>
      <c r="M57" s="13" t="inlineStr">
        <is>
          <t>2023-10-23</t>
        </is>
      </c>
      <c r="N57" s="13" t="inlineStr">
        <is>
          <t>2023-10-21</t>
        </is>
      </c>
      <c r="O57" s="9" t="n">
        <v>2135</v>
      </c>
      <c r="P57" s="17" t="n">
        <v>415.5</v>
      </c>
      <c r="Q57" s="17" t="n">
        <v>425.6000061035156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Q3 2023-24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-6.28%</t>
        </is>
      </c>
      <c r="J58" s="13" t="inlineStr">
        <is>
          <t>-10.95%</t>
        </is>
      </c>
      <c r="K58" s="16">
        <f>X57</f>
        <v/>
      </c>
      <c r="L58" s="13" t="inlineStr">
        <is>
          <t>2023-10-13</t>
        </is>
      </c>
      <c r="M58" s="13" t="inlineStr">
        <is>
          <t>2023-10-23</t>
        </is>
      </c>
      <c r="N58" s="13" t="inlineStr">
        <is>
          <t>2023-10-21</t>
        </is>
      </c>
      <c r="O58" s="9" t="n">
        <v>200</v>
      </c>
      <c r="P58" s="17" t="n">
        <v>3680.558349609375</v>
      </c>
      <c r="Q58" s="17" t="n">
        <v>3449.596435546875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Q3 2023-24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-3.11%</t>
        </is>
      </c>
      <c r="J59" s="13" t="inlineStr">
        <is>
          <t>-6.49%</t>
        </is>
      </c>
      <c r="K59" s="16">
        <f>X58</f>
        <v/>
      </c>
      <c r="L59" s="13" t="inlineStr">
        <is>
          <t>2023-10-11</t>
        </is>
      </c>
      <c r="M59" s="13" t="inlineStr">
        <is>
          <t>2023-10-23</t>
        </is>
      </c>
      <c r="N59" s="13" t="inlineStr">
        <is>
          <t>2023-10-21</t>
        </is>
      </c>
      <c r="O59" s="9" t="n">
        <v>100</v>
      </c>
      <c r="P59" s="17" t="n">
        <v>5413.654296875</v>
      </c>
      <c r="Q59" s="17" t="n">
        <v>5250.48583984375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Q3 2023-24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6.03%</t>
        </is>
      </c>
      <c r="J60" s="13" t="inlineStr">
        <is>
          <t>4.5%</t>
        </is>
      </c>
      <c r="K60" s="16">
        <f>X59</f>
        <v/>
      </c>
      <c r="L60" s="13" t="inlineStr">
        <is>
          <t>2023-10-17</t>
        </is>
      </c>
      <c r="M60" s="13" t="inlineStr">
        <is>
          <t>2023-10-23</t>
        </is>
      </c>
      <c r="N60" s="13" t="inlineStr">
        <is>
          <t>2023-10-21</t>
        </is>
      </c>
      <c r="O60" s="9" t="n">
        <v>1527</v>
      </c>
      <c r="P60" s="17" t="n">
        <v>519.5507202148438</v>
      </c>
      <c r="Q60" s="17" t="n">
        <v>552.8908081054688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Q3 2023-24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3.35%</t>
        </is>
      </c>
      <c r="J61" s="13" t="inlineStr">
        <is>
          <t>0.43%</t>
        </is>
      </c>
      <c r="K61" s="16">
        <f>X60</f>
        <v/>
      </c>
      <c r="L61" s="13" t="inlineStr">
        <is>
          <t>2023-10-18</t>
        </is>
      </c>
      <c r="M61" s="13" t="inlineStr">
        <is>
          <t>2023-10-23</t>
        </is>
      </c>
      <c r="N61" s="13" t="inlineStr">
        <is>
          <t>2023-10-21</t>
        </is>
      </c>
      <c r="O61" s="9" t="n">
        <v>258</v>
      </c>
      <c r="P61" s="17" t="n">
        <v>3668.949951171875</v>
      </c>
      <c r="Q61" s="17" t="n">
        <v>3795.949951171875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Q3 2023-24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-6.07%</t>
        </is>
      </c>
      <c r="J62" s="13" t="inlineStr">
        <is>
          <t>-6.8%</t>
        </is>
      </c>
      <c r="K62" s="16">
        <f>X61</f>
        <v/>
      </c>
      <c r="L62" s="13" t="inlineStr">
        <is>
          <t>2024-01-18</t>
        </is>
      </c>
      <c r="M62" s="13" t="inlineStr">
        <is>
          <t>2024-02-01</t>
        </is>
      </c>
      <c r="N62" s="13" t="inlineStr">
        <is>
          <t>2024-01-30</t>
        </is>
      </c>
      <c r="O62" s="9" t="n">
        <v>125</v>
      </c>
      <c r="P62" s="17" t="n">
        <v>1176.6025390625</v>
      </c>
      <c r="Q62" s="17" t="n">
        <v>1109.22412109375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Q3 2023-24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2.38%</t>
        </is>
      </c>
      <c r="J63" s="13" t="inlineStr">
        <is>
          <t>0.08%</t>
        </is>
      </c>
      <c r="K63" s="16">
        <f>X62</f>
        <v/>
      </c>
      <c r="L63" s="13" t="inlineStr">
        <is>
          <t>2024-02-02</t>
        </is>
      </c>
      <c r="M63" s="13" t="inlineStr">
        <is>
          <t>2024-02-15</t>
        </is>
      </c>
      <c r="N63" s="13" t="inlineStr">
        <is>
          <t>2024-02-13</t>
        </is>
      </c>
      <c r="O63" s="9" t="n">
        <v>175</v>
      </c>
      <c r="P63" s="17" t="n">
        <v>3735.195068359375</v>
      </c>
      <c r="Q63" s="17" t="n">
        <v>3824.045654296875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Q3 2023-24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20.17%</t>
        </is>
      </c>
      <c r="J64" s="13" t="inlineStr">
        <is>
          <t>14.34%</t>
        </is>
      </c>
      <c r="K64" s="16">
        <f>X63</f>
        <v/>
      </c>
      <c r="L64" s="13" t="inlineStr">
        <is>
          <t>2021-11-08</t>
        </is>
      </c>
      <c r="M64" s="13" t="inlineStr">
        <is>
          <t>2021-11-16</t>
        </is>
      </c>
      <c r="N64" s="13" t="inlineStr">
        <is>
          <t>2021-11-10</t>
        </is>
      </c>
      <c r="O64" s="9" t="n">
        <v>3399</v>
      </c>
      <c r="P64" s="17" t="n">
        <v>131.1499938964844</v>
      </c>
      <c r="Q64" s="17" t="n">
        <v>157.6000061035156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Q3 2023-24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-3.37%</t>
        </is>
      </c>
      <c r="J65" s="13" t="inlineStr">
        <is>
          <t>-5.35%</t>
        </is>
      </c>
      <c r="K65" s="16">
        <f>X64</f>
        <v/>
      </c>
      <c r="L65" s="13" t="inlineStr">
        <is>
          <t>2023-10-17</t>
        </is>
      </c>
      <c r="M65" s="13" t="inlineStr">
        <is>
          <t>2023-10-23</t>
        </is>
      </c>
      <c r="N65" s="13" t="inlineStr">
        <is>
          <t>2023-10-21</t>
        </is>
      </c>
      <c r="O65" s="9" t="n">
        <v>2823</v>
      </c>
      <c r="P65" s="17" t="n">
        <v>146.6364440917969</v>
      </c>
      <c r="Q65" s="17" t="n">
        <v>141.6958618164062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Q3 2023-24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-5.72%</t>
        </is>
      </c>
      <c r="J66" s="13" t="inlineStr">
        <is>
          <t>-8.13%</t>
        </is>
      </c>
      <c r="K66" s="16">
        <f>X65</f>
        <v/>
      </c>
      <c r="L66" s="13" t="inlineStr">
        <is>
          <t>2024-07-29</t>
        </is>
      </c>
      <c r="M66" s="13" t="inlineStr">
        <is>
          <t>2024-08-06</t>
        </is>
      </c>
      <c r="N66" s="13" t="inlineStr">
        <is>
          <t>2024-07-30</t>
        </is>
      </c>
      <c r="O66" s="9" t="n">
        <v>100</v>
      </c>
      <c r="P66" s="17" t="n">
        <v>8723.7255859375</v>
      </c>
      <c r="Q66" s="17" t="n">
        <v>8224.5234375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Q3 2023-24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-3.97%</t>
        </is>
      </c>
      <c r="J67" s="13" t="inlineStr">
        <is>
          <t>-4.52%</t>
        </is>
      </c>
      <c r="K67" s="16">
        <f>X66</f>
        <v/>
      </c>
      <c r="L67" s="13" t="inlineStr">
        <is>
          <t>2023-10-13</t>
        </is>
      </c>
      <c r="M67" s="13" t="inlineStr">
        <is>
          <t>2023-10-27</t>
        </is>
      </c>
      <c r="N67" s="13" t="inlineStr">
        <is>
          <t>2023-10-21</t>
        </is>
      </c>
      <c r="O67" s="9" t="n">
        <v>1053</v>
      </c>
      <c r="P67" s="17" t="n">
        <v>337.0486450195312</v>
      </c>
      <c r="Q67" s="17" t="n">
        <v>323.6562805175781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Q3 2023-24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-9.73%</t>
        </is>
      </c>
      <c r="J68" s="13" t="inlineStr">
        <is>
          <t>-12.19%</t>
        </is>
      </c>
      <c r="K68" s="16">
        <f>X67</f>
        <v/>
      </c>
      <c r="L68" s="13" t="inlineStr">
        <is>
          <t>2023-10-18</t>
        </is>
      </c>
      <c r="M68" s="13" t="inlineStr">
        <is>
          <t>2023-10-27</t>
        </is>
      </c>
      <c r="N68" s="13" t="inlineStr">
        <is>
          <t>2023-10-21</t>
        </is>
      </c>
      <c r="O68" s="9" t="n">
        <v>5759</v>
      </c>
      <c r="P68" s="17" t="n">
        <v>118.0236282348633</v>
      </c>
      <c r="Q68" s="17" t="n">
        <v>106.5365905761719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Q3 2023-24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-7.08%</t>
        </is>
      </c>
      <c r="J69" s="13" t="inlineStr">
        <is>
          <t>-11.44%</t>
        </is>
      </c>
      <c r="K69" s="16">
        <f>X68</f>
        <v/>
      </c>
      <c r="L69" s="13" t="inlineStr">
        <is>
          <t>2023-10-18</t>
        </is>
      </c>
      <c r="M69" s="13" t="inlineStr">
        <is>
          <t>2023-10-27</t>
        </is>
      </c>
      <c r="N69" s="13" t="inlineStr">
        <is>
          <t>2023-10-21</t>
        </is>
      </c>
      <c r="O69" s="9" t="n">
        <v>456</v>
      </c>
      <c r="P69" s="17" t="n">
        <v>796.701904296875</v>
      </c>
      <c r="Q69" s="17" t="n">
        <v>740.2714233398438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Q3 2023-24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5.1%</t>
        </is>
      </c>
      <c r="J70" s="13" t="inlineStr">
        <is>
          <t>6.33%</t>
        </is>
      </c>
      <c r="K70" s="16">
        <f>X69</f>
        <v/>
      </c>
      <c r="L70" s="13" t="inlineStr">
        <is>
          <t>2023-10-18</t>
        </is>
      </c>
      <c r="M70" s="13" t="inlineStr">
        <is>
          <t>2023-10-27</t>
        </is>
      </c>
      <c r="N70" s="13" t="inlineStr">
        <is>
          <t>2023-10-21</t>
        </is>
      </c>
      <c r="O70" s="9" t="n">
        <v>9623</v>
      </c>
      <c r="P70" s="17" t="n">
        <v>54.84999847412109</v>
      </c>
      <c r="Q70" s="17" t="n">
        <v>57.79999923706055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Q3 2023-24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-1.91%</t>
        </is>
      </c>
      <c r="J71" s="13" t="inlineStr">
        <is>
          <t>-5.09%</t>
        </is>
      </c>
      <c r="K71" s="16">
        <f>X70</f>
        <v/>
      </c>
      <c r="L71" s="13" t="inlineStr">
        <is>
          <t>2023-10-17</t>
        </is>
      </c>
      <c r="M71" s="13" t="inlineStr">
        <is>
          <t>2023-10-27</t>
        </is>
      </c>
      <c r="N71" s="13" t="inlineStr">
        <is>
          <t>2023-10-21</t>
        </is>
      </c>
      <c r="O71" s="9" t="n">
        <v>469</v>
      </c>
      <c r="P71" s="17" t="n">
        <v>716.2665405273438</v>
      </c>
      <c r="Q71" s="17" t="n">
        <v>702.5908203125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Q3 2023-24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-0.21%</t>
        </is>
      </c>
      <c r="J72" s="13" t="inlineStr">
        <is>
          <t>-2.86%</t>
        </is>
      </c>
      <c r="K72" s="16">
        <f>X71</f>
        <v/>
      </c>
      <c r="L72" s="13" t="inlineStr">
        <is>
          <t>2023-10-13</t>
        </is>
      </c>
      <c r="M72" s="13" t="inlineStr">
        <is>
          <t>2023-10-23</t>
        </is>
      </c>
      <c r="N72" s="13" t="inlineStr">
        <is>
          <t>2023-10-21</t>
        </is>
      </c>
      <c r="O72" s="9" t="n">
        <v>932</v>
      </c>
      <c r="P72" s="17" t="n">
        <v>938.8766479492188</v>
      </c>
      <c r="Q72" s="17" t="n">
        <v>936.870849609375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Q3 2023-24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5.63%</t>
        </is>
      </c>
      <c r="J73" s="13" t="inlineStr">
        <is>
          <t>7.95%</t>
        </is>
      </c>
      <c r="K73" s="16">
        <f>X72</f>
        <v/>
      </c>
      <c r="L73" s="13" t="inlineStr">
        <is>
          <t>2023-10-11</t>
        </is>
      </c>
      <c r="M73" s="13" t="inlineStr">
        <is>
          <t>2023-10-23</t>
        </is>
      </c>
      <c r="N73" s="13" t="inlineStr">
        <is>
          <t>2023-10-21</t>
        </is>
      </c>
      <c r="O73" s="9" t="n">
        <v>473</v>
      </c>
      <c r="P73" s="17" t="n">
        <v>1622.35791015625</v>
      </c>
      <c r="Q73" s="17" t="n">
        <v>1719.14013671875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Q3 2023-24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0.24%</t>
        </is>
      </c>
      <c r="J74" s="13" t="inlineStr">
        <is>
          <t>0.28%</t>
        </is>
      </c>
      <c r="K74" s="16">
        <f>X73</f>
        <v/>
      </c>
      <c r="L74" s="13" t="inlineStr">
        <is>
          <t>2024-02-05</t>
        </is>
      </c>
      <c r="M74" s="13" t="inlineStr">
        <is>
          <t>2024-02-15</t>
        </is>
      </c>
      <c r="N74" s="13" t="inlineStr">
        <is>
          <t>2024-02-09</t>
        </is>
      </c>
      <c r="O74" s="9" t="n">
        <v>250</v>
      </c>
      <c r="P74" s="17" t="n">
        <v>2069.29150390625</v>
      </c>
      <c r="Q74" s="17" t="n">
        <v>2074.20458984375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Q3 2023-24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-5.93%</t>
        </is>
      </c>
      <c r="J75" s="13" t="inlineStr">
        <is>
          <t>-12.04%</t>
        </is>
      </c>
      <c r="K75" s="16">
        <f>X74</f>
        <v/>
      </c>
      <c r="L75" s="13" t="inlineStr">
        <is>
          <t>2023-10-17</t>
        </is>
      </c>
      <c r="M75" s="13" t="inlineStr">
        <is>
          <t>2023-10-27</t>
        </is>
      </c>
      <c r="N75" s="13" t="inlineStr">
        <is>
          <t>2023-10-21</t>
        </is>
      </c>
      <c r="O75" s="9" t="n">
        <v>237</v>
      </c>
      <c r="P75" s="17" t="n">
        <v>394.2568664550781</v>
      </c>
      <c r="Q75" s="17" t="n">
        <v>370.8775939941406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Q3 2023-24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-5.55%</t>
        </is>
      </c>
      <c r="J76" s="13" t="inlineStr">
        <is>
          <t>-8.8%</t>
        </is>
      </c>
      <c r="K76" s="16">
        <f>X75</f>
        <v/>
      </c>
      <c r="L76" s="13" t="inlineStr">
        <is>
          <t>2023-10-16</t>
        </is>
      </c>
      <c r="M76" s="13" t="inlineStr">
        <is>
          <t>2023-10-27</t>
        </is>
      </c>
      <c r="N76" s="13" t="inlineStr">
        <is>
          <t>2023-10-21</t>
        </is>
      </c>
      <c r="O76" s="9" t="n">
        <v>218</v>
      </c>
      <c r="P76" s="17" t="n">
        <v>1907.351196289062</v>
      </c>
      <c r="Q76" s="17" t="n">
        <v>1801.554443359375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Q3 2023-24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9.42%</t>
        </is>
      </c>
      <c r="J77" s="13" t="inlineStr">
        <is>
          <t>4.87%</t>
        </is>
      </c>
      <c r="K77" s="16">
        <f>X76</f>
        <v/>
      </c>
      <c r="L77" s="13" t="inlineStr">
        <is>
          <t>2023-10-13</t>
        </is>
      </c>
      <c r="M77" s="13" t="inlineStr">
        <is>
          <t>2023-10-27</t>
        </is>
      </c>
      <c r="N77" s="13" t="inlineStr">
        <is>
          <t>2023-10-21</t>
        </is>
      </c>
      <c r="O77" s="9" t="n">
        <v>792</v>
      </c>
      <c r="P77" s="17" t="n">
        <v>1235.008178710938</v>
      </c>
      <c r="Q77" s="17" t="n">
        <v>1363.518188476562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Q3 2023-24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8.26%</t>
        </is>
      </c>
      <c r="J78" s="13" t="inlineStr">
        <is>
          <t>7.92%</t>
        </is>
      </c>
      <c r="K78" s="16">
        <f>X77</f>
        <v/>
      </c>
      <c r="L78" s="13" t="inlineStr">
        <is>
          <t>2024-01-08</t>
        </is>
      </c>
      <c r="M78" s="13" t="inlineStr">
        <is>
          <t>2024-01-18</t>
        </is>
      </c>
      <c r="N78" s="13" t="inlineStr">
        <is>
          <t>2024-01-12</t>
        </is>
      </c>
      <c r="O78" s="9" t="n">
        <v>350</v>
      </c>
      <c r="P78" s="17" t="n">
        <v>1311.830322265625</v>
      </c>
      <c r="Q78" s="17" t="n">
        <v>1420.236328125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Q3 2023-24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1.03%</t>
        </is>
      </c>
      <c r="J79" s="13" t="inlineStr">
        <is>
          <t>3.32%</t>
        </is>
      </c>
      <c r="K79" s="16">
        <f>X78</f>
        <v/>
      </c>
      <c r="L79" s="13" t="inlineStr">
        <is>
          <t>2023-10-16</t>
        </is>
      </c>
      <c r="M79" s="13" t="inlineStr">
        <is>
          <t>2023-10-23</t>
        </is>
      </c>
      <c r="N79" s="13" t="inlineStr">
        <is>
          <t>2023-10-21</t>
        </is>
      </c>
      <c r="O79" s="9" t="n">
        <v>392</v>
      </c>
      <c r="P79" s="17" t="n">
        <v>1335.009643554688</v>
      </c>
      <c r="Q79" s="17" t="n">
        <v>1348.95458984375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Q3 2023-24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-12.48%</t>
        </is>
      </c>
      <c r="J80" s="13" t="inlineStr">
        <is>
          <t>-12.72%</t>
        </is>
      </c>
      <c r="K80" s="16">
        <f>X79</f>
        <v/>
      </c>
      <c r="L80" s="13" t="inlineStr">
        <is>
          <t>2024-01-08</t>
        </is>
      </c>
      <c r="M80" s="13" t="inlineStr">
        <is>
          <t>2024-01-24</t>
        </is>
      </c>
      <c r="N80" s="13" t="inlineStr">
        <is>
          <t>2024-01-16</t>
        </is>
      </c>
      <c r="O80" s="9" t="n">
        <v>550</v>
      </c>
      <c r="P80" s="17" t="n">
        <v>796.4052734375</v>
      </c>
      <c r="Q80" s="17" t="n">
        <v>697.0371704101562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Q3 2023-24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2.89%</t>
        </is>
      </c>
      <c r="J81" s="13" t="inlineStr">
        <is>
          <t>2.18%</t>
        </is>
      </c>
      <c r="K81" s="16">
        <f>X80</f>
        <v/>
      </c>
      <c r="L81" s="13" t="inlineStr">
        <is>
          <t>2021-10-20</t>
        </is>
      </c>
      <c r="M81" s="13" t="inlineStr">
        <is>
          <t>2021-10-28</t>
        </is>
      </c>
      <c r="N81" s="13" t="inlineStr">
        <is>
          <t>2021-10-22</t>
        </is>
      </c>
      <c r="O81" s="9" t="n">
        <v>1100</v>
      </c>
      <c r="P81" s="17" t="n">
        <v>672.391357421875</v>
      </c>
      <c r="Q81" s="17" t="n">
        <v>692.3731079101562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Q3 2023-24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2.11%</t>
        </is>
      </c>
      <c r="J82" s="13" t="inlineStr">
        <is>
          <t>0.82%</t>
        </is>
      </c>
      <c r="K82" s="16">
        <f>X81</f>
        <v/>
      </c>
      <c r="L82" s="13" t="inlineStr">
        <is>
          <t>2024-02-07</t>
        </is>
      </c>
      <c r="M82" s="13" t="inlineStr">
        <is>
          <t>2024-02-16</t>
        </is>
      </c>
      <c r="N82" s="13" t="inlineStr">
        <is>
          <t>2024-02-10</t>
        </is>
      </c>
      <c r="O82" s="9" t="n">
        <v>150</v>
      </c>
      <c r="P82" s="17" t="n">
        <v>4389.19189453125</v>
      </c>
      <c r="Q82" s="17" t="n">
        <v>4481.63037109375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Q3 2023-24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13.21%</t>
        </is>
      </c>
      <c r="J83" s="13" t="inlineStr">
        <is>
          <t>13.35%</t>
        </is>
      </c>
      <c r="K83" s="16">
        <f>X82</f>
        <v/>
      </c>
      <c r="L83" s="13" t="inlineStr">
        <is>
          <t>2024-02-09</t>
        </is>
      </c>
      <c r="M83" s="13" t="inlineStr">
        <is>
          <t>2024-02-15</t>
        </is>
      </c>
      <c r="N83" s="13" t="inlineStr">
        <is>
          <t>2024-02-13</t>
        </is>
      </c>
      <c r="O83" s="9" t="n">
        <v>1400</v>
      </c>
      <c r="P83" s="17" t="n">
        <v>503.9311218261719</v>
      </c>
      <c r="Q83" s="17" t="n">
        <v>580.6204833984375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Q3 2023-24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6.97%</t>
        </is>
      </c>
      <c r="J84" s="13" t="inlineStr">
        <is>
          <t>5.62%</t>
        </is>
      </c>
      <c r="K84" s="16">
        <f>X83</f>
        <v/>
      </c>
      <c r="L84" s="13" t="inlineStr">
        <is>
          <t>2023-10-19</t>
        </is>
      </c>
      <c r="M84" s="13" t="inlineStr">
        <is>
          <t>2023-10-27</t>
        </is>
      </c>
      <c r="N84" s="13" t="inlineStr">
        <is>
          <t>2023-10-21</t>
        </is>
      </c>
      <c r="O84" s="9" t="n">
        <v>2574</v>
      </c>
      <c r="P84" s="17" t="n">
        <v>147.9019012451172</v>
      </c>
      <c r="Q84" s="17" t="n">
        <v>158.9846954345703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Q3 2023-24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5.16%</t>
        </is>
      </c>
      <c r="J85" s="13" t="inlineStr">
        <is>
          <t>5.27%</t>
        </is>
      </c>
      <c r="K85" s="16">
        <f>X84</f>
        <v/>
      </c>
      <c r="L85" s="13" t="inlineStr">
        <is>
          <t>2024-01-10</t>
        </is>
      </c>
      <c r="M85" s="13" t="inlineStr">
        <is>
          <t>2024-01-29</t>
        </is>
      </c>
      <c r="N85" s="13" t="inlineStr">
        <is>
          <t>2024-01-19</t>
        </is>
      </c>
      <c r="O85" s="9" t="n">
        <v>300</v>
      </c>
      <c r="P85" s="17" t="n">
        <v>2325.939453125</v>
      </c>
      <c r="Q85" s="17" t="n">
        <v>2452.493896484375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Q3 2023-24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7.91%</t>
        </is>
      </c>
      <c r="J86" s="13" t="inlineStr">
        <is>
          <t>6.2%</t>
        </is>
      </c>
      <c r="K86" s="16">
        <f>X85</f>
        <v/>
      </c>
      <c r="L86" s="13" t="inlineStr">
        <is>
          <t>2023-10-17</t>
        </is>
      </c>
      <c r="M86" s="13" t="inlineStr">
        <is>
          <t>2023-10-27</t>
        </is>
      </c>
      <c r="N86" s="13" t="inlineStr">
        <is>
          <t>2023-10-21</t>
        </is>
      </c>
      <c r="O86" s="9" t="n">
        <v>1866</v>
      </c>
      <c r="P86" s="17" t="n">
        <v>264.7854309082031</v>
      </c>
      <c r="Q86" s="17" t="n">
        <v>287.5222473144531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Q3 2023-24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-4.25%</t>
        </is>
      </c>
      <c r="J87" s="13" t="inlineStr">
        <is>
          <t>-7.43%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2023-10-21</t>
        </is>
      </c>
      <c r="O87" s="9" t="n">
        <v>495</v>
      </c>
      <c r="P87" s="17" t="n">
        <v>1878.654418945312</v>
      </c>
      <c r="Q87" s="17" t="n">
        <v>1802.145385742188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Q3 2023-24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3.74%</t>
        </is>
      </c>
      <c r="J88" s="13" t="inlineStr">
        <is>
          <t>1.28%</t>
        </is>
      </c>
      <c r="K88" s="16">
        <f>X87</f>
        <v/>
      </c>
      <c r="L88" s="13" t="inlineStr">
        <is>
          <t>2024-01-09</t>
        </is>
      </c>
      <c r="M88" s="13" t="inlineStr">
        <is>
          <t>2024-01-29</t>
        </is>
      </c>
      <c r="N88" s="13" t="inlineStr">
        <is>
          <t>2024-01-20</t>
        </is>
      </c>
      <c r="O88" s="9" t="n">
        <v>700</v>
      </c>
      <c r="P88" s="17" t="n">
        <v>963.9495849609376</v>
      </c>
      <c r="Q88" s="17" t="n">
        <v>1000.008544921875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Q3 2023-24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-6.51%</t>
        </is>
      </c>
      <c r="J89" s="13" t="inlineStr">
        <is>
          <t>-8.53%</t>
        </is>
      </c>
      <c r="K89" s="16">
        <f>X88</f>
        <v/>
      </c>
      <c r="L89" s="13" t="inlineStr">
        <is>
          <t>2024-07-08</t>
        </is>
      </c>
      <c r="M89" s="13" t="inlineStr">
        <is>
          <t>2024-07-25</t>
        </is>
      </c>
      <c r="N89" s="13" t="inlineStr">
        <is>
          <t>2024-07-19</t>
        </is>
      </c>
      <c r="O89" s="9" t="n">
        <v>629</v>
      </c>
      <c r="P89" s="17" t="n">
        <v>1964.9</v>
      </c>
      <c r="Q89" s="17" t="n">
        <v>1844.75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Q3 2023-24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3.97%</t>
        </is>
      </c>
      <c r="J90" s="13" t="inlineStr">
        <is>
          <t>4.46%</t>
        </is>
      </c>
      <c r="K90" s="16">
        <f>X89</f>
        <v/>
      </c>
      <c r="L90" s="13" t="inlineStr">
        <is>
          <t>2025-07-04</t>
        </is>
      </c>
      <c r="M90" s="13" t="inlineStr">
        <is>
          <t>2025-07-22</t>
        </is>
      </c>
      <c r="N90" s="13" t="inlineStr">
        <is>
          <t>2025-07-15</t>
        </is>
      </c>
      <c r="O90" s="9" t="n">
        <v>1958</v>
      </c>
      <c r="P90" s="17" t="n">
        <v>622.9381713867188</v>
      </c>
      <c r="Q90" s="17" t="n">
        <v>648.6987915039062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Q3 2023-24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9.17%</t>
        </is>
      </c>
      <c r="J91" s="13" t="inlineStr">
        <is>
          <t>5.27%</t>
        </is>
      </c>
      <c r="K91" s="16">
        <f>X90</f>
        <v/>
      </c>
      <c r="L91" s="13" t="inlineStr">
        <is>
          <t>2023-10-13</t>
        </is>
      </c>
      <c r="M91" s="13" t="inlineStr">
        <is>
          <t>2023-10-27</t>
        </is>
      </c>
      <c r="N91" s="13" t="inlineStr">
        <is>
          <t>2023-10-21</t>
        </is>
      </c>
      <c r="O91" s="9" t="n">
        <v>77700</v>
      </c>
      <c r="P91" s="17" t="n">
        <v>10.89999961853027</v>
      </c>
      <c r="Q91" s="17" t="n">
        <v>12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Q3 2023-24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5.57%</t>
        </is>
      </c>
      <c r="J92" s="13" t="inlineStr">
        <is>
          <t>0.9%</t>
        </is>
      </c>
      <c r="K92" s="16">
        <f>X91</f>
        <v/>
      </c>
      <c r="L92" s="13" t="inlineStr">
        <is>
          <t>2023-10-11</t>
        </is>
      </c>
      <c r="M92" s="13" t="inlineStr">
        <is>
          <t>2023-10-23</t>
        </is>
      </c>
      <c r="N92" s="13" t="inlineStr">
        <is>
          <t>2023-10-21</t>
        </is>
      </c>
      <c r="O92" s="9" t="n">
        <v>11798</v>
      </c>
      <c r="P92" s="17" t="n">
        <v>86.16796112060547</v>
      </c>
      <c r="Q92" s="17" t="n">
        <v>91.25132751464844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Q3 2023-24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-5.53%</t>
        </is>
      </c>
      <c r="J93" s="13" t="inlineStr">
        <is>
          <t>-7.34%</t>
        </is>
      </c>
      <c r="K93" s="16">
        <f>X92</f>
        <v/>
      </c>
      <c r="L93" s="13" t="inlineStr">
        <is>
          <t>2023-10-19</t>
        </is>
      </c>
      <c r="M93" s="13" t="inlineStr">
        <is>
          <t>2023-10-23</t>
        </is>
      </c>
      <c r="N93" s="13" t="inlineStr">
        <is>
          <t>2023-10-21</t>
        </is>
      </c>
      <c r="O93" s="9" t="n">
        <v>7610</v>
      </c>
      <c r="P93" s="17" t="n">
        <v>125.8520126342773</v>
      </c>
      <c r="Q93" s="17" t="n">
        <v>118.8863754272461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Q3 2023-24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-10.84%</t>
        </is>
      </c>
      <c r="J94" s="13" t="inlineStr">
        <is>
          <t>-13.8%</t>
        </is>
      </c>
      <c r="K94" s="16">
        <f>X93</f>
        <v/>
      </c>
      <c r="L94" s="13" t="inlineStr">
        <is>
          <t>2023-10-17</t>
        </is>
      </c>
      <c r="M94" s="13" t="inlineStr">
        <is>
          <t>2023-10-27</t>
        </is>
      </c>
      <c r="N94" s="13" t="inlineStr">
        <is>
          <t>2023-10-21</t>
        </is>
      </c>
      <c r="O94" s="9" t="n">
        <v>1334</v>
      </c>
      <c r="P94" s="17" t="n">
        <v>415.7604675292969</v>
      </c>
      <c r="Q94" s="17" t="n">
        <v>370.6809387207031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Q3 2023-24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-3.19%</t>
        </is>
      </c>
      <c r="J95" s="13" t="inlineStr">
        <is>
          <t>-9.5%</t>
        </is>
      </c>
      <c r="K95" s="16">
        <f>X94</f>
        <v/>
      </c>
      <c r="L95" s="13" t="inlineStr">
        <is>
          <t>2023-10-17</t>
        </is>
      </c>
      <c r="M95" s="13" t="inlineStr">
        <is>
          <t>2023-10-27</t>
        </is>
      </c>
      <c r="N95" s="13" t="inlineStr">
        <is>
          <t>2023-10-21</t>
        </is>
      </c>
      <c r="O95" s="9" t="n">
        <v>1208</v>
      </c>
      <c r="P95" s="17" t="n">
        <v>399.9602966308594</v>
      </c>
      <c r="Q95" s="17" t="n">
        <v>387.2164611816406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Q3 2023-24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7.87%</t>
        </is>
      </c>
      <c r="J96" s="13" t="inlineStr">
        <is>
          <t>8.43%</t>
        </is>
      </c>
      <c r="K96" s="16">
        <f>X95</f>
        <v/>
      </c>
      <c r="L96" s="13" t="inlineStr">
        <is>
          <t>2021-10-19</t>
        </is>
      </c>
      <c r="M96" s="13" t="inlineStr">
        <is>
          <t>2021-10-29</t>
        </is>
      </c>
      <c r="N96" s="13" t="inlineStr">
        <is>
          <t>2021-10-28</t>
        </is>
      </c>
      <c r="O96" s="9" t="n">
        <v>196</v>
      </c>
      <c r="P96" s="17" t="n">
        <v>2013.148071289062</v>
      </c>
      <c r="Q96" s="17" t="n">
        <v>2171.5302734375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Q3 2023-24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-7.12%</t>
        </is>
      </c>
      <c r="J97" s="13" t="inlineStr">
        <is>
          <t>-8.02%</t>
        </is>
      </c>
      <c r="K97" s="16">
        <f>X96</f>
        <v/>
      </c>
      <c r="L97" s="13" t="inlineStr">
        <is>
          <t>2024-01-17</t>
        </is>
      </c>
      <c r="M97" s="13" t="inlineStr">
        <is>
          <t>2024-01-29</t>
        </is>
      </c>
      <c r="N97" s="13" t="inlineStr">
        <is>
          <t>2024-01-18</t>
        </is>
      </c>
      <c r="O97" s="9" t="n">
        <v>500</v>
      </c>
      <c r="P97" s="17" t="n">
        <v>1623.221069335938</v>
      </c>
      <c r="Q97" s="17" t="n">
        <v>1507.594116210938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Q3 2023-24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7.44%</t>
        </is>
      </c>
      <c r="J98" s="13" t="inlineStr">
        <is>
          <t>5.18%</t>
        </is>
      </c>
      <c r="K98" s="16">
        <f>X97</f>
        <v/>
      </c>
      <c r="L98" s="13" t="inlineStr">
        <is>
          <t>2023-10-17</t>
        </is>
      </c>
      <c r="M98" s="13" t="inlineStr">
        <is>
          <t>2023-10-23</t>
        </is>
      </c>
      <c r="N98" s="13" t="inlineStr">
        <is>
          <t>2023-10-21</t>
        </is>
      </c>
      <c r="O98" s="9" t="n">
        <v>2545</v>
      </c>
      <c r="P98" s="17" t="n">
        <v>177.8000030517578</v>
      </c>
      <c r="Q98" s="17" t="n">
        <v>192.1000061035156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Q3 2023-24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-7.8%</t>
        </is>
      </c>
      <c r="J99" s="13" t="inlineStr">
        <is>
          <t>-8.64%</t>
        </is>
      </c>
      <c r="K99" s="16">
        <f>X98</f>
        <v/>
      </c>
      <c r="L99" s="13" t="inlineStr">
        <is>
          <t>2024-01-05</t>
        </is>
      </c>
      <c r="M99" s="13" t="inlineStr">
        <is>
          <t>2024-01-15</t>
        </is>
      </c>
      <c r="N99" s="13" t="inlineStr">
        <is>
          <t>2024-01-11</t>
        </is>
      </c>
      <c r="O99" s="9" t="n">
        <v>400</v>
      </c>
      <c r="P99" s="17" t="n">
        <v>1522.4814453125</v>
      </c>
      <c r="Q99" s="17" t="n">
        <v>1412.31103515625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Q3 2023-24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-0.73%</t>
        </is>
      </c>
      <c r="J100" s="13" t="inlineStr">
        <is>
          <t>-6.08%</t>
        </is>
      </c>
      <c r="K100" s="16">
        <f>X99</f>
        <v/>
      </c>
      <c r="L100" s="13" t="inlineStr">
        <is>
          <t>2023-10-11</t>
        </is>
      </c>
      <c r="M100" s="13" t="inlineStr">
        <is>
          <t>2023-10-23</t>
        </is>
      </c>
      <c r="N100" s="13" t="inlineStr">
        <is>
          <t>2023-10-21</t>
        </is>
      </c>
      <c r="O100" s="9" t="n">
        <v>13336</v>
      </c>
      <c r="P100" s="17" t="n">
        <v>51.11249923706055</v>
      </c>
      <c r="Q100" s="17" t="n">
        <v>50.73749923706055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Q3 2023-24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4.35%</t>
        </is>
      </c>
      <c r="J101" s="13" t="inlineStr">
        <is>
          <t>2.23%</t>
        </is>
      </c>
      <c r="K101" s="16">
        <f>X100</f>
        <v/>
      </c>
      <c r="L101" s="13" t="inlineStr">
        <is>
          <t>2023-10-13</t>
        </is>
      </c>
      <c r="M101" s="13" t="inlineStr">
        <is>
          <t>2023-10-27</t>
        </is>
      </c>
      <c r="N101" s="13" t="inlineStr">
        <is>
          <t>2023-10-21</t>
        </is>
      </c>
      <c r="O101" s="9" t="n">
        <v>7145</v>
      </c>
      <c r="P101" s="17" t="n">
        <v>74.43296051025391</v>
      </c>
      <c r="Q101" s="17" t="n">
        <v>77.81626892089844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Q3 2023-24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5.08%</t>
        </is>
      </c>
      <c r="J102" s="13" t="inlineStr">
        <is>
          <t>-15.29%</t>
        </is>
      </c>
      <c r="K102" s="16">
        <f>X101</f>
        <v/>
      </c>
      <c r="L102" s="13" t="inlineStr">
        <is>
          <t>2023-11-29</t>
        </is>
      </c>
      <c r="M102" s="13" t="inlineStr">
        <is>
          <t>2023-12-05</t>
        </is>
      </c>
      <c r="N102" s="13" t="inlineStr">
        <is>
          <t>2023-10-21</t>
        </is>
      </c>
      <c r="O102" s="9" t="n">
        <v>8341</v>
      </c>
      <c r="P102" s="17" t="n">
        <v>59.68354415893555</v>
      </c>
      <c r="Q102" s="17" t="n">
        <v>62.71745681762695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Q3 2023-24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2023-10-21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Q3 2023-24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6.51%</t>
        </is>
      </c>
      <c r="J104" s="13" t="inlineStr">
        <is>
          <t>6.52%</t>
        </is>
      </c>
      <c r="K104" s="16">
        <f>X103</f>
        <v/>
      </c>
      <c r="L104" s="13" t="inlineStr">
        <is>
          <t>2024-01-16</t>
        </is>
      </c>
      <c r="M104" s="13" t="inlineStr">
        <is>
          <t>2024-01-31</t>
        </is>
      </c>
      <c r="N104" s="13" t="inlineStr">
        <is>
          <t>2024-01-29</t>
        </is>
      </c>
      <c r="O104" s="9" t="n">
        <v>1600</v>
      </c>
      <c r="P104" s="17" t="n">
        <v>379.0061645507813</v>
      </c>
      <c r="Q104" s="17" t="n">
        <v>405.4006042480469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Q3 2023-24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-7.61%</t>
        </is>
      </c>
      <c r="J105" s="13" t="inlineStr">
        <is>
          <t>-9.71%</t>
        </is>
      </c>
      <c r="K105" s="16">
        <f>X104</f>
        <v/>
      </c>
      <c r="L105" s="13" t="inlineStr">
        <is>
          <t>2023-10-17</t>
        </is>
      </c>
      <c r="M105" s="13" t="inlineStr">
        <is>
          <t>2023-10-23</t>
        </is>
      </c>
      <c r="N105" s="13" t="inlineStr">
        <is>
          <t>2023-10-21</t>
        </is>
      </c>
      <c r="O105" s="9" t="n">
        <v>914</v>
      </c>
      <c r="P105" s="17" t="n">
        <v>690.0339965820312</v>
      </c>
      <c r="Q105" s="17" t="n">
        <v>637.5482788085938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Q3 2023-24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5.74%</t>
        </is>
      </c>
      <c r="J106" s="13" t="inlineStr">
        <is>
          <t>2.04%</t>
        </is>
      </c>
      <c r="K106" s="16">
        <f>X105</f>
        <v/>
      </c>
      <c r="L106" s="13" t="inlineStr">
        <is>
          <t>2024-01-15</t>
        </is>
      </c>
      <c r="M106" s="13" t="inlineStr">
        <is>
          <t>2024-01-23</t>
        </is>
      </c>
      <c r="N106" s="13" t="inlineStr">
        <is>
          <t>2024-01-15</t>
        </is>
      </c>
      <c r="O106" s="9" t="n">
        <v>4127</v>
      </c>
      <c r="P106" s="17" t="n">
        <v>240.0257110595703</v>
      </c>
      <c r="Q106" s="17" t="n">
        <v>254.6529083251953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Q3 2023-24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4.0%</t>
        </is>
      </c>
      <c r="J107" s="13" t="inlineStr">
        <is>
          <t>-0.16%</t>
        </is>
      </c>
      <c r="K107" s="16">
        <f>X106</f>
        <v/>
      </c>
      <c r="L107" s="13" t="inlineStr">
        <is>
          <t>2023-10-13</t>
        </is>
      </c>
      <c r="M107" s="13" t="inlineStr">
        <is>
          <t>2023-10-23</t>
        </is>
      </c>
      <c r="N107" s="13" t="inlineStr">
        <is>
          <t>2023-10-21</t>
        </is>
      </c>
      <c r="O107" s="9" t="n">
        <v>1839</v>
      </c>
      <c r="P107" s="17" t="n">
        <v>372.3710327148438</v>
      </c>
      <c r="Q107" s="17" t="n">
        <v>387.9049987792969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Q3 2023-24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-1.35%</t>
        </is>
      </c>
      <c r="J108" s="13" t="inlineStr">
        <is>
          <t>-3.02%</t>
        </is>
      </c>
      <c r="K108" s="16">
        <f>X107</f>
        <v/>
      </c>
      <c r="L108" s="13" t="inlineStr">
        <is>
          <t>2024-01-17</t>
        </is>
      </c>
      <c r="M108" s="13" t="inlineStr">
        <is>
          <t>2024-02-01</t>
        </is>
      </c>
      <c r="N108" s="13" t="inlineStr">
        <is>
          <t>2024-01-25</t>
        </is>
      </c>
      <c r="O108" s="9" t="n">
        <v>675</v>
      </c>
      <c r="P108" s="17" t="n">
        <v>799.5755004882812</v>
      </c>
      <c r="Q108" s="17" t="n">
        <v>788.8016357421875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Q3 2023-24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-6.16%</t>
        </is>
      </c>
      <c r="J109" s="13" t="inlineStr">
        <is>
          <t>-7.4%</t>
        </is>
      </c>
      <c r="K109" s="16">
        <f>X108</f>
        <v/>
      </c>
      <c r="L109" s="13" t="inlineStr">
        <is>
          <t>2023-10-13</t>
        </is>
      </c>
      <c r="M109" s="13" t="inlineStr">
        <is>
          <t>2023-10-27</t>
        </is>
      </c>
      <c r="N109" s="13" t="inlineStr">
        <is>
          <t>2023-10-21</t>
        </is>
      </c>
      <c r="O109" s="9" t="n">
        <v>2273</v>
      </c>
      <c r="P109" s="17" t="n">
        <v>534.5850219726562</v>
      </c>
      <c r="Q109" s="17" t="n">
        <v>501.6546630859375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Q3 2023-24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2.49%</t>
        </is>
      </c>
      <c r="J110" s="13" t="inlineStr">
        <is>
          <t>3.09%</t>
        </is>
      </c>
      <c r="K110" s="16">
        <f>X109</f>
        <v/>
      </c>
      <c r="L110" s="13" t="inlineStr">
        <is>
          <t>2023-10-17</t>
        </is>
      </c>
      <c r="M110" s="13" t="inlineStr">
        <is>
          <t>2023-10-23</t>
        </is>
      </c>
      <c r="N110" s="13" t="inlineStr">
        <is>
          <t>2023-10-21</t>
        </is>
      </c>
      <c r="O110" s="9" t="n">
        <v>1575</v>
      </c>
      <c r="P110" s="17" t="n">
        <v>285.870849609375</v>
      </c>
      <c r="Q110" s="17" t="n">
        <v>293.1830139160156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Q3 2023-24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-7.46%</t>
        </is>
      </c>
      <c r="J111" s="13" t="inlineStr">
        <is>
          <t>-13.55%</t>
        </is>
      </c>
      <c r="K111" s="16">
        <f>X110</f>
        <v/>
      </c>
      <c r="L111" s="13" t="inlineStr">
        <is>
          <t>2023-10-17</t>
        </is>
      </c>
      <c r="M111" s="13" t="inlineStr">
        <is>
          <t>2023-10-27</t>
        </is>
      </c>
      <c r="N111" s="13" t="inlineStr">
        <is>
          <t>2023-10-21</t>
        </is>
      </c>
      <c r="O111" s="9" t="n">
        <v>276</v>
      </c>
      <c r="P111" s="17" t="n">
        <v>2571.10009765625</v>
      </c>
      <c r="Q111" s="17" t="n">
        <v>2379.25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Q3 2023-24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6.47%</t>
        </is>
      </c>
      <c r="J112" s="13" t="inlineStr">
        <is>
          <t>2.73%</t>
        </is>
      </c>
      <c r="K112" s="16">
        <f>X111</f>
        <v/>
      </c>
      <c r="L112" s="13" t="inlineStr">
        <is>
          <t>2023-10-10</t>
        </is>
      </c>
      <c r="M112" s="13" t="inlineStr">
        <is>
          <t>2023-10-27</t>
        </is>
      </c>
      <c r="N112" s="13" t="inlineStr">
        <is>
          <t>2023-10-21</t>
        </is>
      </c>
      <c r="O112" s="9" t="n">
        <v>208</v>
      </c>
      <c r="P112" s="17" t="n">
        <v>2502.219970703125</v>
      </c>
      <c r="Q112" s="17" t="n">
        <v>2675.361083984375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Q3 2023-24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-2.91%</t>
        </is>
      </c>
      <c r="J113" s="13" t="inlineStr">
        <is>
          <t>-5.41%</t>
        </is>
      </c>
      <c r="K113" s="16">
        <f>X112</f>
        <v/>
      </c>
      <c r="L113" s="13" t="inlineStr">
        <is>
          <t>2023-10-10</t>
        </is>
      </c>
      <c r="M113" s="13" t="inlineStr">
        <is>
          <t>2023-10-23</t>
        </is>
      </c>
      <c r="N113" s="13" t="inlineStr">
        <is>
          <t>2023-10-21</t>
        </is>
      </c>
      <c r="O113" s="9" t="n">
        <v>1063</v>
      </c>
      <c r="P113" s="17" t="n">
        <v>454.7651672363281</v>
      </c>
      <c r="Q113" s="17" t="n">
        <v>441.5115356445313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Q3 2023-24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3.44%</t>
        </is>
      </c>
      <c r="J114" s="13" t="inlineStr">
        <is>
          <t>3.34%</t>
        </is>
      </c>
      <c r="K114" s="16">
        <f>X113</f>
        <v/>
      </c>
      <c r="L114" s="13" t="inlineStr">
        <is>
          <t>2024-01-16</t>
        </is>
      </c>
      <c r="M114" s="13" t="inlineStr">
        <is>
          <t>2024-01-23</t>
        </is>
      </c>
      <c r="N114" s="13" t="inlineStr">
        <is>
          <t>2024-01-20</t>
        </is>
      </c>
      <c r="O114" s="9" t="n">
        <v>400</v>
      </c>
      <c r="P114" s="17" t="n">
        <v>356.0986938476562</v>
      </c>
      <c r="Q114" s="17" t="n">
        <v>368.7702026367188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Q3 2023-24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-4.1%</t>
        </is>
      </c>
      <c r="J115" s="13" t="inlineStr">
        <is>
          <t>-2.95%</t>
        </is>
      </c>
      <c r="K115" s="16">
        <f>X114</f>
        <v/>
      </c>
      <c r="L115" s="13" t="inlineStr">
        <is>
          <t>2023-10-13</t>
        </is>
      </c>
      <c r="M115" s="13" t="inlineStr">
        <is>
          <t>2023-10-23</t>
        </is>
      </c>
      <c r="N115" s="13" t="inlineStr">
        <is>
          <t>2023-10-21</t>
        </is>
      </c>
      <c r="O115" s="9" t="n">
        <v>1695</v>
      </c>
      <c r="P115" s="17" t="n">
        <v>1185.837646484375</v>
      </c>
      <c r="Q115" s="17" t="n">
        <v>1137.168334960938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Q3 2023-24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9.1%</t>
        </is>
      </c>
      <c r="J116" s="13" t="inlineStr">
        <is>
          <t>6.29%</t>
        </is>
      </c>
      <c r="K116" s="16">
        <f>X115</f>
        <v/>
      </c>
      <c r="L116" s="13" t="inlineStr">
        <is>
          <t>2023-10-16</t>
        </is>
      </c>
      <c r="M116" s="13" t="inlineStr">
        <is>
          <t>2023-10-23</t>
        </is>
      </c>
      <c r="N116" s="13" t="inlineStr">
        <is>
          <t>2023-10-21</t>
        </is>
      </c>
      <c r="O116" s="9" t="n">
        <v>561</v>
      </c>
      <c r="P116" s="17" t="n">
        <v>360.2143859863281</v>
      </c>
      <c r="Q116" s="17" t="n">
        <v>396.2954711914063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Q3 2023-24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-6.53%</t>
        </is>
      </c>
      <c r="J117" s="13" t="inlineStr">
        <is>
          <t>-5.95%</t>
        </is>
      </c>
      <c r="K117" s="16">
        <f>X116</f>
        <v/>
      </c>
      <c r="L117" s="13" t="inlineStr">
        <is>
          <t>2023-10-18</t>
        </is>
      </c>
      <c r="M117" s="13" t="inlineStr">
        <is>
          <t>2023-10-27</t>
        </is>
      </c>
      <c r="N117" s="13" t="inlineStr">
        <is>
          <t>2023-10-21</t>
        </is>
      </c>
      <c r="O117" s="9" t="n">
        <v>1848</v>
      </c>
      <c r="P117" s="17" t="n">
        <v>456.55029296875</v>
      </c>
      <c r="Q117" s="17" t="n">
        <v>426.7309875488281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Q3 2023-24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-10.36%</t>
        </is>
      </c>
      <c r="J118" s="13" t="inlineStr">
        <is>
          <t>-11.31%</t>
        </is>
      </c>
      <c r="K118" s="16">
        <f>X117</f>
        <v/>
      </c>
      <c r="L118" s="13" t="inlineStr">
        <is>
          <t>2024-08-02</t>
        </is>
      </c>
      <c r="M118" s="13" t="inlineStr">
        <is>
          <t>2024-08-16</t>
        </is>
      </c>
      <c r="N118" s="13" t="inlineStr">
        <is>
          <t>2024-08-08</t>
        </is>
      </c>
      <c r="O118" s="9" t="n">
        <v>2364</v>
      </c>
      <c r="P118" s="17" t="n">
        <v>568.7255859375</v>
      </c>
      <c r="Q118" s="17" t="n">
        <v>509.7821350097656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Q3 2023-24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4.07%</t>
        </is>
      </c>
      <c r="J119" s="13" t="inlineStr">
        <is>
          <t>-0.18%</t>
        </is>
      </c>
      <c r="K119" s="16">
        <f>X118</f>
        <v/>
      </c>
      <c r="L119" s="13" t="inlineStr">
        <is>
          <t>2023-10-16</t>
        </is>
      </c>
      <c r="M119" s="13" t="inlineStr">
        <is>
          <t>2023-10-23</t>
        </is>
      </c>
      <c r="N119" s="13" t="inlineStr">
        <is>
          <t>2023-10-21</t>
        </is>
      </c>
      <c r="O119" s="9" t="n">
        <v>776</v>
      </c>
      <c r="P119" s="17" t="n">
        <v>779.5574951171875</v>
      </c>
      <c r="Q119" s="17" t="n">
        <v>812.5904541015625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Q3 2023-24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-2.98%</t>
        </is>
      </c>
      <c r="J120" s="13" t="inlineStr">
        <is>
          <t>-3.54%</t>
        </is>
      </c>
      <c r="K120" s="16">
        <f>X119</f>
        <v/>
      </c>
      <c r="L120" s="13" t="inlineStr">
        <is>
          <t>2024-01-31</t>
        </is>
      </c>
      <c r="M120" s="13" t="inlineStr">
        <is>
          <t>2024-02-02</t>
        </is>
      </c>
      <c r="N120" s="13" t="inlineStr">
        <is>
          <t>2024-01-31</t>
        </is>
      </c>
      <c r="O120" s="9" t="n">
        <v>300</v>
      </c>
      <c r="P120" s="17" t="n">
        <v>3387.61865234375</v>
      </c>
      <c r="Q120" s="17" t="n">
        <v>3286.664306640625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Q3 2023-24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4.09%</t>
        </is>
      </c>
      <c r="J121" s="13" t="inlineStr">
        <is>
          <t>2.63%</t>
        </is>
      </c>
      <c r="K121" s="16">
        <f>X120</f>
        <v/>
      </c>
      <c r="L121" s="13" t="inlineStr">
        <is>
          <t>2023-10-19</t>
        </is>
      </c>
      <c r="M121" s="13" t="inlineStr">
        <is>
          <t>2023-10-23</t>
        </is>
      </c>
      <c r="N121" s="13" t="inlineStr">
        <is>
          <t>2023-10-21</t>
        </is>
      </c>
      <c r="O121" s="9" t="n">
        <v>3265</v>
      </c>
      <c r="P121" s="17" t="n">
        <v>127.3060455322266</v>
      </c>
      <c r="Q121" s="17" t="n">
        <v>132.7345581054688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Q3 2023-24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4.89%</t>
        </is>
      </c>
      <c r="J122" s="13" t="inlineStr">
        <is>
          <t>2.32%</t>
        </is>
      </c>
      <c r="K122" s="16">
        <f>X121</f>
        <v/>
      </c>
      <c r="L122" s="13" t="inlineStr">
        <is>
          <t>2023-10-19</t>
        </is>
      </c>
      <c r="M122" s="13" t="inlineStr">
        <is>
          <t>2023-10-27</t>
        </is>
      </c>
      <c r="N122" s="13" t="inlineStr">
        <is>
          <t>2023-10-21</t>
        </is>
      </c>
      <c r="O122" s="9" t="n">
        <v>225</v>
      </c>
      <c r="P122" s="17" t="n">
        <v>4975.83984375</v>
      </c>
      <c r="Q122" s="17" t="n">
        <v>5231.50048828125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Q3 2023-24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1.09%</t>
        </is>
      </c>
      <c r="J123" s="13" t="inlineStr">
        <is>
          <t>-2.7%</t>
        </is>
      </c>
      <c r="K123" s="16">
        <f>X122</f>
        <v/>
      </c>
      <c r="L123" s="13" t="inlineStr">
        <is>
          <t>2023-10-10</t>
        </is>
      </c>
      <c r="M123" s="13" t="inlineStr">
        <is>
          <t>2023-10-23</t>
        </is>
      </c>
      <c r="N123" s="13" t="inlineStr">
        <is>
          <t>2023-10-21</t>
        </is>
      </c>
      <c r="O123" s="9" t="n">
        <v>413</v>
      </c>
      <c r="P123" s="17" t="n">
        <v>1135.0654296875</v>
      </c>
      <c r="Q123" s="17" t="n">
        <v>1147.39404296875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Q3 2023-24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11.49%</t>
        </is>
      </c>
      <c r="J124" s="13" t="inlineStr">
        <is>
          <t>9.22%</t>
        </is>
      </c>
      <c r="K124" s="16">
        <f>X123</f>
        <v/>
      </c>
      <c r="L124" s="13" t="inlineStr">
        <is>
          <t>2024-02-09</t>
        </is>
      </c>
      <c r="M124" s="13" t="inlineStr">
        <is>
          <t>2024-02-16</t>
        </is>
      </c>
      <c r="N124" s="13" t="inlineStr">
        <is>
          <t>2024-02-14</t>
        </is>
      </c>
      <c r="O124" s="9" t="n">
        <v>350</v>
      </c>
      <c r="P124" s="17" t="n">
        <v>1604.555908203125</v>
      </c>
      <c r="Q124" s="17" t="n">
        <v>1788.898559570312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Q3 2023-24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-10.64%</t>
        </is>
      </c>
      <c r="J125" s="13" t="inlineStr">
        <is>
          <t>-15.02%</t>
        </is>
      </c>
      <c r="K125" s="16">
        <f>X124</f>
        <v/>
      </c>
      <c r="L125" s="13" t="inlineStr">
        <is>
          <t>2023-10-16</t>
        </is>
      </c>
      <c r="M125" s="13" t="inlineStr">
        <is>
          <t>2023-10-27</t>
        </is>
      </c>
      <c r="N125" s="13" t="inlineStr">
        <is>
          <t>2023-10-21</t>
        </is>
      </c>
      <c r="O125" s="9" t="n">
        <v>12616</v>
      </c>
      <c r="P125" s="17" t="n">
        <v>43.68294525146485</v>
      </c>
      <c r="Q125" s="17" t="n">
        <v>39.03386688232422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Q3 2023-24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-5.1%</t>
        </is>
      </c>
      <c r="J126" s="13" t="inlineStr">
        <is>
          <t>-5.67%</t>
        </is>
      </c>
      <c r="K126" s="16">
        <f>X125</f>
        <v/>
      </c>
      <c r="L126" s="13" t="inlineStr">
        <is>
          <t>2023-10-18</t>
        </is>
      </c>
      <c r="M126" s="13" t="inlineStr">
        <is>
          <t>2023-10-23</t>
        </is>
      </c>
      <c r="N126" s="13" t="inlineStr">
        <is>
          <t>2023-10-21</t>
        </is>
      </c>
      <c r="O126" s="9" t="n">
        <v>2714</v>
      </c>
      <c r="P126" s="17" t="n">
        <v>136.2675170898438</v>
      </c>
      <c r="Q126" s="17" t="n">
        <v>129.3151245117188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Q3 2023-24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3.57%</t>
        </is>
      </c>
      <c r="J127" s="13" t="inlineStr">
        <is>
          <t>0.47%</t>
        </is>
      </c>
      <c r="K127" s="16">
        <f>X126</f>
        <v/>
      </c>
      <c r="L127" s="13" t="inlineStr">
        <is>
          <t>2023-10-16</t>
        </is>
      </c>
      <c r="M127" s="13" t="inlineStr">
        <is>
          <t>2023-10-23</t>
        </is>
      </c>
      <c r="N127" s="13" t="inlineStr">
        <is>
          <t>2023-10-21</t>
        </is>
      </c>
      <c r="O127" s="9" t="n">
        <v>388</v>
      </c>
      <c r="P127" s="17" t="n">
        <v>1748.710693359375</v>
      </c>
      <c r="Q127" s="17" t="n">
        <v>1813.53515625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Q3 2023-24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-0.82%</t>
        </is>
      </c>
      <c r="J128" s="13" t="inlineStr">
        <is>
          <t>-2.21%</t>
        </is>
      </c>
      <c r="K128" s="16">
        <f>X127</f>
        <v/>
      </c>
      <c r="L128" s="13" t="inlineStr">
        <is>
          <t>2023-10-13</t>
        </is>
      </c>
      <c r="M128" s="13" t="inlineStr">
        <is>
          <t>2023-10-27</t>
        </is>
      </c>
      <c r="N128" s="13" t="inlineStr">
        <is>
          <t>2023-10-21</t>
        </is>
      </c>
      <c r="O128" s="9" t="n">
        <v>1129</v>
      </c>
      <c r="P128" s="17" t="n">
        <v>521.9686279296875</v>
      </c>
      <c r="Q128" s="17" t="n">
        <v>517.6847534179688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Q3 2023-24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-6.65%</t>
        </is>
      </c>
      <c r="J129" s="13" t="inlineStr">
        <is>
          <t>-7.36%</t>
        </is>
      </c>
      <c r="K129" s="16">
        <f>X128</f>
        <v/>
      </c>
      <c r="L129" s="13" t="inlineStr">
        <is>
          <t>2024-01-29</t>
        </is>
      </c>
      <c r="M129" s="13" t="inlineStr">
        <is>
          <t>2024-02-02</t>
        </is>
      </c>
      <c r="N129" s="13" t="inlineStr">
        <is>
          <t>2024-01-31</t>
        </is>
      </c>
      <c r="O129" s="9" t="n">
        <v>100</v>
      </c>
      <c r="P129" s="17" t="n">
        <v>10442.72265625</v>
      </c>
      <c r="Q129" s="17" t="n">
        <v>9791.9296875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Q3 2023-24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7.13%</t>
        </is>
      </c>
      <c r="J130" s="13" t="inlineStr">
        <is>
          <t>4.51%</t>
        </is>
      </c>
      <c r="K130" s="16">
        <f>X129</f>
        <v/>
      </c>
      <c r="L130" s="13" t="inlineStr">
        <is>
          <t>2021-11-08</t>
        </is>
      </c>
      <c r="M130" s="13" t="inlineStr">
        <is>
          <t>2021-11-15</t>
        </is>
      </c>
      <c r="N130" s="13" t="inlineStr">
        <is>
          <t>2021-11-12</t>
        </is>
      </c>
      <c r="O130" s="9" t="n">
        <v>922</v>
      </c>
      <c r="P130" s="17" t="n">
        <v>337.2625427246094</v>
      </c>
      <c r="Q130" s="17" t="n">
        <v>361.3101501464844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Q3 2023-24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4.96%</t>
        </is>
      </c>
      <c r="J131" s="13" t="inlineStr">
        <is>
          <t>-0.03%</t>
        </is>
      </c>
      <c r="K131" s="16">
        <f>X130</f>
        <v/>
      </c>
      <c r="L131" s="13" t="inlineStr">
        <is>
          <t>2023-10-16</t>
        </is>
      </c>
      <c r="M131" s="13" t="inlineStr">
        <is>
          <t>2023-10-27</t>
        </is>
      </c>
      <c r="N131" s="13" t="inlineStr">
        <is>
          <t>2023-10-21</t>
        </is>
      </c>
      <c r="O131" s="9" t="n">
        <v>431</v>
      </c>
      <c r="P131" s="17" t="n">
        <v>1003.720458984375</v>
      </c>
      <c r="Q131" s="17" t="n">
        <v>1056.05712890625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Q3 2023-24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2.6%</t>
        </is>
      </c>
      <c r="J132" s="13" t="inlineStr">
        <is>
          <t>-7.76%</t>
        </is>
      </c>
      <c r="K132" s="16">
        <f>X131</f>
        <v/>
      </c>
      <c r="L132" s="13" t="inlineStr">
        <is>
          <t>2023-10-11</t>
        </is>
      </c>
      <c r="M132" s="13" t="inlineStr">
        <is>
          <t>2023-10-23</t>
        </is>
      </c>
      <c r="N132" s="13" t="inlineStr">
        <is>
          <t>2023-10-21</t>
        </is>
      </c>
      <c r="O132" s="9" t="n">
        <v>373</v>
      </c>
      <c r="P132" s="17" t="n">
        <v>429.1036987304688</v>
      </c>
      <c r="Q132" s="17" t="n">
        <v>440.2762756347656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Q3 2023-24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4.24%</t>
        </is>
      </c>
      <c r="J133" s="13" t="inlineStr">
        <is>
          <t>5.72%</t>
        </is>
      </c>
      <c r="K133" s="16">
        <f>X132</f>
        <v/>
      </c>
      <c r="L133" s="13" t="inlineStr">
        <is>
          <t>2023-10-18</t>
        </is>
      </c>
      <c r="M133" s="13" t="inlineStr">
        <is>
          <t>2023-10-23</t>
        </is>
      </c>
      <c r="N133" s="13" t="inlineStr">
        <is>
          <t>2023-10-21</t>
        </is>
      </c>
      <c r="O133" s="9" t="n">
        <v>661</v>
      </c>
      <c r="P133" s="17" t="n">
        <v>890.1500244140625</v>
      </c>
      <c r="Q133" s="17" t="n">
        <v>929.5999755859376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Q3 2023-24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4.98%</t>
        </is>
      </c>
      <c r="J134" s="13" t="inlineStr">
        <is>
          <t>3.0%</t>
        </is>
      </c>
      <c r="K134" s="16">
        <f>X133</f>
        <v/>
      </c>
      <c r="L134" s="13" t="inlineStr">
        <is>
          <t>2023-10-16</t>
        </is>
      </c>
      <c r="M134" s="13" t="inlineStr">
        <is>
          <t>2023-10-27</t>
        </is>
      </c>
      <c r="N134" s="13" t="inlineStr">
        <is>
          <t>2023-10-21</t>
        </is>
      </c>
      <c r="O134" s="9" t="n">
        <v>6815</v>
      </c>
      <c r="P134" s="17" t="n">
        <v>60.72407913208008</v>
      </c>
      <c r="Q134" s="17" t="n">
        <v>63.90799713134766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Q3 2023-24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-7.85%</t>
        </is>
      </c>
      <c r="J135" s="13" t="inlineStr">
        <is>
          <t>-12.97%</t>
        </is>
      </c>
      <c r="K135" s="16">
        <f>X134</f>
        <v/>
      </c>
      <c r="L135" s="13" t="inlineStr">
        <is>
          <t>2023-10-19</t>
        </is>
      </c>
      <c r="M135" s="13" t="inlineStr">
        <is>
          <t>2023-10-23</t>
        </is>
      </c>
      <c r="N135" s="13" t="inlineStr">
        <is>
          <t>2023-10-21</t>
        </is>
      </c>
      <c r="O135" s="9" t="n">
        <v>1194</v>
      </c>
      <c r="P135" s="17" t="n">
        <v>976.6488037109376</v>
      </c>
      <c r="Q135" s="17" t="n">
        <v>899.9483642578125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Q3 2023-24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-14.2%</t>
        </is>
      </c>
      <c r="J136" s="13" t="inlineStr">
        <is>
          <t>-17.11%</t>
        </is>
      </c>
      <c r="K136" s="16">
        <f>X135</f>
        <v/>
      </c>
      <c r="L136" s="13" t="inlineStr">
        <is>
          <t>2023-10-11</t>
        </is>
      </c>
      <c r="M136" s="13" t="inlineStr">
        <is>
          <t>2023-10-27</t>
        </is>
      </c>
      <c r="N136" s="13" t="inlineStr">
        <is>
          <t>2023-10-21</t>
        </is>
      </c>
      <c r="O136" s="9" t="n">
        <v>426</v>
      </c>
      <c r="P136" s="17" t="n">
        <v>2302.9912109375</v>
      </c>
      <c r="Q136" s="17" t="n">
        <v>1976.061767578125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Q3 2023-24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-7.39%</t>
        </is>
      </c>
      <c r="J137" s="13" t="inlineStr">
        <is>
          <t>-8.25%</t>
        </is>
      </c>
      <c r="K137" s="16">
        <f>X136</f>
        <v/>
      </c>
      <c r="L137" s="13" t="inlineStr">
        <is>
          <t>2025-05-12</t>
        </is>
      </c>
      <c r="M137" s="13" t="inlineStr">
        <is>
          <t>2025-05-21</t>
        </is>
      </c>
      <c r="N137" s="13" t="inlineStr">
        <is>
          <t>2025-05-14</t>
        </is>
      </c>
      <c r="O137" s="9" t="n">
        <v>332</v>
      </c>
      <c r="P137" s="17" t="n">
        <v>2237.48095703125</v>
      </c>
      <c r="Q137" s="17" t="n">
        <v>2072.07958984375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Q3 2023-24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2.04%</t>
        </is>
      </c>
      <c r="J138" s="13" t="inlineStr">
        <is>
          <t>1.53%</t>
        </is>
      </c>
      <c r="K138" s="16">
        <f>X137</f>
        <v/>
      </c>
      <c r="L138" s="13" t="inlineStr">
        <is>
          <t>2023-10-19</t>
        </is>
      </c>
      <c r="M138" s="13" t="inlineStr">
        <is>
          <t>2023-10-23</t>
        </is>
      </c>
      <c r="N138" s="13" t="inlineStr">
        <is>
          <t>2023-10-21</t>
        </is>
      </c>
      <c r="O138" s="9" t="n">
        <v>871</v>
      </c>
      <c r="P138" s="17" t="n">
        <v>332.1811828613281</v>
      </c>
      <c r="Q138" s="17" t="n">
        <v>339.0909423828125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Q3 2023-24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9.94%</t>
        </is>
      </c>
      <c r="J139" s="13" t="inlineStr">
        <is>
          <t>4.42%</t>
        </is>
      </c>
      <c r="K139" s="16">
        <f>X138</f>
        <v/>
      </c>
      <c r="L139" s="13" t="inlineStr">
        <is>
          <t>2023-10-17</t>
        </is>
      </c>
      <c r="M139" s="13" t="inlineStr">
        <is>
          <t>2023-10-23</t>
        </is>
      </c>
      <c r="N139" s="13" t="inlineStr">
        <is>
          <t>2023-10-21</t>
        </is>
      </c>
      <c r="O139" s="9" t="n">
        <v>2876</v>
      </c>
      <c r="P139" s="17" t="n">
        <v>79.89929962158203</v>
      </c>
      <c r="Q139" s="17" t="n">
        <v>88.71762084960938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Q3 2023-24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-1.27%</t>
        </is>
      </c>
      <c r="J140" s="13" t="inlineStr">
        <is>
          <t>-2.88%</t>
        </is>
      </c>
      <c r="K140" s="16">
        <f>X139</f>
        <v/>
      </c>
      <c r="L140" s="13" t="inlineStr">
        <is>
          <t>2023-10-16</t>
        </is>
      </c>
      <c r="M140" s="13" t="inlineStr">
        <is>
          <t>2023-10-23</t>
        </is>
      </c>
      <c r="N140" s="13" t="inlineStr">
        <is>
          <t>2023-10-21</t>
        </is>
      </c>
      <c r="O140" s="9" t="n">
        <v>803</v>
      </c>
      <c r="P140" s="17" t="n">
        <v>812.875244140625</v>
      </c>
      <c r="Q140" s="17" t="n">
        <v>802.5301513671875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Q3 2023-24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3.41%</t>
        </is>
      </c>
      <c r="J141" s="13" t="inlineStr">
        <is>
          <t>1.32%</t>
        </is>
      </c>
      <c r="K141" s="16">
        <f>X140</f>
        <v/>
      </c>
      <c r="L141" s="13" t="inlineStr">
        <is>
          <t>2023-10-18</t>
        </is>
      </c>
      <c r="M141" s="13" t="inlineStr">
        <is>
          <t>2023-10-23</t>
        </is>
      </c>
      <c r="N141" s="13" t="inlineStr">
        <is>
          <t>2023-10-21</t>
        </is>
      </c>
      <c r="O141" s="9" t="n">
        <v>10687</v>
      </c>
      <c r="P141" s="17" t="n">
        <v>40.92227172851562</v>
      </c>
      <c r="Q141" s="17" t="n">
        <v>42.36504364013672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Q3 2023-24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0.27%</t>
        </is>
      </c>
      <c r="J142" s="13" t="inlineStr">
        <is>
          <t>0.4%</t>
        </is>
      </c>
      <c r="K142" s="16">
        <f>X141</f>
        <v/>
      </c>
      <c r="L142" s="13" t="inlineStr">
        <is>
          <t>2023-10-19</t>
        </is>
      </c>
      <c r="M142" s="13" t="inlineStr">
        <is>
          <t>2023-10-23</t>
        </is>
      </c>
      <c r="N142" s="13" t="inlineStr">
        <is>
          <t>2023-10-21</t>
        </is>
      </c>
      <c r="O142" s="9" t="n">
        <v>200</v>
      </c>
      <c r="P142" s="17" t="n">
        <v>1166.632934570312</v>
      </c>
      <c r="Q142" s="17" t="n">
        <v>1169.794311523438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Q3 2023-24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2.88%</t>
        </is>
      </c>
      <c r="J143" s="13" t="inlineStr">
        <is>
          <t>0.1%</t>
        </is>
      </c>
      <c r="K143" s="16">
        <f>X142</f>
        <v/>
      </c>
      <c r="L143" s="13" t="inlineStr">
        <is>
          <t>2023-10-16</t>
        </is>
      </c>
      <c r="M143" s="13" t="inlineStr">
        <is>
          <t>2023-10-27</t>
        </is>
      </c>
      <c r="N143" s="13" t="inlineStr">
        <is>
          <t>2023-10-21</t>
        </is>
      </c>
      <c r="O143" s="9" t="n">
        <v>12809</v>
      </c>
      <c r="P143" s="17" t="n">
        <v>47.54128646850586</v>
      </c>
      <c r="Q143" s="17" t="n">
        <v>48.94921875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Q3 2023-24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-8.53%</t>
        </is>
      </c>
      <c r="J144" s="13" t="inlineStr">
        <is>
          <t>-7.68%</t>
        </is>
      </c>
      <c r="K144" s="16">
        <f>X143</f>
        <v/>
      </c>
      <c r="L144" s="13" t="inlineStr">
        <is>
          <t>2023-10-16</t>
        </is>
      </c>
      <c r="M144" s="13" t="inlineStr">
        <is>
          <t>2023-10-23</t>
        </is>
      </c>
      <c r="N144" s="13" t="inlineStr">
        <is>
          <t>2023-10-21</t>
        </is>
      </c>
      <c r="O144" s="9" t="n">
        <v>11763</v>
      </c>
      <c r="P144" s="17" t="n">
        <v>49.37149047851562</v>
      </c>
      <c r="Q144" s="17" t="n">
        <v>45.15885543823242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Q3 2023-24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-8.66%</t>
        </is>
      </c>
      <c r="J145" s="13" t="inlineStr">
        <is>
          <t>-7.17%</t>
        </is>
      </c>
      <c r="K145" s="16">
        <f>X144</f>
        <v/>
      </c>
      <c r="L145" s="13" t="inlineStr">
        <is>
          <t>2024-01-17</t>
        </is>
      </c>
      <c r="M145" s="13" t="inlineStr">
        <is>
          <t>2024-02-05</t>
        </is>
      </c>
      <c r="N145" s="13" t="inlineStr">
        <is>
          <t>2024-01-29</t>
        </is>
      </c>
      <c r="O145" s="9" t="n">
        <v>1500</v>
      </c>
      <c r="P145" s="17" t="n">
        <v>317.3077697753906</v>
      </c>
      <c r="Q145" s="17" t="n">
        <v>292.0061950683594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Q3 2023-24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6.36%</t>
        </is>
      </c>
      <c r="J146" s="13" t="inlineStr">
        <is>
          <t>3.5%</t>
        </is>
      </c>
      <c r="K146" s="16">
        <f>X145</f>
        <v/>
      </c>
      <c r="L146" s="13" t="inlineStr">
        <is>
          <t>2023-10-11</t>
        </is>
      </c>
      <c r="M146" s="13" t="inlineStr">
        <is>
          <t>2023-10-23</t>
        </is>
      </c>
      <c r="N146" s="13" t="inlineStr">
        <is>
          <t>2023-10-21</t>
        </is>
      </c>
      <c r="O146" s="9" t="n">
        <v>2996</v>
      </c>
      <c r="P146" s="17" t="n">
        <v>139.0500030517578</v>
      </c>
      <c r="Q146" s="17" t="n">
        <v>148.5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Q3 2023-24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-2.64%</t>
        </is>
      </c>
      <c r="J147" s="13" t="inlineStr">
        <is>
          <t>-0.88%</t>
        </is>
      </c>
      <c r="K147" s="16">
        <f>X146</f>
        <v/>
      </c>
      <c r="L147" s="13" t="inlineStr">
        <is>
          <t>2023-10-13</t>
        </is>
      </c>
      <c r="M147" s="13" t="inlineStr">
        <is>
          <t>2023-10-27</t>
        </is>
      </c>
      <c r="N147" s="13" t="inlineStr">
        <is>
          <t>2023-10-21</t>
        </is>
      </c>
      <c r="O147" s="9" t="n">
        <v>551</v>
      </c>
      <c r="P147" s="17" t="n">
        <v>1111.022094726562</v>
      </c>
      <c r="Q147" s="17" t="n">
        <v>1081.739379882812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Q3 2023-24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5.5%</t>
        </is>
      </c>
      <c r="J148" s="13" t="inlineStr">
        <is>
          <t>10.05%</t>
        </is>
      </c>
      <c r="K148" s="16">
        <f>X147</f>
        <v/>
      </c>
      <c r="L148" s="13" t="inlineStr">
        <is>
          <t>2023-10-10</t>
        </is>
      </c>
      <c r="M148" s="13" t="inlineStr">
        <is>
          <t>2023-10-27</t>
        </is>
      </c>
      <c r="N148" s="13" t="inlineStr">
        <is>
          <t>2023-10-21</t>
        </is>
      </c>
      <c r="O148" s="9" t="n">
        <v>100</v>
      </c>
      <c r="P148" s="17" t="n">
        <v>3536.348876953125</v>
      </c>
      <c r="Q148" s="17" t="n">
        <v>3742.32275390625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Q3 2023-24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-7.3%</t>
        </is>
      </c>
      <c r="J149" s="13" t="inlineStr">
        <is>
          <t>-15.39%</t>
        </is>
      </c>
      <c r="K149" s="16">
        <f>X148</f>
        <v/>
      </c>
      <c r="L149" s="13" t="inlineStr">
        <is>
          <t>2023-10-17</t>
        </is>
      </c>
      <c r="M149" s="13" t="inlineStr">
        <is>
          <t>2023-10-23</t>
        </is>
      </c>
      <c r="N149" s="13" t="inlineStr">
        <is>
          <t>2023-10-21</t>
        </is>
      </c>
      <c r="O149" s="9" t="n">
        <v>2188</v>
      </c>
      <c r="P149" s="17" t="n">
        <v>203.8013916015625</v>
      </c>
      <c r="Q149" s="17" t="n">
        <v>188.9280700683593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Q3 2023-24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-8.33%</t>
        </is>
      </c>
      <c r="J150" s="13" t="inlineStr">
        <is>
          <t>-9.08%</t>
        </is>
      </c>
      <c r="K150" s="16">
        <f>X149</f>
        <v/>
      </c>
      <c r="L150" s="13" t="inlineStr">
        <is>
          <t>2024-02-02</t>
        </is>
      </c>
      <c r="M150" s="13" t="inlineStr">
        <is>
          <t>2024-02-19</t>
        </is>
      </c>
      <c r="N150" s="13" t="inlineStr">
        <is>
          <t>2024-02-12</t>
        </is>
      </c>
      <c r="O150" s="9" t="n">
        <v>3750</v>
      </c>
      <c r="P150" s="17" t="n">
        <v>247.4249877929688</v>
      </c>
      <c r="Q150" s="17" t="n">
        <v>228.4068603515625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Q3 2023-24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4.87%</t>
        </is>
      </c>
      <c r="J151" s="13" t="inlineStr">
        <is>
          <t>4.96%</t>
        </is>
      </c>
      <c r="K151" s="16">
        <f>X150</f>
        <v/>
      </c>
      <c r="L151" s="13" t="inlineStr">
        <is>
          <t>2023-10-10</t>
        </is>
      </c>
      <c r="M151" s="13" t="inlineStr">
        <is>
          <t>2023-10-23</t>
        </is>
      </c>
      <c r="N151" s="13" t="inlineStr">
        <is>
          <t>2023-10-21</t>
        </is>
      </c>
      <c r="O151" s="9" t="n">
        <v>100</v>
      </c>
      <c r="P151" s="17" t="n">
        <v>37350</v>
      </c>
      <c r="Q151" s="17" t="n">
        <v>39260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Q3 2023-24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6.67%</t>
        </is>
      </c>
      <c r="J152" s="13" t="inlineStr">
        <is>
          <t>5.23%</t>
        </is>
      </c>
      <c r="K152" s="16">
        <f>X151</f>
        <v/>
      </c>
      <c r="L152" s="13" t="inlineStr">
        <is>
          <t>2023-10-13</t>
        </is>
      </c>
      <c r="M152" s="13" t="inlineStr">
        <is>
          <t>2023-10-23</t>
        </is>
      </c>
      <c r="N152" s="13" t="inlineStr">
        <is>
          <t>2023-10-21</t>
        </is>
      </c>
      <c r="O152" s="9" t="n">
        <v>2806</v>
      </c>
      <c r="P152" s="17" t="n">
        <v>413.5368041992188</v>
      </c>
      <c r="Q152" s="17" t="n">
        <v>443.07275390625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Q3 2023-24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4.43%</t>
        </is>
      </c>
      <c r="J153" s="13" t="inlineStr">
        <is>
          <t>6.02%</t>
        </is>
      </c>
      <c r="K153" s="16">
        <f>X152</f>
        <v/>
      </c>
      <c r="L153" s="13" t="inlineStr">
        <is>
          <t>2023-10-16</t>
        </is>
      </c>
      <c r="M153" s="13" t="inlineStr">
        <is>
          <t>2023-10-27</t>
        </is>
      </c>
      <c r="N153" s="13" t="inlineStr">
        <is>
          <t>2023-10-21</t>
        </is>
      </c>
      <c r="O153" s="9" t="n">
        <v>750</v>
      </c>
      <c r="P153" s="17" t="n">
        <v>896.3499755859375</v>
      </c>
      <c r="Q153" s="17" t="n">
        <v>937.8499755859376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Q3 2023-24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5.6%</t>
        </is>
      </c>
      <c r="J154" s="13" t="inlineStr">
        <is>
          <t>3.55%</t>
        </is>
      </c>
      <c r="K154" s="16">
        <f>X153</f>
        <v/>
      </c>
      <c r="L154" s="13" t="inlineStr">
        <is>
          <t>2023-10-11</t>
        </is>
      </c>
      <c r="M154" s="13" t="inlineStr">
        <is>
          <t>2023-10-27</t>
        </is>
      </c>
      <c r="N154" s="13" t="inlineStr">
        <is>
          <t>2023-10-21</t>
        </is>
      </c>
      <c r="O154" s="9" t="n">
        <v>181</v>
      </c>
      <c r="P154" s="17" t="n">
        <v>2826.425537109375</v>
      </c>
      <c r="Q154" s="17" t="n">
        <v>2984.797119140625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Q3 2023-24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4.67%</t>
        </is>
      </c>
      <c r="J155" s="13" t="inlineStr">
        <is>
          <t>5.15%</t>
        </is>
      </c>
      <c r="K155" s="16">
        <f>X154</f>
        <v/>
      </c>
      <c r="L155" s="13" t="inlineStr">
        <is>
          <t>2023-10-13</t>
        </is>
      </c>
      <c r="M155" s="13" t="inlineStr">
        <is>
          <t>2023-10-27</t>
        </is>
      </c>
      <c r="N155" s="13" t="inlineStr">
        <is>
          <t>2023-10-21</t>
        </is>
      </c>
      <c r="O155" s="9" t="n">
        <v>3585</v>
      </c>
      <c r="P155" s="17" t="n">
        <v>196.9636535644531</v>
      </c>
      <c r="Q155" s="17" t="n">
        <v>206.6217956542969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Q3 2023-24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4.96%</t>
        </is>
      </c>
      <c r="J156" s="13" t="inlineStr">
        <is>
          <t>6.27%</t>
        </is>
      </c>
      <c r="K156" s="16">
        <f>X155</f>
        <v/>
      </c>
      <c r="L156" s="13" t="inlineStr">
        <is>
          <t>2023-10-10</t>
        </is>
      </c>
      <c r="M156" s="13" t="inlineStr">
        <is>
          <t>2023-10-27</t>
        </is>
      </c>
      <c r="N156" s="13" t="inlineStr">
        <is>
          <t>2023-10-21</t>
        </is>
      </c>
      <c r="O156" s="9" t="n">
        <v>2346</v>
      </c>
      <c r="P156" s="17" t="n">
        <v>213.204605102539</v>
      </c>
      <c r="Q156" s="17" t="n">
        <v>224.3337707519531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Q3 2023-24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3.95%</t>
        </is>
      </c>
      <c r="J157" s="13" t="inlineStr">
        <is>
          <t>-6.25%</t>
        </is>
      </c>
      <c r="K157" s="16">
        <f>X156</f>
        <v/>
      </c>
      <c r="L157" s="13" t="inlineStr">
        <is>
          <t>2023-10-13</t>
        </is>
      </c>
      <c r="M157" s="13" t="inlineStr">
        <is>
          <t>2023-10-23</t>
        </is>
      </c>
      <c r="N157" s="13" t="inlineStr">
        <is>
          <t>2023-10-21</t>
        </is>
      </c>
      <c r="O157" s="9" t="n">
        <v>1631</v>
      </c>
      <c r="P157" s="17" t="n">
        <v>196.5042724609375</v>
      </c>
      <c r="Q157" s="17" t="n">
        <v>204.258316040039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Q3 2023-24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5.16%</t>
        </is>
      </c>
      <c r="J158" s="13" t="inlineStr">
        <is>
          <t>6.2%</t>
        </is>
      </c>
      <c r="K158" s="16">
        <f>X157</f>
        <v/>
      </c>
      <c r="L158" s="13" t="inlineStr">
        <is>
          <t>2023-10-17</t>
        </is>
      </c>
      <c r="M158" s="13" t="inlineStr">
        <is>
          <t>2023-10-27</t>
        </is>
      </c>
      <c r="N158" s="13" t="inlineStr">
        <is>
          <t>2023-10-21</t>
        </is>
      </c>
      <c r="O158" s="9" t="n">
        <v>529</v>
      </c>
      <c r="P158" s="17" t="n">
        <v>900.5109252929688</v>
      </c>
      <c r="Q158" s="17" t="n">
        <v>949.5367431640624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Q3 2023-24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-3.15%</t>
        </is>
      </c>
      <c r="J159" s="13" t="inlineStr">
        <is>
          <t>-2.42%</t>
        </is>
      </c>
      <c r="K159" s="16">
        <f>X158</f>
        <v/>
      </c>
      <c r="L159" s="13" t="inlineStr">
        <is>
          <t>2023-10-17</t>
        </is>
      </c>
      <c r="M159" s="13" t="inlineStr">
        <is>
          <t>2023-10-23</t>
        </is>
      </c>
      <c r="N159" s="13" t="inlineStr">
        <is>
          <t>2023-10-21</t>
        </is>
      </c>
      <c r="O159" s="9" t="n">
        <v>613</v>
      </c>
      <c r="P159" s="17" t="n">
        <v>1190.756958007812</v>
      </c>
      <c r="Q159" s="17" t="n">
        <v>1153.302612304688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Q3 2023-24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-2.36%</t>
        </is>
      </c>
      <c r="J160" s="13" t="inlineStr">
        <is>
          <t>-2.23%</t>
        </is>
      </c>
      <c r="K160" s="16">
        <f>X159</f>
        <v/>
      </c>
      <c r="L160" s="13" t="inlineStr">
        <is>
          <t>2023-10-11</t>
        </is>
      </c>
      <c r="M160" s="13" t="inlineStr">
        <is>
          <t>2023-10-23</t>
        </is>
      </c>
      <c r="N160" s="13" t="inlineStr">
        <is>
          <t>2023-10-21</t>
        </is>
      </c>
      <c r="O160" s="9" t="n">
        <v>360</v>
      </c>
      <c r="P160" s="17" t="n">
        <v>3454.737548828125</v>
      </c>
      <c r="Q160" s="17" t="n">
        <v>3373.2294921875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Q3 2023-24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7.44%</t>
        </is>
      </c>
      <c r="J161" s="13" t="inlineStr">
        <is>
          <t>4.73%</t>
        </is>
      </c>
      <c r="K161" s="16">
        <f>X160</f>
        <v/>
      </c>
      <c r="L161" s="13" t="inlineStr">
        <is>
          <t>2023-10-10</t>
        </is>
      </c>
      <c r="M161" s="13" t="inlineStr">
        <is>
          <t>2023-10-23</t>
        </is>
      </c>
      <c r="N161" s="13" t="inlineStr">
        <is>
          <t>2023-10-21</t>
        </is>
      </c>
      <c r="O161" s="9" t="n">
        <v>8957</v>
      </c>
      <c r="P161" s="17" t="n">
        <v>65.00807952880859</v>
      </c>
      <c r="Q161" s="17" t="n">
        <v>70.23485565185547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Q3 2023-24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-1.47%</t>
        </is>
      </c>
      <c r="J162" s="13" t="inlineStr">
        <is>
          <t>-0.81%</t>
        </is>
      </c>
      <c r="K162" s="16">
        <f>X161</f>
        <v/>
      </c>
      <c r="L162" s="13" t="inlineStr">
        <is>
          <t>2023-10-13</t>
        </is>
      </c>
      <c r="M162" s="13" t="inlineStr">
        <is>
          <t>2023-10-27</t>
        </is>
      </c>
      <c r="N162" s="13" t="inlineStr">
        <is>
          <t>2023-10-21</t>
        </is>
      </c>
      <c r="O162" s="9" t="n">
        <v>967</v>
      </c>
      <c r="P162" s="17" t="n">
        <v>733.1141967773438</v>
      </c>
      <c r="Q162" s="17" t="n">
        <v>722.5181884765625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Q3 2023-24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-5.17%</t>
        </is>
      </c>
      <c r="J163" s="13" t="inlineStr">
        <is>
          <t>-8.7%</t>
        </is>
      </c>
      <c r="K163" s="16">
        <f>X162</f>
        <v/>
      </c>
      <c r="L163" s="13" t="inlineStr">
        <is>
          <t>2023-10-13</t>
        </is>
      </c>
      <c r="M163" s="13" t="inlineStr">
        <is>
          <t>2023-10-23</t>
        </is>
      </c>
      <c r="N163" s="13" t="inlineStr">
        <is>
          <t>2023-10-21</t>
        </is>
      </c>
      <c r="O163" s="9" t="n">
        <v>627</v>
      </c>
      <c r="P163" s="17" t="n">
        <v>738.5999755859375</v>
      </c>
      <c r="Q163" s="17" t="n">
        <v>700.4000244140625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Q3 2023-24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5.74%</t>
        </is>
      </c>
      <c r="J164" s="13" t="inlineStr">
        <is>
          <t>5.72%</t>
        </is>
      </c>
      <c r="K164" s="16">
        <f>X163</f>
        <v/>
      </c>
      <c r="L164" s="13" t="inlineStr">
        <is>
          <t>2023-10-17</t>
        </is>
      </c>
      <c r="M164" s="13" t="inlineStr">
        <is>
          <t>2023-10-23</t>
        </is>
      </c>
      <c r="N164" s="13" t="inlineStr">
        <is>
          <t>2023-10-21</t>
        </is>
      </c>
      <c r="O164" s="9" t="n">
        <v>112</v>
      </c>
      <c r="P164" s="17" t="n">
        <v>5077.88720703125</v>
      </c>
      <c r="Q164" s="17" t="n">
        <v>5386.94580078125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Q3 2023-24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-6.87%</t>
        </is>
      </c>
      <c r="J165" s="13" t="inlineStr">
        <is>
          <t>-6.34%</t>
        </is>
      </c>
      <c r="K165" s="16">
        <f>X164</f>
        <v/>
      </c>
      <c r="L165" s="13" t="inlineStr">
        <is>
          <t>2024-02-07</t>
        </is>
      </c>
      <c r="M165" s="13" t="inlineStr">
        <is>
          <t>2024-02-15</t>
        </is>
      </c>
      <c r="N165" s="13" t="inlineStr">
        <is>
          <t>2024-02-08</t>
        </is>
      </c>
      <c r="O165" s="9" t="n">
        <v>1800</v>
      </c>
      <c r="P165" s="17" t="n">
        <v>263.5769958496094</v>
      </c>
      <c r="Q165" s="17" t="n">
        <v>246.632553100586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Q3 2023-24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2023-10-21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Q3 2023-24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-0.24%</t>
        </is>
      </c>
      <c r="J167" s="13" t="inlineStr">
        <is>
          <t>-4.95%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2023-10-21</t>
        </is>
      </c>
      <c r="O167" s="9" t="n">
        <v>1017</v>
      </c>
      <c r="P167" s="17" t="n">
        <v>840.2365112304688</v>
      </c>
      <c r="Q167" s="17" t="n">
        <v>838.2405395507812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Q3 2023-24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-4.48%</t>
        </is>
      </c>
      <c r="J168" s="13" t="inlineStr">
        <is>
          <t>-8.26%</t>
        </is>
      </c>
      <c r="K168" s="16">
        <f>X167</f>
        <v/>
      </c>
      <c r="L168" s="13" t="inlineStr">
        <is>
          <t>2023-10-13</t>
        </is>
      </c>
      <c r="M168" s="13" t="inlineStr">
        <is>
          <t>2023-10-27</t>
        </is>
      </c>
      <c r="N168" s="13" t="inlineStr">
        <is>
          <t>2023-10-21</t>
        </is>
      </c>
      <c r="O168" s="9" t="n">
        <v>627</v>
      </c>
      <c r="P168" s="17" t="n">
        <v>746.5240478515625</v>
      </c>
      <c r="Q168" s="17" t="n">
        <v>714.5415649414062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Q3 2023-24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2.13%</t>
        </is>
      </c>
      <c r="J169" s="13" t="inlineStr">
        <is>
          <t>1.11%</t>
        </is>
      </c>
      <c r="K169" s="16">
        <f>X168</f>
        <v/>
      </c>
      <c r="L169" s="13" t="inlineStr">
        <is>
          <t>2023-10-10</t>
        </is>
      </c>
      <c r="M169" s="13" t="inlineStr">
        <is>
          <t>2023-10-23</t>
        </is>
      </c>
      <c r="N169" s="13" t="inlineStr">
        <is>
          <t>2023-10-21</t>
        </is>
      </c>
      <c r="O169" s="9" t="n">
        <v>229</v>
      </c>
      <c r="P169" s="17" t="n">
        <v>1180.941650390625</v>
      </c>
      <c r="Q169" s="17" t="n">
        <v>1206.6025390625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Q3 2023-24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6.19%</t>
        </is>
      </c>
      <c r="J170" s="13" t="inlineStr">
        <is>
          <t>0.55%</t>
        </is>
      </c>
      <c r="K170" s="16">
        <f>X169</f>
        <v/>
      </c>
      <c r="L170" s="13" t="inlineStr">
        <is>
          <t>2023-10-17</t>
        </is>
      </c>
      <c r="M170" s="13" t="inlineStr">
        <is>
          <t>2023-10-23</t>
        </is>
      </c>
      <c r="N170" s="13" t="inlineStr">
        <is>
          <t>2023-10-21</t>
        </is>
      </c>
      <c r="O170" s="9" t="n">
        <v>2645</v>
      </c>
      <c r="P170" s="17" t="n">
        <v>228.1683349609375</v>
      </c>
      <c r="Q170" s="17" t="n">
        <v>243.214584350586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Q3 2023-24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-0.29%</t>
        </is>
      </c>
      <c r="J171" s="13" t="inlineStr">
        <is>
          <t>-1.81%</t>
        </is>
      </c>
      <c r="K171" s="16">
        <f>X170</f>
        <v/>
      </c>
      <c r="L171" s="13" t="inlineStr">
        <is>
          <t>2025-10-15</t>
        </is>
      </c>
      <c r="M171" s="13" t="inlineStr">
        <is>
          <t>2025-10-20</t>
        </is>
      </c>
      <c r="N171" s="13" t="inlineStr">
        <is>
          <t>2025-10-17</t>
        </is>
      </c>
      <c r="O171" s="9" t="n">
        <v>2667</v>
      </c>
      <c r="P171" s="17" t="n">
        <v>363.1726379394531</v>
      </c>
      <c r="Q171" s="17" t="n">
        <v>362.1096496582031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Q3 2023-24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-6.35%</t>
        </is>
      </c>
      <c r="J172" s="13" t="inlineStr">
        <is>
          <t>-7.58%</t>
        </is>
      </c>
      <c r="K172" s="16">
        <f>X171</f>
        <v/>
      </c>
      <c r="L172" s="13" t="inlineStr">
        <is>
          <t>2024-01-17</t>
        </is>
      </c>
      <c r="M172" s="13" t="inlineStr">
        <is>
          <t>2024-01-29</t>
        </is>
      </c>
      <c r="N172" s="13" t="inlineStr">
        <is>
          <t>2024-01-19</t>
        </is>
      </c>
      <c r="O172" s="9" t="n">
        <v>250</v>
      </c>
      <c r="P172" s="17" t="n">
        <v>1430.795776367188</v>
      </c>
      <c r="Q172" s="17" t="n">
        <v>1345.35107421875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Q3 2023-24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4.6%</t>
        </is>
      </c>
      <c r="J173" s="13" t="inlineStr">
        <is>
          <t>2.49%</t>
        </is>
      </c>
      <c r="K173" s="16">
        <f>X172</f>
        <v/>
      </c>
      <c r="L173" s="13" t="inlineStr">
        <is>
          <t>2023-10-10</t>
        </is>
      </c>
      <c r="M173" s="13" t="inlineStr">
        <is>
          <t>2023-10-23</t>
        </is>
      </c>
      <c r="N173" s="13" t="inlineStr">
        <is>
          <t>2023-10-21</t>
        </is>
      </c>
      <c r="O173" s="9" t="n">
        <v>4486</v>
      </c>
      <c r="P173" s="17" t="n">
        <v>155.8320159912109</v>
      </c>
      <c r="Q173" s="17" t="n">
        <v>163.3396301269531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Q3 2023-24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-2.52%</t>
        </is>
      </c>
      <c r="J174" s="13" t="inlineStr">
        <is>
          <t>-10.72%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2023-10-21</t>
        </is>
      </c>
      <c r="O174" s="9" t="n">
        <v>21748</v>
      </c>
      <c r="P174" s="17" t="n">
        <v>29.29071998596192</v>
      </c>
      <c r="Q174" s="17" t="n">
        <v>28.55146026611328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Q3 2023-24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5.89%</t>
        </is>
      </c>
      <c r="J175" s="13" t="inlineStr">
        <is>
          <t>1.77%</t>
        </is>
      </c>
      <c r="K175" s="16">
        <f>X174</f>
        <v/>
      </c>
      <c r="L175" s="13" t="inlineStr">
        <is>
          <t>2023-10-16</t>
        </is>
      </c>
      <c r="M175" s="13" t="inlineStr">
        <is>
          <t>2023-10-27</t>
        </is>
      </c>
      <c r="N175" s="13" t="inlineStr">
        <is>
          <t>2023-10-21</t>
        </is>
      </c>
      <c r="O175" s="9" t="n">
        <v>5915</v>
      </c>
      <c r="P175" s="17" t="n">
        <v>81.63010406494141</v>
      </c>
      <c r="Q175" s="17" t="n">
        <v>86.73502349853516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Q3 2023-24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2.4%</t>
        </is>
      </c>
      <c r="J176" s="13" t="inlineStr">
        <is>
          <t>-1.81%</t>
        </is>
      </c>
      <c r="K176" s="16">
        <f>X175</f>
        <v/>
      </c>
      <c r="L176" s="13" t="inlineStr">
        <is>
          <t>2023-10-10</t>
        </is>
      </c>
      <c r="M176" s="13" t="inlineStr">
        <is>
          <t>2023-10-23</t>
        </is>
      </c>
      <c r="N176" s="13" t="inlineStr">
        <is>
          <t>2023-10-21</t>
        </is>
      </c>
      <c r="O176" s="9" t="n">
        <v>1550</v>
      </c>
      <c r="P176" s="17" t="n">
        <v>773</v>
      </c>
      <c r="Q176" s="17" t="n">
        <v>792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Q3 2023-24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-3.41%</t>
        </is>
      </c>
      <c r="J177" s="13" t="inlineStr">
        <is>
          <t>-4.4%</t>
        </is>
      </c>
      <c r="K177" s="16">
        <f>X176</f>
        <v/>
      </c>
      <c r="L177" s="13" t="inlineStr">
        <is>
          <t>2021-10-27</t>
        </is>
      </c>
      <c r="M177" s="13" t="inlineStr">
        <is>
          <t>2021-10-29</t>
        </is>
      </c>
      <c r="N177" s="13" t="inlineStr">
        <is>
          <t>2021-10-28</t>
        </is>
      </c>
      <c r="O177" s="9" t="n">
        <v>375</v>
      </c>
      <c r="P177" s="17" t="n">
        <v>1175.033569335938</v>
      </c>
      <c r="Q177" s="17" t="n">
        <v>1134.957641601562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Q3 2023-24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0.09%</t>
        </is>
      </c>
      <c r="J178" s="13" t="inlineStr">
        <is>
          <t>-0.38%</t>
        </is>
      </c>
      <c r="K178" s="16">
        <f>X177</f>
        <v/>
      </c>
      <c r="L178" s="13" t="inlineStr">
        <is>
          <t>2024-02-02</t>
        </is>
      </c>
      <c r="M178" s="13" t="inlineStr">
        <is>
          <t>2024-02-06</t>
        </is>
      </c>
      <c r="N178" s="13" t="inlineStr">
        <is>
          <t>2024-02-03</t>
        </is>
      </c>
      <c r="O178" s="9" t="n">
        <v>1500</v>
      </c>
      <c r="P178" s="17" t="n">
        <v>615.26806640625</v>
      </c>
      <c r="Q178" s="17" t="n">
        <v>615.8362426757812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Q3 2023-24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-1.76%</t>
        </is>
      </c>
      <c r="J179" s="13" t="inlineStr">
        <is>
          <t>-4.82%</t>
        </is>
      </c>
      <c r="K179" s="16">
        <f>X178</f>
        <v/>
      </c>
      <c r="L179" s="13" t="inlineStr">
        <is>
          <t>2023-10-10</t>
        </is>
      </c>
      <c r="M179" s="13" t="inlineStr">
        <is>
          <t>2023-10-23</t>
        </is>
      </c>
      <c r="N179" s="13" t="inlineStr">
        <is>
          <t>2023-10-21</t>
        </is>
      </c>
      <c r="O179" s="9" t="n">
        <v>100</v>
      </c>
      <c r="P179" s="17" t="n">
        <v>25827.89453125</v>
      </c>
      <c r="Q179" s="17" t="n">
        <v>25374.14453125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Q3 2023-24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4.12%</t>
        </is>
      </c>
      <c r="J180" s="13" t="inlineStr">
        <is>
          <t>2.15%</t>
        </is>
      </c>
      <c r="K180" s="16">
        <f>X179</f>
        <v/>
      </c>
      <c r="L180" s="13" t="inlineStr">
        <is>
          <t>2024-01-24</t>
        </is>
      </c>
      <c r="M180" s="13" t="inlineStr">
        <is>
          <t>2024-02-01</t>
        </is>
      </c>
      <c r="N180" s="13" t="inlineStr">
        <is>
          <t>2024-01-25</t>
        </is>
      </c>
      <c r="O180" s="9" t="n">
        <v>957</v>
      </c>
      <c r="P180" s="17" t="n">
        <v>443.6099243164063</v>
      </c>
      <c r="Q180" s="17" t="n">
        <v>461.8653259277344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Q3 2023-24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-4.91%</t>
        </is>
      </c>
      <c r="J181" s="13" t="inlineStr">
        <is>
          <t>-7.03%</t>
        </is>
      </c>
      <c r="K181" s="16">
        <f>X180</f>
        <v/>
      </c>
      <c r="L181" s="13" t="inlineStr">
        <is>
          <t>2023-10-10</t>
        </is>
      </c>
      <c r="M181" s="13" t="inlineStr">
        <is>
          <t>2023-10-23</t>
        </is>
      </c>
      <c r="N181" s="13" t="inlineStr">
        <is>
          <t>2023-10-21</t>
        </is>
      </c>
      <c r="O181" s="9" t="n">
        <v>273</v>
      </c>
      <c r="P181" s="17" t="n">
        <v>2082.00390625</v>
      </c>
      <c r="Q181" s="17" t="n">
        <v>1979.789428710937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Q3 2023-24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-1.63%</t>
        </is>
      </c>
      <c r="J182" s="13" t="inlineStr">
        <is>
          <t>-4.02%</t>
        </is>
      </c>
      <c r="K182" s="16">
        <f>X181</f>
        <v/>
      </c>
      <c r="L182" s="13" t="inlineStr">
        <is>
          <t>2023-10-11</t>
        </is>
      </c>
      <c r="M182" s="13" t="inlineStr">
        <is>
          <t>2023-10-27</t>
        </is>
      </c>
      <c r="N182" s="13" t="inlineStr">
        <is>
          <t>2023-10-21</t>
        </is>
      </c>
      <c r="O182" s="9" t="n">
        <v>100</v>
      </c>
      <c r="P182" s="17" t="n">
        <v>5314.1337890625</v>
      </c>
      <c r="Q182" s="17" t="n">
        <v>5227.6015625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Q3 2023-24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1.59%</t>
        </is>
      </c>
      <c r="J183" s="13" t="inlineStr">
        <is>
          <t>-3.25%</t>
        </is>
      </c>
      <c r="K183" s="16">
        <f>X182</f>
        <v/>
      </c>
      <c r="L183" s="13" t="inlineStr">
        <is>
          <t>2023-10-13</t>
        </is>
      </c>
      <c r="M183" s="13" t="inlineStr">
        <is>
          <t>2023-10-27</t>
        </is>
      </c>
      <c r="N183" s="13" t="inlineStr">
        <is>
          <t>2023-10-21</t>
        </is>
      </c>
      <c r="O183" s="9" t="n">
        <v>1309</v>
      </c>
      <c r="P183" s="17" t="n">
        <v>541.6599731445312</v>
      </c>
      <c r="Q183" s="17" t="n">
        <v>550.4058227539062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Q3 2023-24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4.46%</t>
        </is>
      </c>
      <c r="J184" s="13" t="inlineStr">
        <is>
          <t>4.44%</t>
        </is>
      </c>
      <c r="K184" s="16">
        <f>X183</f>
        <v/>
      </c>
      <c r="L184" s="13" t="inlineStr">
        <is>
          <t>2023-10-17</t>
        </is>
      </c>
      <c r="M184" s="13" t="inlineStr">
        <is>
          <t>2023-10-27</t>
        </is>
      </c>
      <c r="N184" s="13" t="inlineStr">
        <is>
          <t>2023-10-21</t>
        </is>
      </c>
      <c r="O184" s="9" t="n">
        <v>383</v>
      </c>
      <c r="P184" s="17" t="n">
        <v>2155.040771484375</v>
      </c>
      <c r="Q184" s="17" t="n">
        <v>2255.5546875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Q3 2023-24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12.02%</t>
        </is>
      </c>
      <c r="J185" s="13" t="inlineStr">
        <is>
          <t>11.46%</t>
        </is>
      </c>
      <c r="K185" s="16">
        <f>X184</f>
        <v/>
      </c>
      <c r="L185" s="13" t="inlineStr">
        <is>
          <t>2024-01-19</t>
        </is>
      </c>
      <c r="M185" s="13" t="inlineStr">
        <is>
          <t>2024-02-07</t>
        </is>
      </c>
      <c r="N185" s="13" t="inlineStr">
        <is>
          <t>2024-01-31</t>
        </is>
      </c>
      <c r="O185" s="9" t="n">
        <v>350</v>
      </c>
      <c r="P185" s="17" t="n">
        <v>1299.712524414062</v>
      </c>
      <c r="Q185" s="17" t="n">
        <v>1455.9970703125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Q3 2023-24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-4.78%</t>
        </is>
      </c>
      <c r="J186" s="13" t="inlineStr">
        <is>
          <t>-8.09%</t>
        </is>
      </c>
      <c r="K186" s="16">
        <f>X185</f>
        <v/>
      </c>
      <c r="L186" s="13" t="inlineStr">
        <is>
          <t>2023-10-11</t>
        </is>
      </c>
      <c r="M186" s="13" t="inlineStr">
        <is>
          <t>2023-10-23</t>
        </is>
      </c>
      <c r="N186" s="13" t="inlineStr">
        <is>
          <t>2023-10-21</t>
        </is>
      </c>
      <c r="O186" s="9" t="n">
        <v>289</v>
      </c>
      <c r="P186" s="17" t="n">
        <v>4223.49560546875</v>
      </c>
      <c r="Q186" s="17" t="n">
        <v>4030.743896484375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Q3 2023-24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16.09%</t>
        </is>
      </c>
      <c r="J187" s="13" t="inlineStr">
        <is>
          <t>9.44%</t>
        </is>
      </c>
      <c r="K187" s="16">
        <f>X186</f>
        <v/>
      </c>
      <c r="L187" s="13" t="inlineStr">
        <is>
          <t>2023-10-11</t>
        </is>
      </c>
      <c r="M187" s="13" t="inlineStr">
        <is>
          <t>2023-10-27</t>
        </is>
      </c>
      <c r="N187" s="13" t="inlineStr">
        <is>
          <t>2023-10-21</t>
        </is>
      </c>
      <c r="O187" s="9" t="n">
        <v>21097</v>
      </c>
      <c r="P187" s="17" t="n">
        <v>27.64999961853028</v>
      </c>
      <c r="Q187" s="17" t="n">
        <v>32.09999847412109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Q3 2023-24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-5.55%</t>
        </is>
      </c>
      <c r="J188" s="13" t="inlineStr">
        <is>
          <t>-2.64%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2023-10-21</t>
        </is>
      </c>
      <c r="O188" s="9" t="n">
        <v>3379</v>
      </c>
      <c r="P188" s="17" t="n">
        <v>456</v>
      </c>
      <c r="Q188" s="17" t="n">
        <v>430.7000122070313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Q3 2023-24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1.32%</t>
        </is>
      </c>
      <c r="J189" s="13" t="inlineStr">
        <is>
          <t>1.47%</t>
        </is>
      </c>
      <c r="K189" s="16">
        <f>X188</f>
        <v/>
      </c>
      <c r="L189" s="13" t="inlineStr">
        <is>
          <t>2024-02-05</t>
        </is>
      </c>
      <c r="M189" s="13" t="inlineStr">
        <is>
          <t>2024-02-14</t>
        </is>
      </c>
      <c r="N189" s="13" t="inlineStr">
        <is>
          <t>2024-02-07</t>
        </is>
      </c>
      <c r="O189" s="9" t="n">
        <v>450</v>
      </c>
      <c r="P189" s="17" t="n">
        <v>1110.133422851562</v>
      </c>
      <c r="Q189" s="17" t="n">
        <v>1124.943725585938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Q3 2023-24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-3.92%</t>
        </is>
      </c>
      <c r="J190" s="13" t="inlineStr">
        <is>
          <t>-11.42%</t>
        </is>
      </c>
      <c r="K190" s="16">
        <f>X189</f>
        <v/>
      </c>
      <c r="L190" s="13" t="inlineStr">
        <is>
          <t>2023-10-11</t>
        </is>
      </c>
      <c r="M190" s="13" t="inlineStr">
        <is>
          <t>2023-10-27</t>
        </is>
      </c>
      <c r="N190" s="13" t="inlineStr">
        <is>
          <t>2023-10-21</t>
        </is>
      </c>
      <c r="O190" s="9" t="n">
        <v>273</v>
      </c>
      <c r="P190" s="17" t="n">
        <v>7312.86181640625</v>
      </c>
      <c r="Q190" s="17" t="n">
        <v>7037.244140625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Q3 2023-24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-3.13%</t>
        </is>
      </c>
      <c r="J191" s="13" t="inlineStr">
        <is>
          <t>-6.35%</t>
        </is>
      </c>
      <c r="K191" s="16">
        <f>X190</f>
        <v/>
      </c>
      <c r="L191" s="13" t="inlineStr">
        <is>
          <t>2023-10-18</t>
        </is>
      </c>
      <c r="M191" s="13" t="inlineStr">
        <is>
          <t>2023-10-23</t>
        </is>
      </c>
      <c r="N191" s="13" t="inlineStr">
        <is>
          <t>2023-10-21</t>
        </is>
      </c>
      <c r="O191" s="9" t="n">
        <v>1425</v>
      </c>
      <c r="P191" s="17" t="n">
        <v>667.35</v>
      </c>
      <c r="Q191" s="17" t="n">
        <v>646.45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Q3 2023-24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6.28%</t>
        </is>
      </c>
      <c r="J192" s="13" t="inlineStr">
        <is>
          <t>3.96%</t>
        </is>
      </c>
      <c r="K192" s="16">
        <f>X191</f>
        <v/>
      </c>
      <c r="L192" s="13" t="inlineStr">
        <is>
          <t>2023-10-13</t>
        </is>
      </c>
      <c r="M192" s="13" t="inlineStr">
        <is>
          <t>2023-10-27</t>
        </is>
      </c>
      <c r="N192" s="13" t="inlineStr">
        <is>
          <t>2023-10-21</t>
        </is>
      </c>
      <c r="O192" s="9" t="n">
        <v>2659</v>
      </c>
      <c r="P192" s="17" t="n">
        <v>234.2138519287109</v>
      </c>
      <c r="Q192" s="17" t="n">
        <v>249.9002380371093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Q3 2023-24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0.37%</t>
        </is>
      </c>
      <c r="J193" s="13" t="inlineStr">
        <is>
          <t>1.03%</t>
        </is>
      </c>
      <c r="K193" s="16">
        <f>X192</f>
        <v/>
      </c>
      <c r="L193" s="13" t="inlineStr">
        <is>
          <t>2024-01-12</t>
        </is>
      </c>
      <c r="M193" s="13" t="inlineStr">
        <is>
          <t>2024-02-01</t>
        </is>
      </c>
      <c r="N193" s="13" t="inlineStr">
        <is>
          <t>2024-01-24</t>
        </is>
      </c>
      <c r="O193" s="9" t="n">
        <v>5500</v>
      </c>
      <c r="P193" s="17" t="n">
        <v>126.5172805786133</v>
      </c>
      <c r="Q193" s="17" t="n">
        <v>126.9865493774414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Q3 2023-24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-6.13%</t>
        </is>
      </c>
      <c r="J194" s="13" t="inlineStr">
        <is>
          <t>-5.85%</t>
        </is>
      </c>
      <c r="K194" s="16">
        <f>X193</f>
        <v/>
      </c>
      <c r="L194" s="13" t="inlineStr">
        <is>
          <t>2024-01-08</t>
        </is>
      </c>
      <c r="M194" s="13" t="inlineStr">
        <is>
          <t>2024-01-15</t>
        </is>
      </c>
      <c r="N194" s="13" t="inlineStr">
        <is>
          <t>2024-01-11</t>
        </is>
      </c>
      <c r="O194" s="9" t="n">
        <v>175</v>
      </c>
      <c r="P194" s="17" t="n">
        <v>3587.0595703125</v>
      </c>
      <c r="Q194" s="17" t="n">
        <v>3379.855712890625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Q3 2023-24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3.96%</t>
        </is>
      </c>
      <c r="J195" s="13" t="inlineStr">
        <is>
          <t>2.8%</t>
        </is>
      </c>
      <c r="K195" s="16">
        <f>X194</f>
        <v/>
      </c>
      <c r="L195" s="13" t="inlineStr">
        <is>
          <t>2024-01-23</t>
        </is>
      </c>
      <c r="M195" s="13" t="inlineStr">
        <is>
          <t>2024-02-01</t>
        </is>
      </c>
      <c r="N195" s="13" t="inlineStr">
        <is>
          <t>2024-01-24</t>
        </is>
      </c>
      <c r="O195" s="9" t="n">
        <v>600</v>
      </c>
      <c r="P195" s="17" t="n">
        <v>1209.802001953125</v>
      </c>
      <c r="Q195" s="17" t="n">
        <v>1259.714965820312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Q3 2023-24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3.44%</t>
        </is>
      </c>
      <c r="J196" s="13" t="inlineStr">
        <is>
          <t>-2.38%</t>
        </is>
      </c>
      <c r="K196" s="16">
        <f>X195</f>
        <v/>
      </c>
      <c r="L196" s="13" t="inlineStr">
        <is>
          <t>2023-10-16</t>
        </is>
      </c>
      <c r="M196" s="13" t="inlineStr">
        <is>
          <t>2023-10-23</t>
        </is>
      </c>
      <c r="N196" s="13" t="inlineStr">
        <is>
          <t>2023-10-21</t>
        </is>
      </c>
      <c r="O196" s="9" t="n">
        <v>371</v>
      </c>
      <c r="P196" s="17" t="n">
        <v>2898.532470703125</v>
      </c>
      <c r="Q196" s="17" t="n">
        <v>3001.92529296875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Q3 2023-24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2.08%</t>
        </is>
      </c>
      <c r="J197" s="13" t="inlineStr">
        <is>
          <t>1.86%</t>
        </is>
      </c>
      <c r="K197" s="16">
        <f>X196</f>
        <v/>
      </c>
      <c r="L197" s="13" t="inlineStr">
        <is>
          <t>2024-02-01</t>
        </is>
      </c>
      <c r="M197" s="13" t="inlineStr">
        <is>
          <t>2024-02-05</t>
        </is>
      </c>
      <c r="N197" s="13" t="inlineStr">
        <is>
          <t>2024-02-02</t>
        </is>
      </c>
      <c r="O197" s="9" t="n">
        <v>175</v>
      </c>
      <c r="P197" s="17" t="n">
        <v>3518.2978515625</v>
      </c>
      <c r="Q197" s="17" t="n">
        <v>3592.98095703125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Q3 2023-24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4.11%</t>
        </is>
      </c>
      <c r="J198" s="13" t="inlineStr">
        <is>
          <t>3.27%</t>
        </is>
      </c>
      <c r="K198" s="16">
        <f>X197</f>
        <v/>
      </c>
      <c r="L198" s="13" t="inlineStr">
        <is>
          <t>2023-10-18</t>
        </is>
      </c>
      <c r="M198" s="13" t="inlineStr">
        <is>
          <t>2023-10-27</t>
        </is>
      </c>
      <c r="N198" s="13" t="inlineStr">
        <is>
          <t>2023-10-21</t>
        </is>
      </c>
      <c r="O198" s="9" t="n">
        <v>3054</v>
      </c>
      <c r="P198" s="17" t="n">
        <v>626.477783203125</v>
      </c>
      <c r="Q198" s="17" t="n">
        <v>653.3037719726562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Q3 2023-24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0.08%</t>
        </is>
      </c>
      <c r="J199" s="13" t="inlineStr">
        <is>
          <t>-1.7%</t>
        </is>
      </c>
      <c r="K199" s="16">
        <f>X198</f>
        <v/>
      </c>
      <c r="L199" s="13" t="inlineStr">
        <is>
          <t>2023-10-19</t>
        </is>
      </c>
      <c r="M199" s="13" t="inlineStr">
        <is>
          <t>2023-10-27</t>
        </is>
      </c>
      <c r="N199" s="13" t="inlineStr">
        <is>
          <t>2023-10-21</t>
        </is>
      </c>
      <c r="O199" s="9" t="n">
        <v>205</v>
      </c>
      <c r="P199" s="17" t="n">
        <v>1864.521728515625</v>
      </c>
      <c r="Q199" s="17" t="n">
        <v>1865.930541992188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Q3 2023-24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29.19%</t>
        </is>
      </c>
      <c r="J200" s="13" t="inlineStr">
        <is>
          <t>27.81%</t>
        </is>
      </c>
      <c r="K200" s="16">
        <f>X199</f>
        <v/>
      </c>
      <c r="L200" s="13" t="inlineStr">
        <is>
          <t>2024-02-06</t>
        </is>
      </c>
      <c r="M200" s="13" t="inlineStr">
        <is>
          <t>2024-02-14</t>
        </is>
      </c>
      <c r="N200" s="13" t="inlineStr">
        <is>
          <t>2024-02-07</t>
        </is>
      </c>
      <c r="O200" s="9" t="n">
        <v>345</v>
      </c>
      <c r="P200" s="17" t="n">
        <v>3027.388671875</v>
      </c>
      <c r="Q200" s="17" t="n">
        <v>3911.166748046875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Q3 2023-24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1.03%</t>
        </is>
      </c>
      <c r="J201" s="13" t="inlineStr">
        <is>
          <t>0.75%</t>
        </is>
      </c>
      <c r="K201" s="16">
        <f>X200</f>
        <v/>
      </c>
      <c r="L201" s="13" t="inlineStr">
        <is>
          <t>2023-10-16</t>
        </is>
      </c>
      <c r="M201" s="13" t="inlineStr">
        <is>
          <t>2023-10-23</t>
        </is>
      </c>
      <c r="N201" s="13" t="inlineStr">
        <is>
          <t>2023-10-21</t>
        </is>
      </c>
      <c r="O201" s="9" t="n">
        <v>237</v>
      </c>
      <c r="P201" s="17" t="n">
        <v>1567.00927734375</v>
      </c>
      <c r="Q201" s="17" t="n">
        <v>1583.27001953125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Q3 2023-24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-1.56%</t>
        </is>
      </c>
      <c r="J202" s="13" t="inlineStr">
        <is>
          <t>-2.54%</t>
        </is>
      </c>
      <c r="K202" s="16">
        <f>X201</f>
        <v/>
      </c>
      <c r="L202" s="13" t="inlineStr">
        <is>
          <t>2024-04-23</t>
        </is>
      </c>
      <c r="M202" s="13" t="inlineStr">
        <is>
          <t>2024-05-07</t>
        </is>
      </c>
      <c r="N202" s="13" t="inlineStr">
        <is>
          <t>2024-04-29</t>
        </is>
      </c>
      <c r="O202" s="9" t="n">
        <v>100</v>
      </c>
      <c r="P202" s="17" t="n">
        <v>9564.69140625</v>
      </c>
      <c r="Q202" s="17" t="n">
        <v>9417.650390625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Q3 2023-24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-2.2%</t>
        </is>
      </c>
      <c r="J203" s="13" t="inlineStr">
        <is>
          <t>-3.75%</t>
        </is>
      </c>
      <c r="K203" s="16">
        <f>X202</f>
        <v/>
      </c>
      <c r="L203" s="13" t="inlineStr">
        <is>
          <t>2023-10-18</t>
        </is>
      </c>
      <c r="M203" s="13" t="inlineStr">
        <is>
          <t>2023-10-27</t>
        </is>
      </c>
      <c r="N203" s="13" t="inlineStr">
        <is>
          <t>2023-10-21</t>
        </is>
      </c>
      <c r="O203" s="9" t="n">
        <v>5868</v>
      </c>
      <c r="P203" s="17" t="n">
        <v>93.49823760986328</v>
      </c>
      <c r="Q203" s="17" t="n">
        <v>91.43879699707033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Q3 2023-24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5.2%</t>
        </is>
      </c>
      <c r="J204" s="13" t="inlineStr">
        <is>
          <t>5.4%</t>
        </is>
      </c>
      <c r="K204" s="16">
        <f>X203</f>
        <v/>
      </c>
      <c r="L204" s="13" t="inlineStr">
        <is>
          <t>2023-10-16</t>
        </is>
      </c>
      <c r="M204" s="13" t="inlineStr">
        <is>
          <t>2023-10-27</t>
        </is>
      </c>
      <c r="N204" s="13" t="inlineStr">
        <is>
          <t>2023-10-21</t>
        </is>
      </c>
      <c r="O204" s="9" t="n">
        <v>652</v>
      </c>
      <c r="P204" s="17" t="n">
        <v>993.0234375</v>
      </c>
      <c r="Q204" s="17" t="n">
        <v>1047.486938476562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Q3 2023-24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-2.53%</t>
        </is>
      </c>
      <c r="J205" s="13" t="inlineStr">
        <is>
          <t>-7.52%</t>
        </is>
      </c>
      <c r="K205" s="16">
        <f>X204</f>
        <v/>
      </c>
      <c r="L205" s="13" t="inlineStr">
        <is>
          <t>2023-10-11</t>
        </is>
      </c>
      <c r="M205" s="13" t="inlineStr">
        <is>
          <t>2023-10-27</t>
        </is>
      </c>
      <c r="N205" s="13" t="inlineStr">
        <is>
          <t>2023-10-21</t>
        </is>
      </c>
      <c r="O205" s="9" t="n">
        <v>852</v>
      </c>
      <c r="P205" s="17" t="n">
        <v>594.2492065429688</v>
      </c>
      <c r="Q205" s="17" t="n">
        <v>579.2042846679688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Q3 2023-24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11.46%</t>
        </is>
      </c>
      <c r="J206" s="13" t="inlineStr">
        <is>
          <t>12.15%</t>
        </is>
      </c>
      <c r="K206" s="16">
        <f>X205</f>
        <v/>
      </c>
      <c r="L206" s="13" t="inlineStr">
        <is>
          <t>2023-10-16</t>
        </is>
      </c>
      <c r="M206" s="13" t="inlineStr">
        <is>
          <t>2023-10-27</t>
        </is>
      </c>
      <c r="N206" s="13" t="inlineStr">
        <is>
          <t>2023-10-21</t>
        </is>
      </c>
      <c r="O206" s="9" t="n">
        <v>1659</v>
      </c>
      <c r="P206" s="17" t="n">
        <v>547.3285522460938</v>
      </c>
      <c r="Q206" s="17" t="n">
        <v>618.1632690429688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Q3 2023-24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0.79%</t>
        </is>
      </c>
      <c r="J207" s="13" t="inlineStr">
        <is>
          <t>-0.06%</t>
        </is>
      </c>
      <c r="K207" s="16">
        <f>X206</f>
        <v/>
      </c>
      <c r="L207" s="13" t="inlineStr">
        <is>
          <t>2023-10-17</t>
        </is>
      </c>
      <c r="M207" s="13" t="inlineStr">
        <is>
          <t>2023-10-23</t>
        </is>
      </c>
      <c r="N207" s="13" t="inlineStr">
        <is>
          <t>2023-10-21</t>
        </is>
      </c>
      <c r="O207" s="9" t="n">
        <v>2215</v>
      </c>
      <c r="P207" s="17" t="n">
        <v>366.6206970214844</v>
      </c>
      <c r="Q207" s="17" t="n">
        <v>369.5409545898438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Q3 2023-24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-6.38%</t>
        </is>
      </c>
      <c r="J208" s="13" t="inlineStr">
        <is>
          <t>-7.65%</t>
        </is>
      </c>
      <c r="K208" s="16">
        <f>X207</f>
        <v/>
      </c>
      <c r="L208" s="13" t="inlineStr">
        <is>
          <t>2023-10-18</t>
        </is>
      </c>
      <c r="M208" s="13" t="inlineStr">
        <is>
          <t>2023-10-27</t>
        </is>
      </c>
      <c r="N208" s="13" t="inlineStr">
        <is>
          <t>2023-10-21</t>
        </is>
      </c>
      <c r="O208" s="9" t="n">
        <v>3738</v>
      </c>
      <c r="P208" s="17" t="n">
        <v>187.5075836181641</v>
      </c>
      <c r="Q208" s="17" t="n">
        <v>175.5493927001953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Q3 2023-24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-6.08%</t>
        </is>
      </c>
      <c r="J209" s="13" t="inlineStr">
        <is>
          <t>-18.19%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2023-10-21</t>
        </is>
      </c>
      <c r="O209" s="9" t="n">
        <v>9268</v>
      </c>
      <c r="P209" s="17" t="n">
        <v>111.9300003051758</v>
      </c>
      <c r="Q209" s="17" t="n">
        <v>105.129997253418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Q3 2023-24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1.89%</t>
        </is>
      </c>
      <c r="J210" s="13" t="inlineStr">
        <is>
          <t>0.27%</t>
        </is>
      </c>
      <c r="K210" s="16">
        <f>X209</f>
        <v/>
      </c>
      <c r="L210" s="13" t="inlineStr">
        <is>
          <t>2023-10-17</t>
        </is>
      </c>
      <c r="M210" s="13" t="inlineStr">
        <is>
          <t>2023-10-27</t>
        </is>
      </c>
      <c r="N210" s="13" t="inlineStr">
        <is>
          <t>2023-10-21</t>
        </is>
      </c>
      <c r="O210" s="9" t="n">
        <v>750</v>
      </c>
      <c r="P210" s="17" t="n">
        <v>824.65576171875</v>
      </c>
      <c r="Q210" s="17" t="n">
        <v>840.5088500976562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Q3 2023-24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-23.57%</t>
        </is>
      </c>
      <c r="J211" s="13" t="inlineStr">
        <is>
          <t>-44.18%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2023-10-21</t>
        </is>
      </c>
      <c r="O211" s="9" t="n">
        <v>380</v>
      </c>
      <c r="P211" s="17" t="n">
        <v>2888.479736328125</v>
      </c>
      <c r="Q211" s="17" t="n">
        <v>2337.588623046875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Q3 2023-24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5.71%</t>
        </is>
      </c>
      <c r="J212" s="13" t="inlineStr">
        <is>
          <t>4.86%</t>
        </is>
      </c>
      <c r="K212" s="16">
        <f>X211</f>
        <v/>
      </c>
      <c r="L212" s="13" t="inlineStr">
        <is>
          <t>2024-01-05</t>
        </is>
      </c>
      <c r="M212" s="13" t="inlineStr">
        <is>
          <t>2024-01-18</t>
        </is>
      </c>
      <c r="N212" s="13" t="inlineStr">
        <is>
          <t>2024-01-12</t>
        </is>
      </c>
      <c r="O212" s="9" t="n">
        <v>1500</v>
      </c>
      <c r="P212" s="17" t="n">
        <v>213.5531158447266</v>
      </c>
      <c r="Q212" s="17" t="n">
        <v>225.7367858886719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Q3 2023-24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6.45%</t>
        </is>
      </c>
      <c r="J213" s="13" t="inlineStr">
        <is>
          <t>5.93%</t>
        </is>
      </c>
      <c r="K213" s="16">
        <f>X212</f>
        <v/>
      </c>
      <c r="L213" s="13" t="inlineStr">
        <is>
          <t>2023-10-10</t>
        </is>
      </c>
      <c r="M213" s="13" t="inlineStr">
        <is>
          <t>2023-10-27</t>
        </is>
      </c>
      <c r="N213" s="13" t="inlineStr">
        <is>
          <t>2023-10-21</t>
        </is>
      </c>
      <c r="O213" s="9" t="n">
        <v>44365</v>
      </c>
      <c r="P213" s="17" t="n">
        <v>15.94999980926514</v>
      </c>
      <c r="Q213" s="17" t="n">
        <v>17.04999923706055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Q3 2023-24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2.73%</t>
        </is>
      </c>
      <c r="J214" s="13" t="inlineStr">
        <is>
          <t>5.33%</t>
        </is>
      </c>
      <c r="K214" s="16">
        <f>X213</f>
        <v/>
      </c>
      <c r="L214" s="13" t="inlineStr">
        <is>
          <t>2023-10-16</t>
        </is>
      </c>
      <c r="M214" s="13" t="inlineStr">
        <is>
          <t>2023-10-27</t>
        </is>
      </c>
      <c r="N214" s="13" t="inlineStr">
        <is>
          <t>2023-10-21</t>
        </is>
      </c>
      <c r="O214" s="9" t="n">
        <v>896</v>
      </c>
      <c r="P214" s="17" t="n">
        <v>566.613525390625</v>
      </c>
      <c r="Q214" s="17" t="n">
        <v>582.526611328125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2023-24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Q2 2023-24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7.13%</t>
        </is>
      </c>
      <c r="J4" s="13" t="inlineStr">
        <is>
          <t>5.06%</t>
        </is>
      </c>
      <c r="K4" s="16" t="n">
        <v>42511150.11</v>
      </c>
      <c r="L4" s="13" t="inlineStr">
        <is>
          <t>2025-11-12</t>
        </is>
      </c>
      <c r="M4" s="13" t="inlineStr">
        <is>
          <t>2025-11-27</t>
        </is>
      </c>
      <c r="N4" s="13" t="inlineStr">
        <is>
          <t>2025-11-20</t>
        </is>
      </c>
      <c r="O4" s="9" t="n">
        <v>874</v>
      </c>
      <c r="P4" s="17" t="n">
        <v>1082.71484375</v>
      </c>
      <c r="Q4" s="17" t="n">
        <v>1159.866943359375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Q2 2023-24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18.28%</t>
        </is>
      </c>
      <c r="J5" s="13" t="inlineStr">
        <is>
          <t>17.67%</t>
        </is>
      </c>
      <c r="K5" s="16">
        <f>X4</f>
        <v/>
      </c>
      <c r="L5" s="13" t="inlineStr">
        <is>
          <t>2026-01-19</t>
        </is>
      </c>
      <c r="M5" s="13" t="inlineStr">
        <is>
          <t>2026-02-04</t>
        </is>
      </c>
      <c r="N5" s="13" t="inlineStr">
        <is>
          <t>2026-01-28</t>
        </is>
      </c>
      <c r="O5" s="9" t="n">
        <v>137</v>
      </c>
      <c r="P5" s="17" t="n">
        <v>4845.681640625</v>
      </c>
      <c r="Q5" s="17" t="n">
        <v>5731.55859375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Q2 2023-24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5.54%</t>
        </is>
      </c>
      <c r="J6" s="13" t="inlineStr">
        <is>
          <t>4.22%</t>
        </is>
      </c>
      <c r="K6" s="16">
        <f>X5</f>
        <v/>
      </c>
      <c r="L6" s="13" t="inlineStr">
        <is>
          <t>2026-03-23</t>
        </is>
      </c>
      <c r="M6" s="13" t="inlineStr">
        <is>
          <t>2026-04-06</t>
        </is>
      </c>
      <c r="N6" s="13" t="inlineStr">
        <is>
          <t>2026-03-26</t>
        </is>
      </c>
      <c r="O6" s="9" t="n">
        <v>2537</v>
      </c>
      <c r="P6" s="17" t="n">
        <v>294.9500122070312</v>
      </c>
      <c r="Q6" s="17" t="n">
        <v>311.2999877929688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Q2 2023-24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8.19%</t>
        </is>
      </c>
      <c r="J7" s="13" t="inlineStr">
        <is>
          <t>7.47%</t>
        </is>
      </c>
      <c r="K7" s="16">
        <f>X6</f>
        <v/>
      </c>
      <c r="L7" s="13" t="inlineStr">
        <is>
          <t>2026-01-22</t>
        </is>
      </c>
      <c r="M7" s="13" t="inlineStr">
        <is>
          <t>2026-01-27</t>
        </is>
      </c>
      <c r="N7" s="13" t="inlineStr">
        <is>
          <t>2026-01-22</t>
        </is>
      </c>
      <c r="O7" s="9" t="n">
        <v>602</v>
      </c>
      <c r="P7" s="17" t="n">
        <v>849.0999755859375</v>
      </c>
      <c r="Q7" s="17" t="n">
        <v>924.7999877929688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Q2 2023-24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1.39%</t>
        </is>
      </c>
      <c r="J8" s="13" t="inlineStr">
        <is>
          <t>0.77%</t>
        </is>
      </c>
      <c r="K8" s="16">
        <f>X7</f>
        <v/>
      </c>
      <c r="L8" s="13" t="inlineStr">
        <is>
          <t>2023-11-02</t>
        </is>
      </c>
      <c r="M8" s="13" t="inlineStr">
        <is>
          <t>2023-11-06</t>
        </is>
      </c>
      <c r="N8" s="13" t="inlineStr">
        <is>
          <t>2023-11-03</t>
        </is>
      </c>
      <c r="O8" s="9" t="n">
        <v>300</v>
      </c>
      <c r="P8" s="17" t="n">
        <v>2212.347900390625</v>
      </c>
      <c r="Q8" s="17" t="n">
        <v>2243.0068359375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Q2 2023-24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10.57%</t>
        </is>
      </c>
      <c r="J9" s="13" t="inlineStr">
        <is>
          <t>9.14%</t>
        </is>
      </c>
      <c r="K9" s="16">
        <f>X8</f>
        <v/>
      </c>
      <c r="L9" s="13" t="inlineStr">
        <is>
          <t>2025-10-24</t>
        </is>
      </c>
      <c r="M9" s="13" t="inlineStr">
        <is>
          <t>2025-10-30</t>
        </is>
      </c>
      <c r="N9" s="13" t="inlineStr">
        <is>
          <t>2025-10-28</t>
        </is>
      </c>
      <c r="O9" s="9" t="n">
        <v>500</v>
      </c>
      <c r="P9" s="17" t="n">
        <v>1031.099975585938</v>
      </c>
      <c r="Q9" s="17" t="n">
        <v>1140.099975585938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Q2 2023-24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5.32%</t>
        </is>
      </c>
      <c r="J10" s="13" t="inlineStr">
        <is>
          <t>4.66%</t>
        </is>
      </c>
      <c r="K10" s="16">
        <f>X9</f>
        <v/>
      </c>
      <c r="L10" s="13" t="inlineStr">
        <is>
          <t>2023-11-01</t>
        </is>
      </c>
      <c r="M10" s="13" t="inlineStr">
        <is>
          <t>2023-11-17</t>
        </is>
      </c>
      <c r="N10" s="13" t="inlineStr">
        <is>
          <t>2023-11-09</t>
        </is>
      </c>
      <c r="O10" s="9" t="n">
        <v>625</v>
      </c>
      <c r="P10" s="17" t="n">
        <v>758.9081420898438</v>
      </c>
      <c r="Q10" s="17" t="n">
        <v>799.3154296875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Q2 2023-24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-4.62%</t>
        </is>
      </c>
      <c r="J11" s="13" t="inlineStr">
        <is>
          <t>-4.78%</t>
        </is>
      </c>
      <c r="K11" s="16">
        <f>X10</f>
        <v/>
      </c>
      <c r="L11" s="13" t="inlineStr">
        <is>
          <t>2025-12-26</t>
        </is>
      </c>
      <c r="M11" s="13" t="inlineStr">
        <is>
          <t>2026-01-01</t>
        </is>
      </c>
      <c r="N11" s="13" t="inlineStr">
        <is>
          <t>2025-12-30</t>
        </is>
      </c>
      <c r="O11" s="9" t="n">
        <v>4785</v>
      </c>
      <c r="P11" s="17" t="n">
        <v>148.7599945068359</v>
      </c>
      <c r="Q11" s="17" t="n">
        <v>142.1900024414062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Q2 2023-24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-6.95%</t>
        </is>
      </c>
      <c r="J12" s="13" t="inlineStr">
        <is>
          <t>-7.26%</t>
        </is>
      </c>
      <c r="K12" s="16">
        <f>X11</f>
        <v/>
      </c>
      <c r="L12" s="13" t="inlineStr">
        <is>
          <t>2026-02-11</t>
        </is>
      </c>
      <c r="M12" s="13" t="inlineStr">
        <is>
          <t>2026-02-16</t>
        </is>
      </c>
      <c r="N12" s="13" t="inlineStr">
        <is>
          <t>2026-02-13</t>
        </is>
      </c>
      <c r="O12" s="9" t="n">
        <v>171</v>
      </c>
      <c r="P12" s="17" t="n">
        <v>5842.8974609375</v>
      </c>
      <c r="Q12" s="17" t="n">
        <v>5436.67236328125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Q2 2023-24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-1.83%</t>
        </is>
      </c>
      <c r="J13" s="13" t="inlineStr">
        <is>
          <t>-0.79%</t>
        </is>
      </c>
      <c r="K13" s="16">
        <f>X12</f>
        <v/>
      </c>
      <c r="L13" s="13" t="inlineStr">
        <is>
          <t>2026-06-05</t>
        </is>
      </c>
      <c r="M13" s="13" t="inlineStr">
        <is>
          <t>2026-06-18</t>
        </is>
      </c>
      <c r="N13" s="13" t="inlineStr">
        <is>
          <t>2026-06-11</t>
        </is>
      </c>
      <c r="O13" s="9" t="n">
        <v>135</v>
      </c>
      <c r="P13" s="17" t="n">
        <v>7965.5</v>
      </c>
      <c r="Q13" s="17" t="n">
        <v>7822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Q2 2023-24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11.75%</t>
        </is>
      </c>
      <c r="J14" s="13" t="inlineStr">
        <is>
          <t>11.5%</t>
        </is>
      </c>
      <c r="K14" s="16">
        <f>X13</f>
        <v/>
      </c>
      <c r="L14" s="13" t="inlineStr">
        <is>
          <t>2026-02-19</t>
        </is>
      </c>
      <c r="M14" s="13" t="inlineStr">
        <is>
          <t>2026-03-09</t>
        </is>
      </c>
      <c r="N14" s="13" t="inlineStr">
        <is>
          <t>2026-03-02</t>
        </is>
      </c>
      <c r="O14" s="9" t="n">
        <v>2303</v>
      </c>
      <c r="P14" s="17" t="n">
        <v>449.7239379882813</v>
      </c>
      <c r="Q14" s="17" t="n">
        <v>509.62744140625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Q2 2023-24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1.59%</t>
        </is>
      </c>
      <c r="J15" s="13" t="inlineStr">
        <is>
          <t>-3.32%</t>
        </is>
      </c>
      <c r="K15" s="16">
        <f>X14</f>
        <v/>
      </c>
      <c r="L15" s="13" t="inlineStr">
        <is>
          <t>2026-01-15</t>
        </is>
      </c>
      <c r="M15" s="13" t="inlineStr">
        <is>
          <t>2026-01-27</t>
        </is>
      </c>
      <c r="N15" s="13" t="inlineStr">
        <is>
          <t>2026-01-19</t>
        </is>
      </c>
      <c r="O15" s="9" t="n">
        <v>3428</v>
      </c>
      <c r="P15" s="17" t="n">
        <v>247.757339477539</v>
      </c>
      <c r="Q15" s="17" t="n">
        <v>251.6900787353516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Q2 2023-24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4.92%</t>
        </is>
      </c>
      <c r="J16" s="13" t="inlineStr">
        <is>
          <t>3.92%</t>
        </is>
      </c>
      <c r="K16" s="16">
        <f>X15</f>
        <v/>
      </c>
      <c r="L16" s="13" t="inlineStr">
        <is>
          <t>2025-05-08</t>
        </is>
      </c>
      <c r="M16" s="13" t="inlineStr">
        <is>
          <t>2025-05-14</t>
        </is>
      </c>
      <c r="N16" s="13" t="inlineStr">
        <is>
          <t>2025-05-12</t>
        </is>
      </c>
      <c r="O16" s="9" t="n">
        <v>528</v>
      </c>
      <c r="P16" s="17" t="n">
        <v>1657.514892578125</v>
      </c>
      <c r="Q16" s="17" t="n">
        <v>1739.0302734375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Q2 2023-24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3.42%</t>
        </is>
      </c>
      <c r="J17" s="13" t="inlineStr">
        <is>
          <t>0.79%</t>
        </is>
      </c>
      <c r="K17" s="16">
        <f>X16</f>
        <v/>
      </c>
      <c r="L17" s="13" t="inlineStr">
        <is>
          <t>2023-11-09</t>
        </is>
      </c>
      <c r="M17" s="13" t="inlineStr">
        <is>
          <t>2023-11-17</t>
        </is>
      </c>
      <c r="N17" s="13" t="inlineStr">
        <is>
          <t>2023-11-10</t>
        </is>
      </c>
      <c r="O17" s="9" t="n">
        <v>125</v>
      </c>
      <c r="P17" s="17" t="n">
        <v>5263.50439453125</v>
      </c>
      <c r="Q17" s="17" t="n">
        <v>5443.68701171875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Q2 2023-24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-0.74%</t>
        </is>
      </c>
      <c r="J18" s="13" t="inlineStr">
        <is>
          <t>-5.22%</t>
        </is>
      </c>
      <c r="K18" s="16">
        <f>X17</f>
        <v/>
      </c>
      <c r="L18" s="13" t="inlineStr">
        <is>
          <t>2023-07-24</t>
        </is>
      </c>
      <c r="M18" s="13" t="inlineStr">
        <is>
          <t>2023-07-26</t>
        </is>
      </c>
      <c r="N18" s="13" t="inlineStr">
        <is>
          <t>2023-07-25</t>
        </is>
      </c>
      <c r="O18" s="9" t="n">
        <v>5000</v>
      </c>
      <c r="P18" s="17" t="n">
        <v>84.31496429443359</v>
      </c>
      <c r="Q18" s="17" t="n">
        <v>83.69109344482422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Q2 2023-24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4.34%</t>
        </is>
      </c>
      <c r="J19" s="13" t="inlineStr">
        <is>
          <t>4.5%</t>
        </is>
      </c>
      <c r="K19" s="16">
        <f>X18</f>
        <v/>
      </c>
      <c r="L19" s="13" t="inlineStr">
        <is>
          <t>2023-10-19</t>
        </is>
      </c>
      <c r="M19" s="13" t="inlineStr">
        <is>
          <t>2023-10-30</t>
        </is>
      </c>
      <c r="N19" s="13" t="inlineStr">
        <is>
          <t>2023-10-26</t>
        </is>
      </c>
      <c r="O19" s="9" t="n">
        <v>200</v>
      </c>
      <c r="P19" s="17" t="n">
        <v>2872.3125</v>
      </c>
      <c r="Q19" s="17" t="n">
        <v>3002.709228515625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Q2 2023-24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6.67%</t>
        </is>
      </c>
      <c r="J20" s="13" t="inlineStr">
        <is>
          <t>8.13%</t>
        </is>
      </c>
      <c r="K20" s="16">
        <f>X19</f>
        <v/>
      </c>
      <c r="L20" s="13" t="inlineStr">
        <is>
          <t>2023-07-13</t>
        </is>
      </c>
      <c r="M20" s="13" t="inlineStr">
        <is>
          <t>2023-07-31</t>
        </is>
      </c>
      <c r="N20" s="13" t="inlineStr">
        <is>
          <t>2023-07-25</t>
        </is>
      </c>
      <c r="O20" s="9" t="n">
        <v>679</v>
      </c>
      <c r="P20" s="17" t="n">
        <v>1833.739135742188</v>
      </c>
      <c r="Q20" s="17" t="n">
        <v>1956.111083984375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Q2 2023-24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2023-07-25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Q2 2023-24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3.58%</t>
        </is>
      </c>
      <c r="J22" s="13" t="inlineStr">
        <is>
          <t>-4.62%</t>
        </is>
      </c>
      <c r="K22" s="16">
        <f>X21</f>
        <v/>
      </c>
      <c r="L22" s="13" t="inlineStr">
        <is>
          <t>2023-07-13</t>
        </is>
      </c>
      <c r="M22" s="13" t="inlineStr">
        <is>
          <t>2023-07-26</t>
        </is>
      </c>
      <c r="N22" s="13" t="inlineStr">
        <is>
          <t>2023-07-25</t>
        </is>
      </c>
      <c r="O22" s="9" t="n">
        <v>970</v>
      </c>
      <c r="P22" s="17" t="n">
        <v>729.944091796875</v>
      </c>
      <c r="Q22" s="17" t="n">
        <v>757.0677490234375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Q2 2023-24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5.11%</t>
        </is>
      </c>
      <c r="J23" s="13" t="inlineStr">
        <is>
          <t>4.81%</t>
        </is>
      </c>
      <c r="K23" s="16">
        <f>X22</f>
        <v/>
      </c>
      <c r="L23" s="13" t="inlineStr">
        <is>
          <t>2023-07-19</t>
        </is>
      </c>
      <c r="M23" s="13" t="inlineStr">
        <is>
          <t>2023-07-26</t>
        </is>
      </c>
      <c r="N23" s="13" t="inlineStr">
        <is>
          <t>2023-07-25</t>
        </is>
      </c>
      <c r="O23" s="9" t="n">
        <v>634</v>
      </c>
      <c r="P23" s="17" t="n">
        <v>744.9874877929688</v>
      </c>
      <c r="Q23" s="17" t="n">
        <v>783.0254516601562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Q2 2023-24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2.88%</t>
        </is>
      </c>
      <c r="J24" s="13" t="inlineStr">
        <is>
          <t>1.55%</t>
        </is>
      </c>
      <c r="K24" s="16">
        <f>X23</f>
        <v/>
      </c>
      <c r="L24" s="13" t="inlineStr">
        <is>
          <t>2023-10-25</t>
        </is>
      </c>
      <c r="M24" s="13" t="inlineStr">
        <is>
          <t>2023-11-02</t>
        </is>
      </c>
      <c r="N24" s="13" t="inlineStr">
        <is>
          <t>2023-10-26</t>
        </is>
      </c>
      <c r="O24" s="9" t="n">
        <v>625</v>
      </c>
      <c r="P24" s="17" t="n">
        <v>953.162841796875</v>
      </c>
      <c r="Q24" s="17" t="n">
        <v>980.5970458984376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Q2 2023-24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7.49%</t>
        </is>
      </c>
      <c r="J25" s="13" t="inlineStr">
        <is>
          <t>5.84%</t>
        </is>
      </c>
      <c r="K25" s="16">
        <f>X24</f>
        <v/>
      </c>
      <c r="L25" s="13" t="inlineStr">
        <is>
          <t>2023-10-12</t>
        </is>
      </c>
      <c r="M25" s="13" t="inlineStr">
        <is>
          <t>2023-10-20</t>
        </is>
      </c>
      <c r="N25" s="13" t="inlineStr">
        <is>
          <t>2023-10-18</t>
        </is>
      </c>
      <c r="O25" s="9" t="n">
        <v>125</v>
      </c>
      <c r="P25" s="17" t="n">
        <v>4871.66650390625</v>
      </c>
      <c r="Q25" s="17" t="n">
        <v>5236.76025390625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Q2 2023-24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0.2%</t>
        </is>
      </c>
      <c r="J26" s="13" t="inlineStr">
        <is>
          <t>-0.33%</t>
        </is>
      </c>
      <c r="K26" s="16">
        <f>X25</f>
        <v/>
      </c>
      <c r="L26" s="13" t="inlineStr">
        <is>
          <t>2023-10-27</t>
        </is>
      </c>
      <c r="M26" s="13" t="inlineStr">
        <is>
          <t>2023-10-31</t>
        </is>
      </c>
      <c r="N26" s="13" t="inlineStr">
        <is>
          <t>2023-10-28</t>
        </is>
      </c>
      <c r="O26" s="9" t="n">
        <v>500</v>
      </c>
      <c r="P26" s="17" t="n">
        <v>1563.316040039062</v>
      </c>
      <c r="Q26" s="17" t="n">
        <v>1566.4599609375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Q2 2023-24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2.51%</t>
        </is>
      </c>
      <c r="J27" s="13" t="inlineStr">
        <is>
          <t>-1.27%</t>
        </is>
      </c>
      <c r="K27" s="16">
        <f>X26</f>
        <v/>
      </c>
      <c r="L27" s="13" t="inlineStr">
        <is>
          <t>2023-07-18</t>
        </is>
      </c>
      <c r="M27" s="13" t="inlineStr">
        <is>
          <t>2023-07-31</t>
        </is>
      </c>
      <c r="N27" s="13" t="inlineStr">
        <is>
          <t>2023-07-25</t>
        </is>
      </c>
      <c r="O27" s="9" t="n">
        <v>100</v>
      </c>
      <c r="P27" s="17" t="n">
        <v>7049.21337890625</v>
      </c>
      <c r="Q27" s="17" t="n">
        <v>7226.14306640625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Q2 2023-24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-4.25%</t>
        </is>
      </c>
      <c r="J28" s="13" t="inlineStr">
        <is>
          <t>-6.31%</t>
        </is>
      </c>
      <c r="K28" s="16">
        <f>X27</f>
        <v/>
      </c>
      <c r="L28" s="13" t="inlineStr">
        <is>
          <t>2023-10-16</t>
        </is>
      </c>
      <c r="M28" s="13" t="inlineStr">
        <is>
          <t>2023-10-25</t>
        </is>
      </c>
      <c r="N28" s="13" t="inlineStr">
        <is>
          <t>2023-10-17</t>
        </is>
      </c>
      <c r="O28" s="9" t="n">
        <v>125</v>
      </c>
      <c r="P28" s="17" t="n">
        <v>789.8272094726562</v>
      </c>
      <c r="Q28" s="17" t="n">
        <v>756.2575073242188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Q2 2023-24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5.55%</t>
        </is>
      </c>
      <c r="J29" s="13" t="inlineStr">
        <is>
          <t>4.51%</t>
        </is>
      </c>
      <c r="K29" s="16">
        <f>X28</f>
        <v/>
      </c>
      <c r="L29" s="13" t="inlineStr">
        <is>
          <t>2023-07-20</t>
        </is>
      </c>
      <c r="M29" s="13" t="inlineStr">
        <is>
          <t>2023-07-31</t>
        </is>
      </c>
      <c r="N29" s="13" t="inlineStr">
        <is>
          <t>2023-07-25</t>
        </is>
      </c>
      <c r="O29" s="9" t="n">
        <v>6099</v>
      </c>
      <c r="P29" s="17" t="n">
        <v>204.9960327148437</v>
      </c>
      <c r="Q29" s="17" t="n">
        <v>216.3766174316407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Q2 2023-24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-2.15%</t>
        </is>
      </c>
      <c r="J30" s="13" t="inlineStr">
        <is>
          <t>-2.51%</t>
        </is>
      </c>
      <c r="K30" s="16">
        <f>X29</f>
        <v/>
      </c>
      <c r="L30" s="13" t="inlineStr">
        <is>
          <t>2023-07-18</t>
        </is>
      </c>
      <c r="M30" s="13" t="inlineStr">
        <is>
          <t>2023-07-31</t>
        </is>
      </c>
      <c r="N30" s="13" t="inlineStr">
        <is>
          <t>2023-07-25</t>
        </is>
      </c>
      <c r="O30" s="9" t="n">
        <v>4138</v>
      </c>
      <c r="P30" s="17" t="n">
        <v>184.197769165039</v>
      </c>
      <c r="Q30" s="17" t="n">
        <v>180.3261566162109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Q2 2023-24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-2.58%</t>
        </is>
      </c>
      <c r="J31" s="13" t="inlineStr">
        <is>
          <t>-5.55%</t>
        </is>
      </c>
      <c r="K31" s="16">
        <f>X30</f>
        <v/>
      </c>
      <c r="L31" s="13" t="inlineStr">
        <is>
          <t>2023-07-20</t>
        </is>
      </c>
      <c r="M31" s="13" t="inlineStr">
        <is>
          <t>2023-07-31</t>
        </is>
      </c>
      <c r="N31" s="13" t="inlineStr">
        <is>
          <t>2023-07-25</t>
        </is>
      </c>
      <c r="O31" s="9" t="n">
        <v>7287</v>
      </c>
      <c r="P31" s="17" t="n">
        <v>77.98078918457031</v>
      </c>
      <c r="Q31" s="17" t="n">
        <v>76.01641845703125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Q2 2023-24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1.27%</t>
        </is>
      </c>
      <c r="J32" s="13" t="inlineStr">
        <is>
          <t>6.21%</t>
        </is>
      </c>
      <c r="K32" s="16">
        <f>X31</f>
        <v/>
      </c>
      <c r="L32" s="13" t="inlineStr">
        <is>
          <t>2023-07-13</t>
        </is>
      </c>
      <c r="M32" s="13" t="inlineStr">
        <is>
          <t>2023-07-26</t>
        </is>
      </c>
      <c r="N32" s="13" t="inlineStr">
        <is>
          <t>2023-07-25</t>
        </is>
      </c>
      <c r="O32" s="9" t="n">
        <v>793</v>
      </c>
      <c r="P32" s="17" t="n">
        <v>590.7831420898438</v>
      </c>
      <c r="Q32" s="17" t="n">
        <v>598.3986206054688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Q2 2023-24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0.8%</t>
        </is>
      </c>
      <c r="J33" s="13" t="inlineStr">
        <is>
          <t>2.43%</t>
        </is>
      </c>
      <c r="K33" s="16">
        <f>X32</f>
        <v/>
      </c>
      <c r="L33" s="13" t="inlineStr">
        <is>
          <t>2023-10-18</t>
        </is>
      </c>
      <c r="M33" s="13" t="inlineStr">
        <is>
          <t>2023-11-03</t>
        </is>
      </c>
      <c r="N33" s="13" t="inlineStr">
        <is>
          <t>2023-10-28</t>
        </is>
      </c>
      <c r="O33" s="9" t="n">
        <v>2438</v>
      </c>
      <c r="P33" s="17" t="n">
        <v>132.9717102050781</v>
      </c>
      <c r="Q33" s="17" t="n">
        <v>134.0475921630859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Q2 2023-24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-1.07%</t>
        </is>
      </c>
      <c r="J34" s="13" t="inlineStr">
        <is>
          <t>-6.7%</t>
        </is>
      </c>
      <c r="K34" s="16">
        <f>X33</f>
        <v/>
      </c>
      <c r="L34" s="13" t="inlineStr">
        <is>
          <t>2023-07-14</t>
        </is>
      </c>
      <c r="M34" s="13" t="inlineStr">
        <is>
          <t>2023-07-26</t>
        </is>
      </c>
      <c r="N34" s="13" t="inlineStr">
        <is>
          <t>2023-07-25</t>
        </is>
      </c>
      <c r="O34" s="9" t="n">
        <v>461</v>
      </c>
      <c r="P34" s="17" t="n">
        <v>861.4844360351562</v>
      </c>
      <c r="Q34" s="17" t="n">
        <v>852.3924560546875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Q2 2023-24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-0.62%</t>
        </is>
      </c>
      <c r="J35" s="13" t="inlineStr">
        <is>
          <t>-2.12%</t>
        </is>
      </c>
      <c r="K35" s="16">
        <f>X34</f>
        <v/>
      </c>
      <c r="L35" s="13" t="inlineStr">
        <is>
          <t>2023-10-19</t>
        </is>
      </c>
      <c r="M35" s="13" t="inlineStr">
        <is>
          <t>2023-11-07</t>
        </is>
      </c>
      <c r="N35" s="13" t="inlineStr">
        <is>
          <t>2023-10-31</t>
        </is>
      </c>
      <c r="O35" s="9" t="n">
        <v>950</v>
      </c>
      <c r="P35" s="17" t="n">
        <v>929.949951171875</v>
      </c>
      <c r="Q35" s="17" t="n">
        <v>924.22998046875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Q2 2023-24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-9.58%</t>
        </is>
      </c>
      <c r="J36" s="13" t="inlineStr">
        <is>
          <t>-10.65%</t>
        </is>
      </c>
      <c r="K36" s="16">
        <f>X35</f>
        <v/>
      </c>
      <c r="L36" s="13" t="inlineStr">
        <is>
          <t>2023-07-19</t>
        </is>
      </c>
      <c r="M36" s="13" t="inlineStr">
        <is>
          <t>2023-07-31</t>
        </is>
      </c>
      <c r="N36" s="13" t="inlineStr">
        <is>
          <t>2023-07-25</t>
        </is>
      </c>
      <c r="O36" s="9" t="n">
        <v>2481</v>
      </c>
      <c r="P36" s="17" t="n">
        <v>102.9968109130859</v>
      </c>
      <c r="Q36" s="17" t="n">
        <v>93.98891448974609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Q2 2023-24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4.86%</t>
        </is>
      </c>
      <c r="J37" s="13" t="inlineStr">
        <is>
          <t>1.94%</t>
        </is>
      </c>
      <c r="K37" s="16">
        <f>X36</f>
        <v/>
      </c>
      <c r="L37" s="13" t="inlineStr">
        <is>
          <t>2023-07-14</t>
        </is>
      </c>
      <c r="M37" s="13" t="inlineStr">
        <is>
          <t>2023-07-26</t>
        </is>
      </c>
      <c r="N37" s="13" t="inlineStr">
        <is>
          <t>2023-07-25</t>
        </is>
      </c>
      <c r="O37" s="9" t="n">
        <v>2351</v>
      </c>
      <c r="P37" s="17" t="n">
        <v>248.4750061035156</v>
      </c>
      <c r="Q37" s="17" t="n">
        <v>261.1751708984375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Q2 2023-24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1.19%</t>
        </is>
      </c>
      <c r="J38" s="13" t="inlineStr">
        <is>
          <t>0.66%</t>
        </is>
      </c>
      <c r="K38" s="16">
        <f>X37</f>
        <v/>
      </c>
      <c r="L38" s="13" t="inlineStr">
        <is>
          <t>2023-07-13</t>
        </is>
      </c>
      <c r="M38" s="13" t="inlineStr">
        <is>
          <t>2023-07-26</t>
        </is>
      </c>
      <c r="N38" s="13" t="inlineStr">
        <is>
          <t>2023-07-25</t>
        </is>
      </c>
      <c r="O38" s="9" t="n">
        <v>591</v>
      </c>
      <c r="P38" s="17" t="n">
        <v>769.0469970703125</v>
      </c>
      <c r="Q38" s="17" t="n">
        <v>778.3385009765625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Q2 2023-24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-0.63%</t>
        </is>
      </c>
      <c r="J39" s="13" t="inlineStr">
        <is>
          <t>-0.24%</t>
        </is>
      </c>
      <c r="K39" s="16">
        <f>X38</f>
        <v/>
      </c>
      <c r="L39" s="13" t="inlineStr">
        <is>
          <t>2023-07-13</t>
        </is>
      </c>
      <c r="M39" s="13" t="inlineStr">
        <is>
          <t>2023-07-31</t>
        </is>
      </c>
      <c r="N39" s="13" t="inlineStr">
        <is>
          <t>2023-07-25</t>
        </is>
      </c>
      <c r="O39" s="9" t="n">
        <v>100</v>
      </c>
      <c r="P39" s="17" t="n">
        <v>18491.515625</v>
      </c>
      <c r="Q39" s="17" t="n">
        <v>18375.2734375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Q2 2023-24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-6.84%</t>
        </is>
      </c>
      <c r="J40" s="13" t="inlineStr">
        <is>
          <t>-5.71%</t>
        </is>
      </c>
      <c r="K40" s="16">
        <f>X39</f>
        <v/>
      </c>
      <c r="L40" s="13" t="inlineStr">
        <is>
          <t>2023-10-23</t>
        </is>
      </c>
      <c r="M40" s="13" t="inlineStr">
        <is>
          <t>2023-11-06</t>
        </is>
      </c>
      <c r="N40" s="13" t="inlineStr">
        <is>
          <t>2023-10-30</t>
        </is>
      </c>
      <c r="O40" s="9" t="n">
        <v>1800</v>
      </c>
      <c r="P40" s="17" t="n">
        <v>155.9528350830078</v>
      </c>
      <c r="Q40" s="17" t="n">
        <v>145.9675750732422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Q2 2023-24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2.13%</t>
        </is>
      </c>
      <c r="J41" s="13" t="inlineStr">
        <is>
          <t>1.53%</t>
        </is>
      </c>
      <c r="K41" s="16">
        <f>X40</f>
        <v/>
      </c>
      <c r="L41" s="13" t="inlineStr">
        <is>
          <t>2023-11-02</t>
        </is>
      </c>
      <c r="M41" s="13" t="inlineStr">
        <is>
          <t>2023-11-06</t>
        </is>
      </c>
      <c r="N41" s="13" t="inlineStr">
        <is>
          <t>2023-11-02</t>
        </is>
      </c>
      <c r="O41" s="9" t="n">
        <v>200</v>
      </c>
      <c r="P41" s="17" t="n">
        <v>4411.27001953125</v>
      </c>
      <c r="Q41" s="17" t="n">
        <v>4505.15185546875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Q2 2023-24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1.51%</t>
        </is>
      </c>
      <c r="J42" s="13" t="inlineStr">
        <is>
          <t>-1.55%</t>
        </is>
      </c>
      <c r="K42" s="16">
        <f>X41</f>
        <v/>
      </c>
      <c r="L42" s="13" t="inlineStr">
        <is>
          <t>2023-07-14</t>
        </is>
      </c>
      <c r="M42" s="13" t="inlineStr">
        <is>
          <t>2023-07-26</t>
        </is>
      </c>
      <c r="N42" s="13" t="inlineStr">
        <is>
          <t>2023-07-25</t>
        </is>
      </c>
      <c r="O42" s="9" t="n">
        <v>283</v>
      </c>
      <c r="P42" s="17" t="n">
        <v>246.0774688720703</v>
      </c>
      <c r="Q42" s="17" t="n">
        <v>249.7810668945312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Q2 2023-24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-1.49%</t>
        </is>
      </c>
      <c r="J43" s="13" t="inlineStr">
        <is>
          <t>-5.6%</t>
        </is>
      </c>
      <c r="K43" s="16">
        <f>X42</f>
        <v/>
      </c>
      <c r="L43" s="13" t="inlineStr">
        <is>
          <t>2023-07-21</t>
        </is>
      </c>
      <c r="M43" s="13" t="inlineStr">
        <is>
          <t>2023-07-26</t>
        </is>
      </c>
      <c r="N43" s="13" t="inlineStr">
        <is>
          <t>2023-07-25</t>
        </is>
      </c>
      <c r="O43" s="9" t="n">
        <v>1260</v>
      </c>
      <c r="P43" s="17" t="n">
        <v>441.2554626464844</v>
      </c>
      <c r="Q43" s="17" t="n">
        <v>434.7586975097656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Q2 2023-24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-5.43%</t>
        </is>
      </c>
      <c r="J44" s="13" t="inlineStr">
        <is>
          <t>-8.02%</t>
        </is>
      </c>
      <c r="K44" s="16">
        <f>X43</f>
        <v/>
      </c>
      <c r="L44" s="13" t="inlineStr">
        <is>
          <t>2023-07-14</t>
        </is>
      </c>
      <c r="M44" s="13" t="inlineStr">
        <is>
          <t>2023-07-31</t>
        </is>
      </c>
      <c r="N44" s="13" t="inlineStr">
        <is>
          <t>2023-07-25</t>
        </is>
      </c>
      <c r="O44" s="9" t="n">
        <v>8046</v>
      </c>
      <c r="P44" s="17" t="n">
        <v>62.66462326049805</v>
      </c>
      <c r="Q44" s="17" t="n">
        <v>59.43448638916016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Q2 2023-24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0.4%</t>
        </is>
      </c>
      <c r="J45" s="13" t="inlineStr">
        <is>
          <t>-2.5%</t>
        </is>
      </c>
      <c r="K45" s="16">
        <f>X44</f>
        <v/>
      </c>
      <c r="L45" s="13" t="inlineStr">
        <is>
          <t>2023-07-13</t>
        </is>
      </c>
      <c r="M45" s="13" t="inlineStr">
        <is>
          <t>2023-07-26</t>
        </is>
      </c>
      <c r="N45" s="13" t="inlineStr">
        <is>
          <t>2023-07-25</t>
        </is>
      </c>
      <c r="O45" s="9" t="n">
        <v>748</v>
      </c>
      <c r="P45" s="17" t="n">
        <v>570.61083984375</v>
      </c>
      <c r="Q45" s="17" t="n">
        <v>572.916015625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Q2 2023-24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-3.68%</t>
        </is>
      </c>
      <c r="J46" s="13" t="inlineStr">
        <is>
          <t>-2.81%</t>
        </is>
      </c>
      <c r="K46" s="16">
        <f>X45</f>
        <v/>
      </c>
      <c r="L46" s="13" t="inlineStr">
        <is>
          <t>2023-07-19</t>
        </is>
      </c>
      <c r="M46" s="13" t="inlineStr">
        <is>
          <t>2023-07-31</t>
        </is>
      </c>
      <c r="N46" s="13" t="inlineStr">
        <is>
          <t>2023-07-25</t>
        </is>
      </c>
      <c r="O46" s="9" t="n">
        <v>1201</v>
      </c>
      <c r="P46" s="17" t="n">
        <v>414.4475402832031</v>
      </c>
      <c r="Q46" s="17" t="n">
        <v>399.2060852050781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Q2 2023-24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0.27%</t>
        </is>
      </c>
      <c r="J47" s="13" t="inlineStr">
        <is>
          <t>1.33%</t>
        </is>
      </c>
      <c r="K47" s="16">
        <f>X46</f>
        <v/>
      </c>
      <c r="L47" s="13" t="inlineStr">
        <is>
          <t>2023-07-24</t>
        </is>
      </c>
      <c r="M47" s="13" t="inlineStr">
        <is>
          <t>2023-07-26</t>
        </is>
      </c>
      <c r="N47" s="13" t="inlineStr">
        <is>
          <t>2023-07-25</t>
        </is>
      </c>
      <c r="O47" s="9" t="n">
        <v>563</v>
      </c>
      <c r="P47" s="17" t="n">
        <v>1136.83544921875</v>
      </c>
      <c r="Q47" s="17" t="n">
        <v>1139.922607421875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Q2 2023-24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-4.22%</t>
        </is>
      </c>
      <c r="J48" s="13" t="inlineStr">
        <is>
          <t>-4.28%</t>
        </is>
      </c>
      <c r="K48" s="16">
        <f>X47</f>
        <v/>
      </c>
      <c r="L48" s="13" t="inlineStr">
        <is>
          <t>2023-10-25</t>
        </is>
      </c>
      <c r="M48" s="13" t="inlineStr">
        <is>
          <t>2023-11-03</t>
        </is>
      </c>
      <c r="N48" s="13" t="inlineStr">
        <is>
          <t>2023-10-28</t>
        </is>
      </c>
      <c r="O48" s="9" t="n">
        <v>650</v>
      </c>
      <c r="P48" s="17" t="n">
        <v>1172.563598632812</v>
      </c>
      <c r="Q48" s="17" t="n">
        <v>1125.033081054688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Q2 2023-24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11.17%</t>
        </is>
      </c>
      <c r="J49" s="13" t="inlineStr">
        <is>
          <t>10.21%</t>
        </is>
      </c>
      <c r="K49" s="16">
        <f>X48</f>
        <v/>
      </c>
      <c r="L49" s="13" t="inlineStr">
        <is>
          <t>2023-10-31</t>
        </is>
      </c>
      <c r="M49" s="13" t="inlineStr">
        <is>
          <t>2023-11-13</t>
        </is>
      </c>
      <c r="N49" s="13" t="inlineStr">
        <is>
          <t>2023-11-10</t>
        </is>
      </c>
      <c r="O49" s="9" t="n">
        <v>2100</v>
      </c>
      <c r="P49" s="17" t="n">
        <v>261.1684265136719</v>
      </c>
      <c r="Q49" s="17" t="n">
        <v>290.3394775390625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Q2 2023-24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-3.12%</t>
        </is>
      </c>
      <c r="J50" s="13" t="inlineStr">
        <is>
          <t>2.89%</t>
        </is>
      </c>
      <c r="K50" s="16">
        <f>X49</f>
        <v/>
      </c>
      <c r="L50" s="13" t="inlineStr">
        <is>
          <t>2023-07-18</t>
        </is>
      </c>
      <c r="M50" s="13" t="inlineStr">
        <is>
          <t>2023-07-26</t>
        </is>
      </c>
      <c r="N50" s="13" t="inlineStr">
        <is>
          <t>2023-07-25</t>
        </is>
      </c>
      <c r="O50" s="9" t="n">
        <v>713</v>
      </c>
      <c r="P50" s="17" t="n">
        <v>331.4241027832031</v>
      </c>
      <c r="Q50" s="17" t="n">
        <v>321.4001770019531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Q2 2023-24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-0.47%</t>
        </is>
      </c>
      <c r="J51" s="13" t="inlineStr">
        <is>
          <t>-2.06%</t>
        </is>
      </c>
      <c r="K51" s="16">
        <f>X50</f>
        <v/>
      </c>
      <c r="L51" s="13" t="inlineStr">
        <is>
          <t>2023-07-24</t>
        </is>
      </c>
      <c r="M51" s="13" t="inlineStr">
        <is>
          <t>2023-07-31</t>
        </is>
      </c>
      <c r="N51" s="13" t="inlineStr">
        <is>
          <t>2023-07-25</t>
        </is>
      </c>
      <c r="O51" s="9" t="n">
        <v>572</v>
      </c>
      <c r="P51" s="17" t="n">
        <v>915.2965698242188</v>
      </c>
      <c r="Q51" s="17" t="n">
        <v>911.0354614257812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Q2 2023-24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9.76%</t>
        </is>
      </c>
      <c r="J52" s="13" t="inlineStr">
        <is>
          <t>9.77%</t>
        </is>
      </c>
      <c r="K52" s="16">
        <f>X51</f>
        <v/>
      </c>
      <c r="L52" s="13" t="inlineStr">
        <is>
          <t>2023-07-18</t>
        </is>
      </c>
      <c r="M52" s="13" t="inlineStr">
        <is>
          <t>2023-07-31</t>
        </is>
      </c>
      <c r="N52" s="13" t="inlineStr">
        <is>
          <t>2023-07-25</t>
        </is>
      </c>
      <c r="O52" s="9" t="n">
        <v>479</v>
      </c>
      <c r="P52" s="17" t="n">
        <v>1724.046997070312</v>
      </c>
      <c r="Q52" s="17" t="n">
        <v>1892.2958984375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Q2 2023-24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-0.98%</t>
        </is>
      </c>
      <c r="J53" s="13" t="inlineStr">
        <is>
          <t>-4.05%</t>
        </is>
      </c>
      <c r="K53" s="16">
        <f>X52</f>
        <v/>
      </c>
      <c r="L53" s="13" t="inlineStr">
        <is>
          <t>2023-07-20</t>
        </is>
      </c>
      <c r="M53" s="13" t="inlineStr">
        <is>
          <t>2023-07-26</t>
        </is>
      </c>
      <c r="N53" s="13" t="inlineStr">
        <is>
          <t>2023-07-25</t>
        </is>
      </c>
      <c r="O53" s="9" t="n">
        <v>1904</v>
      </c>
      <c r="P53" s="17" t="n">
        <v>657.9736938476562</v>
      </c>
      <c r="Q53" s="17" t="n">
        <v>651.4963989257812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Q2 2023-24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0.68%</t>
        </is>
      </c>
      <c r="J54" s="13" t="inlineStr">
        <is>
          <t>2.49%</t>
        </is>
      </c>
      <c r="K54" s="16">
        <f>X53</f>
        <v/>
      </c>
      <c r="L54" s="13" t="inlineStr">
        <is>
          <t>2023-07-19</t>
        </is>
      </c>
      <c r="M54" s="13" t="inlineStr">
        <is>
          <t>2023-07-26</t>
        </is>
      </c>
      <c r="N54" s="13" t="inlineStr">
        <is>
          <t>2023-07-25</t>
        </is>
      </c>
      <c r="O54" s="9" t="n">
        <v>3841</v>
      </c>
      <c r="P54" s="17" t="n">
        <v>283.4430541992188</v>
      </c>
      <c r="Q54" s="17" t="n">
        <v>285.3880920410156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Q2 2023-24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-2.09%</t>
        </is>
      </c>
      <c r="J55" s="13" t="inlineStr">
        <is>
          <t>-2.88%</t>
        </is>
      </c>
      <c r="K55" s="16">
        <f>X54</f>
        <v/>
      </c>
      <c r="L55" s="13" t="inlineStr">
        <is>
          <t>2023-07-19</t>
        </is>
      </c>
      <c r="M55" s="13" t="inlineStr">
        <is>
          <t>2023-07-31</t>
        </is>
      </c>
      <c r="N55" s="13" t="inlineStr">
        <is>
          <t>2023-07-25</t>
        </is>
      </c>
      <c r="O55" s="9" t="n">
        <v>185</v>
      </c>
      <c r="P55" s="17" t="n">
        <v>1889.49755859375</v>
      </c>
      <c r="Q55" s="17" t="n">
        <v>1850.834228515625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Q2 2023-24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0.12%</t>
        </is>
      </c>
      <c r="J56" s="13" t="inlineStr">
        <is>
          <t>-1.38%</t>
        </is>
      </c>
      <c r="K56" s="16">
        <f>X55</f>
        <v/>
      </c>
      <c r="L56" s="13" t="inlineStr">
        <is>
          <t>2023-07-18</t>
        </is>
      </c>
      <c r="M56" s="13" t="inlineStr">
        <is>
          <t>2023-07-26</t>
        </is>
      </c>
      <c r="N56" s="13" t="inlineStr">
        <is>
          <t>2023-07-25</t>
        </is>
      </c>
      <c r="O56" s="9" t="n">
        <v>2346</v>
      </c>
      <c r="P56" s="17" t="n">
        <v>550.2886962890625</v>
      </c>
      <c r="Q56" s="17" t="n">
        <v>550.95263671875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Q2 2023-24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-0.3%</t>
        </is>
      </c>
      <c r="J57" s="13" t="inlineStr">
        <is>
          <t>-5.19%</t>
        </is>
      </c>
      <c r="K57" s="16">
        <f>X56</f>
        <v/>
      </c>
      <c r="L57" s="13" t="inlineStr">
        <is>
          <t>2023-07-21</t>
        </is>
      </c>
      <c r="M57" s="13" t="inlineStr">
        <is>
          <t>2023-07-26</t>
        </is>
      </c>
      <c r="N57" s="13" t="inlineStr">
        <is>
          <t>2023-07-25</t>
        </is>
      </c>
      <c r="O57" s="9" t="n">
        <v>2135</v>
      </c>
      <c r="P57" s="17" t="n">
        <v>407.2000122070313</v>
      </c>
      <c r="Q57" s="17" t="n">
        <v>406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Q2 2023-24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1.48%</t>
        </is>
      </c>
      <c r="J58" s="13" t="inlineStr">
        <is>
          <t>-3.19%</t>
        </is>
      </c>
      <c r="K58" s="16">
        <f>X57</f>
        <v/>
      </c>
      <c r="L58" s="13" t="inlineStr">
        <is>
          <t>2023-07-18</t>
        </is>
      </c>
      <c r="M58" s="13" t="inlineStr">
        <is>
          <t>2023-07-26</t>
        </is>
      </c>
      <c r="N58" s="13" t="inlineStr">
        <is>
          <t>2023-07-25</t>
        </is>
      </c>
      <c r="O58" s="9" t="n">
        <v>200</v>
      </c>
      <c r="P58" s="17" t="n">
        <v>3544.830322265625</v>
      </c>
      <c r="Q58" s="17" t="n">
        <v>3597.416748046875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Q2 2023-24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5.38%</t>
        </is>
      </c>
      <c r="J59" s="13" t="inlineStr">
        <is>
          <t>2.0%</t>
        </is>
      </c>
      <c r="K59" s="16">
        <f>X58</f>
        <v/>
      </c>
      <c r="L59" s="13" t="inlineStr">
        <is>
          <t>2023-07-14</t>
        </is>
      </c>
      <c r="M59" s="13" t="inlineStr">
        <is>
          <t>2023-07-26</t>
        </is>
      </c>
      <c r="N59" s="13" t="inlineStr">
        <is>
          <t>2023-07-25</t>
        </is>
      </c>
      <c r="O59" s="9" t="n">
        <v>100</v>
      </c>
      <c r="P59" s="17" t="n">
        <v>4081.395263671875</v>
      </c>
      <c r="Q59" s="17" t="n">
        <v>4313.615234375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Q2 2023-24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3.42%</t>
        </is>
      </c>
      <c r="J60" s="13" t="inlineStr">
        <is>
          <t>1.89%</t>
        </is>
      </c>
      <c r="K60" s="16">
        <f>X59</f>
        <v/>
      </c>
      <c r="L60" s="13" t="inlineStr">
        <is>
          <t>2023-07-20</t>
        </is>
      </c>
      <c r="M60" s="13" t="inlineStr">
        <is>
          <t>2023-07-26</t>
        </is>
      </c>
      <c r="N60" s="13" t="inlineStr">
        <is>
          <t>2023-07-25</t>
        </is>
      </c>
      <c r="O60" s="9" t="n">
        <v>1527</v>
      </c>
      <c r="P60" s="17" t="n">
        <v>471.6669006347656</v>
      </c>
      <c r="Q60" s="17" t="n">
        <v>488.3515014648438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Q2 2023-24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-1.01%</t>
        </is>
      </c>
      <c r="J61" s="13" t="inlineStr">
        <is>
          <t>-3.93%</t>
        </is>
      </c>
      <c r="K61" s="16">
        <f>X60</f>
        <v/>
      </c>
      <c r="L61" s="13" t="inlineStr">
        <is>
          <t>2023-07-21</t>
        </is>
      </c>
      <c r="M61" s="13" t="inlineStr">
        <is>
          <t>2023-07-26</t>
        </is>
      </c>
      <c r="N61" s="13" t="inlineStr">
        <is>
          <t>2023-07-25</t>
        </is>
      </c>
      <c r="O61" s="9" t="n">
        <v>258</v>
      </c>
      <c r="P61" s="17" t="n">
        <v>3712.64990234375</v>
      </c>
      <c r="Q61" s="17" t="n">
        <v>3675.699951171875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Q2 2023-24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3.58%</t>
        </is>
      </c>
      <c r="J62" s="13" t="inlineStr">
        <is>
          <t>2.85%</t>
        </is>
      </c>
      <c r="K62" s="16">
        <f>X61</f>
        <v/>
      </c>
      <c r="L62" s="13" t="inlineStr">
        <is>
          <t>2023-10-17</t>
        </is>
      </c>
      <c r="M62" s="13" t="inlineStr">
        <is>
          <t>2023-10-30</t>
        </is>
      </c>
      <c r="N62" s="13" t="inlineStr">
        <is>
          <t>2023-10-27</t>
        </is>
      </c>
      <c r="O62" s="9" t="n">
        <v>125</v>
      </c>
      <c r="P62" s="17" t="n">
        <v>1049.423461914062</v>
      </c>
      <c r="Q62" s="17" t="n">
        <v>1088.442993164062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Q2 2023-24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17.25%</t>
        </is>
      </c>
      <c r="J63" s="13" t="inlineStr">
        <is>
          <t>14.95%</t>
        </is>
      </c>
      <c r="K63" s="16">
        <f>X62</f>
        <v/>
      </c>
      <c r="L63" s="13" t="inlineStr">
        <is>
          <t>2023-11-01</t>
        </is>
      </c>
      <c r="M63" s="13" t="inlineStr">
        <is>
          <t>2023-11-15</t>
        </is>
      </c>
      <c r="N63" s="13" t="inlineStr">
        <is>
          <t>2023-11-11</t>
        </is>
      </c>
      <c r="O63" s="9" t="n">
        <v>175</v>
      </c>
      <c r="P63" s="17" t="n">
        <v>3204.72705078125</v>
      </c>
      <c r="Q63" s="17" t="n">
        <v>3757.407470703125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Q2 2023-24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2.74%</t>
        </is>
      </c>
      <c r="J64" s="13" t="inlineStr">
        <is>
          <t>-3.09%</t>
        </is>
      </c>
      <c r="K64" s="16">
        <f>X63</f>
        <v/>
      </c>
      <c r="L64" s="13" t="inlineStr">
        <is>
          <t>2021-08-06</t>
        </is>
      </c>
      <c r="M64" s="13" t="inlineStr">
        <is>
          <t>2021-08-16</t>
        </is>
      </c>
      <c r="N64" s="13" t="inlineStr">
        <is>
          <t>2021-08-10</t>
        </is>
      </c>
      <c r="O64" s="9" t="n">
        <v>3399</v>
      </c>
      <c r="P64" s="17" t="n">
        <v>131.3500061035156</v>
      </c>
      <c r="Q64" s="17" t="n">
        <v>134.9499969482422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Q2 2023-24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-2.16%</t>
        </is>
      </c>
      <c r="J65" s="13" t="inlineStr">
        <is>
          <t>-4.14%</t>
        </is>
      </c>
      <c r="K65" s="16">
        <f>X64</f>
        <v/>
      </c>
      <c r="L65" s="13" t="inlineStr">
        <is>
          <t>2023-07-20</t>
        </is>
      </c>
      <c r="M65" s="13" t="inlineStr">
        <is>
          <t>2023-07-26</t>
        </is>
      </c>
      <c r="N65" s="13" t="inlineStr">
        <is>
          <t>2023-07-25</t>
        </is>
      </c>
      <c r="O65" s="9" t="n">
        <v>2823</v>
      </c>
      <c r="P65" s="17" t="n">
        <v>134.2160949707031</v>
      </c>
      <c r="Q65" s="17" t="n">
        <v>131.3228607177734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Q2 2023-24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-5.72%</t>
        </is>
      </c>
      <c r="J66" s="13" t="inlineStr">
        <is>
          <t>-8.13%</t>
        </is>
      </c>
      <c r="K66" s="16">
        <f>X65</f>
        <v/>
      </c>
      <c r="L66" s="13" t="inlineStr">
        <is>
          <t>2024-07-29</t>
        </is>
      </c>
      <c r="M66" s="13" t="inlineStr">
        <is>
          <t>2024-08-06</t>
        </is>
      </c>
      <c r="N66" s="13" t="inlineStr">
        <is>
          <t>2024-07-30</t>
        </is>
      </c>
      <c r="O66" s="9" t="n">
        <v>100</v>
      </c>
      <c r="P66" s="17" t="n">
        <v>8723.7255859375</v>
      </c>
      <c r="Q66" s="17" t="n">
        <v>8224.5234375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Q2 2023-24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6.23%</t>
        </is>
      </c>
      <c r="J67" s="13" t="inlineStr">
        <is>
          <t>5.68%</t>
        </is>
      </c>
      <c r="K67" s="16">
        <f>X66</f>
        <v/>
      </c>
      <c r="L67" s="13" t="inlineStr">
        <is>
          <t>2023-07-18</t>
        </is>
      </c>
      <c r="M67" s="13" t="inlineStr">
        <is>
          <t>2023-07-31</t>
        </is>
      </c>
      <c r="N67" s="13" t="inlineStr">
        <is>
          <t>2023-07-25</t>
        </is>
      </c>
      <c r="O67" s="9" t="n">
        <v>1053</v>
      </c>
      <c r="P67" s="17" t="n">
        <v>324.1617126464844</v>
      </c>
      <c r="Q67" s="17" t="n">
        <v>344.3671264648437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Q2 2023-24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6.82%</t>
        </is>
      </c>
      <c r="J68" s="13" t="inlineStr">
        <is>
          <t>4.36%</t>
        </is>
      </c>
      <c r="K68" s="16">
        <f>X67</f>
        <v/>
      </c>
      <c r="L68" s="13" t="inlineStr">
        <is>
          <t>2023-07-21</t>
        </is>
      </c>
      <c r="M68" s="13" t="inlineStr">
        <is>
          <t>2023-07-31</t>
        </is>
      </c>
      <c r="N68" s="13" t="inlineStr">
        <is>
          <t>2023-07-25</t>
        </is>
      </c>
      <c r="O68" s="9" t="n">
        <v>5759</v>
      </c>
      <c r="P68" s="17" t="n">
        <v>100.4552230834961</v>
      </c>
      <c r="Q68" s="17" t="n">
        <v>107.3023834228516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Q2 2023-24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4.61%</t>
        </is>
      </c>
      <c r="J69" s="13" t="inlineStr">
        <is>
          <t>0.25%</t>
        </is>
      </c>
      <c r="K69" s="16">
        <f>X68</f>
        <v/>
      </c>
      <c r="L69" s="13" t="inlineStr">
        <is>
          <t>2023-07-21</t>
        </is>
      </c>
      <c r="M69" s="13" t="inlineStr">
        <is>
          <t>2023-07-31</t>
        </is>
      </c>
      <c r="N69" s="13" t="inlineStr">
        <is>
          <t>2023-07-25</t>
        </is>
      </c>
      <c r="O69" s="9" t="n">
        <v>456</v>
      </c>
      <c r="P69" s="17" t="n">
        <v>748.0428466796875</v>
      </c>
      <c r="Q69" s="17" t="n">
        <v>782.5074462890625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Q2 2023-24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-16.63%</t>
        </is>
      </c>
      <c r="J70" s="13" t="inlineStr">
        <is>
          <t>-15.4%</t>
        </is>
      </c>
      <c r="K70" s="16">
        <f>X69</f>
        <v/>
      </c>
      <c r="L70" s="13" t="inlineStr">
        <is>
          <t>2023-07-21</t>
        </is>
      </c>
      <c r="M70" s="13" t="inlineStr">
        <is>
          <t>2023-07-31</t>
        </is>
      </c>
      <c r="N70" s="13" t="inlineStr">
        <is>
          <t>2023-07-25</t>
        </is>
      </c>
      <c r="O70" s="9" t="n">
        <v>9623</v>
      </c>
      <c r="P70" s="17" t="n">
        <v>51.54999923706055</v>
      </c>
      <c r="Q70" s="17" t="n">
        <v>44.20000076293945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Q2 2023-24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31.15%</t>
        </is>
      </c>
      <c r="J71" s="13" t="inlineStr">
        <is>
          <t>27.97%</t>
        </is>
      </c>
      <c r="K71" s="16">
        <f>X70</f>
        <v/>
      </c>
      <c r="L71" s="13" t="inlineStr">
        <is>
          <t>2023-07-20</t>
        </is>
      </c>
      <c r="M71" s="13" t="inlineStr">
        <is>
          <t>2023-07-31</t>
        </is>
      </c>
      <c r="N71" s="13" t="inlineStr">
        <is>
          <t>2023-07-25</t>
        </is>
      </c>
      <c r="O71" s="9" t="n">
        <v>469</v>
      </c>
      <c r="P71" s="17" t="n">
        <v>522.3894653320312</v>
      </c>
      <c r="Q71" s="17" t="n">
        <v>685.1345825195312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Q2 2023-24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-0.33%</t>
        </is>
      </c>
      <c r="J72" s="13" t="inlineStr">
        <is>
          <t>-2.98%</t>
        </is>
      </c>
      <c r="K72" s="16">
        <f>X71</f>
        <v/>
      </c>
      <c r="L72" s="13" t="inlineStr">
        <is>
          <t>2023-07-18</t>
        </is>
      </c>
      <c r="M72" s="13" t="inlineStr">
        <is>
          <t>2023-07-26</t>
        </is>
      </c>
      <c r="N72" s="13" t="inlineStr">
        <is>
          <t>2023-07-25</t>
        </is>
      </c>
      <c r="O72" s="9" t="n">
        <v>932</v>
      </c>
      <c r="P72" s="17" t="n">
        <v>995.2310791015624</v>
      </c>
      <c r="Q72" s="17" t="n">
        <v>991.9833984375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Q2 2023-24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-0.31%</t>
        </is>
      </c>
      <c r="J73" s="13" t="inlineStr">
        <is>
          <t>2.01%</t>
        </is>
      </c>
      <c r="K73" s="16">
        <f>X72</f>
        <v/>
      </c>
      <c r="L73" s="13" t="inlineStr">
        <is>
          <t>2023-07-14</t>
        </is>
      </c>
      <c r="M73" s="13" t="inlineStr">
        <is>
          <t>2023-07-26</t>
        </is>
      </c>
      <c r="N73" s="13" t="inlineStr">
        <is>
          <t>2023-07-25</t>
        </is>
      </c>
      <c r="O73" s="9" t="n">
        <v>473</v>
      </c>
      <c r="P73" s="17" t="n">
        <v>1663.260375976562</v>
      </c>
      <c r="Q73" s="17" t="n">
        <v>1658.085327148438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Q2 2023-24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-2.64%</t>
        </is>
      </c>
      <c r="J74" s="13" t="inlineStr">
        <is>
          <t>-2.6%</t>
        </is>
      </c>
      <c r="K74" s="16">
        <f>X73</f>
        <v/>
      </c>
      <c r="L74" s="13" t="inlineStr">
        <is>
          <t>2023-11-07</t>
        </is>
      </c>
      <c r="M74" s="13" t="inlineStr">
        <is>
          <t>2023-11-20</t>
        </is>
      </c>
      <c r="N74" s="13" t="inlineStr">
        <is>
          <t>2023-11-13</t>
        </is>
      </c>
      <c r="O74" s="9" t="n">
        <v>250</v>
      </c>
      <c r="P74" s="17" t="n">
        <v>1949.875244140625</v>
      </c>
      <c r="Q74" s="17" t="n">
        <v>1899.702270507812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Q2 2023-24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-0.63%</t>
        </is>
      </c>
      <c r="J75" s="13" t="inlineStr">
        <is>
          <t>-6.74%</t>
        </is>
      </c>
      <c r="K75" s="16">
        <f>X74</f>
        <v/>
      </c>
      <c r="L75" s="13" t="inlineStr">
        <is>
          <t>2023-07-20</t>
        </is>
      </c>
      <c r="M75" s="13" t="inlineStr">
        <is>
          <t>2023-07-31</t>
        </is>
      </c>
      <c r="N75" s="13" t="inlineStr">
        <is>
          <t>2023-07-25</t>
        </is>
      </c>
      <c r="O75" s="9" t="n">
        <v>237</v>
      </c>
      <c r="P75" s="17" t="n">
        <v>254.2306060791016</v>
      </c>
      <c r="Q75" s="17" t="n">
        <v>252.6354370117188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Q2 2023-24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2.61%</t>
        </is>
      </c>
      <c r="J76" s="13" t="inlineStr">
        <is>
          <t>-0.64%</t>
        </is>
      </c>
      <c r="K76" s="16">
        <f>X75</f>
        <v/>
      </c>
      <c r="L76" s="13" t="inlineStr">
        <is>
          <t>2023-07-19</t>
        </is>
      </c>
      <c r="M76" s="13" t="inlineStr">
        <is>
          <t>2023-07-31</t>
        </is>
      </c>
      <c r="N76" s="13" t="inlineStr">
        <is>
          <t>2023-07-25</t>
        </is>
      </c>
      <c r="O76" s="9" t="n">
        <v>218</v>
      </c>
      <c r="P76" s="17" t="n">
        <v>1868.45849609375</v>
      </c>
      <c r="Q76" s="17" t="n">
        <v>1917.143432617188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Q2 2023-24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0.03%</t>
        </is>
      </c>
      <c r="J77" s="13" t="inlineStr">
        <is>
          <t>-4.52%</t>
        </is>
      </c>
      <c r="K77" s="16">
        <f>X76</f>
        <v/>
      </c>
      <c r="L77" s="13" t="inlineStr">
        <is>
          <t>2023-07-18</t>
        </is>
      </c>
      <c r="M77" s="13" t="inlineStr">
        <is>
          <t>2023-07-31</t>
        </is>
      </c>
      <c r="N77" s="13" t="inlineStr">
        <is>
          <t>2023-07-25</t>
        </is>
      </c>
      <c r="O77" s="9" t="n">
        <v>792</v>
      </c>
      <c r="P77" s="17" t="n">
        <v>1307.693237304688</v>
      </c>
      <c r="Q77" s="17" t="n">
        <v>1308.036499023438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Q2 2023-24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1.42%</t>
        </is>
      </c>
      <c r="J78" s="13" t="inlineStr">
        <is>
          <t>1.08%</t>
        </is>
      </c>
      <c r="K78" s="16">
        <f>X77</f>
        <v/>
      </c>
      <c r="L78" s="13" t="inlineStr">
        <is>
          <t>2023-10-09</t>
        </is>
      </c>
      <c r="M78" s="13" t="inlineStr">
        <is>
          <t>2023-10-19</t>
        </is>
      </c>
      <c r="N78" s="13" t="inlineStr">
        <is>
          <t>2023-10-12</t>
        </is>
      </c>
      <c r="O78" s="9" t="n">
        <v>350</v>
      </c>
      <c r="P78" s="17" t="n">
        <v>1121.4462890625</v>
      </c>
      <c r="Q78" s="17" t="n">
        <v>1137.375732421875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Q2 2023-24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-3.25%</t>
        </is>
      </c>
      <c r="J79" s="13" t="inlineStr">
        <is>
          <t>-0.96%</t>
        </is>
      </c>
      <c r="K79" s="16">
        <f>X78</f>
        <v/>
      </c>
      <c r="L79" s="13" t="inlineStr">
        <is>
          <t>2023-07-19</t>
        </is>
      </c>
      <c r="M79" s="13" t="inlineStr">
        <is>
          <t>2023-07-26</t>
        </is>
      </c>
      <c r="N79" s="13" t="inlineStr">
        <is>
          <t>2023-07-25</t>
        </is>
      </c>
      <c r="O79" s="9" t="n">
        <v>392</v>
      </c>
      <c r="P79" s="17" t="n">
        <v>1173.2861328125</v>
      </c>
      <c r="Q79" s="17" t="n">
        <v>1136.406372070312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Q2 2023-24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-1.3%</t>
        </is>
      </c>
      <c r="J80" s="13" t="inlineStr">
        <is>
          <t>-1.54%</t>
        </is>
      </c>
      <c r="K80" s="16">
        <f>X79</f>
        <v/>
      </c>
      <c r="L80" s="13" t="inlineStr">
        <is>
          <t>2023-10-09</t>
        </is>
      </c>
      <c r="M80" s="13" t="inlineStr">
        <is>
          <t>2023-10-25</t>
        </is>
      </c>
      <c r="N80" s="13" t="inlineStr">
        <is>
          <t>2023-10-17</t>
        </is>
      </c>
      <c r="O80" s="9" t="n">
        <v>550</v>
      </c>
      <c r="P80" s="17" t="n">
        <v>725.9307861328125</v>
      </c>
      <c r="Q80" s="17" t="n">
        <v>716.4751586914062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Q2 2023-24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4.4%</t>
        </is>
      </c>
      <c r="J81" s="13" t="inlineStr">
        <is>
          <t>3.69%</t>
        </is>
      </c>
      <c r="K81" s="16">
        <f>X80</f>
        <v/>
      </c>
      <c r="L81" s="13" t="inlineStr">
        <is>
          <t>2021-07-15</t>
        </is>
      </c>
      <c r="M81" s="13" t="inlineStr">
        <is>
          <t>2021-07-26</t>
        </is>
      </c>
      <c r="N81" s="13" t="inlineStr">
        <is>
          <t>2021-07-19</t>
        </is>
      </c>
      <c r="O81" s="9" t="n">
        <v>1100</v>
      </c>
      <c r="P81" s="17" t="n">
        <v>652.704833984375</v>
      </c>
      <c r="Q81" s="17" t="n">
        <v>682.7760009765625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Q2 2023-24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2.77%</t>
        </is>
      </c>
      <c r="J82" s="13" t="inlineStr">
        <is>
          <t>1.48%</t>
        </is>
      </c>
      <c r="K82" s="16">
        <f>X81</f>
        <v/>
      </c>
      <c r="L82" s="13" t="inlineStr">
        <is>
          <t>2023-10-31</t>
        </is>
      </c>
      <c r="M82" s="13" t="inlineStr">
        <is>
          <t>2023-11-09</t>
        </is>
      </c>
      <c r="N82" s="13" t="inlineStr">
        <is>
          <t>2023-11-02</t>
        </is>
      </c>
      <c r="O82" s="9" t="n">
        <v>150</v>
      </c>
      <c r="P82" s="17" t="n">
        <v>2827.951416015625</v>
      </c>
      <c r="Q82" s="17" t="n">
        <v>2906.287841796875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Q2 2023-24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-0.61%</t>
        </is>
      </c>
      <c r="J83" s="13" t="inlineStr">
        <is>
          <t>-0.47%</t>
        </is>
      </c>
      <c r="K83" s="16">
        <f>X82</f>
        <v/>
      </c>
      <c r="L83" s="13" t="inlineStr">
        <is>
          <t>2023-11-07</t>
        </is>
      </c>
      <c r="M83" s="13" t="inlineStr">
        <is>
          <t>2023-11-13</t>
        </is>
      </c>
      <c r="N83" s="13" t="inlineStr">
        <is>
          <t>2023-11-10</t>
        </is>
      </c>
      <c r="O83" s="9" t="n">
        <v>1400</v>
      </c>
      <c r="P83" s="17" t="n">
        <v>478.6952819824219</v>
      </c>
      <c r="Q83" s="17" t="n">
        <v>475.7985229492188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Q2 2023-24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6.16%</t>
        </is>
      </c>
      <c r="J84" s="13" t="inlineStr">
        <is>
          <t>4.81%</t>
        </is>
      </c>
      <c r="K84" s="16">
        <f>X83</f>
        <v/>
      </c>
      <c r="L84" s="13" t="inlineStr">
        <is>
          <t>2023-07-24</t>
        </is>
      </c>
      <c r="M84" s="13" t="inlineStr">
        <is>
          <t>2023-07-31</t>
        </is>
      </c>
      <c r="N84" s="13" t="inlineStr">
        <is>
          <t>2023-07-25</t>
        </is>
      </c>
      <c r="O84" s="9" t="n">
        <v>2574</v>
      </c>
      <c r="P84" s="17" t="n">
        <v>171.4945678710938</v>
      </c>
      <c r="Q84" s="17" t="n">
        <v>182.759521484375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Q2 2023-24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2.91%</t>
        </is>
      </c>
      <c r="J85" s="13" t="inlineStr">
        <is>
          <t>3.02%</t>
        </is>
      </c>
      <c r="K85" s="16">
        <f>X84</f>
        <v/>
      </c>
      <c r="L85" s="13" t="inlineStr">
        <is>
          <t>2023-10-11</t>
        </is>
      </c>
      <c r="M85" s="13" t="inlineStr">
        <is>
          <t>2023-10-27</t>
        </is>
      </c>
      <c r="N85" s="13" t="inlineStr">
        <is>
          <t>2023-10-19</t>
        </is>
      </c>
      <c r="O85" s="9" t="n">
        <v>300</v>
      </c>
      <c r="P85" s="17" t="n">
        <v>2344.5693359375</v>
      </c>
      <c r="Q85" s="17" t="n">
        <v>2414.801025390625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Q2 2023-24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0.37%</t>
        </is>
      </c>
      <c r="J86" s="13" t="inlineStr">
        <is>
          <t>-1.34%</t>
        </is>
      </c>
      <c r="K86" s="16">
        <f>X85</f>
        <v/>
      </c>
      <c r="L86" s="13" t="inlineStr">
        <is>
          <t>2023-07-20</t>
        </is>
      </c>
      <c r="M86" s="13" t="inlineStr">
        <is>
          <t>2023-07-31</t>
        </is>
      </c>
      <c r="N86" s="13" t="inlineStr">
        <is>
          <t>2023-07-25</t>
        </is>
      </c>
      <c r="O86" s="9" t="n">
        <v>1866</v>
      </c>
      <c r="P86" s="17" t="n">
        <v>288.193603515625</v>
      </c>
      <c r="Q86" s="17" t="n">
        <v>289.2677612304688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Q2 2023-24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-4.25%</t>
        </is>
      </c>
      <c r="J87" s="13" t="inlineStr">
        <is>
          <t>-7.43%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2023-07-25</t>
        </is>
      </c>
      <c r="O87" s="9" t="n">
        <v>495</v>
      </c>
      <c r="P87" s="17" t="n">
        <v>1878.654418945312</v>
      </c>
      <c r="Q87" s="17" t="n">
        <v>1802.145385742188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Q2 2023-24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-2.96%</t>
        </is>
      </c>
      <c r="J88" s="13" t="inlineStr">
        <is>
          <t>-5.42%</t>
        </is>
      </c>
      <c r="K88" s="16">
        <f>X87</f>
        <v/>
      </c>
      <c r="L88" s="13" t="inlineStr">
        <is>
          <t>2023-10-11</t>
        </is>
      </c>
      <c r="M88" s="13" t="inlineStr">
        <is>
          <t>2023-10-30</t>
        </is>
      </c>
      <c r="N88" s="13" t="inlineStr">
        <is>
          <t>2023-10-21</t>
        </is>
      </c>
      <c r="O88" s="9" t="n">
        <v>700</v>
      </c>
      <c r="P88" s="17" t="n">
        <v>937.7293701171876</v>
      </c>
      <c r="Q88" s="17" t="n">
        <v>909.9841918945312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Q2 2023-24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-6.51%</t>
        </is>
      </c>
      <c r="J89" s="13" t="inlineStr">
        <is>
          <t>-8.53%</t>
        </is>
      </c>
      <c r="K89" s="16">
        <f>X88</f>
        <v/>
      </c>
      <c r="L89" s="13" t="inlineStr">
        <is>
          <t>2024-07-08</t>
        </is>
      </c>
      <c r="M89" s="13" t="inlineStr">
        <is>
          <t>2024-07-25</t>
        </is>
      </c>
      <c r="N89" s="13" t="inlineStr">
        <is>
          <t>2024-07-19</t>
        </is>
      </c>
      <c r="O89" s="9" t="n">
        <v>629</v>
      </c>
      <c r="P89" s="17" t="n">
        <v>1964.9</v>
      </c>
      <c r="Q89" s="17" t="n">
        <v>1844.75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Q2 2023-24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-7.75%</t>
        </is>
      </c>
      <c r="J90" s="13" t="inlineStr">
        <is>
          <t>-7.26%</t>
        </is>
      </c>
      <c r="K90" s="16">
        <f>X89</f>
        <v/>
      </c>
      <c r="L90" s="13" t="inlineStr">
        <is>
          <t>2025-04-02</t>
        </is>
      </c>
      <c r="M90" s="13" t="inlineStr">
        <is>
          <t>2025-04-23</t>
        </is>
      </c>
      <c r="N90" s="13" t="inlineStr">
        <is>
          <t>2025-04-15</t>
        </is>
      </c>
      <c r="O90" s="9" t="n">
        <v>1958</v>
      </c>
      <c r="P90" s="17" t="n">
        <v>604.1001586914062</v>
      </c>
      <c r="Q90" s="17" t="n">
        <v>560.6586303710938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Q2 2023-24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-8.5%</t>
        </is>
      </c>
      <c r="J91" s="13" t="inlineStr">
        <is>
          <t>-12.4%</t>
        </is>
      </c>
      <c r="K91" s="16">
        <f>X90</f>
        <v/>
      </c>
      <c r="L91" s="13" t="inlineStr">
        <is>
          <t>2023-07-18</t>
        </is>
      </c>
      <c r="M91" s="13" t="inlineStr">
        <is>
          <t>2023-07-31</t>
        </is>
      </c>
      <c r="N91" s="13" t="inlineStr">
        <is>
          <t>2023-07-25</t>
        </is>
      </c>
      <c r="O91" s="9" t="n">
        <v>77700</v>
      </c>
      <c r="P91" s="17" t="n">
        <v>8.300000190734863</v>
      </c>
      <c r="Q91" s="17" t="n">
        <v>7.650000095367432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Q2 2023-24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-2.61%</t>
        </is>
      </c>
      <c r="J92" s="13" t="inlineStr">
        <is>
          <t>-7.28%</t>
        </is>
      </c>
      <c r="K92" s="16">
        <f>X91</f>
        <v/>
      </c>
      <c r="L92" s="13" t="inlineStr">
        <is>
          <t>2023-07-14</t>
        </is>
      </c>
      <c r="M92" s="13" t="inlineStr">
        <is>
          <t>2023-07-26</t>
        </is>
      </c>
      <c r="N92" s="13" t="inlineStr">
        <is>
          <t>2023-07-25</t>
        </is>
      </c>
      <c r="O92" s="9" t="n">
        <v>11798</v>
      </c>
      <c r="P92" s="17" t="n">
        <v>84.37384033203125</v>
      </c>
      <c r="Q92" s="17" t="n">
        <v>82.23085021972656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Q2 2023-24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0.77%</t>
        </is>
      </c>
      <c r="J93" s="13" t="inlineStr">
        <is>
          <t>-1.04%</t>
        </is>
      </c>
      <c r="K93" s="16">
        <f>X92</f>
        <v/>
      </c>
      <c r="L93" s="13" t="inlineStr">
        <is>
          <t>2023-07-24</t>
        </is>
      </c>
      <c r="M93" s="13" t="inlineStr">
        <is>
          <t>2023-07-26</t>
        </is>
      </c>
      <c r="N93" s="13" t="inlineStr">
        <is>
          <t>2023-07-25</t>
        </is>
      </c>
      <c r="O93" s="9" t="n">
        <v>7610</v>
      </c>
      <c r="P93" s="17" t="n">
        <v>115.2349090576172</v>
      </c>
      <c r="Q93" s="17" t="n">
        <v>116.1216888427734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Q2 2023-24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-0.88%</t>
        </is>
      </c>
      <c r="J94" s="13" t="inlineStr">
        <is>
          <t>-3.84%</t>
        </is>
      </c>
      <c r="K94" s="16">
        <f>X93</f>
        <v/>
      </c>
      <c r="L94" s="13" t="inlineStr">
        <is>
          <t>2023-07-20</t>
        </is>
      </c>
      <c r="M94" s="13" t="inlineStr">
        <is>
          <t>2023-07-31</t>
        </is>
      </c>
      <c r="N94" s="13" t="inlineStr">
        <is>
          <t>2023-07-25</t>
        </is>
      </c>
      <c r="O94" s="9" t="n">
        <v>1334</v>
      </c>
      <c r="P94" s="17" t="n">
        <v>394.4825439453125</v>
      </c>
      <c r="Q94" s="17" t="n">
        <v>391.0187072753906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Q2 2023-24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5.57%</t>
        </is>
      </c>
      <c r="J95" s="13" t="inlineStr">
        <is>
          <t>-0.74%</t>
        </is>
      </c>
      <c r="K95" s="16">
        <f>X94</f>
        <v/>
      </c>
      <c r="L95" s="13" t="inlineStr">
        <is>
          <t>2023-07-20</t>
        </is>
      </c>
      <c r="M95" s="13" t="inlineStr">
        <is>
          <t>2023-07-31</t>
        </is>
      </c>
      <c r="N95" s="13" t="inlineStr">
        <is>
          <t>2023-07-25</t>
        </is>
      </c>
      <c r="O95" s="9" t="n">
        <v>1208</v>
      </c>
      <c r="P95" s="17" t="n">
        <v>306.7856140136719</v>
      </c>
      <c r="Q95" s="17" t="n">
        <v>323.8707580566406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Q2 2023-24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-8.62%</t>
        </is>
      </c>
      <c r="J96" s="13" t="inlineStr">
        <is>
          <t>-8.06%</t>
        </is>
      </c>
      <c r="K96" s="16">
        <f>X95</f>
        <v/>
      </c>
      <c r="L96" s="13" t="inlineStr">
        <is>
          <t>2021-07-15</t>
        </is>
      </c>
      <c r="M96" s="13" t="inlineStr">
        <is>
          <t>2021-07-28</t>
        </is>
      </c>
      <c r="N96" s="13" t="inlineStr">
        <is>
          <t>2021-07-27</t>
        </is>
      </c>
      <c r="O96" s="9" t="n">
        <v>196</v>
      </c>
      <c r="P96" s="17" t="n">
        <v>1821.57177734375</v>
      </c>
      <c r="Q96" s="17" t="n">
        <v>1664.636840820312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Q2 2023-24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-1.49%</t>
        </is>
      </c>
      <c r="J97" s="13" t="inlineStr">
        <is>
          <t>-2.39%</t>
        </is>
      </c>
      <c r="K97" s="16">
        <f>X96</f>
        <v/>
      </c>
      <c r="L97" s="13" t="inlineStr">
        <is>
          <t>2023-10-17</t>
        </is>
      </c>
      <c r="M97" s="13" t="inlineStr">
        <is>
          <t>2023-10-26</t>
        </is>
      </c>
      <c r="N97" s="13" t="inlineStr">
        <is>
          <t>2023-10-18</t>
        </is>
      </c>
      <c r="O97" s="9" t="n">
        <v>500</v>
      </c>
      <c r="P97" s="17" t="n">
        <v>1417.936279296875</v>
      </c>
      <c r="Q97" s="17" t="n">
        <v>1396.854858398438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Q2 2023-24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-7.46%</t>
        </is>
      </c>
      <c r="J98" s="13" t="inlineStr">
        <is>
          <t>-9.72%</t>
        </is>
      </c>
      <c r="K98" s="16">
        <f>X97</f>
        <v/>
      </c>
      <c r="L98" s="13" t="inlineStr">
        <is>
          <t>2023-07-20</t>
        </is>
      </c>
      <c r="M98" s="13" t="inlineStr">
        <is>
          <t>2023-07-26</t>
        </is>
      </c>
      <c r="N98" s="13" t="inlineStr">
        <is>
          <t>2023-07-25</t>
        </is>
      </c>
      <c r="O98" s="9" t="n">
        <v>2545</v>
      </c>
      <c r="P98" s="17" t="n">
        <v>180.6999969482422</v>
      </c>
      <c r="Q98" s="17" t="n">
        <v>168.1499938964844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Q2 2023-24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3.01%</t>
        </is>
      </c>
      <c r="J99" s="13" t="inlineStr">
        <is>
          <t>2.17%</t>
        </is>
      </c>
      <c r="K99" s="16">
        <f>X98</f>
        <v/>
      </c>
      <c r="L99" s="13" t="inlineStr">
        <is>
          <t>2023-10-06</t>
        </is>
      </c>
      <c r="M99" s="13" t="inlineStr">
        <is>
          <t>2023-10-16</t>
        </is>
      </c>
      <c r="N99" s="13" t="inlineStr">
        <is>
          <t>2023-10-12</t>
        </is>
      </c>
      <c r="O99" s="9" t="n">
        <v>400</v>
      </c>
      <c r="P99" s="17" t="n">
        <v>1304.7431640625</v>
      </c>
      <c r="Q99" s="17" t="n">
        <v>1345.273315429688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Q2 2023-24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9.0%</t>
        </is>
      </c>
      <c r="J100" s="13" t="inlineStr">
        <is>
          <t>3.65%</t>
        </is>
      </c>
      <c r="K100" s="16">
        <f>X99</f>
        <v/>
      </c>
      <c r="L100" s="13" t="inlineStr">
        <is>
          <t>2023-07-14</t>
        </is>
      </c>
      <c r="M100" s="13" t="inlineStr">
        <is>
          <t>2023-07-26</t>
        </is>
      </c>
      <c r="N100" s="13" t="inlineStr">
        <is>
          <t>2023-07-25</t>
        </is>
      </c>
      <c r="O100" s="9" t="n">
        <v>13336</v>
      </c>
      <c r="P100" s="17" t="n">
        <v>48.73749923706055</v>
      </c>
      <c r="Q100" s="17" t="n">
        <v>53.125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Q2 2023-24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0.93%</t>
        </is>
      </c>
      <c r="J101" s="13" t="inlineStr">
        <is>
          <t>-1.19%</t>
        </is>
      </c>
      <c r="K101" s="16">
        <f>X100</f>
        <v/>
      </c>
      <c r="L101" s="13" t="inlineStr">
        <is>
          <t>2023-07-18</t>
        </is>
      </c>
      <c r="M101" s="13" t="inlineStr">
        <is>
          <t>2023-07-31</t>
        </is>
      </c>
      <c r="N101" s="13" t="inlineStr">
        <is>
          <t>2023-07-25</t>
        </is>
      </c>
      <c r="O101" s="9" t="n">
        <v>7145</v>
      </c>
      <c r="P101" s="17" t="n">
        <v>80.30023193359375</v>
      </c>
      <c r="Q101" s="17" t="n">
        <v>81.05433654785156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Q2 2023-24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5.08%</t>
        </is>
      </c>
      <c r="J102" s="13" t="inlineStr">
        <is>
          <t>-15.29%</t>
        </is>
      </c>
      <c r="K102" s="16">
        <f>X101</f>
        <v/>
      </c>
      <c r="L102" s="13" t="inlineStr">
        <is>
          <t>2023-11-29</t>
        </is>
      </c>
      <c r="M102" s="13" t="inlineStr">
        <is>
          <t>2023-12-05</t>
        </is>
      </c>
      <c r="N102" s="13" t="inlineStr">
        <is>
          <t>2023-07-25</t>
        </is>
      </c>
      <c r="O102" s="9" t="n">
        <v>8341</v>
      </c>
      <c r="P102" s="17" t="n">
        <v>59.68354415893555</v>
      </c>
      <c r="Q102" s="17" t="n">
        <v>62.71745681762695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Q2 2023-24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2023-07-25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Q2 2023-24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1.91%</t>
        </is>
      </c>
      <c r="J104" s="13" t="inlineStr">
        <is>
          <t>1.92%</t>
        </is>
      </c>
      <c r="K104" s="16">
        <f>X103</f>
        <v/>
      </c>
      <c r="L104" s="13" t="inlineStr">
        <is>
          <t>2023-10-10</t>
        </is>
      </c>
      <c r="M104" s="13" t="inlineStr">
        <is>
          <t>2023-10-23</t>
        </is>
      </c>
      <c r="N104" s="13" t="inlineStr">
        <is>
          <t>2023-10-19</t>
        </is>
      </c>
      <c r="O104" s="9" t="n">
        <v>1600</v>
      </c>
      <c r="P104" s="17" t="n">
        <v>374.1564331054688</v>
      </c>
      <c r="Q104" s="17" t="n">
        <v>381.4524841308594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Q2 2023-24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3.18%</t>
        </is>
      </c>
      <c r="J105" s="13" t="inlineStr">
        <is>
          <t>1.08%</t>
        </is>
      </c>
      <c r="K105" s="16">
        <f>X104</f>
        <v/>
      </c>
      <c r="L105" s="13" t="inlineStr">
        <is>
          <t>2023-07-20</t>
        </is>
      </c>
      <c r="M105" s="13" t="inlineStr">
        <is>
          <t>2023-07-26</t>
        </is>
      </c>
      <c r="N105" s="13" t="inlineStr">
        <is>
          <t>2023-07-25</t>
        </is>
      </c>
      <c r="O105" s="9" t="n">
        <v>914</v>
      </c>
      <c r="P105" s="17" t="n">
        <v>632.7919311523438</v>
      </c>
      <c r="Q105" s="17" t="n">
        <v>652.8971557617188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Q2 2023-24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4.89%</t>
        </is>
      </c>
      <c r="J106" s="13" t="inlineStr">
        <is>
          <t>1.19%</t>
        </is>
      </c>
      <c r="K106" s="16">
        <f>X105</f>
        <v/>
      </c>
      <c r="L106" s="13" t="inlineStr">
        <is>
          <t>2023-10-17</t>
        </is>
      </c>
      <c r="M106" s="13" t="inlineStr">
        <is>
          <t>2023-10-25</t>
        </is>
      </c>
      <c r="N106" s="13" t="inlineStr">
        <is>
          <t>2023-10-17</t>
        </is>
      </c>
      <c r="O106" s="9" t="n">
        <v>4127</v>
      </c>
      <c r="P106" s="17" t="n">
        <v>209.8227996826172</v>
      </c>
      <c r="Q106" s="17" t="n">
        <v>220.6059875488281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Q2 2023-24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-0.97%</t>
        </is>
      </c>
      <c r="J107" s="13" t="inlineStr">
        <is>
          <t>-5.13%</t>
        </is>
      </c>
      <c r="K107" s="16">
        <f>X106</f>
        <v/>
      </c>
      <c r="L107" s="13" t="inlineStr">
        <is>
          <t>2023-07-18</t>
        </is>
      </c>
      <c r="M107" s="13" t="inlineStr">
        <is>
          <t>2023-07-26</t>
        </is>
      </c>
      <c r="N107" s="13" t="inlineStr">
        <is>
          <t>2023-07-25</t>
        </is>
      </c>
      <c r="O107" s="9" t="n">
        <v>1839</v>
      </c>
      <c r="P107" s="17" t="n">
        <v>289.4075622558594</v>
      </c>
      <c r="Q107" s="17" t="n">
        <v>286.6371459960937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Q2 2023-24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-5.82%</t>
        </is>
      </c>
      <c r="J108" s="13" t="inlineStr">
        <is>
          <t>-7.49%</t>
        </is>
      </c>
      <c r="K108" s="16">
        <f>X107</f>
        <v/>
      </c>
      <c r="L108" s="13" t="inlineStr">
        <is>
          <t>2023-10-13</t>
        </is>
      </c>
      <c r="M108" s="13" t="inlineStr">
        <is>
          <t>2023-10-27</t>
        </is>
      </c>
      <c r="N108" s="13" t="inlineStr">
        <is>
          <t>2023-10-20</t>
        </is>
      </c>
      <c r="O108" s="9" t="n">
        <v>675</v>
      </c>
      <c r="P108" s="17" t="n">
        <v>764.7449951171875</v>
      </c>
      <c r="Q108" s="17" t="n">
        <v>720.2229614257812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Q2 2023-24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1.64%</t>
        </is>
      </c>
      <c r="J109" s="13" t="inlineStr">
        <is>
          <t>0.4%</t>
        </is>
      </c>
      <c r="K109" s="16">
        <f>X108</f>
        <v/>
      </c>
      <c r="L109" s="13" t="inlineStr">
        <is>
          <t>2023-07-18</t>
        </is>
      </c>
      <c r="M109" s="13" t="inlineStr">
        <is>
          <t>2023-07-31</t>
        </is>
      </c>
      <c r="N109" s="13" t="inlineStr">
        <is>
          <t>2023-07-25</t>
        </is>
      </c>
      <c r="O109" s="9" t="n">
        <v>2273</v>
      </c>
      <c r="P109" s="17" t="n">
        <v>467.6812133789063</v>
      </c>
      <c r="Q109" s="17" t="n">
        <v>475.3302001953125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Q2 2023-24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-2.02%</t>
        </is>
      </c>
      <c r="J110" s="13" t="inlineStr">
        <is>
          <t>-1.42%</t>
        </is>
      </c>
      <c r="K110" s="16">
        <f>X109</f>
        <v/>
      </c>
      <c r="L110" s="13" t="inlineStr">
        <is>
          <t>2023-07-20</t>
        </is>
      </c>
      <c r="M110" s="13" t="inlineStr">
        <is>
          <t>2023-07-26</t>
        </is>
      </c>
      <c r="N110" s="13" t="inlineStr">
        <is>
          <t>2023-07-25</t>
        </is>
      </c>
      <c r="O110" s="9" t="n">
        <v>1575</v>
      </c>
      <c r="P110" s="17" t="n">
        <v>172.8941040039062</v>
      </c>
      <c r="Q110" s="17" t="n">
        <v>169.4719390869141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Q2 2023-24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-0.2%</t>
        </is>
      </c>
      <c r="J111" s="13" t="inlineStr">
        <is>
          <t>-6.29%</t>
        </is>
      </c>
      <c r="K111" s="16">
        <f>X110</f>
        <v/>
      </c>
      <c r="L111" s="13" t="inlineStr">
        <is>
          <t>2023-07-20</t>
        </is>
      </c>
      <c r="M111" s="13" t="inlineStr">
        <is>
          <t>2023-07-31</t>
        </is>
      </c>
      <c r="N111" s="13" t="inlineStr">
        <is>
          <t>2023-07-25</t>
        </is>
      </c>
      <c r="O111" s="9" t="n">
        <v>276</v>
      </c>
      <c r="P111" s="17" t="n">
        <v>1817.199951171875</v>
      </c>
      <c r="Q111" s="17" t="n">
        <v>1813.550048828125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Q2 2023-24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0.17%</t>
        </is>
      </c>
      <c r="J112" s="13" t="inlineStr">
        <is>
          <t>-3.57%</t>
        </is>
      </c>
      <c r="K112" s="16">
        <f>X111</f>
        <v/>
      </c>
      <c r="L112" s="13" t="inlineStr">
        <is>
          <t>2023-07-13</t>
        </is>
      </c>
      <c r="M112" s="13" t="inlineStr">
        <is>
          <t>2023-07-31</t>
        </is>
      </c>
      <c r="N112" s="13" t="inlineStr">
        <is>
          <t>2023-07-25</t>
        </is>
      </c>
      <c r="O112" s="9" t="n">
        <v>208</v>
      </c>
      <c r="P112" s="17" t="n">
        <v>2421.72998046875</v>
      </c>
      <c r="Q112" s="17" t="n">
        <v>2425.81640625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Q2 2023-24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0.26%</t>
        </is>
      </c>
      <c r="J113" s="13" t="inlineStr">
        <is>
          <t>-2.24%</t>
        </is>
      </c>
      <c r="K113" s="16">
        <f>X112</f>
        <v/>
      </c>
      <c r="L113" s="13" t="inlineStr">
        <is>
          <t>2023-07-13</t>
        </is>
      </c>
      <c r="M113" s="13" t="inlineStr">
        <is>
          <t>2023-07-26</t>
        </is>
      </c>
      <c r="N113" s="13" t="inlineStr">
        <is>
          <t>2023-07-25</t>
        </is>
      </c>
      <c r="O113" s="9" t="n">
        <v>1063</v>
      </c>
      <c r="P113" s="17" t="n">
        <v>370.1758422851562</v>
      </c>
      <c r="Q113" s="17" t="n">
        <v>371.1503601074219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Q2 2023-24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1.45%</t>
        </is>
      </c>
      <c r="J114" s="13" t="inlineStr">
        <is>
          <t>1.35%</t>
        </is>
      </c>
      <c r="K114" s="16">
        <f>X113</f>
        <v/>
      </c>
      <c r="L114" s="13" t="inlineStr">
        <is>
          <t>2023-10-18</t>
        </is>
      </c>
      <c r="M114" s="13" t="inlineStr">
        <is>
          <t>2023-10-25</t>
        </is>
      </c>
      <c r="N114" s="13" t="inlineStr">
        <is>
          <t>2023-10-21</t>
        </is>
      </c>
      <c r="O114" s="9" t="n">
        <v>400</v>
      </c>
      <c r="P114" s="17" t="n">
        <v>344.8340454101562</v>
      </c>
      <c r="Q114" s="17" t="n">
        <v>349.8926696777344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Q2 2023-24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-0.29%</t>
        </is>
      </c>
      <c r="J115" s="13" t="inlineStr">
        <is>
          <t>0.86%</t>
        </is>
      </c>
      <c r="K115" s="16">
        <f>X114</f>
        <v/>
      </c>
      <c r="L115" s="13" t="inlineStr">
        <is>
          <t>2023-07-18</t>
        </is>
      </c>
      <c r="M115" s="13" t="inlineStr">
        <is>
          <t>2023-07-26</t>
        </is>
      </c>
      <c r="N115" s="13" t="inlineStr">
        <is>
          <t>2023-07-25</t>
        </is>
      </c>
      <c r="O115" s="9" t="n">
        <v>1695</v>
      </c>
      <c r="P115" s="17" t="n">
        <v>1051.008666992188</v>
      </c>
      <c r="Q115" s="17" t="n">
        <v>1048.004638671875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Q2 2023-24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2.75%</t>
        </is>
      </c>
      <c r="J116" s="13" t="inlineStr">
        <is>
          <t>-0.06%</t>
        </is>
      </c>
      <c r="K116" s="16">
        <f>X115</f>
        <v/>
      </c>
      <c r="L116" s="13" t="inlineStr">
        <is>
          <t>2023-07-19</t>
        </is>
      </c>
      <c r="M116" s="13" t="inlineStr">
        <is>
          <t>2023-07-26</t>
        </is>
      </c>
      <c r="N116" s="13" t="inlineStr">
        <is>
          <t>2023-07-25</t>
        </is>
      </c>
      <c r="O116" s="9" t="n">
        <v>561</v>
      </c>
      <c r="P116" s="17" t="n">
        <v>339.092529296875</v>
      </c>
      <c r="Q116" s="17" t="n">
        <v>348.6843566894531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Q2 2023-24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8.18%</t>
        </is>
      </c>
      <c r="J117" s="13" t="inlineStr">
        <is>
          <t>8.76%</t>
        </is>
      </c>
      <c r="K117" s="16">
        <f>X116</f>
        <v/>
      </c>
      <c r="L117" s="13" t="inlineStr">
        <is>
          <t>2023-07-21</t>
        </is>
      </c>
      <c r="M117" s="13" t="inlineStr">
        <is>
          <t>2023-07-31</t>
        </is>
      </c>
      <c r="N117" s="13" t="inlineStr">
        <is>
          <t>2023-07-25</t>
        </is>
      </c>
      <c r="O117" s="9" t="n">
        <v>1848</v>
      </c>
      <c r="P117" s="17" t="n">
        <v>366.6766052246094</v>
      </c>
      <c r="Q117" s="17" t="n">
        <v>396.6588134765625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Q2 2023-24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4.29%</t>
        </is>
      </c>
      <c r="J118" s="13" t="inlineStr">
        <is>
          <t>3.34%</t>
        </is>
      </c>
      <c r="K118" s="16">
        <f>X117</f>
        <v/>
      </c>
      <c r="L118" s="13" t="inlineStr">
        <is>
          <t>2024-05-21</t>
        </is>
      </c>
      <c r="M118" s="13" t="inlineStr">
        <is>
          <t>2024-06-03</t>
        </is>
      </c>
      <c r="N118" s="13" t="inlineStr">
        <is>
          <t>2024-05-27</t>
        </is>
      </c>
      <c r="O118" s="9" t="n">
        <v>2364</v>
      </c>
      <c r="P118" s="17" t="n">
        <v>490.9128723144531</v>
      </c>
      <c r="Q118" s="17" t="n">
        <v>511.9890441894531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Q2 2023-24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-4.19%</t>
        </is>
      </c>
      <c r="J119" s="13" t="inlineStr">
        <is>
          <t>-8.44%</t>
        </is>
      </c>
      <c r="K119" s="16">
        <f>X118</f>
        <v/>
      </c>
      <c r="L119" s="13" t="inlineStr">
        <is>
          <t>2023-07-19</t>
        </is>
      </c>
      <c r="M119" s="13" t="inlineStr">
        <is>
          <t>2023-07-26</t>
        </is>
      </c>
      <c r="N119" s="13" t="inlineStr">
        <is>
          <t>2023-07-25</t>
        </is>
      </c>
      <c r="O119" s="9" t="n">
        <v>776</v>
      </c>
      <c r="P119" s="17" t="n">
        <v>722.5670166015625</v>
      </c>
      <c r="Q119" s="17" t="n">
        <v>693.5033569335938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Q2 2023-24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0.55%</t>
        </is>
      </c>
      <c r="J120" s="13" t="inlineStr">
        <is>
          <t>-0.01%</t>
        </is>
      </c>
      <c r="K120" s="16">
        <f>X119</f>
        <v/>
      </c>
      <c r="L120" s="13" t="inlineStr">
        <is>
          <t>2023-11-01</t>
        </is>
      </c>
      <c r="M120" s="13" t="inlineStr">
        <is>
          <t>2023-11-03</t>
        </is>
      </c>
      <c r="N120" s="13" t="inlineStr">
        <is>
          <t>2023-11-01</t>
        </is>
      </c>
      <c r="O120" s="9" t="n">
        <v>300</v>
      </c>
      <c r="P120" s="17" t="n">
        <v>2818.64306640625</v>
      </c>
      <c r="Q120" s="17" t="n">
        <v>2834.170654296875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Q2 2023-24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1.44%</t>
        </is>
      </c>
      <c r="J121" s="13" t="inlineStr">
        <is>
          <t>-0.02%</t>
        </is>
      </c>
      <c r="K121" s="16">
        <f>X120</f>
        <v/>
      </c>
      <c r="L121" s="13" t="inlineStr">
        <is>
          <t>2023-07-24</t>
        </is>
      </c>
      <c r="M121" s="13" t="inlineStr">
        <is>
          <t>2023-07-26</t>
        </is>
      </c>
      <c r="N121" s="13" t="inlineStr">
        <is>
          <t>2023-07-25</t>
        </is>
      </c>
      <c r="O121" s="9" t="n">
        <v>3265</v>
      </c>
      <c r="P121" s="17" t="n">
        <v>124.7118835449219</v>
      </c>
      <c r="Q121" s="17" t="n">
        <v>126.5373992919922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Q2 2023-24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-0.26%</t>
        </is>
      </c>
      <c r="J122" s="13" t="inlineStr">
        <is>
          <t>-2.83%</t>
        </is>
      </c>
      <c r="K122" s="16">
        <f>X121</f>
        <v/>
      </c>
      <c r="L122" s="13" t="inlineStr">
        <is>
          <t>2023-07-24</t>
        </is>
      </c>
      <c r="M122" s="13" t="inlineStr">
        <is>
          <t>2023-07-31</t>
        </is>
      </c>
      <c r="N122" s="13" t="inlineStr">
        <is>
          <t>2023-07-25</t>
        </is>
      </c>
      <c r="O122" s="9" t="n">
        <v>225</v>
      </c>
      <c r="P122" s="17" t="n">
        <v>4688.8251953125</v>
      </c>
      <c r="Q122" s="17" t="n">
        <v>4676.74755859375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Q2 2023-24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1.58%</t>
        </is>
      </c>
      <c r="J123" s="13" t="inlineStr">
        <is>
          <t>-2.21%</t>
        </is>
      </c>
      <c r="K123" s="16">
        <f>X122</f>
        <v/>
      </c>
      <c r="L123" s="13" t="inlineStr">
        <is>
          <t>2023-07-13</t>
        </is>
      </c>
      <c r="M123" s="13" t="inlineStr">
        <is>
          <t>2023-07-26</t>
        </is>
      </c>
      <c r="N123" s="13" t="inlineStr">
        <is>
          <t>2023-07-25</t>
        </is>
      </c>
      <c r="O123" s="9" t="n">
        <v>413</v>
      </c>
      <c r="P123" s="17" t="n">
        <v>910.4002685546876</v>
      </c>
      <c r="Q123" s="17" t="n">
        <v>924.7918090820312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Q2 2023-24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3.49%</t>
        </is>
      </c>
      <c r="J124" s="13" t="inlineStr">
        <is>
          <t>1.22%</t>
        </is>
      </c>
      <c r="K124" s="16">
        <f>X123</f>
        <v/>
      </c>
      <c r="L124" s="13" t="inlineStr">
        <is>
          <t>2023-11-06</t>
        </is>
      </c>
      <c r="M124" s="13" t="inlineStr">
        <is>
          <t>2023-11-13</t>
        </is>
      </c>
      <c r="N124" s="13" t="inlineStr">
        <is>
          <t>2023-11-10</t>
        </is>
      </c>
      <c r="O124" s="9" t="n">
        <v>350</v>
      </c>
      <c r="P124" s="17" t="n">
        <v>1450.473999023438</v>
      </c>
      <c r="Q124" s="17" t="n">
        <v>1501.103759765625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Q2 2023-24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1.05%</t>
        </is>
      </c>
      <c r="J125" s="13" t="inlineStr">
        <is>
          <t>-3.33%</t>
        </is>
      </c>
      <c r="K125" s="16">
        <f>X124</f>
        <v/>
      </c>
      <c r="L125" s="13" t="inlineStr">
        <is>
          <t>2023-07-19</t>
        </is>
      </c>
      <c r="M125" s="13" t="inlineStr">
        <is>
          <t>2023-07-31</t>
        </is>
      </c>
      <c r="N125" s="13" t="inlineStr">
        <is>
          <t>2023-07-25</t>
        </is>
      </c>
      <c r="O125" s="9" t="n">
        <v>12616</v>
      </c>
      <c r="P125" s="17" t="n">
        <v>30.65631294250488</v>
      </c>
      <c r="Q125" s="17" t="n">
        <v>30.9785270690918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Q2 2023-24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4.69%</t>
        </is>
      </c>
      <c r="J126" s="13" t="inlineStr">
        <is>
          <t>4.12%</t>
        </is>
      </c>
      <c r="K126" s="16">
        <f>X125</f>
        <v/>
      </c>
      <c r="L126" s="13" t="inlineStr">
        <is>
          <t>2023-07-21</t>
        </is>
      </c>
      <c r="M126" s="13" t="inlineStr">
        <is>
          <t>2023-07-26</t>
        </is>
      </c>
      <c r="N126" s="13" t="inlineStr">
        <is>
          <t>2023-07-25</t>
        </is>
      </c>
      <c r="O126" s="9" t="n">
        <v>2714</v>
      </c>
      <c r="P126" s="17" t="n">
        <v>123.079460144043</v>
      </c>
      <c r="Q126" s="17" t="n">
        <v>128.8495635986328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Q2 2023-24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2.67%</t>
        </is>
      </c>
      <c r="J127" s="13" t="inlineStr">
        <is>
          <t>-0.43%</t>
        </is>
      </c>
      <c r="K127" s="16">
        <f>X126</f>
        <v/>
      </c>
      <c r="L127" s="13" t="inlineStr">
        <is>
          <t>2023-07-19</t>
        </is>
      </c>
      <c r="M127" s="13" t="inlineStr">
        <is>
          <t>2023-07-26</t>
        </is>
      </c>
      <c r="N127" s="13" t="inlineStr">
        <is>
          <t>2023-07-25</t>
        </is>
      </c>
      <c r="O127" s="9" t="n">
        <v>388</v>
      </c>
      <c r="P127" s="17" t="n">
        <v>1827.379638671875</v>
      </c>
      <c r="Q127" s="17" t="n">
        <v>1877.559936523437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Q2 2023-24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5.66%</t>
        </is>
      </c>
      <c r="J128" s="13" t="inlineStr">
        <is>
          <t>4.27%</t>
        </is>
      </c>
      <c r="K128" s="16">
        <f>X127</f>
        <v/>
      </c>
      <c r="L128" s="13" t="inlineStr">
        <is>
          <t>2023-07-18</t>
        </is>
      </c>
      <c r="M128" s="13" t="inlineStr">
        <is>
          <t>2023-07-31</t>
        </is>
      </c>
      <c r="N128" s="13" t="inlineStr">
        <is>
          <t>2023-07-25</t>
        </is>
      </c>
      <c r="O128" s="9" t="n">
        <v>1129</v>
      </c>
      <c r="P128" s="17" t="n">
        <v>510.7052001953125</v>
      </c>
      <c r="Q128" s="17" t="n">
        <v>539.6339111328125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Q2 2023-24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1.86%</t>
        </is>
      </c>
      <c r="J129" s="13" t="inlineStr">
        <is>
          <t>1.15%</t>
        </is>
      </c>
      <c r="K129" s="16">
        <f>X128</f>
        <v/>
      </c>
      <c r="L129" s="13" t="inlineStr">
        <is>
          <t>2023-10-25</t>
        </is>
      </c>
      <c r="M129" s="13" t="inlineStr">
        <is>
          <t>2023-10-31</t>
        </is>
      </c>
      <c r="N129" s="13" t="inlineStr">
        <is>
          <t>2023-10-28</t>
        </is>
      </c>
      <c r="O129" s="9" t="n">
        <v>100</v>
      </c>
      <c r="P129" s="17" t="n">
        <v>10184.8251953125</v>
      </c>
      <c r="Q129" s="17" t="n">
        <v>10377.451171875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Q2 2023-24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7.07%</t>
        </is>
      </c>
      <c r="J130" s="13" t="inlineStr">
        <is>
          <t>4.45%</t>
        </is>
      </c>
      <c r="K130" s="16">
        <f>X129</f>
        <v/>
      </c>
      <c r="L130" s="13" t="inlineStr">
        <is>
          <t>2021-08-04</t>
        </is>
      </c>
      <c r="M130" s="13" t="inlineStr">
        <is>
          <t>2021-08-11</t>
        </is>
      </c>
      <c r="N130" s="13" t="inlineStr">
        <is>
          <t>2021-08-10</t>
        </is>
      </c>
      <c r="O130" s="9" t="n">
        <v>922</v>
      </c>
      <c r="P130" s="17" t="n">
        <v>278.98193359375</v>
      </c>
      <c r="Q130" s="17" t="n">
        <v>298.7069091796875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Q2 2023-24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-9.46%</t>
        </is>
      </c>
      <c r="J131" s="13" t="inlineStr">
        <is>
          <t>-14.45%</t>
        </is>
      </c>
      <c r="K131" s="16">
        <f>X130</f>
        <v/>
      </c>
      <c r="L131" s="13" t="inlineStr">
        <is>
          <t>2023-07-19</t>
        </is>
      </c>
      <c r="M131" s="13" t="inlineStr">
        <is>
          <t>2023-07-31</t>
        </is>
      </c>
      <c r="N131" s="13" t="inlineStr">
        <is>
          <t>2023-07-25</t>
        </is>
      </c>
      <c r="O131" s="9" t="n">
        <v>431</v>
      </c>
      <c r="P131" s="17" t="n">
        <v>923.2536010742188</v>
      </c>
      <c r="Q131" s="17" t="n">
        <v>843.436279296875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Q2 2023-24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7.05%</t>
        </is>
      </c>
      <c r="J132" s="13" t="inlineStr">
        <is>
          <t>-3.31%</t>
        </is>
      </c>
      <c r="K132" s="16">
        <f>X131</f>
        <v/>
      </c>
      <c r="L132" s="13" t="inlineStr">
        <is>
          <t>2023-07-14</t>
        </is>
      </c>
      <c r="M132" s="13" t="inlineStr">
        <is>
          <t>2023-07-26</t>
        </is>
      </c>
      <c r="N132" s="13" t="inlineStr">
        <is>
          <t>2023-07-25</t>
        </is>
      </c>
      <c r="O132" s="9" t="n">
        <v>373</v>
      </c>
      <c r="P132" s="17" t="n">
        <v>306.4058532714844</v>
      </c>
      <c r="Q132" s="17" t="n">
        <v>327.9988708496094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Q2 2023-24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-2.01%</t>
        </is>
      </c>
      <c r="J133" s="13" t="inlineStr">
        <is>
          <t>-0.53%</t>
        </is>
      </c>
      <c r="K133" s="16">
        <f>X132</f>
        <v/>
      </c>
      <c r="L133" s="13" t="inlineStr">
        <is>
          <t>2023-07-21</t>
        </is>
      </c>
      <c r="M133" s="13" t="inlineStr">
        <is>
          <t>2023-07-26</t>
        </is>
      </c>
      <c r="N133" s="13" t="inlineStr">
        <is>
          <t>2023-07-25</t>
        </is>
      </c>
      <c r="O133" s="9" t="n">
        <v>661</v>
      </c>
      <c r="P133" s="17" t="n">
        <v>818.2999877929688</v>
      </c>
      <c r="Q133" s="17" t="n">
        <v>802.1500244140625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Q2 2023-24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-2.18%</t>
        </is>
      </c>
      <c r="J134" s="13" t="inlineStr">
        <is>
          <t>-4.16%</t>
        </is>
      </c>
      <c r="K134" s="16">
        <f>X133</f>
        <v/>
      </c>
      <c r="L134" s="13" t="inlineStr">
        <is>
          <t>2023-07-19</t>
        </is>
      </c>
      <c r="M134" s="13" t="inlineStr">
        <is>
          <t>2023-07-31</t>
        </is>
      </c>
      <c r="N134" s="13" t="inlineStr">
        <is>
          <t>2023-07-25</t>
        </is>
      </c>
      <c r="O134" s="9" t="n">
        <v>6815</v>
      </c>
      <c r="P134" s="17" t="n">
        <v>64.09380340576172</v>
      </c>
      <c r="Q134" s="17" t="n">
        <v>62.72455215454102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Q2 2023-24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12.55%</t>
        </is>
      </c>
      <c r="J135" s="13" t="inlineStr">
        <is>
          <t>7.43%</t>
        </is>
      </c>
      <c r="K135" s="16">
        <f>X134</f>
        <v/>
      </c>
      <c r="L135" s="13" t="inlineStr">
        <is>
          <t>2023-07-24</t>
        </is>
      </c>
      <c r="M135" s="13" t="inlineStr">
        <is>
          <t>2023-07-26</t>
        </is>
      </c>
      <c r="N135" s="13" t="inlineStr">
        <is>
          <t>2023-07-25</t>
        </is>
      </c>
      <c r="O135" s="9" t="n">
        <v>1194</v>
      </c>
      <c r="P135" s="17" t="n">
        <v>725.2608032226562</v>
      </c>
      <c r="Q135" s="17" t="n">
        <v>816.315185546875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Q2 2023-24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10.89%</t>
        </is>
      </c>
      <c r="J136" s="13" t="inlineStr">
        <is>
          <t>7.98%</t>
        </is>
      </c>
      <c r="K136" s="16">
        <f>X135</f>
        <v/>
      </c>
      <c r="L136" s="13" t="inlineStr">
        <is>
          <t>2023-07-14</t>
        </is>
      </c>
      <c r="M136" s="13" t="inlineStr">
        <is>
          <t>2023-07-31</t>
        </is>
      </c>
      <c r="N136" s="13" t="inlineStr">
        <is>
          <t>2023-07-25</t>
        </is>
      </c>
      <c r="O136" s="9" t="n">
        <v>426</v>
      </c>
      <c r="P136" s="17" t="n">
        <v>1934.237670898437</v>
      </c>
      <c r="Q136" s="17" t="n">
        <v>2144.900390625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Q2 2023-24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-7.39%</t>
        </is>
      </c>
      <c r="J137" s="13" t="inlineStr">
        <is>
          <t>-8.25%</t>
        </is>
      </c>
      <c r="K137" s="16">
        <f>X136</f>
        <v/>
      </c>
      <c r="L137" s="13" t="inlineStr">
        <is>
          <t>2025-05-12</t>
        </is>
      </c>
      <c r="M137" s="13" t="inlineStr">
        <is>
          <t>2025-05-21</t>
        </is>
      </c>
      <c r="N137" s="13" t="inlineStr">
        <is>
          <t>2025-05-14</t>
        </is>
      </c>
      <c r="O137" s="9" t="n">
        <v>332</v>
      </c>
      <c r="P137" s="17" t="n">
        <v>2237.48095703125</v>
      </c>
      <c r="Q137" s="17" t="n">
        <v>2072.07958984375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Q2 2023-24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1.2%</t>
        </is>
      </c>
      <c r="J138" s="13" t="inlineStr">
        <is>
          <t>0.69%</t>
        </is>
      </c>
      <c r="K138" s="16">
        <f>X137</f>
        <v/>
      </c>
      <c r="L138" s="13" t="inlineStr">
        <is>
          <t>2023-07-24</t>
        </is>
      </c>
      <c r="M138" s="13" t="inlineStr">
        <is>
          <t>2023-07-26</t>
        </is>
      </c>
      <c r="N138" s="13" t="inlineStr">
        <is>
          <t>2023-07-25</t>
        </is>
      </c>
      <c r="O138" s="9" t="n">
        <v>871</v>
      </c>
      <c r="P138" s="17" t="n">
        <v>289.5629577636719</v>
      </c>
      <c r="Q138" s="17" t="n">
        <v>293.08740234375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Q2 2023-24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-2.87%</t>
        </is>
      </c>
      <c r="J139" s="13" t="inlineStr">
        <is>
          <t>-8.39%</t>
        </is>
      </c>
      <c r="K139" s="16">
        <f>X138</f>
        <v/>
      </c>
      <c r="L139" s="13" t="inlineStr">
        <is>
          <t>2023-07-20</t>
        </is>
      </c>
      <c r="M139" s="13" t="inlineStr">
        <is>
          <t>2023-07-26</t>
        </is>
      </c>
      <c r="N139" s="13" t="inlineStr">
        <is>
          <t>2023-07-25</t>
        </is>
      </c>
      <c r="O139" s="9" t="n">
        <v>2876</v>
      </c>
      <c r="P139" s="17" t="n">
        <v>83.67988586425781</v>
      </c>
      <c r="Q139" s="17" t="n">
        <v>81.34318542480469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Q2 2023-24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-2.97%</t>
        </is>
      </c>
      <c r="J140" s="13" t="inlineStr">
        <is>
          <t>-4.58%</t>
        </is>
      </c>
      <c r="K140" s="16">
        <f>X139</f>
        <v/>
      </c>
      <c r="L140" s="13" t="inlineStr">
        <is>
          <t>2023-07-19</t>
        </is>
      </c>
      <c r="M140" s="13" t="inlineStr">
        <is>
          <t>2023-07-26</t>
        </is>
      </c>
      <c r="N140" s="13" t="inlineStr">
        <is>
          <t>2023-07-25</t>
        </is>
      </c>
      <c r="O140" s="9" t="n">
        <v>803</v>
      </c>
      <c r="P140" s="17" t="n">
        <v>920.2739868164062</v>
      </c>
      <c r="Q140" s="17" t="n">
        <v>892.898681640625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Q2 2023-24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-3.26%</t>
        </is>
      </c>
      <c r="J141" s="13" t="inlineStr">
        <is>
          <t>-5.35%</t>
        </is>
      </c>
      <c r="K141" s="16">
        <f>X140</f>
        <v/>
      </c>
      <c r="L141" s="13" t="inlineStr">
        <is>
          <t>2023-07-21</t>
        </is>
      </c>
      <c r="M141" s="13" t="inlineStr">
        <is>
          <t>2023-07-26</t>
        </is>
      </c>
      <c r="N141" s="13" t="inlineStr">
        <is>
          <t>2023-07-25</t>
        </is>
      </c>
      <c r="O141" s="9" t="n">
        <v>10687</v>
      </c>
      <c r="P141" s="17" t="n">
        <v>27.74144172668457</v>
      </c>
      <c r="Q141" s="17" t="n">
        <v>26.86539268493652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Q2 2023-24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-0.09%</t>
        </is>
      </c>
      <c r="J142" s="13" t="inlineStr">
        <is>
          <t>0.04%</t>
        </is>
      </c>
      <c r="K142" s="16">
        <f>X141</f>
        <v/>
      </c>
      <c r="L142" s="13" t="inlineStr">
        <is>
          <t>2023-07-24</t>
        </is>
      </c>
      <c r="M142" s="13" t="inlineStr">
        <is>
          <t>2023-07-26</t>
        </is>
      </c>
      <c r="N142" s="13" t="inlineStr">
        <is>
          <t>2023-07-25</t>
        </is>
      </c>
      <c r="O142" s="9" t="n">
        <v>200</v>
      </c>
      <c r="P142" s="17" t="n">
        <v>1103.194458007812</v>
      </c>
      <c r="Q142" s="17" t="n">
        <v>1102.218017578125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Q2 2023-24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-10.16%</t>
        </is>
      </c>
      <c r="J143" s="13" t="inlineStr">
        <is>
          <t>-12.94%</t>
        </is>
      </c>
      <c r="K143" s="16">
        <f>X142</f>
        <v/>
      </c>
      <c r="L143" s="13" t="inlineStr">
        <is>
          <t>2023-07-19</t>
        </is>
      </c>
      <c r="M143" s="13" t="inlineStr">
        <is>
          <t>2023-07-31</t>
        </is>
      </c>
      <c r="N143" s="13" t="inlineStr">
        <is>
          <t>2023-07-25</t>
        </is>
      </c>
      <c r="O143" s="9" t="n">
        <v>12809</v>
      </c>
      <c r="P143" s="17" t="n">
        <v>47.90493392944336</v>
      </c>
      <c r="Q143" s="17" t="n">
        <v>43.48650741577149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Q2 2023-24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0.58%</t>
        </is>
      </c>
      <c r="J144" s="13" t="inlineStr">
        <is>
          <t>1.43%</t>
        </is>
      </c>
      <c r="K144" s="16">
        <f>X143</f>
        <v/>
      </c>
      <c r="L144" s="13" t="inlineStr">
        <is>
          <t>2023-07-19</t>
        </is>
      </c>
      <c r="M144" s="13" t="inlineStr">
        <is>
          <t>2023-07-26</t>
        </is>
      </c>
      <c r="N144" s="13" t="inlineStr">
        <is>
          <t>2023-07-25</t>
        </is>
      </c>
      <c r="O144" s="9" t="n">
        <v>11763</v>
      </c>
      <c r="P144" s="17" t="n">
        <v>32.61721038818359</v>
      </c>
      <c r="Q144" s="17" t="n">
        <v>32.80693054199219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Q2 2023-24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2.23%</t>
        </is>
      </c>
      <c r="J145" s="13" t="inlineStr">
        <is>
          <t>3.72%</t>
        </is>
      </c>
      <c r="K145" s="16">
        <f>X144</f>
        <v/>
      </c>
      <c r="L145" s="13" t="inlineStr">
        <is>
          <t>2023-10-18</t>
        </is>
      </c>
      <c r="M145" s="13" t="inlineStr">
        <is>
          <t>2023-11-03</t>
        </is>
      </c>
      <c r="N145" s="13" t="inlineStr">
        <is>
          <t>2023-10-28</t>
        </is>
      </c>
      <c r="O145" s="9" t="n">
        <v>1500</v>
      </c>
      <c r="P145" s="17" t="n">
        <v>221.2468566894531</v>
      </c>
      <c r="Q145" s="17" t="n">
        <v>226.2839965820312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Q2 2023-24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-0.79%</t>
        </is>
      </c>
      <c r="J146" s="13" t="inlineStr">
        <is>
          <t>-3.65%</t>
        </is>
      </c>
      <c r="K146" s="16">
        <f>X145</f>
        <v/>
      </c>
      <c r="L146" s="13" t="inlineStr">
        <is>
          <t>2023-07-14</t>
        </is>
      </c>
      <c r="M146" s="13" t="inlineStr">
        <is>
          <t>2023-07-26</t>
        </is>
      </c>
      <c r="N146" s="13" t="inlineStr">
        <is>
          <t>2023-07-25</t>
        </is>
      </c>
      <c r="O146" s="9" t="n">
        <v>2996</v>
      </c>
      <c r="P146" s="17" t="n">
        <v>146.5500030517578</v>
      </c>
      <c r="Q146" s="17" t="n">
        <v>145.3999938964844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Q2 2023-24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6.23%</t>
        </is>
      </c>
      <c r="J147" s="13" t="inlineStr">
        <is>
          <t>7.99%</t>
        </is>
      </c>
      <c r="K147" s="16">
        <f>X146</f>
        <v/>
      </c>
      <c r="L147" s="13" t="inlineStr">
        <is>
          <t>2023-07-18</t>
        </is>
      </c>
      <c r="M147" s="13" t="inlineStr">
        <is>
          <t>2023-07-31</t>
        </is>
      </c>
      <c r="N147" s="13" t="inlineStr">
        <is>
          <t>2023-07-25</t>
        </is>
      </c>
      <c r="O147" s="9" t="n">
        <v>551</v>
      </c>
      <c r="P147" s="17" t="n">
        <v>1037.34765625</v>
      </c>
      <c r="Q147" s="17" t="n">
        <v>1101.966552734375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Q2 2023-24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-1.1%</t>
        </is>
      </c>
      <c r="J148" s="13" t="inlineStr">
        <is>
          <t>3.45%</t>
        </is>
      </c>
      <c r="K148" s="16">
        <f>X147</f>
        <v/>
      </c>
      <c r="L148" s="13" t="inlineStr">
        <is>
          <t>2023-07-13</t>
        </is>
      </c>
      <c r="M148" s="13" t="inlineStr">
        <is>
          <t>2023-07-31</t>
        </is>
      </c>
      <c r="N148" s="13" t="inlineStr">
        <is>
          <t>2023-07-25</t>
        </is>
      </c>
      <c r="O148" s="9" t="n">
        <v>100</v>
      </c>
      <c r="P148" s="17" t="n">
        <v>3494.489013671875</v>
      </c>
      <c r="Q148" s="17" t="n">
        <v>3456.63037109375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Q2 2023-24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5.14%</t>
        </is>
      </c>
      <c r="J149" s="13" t="inlineStr">
        <is>
          <t>-2.95%</t>
        </is>
      </c>
      <c r="K149" s="16">
        <f>X148</f>
        <v/>
      </c>
      <c r="L149" s="13" t="inlineStr">
        <is>
          <t>2023-07-20</t>
        </is>
      </c>
      <c r="M149" s="13" t="inlineStr">
        <is>
          <t>2023-07-26</t>
        </is>
      </c>
      <c r="N149" s="13" t="inlineStr">
        <is>
          <t>2023-07-25</t>
        </is>
      </c>
      <c r="O149" s="9" t="n">
        <v>2188</v>
      </c>
      <c r="P149" s="17" t="n">
        <v>154.8599090576172</v>
      </c>
      <c r="Q149" s="17" t="n">
        <v>162.8184509277344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Q2 2023-24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-5.17%</t>
        </is>
      </c>
      <c r="J150" s="13" t="inlineStr">
        <is>
          <t>-5.92%</t>
        </is>
      </c>
      <c r="K150" s="16">
        <f>X149</f>
        <v/>
      </c>
      <c r="L150" s="13" t="inlineStr">
        <is>
          <t>2023-11-01</t>
        </is>
      </c>
      <c r="M150" s="13" t="inlineStr">
        <is>
          <t>2023-11-17</t>
        </is>
      </c>
      <c r="N150" s="13" t="inlineStr">
        <is>
          <t>2023-11-10</t>
        </is>
      </c>
      <c r="O150" s="9" t="n">
        <v>3750</v>
      </c>
      <c r="P150" s="17" t="n">
        <v>169.2684478759766</v>
      </c>
      <c r="Q150" s="17" t="n">
        <v>160.9494018554688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Q2 2023-24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-3.82%</t>
        </is>
      </c>
      <c r="J151" s="13" t="inlineStr">
        <is>
          <t>-3.73%</t>
        </is>
      </c>
      <c r="K151" s="16">
        <f>X150</f>
        <v/>
      </c>
      <c r="L151" s="13" t="inlineStr">
        <is>
          <t>2023-07-13</t>
        </is>
      </c>
      <c r="M151" s="13" t="inlineStr">
        <is>
          <t>2023-07-26</t>
        </is>
      </c>
      <c r="N151" s="13" t="inlineStr">
        <is>
          <t>2023-07-25</t>
        </is>
      </c>
      <c r="O151" s="9" t="n">
        <v>100</v>
      </c>
      <c r="P151" s="17" t="n">
        <v>37770</v>
      </c>
      <c r="Q151" s="17" t="n">
        <v>36380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Q2 2023-24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-3.76%</t>
        </is>
      </c>
      <c r="J152" s="13" t="inlineStr">
        <is>
          <t>-5.2%</t>
        </is>
      </c>
      <c r="K152" s="16">
        <f>X151</f>
        <v/>
      </c>
      <c r="L152" s="13" t="inlineStr">
        <is>
          <t>2023-07-18</t>
        </is>
      </c>
      <c r="M152" s="13" t="inlineStr">
        <is>
          <t>2023-07-26</t>
        </is>
      </c>
      <c r="N152" s="13" t="inlineStr">
        <is>
          <t>2023-07-25</t>
        </is>
      </c>
      <c r="O152" s="9" t="n">
        <v>2806</v>
      </c>
      <c r="P152" s="17" t="n">
        <v>430.8950500488281</v>
      </c>
      <c r="Q152" s="17" t="n">
        <v>415.2979125976562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Q2 2023-24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4.97%</t>
        </is>
      </c>
      <c r="J153" s="13" t="inlineStr">
        <is>
          <t>6.56%</t>
        </is>
      </c>
      <c r="K153" s="16">
        <f>X152</f>
        <v/>
      </c>
      <c r="L153" s="13" t="inlineStr">
        <is>
          <t>2023-07-19</t>
        </is>
      </c>
      <c r="M153" s="13" t="inlineStr">
        <is>
          <t>2023-07-31</t>
        </is>
      </c>
      <c r="N153" s="13" t="inlineStr">
        <is>
          <t>2023-07-25</t>
        </is>
      </c>
      <c r="O153" s="9" t="n">
        <v>750</v>
      </c>
      <c r="P153" s="17" t="n">
        <v>800.4000244140625</v>
      </c>
      <c r="Q153" s="17" t="n">
        <v>842.2999877929688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Q2 2023-24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-3.65%</t>
        </is>
      </c>
      <c r="J154" s="13" t="inlineStr">
        <is>
          <t>-5.7%</t>
        </is>
      </c>
      <c r="K154" s="16">
        <f>X153</f>
        <v/>
      </c>
      <c r="L154" s="13" t="inlineStr">
        <is>
          <t>2023-07-14</t>
        </is>
      </c>
      <c r="M154" s="13" t="inlineStr">
        <is>
          <t>2023-07-31</t>
        </is>
      </c>
      <c r="N154" s="13" t="inlineStr">
        <is>
          <t>2023-07-25</t>
        </is>
      </c>
      <c r="O154" s="9" t="n">
        <v>181</v>
      </c>
      <c r="P154" s="17" t="n">
        <v>2415.802734375</v>
      </c>
      <c r="Q154" s="17" t="n">
        <v>2327.515869140625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Q2 2023-24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-4.17%</t>
        </is>
      </c>
      <c r="J155" s="13" t="inlineStr">
        <is>
          <t>-3.69%</t>
        </is>
      </c>
      <c r="K155" s="16">
        <f>X154</f>
        <v/>
      </c>
      <c r="L155" s="13" t="inlineStr">
        <is>
          <t>2023-07-18</t>
        </is>
      </c>
      <c r="M155" s="13" t="inlineStr">
        <is>
          <t>2023-07-31</t>
        </is>
      </c>
      <c r="N155" s="13" t="inlineStr">
        <is>
          <t>2023-07-25</t>
        </is>
      </c>
      <c r="O155" s="9" t="n">
        <v>3585</v>
      </c>
      <c r="P155" s="17" t="n">
        <v>206.0571594238281</v>
      </c>
      <c r="Q155" s="17" t="n">
        <v>197.8078155517578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Q2 2023-24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-16.36%</t>
        </is>
      </c>
      <c r="J156" s="13" t="inlineStr">
        <is>
          <t>-15.05%</t>
        </is>
      </c>
      <c r="K156" s="16">
        <f>X155</f>
        <v/>
      </c>
      <c r="L156" s="13" t="inlineStr">
        <is>
          <t>2023-07-13</t>
        </is>
      </c>
      <c r="M156" s="13" t="inlineStr">
        <is>
          <t>2023-07-31</t>
        </is>
      </c>
      <c r="N156" s="13" t="inlineStr">
        <is>
          <t>2023-07-25</t>
        </is>
      </c>
      <c r="O156" s="9" t="n">
        <v>2346</v>
      </c>
      <c r="P156" s="17" t="n">
        <v>187.6882476806641</v>
      </c>
      <c r="Q156" s="17" t="n">
        <v>161.3013458251953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Q2 2023-24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-5.93%</t>
        </is>
      </c>
      <c r="J157" s="13" t="inlineStr">
        <is>
          <t>-16.13%</t>
        </is>
      </c>
      <c r="K157" s="16">
        <f>X156</f>
        <v/>
      </c>
      <c r="L157" s="13" t="inlineStr">
        <is>
          <t>2023-07-18</t>
        </is>
      </c>
      <c r="M157" s="13" t="inlineStr">
        <is>
          <t>2023-07-26</t>
        </is>
      </c>
      <c r="N157" s="13" t="inlineStr">
        <is>
          <t>2023-07-25</t>
        </is>
      </c>
      <c r="O157" s="9" t="n">
        <v>1631</v>
      </c>
      <c r="P157" s="17" t="n">
        <v>154.9611511230469</v>
      </c>
      <c r="Q157" s="17" t="n">
        <v>145.7781829833984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Q2 2023-24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-5.7%</t>
        </is>
      </c>
      <c r="J158" s="13" t="inlineStr">
        <is>
          <t>-4.66%</t>
        </is>
      </c>
      <c r="K158" s="16">
        <f>X157</f>
        <v/>
      </c>
      <c r="L158" s="13" t="inlineStr">
        <is>
          <t>2023-07-20</t>
        </is>
      </c>
      <c r="M158" s="13" t="inlineStr">
        <is>
          <t>2023-07-31</t>
        </is>
      </c>
      <c r="N158" s="13" t="inlineStr">
        <is>
          <t>2023-07-25</t>
        </is>
      </c>
      <c r="O158" s="9" t="n">
        <v>529</v>
      </c>
      <c r="P158" s="17" t="n">
        <v>860.379638671875</v>
      </c>
      <c r="Q158" s="17" t="n">
        <v>813.94921875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Q2 2023-24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-2.19%</t>
        </is>
      </c>
      <c r="J159" s="13" t="inlineStr">
        <is>
          <t>-1.46%</t>
        </is>
      </c>
      <c r="K159" s="16">
        <f>X158</f>
        <v/>
      </c>
      <c r="L159" s="13" t="inlineStr">
        <is>
          <t>2023-07-20</t>
        </is>
      </c>
      <c r="M159" s="13" t="inlineStr">
        <is>
          <t>2023-07-26</t>
        </is>
      </c>
      <c r="N159" s="13" t="inlineStr">
        <is>
          <t>2023-07-25</t>
        </is>
      </c>
      <c r="O159" s="9" t="n">
        <v>613</v>
      </c>
      <c r="P159" s="17" t="n">
        <v>1307.511474609375</v>
      </c>
      <c r="Q159" s="17" t="n">
        <v>1278.885498046875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Q2 2023-24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-1.06%</t>
        </is>
      </c>
      <c r="J160" s="13" t="inlineStr">
        <is>
          <t>-0.93%</t>
        </is>
      </c>
      <c r="K160" s="16">
        <f>X159</f>
        <v/>
      </c>
      <c r="L160" s="13" t="inlineStr">
        <is>
          <t>2023-07-14</t>
        </is>
      </c>
      <c r="M160" s="13" t="inlineStr">
        <is>
          <t>2023-07-26</t>
        </is>
      </c>
      <c r="N160" s="13" t="inlineStr">
        <is>
          <t>2023-07-25</t>
        </is>
      </c>
      <c r="O160" s="9" t="n">
        <v>360</v>
      </c>
      <c r="P160" s="17" t="n">
        <v>3591.31005859375</v>
      </c>
      <c r="Q160" s="17" t="n">
        <v>3553.135498046875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Q2 2023-24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-6.85%</t>
        </is>
      </c>
      <c r="J161" s="13" t="inlineStr">
        <is>
          <t>-9.56%</t>
        </is>
      </c>
      <c r="K161" s="16">
        <f>X160</f>
        <v/>
      </c>
      <c r="L161" s="13" t="inlineStr">
        <is>
          <t>2023-07-13</t>
        </is>
      </c>
      <c r="M161" s="13" t="inlineStr">
        <is>
          <t>2023-07-26</t>
        </is>
      </c>
      <c r="N161" s="13" t="inlineStr">
        <is>
          <t>2023-07-25</t>
        </is>
      </c>
      <c r="O161" s="9" t="n">
        <v>8957</v>
      </c>
      <c r="P161" s="17" t="n">
        <v>58.94128036499024</v>
      </c>
      <c r="Q161" s="17" t="n">
        <v>55.16119766235352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Q2 2023-24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-0.44%</t>
        </is>
      </c>
      <c r="J162" s="13" t="inlineStr">
        <is>
          <t>0.22%</t>
        </is>
      </c>
      <c r="K162" s="16">
        <f>X161</f>
        <v/>
      </c>
      <c r="L162" s="13" t="inlineStr">
        <is>
          <t>2023-07-18</t>
        </is>
      </c>
      <c r="M162" s="13" t="inlineStr">
        <is>
          <t>2023-07-31</t>
        </is>
      </c>
      <c r="N162" s="13" t="inlineStr">
        <is>
          <t>2023-07-25</t>
        </is>
      </c>
      <c r="O162" s="9" t="n">
        <v>967</v>
      </c>
      <c r="P162" s="17" t="n">
        <v>631.58154296875</v>
      </c>
      <c r="Q162" s="17" t="n">
        <v>628.7957763671875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Q2 2023-24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-3.35%</t>
        </is>
      </c>
      <c r="J163" s="13" t="inlineStr">
        <is>
          <t>-6.88%</t>
        </is>
      </c>
      <c r="K163" s="16">
        <f>X162</f>
        <v/>
      </c>
      <c r="L163" s="13" t="inlineStr">
        <is>
          <t>2023-07-18</t>
        </is>
      </c>
      <c r="M163" s="13" t="inlineStr">
        <is>
          <t>2023-07-26</t>
        </is>
      </c>
      <c r="N163" s="13" t="inlineStr">
        <is>
          <t>2023-07-25</t>
        </is>
      </c>
      <c r="O163" s="9" t="n">
        <v>627</v>
      </c>
      <c r="P163" s="17" t="n">
        <v>736.9500122070312</v>
      </c>
      <c r="Q163" s="17" t="n">
        <v>712.25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Q2 2023-24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0.92%</t>
        </is>
      </c>
      <c r="J164" s="13" t="inlineStr">
        <is>
          <t>0.9%</t>
        </is>
      </c>
      <c r="K164" s="16">
        <f>X163</f>
        <v/>
      </c>
      <c r="L164" s="13" t="inlineStr">
        <is>
          <t>2023-07-20</t>
        </is>
      </c>
      <c r="M164" s="13" t="inlineStr">
        <is>
          <t>2023-07-26</t>
        </is>
      </c>
      <c r="N164" s="13" t="inlineStr">
        <is>
          <t>2023-07-25</t>
        </is>
      </c>
      <c r="O164" s="9" t="n">
        <v>112</v>
      </c>
      <c r="P164" s="17" t="n">
        <v>4604.69384765625</v>
      </c>
      <c r="Q164" s="17" t="n">
        <v>4647.55029296875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Q2 2023-24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-1.55%</t>
        </is>
      </c>
      <c r="J165" s="13" t="inlineStr">
        <is>
          <t>-1.02%</t>
        </is>
      </c>
      <c r="K165" s="16">
        <f>X164</f>
        <v/>
      </c>
      <c r="L165" s="13" t="inlineStr">
        <is>
          <t>2023-11-07</t>
        </is>
      </c>
      <c r="M165" s="13" t="inlineStr">
        <is>
          <t>2023-11-16</t>
        </is>
      </c>
      <c r="N165" s="13" t="inlineStr">
        <is>
          <t>2023-11-08</t>
        </is>
      </c>
      <c r="O165" s="9" t="n">
        <v>1800</v>
      </c>
      <c r="P165" s="17" t="n">
        <v>190.7156982421875</v>
      </c>
      <c r="Q165" s="17" t="n">
        <v>187.8079223632812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Q2 2023-24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2023-07-25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Q2 2023-24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-0.24%</t>
        </is>
      </c>
      <c r="J167" s="13" t="inlineStr">
        <is>
          <t>-4.95%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2023-07-25</t>
        </is>
      </c>
      <c r="O167" s="9" t="n">
        <v>1017</v>
      </c>
      <c r="P167" s="17" t="n">
        <v>840.2365112304688</v>
      </c>
      <c r="Q167" s="17" t="n">
        <v>838.2405395507812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Q2 2023-24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-5.33%</t>
        </is>
      </c>
      <c r="J168" s="13" t="inlineStr">
        <is>
          <t>-9.11%</t>
        </is>
      </c>
      <c r="K168" s="16">
        <f>X167</f>
        <v/>
      </c>
      <c r="L168" s="13" t="inlineStr">
        <is>
          <t>2023-07-18</t>
        </is>
      </c>
      <c r="M168" s="13" t="inlineStr">
        <is>
          <t>2023-07-31</t>
        </is>
      </c>
      <c r="N168" s="13" t="inlineStr">
        <is>
          <t>2023-07-25</t>
        </is>
      </c>
      <c r="O168" s="9" t="n">
        <v>627</v>
      </c>
      <c r="P168" s="17" t="n">
        <v>585.9378051757812</v>
      </c>
      <c r="Q168" s="17" t="n">
        <v>556.2726440429688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Q2 2023-24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-0.58%</t>
        </is>
      </c>
      <c r="J169" s="13" t="inlineStr">
        <is>
          <t>-1.6%</t>
        </is>
      </c>
      <c r="K169" s="16">
        <f>X168</f>
        <v/>
      </c>
      <c r="L169" s="13" t="inlineStr">
        <is>
          <t>2023-07-13</t>
        </is>
      </c>
      <c r="M169" s="13" t="inlineStr">
        <is>
          <t>2023-07-26</t>
        </is>
      </c>
      <c r="N169" s="13" t="inlineStr">
        <is>
          <t>2023-07-25</t>
        </is>
      </c>
      <c r="O169" s="9" t="n">
        <v>229</v>
      </c>
      <c r="P169" s="17" t="n">
        <v>1351.092529296875</v>
      </c>
      <c r="Q169" s="17" t="n">
        <v>1343.353759765625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Q2 2023-24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-8.9%</t>
        </is>
      </c>
      <c r="J170" s="13" t="inlineStr">
        <is>
          <t>-14.54%</t>
        </is>
      </c>
      <c r="K170" s="16">
        <f>X169</f>
        <v/>
      </c>
      <c r="L170" s="13" t="inlineStr">
        <is>
          <t>2023-07-20</t>
        </is>
      </c>
      <c r="M170" s="13" t="inlineStr">
        <is>
          <t>2023-07-26</t>
        </is>
      </c>
      <c r="N170" s="13" t="inlineStr">
        <is>
          <t>2023-07-25</t>
        </is>
      </c>
      <c r="O170" s="9" t="n">
        <v>2645</v>
      </c>
      <c r="P170" s="17" t="n">
        <v>235.158920288086</v>
      </c>
      <c r="Q170" s="17" t="n">
        <v>215.939193725586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Q2 2023-24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-0.29%</t>
        </is>
      </c>
      <c r="J171" s="13" t="inlineStr">
        <is>
          <t>-1.81%</t>
        </is>
      </c>
      <c r="K171" s="16">
        <f>X170</f>
        <v/>
      </c>
      <c r="L171" s="13" t="inlineStr">
        <is>
          <t>2025-10-15</t>
        </is>
      </c>
      <c r="M171" s="13" t="inlineStr">
        <is>
          <t>2025-10-20</t>
        </is>
      </c>
      <c r="N171" s="13" t="inlineStr">
        <is>
          <t>2025-10-17</t>
        </is>
      </c>
      <c r="O171" s="9" t="n">
        <v>2667</v>
      </c>
      <c r="P171" s="17" t="n">
        <v>363.1726379394531</v>
      </c>
      <c r="Q171" s="17" t="n">
        <v>362.1096496582031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Q2 2023-24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-2.76%</t>
        </is>
      </c>
      <c r="J172" s="13" t="inlineStr">
        <is>
          <t>-3.99%</t>
        </is>
      </c>
      <c r="K172" s="16">
        <f>X171</f>
        <v/>
      </c>
      <c r="L172" s="13" t="inlineStr">
        <is>
          <t>2023-10-25</t>
        </is>
      </c>
      <c r="M172" s="13" t="inlineStr">
        <is>
          <t>2023-11-02</t>
        </is>
      </c>
      <c r="N172" s="13" t="inlineStr">
        <is>
          <t>2023-10-27</t>
        </is>
      </c>
      <c r="O172" s="9" t="n">
        <v>250</v>
      </c>
      <c r="P172" s="17" t="n">
        <v>1146.276733398438</v>
      </c>
      <c r="Q172" s="17" t="n">
        <v>1115.522705078125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Q2 2023-24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-13.15%</t>
        </is>
      </c>
      <c r="J173" s="13" t="inlineStr">
        <is>
          <t>-15.26%</t>
        </is>
      </c>
      <c r="K173" s="16">
        <f>X172</f>
        <v/>
      </c>
      <c r="L173" s="13" t="inlineStr">
        <is>
          <t>2023-07-13</t>
        </is>
      </c>
      <c r="M173" s="13" t="inlineStr">
        <is>
          <t>2023-07-26</t>
        </is>
      </c>
      <c r="N173" s="13" t="inlineStr">
        <is>
          <t>2023-07-25</t>
        </is>
      </c>
      <c r="O173" s="9" t="n">
        <v>4486</v>
      </c>
      <c r="P173" s="17" t="n">
        <v>132.3290100097656</v>
      </c>
      <c r="Q173" s="17" t="n">
        <v>116.9522399902344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Q2 2023-24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-2.52%</t>
        </is>
      </c>
      <c r="J174" s="13" t="inlineStr">
        <is>
          <t>-10.72%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2023-07-25</t>
        </is>
      </c>
      <c r="O174" s="9" t="n">
        <v>21748</v>
      </c>
      <c r="P174" s="17" t="n">
        <v>29.29071998596192</v>
      </c>
      <c r="Q174" s="17" t="n">
        <v>28.55146026611328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Q2 2023-24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-4.19%</t>
        </is>
      </c>
      <c r="J175" s="13" t="inlineStr">
        <is>
          <t>-8.31%</t>
        </is>
      </c>
      <c r="K175" s="16">
        <f>X174</f>
        <v/>
      </c>
      <c r="L175" s="13" t="inlineStr">
        <is>
          <t>2023-07-19</t>
        </is>
      </c>
      <c r="M175" s="13" t="inlineStr">
        <is>
          <t>2023-07-31</t>
        </is>
      </c>
      <c r="N175" s="13" t="inlineStr">
        <is>
          <t>2023-07-25</t>
        </is>
      </c>
      <c r="O175" s="9" t="n">
        <v>5915</v>
      </c>
      <c r="P175" s="17" t="n">
        <v>91.51116180419922</v>
      </c>
      <c r="Q175" s="17" t="n">
        <v>87.83524322509766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Q2 2023-24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-4.51%</t>
        </is>
      </c>
      <c r="J176" s="13" t="inlineStr">
        <is>
          <t>-8.72%</t>
        </is>
      </c>
      <c r="K176" s="16">
        <f>X175</f>
        <v/>
      </c>
      <c r="L176" s="13" t="inlineStr">
        <is>
          <t>2023-07-13</t>
        </is>
      </c>
      <c r="M176" s="13" t="inlineStr">
        <is>
          <t>2023-07-26</t>
        </is>
      </c>
      <c r="N176" s="13" t="inlineStr">
        <is>
          <t>2023-07-25</t>
        </is>
      </c>
      <c r="O176" s="9" t="n">
        <v>1550</v>
      </c>
      <c r="P176" s="17" t="n">
        <v>874.05</v>
      </c>
      <c r="Q176" s="17" t="n">
        <v>836.3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Q2 2023-24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5.21%</t>
        </is>
      </c>
      <c r="J177" s="13" t="inlineStr">
        <is>
          <t>4.22%</t>
        </is>
      </c>
      <c r="K177" s="16">
        <f>X176</f>
        <v/>
      </c>
      <c r="L177" s="13" t="inlineStr">
        <is>
          <t>2021-07-23</t>
        </is>
      </c>
      <c r="M177" s="13" t="inlineStr">
        <is>
          <t>2021-07-27</t>
        </is>
      </c>
      <c r="N177" s="13" t="inlineStr">
        <is>
          <t>2021-07-26</t>
        </is>
      </c>
      <c r="O177" s="9" t="n">
        <v>375</v>
      </c>
      <c r="P177" s="17" t="n">
        <v>1040.73681640625</v>
      </c>
      <c r="Q177" s="17" t="n">
        <v>1094.93115234375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Q2 2023-24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0.28%</t>
        </is>
      </c>
      <c r="J178" s="13" t="inlineStr">
        <is>
          <t>-0.19%</t>
        </is>
      </c>
      <c r="K178" s="16">
        <f>X177</f>
        <v/>
      </c>
      <c r="L178" s="13" t="inlineStr">
        <is>
          <t>2023-11-03</t>
        </is>
      </c>
      <c r="M178" s="13" t="inlineStr">
        <is>
          <t>2023-11-07</t>
        </is>
      </c>
      <c r="N178" s="13" t="inlineStr">
        <is>
          <t>2023-11-04</t>
        </is>
      </c>
      <c r="O178" s="9" t="n">
        <v>1500</v>
      </c>
      <c r="P178" s="17" t="n">
        <v>547.5521240234375</v>
      </c>
      <c r="Q178" s="17" t="n">
        <v>549.0673828125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Q2 2023-24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0.5%</t>
        </is>
      </c>
      <c r="J179" s="13" t="inlineStr">
        <is>
          <t>-2.56%</t>
        </is>
      </c>
      <c r="K179" s="16">
        <f>X178</f>
        <v/>
      </c>
      <c r="L179" s="13" t="inlineStr">
        <is>
          <t>2023-07-13</t>
        </is>
      </c>
      <c r="M179" s="13" t="inlineStr">
        <is>
          <t>2023-07-26</t>
        </is>
      </c>
      <c r="N179" s="13" t="inlineStr">
        <is>
          <t>2023-07-25</t>
        </is>
      </c>
      <c r="O179" s="9" t="n">
        <v>100</v>
      </c>
      <c r="P179" s="17" t="n">
        <v>23842.90625</v>
      </c>
      <c r="Q179" s="17" t="n">
        <v>23962.896484375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Q2 2023-24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8.75%</t>
        </is>
      </c>
      <c r="J180" s="13" t="inlineStr">
        <is>
          <t>6.78%</t>
        </is>
      </c>
      <c r="K180" s="16">
        <f>X179</f>
        <v/>
      </c>
      <c r="L180" s="13" t="inlineStr">
        <is>
          <t>2023-10-26</t>
        </is>
      </c>
      <c r="M180" s="13" t="inlineStr">
        <is>
          <t>2023-11-02</t>
        </is>
      </c>
      <c r="N180" s="13" t="inlineStr">
        <is>
          <t>2023-10-26</t>
        </is>
      </c>
      <c r="O180" s="9" t="n">
        <v>957</v>
      </c>
      <c r="P180" s="17" t="n">
        <v>342.9010925292969</v>
      </c>
      <c r="Q180" s="17" t="n">
        <v>372.8972778320313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Q2 2023-24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0.94%</t>
        </is>
      </c>
      <c r="J181" s="13" t="inlineStr">
        <is>
          <t>-1.18%</t>
        </is>
      </c>
      <c r="K181" s="16">
        <f>X180</f>
        <v/>
      </c>
      <c r="L181" s="13" t="inlineStr">
        <is>
          <t>2023-07-13</t>
        </is>
      </c>
      <c r="M181" s="13" t="inlineStr">
        <is>
          <t>2023-07-26</t>
        </is>
      </c>
      <c r="N181" s="13" t="inlineStr">
        <is>
          <t>2023-07-25</t>
        </is>
      </c>
      <c r="O181" s="9" t="n">
        <v>273</v>
      </c>
      <c r="P181" s="17" t="n">
        <v>2161.607177734375</v>
      </c>
      <c r="Q181" s="17" t="n">
        <v>2181.870361328125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Q2 2023-24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3.16%</t>
        </is>
      </c>
      <c r="J182" s="13" t="inlineStr">
        <is>
          <t>0.77%</t>
        </is>
      </c>
      <c r="K182" s="16">
        <f>X181</f>
        <v/>
      </c>
      <c r="L182" s="13" t="inlineStr">
        <is>
          <t>2023-07-14</t>
        </is>
      </c>
      <c r="M182" s="13" t="inlineStr">
        <is>
          <t>2023-07-31</t>
        </is>
      </c>
      <c r="N182" s="13" t="inlineStr">
        <is>
          <t>2023-07-25</t>
        </is>
      </c>
      <c r="O182" s="9" t="n">
        <v>100</v>
      </c>
      <c r="P182" s="17" t="n">
        <v>3677.146240234375</v>
      </c>
      <c r="Q182" s="17" t="n">
        <v>3793.22216796875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Q2 2023-24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-4.92%</t>
        </is>
      </c>
      <c r="J183" s="13" t="inlineStr">
        <is>
          <t>-9.76%</t>
        </is>
      </c>
      <c r="K183" s="16">
        <f>X182</f>
        <v/>
      </c>
      <c r="L183" s="13" t="inlineStr">
        <is>
          <t>2023-07-18</t>
        </is>
      </c>
      <c r="M183" s="13" t="inlineStr">
        <is>
          <t>2023-07-31</t>
        </is>
      </c>
      <c r="N183" s="13" t="inlineStr">
        <is>
          <t>2023-07-25</t>
        </is>
      </c>
      <c r="O183" s="9" t="n">
        <v>1309</v>
      </c>
      <c r="P183" s="17" t="n">
        <v>560.2328491210938</v>
      </c>
      <c r="Q183" s="17" t="n">
        <v>533.9457397460938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Q2 2023-24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3.21%</t>
        </is>
      </c>
      <c r="J184" s="13" t="inlineStr">
        <is>
          <t>3.19%</t>
        </is>
      </c>
      <c r="K184" s="16">
        <f>X183</f>
        <v/>
      </c>
      <c r="L184" s="13" t="inlineStr">
        <is>
          <t>2023-07-20</t>
        </is>
      </c>
      <c r="M184" s="13" t="inlineStr">
        <is>
          <t>2023-07-31</t>
        </is>
      </c>
      <c r="N184" s="13" t="inlineStr">
        <is>
          <t>2023-07-25</t>
        </is>
      </c>
      <c r="O184" s="9" t="n">
        <v>383</v>
      </c>
      <c r="P184" s="17" t="n">
        <v>2146.966064453125</v>
      </c>
      <c r="Q184" s="17" t="n">
        <v>2218.232666015625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Q2 2023-24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12.02%</t>
        </is>
      </c>
      <c r="J185" s="13" t="inlineStr">
        <is>
          <t>11.46%</t>
        </is>
      </c>
      <c r="K185" s="16">
        <f>X184</f>
        <v/>
      </c>
      <c r="L185" s="13" t="inlineStr">
        <is>
          <t>2024-01-19</t>
        </is>
      </c>
      <c r="M185" s="13" t="inlineStr">
        <is>
          <t>2024-02-07</t>
        </is>
      </c>
      <c r="N185" s="13" t="inlineStr">
        <is>
          <t>2024-01-31</t>
        </is>
      </c>
      <c r="O185" s="9" t="n">
        <v>350</v>
      </c>
      <c r="P185" s="17" t="n">
        <v>1299.712524414062</v>
      </c>
      <c r="Q185" s="17" t="n">
        <v>1455.9970703125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Q2 2023-24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-10.29%</t>
        </is>
      </c>
      <c r="J186" s="13" t="inlineStr">
        <is>
          <t>-13.6%</t>
        </is>
      </c>
      <c r="K186" s="16">
        <f>X185</f>
        <v/>
      </c>
      <c r="L186" s="13" t="inlineStr">
        <is>
          <t>2023-07-14</t>
        </is>
      </c>
      <c r="M186" s="13" t="inlineStr">
        <is>
          <t>2023-07-26</t>
        </is>
      </c>
      <c r="N186" s="13" t="inlineStr">
        <is>
          <t>2023-07-25</t>
        </is>
      </c>
      <c r="O186" s="9" t="n">
        <v>289</v>
      </c>
      <c r="P186" s="17" t="n">
        <v>3609.1806640625</v>
      </c>
      <c r="Q186" s="17" t="n">
        <v>3272.438720703125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Q2 2023-24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7.06%</t>
        </is>
      </c>
      <c r="J187" s="13" t="inlineStr">
        <is>
          <t>0.41%</t>
        </is>
      </c>
      <c r="K187" s="16">
        <f>X186</f>
        <v/>
      </c>
      <c r="L187" s="13" t="inlineStr">
        <is>
          <t>2023-07-14</t>
        </is>
      </c>
      <c r="M187" s="13" t="inlineStr">
        <is>
          <t>2023-07-31</t>
        </is>
      </c>
      <c r="N187" s="13" t="inlineStr">
        <is>
          <t>2023-07-25</t>
        </is>
      </c>
      <c r="O187" s="9" t="n">
        <v>21097</v>
      </c>
      <c r="P187" s="17" t="n">
        <v>17.70000076293945</v>
      </c>
      <c r="Q187" s="17" t="n">
        <v>18.95000076293945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Q2 2023-24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-5.55%</t>
        </is>
      </c>
      <c r="J188" s="13" t="inlineStr">
        <is>
          <t>-2.64%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2023-07-25</t>
        </is>
      </c>
      <c r="O188" s="9" t="n">
        <v>3379</v>
      </c>
      <c r="P188" s="17" t="n">
        <v>456</v>
      </c>
      <c r="Q188" s="17" t="n">
        <v>430.7000122070313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Q2 2023-24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-3.47%</t>
        </is>
      </c>
      <c r="J189" s="13" t="inlineStr">
        <is>
          <t>-3.32%</t>
        </is>
      </c>
      <c r="K189" s="16">
        <f>X188</f>
        <v/>
      </c>
      <c r="L189" s="13" t="inlineStr">
        <is>
          <t>2023-10-27</t>
        </is>
      </c>
      <c r="M189" s="13" t="inlineStr">
        <is>
          <t>2023-11-07</t>
        </is>
      </c>
      <c r="N189" s="13" t="inlineStr">
        <is>
          <t>2023-10-31</t>
        </is>
      </c>
      <c r="O189" s="9" t="n">
        <v>450</v>
      </c>
      <c r="P189" s="17" t="n">
        <v>901.3724365234376</v>
      </c>
      <c r="Q189" s="17" t="n">
        <v>871.116455078125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Q2 2023-24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7.39%</t>
        </is>
      </c>
      <c r="J190" s="13" t="inlineStr">
        <is>
          <t>-0.11%</t>
        </is>
      </c>
      <c r="K190" s="16">
        <f>X189</f>
        <v/>
      </c>
      <c r="L190" s="13" t="inlineStr">
        <is>
          <t>2023-07-14</t>
        </is>
      </c>
      <c r="M190" s="13" t="inlineStr">
        <is>
          <t>2023-07-31</t>
        </is>
      </c>
      <c r="N190" s="13" t="inlineStr">
        <is>
          <t>2023-07-25</t>
        </is>
      </c>
      <c r="O190" s="9" t="n">
        <v>273</v>
      </c>
      <c r="P190" s="17" t="n">
        <v>6887.45751953125</v>
      </c>
      <c r="Q190" s="17" t="n">
        <v>7437.10595703125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Q2 2023-24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2.2%</t>
        </is>
      </c>
      <c r="J191" s="13" t="inlineStr">
        <is>
          <t>-1.02%</t>
        </is>
      </c>
      <c r="K191" s="16">
        <f>X190</f>
        <v/>
      </c>
      <c r="L191" s="13" t="inlineStr">
        <is>
          <t>2023-07-21</t>
        </is>
      </c>
      <c r="M191" s="13" t="inlineStr">
        <is>
          <t>2023-07-26</t>
        </is>
      </c>
      <c r="N191" s="13" t="inlineStr">
        <is>
          <t>2023-07-25</t>
        </is>
      </c>
      <c r="O191" s="9" t="n">
        <v>1425</v>
      </c>
      <c r="P191" s="17" t="n">
        <v>626.25</v>
      </c>
      <c r="Q191" s="17" t="n">
        <v>640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Q2 2023-24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-6.86%</t>
        </is>
      </c>
      <c r="J192" s="13" t="inlineStr">
        <is>
          <t>-9.18%</t>
        </is>
      </c>
      <c r="K192" s="16">
        <f>X191</f>
        <v/>
      </c>
      <c r="L192" s="13" t="inlineStr">
        <is>
          <t>2023-07-18</t>
        </is>
      </c>
      <c r="M192" s="13" t="inlineStr">
        <is>
          <t>2023-07-31</t>
        </is>
      </c>
      <c r="N192" s="13" t="inlineStr">
        <is>
          <t>2023-07-25</t>
        </is>
      </c>
      <c r="O192" s="9" t="n">
        <v>2659</v>
      </c>
      <c r="P192" s="17" t="n">
        <v>232.7878112792969</v>
      </c>
      <c r="Q192" s="17" t="n">
        <v>217.8390502929688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Q2 2023-24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3.29%</t>
        </is>
      </c>
      <c r="J193" s="13" t="inlineStr">
        <is>
          <t>3.95%</t>
        </is>
      </c>
      <c r="K193" s="16">
        <f>X192</f>
        <v/>
      </c>
      <c r="L193" s="13" t="inlineStr">
        <is>
          <t>2023-10-20</t>
        </is>
      </c>
      <c r="M193" s="13" t="inlineStr">
        <is>
          <t>2023-11-08</t>
        </is>
      </c>
      <c r="N193" s="13" t="inlineStr">
        <is>
          <t>2023-11-01</t>
        </is>
      </c>
      <c r="O193" s="9" t="n">
        <v>5500</v>
      </c>
      <c r="P193" s="17" t="n">
        <v>111.7350387573242</v>
      </c>
      <c r="Q193" s="17" t="n">
        <v>115.5361785888672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Q2 2023-24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1.4%</t>
        </is>
      </c>
      <c r="J194" s="13" t="inlineStr">
        <is>
          <t>1.68%</t>
        </is>
      </c>
      <c r="K194" s="16">
        <f>X193</f>
        <v/>
      </c>
      <c r="L194" s="13" t="inlineStr">
        <is>
          <t>2023-10-06</t>
        </is>
      </c>
      <c r="M194" s="13" t="inlineStr">
        <is>
          <t>2023-10-13</t>
        </is>
      </c>
      <c r="N194" s="13" t="inlineStr">
        <is>
          <t>2023-10-11</t>
        </is>
      </c>
      <c r="O194" s="9" t="n">
        <v>175</v>
      </c>
      <c r="P194" s="17" t="n">
        <v>3272.656005859375</v>
      </c>
      <c r="Q194" s="17" t="n">
        <v>3318.984619140625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Q2 2023-24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1.28%</t>
        </is>
      </c>
      <c r="J195" s="13" t="inlineStr">
        <is>
          <t>0.12%</t>
        </is>
      </c>
      <c r="K195" s="16">
        <f>X194</f>
        <v/>
      </c>
      <c r="L195" s="13" t="inlineStr">
        <is>
          <t>2023-10-25</t>
        </is>
      </c>
      <c r="M195" s="13" t="inlineStr">
        <is>
          <t>2023-11-02</t>
        </is>
      </c>
      <c r="N195" s="13" t="inlineStr">
        <is>
          <t>2023-10-26</t>
        </is>
      </c>
      <c r="O195" s="9" t="n">
        <v>600</v>
      </c>
      <c r="P195" s="17" t="n">
        <v>1028.216430664062</v>
      </c>
      <c r="Q195" s="17" t="n">
        <v>1041.552490234375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Q2 2023-24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2.42%</t>
        </is>
      </c>
      <c r="J196" s="13" t="inlineStr">
        <is>
          <t>-3.4%</t>
        </is>
      </c>
      <c r="K196" s="16">
        <f>X195</f>
        <v/>
      </c>
      <c r="L196" s="13" t="inlineStr">
        <is>
          <t>2023-07-19</t>
        </is>
      </c>
      <c r="M196" s="13" t="inlineStr">
        <is>
          <t>2023-07-26</t>
        </is>
      </c>
      <c r="N196" s="13" t="inlineStr">
        <is>
          <t>2023-07-25</t>
        </is>
      </c>
      <c r="O196" s="9" t="n">
        <v>371</v>
      </c>
      <c r="P196" s="17" t="n">
        <v>3106.26513671875</v>
      </c>
      <c r="Q196" s="17" t="n">
        <v>3183.2060546875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Q2 2023-24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-0.09%</t>
        </is>
      </c>
      <c r="J197" s="13" t="inlineStr">
        <is>
          <t>-0.31%</t>
        </is>
      </c>
      <c r="K197" s="16">
        <f>X196</f>
        <v/>
      </c>
      <c r="L197" s="13" t="inlineStr">
        <is>
          <t>2023-08-03</t>
        </is>
      </c>
      <c r="M197" s="13" t="inlineStr">
        <is>
          <t>2023-08-07</t>
        </is>
      </c>
      <c r="N197" s="13" t="inlineStr">
        <is>
          <t>2023-08-03</t>
        </is>
      </c>
      <c r="O197" s="9" t="n">
        <v>175</v>
      </c>
      <c r="P197" s="17" t="n">
        <v>2877</v>
      </c>
      <c r="Q197" s="17" t="n">
        <v>2874.523681640625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Q2 2023-24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-3.29%</t>
        </is>
      </c>
      <c r="J198" s="13" t="inlineStr">
        <is>
          <t>-4.13%</t>
        </is>
      </c>
      <c r="K198" s="16">
        <f>X197</f>
        <v/>
      </c>
      <c r="L198" s="13" t="inlineStr">
        <is>
          <t>2023-07-21</t>
        </is>
      </c>
      <c r="M198" s="13" t="inlineStr">
        <is>
          <t>2023-07-31</t>
        </is>
      </c>
      <c r="N198" s="13" t="inlineStr">
        <is>
          <t>2023-07-25</t>
        </is>
      </c>
      <c r="O198" s="9" t="n">
        <v>3054</v>
      </c>
      <c r="P198" s="17" t="n">
        <v>629.6539306640625</v>
      </c>
      <c r="Q198" s="17" t="n">
        <v>609.6256103515625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Q2 2023-24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3.19%</t>
        </is>
      </c>
      <c r="J199" s="13" t="inlineStr">
        <is>
          <t>1.41%</t>
        </is>
      </c>
      <c r="K199" s="16">
        <f>X198</f>
        <v/>
      </c>
      <c r="L199" s="13" t="inlineStr">
        <is>
          <t>2023-07-24</t>
        </is>
      </c>
      <c r="M199" s="13" t="inlineStr">
        <is>
          <t>2023-07-31</t>
        </is>
      </c>
      <c r="N199" s="13" t="inlineStr">
        <is>
          <t>2023-07-25</t>
        </is>
      </c>
      <c r="O199" s="9" t="n">
        <v>205</v>
      </c>
      <c r="P199" s="17" t="n">
        <v>1885.700561523437</v>
      </c>
      <c r="Q199" s="17" t="n">
        <v>1945.788452148437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Q2 2023-24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14.33%</t>
        </is>
      </c>
      <c r="J200" s="13" t="inlineStr">
        <is>
          <t>12.95%</t>
        </is>
      </c>
      <c r="K200" s="16">
        <f>X199</f>
        <v/>
      </c>
      <c r="L200" s="13" t="inlineStr">
        <is>
          <t>2023-11-06</t>
        </is>
      </c>
      <c r="M200" s="13" t="inlineStr">
        <is>
          <t>2023-11-15</t>
        </is>
      </c>
      <c r="N200" s="13" t="inlineStr">
        <is>
          <t>2023-11-07</t>
        </is>
      </c>
      <c r="O200" s="9" t="n">
        <v>345</v>
      </c>
      <c r="P200" s="17" t="n">
        <v>2227.599365234375</v>
      </c>
      <c r="Q200" s="17" t="n">
        <v>2546.746826171875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Q2 2023-24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-2.84%</t>
        </is>
      </c>
      <c r="J201" s="13" t="inlineStr">
        <is>
          <t>-3.12%</t>
        </is>
      </c>
      <c r="K201" s="16">
        <f>X200</f>
        <v/>
      </c>
      <c r="L201" s="13" t="inlineStr">
        <is>
          <t>2023-07-19</t>
        </is>
      </c>
      <c r="M201" s="13" t="inlineStr">
        <is>
          <t>2023-07-26</t>
        </is>
      </c>
      <c r="N201" s="13" t="inlineStr">
        <is>
          <t>2023-07-25</t>
        </is>
      </c>
      <c r="O201" s="9" t="n">
        <v>237</v>
      </c>
      <c r="P201" s="17" t="n">
        <v>1356.262451171875</v>
      </c>
      <c r="Q201" s="17" t="n">
        <v>1318.749145507812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Q2 2023-24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-4.75%</t>
        </is>
      </c>
      <c r="J202" s="13" t="inlineStr">
        <is>
          <t>-5.73%</t>
        </is>
      </c>
      <c r="K202" s="16">
        <f>X201</f>
        <v/>
      </c>
      <c r="L202" s="13" t="inlineStr">
        <is>
          <t>2024-01-12</t>
        </is>
      </c>
      <c r="M202" s="13" t="inlineStr">
        <is>
          <t>2024-01-29</t>
        </is>
      </c>
      <c r="N202" s="13" t="inlineStr">
        <is>
          <t>2024-01-19</t>
        </is>
      </c>
      <c r="O202" s="9" t="n">
        <v>100</v>
      </c>
      <c r="P202" s="17" t="n">
        <v>10149.1484375</v>
      </c>
      <c r="Q202" s="17" t="n">
        <v>9689.208984375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Q2 2023-24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1.82%</t>
        </is>
      </c>
      <c r="J203" s="13" t="inlineStr">
        <is>
          <t>0.27%</t>
        </is>
      </c>
      <c r="K203" s="16">
        <f>X202</f>
        <v/>
      </c>
      <c r="L203" s="13" t="inlineStr">
        <is>
          <t>2023-07-21</t>
        </is>
      </c>
      <c r="M203" s="13" t="inlineStr">
        <is>
          <t>2023-07-31</t>
        </is>
      </c>
      <c r="N203" s="13" t="inlineStr">
        <is>
          <t>2023-07-25</t>
        </is>
      </c>
      <c r="O203" s="9" t="n">
        <v>5868</v>
      </c>
      <c r="P203" s="17" t="n">
        <v>80.00392150878906</v>
      </c>
      <c r="Q203" s="17" t="n">
        <v>81.46199798583984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Q2 2023-24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-4.62%</t>
        </is>
      </c>
      <c r="J204" s="13" t="inlineStr">
        <is>
          <t>-4.42%</t>
        </is>
      </c>
      <c r="K204" s="16">
        <f>X203</f>
        <v/>
      </c>
      <c r="L204" s="13" t="inlineStr">
        <is>
          <t>2023-07-19</t>
        </is>
      </c>
      <c r="M204" s="13" t="inlineStr">
        <is>
          <t>2023-07-31</t>
        </is>
      </c>
      <c r="N204" s="13" t="inlineStr">
        <is>
          <t>2023-07-25</t>
        </is>
      </c>
      <c r="O204" s="9" t="n">
        <v>652</v>
      </c>
      <c r="P204" s="17" t="n">
        <v>987.0960693359376</v>
      </c>
      <c r="Q204" s="17" t="n">
        <v>943.4669799804688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Q2 2023-24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1.4%</t>
        </is>
      </c>
      <c r="J205" s="13" t="inlineStr">
        <is>
          <t>-3.59%</t>
        </is>
      </c>
      <c r="K205" s="16">
        <f>X204</f>
        <v/>
      </c>
      <c r="L205" s="13" t="inlineStr">
        <is>
          <t>2023-07-14</t>
        </is>
      </c>
      <c r="M205" s="13" t="inlineStr">
        <is>
          <t>2023-07-31</t>
        </is>
      </c>
      <c r="N205" s="13" t="inlineStr">
        <is>
          <t>2023-07-25</t>
        </is>
      </c>
      <c r="O205" s="9" t="n">
        <v>852</v>
      </c>
      <c r="P205" s="17" t="n">
        <v>581.9067993164062</v>
      </c>
      <c r="Q205" s="17" t="n">
        <v>590.0363159179688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Q2 2023-24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2.26%</t>
        </is>
      </c>
      <c r="J206" s="13" t="inlineStr">
        <is>
          <t>2.95%</t>
        </is>
      </c>
      <c r="K206" s="16">
        <f>X205</f>
        <v/>
      </c>
      <c r="L206" s="13" t="inlineStr">
        <is>
          <t>2023-07-19</t>
        </is>
      </c>
      <c r="M206" s="13" t="inlineStr">
        <is>
          <t>2023-07-31</t>
        </is>
      </c>
      <c r="N206" s="13" t="inlineStr">
        <is>
          <t>2023-07-25</t>
        </is>
      </c>
      <c r="O206" s="9" t="n">
        <v>1659</v>
      </c>
      <c r="P206" s="17" t="n">
        <v>602.5576782226562</v>
      </c>
      <c r="Q206" s="17" t="n">
        <v>616.4955444335938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Q2 2023-24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0.7%</t>
        </is>
      </c>
      <c r="J207" s="13" t="inlineStr">
        <is>
          <t>-0.15%</t>
        </is>
      </c>
      <c r="K207" s="16">
        <f>X206</f>
        <v/>
      </c>
      <c r="L207" s="13" t="inlineStr">
        <is>
          <t>2023-07-20</t>
        </is>
      </c>
      <c r="M207" s="13" t="inlineStr">
        <is>
          <t>2023-07-26</t>
        </is>
      </c>
      <c r="N207" s="13" t="inlineStr">
        <is>
          <t>2023-07-25</t>
        </is>
      </c>
      <c r="O207" s="9" t="n">
        <v>2215</v>
      </c>
      <c r="P207" s="17" t="n">
        <v>320.1201782226562</v>
      </c>
      <c r="Q207" s="17" t="n">
        <v>322.3815307617188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Q2 2023-24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-0.81%</t>
        </is>
      </c>
      <c r="J208" s="13" t="inlineStr">
        <is>
          <t>-2.08%</t>
        </is>
      </c>
      <c r="K208" s="16">
        <f>X207</f>
        <v/>
      </c>
      <c r="L208" s="13" t="inlineStr">
        <is>
          <t>2023-07-21</t>
        </is>
      </c>
      <c r="M208" s="13" t="inlineStr">
        <is>
          <t>2023-07-31</t>
        </is>
      </c>
      <c r="N208" s="13" t="inlineStr">
        <is>
          <t>2023-07-25</t>
        </is>
      </c>
      <c r="O208" s="9" t="n">
        <v>3738</v>
      </c>
      <c r="P208" s="17" t="n">
        <v>226.351303100586</v>
      </c>
      <c r="Q208" s="17" t="n">
        <v>224.52099609375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Q2 2023-24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-6.08%</t>
        </is>
      </c>
      <c r="J209" s="13" t="inlineStr">
        <is>
          <t>-18.19%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2023-07-25</t>
        </is>
      </c>
      <c r="O209" s="9" t="n">
        <v>9268</v>
      </c>
      <c r="P209" s="17" t="n">
        <v>111.9300003051758</v>
      </c>
      <c r="Q209" s="17" t="n">
        <v>105.129997253418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Q2 2023-24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-0.35%</t>
        </is>
      </c>
      <c r="J210" s="13" t="inlineStr">
        <is>
          <t>-1.97%</t>
        </is>
      </c>
      <c r="K210" s="16">
        <f>X209</f>
        <v/>
      </c>
      <c r="L210" s="13" t="inlineStr">
        <is>
          <t>2023-07-20</t>
        </is>
      </c>
      <c r="M210" s="13" t="inlineStr">
        <is>
          <t>2023-07-31</t>
        </is>
      </c>
      <c r="N210" s="13" t="inlineStr">
        <is>
          <t>2023-07-25</t>
        </is>
      </c>
      <c r="O210" s="9" t="n">
        <v>750</v>
      </c>
      <c r="P210" s="17" t="n">
        <v>770.5281372070312</v>
      </c>
      <c r="Q210" s="17" t="n">
        <v>767.861328125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Q2 2023-24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-23.57%</t>
        </is>
      </c>
      <c r="J211" s="13" t="inlineStr">
        <is>
          <t>-44.18%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2023-07-25</t>
        </is>
      </c>
      <c r="O211" s="9" t="n">
        <v>380</v>
      </c>
      <c r="P211" s="17" t="n">
        <v>2888.479736328125</v>
      </c>
      <c r="Q211" s="17" t="n">
        <v>2337.588623046875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Q2 2023-24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-9.31%</t>
        </is>
      </c>
      <c r="J212" s="13" t="inlineStr">
        <is>
          <t>-10.16%</t>
        </is>
      </c>
      <c r="K212" s="16">
        <f>X211</f>
        <v/>
      </c>
      <c r="L212" s="13" t="inlineStr">
        <is>
          <t>2023-10-12</t>
        </is>
      </c>
      <c r="M212" s="13" t="inlineStr">
        <is>
          <t>2023-10-26</t>
        </is>
      </c>
      <c r="N212" s="13" t="inlineStr">
        <is>
          <t>2023-10-18</t>
        </is>
      </c>
      <c r="O212" s="9" t="n">
        <v>1500</v>
      </c>
      <c r="P212" s="17" t="n">
        <v>195.0788726806641</v>
      </c>
      <c r="Q212" s="17" t="n">
        <v>176.9085998535156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Q2 2023-24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1.17%</t>
        </is>
      </c>
      <c r="J213" s="13" t="inlineStr">
        <is>
          <t>0.65%</t>
        </is>
      </c>
      <c r="K213" s="16">
        <f>X212</f>
        <v/>
      </c>
      <c r="L213" s="13" t="inlineStr">
        <is>
          <t>2023-07-13</t>
        </is>
      </c>
      <c r="M213" s="13" t="inlineStr">
        <is>
          <t>2023-07-31</t>
        </is>
      </c>
      <c r="N213" s="13" t="inlineStr">
        <is>
          <t>2023-07-25</t>
        </is>
      </c>
      <c r="O213" s="9" t="n">
        <v>44365</v>
      </c>
      <c r="P213" s="17" t="n">
        <v>16.95000076293945</v>
      </c>
      <c r="Q213" s="17" t="n">
        <v>17.14999961853027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Q2 2023-24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-5.04%</t>
        </is>
      </c>
      <c r="J214" s="13" t="inlineStr">
        <is>
          <t>-2.44%</t>
        </is>
      </c>
      <c r="K214" s="16">
        <f>X213</f>
        <v/>
      </c>
      <c r="L214" s="13" t="inlineStr">
        <is>
          <t>2023-07-19</t>
        </is>
      </c>
      <c r="M214" s="13" t="inlineStr">
        <is>
          <t>2023-07-31</t>
        </is>
      </c>
      <c r="N214" s="13" t="inlineStr">
        <is>
          <t>2023-07-25</t>
        </is>
      </c>
      <c r="O214" s="9" t="n">
        <v>896</v>
      </c>
      <c r="P214" s="17" t="n">
        <v>622.9744262695312</v>
      </c>
      <c r="Q214" s="17" t="n">
        <v>593.057861328125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2023-24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Q1 2023-24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-8.85%</t>
        </is>
      </c>
      <c r="J4" s="13" t="inlineStr">
        <is>
          <t>-10.92%</t>
        </is>
      </c>
      <c r="K4" s="16" t="n">
        <v>42511150.11</v>
      </c>
      <c r="L4" s="13" t="inlineStr">
        <is>
          <t>2025-10-21</t>
        </is>
      </c>
      <c r="M4" s="13" t="inlineStr">
        <is>
          <t>2025-11-07</t>
        </is>
      </c>
      <c r="N4" s="13" t="inlineStr">
        <is>
          <t>2025-10-30</t>
        </is>
      </c>
      <c r="O4" s="9" t="n">
        <v>874</v>
      </c>
      <c r="P4" s="17" t="n">
        <v>1162.70263671875</v>
      </c>
      <c r="Q4" s="17" t="n">
        <v>1059.84765625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Q1 2023-24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-5.07%</t>
        </is>
      </c>
      <c r="J5" s="13" t="inlineStr">
        <is>
          <t>-5.68%</t>
        </is>
      </c>
      <c r="K5" s="16">
        <f>X4</f>
        <v/>
      </c>
      <c r="L5" s="13" t="inlineStr">
        <is>
          <t>2025-10-28</t>
        </is>
      </c>
      <c r="M5" s="13" t="inlineStr">
        <is>
          <t>2025-11-13</t>
        </is>
      </c>
      <c r="N5" s="13" t="inlineStr">
        <is>
          <t>2025-11-06</t>
        </is>
      </c>
      <c r="O5" s="9" t="n">
        <v>137</v>
      </c>
      <c r="P5" s="17" t="n">
        <v>5154.4189453125</v>
      </c>
      <c r="Q5" s="17" t="n">
        <v>4892.98828125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Q1 2023-24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-6.76%</t>
        </is>
      </c>
      <c r="J6" s="13" t="inlineStr">
        <is>
          <t>-8.08%</t>
        </is>
      </c>
      <c r="K6" s="16">
        <f>X5</f>
        <v/>
      </c>
      <c r="L6" s="13" t="inlineStr">
        <is>
          <t>2026-02-20</t>
        </is>
      </c>
      <c r="M6" s="13" t="inlineStr">
        <is>
          <t>2026-03-04</t>
        </is>
      </c>
      <c r="N6" s="13" t="inlineStr">
        <is>
          <t>2026-02-24</t>
        </is>
      </c>
      <c r="O6" s="9" t="n">
        <v>2537</v>
      </c>
      <c r="P6" s="17" t="n">
        <v>344.8500061035156</v>
      </c>
      <c r="Q6" s="17" t="n">
        <v>321.5499877929688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Q1 2023-24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8.19%</t>
        </is>
      </c>
      <c r="J7" s="13" t="inlineStr">
        <is>
          <t>7.47%</t>
        </is>
      </c>
      <c r="K7" s="16">
        <f>X6</f>
        <v/>
      </c>
      <c r="L7" s="13" t="inlineStr">
        <is>
          <t>2026-01-22</t>
        </is>
      </c>
      <c r="M7" s="13" t="inlineStr">
        <is>
          <t>2026-01-27</t>
        </is>
      </c>
      <c r="N7" s="13" t="inlineStr">
        <is>
          <t>2026-01-22</t>
        </is>
      </c>
      <c r="O7" s="9" t="n">
        <v>602</v>
      </c>
      <c r="P7" s="17" t="n">
        <v>849.0999755859375</v>
      </c>
      <c r="Q7" s="17" t="n">
        <v>924.7999877929688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Q1 2023-24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1.39%</t>
        </is>
      </c>
      <c r="J8" s="13" t="inlineStr">
        <is>
          <t>0.77%</t>
        </is>
      </c>
      <c r="K8" s="16">
        <f>X7</f>
        <v/>
      </c>
      <c r="L8" s="13" t="inlineStr">
        <is>
          <t>2023-11-02</t>
        </is>
      </c>
      <c r="M8" s="13" t="inlineStr">
        <is>
          <t>2023-11-06</t>
        </is>
      </c>
      <c r="N8" s="13" t="inlineStr">
        <is>
          <t>2023-11-03</t>
        </is>
      </c>
      <c r="O8" s="9" t="n">
        <v>300</v>
      </c>
      <c r="P8" s="17" t="n">
        <v>2212.347900390625</v>
      </c>
      <c r="Q8" s="17" t="n">
        <v>2243.0068359375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Q1 2023-24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10.57%</t>
        </is>
      </c>
      <c r="J9" s="13" t="inlineStr">
        <is>
          <t>9.14%</t>
        </is>
      </c>
      <c r="K9" s="16">
        <f>X8</f>
        <v/>
      </c>
      <c r="L9" s="13" t="inlineStr">
        <is>
          <t>2025-10-24</t>
        </is>
      </c>
      <c r="M9" s="13" t="inlineStr">
        <is>
          <t>2025-10-30</t>
        </is>
      </c>
      <c r="N9" s="13" t="inlineStr">
        <is>
          <t>2025-10-28</t>
        </is>
      </c>
      <c r="O9" s="9" t="n">
        <v>500</v>
      </c>
      <c r="P9" s="17" t="n">
        <v>1031.099975585938</v>
      </c>
      <c r="Q9" s="17" t="n">
        <v>1140.099975585938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Q1 2023-24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5.32%</t>
        </is>
      </c>
      <c r="J10" s="13" t="inlineStr">
        <is>
          <t>4.66%</t>
        </is>
      </c>
      <c r="K10" s="16">
        <f>X9</f>
        <v/>
      </c>
      <c r="L10" s="13" t="inlineStr">
        <is>
          <t>2023-11-01</t>
        </is>
      </c>
      <c r="M10" s="13" t="inlineStr">
        <is>
          <t>2023-11-17</t>
        </is>
      </c>
      <c r="N10" s="13" t="inlineStr">
        <is>
          <t>2023-11-09</t>
        </is>
      </c>
      <c r="O10" s="9" t="n">
        <v>625</v>
      </c>
      <c r="P10" s="17" t="n">
        <v>758.9081420898438</v>
      </c>
      <c r="Q10" s="17" t="n">
        <v>799.3154296875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Q1 2023-24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-0.34%</t>
        </is>
      </c>
      <c r="J11" s="13" t="inlineStr">
        <is>
          <t>-0.5%</t>
        </is>
      </c>
      <c r="K11" s="16">
        <f>X10</f>
        <v/>
      </c>
      <c r="L11" s="13" t="inlineStr">
        <is>
          <t>2025-11-25</t>
        </is>
      </c>
      <c r="M11" s="13" t="inlineStr">
        <is>
          <t>2025-12-01</t>
        </is>
      </c>
      <c r="N11" s="13" t="inlineStr">
        <is>
          <t>2025-11-27</t>
        </is>
      </c>
      <c r="O11" s="9" t="n">
        <v>4785</v>
      </c>
      <c r="P11" s="17" t="n">
        <v>147.3399963378906</v>
      </c>
      <c r="Q11" s="17" t="n">
        <v>146.8399963378906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Q1 2023-24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-0.75%</t>
        </is>
      </c>
      <c r="J12" s="13" t="inlineStr">
        <is>
          <t>-1.06%</t>
        </is>
      </c>
      <c r="K12" s="16">
        <f>X11</f>
        <v/>
      </c>
      <c r="L12" s="13" t="inlineStr">
        <is>
          <t>2025-12-29</t>
        </is>
      </c>
      <c r="M12" s="13" t="inlineStr">
        <is>
          <t>2026-01-01</t>
        </is>
      </c>
      <c r="N12" s="13" t="inlineStr">
        <is>
          <t>2025-12-30</t>
        </is>
      </c>
      <c r="O12" s="9" t="n">
        <v>171</v>
      </c>
      <c r="P12" s="17" t="n">
        <v>5460.97607421875</v>
      </c>
      <c r="Q12" s="17" t="n">
        <v>5419.80810546875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Q1 2023-24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11.33%</t>
        </is>
      </c>
      <c r="J13" s="13" t="inlineStr">
        <is>
          <t>12.37%</t>
        </is>
      </c>
      <c r="K13" s="16">
        <f>X12</f>
        <v/>
      </c>
      <c r="L13" s="13" t="inlineStr">
        <is>
          <t>2026-05-15</t>
        </is>
      </c>
      <c r="M13" s="13" t="inlineStr">
        <is>
          <t>2026-05-28</t>
        </is>
      </c>
      <c r="N13" s="13" t="inlineStr">
        <is>
          <t>2026-05-22</t>
        </is>
      </c>
      <c r="O13" s="9" t="n">
        <v>135</v>
      </c>
      <c r="P13" s="17" t="n">
        <v>7516</v>
      </c>
      <c r="Q13" s="17" t="n">
        <v>8476.5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Q1 2023-24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0.61%</t>
        </is>
      </c>
      <c r="J14" s="13" t="inlineStr">
        <is>
          <t>0.36%</t>
        </is>
      </c>
      <c r="K14" s="16">
        <f>X13</f>
        <v/>
      </c>
      <c r="L14" s="13" t="inlineStr">
        <is>
          <t>2026-01-20</t>
        </is>
      </c>
      <c r="M14" s="13" t="inlineStr">
        <is>
          <t>2026-02-05</t>
        </is>
      </c>
      <c r="N14" s="13" t="inlineStr">
        <is>
          <t>2026-01-30</t>
        </is>
      </c>
      <c r="O14" s="9" t="n">
        <v>2303</v>
      </c>
      <c r="P14" s="17" t="n">
        <v>530.4244384765625</v>
      </c>
      <c r="Q14" s="17" t="n">
        <v>533.658447265625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Q1 2023-24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6.14%</t>
        </is>
      </c>
      <c r="J15" s="13" t="inlineStr">
        <is>
          <t>1.23%</t>
        </is>
      </c>
      <c r="K15" s="16">
        <f>X14</f>
        <v/>
      </c>
      <c r="L15" s="13" t="inlineStr">
        <is>
          <t>2026-01-13</t>
        </is>
      </c>
      <c r="M15" s="13" t="inlineStr">
        <is>
          <t>2026-01-22</t>
        </is>
      </c>
      <c r="N15" s="13" t="inlineStr">
        <is>
          <t>2026-01-15</t>
        </is>
      </c>
      <c r="O15" s="9" t="n">
        <v>3428</v>
      </c>
      <c r="P15" s="17" t="n">
        <v>239.3104095458984</v>
      </c>
      <c r="Q15" s="17" t="n">
        <v>254.015869140625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Q1 2023-24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2.31%</t>
        </is>
      </c>
      <c r="J16" s="13" t="inlineStr">
        <is>
          <t>1.31%</t>
        </is>
      </c>
      <c r="K16" s="16">
        <f>X15</f>
        <v/>
      </c>
      <c r="L16" s="13" t="inlineStr">
        <is>
          <t>2025-05-05</t>
        </is>
      </c>
      <c r="M16" s="13" t="inlineStr">
        <is>
          <t>2025-05-09</t>
        </is>
      </c>
      <c r="N16" s="13" t="inlineStr">
        <is>
          <t>2025-05-07</t>
        </is>
      </c>
      <c r="O16" s="9" t="n">
        <v>528</v>
      </c>
      <c r="P16" s="17" t="n">
        <v>1612.67138671875</v>
      </c>
      <c r="Q16" s="17" t="n">
        <v>1649.941284179688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Q1 2023-24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3.42%</t>
        </is>
      </c>
      <c r="J17" s="13" t="inlineStr">
        <is>
          <t>0.79%</t>
        </is>
      </c>
      <c r="K17" s="16">
        <f>X16</f>
        <v/>
      </c>
      <c r="L17" s="13" t="inlineStr">
        <is>
          <t>2023-11-09</t>
        </is>
      </c>
      <c r="M17" s="13" t="inlineStr">
        <is>
          <t>2023-11-17</t>
        </is>
      </c>
      <c r="N17" s="13" t="inlineStr">
        <is>
          <t>2023-11-10</t>
        </is>
      </c>
      <c r="O17" s="9" t="n">
        <v>125</v>
      </c>
      <c r="P17" s="17" t="n">
        <v>5263.50439453125</v>
      </c>
      <c r="Q17" s="17" t="n">
        <v>5443.68701171875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Q1 2023-24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-1.76%</t>
        </is>
      </c>
      <c r="J18" s="13" t="inlineStr">
        <is>
          <t>-6.24%</t>
        </is>
      </c>
      <c r="K18" s="16">
        <f>X17</f>
        <v/>
      </c>
      <c r="L18" s="13" t="inlineStr">
        <is>
          <t>2023-04-20</t>
        </is>
      </c>
      <c r="M18" s="13" t="inlineStr">
        <is>
          <t>2023-04-24</t>
        </is>
      </c>
      <c r="N18" s="13" t="inlineStr">
        <is>
          <t>2023-04-22</t>
        </is>
      </c>
      <c r="O18" s="9" t="n">
        <v>5000</v>
      </c>
      <c r="P18" s="17" t="n">
        <v>63.17942047119141</v>
      </c>
      <c r="Q18" s="17" t="n">
        <v>62.06502151489258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Q1 2023-24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4.34%</t>
        </is>
      </c>
      <c r="J19" s="13" t="inlineStr">
        <is>
          <t>4.5%</t>
        </is>
      </c>
      <c r="K19" s="16">
        <f>X18</f>
        <v/>
      </c>
      <c r="L19" s="13" t="inlineStr">
        <is>
          <t>2023-10-19</t>
        </is>
      </c>
      <c r="M19" s="13" t="inlineStr">
        <is>
          <t>2023-10-30</t>
        </is>
      </c>
      <c r="N19" s="13" t="inlineStr">
        <is>
          <t>2023-10-26</t>
        </is>
      </c>
      <c r="O19" s="9" t="n">
        <v>200</v>
      </c>
      <c r="P19" s="17" t="n">
        <v>2872.3125</v>
      </c>
      <c r="Q19" s="17" t="n">
        <v>3002.709228515625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Q1 2023-24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-0.54%</t>
        </is>
      </c>
      <c r="J20" s="13" t="inlineStr">
        <is>
          <t>0.92%</t>
        </is>
      </c>
      <c r="K20" s="16">
        <f>X19</f>
        <v/>
      </c>
      <c r="L20" s="13" t="inlineStr">
        <is>
          <t>2023-04-10</t>
        </is>
      </c>
      <c r="M20" s="13" t="inlineStr">
        <is>
          <t>2023-04-27</t>
        </is>
      </c>
      <c r="N20" s="13" t="inlineStr">
        <is>
          <t>2023-04-22</t>
        </is>
      </c>
      <c r="O20" s="9" t="n">
        <v>679</v>
      </c>
      <c r="P20" s="17" t="n">
        <v>1394.760375976562</v>
      </c>
      <c r="Q20" s="17" t="n">
        <v>1387.260864257812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Q1 2023-24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2023-04-22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Q1 2023-24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-17.61%</t>
        </is>
      </c>
      <c r="J22" s="13" t="inlineStr">
        <is>
          <t>-25.81%</t>
        </is>
      </c>
      <c r="K22" s="16">
        <f>X21</f>
        <v/>
      </c>
      <c r="L22" s="13" t="inlineStr">
        <is>
          <t>2023-04-10</t>
        </is>
      </c>
      <c r="M22" s="13" t="inlineStr">
        <is>
          <t>2023-04-24</t>
        </is>
      </c>
      <c r="N22" s="13" t="inlineStr">
        <is>
          <t>2023-04-22</t>
        </is>
      </c>
      <c r="O22" s="9" t="n">
        <v>970</v>
      </c>
      <c r="P22" s="17" t="n">
        <v>661.16455078125</v>
      </c>
      <c r="Q22" s="17" t="n">
        <v>562.174072265625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Q1 2023-24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5.57%</t>
        </is>
      </c>
      <c r="J23" s="13" t="inlineStr">
        <is>
          <t>5.27%</t>
        </is>
      </c>
      <c r="K23" s="16">
        <f>X22</f>
        <v/>
      </c>
      <c r="L23" s="13" t="inlineStr">
        <is>
          <t>2023-04-17</t>
        </is>
      </c>
      <c r="M23" s="13" t="inlineStr">
        <is>
          <t>2023-04-24</t>
        </is>
      </c>
      <c r="N23" s="13" t="inlineStr">
        <is>
          <t>2023-04-22</t>
        </is>
      </c>
      <c r="O23" s="9" t="n">
        <v>634</v>
      </c>
      <c r="P23" s="17" t="n">
        <v>554.0045166015625</v>
      </c>
      <c r="Q23" s="17" t="n">
        <v>584.8513793945312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Q1 2023-24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2.88%</t>
        </is>
      </c>
      <c r="J24" s="13" t="inlineStr">
        <is>
          <t>1.55%</t>
        </is>
      </c>
      <c r="K24" s="16">
        <f>X23</f>
        <v/>
      </c>
      <c r="L24" s="13" t="inlineStr">
        <is>
          <t>2023-10-25</t>
        </is>
      </c>
      <c r="M24" s="13" t="inlineStr">
        <is>
          <t>2023-11-02</t>
        </is>
      </c>
      <c r="N24" s="13" t="inlineStr">
        <is>
          <t>2023-10-26</t>
        </is>
      </c>
      <c r="O24" s="9" t="n">
        <v>625</v>
      </c>
      <c r="P24" s="17" t="n">
        <v>953.162841796875</v>
      </c>
      <c r="Q24" s="17" t="n">
        <v>980.5970458984376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Q1 2023-24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7.49%</t>
        </is>
      </c>
      <c r="J25" s="13" t="inlineStr">
        <is>
          <t>5.84%</t>
        </is>
      </c>
      <c r="K25" s="16">
        <f>X24</f>
        <v/>
      </c>
      <c r="L25" s="13" t="inlineStr">
        <is>
          <t>2023-10-12</t>
        </is>
      </c>
      <c r="M25" s="13" t="inlineStr">
        <is>
          <t>2023-10-20</t>
        </is>
      </c>
      <c r="N25" s="13" t="inlineStr">
        <is>
          <t>2023-10-18</t>
        </is>
      </c>
      <c r="O25" s="9" t="n">
        <v>125</v>
      </c>
      <c r="P25" s="17" t="n">
        <v>4871.66650390625</v>
      </c>
      <c r="Q25" s="17" t="n">
        <v>5236.76025390625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Q1 2023-24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0.2%</t>
        </is>
      </c>
      <c r="J26" s="13" t="inlineStr">
        <is>
          <t>-0.33%</t>
        </is>
      </c>
      <c r="K26" s="16">
        <f>X25</f>
        <v/>
      </c>
      <c r="L26" s="13" t="inlineStr">
        <is>
          <t>2023-10-27</t>
        </is>
      </c>
      <c r="M26" s="13" t="inlineStr">
        <is>
          <t>2023-10-31</t>
        </is>
      </c>
      <c r="N26" s="13" t="inlineStr">
        <is>
          <t>2023-10-28</t>
        </is>
      </c>
      <c r="O26" s="9" t="n">
        <v>500</v>
      </c>
      <c r="P26" s="17" t="n">
        <v>1563.316040039062</v>
      </c>
      <c r="Q26" s="17" t="n">
        <v>1566.4599609375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Q1 2023-24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11.78%</t>
        </is>
      </c>
      <c r="J27" s="13" t="inlineStr">
        <is>
          <t>8.0%</t>
        </is>
      </c>
      <c r="K27" s="16">
        <f>X26</f>
        <v/>
      </c>
      <c r="L27" s="13" t="inlineStr">
        <is>
          <t>2023-04-13</t>
        </is>
      </c>
      <c r="M27" s="13" t="inlineStr">
        <is>
          <t>2023-04-27</t>
        </is>
      </c>
      <c r="N27" s="13" t="inlineStr">
        <is>
          <t>2023-04-22</t>
        </is>
      </c>
      <c r="O27" s="9" t="n">
        <v>100</v>
      </c>
      <c r="P27" s="17" t="n">
        <v>5688.55419921875</v>
      </c>
      <c r="Q27" s="17" t="n">
        <v>6358.62255859375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Q1 2023-24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-4.25%</t>
        </is>
      </c>
      <c r="J28" s="13" t="inlineStr">
        <is>
          <t>-6.31%</t>
        </is>
      </c>
      <c r="K28" s="16">
        <f>X27</f>
        <v/>
      </c>
      <c r="L28" s="13" t="inlineStr">
        <is>
          <t>2023-10-16</t>
        </is>
      </c>
      <c r="M28" s="13" t="inlineStr">
        <is>
          <t>2023-10-25</t>
        </is>
      </c>
      <c r="N28" s="13" t="inlineStr">
        <is>
          <t>2023-10-17</t>
        </is>
      </c>
      <c r="O28" s="9" t="n">
        <v>125</v>
      </c>
      <c r="P28" s="17" t="n">
        <v>789.8272094726562</v>
      </c>
      <c r="Q28" s="17" t="n">
        <v>756.2575073242188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Q1 2023-24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6.35%</t>
        </is>
      </c>
      <c r="J29" s="13" t="inlineStr">
        <is>
          <t>5.31%</t>
        </is>
      </c>
      <c r="K29" s="16">
        <f>X28</f>
        <v/>
      </c>
      <c r="L29" s="13" t="inlineStr">
        <is>
          <t>2023-04-18</t>
        </is>
      </c>
      <c r="M29" s="13" t="inlineStr">
        <is>
          <t>2023-04-27</t>
        </is>
      </c>
      <c r="N29" s="13" t="inlineStr">
        <is>
          <t>2023-04-22</t>
        </is>
      </c>
      <c r="O29" s="9" t="n">
        <v>6099</v>
      </c>
      <c r="P29" s="17" t="n">
        <v>206.5941772460937</v>
      </c>
      <c r="Q29" s="17" t="n">
        <v>219.7181854248047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Q1 2023-24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-8.37%</t>
        </is>
      </c>
      <c r="J30" s="13" t="inlineStr">
        <is>
          <t>-8.73%</t>
        </is>
      </c>
      <c r="K30" s="16">
        <f>X29</f>
        <v/>
      </c>
      <c r="L30" s="13" t="inlineStr">
        <is>
          <t>2023-04-13</t>
        </is>
      </c>
      <c r="M30" s="13" t="inlineStr">
        <is>
          <t>2023-04-27</t>
        </is>
      </c>
      <c r="N30" s="13" t="inlineStr">
        <is>
          <t>2023-04-22</t>
        </is>
      </c>
      <c r="O30" s="9" t="n">
        <v>4138</v>
      </c>
      <c r="P30" s="17" t="n">
        <v>164.3141021728516</v>
      </c>
      <c r="Q30" s="17" t="n">
        <v>151.6201019287109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Q1 2023-24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-0.56%</t>
        </is>
      </c>
      <c r="J31" s="13" t="inlineStr">
        <is>
          <t>-3.53%</t>
        </is>
      </c>
      <c r="K31" s="16">
        <f>X30</f>
        <v/>
      </c>
      <c r="L31" s="13" t="inlineStr">
        <is>
          <t>2023-04-18</t>
        </is>
      </c>
      <c r="M31" s="13" t="inlineStr">
        <is>
          <t>2023-04-27</t>
        </is>
      </c>
      <c r="N31" s="13" t="inlineStr">
        <is>
          <t>2023-04-22</t>
        </is>
      </c>
      <c r="O31" s="9" t="n">
        <v>7287</v>
      </c>
      <c r="P31" s="17" t="n">
        <v>72.21467590332031</v>
      </c>
      <c r="Q31" s="17" t="n">
        <v>71.81448364257812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Q1 2023-24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-1.37%</t>
        </is>
      </c>
      <c r="J32" s="13" t="inlineStr">
        <is>
          <t>3.57%</t>
        </is>
      </c>
      <c r="K32" s="16">
        <f>X31</f>
        <v/>
      </c>
      <c r="L32" s="13" t="inlineStr">
        <is>
          <t>2023-04-10</t>
        </is>
      </c>
      <c r="M32" s="13" t="inlineStr">
        <is>
          <t>2023-04-24</t>
        </is>
      </c>
      <c r="N32" s="13" t="inlineStr">
        <is>
          <t>2023-04-22</t>
        </is>
      </c>
      <c r="O32" s="9" t="n">
        <v>793</v>
      </c>
      <c r="P32" s="17" t="n">
        <v>488.2075500488281</v>
      </c>
      <c r="Q32" s="17" t="n">
        <v>481.6024780273438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Q1 2023-24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0.8%</t>
        </is>
      </c>
      <c r="J33" s="13" t="inlineStr">
        <is>
          <t>2.43%</t>
        </is>
      </c>
      <c r="K33" s="16">
        <f>X32</f>
        <v/>
      </c>
      <c r="L33" s="13" t="inlineStr">
        <is>
          <t>2023-10-18</t>
        </is>
      </c>
      <c r="M33" s="13" t="inlineStr">
        <is>
          <t>2023-11-03</t>
        </is>
      </c>
      <c r="N33" s="13" t="inlineStr">
        <is>
          <t>2023-10-28</t>
        </is>
      </c>
      <c r="O33" s="9" t="n">
        <v>2438</v>
      </c>
      <c r="P33" s="17" t="n">
        <v>132.9717102050781</v>
      </c>
      <c r="Q33" s="17" t="n">
        <v>134.0475921630859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Q1 2023-24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-3.49%</t>
        </is>
      </c>
      <c r="J34" s="13" t="inlineStr">
        <is>
          <t>-9.12%</t>
        </is>
      </c>
      <c r="K34" s="16">
        <f>X33</f>
        <v/>
      </c>
      <c r="L34" s="13" t="inlineStr">
        <is>
          <t>2023-04-11</t>
        </is>
      </c>
      <c r="M34" s="13" t="inlineStr">
        <is>
          <t>2023-04-24</t>
        </is>
      </c>
      <c r="N34" s="13" t="inlineStr">
        <is>
          <t>2023-04-22</t>
        </is>
      </c>
      <c r="O34" s="9" t="n">
        <v>461</v>
      </c>
      <c r="P34" s="17" t="n">
        <v>772.201416015625</v>
      </c>
      <c r="Q34" s="17" t="n">
        <v>746.1260986328125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Q1 2023-24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-0.62%</t>
        </is>
      </c>
      <c r="J35" s="13" t="inlineStr">
        <is>
          <t>-2.12%</t>
        </is>
      </c>
      <c r="K35" s="16">
        <f>X34</f>
        <v/>
      </c>
      <c r="L35" s="13" t="inlineStr">
        <is>
          <t>2023-10-19</t>
        </is>
      </c>
      <c r="M35" s="13" t="inlineStr">
        <is>
          <t>2023-11-07</t>
        </is>
      </c>
      <c r="N35" s="13" t="inlineStr">
        <is>
          <t>2023-10-31</t>
        </is>
      </c>
      <c r="O35" s="9" t="n">
        <v>950</v>
      </c>
      <c r="P35" s="17" t="n">
        <v>929.949951171875</v>
      </c>
      <c r="Q35" s="17" t="n">
        <v>924.22998046875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Q1 2023-24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-6.4%</t>
        </is>
      </c>
      <c r="J36" s="13" t="inlineStr">
        <is>
          <t>-7.47%</t>
        </is>
      </c>
      <c r="K36" s="16">
        <f>X35</f>
        <v/>
      </c>
      <c r="L36" s="13" t="inlineStr">
        <is>
          <t>2023-04-17</t>
        </is>
      </c>
      <c r="M36" s="13" t="inlineStr">
        <is>
          <t>2023-04-27</t>
        </is>
      </c>
      <c r="N36" s="13" t="inlineStr">
        <is>
          <t>2023-04-22</t>
        </is>
      </c>
      <c r="O36" s="9" t="n">
        <v>2481</v>
      </c>
      <c r="P36" s="17" t="n">
        <v>76.517578125</v>
      </c>
      <c r="Q36" s="17" t="n">
        <v>71.91464233398438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Q1 2023-24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-4.47%</t>
        </is>
      </c>
      <c r="J37" s="13" t="inlineStr">
        <is>
          <t>-7.39%</t>
        </is>
      </c>
      <c r="K37" s="16">
        <f>X36</f>
        <v/>
      </c>
      <c r="L37" s="13" t="inlineStr">
        <is>
          <t>2023-04-11</t>
        </is>
      </c>
      <c r="M37" s="13" t="inlineStr">
        <is>
          <t>2023-04-24</t>
        </is>
      </c>
      <c r="N37" s="13" t="inlineStr">
        <is>
          <t>2023-04-22</t>
        </is>
      </c>
      <c r="O37" s="9" t="n">
        <v>2351</v>
      </c>
      <c r="P37" s="17" t="n">
        <v>223.4687957763672</v>
      </c>
      <c r="Q37" s="17" t="n">
        <v>213.9120788574219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Q1 2023-24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-6.69%</t>
        </is>
      </c>
      <c r="J38" s="13" t="inlineStr">
        <is>
          <t>-7.22%</t>
        </is>
      </c>
      <c r="K38" s="16">
        <f>X37</f>
        <v/>
      </c>
      <c r="L38" s="13" t="inlineStr">
        <is>
          <t>2023-04-10</t>
        </is>
      </c>
      <c r="M38" s="13" t="inlineStr">
        <is>
          <t>2023-04-24</t>
        </is>
      </c>
      <c r="N38" s="13" t="inlineStr">
        <is>
          <t>2023-04-22</t>
        </is>
      </c>
      <c r="O38" s="9" t="n">
        <v>591</v>
      </c>
      <c r="P38" s="17" t="n">
        <v>741.804931640625</v>
      </c>
      <c r="Q38" s="17" t="n">
        <v>695.26318359375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Q1 2023-24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-3.1%</t>
        </is>
      </c>
      <c r="J39" s="13" t="inlineStr">
        <is>
          <t>-2.71%</t>
        </is>
      </c>
      <c r="K39" s="16">
        <f>X38</f>
        <v/>
      </c>
      <c r="L39" s="13" t="inlineStr">
        <is>
          <t>2023-04-10</t>
        </is>
      </c>
      <c r="M39" s="13" t="inlineStr">
        <is>
          <t>2023-04-27</t>
        </is>
      </c>
      <c r="N39" s="13" t="inlineStr">
        <is>
          <t>2023-04-22</t>
        </is>
      </c>
      <c r="O39" s="9" t="n">
        <v>100</v>
      </c>
      <c r="P39" s="17" t="n">
        <v>18362.544921875</v>
      </c>
      <c r="Q39" s="17" t="n">
        <v>17810.26171875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Q1 2023-24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-6.84%</t>
        </is>
      </c>
      <c r="J40" s="13" t="inlineStr">
        <is>
          <t>-5.71%</t>
        </is>
      </c>
      <c r="K40" s="16">
        <f>X39</f>
        <v/>
      </c>
      <c r="L40" s="13" t="inlineStr">
        <is>
          <t>2023-10-23</t>
        </is>
      </c>
      <c r="M40" s="13" t="inlineStr">
        <is>
          <t>2023-11-06</t>
        </is>
      </c>
      <c r="N40" s="13" t="inlineStr">
        <is>
          <t>2023-10-30</t>
        </is>
      </c>
      <c r="O40" s="9" t="n">
        <v>1800</v>
      </c>
      <c r="P40" s="17" t="n">
        <v>155.9528350830078</v>
      </c>
      <c r="Q40" s="17" t="n">
        <v>145.9675750732422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Q1 2023-24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2.13%</t>
        </is>
      </c>
      <c r="J41" s="13" t="inlineStr">
        <is>
          <t>1.53%</t>
        </is>
      </c>
      <c r="K41" s="16">
        <f>X40</f>
        <v/>
      </c>
      <c r="L41" s="13" t="inlineStr">
        <is>
          <t>2023-11-02</t>
        </is>
      </c>
      <c r="M41" s="13" t="inlineStr">
        <is>
          <t>2023-11-06</t>
        </is>
      </c>
      <c r="N41" s="13" t="inlineStr">
        <is>
          <t>2023-11-02</t>
        </is>
      </c>
      <c r="O41" s="9" t="n">
        <v>200</v>
      </c>
      <c r="P41" s="17" t="n">
        <v>4411.27001953125</v>
      </c>
      <c r="Q41" s="17" t="n">
        <v>4505.15185546875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Q1 2023-24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-1.13%</t>
        </is>
      </c>
      <c r="J42" s="13" t="inlineStr">
        <is>
          <t>-4.19%</t>
        </is>
      </c>
      <c r="K42" s="16">
        <f>X41</f>
        <v/>
      </c>
      <c r="L42" s="13" t="inlineStr">
        <is>
          <t>2023-04-11</t>
        </is>
      </c>
      <c r="M42" s="13" t="inlineStr">
        <is>
          <t>2023-04-24</t>
        </is>
      </c>
      <c r="N42" s="13" t="inlineStr">
        <is>
          <t>2023-04-22</t>
        </is>
      </c>
      <c r="O42" s="9" t="n">
        <v>283</v>
      </c>
      <c r="P42" s="17" t="n">
        <v>150.4826507568359</v>
      </c>
      <c r="Q42" s="17" t="n">
        <v>148.7770538330078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Q1 2023-24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3.76%</t>
        </is>
      </c>
      <c r="J43" s="13" t="inlineStr">
        <is>
          <t>-0.35%</t>
        </is>
      </c>
      <c r="K43" s="16">
        <f>X42</f>
        <v/>
      </c>
      <c r="L43" s="13" t="inlineStr">
        <is>
          <t>2023-04-19</t>
        </is>
      </c>
      <c r="M43" s="13" t="inlineStr">
        <is>
          <t>2023-04-24</t>
        </is>
      </c>
      <c r="N43" s="13" t="inlineStr">
        <is>
          <t>2023-04-22</t>
        </is>
      </c>
      <c r="O43" s="9" t="n">
        <v>1260</v>
      </c>
      <c r="P43" s="17" t="n">
        <v>385.3882141113281</v>
      </c>
      <c r="Q43" s="17" t="n">
        <v>400.4371032714844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Q1 2023-24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-7.33%</t>
        </is>
      </c>
      <c r="J44" s="13" t="inlineStr">
        <is>
          <t>-9.92%</t>
        </is>
      </c>
      <c r="K44" s="16">
        <f>X43</f>
        <v/>
      </c>
      <c r="L44" s="13" t="inlineStr">
        <is>
          <t>2023-04-11</t>
        </is>
      </c>
      <c r="M44" s="13" t="inlineStr">
        <is>
          <t>2023-04-27</t>
        </is>
      </c>
      <c r="N44" s="13" t="inlineStr">
        <is>
          <t>2023-04-22</t>
        </is>
      </c>
      <c r="O44" s="9" t="n">
        <v>8046</v>
      </c>
      <c r="P44" s="17" t="n">
        <v>54.08880996704102</v>
      </c>
      <c r="Q44" s="17" t="n">
        <v>50.39536666870117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Q1 2023-24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0.52%</t>
        </is>
      </c>
      <c r="J45" s="13" t="inlineStr">
        <is>
          <t>-2.38%</t>
        </is>
      </c>
      <c r="K45" s="16">
        <f>X44</f>
        <v/>
      </c>
      <c r="L45" s="13" t="inlineStr">
        <is>
          <t>2023-04-10</t>
        </is>
      </c>
      <c r="M45" s="13" t="inlineStr">
        <is>
          <t>2023-04-24</t>
        </is>
      </c>
      <c r="N45" s="13" t="inlineStr">
        <is>
          <t>2023-04-22</t>
        </is>
      </c>
      <c r="O45" s="9" t="n">
        <v>748</v>
      </c>
      <c r="P45" s="17" t="n">
        <v>474.0082702636719</v>
      </c>
      <c r="Q45" s="17" t="n">
        <v>476.4815673828125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Q1 2023-24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2.21%</t>
        </is>
      </c>
      <c r="J46" s="13" t="inlineStr">
        <is>
          <t>3.08%</t>
        </is>
      </c>
      <c r="K46" s="16">
        <f>X45</f>
        <v/>
      </c>
      <c r="L46" s="13" t="inlineStr">
        <is>
          <t>2023-04-17</t>
        </is>
      </c>
      <c r="M46" s="13" t="inlineStr">
        <is>
          <t>2023-04-27</t>
        </is>
      </c>
      <c r="N46" s="13" t="inlineStr">
        <is>
          <t>2023-04-22</t>
        </is>
      </c>
      <c r="O46" s="9" t="n">
        <v>1201</v>
      </c>
      <c r="P46" s="17" t="n">
        <v>298.9701538085937</v>
      </c>
      <c r="Q46" s="17" t="n">
        <v>305.5731506347656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Q1 2023-24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0.35%</t>
        </is>
      </c>
      <c r="J47" s="13" t="inlineStr">
        <is>
          <t>1.41%</t>
        </is>
      </c>
      <c r="K47" s="16">
        <f>X46</f>
        <v/>
      </c>
      <c r="L47" s="13" t="inlineStr">
        <is>
          <t>2023-04-20</t>
        </is>
      </c>
      <c r="M47" s="13" t="inlineStr">
        <is>
          <t>2023-04-24</t>
        </is>
      </c>
      <c r="N47" s="13" t="inlineStr">
        <is>
          <t>2023-04-22</t>
        </is>
      </c>
      <c r="O47" s="9" t="n">
        <v>563</v>
      </c>
      <c r="P47" s="17" t="n">
        <v>836.3678588867188</v>
      </c>
      <c r="Q47" s="17" t="n">
        <v>839.303955078125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Q1 2023-24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-4.22%</t>
        </is>
      </c>
      <c r="J48" s="13" t="inlineStr">
        <is>
          <t>-4.28%</t>
        </is>
      </c>
      <c r="K48" s="16">
        <f>X47</f>
        <v/>
      </c>
      <c r="L48" s="13" t="inlineStr">
        <is>
          <t>2023-10-25</t>
        </is>
      </c>
      <c r="M48" s="13" t="inlineStr">
        <is>
          <t>2023-11-03</t>
        </is>
      </c>
      <c r="N48" s="13" t="inlineStr">
        <is>
          <t>2023-10-28</t>
        </is>
      </c>
      <c r="O48" s="9" t="n">
        <v>650</v>
      </c>
      <c r="P48" s="17" t="n">
        <v>1172.563598632812</v>
      </c>
      <c r="Q48" s="17" t="n">
        <v>1125.033081054688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Q1 2023-24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11.17%</t>
        </is>
      </c>
      <c r="J49" s="13" t="inlineStr">
        <is>
          <t>10.21%</t>
        </is>
      </c>
      <c r="K49" s="16">
        <f>X48</f>
        <v/>
      </c>
      <c r="L49" s="13" t="inlineStr">
        <is>
          <t>2023-10-31</t>
        </is>
      </c>
      <c r="M49" s="13" t="inlineStr">
        <is>
          <t>2023-11-13</t>
        </is>
      </c>
      <c r="N49" s="13" t="inlineStr">
        <is>
          <t>2023-11-10</t>
        </is>
      </c>
      <c r="O49" s="9" t="n">
        <v>2100</v>
      </c>
      <c r="P49" s="17" t="n">
        <v>261.1684265136719</v>
      </c>
      <c r="Q49" s="17" t="n">
        <v>290.3394775390625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Q1 2023-24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-3.32%</t>
        </is>
      </c>
      <c r="J50" s="13" t="inlineStr">
        <is>
          <t>2.69%</t>
        </is>
      </c>
      <c r="K50" s="16">
        <f>X49</f>
        <v/>
      </c>
      <c r="L50" s="13" t="inlineStr">
        <is>
          <t>2023-04-13</t>
        </is>
      </c>
      <c r="M50" s="13" t="inlineStr">
        <is>
          <t>2023-04-24</t>
        </is>
      </c>
      <c r="N50" s="13" t="inlineStr">
        <is>
          <t>2023-04-22</t>
        </is>
      </c>
      <c r="O50" s="9" t="n">
        <v>713</v>
      </c>
      <c r="P50" s="17" t="n">
        <v>244.614486694336</v>
      </c>
      <c r="Q50" s="17" t="n">
        <v>236.755859375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Q1 2023-24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6.24%</t>
        </is>
      </c>
      <c r="J51" s="13" t="inlineStr">
        <is>
          <t>4.65%</t>
        </is>
      </c>
      <c r="K51" s="16">
        <f>X50</f>
        <v/>
      </c>
      <c r="L51" s="13" t="inlineStr">
        <is>
          <t>2023-04-20</t>
        </is>
      </c>
      <c r="M51" s="13" t="inlineStr">
        <is>
          <t>2023-04-27</t>
        </is>
      </c>
      <c r="N51" s="13" t="inlineStr">
        <is>
          <t>2023-04-22</t>
        </is>
      </c>
      <c r="O51" s="9" t="n">
        <v>572</v>
      </c>
      <c r="P51" s="17" t="n">
        <v>735.20556640625</v>
      </c>
      <c r="Q51" s="17" t="n">
        <v>781.0613403320312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Q1 2023-24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1.93%</t>
        </is>
      </c>
      <c r="J52" s="13" t="inlineStr">
        <is>
          <t>1.94%</t>
        </is>
      </c>
      <c r="K52" s="16">
        <f>X51</f>
        <v/>
      </c>
      <c r="L52" s="13" t="inlineStr">
        <is>
          <t>2023-04-13</t>
        </is>
      </c>
      <c r="M52" s="13" t="inlineStr">
        <is>
          <t>2023-04-27</t>
        </is>
      </c>
      <c r="N52" s="13" t="inlineStr">
        <is>
          <t>2023-04-22</t>
        </is>
      </c>
      <c r="O52" s="9" t="n">
        <v>479</v>
      </c>
      <c r="P52" s="17" t="n">
        <v>1433.237426757812</v>
      </c>
      <c r="Q52" s="17" t="n">
        <v>1460.895629882812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Q1 2023-24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-0.91%</t>
        </is>
      </c>
      <c r="J53" s="13" t="inlineStr">
        <is>
          <t>-3.98%</t>
        </is>
      </c>
      <c r="K53" s="16">
        <f>X52</f>
        <v/>
      </c>
      <c r="L53" s="13" t="inlineStr">
        <is>
          <t>2023-04-18</t>
        </is>
      </c>
      <c r="M53" s="13" t="inlineStr">
        <is>
          <t>2023-04-24</t>
        </is>
      </c>
      <c r="N53" s="13" t="inlineStr">
        <is>
          <t>2023-04-22</t>
        </is>
      </c>
      <c r="O53" s="9" t="n">
        <v>1904</v>
      </c>
      <c r="P53" s="17" t="n">
        <v>584.0390625</v>
      </c>
      <c r="Q53" s="17" t="n">
        <v>578.71337890625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Q1 2023-24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-0.98%</t>
        </is>
      </c>
      <c r="J54" s="13" t="inlineStr">
        <is>
          <t>0.83%</t>
        </is>
      </c>
      <c r="K54" s="16">
        <f>X53</f>
        <v/>
      </c>
      <c r="L54" s="13" t="inlineStr">
        <is>
          <t>2023-04-17</t>
        </is>
      </c>
      <c r="M54" s="13" t="inlineStr">
        <is>
          <t>2023-04-24</t>
        </is>
      </c>
      <c r="N54" s="13" t="inlineStr">
        <is>
          <t>2023-04-22</t>
        </is>
      </c>
      <c r="O54" s="9" t="n">
        <v>3841</v>
      </c>
      <c r="P54" s="17" t="n">
        <v>283.2022094726562</v>
      </c>
      <c r="Q54" s="17" t="n">
        <v>280.459228515625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Q1 2023-24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-4.52%</t>
        </is>
      </c>
      <c r="J55" s="13" t="inlineStr">
        <is>
          <t>-5.31%</t>
        </is>
      </c>
      <c r="K55" s="16">
        <f>X54</f>
        <v/>
      </c>
      <c r="L55" s="13" t="inlineStr">
        <is>
          <t>2023-04-17</t>
        </is>
      </c>
      <c r="M55" s="13" t="inlineStr">
        <is>
          <t>2023-04-27</t>
        </is>
      </c>
      <c r="N55" s="13" t="inlineStr">
        <is>
          <t>2023-04-22</t>
        </is>
      </c>
      <c r="O55" s="9" t="n">
        <v>185</v>
      </c>
      <c r="P55" s="17" t="n">
        <v>1493.635620117188</v>
      </c>
      <c r="Q55" s="17" t="n">
        <v>1429.032958984375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Q1 2023-24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-0.44%</t>
        </is>
      </c>
      <c r="J56" s="13" t="inlineStr">
        <is>
          <t>-1.94%</t>
        </is>
      </c>
      <c r="K56" s="16">
        <f>X55</f>
        <v/>
      </c>
      <c r="L56" s="13" t="inlineStr">
        <is>
          <t>2023-04-13</t>
        </is>
      </c>
      <c r="M56" s="13" t="inlineStr">
        <is>
          <t>2023-04-24</t>
        </is>
      </c>
      <c r="N56" s="13" t="inlineStr">
        <is>
          <t>2023-04-22</t>
        </is>
      </c>
      <c r="O56" s="9" t="n">
        <v>2346</v>
      </c>
      <c r="P56" s="17" t="n">
        <v>502.746337890625</v>
      </c>
      <c r="Q56" s="17" t="n">
        <v>500.5527648925781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Q1 2023-24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-7.92%</t>
        </is>
      </c>
      <c r="J57" s="13" t="inlineStr">
        <is>
          <t>-12.81%</t>
        </is>
      </c>
      <c r="K57" s="16">
        <f>X56</f>
        <v/>
      </c>
      <c r="L57" s="13" t="inlineStr">
        <is>
          <t>2023-04-19</t>
        </is>
      </c>
      <c r="M57" s="13" t="inlineStr">
        <is>
          <t>2023-04-24</t>
        </is>
      </c>
      <c r="N57" s="13" t="inlineStr">
        <is>
          <t>2023-04-22</t>
        </is>
      </c>
      <c r="O57" s="9" t="n">
        <v>2135</v>
      </c>
      <c r="P57" s="17" t="n">
        <v>353.75</v>
      </c>
      <c r="Q57" s="17" t="n">
        <v>327.7999877929688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Q1 2023-24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0.28%</t>
        </is>
      </c>
      <c r="J58" s="13" t="inlineStr">
        <is>
          <t>-4.39%</t>
        </is>
      </c>
      <c r="K58" s="16">
        <f>X57</f>
        <v/>
      </c>
      <c r="L58" s="13" t="inlineStr">
        <is>
          <t>2023-04-13</t>
        </is>
      </c>
      <c r="M58" s="13" t="inlineStr">
        <is>
          <t>2023-04-24</t>
        </is>
      </c>
      <c r="N58" s="13" t="inlineStr">
        <is>
          <t>2023-04-22</t>
        </is>
      </c>
      <c r="O58" s="9" t="n">
        <v>200</v>
      </c>
      <c r="P58" s="17" t="n">
        <v>3112.1181640625</v>
      </c>
      <c r="Q58" s="17" t="n">
        <v>3120.8173828125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Q1 2023-24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2.52%</t>
        </is>
      </c>
      <c r="J59" s="13" t="inlineStr">
        <is>
          <t>-0.86%</t>
        </is>
      </c>
      <c r="K59" s="16">
        <f>X58</f>
        <v/>
      </c>
      <c r="L59" s="13" t="inlineStr">
        <is>
          <t>2023-04-11</t>
        </is>
      </c>
      <c r="M59" s="13" t="inlineStr">
        <is>
          <t>2023-04-24</t>
        </is>
      </c>
      <c r="N59" s="13" t="inlineStr">
        <is>
          <t>2023-04-22</t>
        </is>
      </c>
      <c r="O59" s="9" t="n">
        <v>100</v>
      </c>
      <c r="P59" s="17" t="n">
        <v>2889.690185546875</v>
      </c>
      <c r="Q59" s="17" t="n">
        <v>2964.384033203125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Q1 2023-24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3.0%</t>
        </is>
      </c>
      <c r="J60" s="13" t="inlineStr">
        <is>
          <t>1.47%</t>
        </is>
      </c>
      <c r="K60" s="16">
        <f>X59</f>
        <v/>
      </c>
      <c r="L60" s="13" t="inlineStr">
        <is>
          <t>2023-04-18</t>
        </is>
      </c>
      <c r="M60" s="13" t="inlineStr">
        <is>
          <t>2023-04-24</t>
        </is>
      </c>
      <c r="N60" s="13" t="inlineStr">
        <is>
          <t>2023-04-22</t>
        </is>
      </c>
      <c r="O60" s="9" t="n">
        <v>1527</v>
      </c>
      <c r="P60" s="17" t="n">
        <v>397.6742553710938</v>
      </c>
      <c r="Q60" s="17" t="n">
        <v>409.9580078125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Q1 2023-24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0.26%</t>
        </is>
      </c>
      <c r="J61" s="13" t="inlineStr">
        <is>
          <t>-2.66%</t>
        </is>
      </c>
      <c r="K61" s="16">
        <f>X60</f>
        <v/>
      </c>
      <c r="L61" s="13" t="inlineStr">
        <is>
          <t>2023-04-19</t>
        </is>
      </c>
      <c r="M61" s="13" t="inlineStr">
        <is>
          <t>2023-04-24</t>
        </is>
      </c>
      <c r="N61" s="13" t="inlineStr">
        <is>
          <t>2023-04-22</t>
        </is>
      </c>
      <c r="O61" s="9" t="n">
        <v>258</v>
      </c>
      <c r="P61" s="17" t="n">
        <v>3467.199951171875</v>
      </c>
      <c r="Q61" s="17" t="n">
        <v>3476.199951171875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Q1 2023-24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3.58%</t>
        </is>
      </c>
      <c r="J62" s="13" t="inlineStr">
        <is>
          <t>2.85%</t>
        </is>
      </c>
      <c r="K62" s="16">
        <f>X61</f>
        <v/>
      </c>
      <c r="L62" s="13" t="inlineStr">
        <is>
          <t>2023-10-17</t>
        </is>
      </c>
      <c r="M62" s="13" t="inlineStr">
        <is>
          <t>2023-10-30</t>
        </is>
      </c>
      <c r="N62" s="13" t="inlineStr">
        <is>
          <t>2023-10-27</t>
        </is>
      </c>
      <c r="O62" s="9" t="n">
        <v>125</v>
      </c>
      <c r="P62" s="17" t="n">
        <v>1049.423461914062</v>
      </c>
      <c r="Q62" s="17" t="n">
        <v>1088.442993164062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Q1 2023-24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17.25%</t>
        </is>
      </c>
      <c r="J63" s="13" t="inlineStr">
        <is>
          <t>14.95%</t>
        </is>
      </c>
      <c r="K63" s="16">
        <f>X62</f>
        <v/>
      </c>
      <c r="L63" s="13" t="inlineStr">
        <is>
          <t>2023-11-01</t>
        </is>
      </c>
      <c r="M63" s="13" t="inlineStr">
        <is>
          <t>2023-11-15</t>
        </is>
      </c>
      <c r="N63" s="13" t="inlineStr">
        <is>
          <t>2023-11-11</t>
        </is>
      </c>
      <c r="O63" s="9" t="n">
        <v>175</v>
      </c>
      <c r="P63" s="17" t="n">
        <v>3204.72705078125</v>
      </c>
      <c r="Q63" s="17" t="n">
        <v>3757.407470703125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Q1 2023-24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12.1%</t>
        </is>
      </c>
      <c r="J64" s="13" t="inlineStr">
        <is>
          <t>6.27%</t>
        </is>
      </c>
      <c r="K64" s="16">
        <f>X63</f>
        <v/>
      </c>
      <c r="L64" s="13" t="inlineStr">
        <is>
          <t>2023-04-19</t>
        </is>
      </c>
      <c r="M64" s="13" t="inlineStr">
        <is>
          <t>2023-04-27</t>
        </is>
      </c>
      <c r="N64" s="13" t="inlineStr">
        <is>
          <t>2023-04-22</t>
        </is>
      </c>
      <c r="O64" s="9" t="n">
        <v>3399</v>
      </c>
      <c r="P64" s="17" t="n">
        <v>54.15000152587891</v>
      </c>
      <c r="Q64" s="17" t="n">
        <v>60.70000076293945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Q1 2023-24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0.34%</t>
        </is>
      </c>
      <c r="J65" s="13" t="inlineStr">
        <is>
          <t>-1.64%</t>
        </is>
      </c>
      <c r="K65" s="16">
        <f>X64</f>
        <v/>
      </c>
      <c r="L65" s="13" t="inlineStr">
        <is>
          <t>2023-04-18</t>
        </is>
      </c>
      <c r="M65" s="13" t="inlineStr">
        <is>
          <t>2023-04-24</t>
        </is>
      </c>
      <c r="N65" s="13" t="inlineStr">
        <is>
          <t>2023-04-22</t>
        </is>
      </c>
      <c r="O65" s="9" t="n">
        <v>2823</v>
      </c>
      <c r="P65" s="17" t="n">
        <v>129.1161651611328</v>
      </c>
      <c r="Q65" s="17" t="n">
        <v>129.5575103759766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Q1 2023-24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-4.5%</t>
        </is>
      </c>
      <c r="J66" s="13" t="inlineStr">
        <is>
          <t>-6.91%</t>
        </is>
      </c>
      <c r="K66" s="16">
        <f>X65</f>
        <v/>
      </c>
      <c r="L66" s="13" t="inlineStr">
        <is>
          <t>2024-04-24</t>
        </is>
      </c>
      <c r="M66" s="13" t="inlineStr">
        <is>
          <t>2024-05-03</t>
        </is>
      </c>
      <c r="N66" s="13" t="inlineStr">
        <is>
          <t>2024-04-26</t>
        </is>
      </c>
      <c r="O66" s="9" t="n">
        <v>100</v>
      </c>
      <c r="P66" s="17" t="n">
        <v>9903.6904296875</v>
      </c>
      <c r="Q66" s="17" t="n">
        <v>9458.4912109375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Q1 2023-24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-3.37%</t>
        </is>
      </c>
      <c r="J67" s="13" t="inlineStr">
        <is>
          <t>-3.92%</t>
        </is>
      </c>
      <c r="K67" s="16">
        <f>X66</f>
        <v/>
      </c>
      <c r="L67" s="13" t="inlineStr">
        <is>
          <t>2023-04-13</t>
        </is>
      </c>
      <c r="M67" s="13" t="inlineStr">
        <is>
          <t>2023-04-27</t>
        </is>
      </c>
      <c r="N67" s="13" t="inlineStr">
        <is>
          <t>2023-04-22</t>
        </is>
      </c>
      <c r="O67" s="9" t="n">
        <v>1053</v>
      </c>
      <c r="P67" s="17" t="n">
        <v>263.2604064941406</v>
      </c>
      <c r="Q67" s="17" t="n">
        <v>254.3758697509766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Q1 2023-24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0.97%</t>
        </is>
      </c>
      <c r="J68" s="13" t="inlineStr">
        <is>
          <t>-1.49%</t>
        </is>
      </c>
      <c r="K68" s="16">
        <f>X67</f>
        <v/>
      </c>
      <c r="L68" s="13" t="inlineStr">
        <is>
          <t>2023-04-19</t>
        </is>
      </c>
      <c r="M68" s="13" t="inlineStr">
        <is>
          <t>2023-04-27</t>
        </is>
      </c>
      <c r="N68" s="13" t="inlineStr">
        <is>
          <t>2023-04-22</t>
        </is>
      </c>
      <c r="O68" s="9" t="n">
        <v>5759</v>
      </c>
      <c r="P68" s="17" t="n">
        <v>97.52715301513672</v>
      </c>
      <c r="Q68" s="17" t="n">
        <v>98.47315216064452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Q1 2023-24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7.65%</t>
        </is>
      </c>
      <c r="J69" s="13" t="inlineStr">
        <is>
          <t>3.29%</t>
        </is>
      </c>
      <c r="K69" s="16">
        <f>X68</f>
        <v/>
      </c>
      <c r="L69" s="13" t="inlineStr">
        <is>
          <t>2023-04-19</t>
        </is>
      </c>
      <c r="M69" s="13" t="inlineStr">
        <is>
          <t>2023-04-27</t>
        </is>
      </c>
      <c r="N69" s="13" t="inlineStr">
        <is>
          <t>2023-04-22</t>
        </is>
      </c>
      <c r="O69" s="9" t="n">
        <v>456</v>
      </c>
      <c r="P69" s="17" t="n">
        <v>508.5280456542969</v>
      </c>
      <c r="Q69" s="17" t="n">
        <v>547.41259765625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Q1 2023-24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-1.69%</t>
        </is>
      </c>
      <c r="J70" s="13" t="inlineStr">
        <is>
          <t>-0.46%</t>
        </is>
      </c>
      <c r="K70" s="16">
        <f>X69</f>
        <v/>
      </c>
      <c r="L70" s="13" t="inlineStr">
        <is>
          <t>2023-04-19</t>
        </is>
      </c>
      <c r="M70" s="13" t="inlineStr">
        <is>
          <t>2023-04-27</t>
        </is>
      </c>
      <c r="N70" s="13" t="inlineStr">
        <is>
          <t>2023-04-22</t>
        </is>
      </c>
      <c r="O70" s="9" t="n">
        <v>9623</v>
      </c>
      <c r="P70" s="17" t="n">
        <v>45.09999847412109</v>
      </c>
      <c r="Q70" s="17" t="n">
        <v>44.34999847412109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Q1 2023-24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4.38%</t>
        </is>
      </c>
      <c r="J71" s="13" t="inlineStr">
        <is>
          <t>1.2%</t>
        </is>
      </c>
      <c r="K71" s="16">
        <f>X70</f>
        <v/>
      </c>
      <c r="L71" s="13" t="inlineStr">
        <is>
          <t>2023-04-18</t>
        </is>
      </c>
      <c r="M71" s="13" t="inlineStr">
        <is>
          <t>2023-04-27</t>
        </is>
      </c>
      <c r="N71" s="13" t="inlineStr">
        <is>
          <t>2023-04-22</t>
        </is>
      </c>
      <c r="O71" s="9" t="n">
        <v>469</v>
      </c>
      <c r="P71" s="17" t="n">
        <v>536.7409057617188</v>
      </c>
      <c r="Q71" s="17" t="n">
        <v>560.2467651367188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Q1 2023-24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2.74%</t>
        </is>
      </c>
      <c r="J72" s="13" t="inlineStr">
        <is>
          <t>0.09%</t>
        </is>
      </c>
      <c r="K72" s="16">
        <f>X71</f>
        <v/>
      </c>
      <c r="L72" s="13" t="inlineStr">
        <is>
          <t>2023-04-13</t>
        </is>
      </c>
      <c r="M72" s="13" t="inlineStr">
        <is>
          <t>2023-04-24</t>
        </is>
      </c>
      <c r="N72" s="13" t="inlineStr">
        <is>
          <t>2023-04-22</t>
        </is>
      </c>
      <c r="O72" s="9" t="n">
        <v>932</v>
      </c>
      <c r="P72" s="17" t="n">
        <v>920.0120849609376</v>
      </c>
      <c r="Q72" s="17" t="n">
        <v>945.2283325195312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Q1 2023-24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-4.02%</t>
        </is>
      </c>
      <c r="J73" s="13" t="inlineStr">
        <is>
          <t>-1.7%</t>
        </is>
      </c>
      <c r="K73" s="16">
        <f>X72</f>
        <v/>
      </c>
      <c r="L73" s="13" t="inlineStr">
        <is>
          <t>2023-04-11</t>
        </is>
      </c>
      <c r="M73" s="13" t="inlineStr">
        <is>
          <t>2023-04-24</t>
        </is>
      </c>
      <c r="N73" s="13" t="inlineStr">
        <is>
          <t>2023-04-22</t>
        </is>
      </c>
      <c r="O73" s="9" t="n">
        <v>473</v>
      </c>
      <c r="P73" s="17" t="n">
        <v>1277.226318359375</v>
      </c>
      <c r="Q73" s="17" t="n">
        <v>1227.864868164062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Q1 2023-24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-2.64%</t>
        </is>
      </c>
      <c r="J74" s="13" t="inlineStr">
        <is>
          <t>-2.6%</t>
        </is>
      </c>
      <c r="K74" s="16">
        <f>X73</f>
        <v/>
      </c>
      <c r="L74" s="13" t="inlineStr">
        <is>
          <t>2023-11-07</t>
        </is>
      </c>
      <c r="M74" s="13" t="inlineStr">
        <is>
          <t>2023-11-20</t>
        </is>
      </c>
      <c r="N74" s="13" t="inlineStr">
        <is>
          <t>2023-11-13</t>
        </is>
      </c>
      <c r="O74" s="9" t="n">
        <v>250</v>
      </c>
      <c r="P74" s="17" t="n">
        <v>1949.875244140625</v>
      </c>
      <c r="Q74" s="17" t="n">
        <v>1899.702270507812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Q1 2023-24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21.33%</t>
        </is>
      </c>
      <c r="J75" s="13" t="inlineStr">
        <is>
          <t>15.22%</t>
        </is>
      </c>
      <c r="K75" s="16">
        <f>X74</f>
        <v/>
      </c>
      <c r="L75" s="13" t="inlineStr">
        <is>
          <t>2023-04-18</t>
        </is>
      </c>
      <c r="M75" s="13" t="inlineStr">
        <is>
          <t>2023-04-27</t>
        </is>
      </c>
      <c r="N75" s="13" t="inlineStr">
        <is>
          <t>2023-04-22</t>
        </is>
      </c>
      <c r="O75" s="9" t="n">
        <v>237</v>
      </c>
      <c r="P75" s="17" t="n">
        <v>141.4220123291016</v>
      </c>
      <c r="Q75" s="17" t="n">
        <v>171.5807342529297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Q1 2023-24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0.26%</t>
        </is>
      </c>
      <c r="J76" s="13" t="inlineStr">
        <is>
          <t>-2.99%</t>
        </is>
      </c>
      <c r="K76" s="16">
        <f>X75</f>
        <v/>
      </c>
      <c r="L76" s="13" t="inlineStr">
        <is>
          <t>2023-04-17</t>
        </is>
      </c>
      <c r="M76" s="13" t="inlineStr">
        <is>
          <t>2023-04-27</t>
        </is>
      </c>
      <c r="N76" s="13" t="inlineStr">
        <is>
          <t>2023-04-22</t>
        </is>
      </c>
      <c r="O76" s="9" t="n">
        <v>218</v>
      </c>
      <c r="P76" s="17" t="n">
        <v>1370.262817382812</v>
      </c>
      <c r="Q76" s="17" t="n">
        <v>1373.892211914062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Q1 2023-24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-2.95%</t>
        </is>
      </c>
      <c r="J77" s="13" t="inlineStr">
        <is>
          <t>-7.5%</t>
        </is>
      </c>
      <c r="K77" s="16">
        <f>X76</f>
        <v/>
      </c>
      <c r="L77" s="13" t="inlineStr">
        <is>
          <t>2023-04-13</t>
        </is>
      </c>
      <c r="M77" s="13" t="inlineStr">
        <is>
          <t>2023-04-27</t>
        </is>
      </c>
      <c r="N77" s="13" t="inlineStr">
        <is>
          <t>2023-04-22</t>
        </is>
      </c>
      <c r="O77" s="9" t="n">
        <v>792</v>
      </c>
      <c r="P77" s="17" t="n">
        <v>1193.0283203125</v>
      </c>
      <c r="Q77" s="17" t="n">
        <v>1158.835693359375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Q1 2023-24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1.42%</t>
        </is>
      </c>
      <c r="J78" s="13" t="inlineStr">
        <is>
          <t>1.08%</t>
        </is>
      </c>
      <c r="K78" s="16">
        <f>X77</f>
        <v/>
      </c>
      <c r="L78" s="13" t="inlineStr">
        <is>
          <t>2023-10-09</t>
        </is>
      </c>
      <c r="M78" s="13" t="inlineStr">
        <is>
          <t>2023-10-19</t>
        </is>
      </c>
      <c r="N78" s="13" t="inlineStr">
        <is>
          <t>2023-10-12</t>
        </is>
      </c>
      <c r="O78" s="9" t="n">
        <v>350</v>
      </c>
      <c r="P78" s="17" t="n">
        <v>1121.4462890625</v>
      </c>
      <c r="Q78" s="17" t="n">
        <v>1137.375732421875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Q1 2023-24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1.45%</t>
        </is>
      </c>
      <c r="J79" s="13" t="inlineStr">
        <is>
          <t>3.74%</t>
        </is>
      </c>
      <c r="K79" s="16">
        <f>X78</f>
        <v/>
      </c>
      <c r="L79" s="13" t="inlineStr">
        <is>
          <t>2023-04-17</t>
        </is>
      </c>
      <c r="M79" s="13" t="inlineStr">
        <is>
          <t>2023-04-24</t>
        </is>
      </c>
      <c r="N79" s="13" t="inlineStr">
        <is>
          <t>2023-04-22</t>
        </is>
      </c>
      <c r="O79" s="9" t="n">
        <v>392</v>
      </c>
      <c r="P79" s="17" t="n">
        <v>820.1900634765625</v>
      </c>
      <c r="Q79" s="17" t="n">
        <v>832.2793579101562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Q1 2023-24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-1.3%</t>
        </is>
      </c>
      <c r="J80" s="13" t="inlineStr">
        <is>
          <t>-1.54%</t>
        </is>
      </c>
      <c r="K80" s="16">
        <f>X79</f>
        <v/>
      </c>
      <c r="L80" s="13" t="inlineStr">
        <is>
          <t>2023-10-09</t>
        </is>
      </c>
      <c r="M80" s="13" t="inlineStr">
        <is>
          <t>2023-10-25</t>
        </is>
      </c>
      <c r="N80" s="13" t="inlineStr">
        <is>
          <t>2023-10-17</t>
        </is>
      </c>
      <c r="O80" s="9" t="n">
        <v>550</v>
      </c>
      <c r="P80" s="17" t="n">
        <v>725.9307861328125</v>
      </c>
      <c r="Q80" s="17" t="n">
        <v>716.4751586914062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Q1 2023-24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2.05%</t>
        </is>
      </c>
      <c r="J81" s="13" t="inlineStr">
        <is>
          <t>1.34%</t>
        </is>
      </c>
      <c r="K81" s="16">
        <f>X80</f>
        <v/>
      </c>
      <c r="L81" s="13" t="inlineStr">
        <is>
          <t>2021-04-22</t>
        </is>
      </c>
      <c r="M81" s="13" t="inlineStr">
        <is>
          <t>2021-04-30</t>
        </is>
      </c>
      <c r="N81" s="13" t="inlineStr">
        <is>
          <t>2021-04-26</t>
        </is>
      </c>
      <c r="O81" s="9" t="n">
        <v>1100</v>
      </c>
      <c r="P81" s="17" t="n">
        <v>652.7471313476562</v>
      </c>
      <c r="Q81" s="17" t="n">
        <v>666.4380493164062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Q1 2023-24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2.77%</t>
        </is>
      </c>
      <c r="J82" s="13" t="inlineStr">
        <is>
          <t>1.48%</t>
        </is>
      </c>
      <c r="K82" s="16">
        <f>X81</f>
        <v/>
      </c>
      <c r="L82" s="13" t="inlineStr">
        <is>
          <t>2023-10-31</t>
        </is>
      </c>
      <c r="M82" s="13" t="inlineStr">
        <is>
          <t>2023-11-09</t>
        </is>
      </c>
      <c r="N82" s="13" t="inlineStr">
        <is>
          <t>2023-11-02</t>
        </is>
      </c>
      <c r="O82" s="9" t="n">
        <v>150</v>
      </c>
      <c r="P82" s="17" t="n">
        <v>2827.951416015625</v>
      </c>
      <c r="Q82" s="17" t="n">
        <v>2906.287841796875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Q1 2023-24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-0.61%</t>
        </is>
      </c>
      <c r="J83" s="13" t="inlineStr">
        <is>
          <t>-0.47%</t>
        </is>
      </c>
      <c r="K83" s="16">
        <f>X82</f>
        <v/>
      </c>
      <c r="L83" s="13" t="inlineStr">
        <is>
          <t>2023-11-07</t>
        </is>
      </c>
      <c r="M83" s="13" t="inlineStr">
        <is>
          <t>2023-11-13</t>
        </is>
      </c>
      <c r="N83" s="13" t="inlineStr">
        <is>
          <t>2023-11-10</t>
        </is>
      </c>
      <c r="O83" s="9" t="n">
        <v>1400</v>
      </c>
      <c r="P83" s="17" t="n">
        <v>478.6952819824219</v>
      </c>
      <c r="Q83" s="17" t="n">
        <v>475.7985229492188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Q1 2023-24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-4.55%</t>
        </is>
      </c>
      <c r="J84" s="13" t="inlineStr">
        <is>
          <t>-5.9%</t>
        </is>
      </c>
      <c r="K84" s="16">
        <f>X83</f>
        <v/>
      </c>
      <c r="L84" s="13" t="inlineStr">
        <is>
          <t>2023-04-20</t>
        </is>
      </c>
      <c r="M84" s="13" t="inlineStr">
        <is>
          <t>2023-04-27</t>
        </is>
      </c>
      <c r="N84" s="13" t="inlineStr">
        <is>
          <t>2023-04-22</t>
        </is>
      </c>
      <c r="O84" s="9" t="n">
        <v>2574</v>
      </c>
      <c r="P84" s="17" t="n">
        <v>152.1831970214844</v>
      </c>
      <c r="Q84" s="17" t="n">
        <v>145.5638885498047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Q1 2023-24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2.91%</t>
        </is>
      </c>
      <c r="J85" s="13" t="inlineStr">
        <is>
          <t>3.02%</t>
        </is>
      </c>
      <c r="K85" s="16">
        <f>X84</f>
        <v/>
      </c>
      <c r="L85" s="13" t="inlineStr">
        <is>
          <t>2023-10-11</t>
        </is>
      </c>
      <c r="M85" s="13" t="inlineStr">
        <is>
          <t>2023-10-27</t>
        </is>
      </c>
      <c r="N85" s="13" t="inlineStr">
        <is>
          <t>2023-10-19</t>
        </is>
      </c>
      <c r="O85" s="9" t="n">
        <v>300</v>
      </c>
      <c r="P85" s="17" t="n">
        <v>2344.5693359375</v>
      </c>
      <c r="Q85" s="17" t="n">
        <v>2414.801025390625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Q1 2023-24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4.02%</t>
        </is>
      </c>
      <c r="J86" s="13" t="inlineStr">
        <is>
          <t>2.31%</t>
        </is>
      </c>
      <c r="K86" s="16">
        <f>X85</f>
        <v/>
      </c>
      <c r="L86" s="13" t="inlineStr">
        <is>
          <t>2023-04-18</t>
        </is>
      </c>
      <c r="M86" s="13" t="inlineStr">
        <is>
          <t>2023-04-27</t>
        </is>
      </c>
      <c r="N86" s="13" t="inlineStr">
        <is>
          <t>2023-04-22</t>
        </is>
      </c>
      <c r="O86" s="9" t="n">
        <v>1866</v>
      </c>
      <c r="P86" s="17" t="n">
        <v>271.8855895996094</v>
      </c>
      <c r="Q86" s="17" t="n">
        <v>283.2761535644531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Q1 2023-24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-4.25%</t>
        </is>
      </c>
      <c r="J87" s="13" t="inlineStr">
        <is>
          <t>-7.43%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2023-04-22</t>
        </is>
      </c>
      <c r="O87" s="9" t="n">
        <v>495</v>
      </c>
      <c r="P87" s="17" t="n">
        <v>1878.654418945312</v>
      </c>
      <c r="Q87" s="17" t="n">
        <v>1802.145385742188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Q1 2023-24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-2.96%</t>
        </is>
      </c>
      <c r="J88" s="13" t="inlineStr">
        <is>
          <t>-5.42%</t>
        </is>
      </c>
      <c r="K88" s="16">
        <f>X87</f>
        <v/>
      </c>
      <c r="L88" s="13" t="inlineStr">
        <is>
          <t>2023-10-11</t>
        </is>
      </c>
      <c r="M88" s="13" t="inlineStr">
        <is>
          <t>2023-10-30</t>
        </is>
      </c>
      <c r="N88" s="13" t="inlineStr">
        <is>
          <t>2023-10-21</t>
        </is>
      </c>
      <c r="O88" s="9" t="n">
        <v>700</v>
      </c>
      <c r="P88" s="17" t="n">
        <v>937.7293701171876</v>
      </c>
      <c r="Q88" s="17" t="n">
        <v>909.9841918945312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Q1 2023-24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-3.76%</t>
        </is>
      </c>
      <c r="J89" s="13" t="inlineStr">
        <is>
          <t>-5.78%</t>
        </is>
      </c>
      <c r="K89" s="16">
        <f>X88</f>
        <v/>
      </c>
      <c r="L89" s="13" t="inlineStr">
        <is>
          <t>2024-04-04</t>
        </is>
      </c>
      <c r="M89" s="13" t="inlineStr">
        <is>
          <t>2024-04-24</t>
        </is>
      </c>
      <c r="N89" s="13" t="inlineStr">
        <is>
          <t>2024-04-17</t>
        </is>
      </c>
      <c r="O89" s="9" t="n">
        <v>629</v>
      </c>
      <c r="P89" s="17" t="n">
        <v>1706.8</v>
      </c>
      <c r="Q89" s="17" t="n">
        <v>1644.95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Q1 2023-24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-7.75%</t>
        </is>
      </c>
      <c r="J90" s="13" t="inlineStr">
        <is>
          <t>-7.26%</t>
        </is>
      </c>
      <c r="K90" s="16">
        <f>X89</f>
        <v/>
      </c>
      <c r="L90" s="13" t="inlineStr">
        <is>
          <t>2025-04-02</t>
        </is>
      </c>
      <c r="M90" s="13" t="inlineStr">
        <is>
          <t>2025-04-23</t>
        </is>
      </c>
      <c r="N90" s="13" t="inlineStr">
        <is>
          <t>2025-04-15</t>
        </is>
      </c>
      <c r="O90" s="9" t="n">
        <v>1958</v>
      </c>
      <c r="P90" s="17" t="n">
        <v>604.1001586914062</v>
      </c>
      <c r="Q90" s="17" t="n">
        <v>560.6586303710938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Q1 2023-24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-14.05%</t>
        </is>
      </c>
      <c r="J91" s="13" t="inlineStr">
        <is>
          <t>-17.95%</t>
        </is>
      </c>
      <c r="K91" s="16">
        <f>X90</f>
        <v/>
      </c>
      <c r="L91" s="13" t="inlineStr">
        <is>
          <t>2023-04-13</t>
        </is>
      </c>
      <c r="M91" s="13" t="inlineStr">
        <is>
          <t>2023-04-27</t>
        </is>
      </c>
      <c r="N91" s="13" t="inlineStr">
        <is>
          <t>2023-04-22</t>
        </is>
      </c>
      <c r="O91" s="9" t="n">
        <v>77700</v>
      </c>
      <c r="P91" s="17" t="n">
        <v>6.900000095367432</v>
      </c>
      <c r="Q91" s="17" t="n">
        <v>6.050000190734863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Q1 2023-24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-8.47%</t>
        </is>
      </c>
      <c r="J92" s="13" t="inlineStr">
        <is>
          <t>-13.14%</t>
        </is>
      </c>
      <c r="K92" s="16">
        <f>X91</f>
        <v/>
      </c>
      <c r="L92" s="13" t="inlineStr">
        <is>
          <t>2023-04-11</t>
        </is>
      </c>
      <c r="M92" s="13" t="inlineStr">
        <is>
          <t>2023-04-24</t>
        </is>
      </c>
      <c r="N92" s="13" t="inlineStr">
        <is>
          <t>2023-04-22</t>
        </is>
      </c>
      <c r="O92" s="9" t="n">
        <v>11798</v>
      </c>
      <c r="P92" s="17" t="n">
        <v>58.05996704101562</v>
      </c>
      <c r="Q92" s="17" t="n">
        <v>53.52481079101562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Q1 2023-24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-0.65%</t>
        </is>
      </c>
      <c r="J93" s="13" t="inlineStr">
        <is>
          <t>-2.46%</t>
        </is>
      </c>
      <c r="K93" s="16">
        <f>X92</f>
        <v/>
      </c>
      <c r="L93" s="13" t="inlineStr">
        <is>
          <t>2023-04-20</t>
        </is>
      </c>
      <c r="M93" s="13" t="inlineStr">
        <is>
          <t>2023-04-24</t>
        </is>
      </c>
      <c r="N93" s="13" t="inlineStr">
        <is>
          <t>2023-04-22</t>
        </is>
      </c>
      <c r="O93" s="9" t="n">
        <v>7610</v>
      </c>
      <c r="P93" s="17" t="n">
        <v>143.6119079589844</v>
      </c>
      <c r="Q93" s="17" t="n">
        <v>142.678466796875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Q1 2023-24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2.91%</t>
        </is>
      </c>
      <c r="J94" s="13" t="inlineStr">
        <is>
          <t>-0.05%</t>
        </is>
      </c>
      <c r="K94" s="16">
        <f>X93</f>
        <v/>
      </c>
      <c r="L94" s="13" t="inlineStr">
        <is>
          <t>2023-04-18</t>
        </is>
      </c>
      <c r="M94" s="13" t="inlineStr">
        <is>
          <t>2023-04-27</t>
        </is>
      </c>
      <c r="N94" s="13" t="inlineStr">
        <is>
          <t>2023-04-22</t>
        </is>
      </c>
      <c r="O94" s="9" t="n">
        <v>1334</v>
      </c>
      <c r="P94" s="17" t="n">
        <v>326.1283569335937</v>
      </c>
      <c r="Q94" s="17" t="n">
        <v>335.6042175292969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Q1 2023-24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-1.43%</t>
        </is>
      </c>
      <c r="J95" s="13" t="inlineStr">
        <is>
          <t>-7.74%</t>
        </is>
      </c>
      <c r="K95" s="16">
        <f>X94</f>
        <v/>
      </c>
      <c r="L95" s="13" t="inlineStr">
        <is>
          <t>2023-04-18</t>
        </is>
      </c>
      <c r="M95" s="13" t="inlineStr">
        <is>
          <t>2023-04-27</t>
        </is>
      </c>
      <c r="N95" s="13" t="inlineStr">
        <is>
          <t>2023-04-22</t>
        </is>
      </c>
      <c r="O95" s="9" t="n">
        <v>1208</v>
      </c>
      <c r="P95" s="17" t="n">
        <v>291.1543579101562</v>
      </c>
      <c r="Q95" s="17" t="n">
        <v>286.9892272949219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Q1 2023-24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2.5%</t>
        </is>
      </c>
      <c r="J96" s="13" t="inlineStr">
        <is>
          <t>3.06%</t>
        </is>
      </c>
      <c r="K96" s="16">
        <f>X95</f>
        <v/>
      </c>
      <c r="L96" s="13" t="inlineStr">
        <is>
          <t>2021-05-27</t>
        </is>
      </c>
      <c r="M96" s="13" t="inlineStr">
        <is>
          <t>2021-06-08</t>
        </is>
      </c>
      <c r="N96" s="13" t="inlineStr">
        <is>
          <t>2021-06-07</t>
        </is>
      </c>
      <c r="O96" s="9" t="n">
        <v>196</v>
      </c>
      <c r="P96" s="17" t="n">
        <v>1737.763305664062</v>
      </c>
      <c r="Q96" s="17" t="n">
        <v>1781.289794921875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Q1 2023-24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-1.49%</t>
        </is>
      </c>
      <c r="J97" s="13" t="inlineStr">
        <is>
          <t>-2.39%</t>
        </is>
      </c>
      <c r="K97" s="16">
        <f>X96</f>
        <v/>
      </c>
      <c r="L97" s="13" t="inlineStr">
        <is>
          <t>2023-10-17</t>
        </is>
      </c>
      <c r="M97" s="13" t="inlineStr">
        <is>
          <t>2023-10-26</t>
        </is>
      </c>
      <c r="N97" s="13" t="inlineStr">
        <is>
          <t>2023-10-18</t>
        </is>
      </c>
      <c r="O97" s="9" t="n">
        <v>500</v>
      </c>
      <c r="P97" s="17" t="n">
        <v>1417.936279296875</v>
      </c>
      <c r="Q97" s="17" t="n">
        <v>1396.854858398438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Q1 2023-24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-1.42%</t>
        </is>
      </c>
      <c r="J98" s="13" t="inlineStr">
        <is>
          <t>-3.68%</t>
        </is>
      </c>
      <c r="K98" s="16">
        <f>X97</f>
        <v/>
      </c>
      <c r="L98" s="13" t="inlineStr">
        <is>
          <t>2023-04-18</t>
        </is>
      </c>
      <c r="M98" s="13" t="inlineStr">
        <is>
          <t>2023-04-24</t>
        </is>
      </c>
      <c r="N98" s="13" t="inlineStr">
        <is>
          <t>2023-04-22</t>
        </is>
      </c>
      <c r="O98" s="9" t="n">
        <v>2545</v>
      </c>
      <c r="P98" s="17" t="n">
        <v>138.8500061035156</v>
      </c>
      <c r="Q98" s="17" t="n">
        <v>136.8999938964844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Q1 2023-24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3.01%</t>
        </is>
      </c>
      <c r="J99" s="13" t="inlineStr">
        <is>
          <t>2.17%</t>
        </is>
      </c>
      <c r="K99" s="16">
        <f>X98</f>
        <v/>
      </c>
      <c r="L99" s="13" t="inlineStr">
        <is>
          <t>2023-10-06</t>
        </is>
      </c>
      <c r="M99" s="13" t="inlineStr">
        <is>
          <t>2023-10-16</t>
        </is>
      </c>
      <c r="N99" s="13" t="inlineStr">
        <is>
          <t>2023-10-12</t>
        </is>
      </c>
      <c r="O99" s="9" t="n">
        <v>400</v>
      </c>
      <c r="P99" s="17" t="n">
        <v>1304.7431640625</v>
      </c>
      <c r="Q99" s="17" t="n">
        <v>1345.273315429688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Q1 2023-24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7.73%</t>
        </is>
      </c>
      <c r="J100" s="13" t="inlineStr">
        <is>
          <t>2.38%</t>
        </is>
      </c>
      <c r="K100" s="16">
        <f>X99</f>
        <v/>
      </c>
      <c r="L100" s="13" t="inlineStr">
        <is>
          <t>2023-04-11</t>
        </is>
      </c>
      <c r="M100" s="13" t="inlineStr">
        <is>
          <t>2023-04-24</t>
        </is>
      </c>
      <c r="N100" s="13" t="inlineStr">
        <is>
          <t>2023-04-22</t>
        </is>
      </c>
      <c r="O100" s="9" t="n">
        <v>13336</v>
      </c>
      <c r="P100" s="17" t="n">
        <v>24.57500076293945</v>
      </c>
      <c r="Q100" s="17" t="n">
        <v>26.47500038146973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Q1 2023-24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-4.21%</t>
        </is>
      </c>
      <c r="J101" s="13" t="inlineStr">
        <is>
          <t>-6.33%</t>
        </is>
      </c>
      <c r="K101" s="16">
        <f>X100</f>
        <v/>
      </c>
      <c r="L101" s="13" t="inlineStr">
        <is>
          <t>2023-04-13</t>
        </is>
      </c>
      <c r="M101" s="13" t="inlineStr">
        <is>
          <t>2023-04-27</t>
        </is>
      </c>
      <c r="N101" s="13" t="inlineStr">
        <is>
          <t>2023-04-22</t>
        </is>
      </c>
      <c r="O101" s="9" t="n">
        <v>7145</v>
      </c>
      <c r="P101" s="17" t="n">
        <v>66.81169128417969</v>
      </c>
      <c r="Q101" s="17" t="n">
        <v>64.11265563964844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Q1 2023-24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5.08%</t>
        </is>
      </c>
      <c r="J102" s="13" t="inlineStr">
        <is>
          <t>-15.29%</t>
        </is>
      </c>
      <c r="K102" s="16">
        <f>X101</f>
        <v/>
      </c>
      <c r="L102" s="13" t="inlineStr">
        <is>
          <t>2023-11-29</t>
        </is>
      </c>
      <c r="M102" s="13" t="inlineStr">
        <is>
          <t>2023-12-05</t>
        </is>
      </c>
      <c r="N102" s="13" t="inlineStr">
        <is>
          <t>2023-04-22</t>
        </is>
      </c>
      <c r="O102" s="9" t="n">
        <v>8341</v>
      </c>
      <c r="P102" s="17" t="n">
        <v>59.68354415893555</v>
      </c>
      <c r="Q102" s="17" t="n">
        <v>62.71745681762695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Q1 2023-24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2023-04-22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Q1 2023-24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1.91%</t>
        </is>
      </c>
      <c r="J104" s="13" t="inlineStr">
        <is>
          <t>1.92%</t>
        </is>
      </c>
      <c r="K104" s="16">
        <f>X103</f>
        <v/>
      </c>
      <c r="L104" s="13" t="inlineStr">
        <is>
          <t>2023-10-10</t>
        </is>
      </c>
      <c r="M104" s="13" t="inlineStr">
        <is>
          <t>2023-10-23</t>
        </is>
      </c>
      <c r="N104" s="13" t="inlineStr">
        <is>
          <t>2023-10-19</t>
        </is>
      </c>
      <c r="O104" s="9" t="n">
        <v>1600</v>
      </c>
      <c r="P104" s="17" t="n">
        <v>374.1564331054688</v>
      </c>
      <c r="Q104" s="17" t="n">
        <v>381.4524841308594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Q1 2023-24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1.78%</t>
        </is>
      </c>
      <c r="J105" s="13" t="inlineStr">
        <is>
          <t>-0.32%</t>
        </is>
      </c>
      <c r="K105" s="16">
        <f>X104</f>
        <v/>
      </c>
      <c r="L105" s="13" t="inlineStr">
        <is>
          <t>2023-04-18</t>
        </is>
      </c>
      <c r="M105" s="13" t="inlineStr">
        <is>
          <t>2023-04-24</t>
        </is>
      </c>
      <c r="N105" s="13" t="inlineStr">
        <is>
          <t>2023-04-22</t>
        </is>
      </c>
      <c r="O105" s="9" t="n">
        <v>914</v>
      </c>
      <c r="P105" s="17" t="n">
        <v>562.4486694335938</v>
      </c>
      <c r="Q105" s="17" t="n">
        <v>572.4764404296875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Q1 2023-24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4.89%</t>
        </is>
      </c>
      <c r="J106" s="13" t="inlineStr">
        <is>
          <t>1.19%</t>
        </is>
      </c>
      <c r="K106" s="16">
        <f>X105</f>
        <v/>
      </c>
      <c r="L106" s="13" t="inlineStr">
        <is>
          <t>2023-10-17</t>
        </is>
      </c>
      <c r="M106" s="13" t="inlineStr">
        <is>
          <t>2023-10-25</t>
        </is>
      </c>
      <c r="N106" s="13" t="inlineStr">
        <is>
          <t>2023-10-17</t>
        </is>
      </c>
      <c r="O106" s="9" t="n">
        <v>4127</v>
      </c>
      <c r="P106" s="17" t="n">
        <v>209.8227996826172</v>
      </c>
      <c r="Q106" s="17" t="n">
        <v>220.6059875488281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Q1 2023-24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-5.6%</t>
        </is>
      </c>
      <c r="J107" s="13" t="inlineStr">
        <is>
          <t>-9.76%</t>
        </is>
      </c>
      <c r="K107" s="16">
        <f>X106</f>
        <v/>
      </c>
      <c r="L107" s="13" t="inlineStr">
        <is>
          <t>2023-04-13</t>
        </is>
      </c>
      <c r="M107" s="13" t="inlineStr">
        <is>
          <t>2023-04-24</t>
        </is>
      </c>
      <c r="N107" s="13" t="inlineStr">
        <is>
          <t>2023-04-22</t>
        </is>
      </c>
      <c r="O107" s="9" t="n">
        <v>1839</v>
      </c>
      <c r="P107" s="17" t="n">
        <v>254.4358673095703</v>
      </c>
      <c r="Q107" s="17" t="n">
        <v>240.9385986328125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Q1 2023-24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-5.82%</t>
        </is>
      </c>
      <c r="J108" s="13" t="inlineStr">
        <is>
          <t>-7.49%</t>
        </is>
      </c>
      <c r="K108" s="16">
        <f>X107</f>
        <v/>
      </c>
      <c r="L108" s="13" t="inlineStr">
        <is>
          <t>2023-10-13</t>
        </is>
      </c>
      <c r="M108" s="13" t="inlineStr">
        <is>
          <t>2023-10-27</t>
        </is>
      </c>
      <c r="N108" s="13" t="inlineStr">
        <is>
          <t>2023-10-20</t>
        </is>
      </c>
      <c r="O108" s="9" t="n">
        <v>675</v>
      </c>
      <c r="P108" s="17" t="n">
        <v>764.7449951171875</v>
      </c>
      <c r="Q108" s="17" t="n">
        <v>720.2229614257812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Q1 2023-24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2.24%</t>
        </is>
      </c>
      <c r="J109" s="13" t="inlineStr">
        <is>
          <t>1.0%</t>
        </is>
      </c>
      <c r="K109" s="16">
        <f>X108</f>
        <v/>
      </c>
      <c r="L109" s="13" t="inlineStr">
        <is>
          <t>2023-04-13</t>
        </is>
      </c>
      <c r="M109" s="13" t="inlineStr">
        <is>
          <t>2023-04-27</t>
        </is>
      </c>
      <c r="N109" s="13" t="inlineStr">
        <is>
          <t>2023-04-22</t>
        </is>
      </c>
      <c r="O109" s="9" t="n">
        <v>2273</v>
      </c>
      <c r="P109" s="17" t="n">
        <v>431.1870422363281</v>
      </c>
      <c r="Q109" s="17" t="n">
        <v>440.8482055664063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Q1 2023-24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0.29%</t>
        </is>
      </c>
      <c r="J110" s="13" t="inlineStr">
        <is>
          <t>0.89%</t>
        </is>
      </c>
      <c r="K110" s="16">
        <f>X109</f>
        <v/>
      </c>
      <c r="L110" s="13" t="inlineStr">
        <is>
          <t>2023-04-18</t>
        </is>
      </c>
      <c r="M110" s="13" t="inlineStr">
        <is>
          <t>2023-04-24</t>
        </is>
      </c>
      <c r="N110" s="13" t="inlineStr">
        <is>
          <t>2023-04-22</t>
        </is>
      </c>
      <c r="O110" s="9" t="n">
        <v>1575</v>
      </c>
      <c r="P110" s="17" t="n">
        <v>102.3675918579102</v>
      </c>
      <c r="Q110" s="17" t="n">
        <v>102.6651763916016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Q1 2023-24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2.07%</t>
        </is>
      </c>
      <c r="J111" s="13" t="inlineStr">
        <is>
          <t>-4.02%</t>
        </is>
      </c>
      <c r="K111" s="16">
        <f>X110</f>
        <v/>
      </c>
      <c r="L111" s="13" t="inlineStr">
        <is>
          <t>2023-04-18</t>
        </is>
      </c>
      <c r="M111" s="13" t="inlineStr">
        <is>
          <t>2023-04-27</t>
        </is>
      </c>
      <c r="N111" s="13" t="inlineStr">
        <is>
          <t>2023-04-22</t>
        </is>
      </c>
      <c r="O111" s="9" t="n">
        <v>276</v>
      </c>
      <c r="P111" s="17" t="n">
        <v>958.5</v>
      </c>
      <c r="Q111" s="17" t="n">
        <v>978.2999877929688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Q1 2023-24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-11.02%</t>
        </is>
      </c>
      <c r="J112" s="13" t="inlineStr">
        <is>
          <t>-14.76%</t>
        </is>
      </c>
      <c r="K112" s="16">
        <f>X111</f>
        <v/>
      </c>
      <c r="L112" s="13" t="inlineStr">
        <is>
          <t>2023-04-10</t>
        </is>
      </c>
      <c r="M112" s="13" t="inlineStr">
        <is>
          <t>2023-04-27</t>
        </is>
      </c>
      <c r="N112" s="13" t="inlineStr">
        <is>
          <t>2023-04-22</t>
        </is>
      </c>
      <c r="O112" s="9" t="n">
        <v>208</v>
      </c>
      <c r="P112" s="17" t="n">
        <v>1892.23974609375</v>
      </c>
      <c r="Q112" s="17" t="n">
        <v>1704.446166992188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Q1 2023-24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9.94%</t>
        </is>
      </c>
      <c r="J113" s="13" t="inlineStr">
        <is>
          <t>7.44%</t>
        </is>
      </c>
      <c r="K113" s="16">
        <f>X112</f>
        <v/>
      </c>
      <c r="L113" s="13" t="inlineStr">
        <is>
          <t>2023-04-10</t>
        </is>
      </c>
      <c r="M113" s="13" t="inlineStr">
        <is>
          <t>2023-04-24</t>
        </is>
      </c>
      <c r="N113" s="13" t="inlineStr">
        <is>
          <t>2023-04-22</t>
        </is>
      </c>
      <c r="O113" s="9" t="n">
        <v>1063</v>
      </c>
      <c r="P113" s="17" t="n">
        <v>274.3793640136719</v>
      </c>
      <c r="Q113" s="17" t="n">
        <v>301.6662292480469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Q1 2023-24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1.45%</t>
        </is>
      </c>
      <c r="J114" s="13" t="inlineStr">
        <is>
          <t>1.35%</t>
        </is>
      </c>
      <c r="K114" s="16">
        <f>X113</f>
        <v/>
      </c>
      <c r="L114" s="13" t="inlineStr">
        <is>
          <t>2023-10-18</t>
        </is>
      </c>
      <c r="M114" s="13" t="inlineStr">
        <is>
          <t>2023-10-25</t>
        </is>
      </c>
      <c r="N114" s="13" t="inlineStr">
        <is>
          <t>2023-10-21</t>
        </is>
      </c>
      <c r="O114" s="9" t="n">
        <v>400</v>
      </c>
      <c r="P114" s="17" t="n">
        <v>344.8340454101562</v>
      </c>
      <c r="Q114" s="17" t="n">
        <v>349.8926696777344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Q1 2023-24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-2.23%</t>
        </is>
      </c>
      <c r="J115" s="13" t="inlineStr">
        <is>
          <t>-1.08%</t>
        </is>
      </c>
      <c r="K115" s="16">
        <f>X114</f>
        <v/>
      </c>
      <c r="L115" s="13" t="inlineStr">
        <is>
          <t>2023-04-13</t>
        </is>
      </c>
      <c r="M115" s="13" t="inlineStr">
        <is>
          <t>2023-04-24</t>
        </is>
      </c>
      <c r="N115" s="13" t="inlineStr">
        <is>
          <t>2023-04-22</t>
        </is>
      </c>
      <c r="O115" s="9" t="n">
        <v>1695</v>
      </c>
      <c r="P115" s="17" t="n">
        <v>855.9942626953125</v>
      </c>
      <c r="Q115" s="17" t="n">
        <v>836.8869018554688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Q1 2023-24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2.12%</t>
        </is>
      </c>
      <c r="J116" s="13" t="inlineStr">
        <is>
          <t>-0.69%</t>
        </is>
      </c>
      <c r="K116" s="16">
        <f>X115</f>
        <v/>
      </c>
      <c r="L116" s="13" t="inlineStr">
        <is>
          <t>2023-04-17</t>
        </is>
      </c>
      <c r="M116" s="13" t="inlineStr">
        <is>
          <t>2023-04-24</t>
        </is>
      </c>
      <c r="N116" s="13" t="inlineStr">
        <is>
          <t>2023-04-22</t>
        </is>
      </c>
      <c r="O116" s="9" t="n">
        <v>561</v>
      </c>
      <c r="P116" s="17" t="n">
        <v>295.28759765625</v>
      </c>
      <c r="Q116" s="17" t="n">
        <v>301.6756896972656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Q1 2023-24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2.67%</t>
        </is>
      </c>
      <c r="J117" s="13" t="inlineStr">
        <is>
          <t>3.25%</t>
        </is>
      </c>
      <c r="K117" s="16">
        <f>X116</f>
        <v/>
      </c>
      <c r="L117" s="13" t="inlineStr">
        <is>
          <t>2023-04-19</t>
        </is>
      </c>
      <c r="M117" s="13" t="inlineStr">
        <is>
          <t>2023-04-27</t>
        </is>
      </c>
      <c r="N117" s="13" t="inlineStr">
        <is>
          <t>2023-04-22</t>
        </is>
      </c>
      <c r="O117" s="9" t="n">
        <v>1848</v>
      </c>
      <c r="P117" s="17" t="n">
        <v>314.4570922851562</v>
      </c>
      <c r="Q117" s="17" t="n">
        <v>322.8673706054688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Q1 2023-24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0.6%</t>
        </is>
      </c>
      <c r="J118" s="13" t="inlineStr">
        <is>
          <t>-0.35%</t>
        </is>
      </c>
      <c r="K118" s="16">
        <f>X117</f>
        <v/>
      </c>
      <c r="L118" s="13" t="inlineStr">
        <is>
          <t>2024-04-19</t>
        </is>
      </c>
      <c r="M118" s="13" t="inlineStr">
        <is>
          <t>2024-05-03</t>
        </is>
      </c>
      <c r="N118" s="13" t="inlineStr">
        <is>
          <t>2024-04-25</t>
        </is>
      </c>
      <c r="O118" s="9" t="n">
        <v>2364</v>
      </c>
      <c r="P118" s="17" t="n">
        <v>466.7436828613281</v>
      </c>
      <c r="Q118" s="17" t="n">
        <v>469.5490417480469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Q1 2023-24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3.8%</t>
        </is>
      </c>
      <c r="J119" s="13" t="inlineStr">
        <is>
          <t>-0.45%</t>
        </is>
      </c>
      <c r="K119" s="16">
        <f>X118</f>
        <v/>
      </c>
      <c r="L119" s="13" t="inlineStr">
        <is>
          <t>2023-04-17</t>
        </is>
      </c>
      <c r="M119" s="13" t="inlineStr">
        <is>
          <t>2023-04-24</t>
        </is>
      </c>
      <c r="N119" s="13" t="inlineStr">
        <is>
          <t>2023-04-22</t>
        </is>
      </c>
      <c r="O119" s="9" t="n">
        <v>776</v>
      </c>
      <c r="P119" s="17" t="n">
        <v>450.9337158203125</v>
      </c>
      <c r="Q119" s="17" t="n">
        <v>468.7444763183594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Q1 2023-24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0.55%</t>
        </is>
      </c>
      <c r="J120" s="13" t="inlineStr">
        <is>
          <t>-0.01%</t>
        </is>
      </c>
      <c r="K120" s="16">
        <f>X119</f>
        <v/>
      </c>
      <c r="L120" s="13" t="inlineStr">
        <is>
          <t>2023-11-01</t>
        </is>
      </c>
      <c r="M120" s="13" t="inlineStr">
        <is>
          <t>2023-11-03</t>
        </is>
      </c>
      <c r="N120" s="13" t="inlineStr">
        <is>
          <t>2023-11-01</t>
        </is>
      </c>
      <c r="O120" s="9" t="n">
        <v>300</v>
      </c>
      <c r="P120" s="17" t="n">
        <v>2818.64306640625</v>
      </c>
      <c r="Q120" s="17" t="n">
        <v>2834.170654296875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Q1 2023-24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-1.35%</t>
        </is>
      </c>
      <c r="J121" s="13" t="inlineStr">
        <is>
          <t>-2.81%</t>
        </is>
      </c>
      <c r="K121" s="16">
        <f>X120</f>
        <v/>
      </c>
      <c r="L121" s="13" t="inlineStr">
        <is>
          <t>2023-04-20</t>
        </is>
      </c>
      <c r="M121" s="13" t="inlineStr">
        <is>
          <t>2023-04-24</t>
        </is>
      </c>
      <c r="N121" s="13" t="inlineStr">
        <is>
          <t>2023-04-22</t>
        </is>
      </c>
      <c r="O121" s="9" t="n">
        <v>3265</v>
      </c>
      <c r="P121" s="17" t="n">
        <v>85.29527282714844</v>
      </c>
      <c r="Q121" s="17" t="n">
        <v>84.15989685058594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Q1 2023-24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-4.03%</t>
        </is>
      </c>
      <c r="J122" s="13" t="inlineStr">
        <is>
          <t>-6.6%</t>
        </is>
      </c>
      <c r="K122" s="16">
        <f>X121</f>
        <v/>
      </c>
      <c r="L122" s="13" t="inlineStr">
        <is>
          <t>2023-04-20</t>
        </is>
      </c>
      <c r="M122" s="13" t="inlineStr">
        <is>
          <t>2023-04-27</t>
        </is>
      </c>
      <c r="N122" s="13" t="inlineStr">
        <is>
          <t>2023-04-22</t>
        </is>
      </c>
      <c r="O122" s="9" t="n">
        <v>225</v>
      </c>
      <c r="P122" s="17" t="n">
        <v>4108.634765625</v>
      </c>
      <c r="Q122" s="17" t="n">
        <v>3949.5263671875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Q1 2023-24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5.78%</t>
        </is>
      </c>
      <c r="J123" s="13" t="inlineStr">
        <is>
          <t>1.99%</t>
        </is>
      </c>
      <c r="K123" s="16">
        <f>X122</f>
        <v/>
      </c>
      <c r="L123" s="13" t="inlineStr">
        <is>
          <t>2023-04-10</t>
        </is>
      </c>
      <c r="M123" s="13" t="inlineStr">
        <is>
          <t>2023-04-24</t>
        </is>
      </c>
      <c r="N123" s="13" t="inlineStr">
        <is>
          <t>2023-04-22</t>
        </is>
      </c>
      <c r="O123" s="9" t="n">
        <v>413</v>
      </c>
      <c r="P123" s="17" t="n">
        <v>649.1890258789062</v>
      </c>
      <c r="Q123" s="17" t="n">
        <v>686.700439453125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Q1 2023-24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3.49%</t>
        </is>
      </c>
      <c r="J124" s="13" t="inlineStr">
        <is>
          <t>1.22%</t>
        </is>
      </c>
      <c r="K124" s="16">
        <f>X123</f>
        <v/>
      </c>
      <c r="L124" s="13" t="inlineStr">
        <is>
          <t>2023-11-06</t>
        </is>
      </c>
      <c r="M124" s="13" t="inlineStr">
        <is>
          <t>2023-11-13</t>
        </is>
      </c>
      <c r="N124" s="13" t="inlineStr">
        <is>
          <t>2023-11-10</t>
        </is>
      </c>
      <c r="O124" s="9" t="n">
        <v>350</v>
      </c>
      <c r="P124" s="17" t="n">
        <v>1450.473999023438</v>
      </c>
      <c r="Q124" s="17" t="n">
        <v>1501.103759765625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Q1 2023-24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3.66%</t>
        </is>
      </c>
      <c r="J125" s="13" t="inlineStr">
        <is>
          <t>-0.72%</t>
        </is>
      </c>
      <c r="K125" s="16">
        <f>X124</f>
        <v/>
      </c>
      <c r="L125" s="13" t="inlineStr">
        <is>
          <t>2023-04-17</t>
        </is>
      </c>
      <c r="M125" s="13" t="inlineStr">
        <is>
          <t>2023-04-27</t>
        </is>
      </c>
      <c r="N125" s="13" t="inlineStr">
        <is>
          <t>2023-04-22</t>
        </is>
      </c>
      <c r="O125" s="9" t="n">
        <v>12616</v>
      </c>
      <c r="P125" s="17" t="n">
        <v>25.28000831604004</v>
      </c>
      <c r="Q125" s="17" t="n">
        <v>26.20650482177734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Q1 2023-24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-1.23%</t>
        </is>
      </c>
      <c r="J126" s="13" t="inlineStr">
        <is>
          <t>-1.8%</t>
        </is>
      </c>
      <c r="K126" s="16">
        <f>X125</f>
        <v/>
      </c>
      <c r="L126" s="13" t="inlineStr">
        <is>
          <t>2023-04-19</t>
        </is>
      </c>
      <c r="M126" s="13" t="inlineStr">
        <is>
          <t>2023-04-24</t>
        </is>
      </c>
      <c r="N126" s="13" t="inlineStr">
        <is>
          <t>2023-04-22</t>
        </is>
      </c>
      <c r="O126" s="9" t="n">
        <v>2714</v>
      </c>
      <c r="P126" s="17" t="n">
        <v>122.7692337036133</v>
      </c>
      <c r="Q126" s="17" t="n">
        <v>121.2535629272461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Q1 2023-24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2.77%</t>
        </is>
      </c>
      <c r="J127" s="13" t="inlineStr">
        <is>
          <t>-0.33%</t>
        </is>
      </c>
      <c r="K127" s="16">
        <f>X126</f>
        <v/>
      </c>
      <c r="L127" s="13" t="inlineStr">
        <is>
          <t>2023-05-09</t>
        </is>
      </c>
      <c r="M127" s="13" t="inlineStr">
        <is>
          <t>2023-05-10</t>
        </is>
      </c>
      <c r="N127" s="13" t="inlineStr">
        <is>
          <t>2023-04-22</t>
        </is>
      </c>
      <c r="O127" s="9" t="n">
        <v>388</v>
      </c>
      <c r="P127" s="17" t="n">
        <v>1382.305053710938</v>
      </c>
      <c r="Q127" s="17" t="n">
        <v>1421.739624023438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Q1 2023-24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4.43%</t>
        </is>
      </c>
      <c r="J128" s="13" t="inlineStr">
        <is>
          <t>3.04%</t>
        </is>
      </c>
      <c r="K128" s="16">
        <f>X127</f>
        <v/>
      </c>
      <c r="L128" s="13" t="inlineStr">
        <is>
          <t>2023-04-13</t>
        </is>
      </c>
      <c r="M128" s="13" t="inlineStr">
        <is>
          <t>2023-04-27</t>
        </is>
      </c>
      <c r="N128" s="13" t="inlineStr">
        <is>
          <t>2023-04-22</t>
        </is>
      </c>
      <c r="O128" s="9" t="n">
        <v>1129</v>
      </c>
      <c r="P128" s="17" t="n">
        <v>459.0089721679688</v>
      </c>
      <c r="Q128" s="17" t="n">
        <v>479.3216552734375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Q1 2023-24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1.86%</t>
        </is>
      </c>
      <c r="J129" s="13" t="inlineStr">
        <is>
          <t>1.15%</t>
        </is>
      </c>
      <c r="K129" s="16">
        <f>X128</f>
        <v/>
      </c>
      <c r="L129" s="13" t="inlineStr">
        <is>
          <t>2023-10-25</t>
        </is>
      </c>
      <c r="M129" s="13" t="inlineStr">
        <is>
          <t>2023-10-31</t>
        </is>
      </c>
      <c r="N129" s="13" t="inlineStr">
        <is>
          <t>2023-10-28</t>
        </is>
      </c>
      <c r="O129" s="9" t="n">
        <v>100</v>
      </c>
      <c r="P129" s="17" t="n">
        <v>10184.8251953125</v>
      </c>
      <c r="Q129" s="17" t="n">
        <v>10377.451171875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Q1 2023-24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-5.18%</t>
        </is>
      </c>
      <c r="J130" s="13" t="inlineStr">
        <is>
          <t>-7.8%</t>
        </is>
      </c>
      <c r="K130" s="16">
        <f>X129</f>
        <v/>
      </c>
      <c r="L130" s="13" t="inlineStr">
        <is>
          <t>2021-05-24</t>
        </is>
      </c>
      <c r="M130" s="13" t="inlineStr">
        <is>
          <t>2021-05-31</t>
        </is>
      </c>
      <c r="N130" s="13" t="inlineStr">
        <is>
          <t>2021-05-28</t>
        </is>
      </c>
      <c r="O130" s="9" t="n">
        <v>922</v>
      </c>
      <c r="P130" s="17" t="n">
        <v>233.0728759765625</v>
      </c>
      <c r="Q130" s="17" t="n">
        <v>220.9993743896484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Q1 2023-24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-3.42%</t>
        </is>
      </c>
      <c r="J131" s="13" t="inlineStr">
        <is>
          <t>-8.41%</t>
        </is>
      </c>
      <c r="K131" s="16">
        <f>X130</f>
        <v/>
      </c>
      <c r="L131" s="13" t="inlineStr">
        <is>
          <t>2023-04-17</t>
        </is>
      </c>
      <c r="M131" s="13" t="inlineStr">
        <is>
          <t>2023-04-27</t>
        </is>
      </c>
      <c r="N131" s="13" t="inlineStr">
        <is>
          <t>2023-04-22</t>
        </is>
      </c>
      <c r="O131" s="9" t="n">
        <v>431</v>
      </c>
      <c r="P131" s="17" t="n">
        <v>361.6360778808594</v>
      </c>
      <c r="Q131" s="17" t="n">
        <v>349.6634521484375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Q1 2023-24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-0.15%</t>
        </is>
      </c>
      <c r="J132" s="13" t="inlineStr">
        <is>
          <t>-10.51%</t>
        </is>
      </c>
      <c r="K132" s="16">
        <f>X131</f>
        <v/>
      </c>
      <c r="L132" s="13" t="inlineStr">
        <is>
          <t>2023-04-11</t>
        </is>
      </c>
      <c r="M132" s="13" t="inlineStr">
        <is>
          <t>2023-04-24</t>
        </is>
      </c>
      <c r="N132" s="13" t="inlineStr">
        <is>
          <t>2023-04-22</t>
        </is>
      </c>
      <c r="O132" s="9" t="n">
        <v>373</v>
      </c>
      <c r="P132" s="17" t="n">
        <v>288.2870483398437</v>
      </c>
      <c r="Q132" s="17" t="n">
        <v>287.8540344238281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Q1 2023-24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2.1%</t>
        </is>
      </c>
      <c r="J133" s="13" t="inlineStr">
        <is>
          <t>3.58%</t>
        </is>
      </c>
      <c r="K133" s="16">
        <f>X132</f>
        <v/>
      </c>
      <c r="L133" s="13" t="inlineStr">
        <is>
          <t>2023-04-19</t>
        </is>
      </c>
      <c r="M133" s="13" t="inlineStr">
        <is>
          <t>2023-04-24</t>
        </is>
      </c>
      <c r="N133" s="13" t="inlineStr">
        <is>
          <t>2023-04-22</t>
        </is>
      </c>
      <c r="O133" s="9" t="n">
        <v>661</v>
      </c>
      <c r="P133" s="17" t="n">
        <v>622.9500122070312</v>
      </c>
      <c r="Q133" s="17" t="n">
        <v>636.2999877929688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Q1 2023-24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-5.3%</t>
        </is>
      </c>
      <c r="J134" s="13" t="inlineStr">
        <is>
          <t>-7.28%</t>
        </is>
      </c>
      <c r="K134" s="16">
        <f>X133</f>
        <v/>
      </c>
      <c r="L134" s="13" t="inlineStr">
        <is>
          <t>2023-04-17</t>
        </is>
      </c>
      <c r="M134" s="13" t="inlineStr">
        <is>
          <t>2023-04-27</t>
        </is>
      </c>
      <c r="N134" s="13" t="inlineStr">
        <is>
          <t>2023-04-22</t>
        </is>
      </c>
      <c r="O134" s="9" t="n">
        <v>6815</v>
      </c>
      <c r="P134" s="17" t="n">
        <v>47.2716178894043</v>
      </c>
      <c r="Q134" s="17" t="n">
        <v>44.89174270629883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Q1 2023-24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0.52%</t>
        </is>
      </c>
      <c r="J135" s="13" t="inlineStr">
        <is>
          <t>-4.6%</t>
        </is>
      </c>
      <c r="K135" s="16">
        <f>X134</f>
        <v/>
      </c>
      <c r="L135" s="13" t="inlineStr">
        <is>
          <t>2023-04-20</t>
        </is>
      </c>
      <c r="M135" s="13" t="inlineStr">
        <is>
          <t>2023-04-24</t>
        </is>
      </c>
      <c r="N135" s="13" t="inlineStr">
        <is>
          <t>2023-04-22</t>
        </is>
      </c>
      <c r="O135" s="9" t="n">
        <v>1194</v>
      </c>
      <c r="P135" s="17" t="n">
        <v>585.6187744140625</v>
      </c>
      <c r="Q135" s="17" t="n">
        <v>588.6914672851562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Q1 2023-24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-0.83%</t>
        </is>
      </c>
      <c r="J136" s="13" t="inlineStr">
        <is>
          <t>-3.74%</t>
        </is>
      </c>
      <c r="K136" s="16">
        <f>X135</f>
        <v/>
      </c>
      <c r="L136" s="13" t="inlineStr">
        <is>
          <t>2023-04-11</t>
        </is>
      </c>
      <c r="M136" s="13" t="inlineStr">
        <is>
          <t>2023-04-27</t>
        </is>
      </c>
      <c r="N136" s="13" t="inlineStr">
        <is>
          <t>2023-04-22</t>
        </is>
      </c>
      <c r="O136" s="9" t="n">
        <v>426</v>
      </c>
      <c r="P136" s="17" t="n">
        <v>1637.534790039062</v>
      </c>
      <c r="Q136" s="17" t="n">
        <v>1623.881469726562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Q1 2023-24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-10.08%</t>
        </is>
      </c>
      <c r="J137" s="13" t="inlineStr">
        <is>
          <t>-10.94%</t>
        </is>
      </c>
      <c r="K137" s="16">
        <f>X136</f>
        <v/>
      </c>
      <c r="L137" s="13" t="inlineStr">
        <is>
          <t>2025-04-04</t>
        </is>
      </c>
      <c r="M137" s="13" t="inlineStr">
        <is>
          <t>2025-04-17</t>
        </is>
      </c>
      <c r="N137" s="13" t="inlineStr">
        <is>
          <t>2025-04-08</t>
        </is>
      </c>
      <c r="O137" s="9" t="n">
        <v>332</v>
      </c>
      <c r="P137" s="17" t="n">
        <v>2300.457275390625</v>
      </c>
      <c r="Q137" s="17" t="n">
        <v>2068.57958984375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Q1 2023-24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0.47%</t>
        </is>
      </c>
      <c r="J138" s="13" t="inlineStr">
        <is>
          <t>-0.04%</t>
        </is>
      </c>
      <c r="K138" s="16">
        <f>X137</f>
        <v/>
      </c>
      <c r="L138" s="13" t="inlineStr">
        <is>
          <t>2023-04-20</t>
        </is>
      </c>
      <c r="M138" s="13" t="inlineStr">
        <is>
          <t>2023-04-24</t>
        </is>
      </c>
      <c r="N138" s="13" t="inlineStr">
        <is>
          <t>2023-04-22</t>
        </is>
      </c>
      <c r="O138" s="9" t="n">
        <v>871</v>
      </c>
      <c r="P138" s="17" t="n">
        <v>211.2241821289062</v>
      </c>
      <c r="Q138" s="17" t="n">
        <v>212.2147521972656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Q1 2023-24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0.18%</t>
        </is>
      </c>
      <c r="J139" s="13" t="inlineStr">
        <is>
          <t>-5.34%</t>
        </is>
      </c>
      <c r="K139" s="16">
        <f>X138</f>
        <v/>
      </c>
      <c r="L139" s="13" t="inlineStr">
        <is>
          <t>2023-04-18</t>
        </is>
      </c>
      <c r="M139" s="13" t="inlineStr">
        <is>
          <t>2023-04-24</t>
        </is>
      </c>
      <c r="N139" s="13" t="inlineStr">
        <is>
          <t>2023-04-22</t>
        </is>
      </c>
      <c r="O139" s="9" t="n">
        <v>2876</v>
      </c>
      <c r="P139" s="17" t="n">
        <v>72.7900390625</v>
      </c>
      <c r="Q139" s="17" t="n">
        <v>72.92229461669922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Q1 2023-24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0.18%</t>
        </is>
      </c>
      <c r="J140" s="13" t="inlineStr">
        <is>
          <t>-1.43%</t>
        </is>
      </c>
      <c r="K140" s="16">
        <f>X139</f>
        <v/>
      </c>
      <c r="L140" s="13" t="inlineStr">
        <is>
          <t>2023-04-17</t>
        </is>
      </c>
      <c r="M140" s="13" t="inlineStr">
        <is>
          <t>2023-04-24</t>
        </is>
      </c>
      <c r="N140" s="13" t="inlineStr">
        <is>
          <t>2023-04-22</t>
        </is>
      </c>
      <c r="O140" s="9" t="n">
        <v>803</v>
      </c>
      <c r="P140" s="17" t="n">
        <v>720.5943603515625</v>
      </c>
      <c r="Q140" s="17" t="n">
        <v>721.86279296875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Q1 2023-24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0.26%</t>
        </is>
      </c>
      <c r="J141" s="13" t="inlineStr">
        <is>
          <t>-1.83%</t>
        </is>
      </c>
      <c r="K141" s="16">
        <f>X140</f>
        <v/>
      </c>
      <c r="L141" s="13" t="inlineStr">
        <is>
          <t>2023-04-19</t>
        </is>
      </c>
      <c r="M141" s="13" t="inlineStr">
        <is>
          <t>2023-04-24</t>
        </is>
      </c>
      <c r="N141" s="13" t="inlineStr">
        <is>
          <t>2023-04-22</t>
        </is>
      </c>
      <c r="O141" s="9" t="n">
        <v>10687</v>
      </c>
      <c r="P141" s="17" t="n">
        <v>24.6590576171875</v>
      </c>
      <c r="Q141" s="17" t="n">
        <v>24.72395133972168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Q1 2023-24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1.56%</t>
        </is>
      </c>
      <c r="J142" s="13" t="inlineStr">
        <is>
          <t>1.69%</t>
        </is>
      </c>
      <c r="K142" s="16">
        <f>X141</f>
        <v/>
      </c>
      <c r="L142" s="13" t="inlineStr">
        <is>
          <t>2023-04-20</t>
        </is>
      </c>
      <c r="M142" s="13" t="inlineStr">
        <is>
          <t>2023-04-24</t>
        </is>
      </c>
      <c r="N142" s="13" t="inlineStr">
        <is>
          <t>2023-04-22</t>
        </is>
      </c>
      <c r="O142" s="9" t="n">
        <v>200</v>
      </c>
      <c r="P142" s="17" t="n">
        <v>984.8023071289062</v>
      </c>
      <c r="Q142" s="17" t="n">
        <v>1000.18505859375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Q1 2023-24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-3.22%</t>
        </is>
      </c>
      <c r="J143" s="13" t="inlineStr">
        <is>
          <t>-6.0%</t>
        </is>
      </c>
      <c r="K143" s="16">
        <f>X142</f>
        <v/>
      </c>
      <c r="L143" s="13" t="inlineStr">
        <is>
          <t>2023-04-17</t>
        </is>
      </c>
      <c r="M143" s="13" t="inlineStr">
        <is>
          <t>2023-04-27</t>
        </is>
      </c>
      <c r="N143" s="13" t="inlineStr">
        <is>
          <t>2023-04-22</t>
        </is>
      </c>
      <c r="O143" s="9" t="n">
        <v>12809</v>
      </c>
      <c r="P143" s="17" t="n">
        <v>41.71914672851562</v>
      </c>
      <c r="Q143" s="17" t="n">
        <v>40.4168815612793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Q1 2023-24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-1.44%</t>
        </is>
      </c>
      <c r="J144" s="13" t="inlineStr">
        <is>
          <t>-0.59%</t>
        </is>
      </c>
      <c r="K144" s="16">
        <f>X143</f>
        <v/>
      </c>
      <c r="L144" s="13" t="inlineStr">
        <is>
          <t>2023-04-17</t>
        </is>
      </c>
      <c r="M144" s="13" t="inlineStr">
        <is>
          <t>2023-04-24</t>
        </is>
      </c>
      <c r="N144" s="13" t="inlineStr">
        <is>
          <t>2023-04-22</t>
        </is>
      </c>
      <c r="O144" s="9" t="n">
        <v>11763</v>
      </c>
      <c r="P144" s="17" t="n">
        <v>32.52964782714844</v>
      </c>
      <c r="Q144" s="17" t="n">
        <v>32.06264495849609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Q1 2023-24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2.23%</t>
        </is>
      </c>
      <c r="J145" s="13" t="inlineStr">
        <is>
          <t>3.72%</t>
        </is>
      </c>
      <c r="K145" s="16">
        <f>X144</f>
        <v/>
      </c>
      <c r="L145" s="13" t="inlineStr">
        <is>
          <t>2023-10-18</t>
        </is>
      </c>
      <c r="M145" s="13" t="inlineStr">
        <is>
          <t>2023-11-03</t>
        </is>
      </c>
      <c r="N145" s="13" t="inlineStr">
        <is>
          <t>2023-10-28</t>
        </is>
      </c>
      <c r="O145" s="9" t="n">
        <v>1500</v>
      </c>
      <c r="P145" s="17" t="n">
        <v>221.2468566894531</v>
      </c>
      <c r="Q145" s="17" t="n">
        <v>226.2839965820312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Q1 2023-24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7.46%</t>
        </is>
      </c>
      <c r="J146" s="13" t="inlineStr">
        <is>
          <t>4.6%</t>
        </is>
      </c>
      <c r="K146" s="16">
        <f>X145</f>
        <v/>
      </c>
      <c r="L146" s="13" t="inlineStr">
        <is>
          <t>2023-04-11</t>
        </is>
      </c>
      <c r="M146" s="13" t="inlineStr">
        <is>
          <t>2023-04-24</t>
        </is>
      </c>
      <c r="N146" s="13" t="inlineStr">
        <is>
          <t>2023-04-22</t>
        </is>
      </c>
      <c r="O146" s="9" t="n">
        <v>2996</v>
      </c>
      <c r="P146" s="17" t="n">
        <v>119.0999984741211</v>
      </c>
      <c r="Q146" s="17" t="n">
        <v>128.6999969482422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Q1 2023-24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0.11%</t>
        </is>
      </c>
      <c r="J147" s="13" t="inlineStr">
        <is>
          <t>1.87%</t>
        </is>
      </c>
      <c r="K147" s="16">
        <f>X146</f>
        <v/>
      </c>
      <c r="L147" s="13" t="inlineStr">
        <is>
          <t>2023-04-13</t>
        </is>
      </c>
      <c r="M147" s="13" t="inlineStr">
        <is>
          <t>2023-04-27</t>
        </is>
      </c>
      <c r="N147" s="13" t="inlineStr">
        <is>
          <t>2023-04-22</t>
        </is>
      </c>
      <c r="O147" s="9" t="n">
        <v>551</v>
      </c>
      <c r="P147" s="17" t="n">
        <v>896.01953125</v>
      </c>
      <c r="Q147" s="17" t="n">
        <v>897.049072265625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Q1 2023-24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-5.95%</t>
        </is>
      </c>
      <c r="J148" s="13" t="inlineStr">
        <is>
          <t>-1.4%</t>
        </is>
      </c>
      <c r="K148" s="16">
        <f>X147</f>
        <v/>
      </c>
      <c r="L148" s="13" t="inlineStr">
        <is>
          <t>2023-04-10</t>
        </is>
      </c>
      <c r="M148" s="13" t="inlineStr">
        <is>
          <t>2023-04-27</t>
        </is>
      </c>
      <c r="N148" s="13" t="inlineStr">
        <is>
          <t>2023-04-22</t>
        </is>
      </c>
      <c r="O148" s="9" t="n">
        <v>100</v>
      </c>
      <c r="P148" s="17" t="n">
        <v>2956.67138671875</v>
      </c>
      <c r="Q148" s="17" t="n">
        <v>2790.69189453125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Q1 2023-24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-3.97%</t>
        </is>
      </c>
      <c r="J149" s="13" t="inlineStr">
        <is>
          <t>-12.06%</t>
        </is>
      </c>
      <c r="K149" s="16">
        <f>X148</f>
        <v/>
      </c>
      <c r="L149" s="13" t="inlineStr">
        <is>
          <t>2023-04-18</t>
        </is>
      </c>
      <c r="M149" s="13" t="inlineStr">
        <is>
          <t>2023-04-24</t>
        </is>
      </c>
      <c r="N149" s="13" t="inlineStr">
        <is>
          <t>2023-04-22</t>
        </is>
      </c>
      <c r="O149" s="9" t="n">
        <v>2188</v>
      </c>
      <c r="P149" s="17" t="n">
        <v>159.6531524658203</v>
      </c>
      <c r="Q149" s="17" t="n">
        <v>153.3224945068359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Q1 2023-24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-5.17%</t>
        </is>
      </c>
      <c r="J150" s="13" t="inlineStr">
        <is>
          <t>-5.92%</t>
        </is>
      </c>
      <c r="K150" s="16">
        <f>X149</f>
        <v/>
      </c>
      <c r="L150" s="13" t="inlineStr">
        <is>
          <t>2023-11-01</t>
        </is>
      </c>
      <c r="M150" s="13" t="inlineStr">
        <is>
          <t>2023-11-17</t>
        </is>
      </c>
      <c r="N150" s="13" t="inlineStr">
        <is>
          <t>2023-11-10</t>
        </is>
      </c>
      <c r="O150" s="9" t="n">
        <v>3750</v>
      </c>
      <c r="P150" s="17" t="n">
        <v>169.2684478759766</v>
      </c>
      <c r="Q150" s="17" t="n">
        <v>160.9494018554688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Q1 2023-24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-10.56%</t>
        </is>
      </c>
      <c r="J151" s="13" t="inlineStr">
        <is>
          <t>-10.47%</t>
        </is>
      </c>
      <c r="K151" s="16">
        <f>X150</f>
        <v/>
      </c>
      <c r="L151" s="13" t="inlineStr">
        <is>
          <t>2023-04-10</t>
        </is>
      </c>
      <c r="M151" s="13" t="inlineStr">
        <is>
          <t>2023-04-24</t>
        </is>
      </c>
      <c r="N151" s="13" t="inlineStr">
        <is>
          <t>2023-04-22</t>
        </is>
      </c>
      <c r="O151" s="9" t="n">
        <v>100</v>
      </c>
      <c r="P151" s="17" t="n">
        <v>40550</v>
      </c>
      <c r="Q151" s="17" t="n">
        <v>36678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Q1 2023-24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3.23%</t>
        </is>
      </c>
      <c r="J152" s="13" t="inlineStr">
        <is>
          <t>1.79%</t>
        </is>
      </c>
      <c r="K152" s="16">
        <f>X151</f>
        <v/>
      </c>
      <c r="L152" s="13" t="inlineStr">
        <is>
          <t>2023-04-13</t>
        </is>
      </c>
      <c r="M152" s="13" t="inlineStr">
        <is>
          <t>2023-04-24</t>
        </is>
      </c>
      <c r="N152" s="13" t="inlineStr">
        <is>
          <t>2023-04-22</t>
        </is>
      </c>
      <c r="O152" s="9" t="n">
        <v>2806</v>
      </c>
      <c r="P152" s="17" t="n">
        <v>306.3628234863281</v>
      </c>
      <c r="Q152" s="17" t="n">
        <v>316.5759582519531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Q1 2023-24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0.25%</t>
        </is>
      </c>
      <c r="J153" s="13" t="inlineStr">
        <is>
          <t>1.84%</t>
        </is>
      </c>
      <c r="K153" s="16">
        <f>X152</f>
        <v/>
      </c>
      <c r="L153" s="13" t="inlineStr">
        <is>
          <t>2023-04-17</t>
        </is>
      </c>
      <c r="M153" s="13" t="inlineStr">
        <is>
          <t>2023-04-27</t>
        </is>
      </c>
      <c r="N153" s="13" t="inlineStr">
        <is>
          <t>2023-04-22</t>
        </is>
      </c>
      <c r="O153" s="9" t="n">
        <v>750</v>
      </c>
      <c r="P153" s="17" t="n">
        <v>643.6500244140625</v>
      </c>
      <c r="Q153" s="17" t="n">
        <v>645.25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Q1 2023-24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1.57%</t>
        </is>
      </c>
      <c r="J154" s="13" t="inlineStr">
        <is>
          <t>-0.48%</t>
        </is>
      </c>
      <c r="K154" s="16">
        <f>X153</f>
        <v/>
      </c>
      <c r="L154" s="13" t="inlineStr">
        <is>
          <t>2023-04-11</t>
        </is>
      </c>
      <c r="M154" s="13" t="inlineStr">
        <is>
          <t>2023-04-27</t>
        </is>
      </c>
      <c r="N154" s="13" t="inlineStr">
        <is>
          <t>2023-04-22</t>
        </is>
      </c>
      <c r="O154" s="9" t="n">
        <v>181</v>
      </c>
      <c r="P154" s="17" t="n">
        <v>2203.655517578125</v>
      </c>
      <c r="Q154" s="17" t="n">
        <v>2238.181640625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Q1 2023-24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-3.65%</t>
        </is>
      </c>
      <c r="J155" s="13" t="inlineStr">
        <is>
          <t>-3.17%</t>
        </is>
      </c>
      <c r="K155" s="16">
        <f>X154</f>
        <v/>
      </c>
      <c r="L155" s="13" t="inlineStr">
        <is>
          <t>2023-04-13</t>
        </is>
      </c>
      <c r="M155" s="13" t="inlineStr">
        <is>
          <t>2023-04-27</t>
        </is>
      </c>
      <c r="N155" s="13" t="inlineStr">
        <is>
          <t>2023-04-22</t>
        </is>
      </c>
      <c r="O155" s="9" t="n">
        <v>3585</v>
      </c>
      <c r="P155" s="17" t="n">
        <v>208.1305236816407</v>
      </c>
      <c r="Q155" s="17" t="n">
        <v>200.8075714111328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Q1 2023-24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0.93%</t>
        </is>
      </c>
      <c r="J156" s="13" t="inlineStr">
        <is>
          <t>2.24%</t>
        </is>
      </c>
      <c r="K156" s="16">
        <f>X155</f>
        <v/>
      </c>
      <c r="L156" s="13" t="inlineStr">
        <is>
          <t>2023-04-10</t>
        </is>
      </c>
      <c r="M156" s="13" t="inlineStr">
        <is>
          <t>2023-04-27</t>
        </is>
      </c>
      <c r="N156" s="13" t="inlineStr">
        <is>
          <t>2023-04-22</t>
        </is>
      </c>
      <c r="O156" s="9" t="n">
        <v>2346</v>
      </c>
      <c r="P156" s="17" t="n">
        <v>115.7129745483398</v>
      </c>
      <c r="Q156" s="17" t="n">
        <v>116.8009567260742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Q1 2023-24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-1.48%</t>
        </is>
      </c>
      <c r="J157" s="13" t="inlineStr">
        <is>
          <t>-11.68%</t>
        </is>
      </c>
      <c r="K157" s="16">
        <f>X156</f>
        <v/>
      </c>
      <c r="L157" s="13" t="inlineStr">
        <is>
          <t>2023-04-13</t>
        </is>
      </c>
      <c r="M157" s="13" t="inlineStr">
        <is>
          <t>2023-04-24</t>
        </is>
      </c>
      <c r="N157" s="13" t="inlineStr">
        <is>
          <t>2023-04-22</t>
        </is>
      </c>
      <c r="O157" s="9" t="n">
        <v>1631</v>
      </c>
      <c r="P157" s="17" t="n">
        <v>143.6248321533203</v>
      </c>
      <c r="Q157" s="17" t="n">
        <v>141.50146484375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Q1 2023-24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-4.64%</t>
        </is>
      </c>
      <c r="J158" s="13" t="inlineStr">
        <is>
          <t>-3.6%</t>
        </is>
      </c>
      <c r="K158" s="16">
        <f>X157</f>
        <v/>
      </c>
      <c r="L158" s="13" t="inlineStr">
        <is>
          <t>2023-04-18</t>
        </is>
      </c>
      <c r="M158" s="13" t="inlineStr">
        <is>
          <t>2023-04-27</t>
        </is>
      </c>
      <c r="N158" s="13" t="inlineStr">
        <is>
          <t>2023-04-22</t>
        </is>
      </c>
      <c r="O158" s="9" t="n">
        <v>529</v>
      </c>
      <c r="P158" s="17" t="n">
        <v>702.4465942382812</v>
      </c>
      <c r="Q158" s="17" t="n">
        <v>671.3272705078125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Q1 2023-24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-0.47%</t>
        </is>
      </c>
      <c r="J159" s="13" t="inlineStr">
        <is>
          <t>0.26%</t>
        </is>
      </c>
      <c r="K159" s="16">
        <f>X158</f>
        <v/>
      </c>
      <c r="L159" s="13" t="inlineStr">
        <is>
          <t>2023-04-18</t>
        </is>
      </c>
      <c r="M159" s="13" t="inlineStr">
        <is>
          <t>2023-04-24</t>
        </is>
      </c>
      <c r="N159" s="13" t="inlineStr">
        <is>
          <t>2023-04-22</t>
        </is>
      </c>
      <c r="O159" s="9" t="n">
        <v>613</v>
      </c>
      <c r="P159" s="17" t="n">
        <v>1188.269287109375</v>
      </c>
      <c r="Q159" s="17" t="n">
        <v>1182.724853515625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Q1 2023-24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2.35%</t>
        </is>
      </c>
      <c r="J160" s="13" t="inlineStr">
        <is>
          <t>2.48%</t>
        </is>
      </c>
      <c r="K160" s="16">
        <f>X159</f>
        <v/>
      </c>
      <c r="L160" s="13" t="inlineStr">
        <is>
          <t>2023-04-11</t>
        </is>
      </c>
      <c r="M160" s="13" t="inlineStr">
        <is>
          <t>2023-04-24</t>
        </is>
      </c>
      <c r="N160" s="13" t="inlineStr">
        <is>
          <t>2023-04-22</t>
        </is>
      </c>
      <c r="O160" s="9" t="n">
        <v>360</v>
      </c>
      <c r="P160" s="17" t="n">
        <v>3007.864501953125</v>
      </c>
      <c r="Q160" s="17" t="n">
        <v>3078.625732421875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Q1 2023-24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-4.68%</t>
        </is>
      </c>
      <c r="J161" s="13" t="inlineStr">
        <is>
          <t>-7.39%</t>
        </is>
      </c>
      <c r="K161" s="16">
        <f>X160</f>
        <v/>
      </c>
      <c r="L161" s="13" t="inlineStr">
        <is>
          <t>2023-04-10</t>
        </is>
      </c>
      <c r="M161" s="13" t="inlineStr">
        <is>
          <t>2023-04-24</t>
        </is>
      </c>
      <c r="N161" s="13" t="inlineStr">
        <is>
          <t>2023-04-22</t>
        </is>
      </c>
      <c r="O161" s="9" t="n">
        <v>8957</v>
      </c>
      <c r="P161" s="17" t="n">
        <v>45.38180541992188</v>
      </c>
      <c r="Q161" s="17" t="n">
        <v>43.35459899902344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Q1 2023-24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-5.33%</t>
        </is>
      </c>
      <c r="J162" s="13" t="inlineStr">
        <is>
          <t>-4.67%</t>
        </is>
      </c>
      <c r="K162" s="16">
        <f>X161</f>
        <v/>
      </c>
      <c r="L162" s="13" t="inlineStr">
        <is>
          <t>2023-04-13</t>
        </is>
      </c>
      <c r="M162" s="13" t="inlineStr">
        <is>
          <t>2023-04-27</t>
        </is>
      </c>
      <c r="N162" s="13" t="inlineStr">
        <is>
          <t>2023-04-22</t>
        </is>
      </c>
      <c r="O162" s="9" t="n">
        <v>967</v>
      </c>
      <c r="P162" s="17" t="n">
        <v>443.7388000488281</v>
      </c>
      <c r="Q162" s="17" t="n">
        <v>421.3031311035156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Q1 2023-24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0.53%</t>
        </is>
      </c>
      <c r="J163" s="13" t="inlineStr">
        <is>
          <t>-3.0%</t>
        </is>
      </c>
      <c r="K163" s="16">
        <f>X162</f>
        <v/>
      </c>
      <c r="L163" s="13" t="inlineStr">
        <is>
          <t>2023-04-13</t>
        </is>
      </c>
      <c r="M163" s="13" t="inlineStr">
        <is>
          <t>2023-04-24</t>
        </is>
      </c>
      <c r="N163" s="13" t="inlineStr">
        <is>
          <t>2023-04-22</t>
        </is>
      </c>
      <c r="O163" s="9" t="n">
        <v>627</v>
      </c>
      <c r="P163" s="17" t="n">
        <v>583.7000122070312</v>
      </c>
      <c r="Q163" s="17" t="n">
        <v>586.7999877929688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Q1 2023-24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-1.51%</t>
        </is>
      </c>
      <c r="J164" s="13" t="inlineStr">
        <is>
          <t>-1.53%</t>
        </is>
      </c>
      <c r="K164" s="16">
        <f>X163</f>
        <v/>
      </c>
      <c r="L164" s="13" t="inlineStr">
        <is>
          <t>2023-04-18</t>
        </is>
      </c>
      <c r="M164" s="13" t="inlineStr">
        <is>
          <t>2023-04-24</t>
        </is>
      </c>
      <c r="N164" s="13" t="inlineStr">
        <is>
          <t>2023-04-22</t>
        </is>
      </c>
      <c r="O164" s="9" t="n">
        <v>112</v>
      </c>
      <c r="P164" s="17" t="n">
        <v>3078.473876953125</v>
      </c>
      <c r="Q164" s="17" t="n">
        <v>3032.724609375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Q1 2023-24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-1.55%</t>
        </is>
      </c>
      <c r="J165" s="13" t="inlineStr">
        <is>
          <t>-1.02%</t>
        </is>
      </c>
      <c r="K165" s="16">
        <f>X164</f>
        <v/>
      </c>
      <c r="L165" s="13" t="inlineStr">
        <is>
          <t>2023-11-07</t>
        </is>
      </c>
      <c r="M165" s="13" t="inlineStr">
        <is>
          <t>2023-11-16</t>
        </is>
      </c>
      <c r="N165" s="13" t="inlineStr">
        <is>
          <t>2023-11-08</t>
        </is>
      </c>
      <c r="O165" s="9" t="n">
        <v>1800</v>
      </c>
      <c r="P165" s="17" t="n">
        <v>190.7156982421875</v>
      </c>
      <c r="Q165" s="17" t="n">
        <v>187.8079223632812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Q1 2023-24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2023-04-22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Q1 2023-24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-0.24%</t>
        </is>
      </c>
      <c r="J167" s="13" t="inlineStr">
        <is>
          <t>-4.95%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2023-04-22</t>
        </is>
      </c>
      <c r="O167" s="9" t="n">
        <v>1017</v>
      </c>
      <c r="P167" s="17" t="n">
        <v>840.2365112304688</v>
      </c>
      <c r="Q167" s="17" t="n">
        <v>838.2405395507812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Q1 2023-24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-8.86%</t>
        </is>
      </c>
      <c r="J168" s="13" t="inlineStr">
        <is>
          <t>-12.64%</t>
        </is>
      </c>
      <c r="K168" s="16">
        <f>X167</f>
        <v/>
      </c>
      <c r="L168" s="13" t="inlineStr">
        <is>
          <t>2023-04-13</t>
        </is>
      </c>
      <c r="M168" s="13" t="inlineStr">
        <is>
          <t>2023-04-27</t>
        </is>
      </c>
      <c r="N168" s="13" t="inlineStr">
        <is>
          <t>2023-04-22</t>
        </is>
      </c>
      <c r="O168" s="9" t="n">
        <v>627</v>
      </c>
      <c r="P168" s="17" t="n">
        <v>486.1910400390625</v>
      </c>
      <c r="Q168" s="17" t="n">
        <v>446.6208190917969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Q1 2023-24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-2.41%</t>
        </is>
      </c>
      <c r="J169" s="13" t="inlineStr">
        <is>
          <t>-3.43%</t>
        </is>
      </c>
      <c r="K169" s="16">
        <f>X168</f>
        <v/>
      </c>
      <c r="L169" s="13" t="inlineStr">
        <is>
          <t>2023-04-10</t>
        </is>
      </c>
      <c r="M169" s="13" t="inlineStr">
        <is>
          <t>2023-04-24</t>
        </is>
      </c>
      <c r="N169" s="13" t="inlineStr">
        <is>
          <t>2023-04-22</t>
        </is>
      </c>
      <c r="O169" s="9" t="n">
        <v>229</v>
      </c>
      <c r="P169" s="17" t="n">
        <v>1128.953002929688</v>
      </c>
      <c r="Q169" s="17" t="n">
        <v>1102.413330078125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Q1 2023-24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1.97%</t>
        </is>
      </c>
      <c r="J170" s="13" t="inlineStr">
        <is>
          <t>-3.67%</t>
        </is>
      </c>
      <c r="K170" s="16">
        <f>X169</f>
        <v/>
      </c>
      <c r="L170" s="13" t="inlineStr">
        <is>
          <t>2023-04-18</t>
        </is>
      </c>
      <c r="M170" s="13" t="inlineStr">
        <is>
          <t>2023-04-24</t>
        </is>
      </c>
      <c r="N170" s="13" t="inlineStr">
        <is>
          <t>2023-04-22</t>
        </is>
      </c>
      <c r="O170" s="9" t="n">
        <v>2645</v>
      </c>
      <c r="P170" s="17" t="n">
        <v>148.9405517578125</v>
      </c>
      <c r="Q170" s="17" t="n">
        <v>151.9390106201172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Q1 2023-24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-1.85%</t>
        </is>
      </c>
      <c r="J171" s="13" t="inlineStr">
        <is>
          <t>-3.37%</t>
        </is>
      </c>
      <c r="K171" s="16">
        <f>X170</f>
        <v/>
      </c>
      <c r="L171" s="13" t="inlineStr">
        <is>
          <t>2025-07-23</t>
        </is>
      </c>
      <c r="M171" s="13" t="inlineStr">
        <is>
          <t>2025-07-28</t>
        </is>
      </c>
      <c r="N171" s="13" t="inlineStr">
        <is>
          <t>2025-07-24</t>
        </is>
      </c>
      <c r="O171" s="9" t="n">
        <v>2667</v>
      </c>
      <c r="P171" s="17" t="n">
        <v>379.4942626953125</v>
      </c>
      <c r="Q171" s="17" t="n">
        <v>372.4736633300781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Q1 2023-24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-2.76%</t>
        </is>
      </c>
      <c r="J172" s="13" t="inlineStr">
        <is>
          <t>-3.99%</t>
        </is>
      </c>
      <c r="K172" s="16">
        <f>X171</f>
        <v/>
      </c>
      <c r="L172" s="13" t="inlineStr">
        <is>
          <t>2023-10-25</t>
        </is>
      </c>
      <c r="M172" s="13" t="inlineStr">
        <is>
          <t>2023-11-02</t>
        </is>
      </c>
      <c r="N172" s="13" t="inlineStr">
        <is>
          <t>2023-10-27</t>
        </is>
      </c>
      <c r="O172" s="9" t="n">
        <v>250</v>
      </c>
      <c r="P172" s="17" t="n">
        <v>1146.276733398438</v>
      </c>
      <c r="Q172" s="17" t="n">
        <v>1115.522705078125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Q1 2023-24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-18.1%</t>
        </is>
      </c>
      <c r="J173" s="13" t="inlineStr">
        <is>
          <t>-20.21%</t>
        </is>
      </c>
      <c r="K173" s="16">
        <f>X172</f>
        <v/>
      </c>
      <c r="L173" s="13" t="inlineStr">
        <is>
          <t>2023-04-10</t>
        </is>
      </c>
      <c r="M173" s="13" t="inlineStr">
        <is>
          <t>2023-04-24</t>
        </is>
      </c>
      <c r="N173" s="13" t="inlineStr">
        <is>
          <t>2023-04-22</t>
        </is>
      </c>
      <c r="O173" s="9" t="n">
        <v>4486</v>
      </c>
      <c r="P173" s="17" t="n">
        <v>86.494384765625</v>
      </c>
      <c r="Q173" s="17" t="n">
        <v>73.23683929443359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Q1 2023-24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-2.52%</t>
        </is>
      </c>
      <c r="J174" s="13" t="inlineStr">
        <is>
          <t>-10.72%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2023-04-22</t>
        </is>
      </c>
      <c r="O174" s="9" t="n">
        <v>21748</v>
      </c>
      <c r="P174" s="17" t="n">
        <v>29.29071998596192</v>
      </c>
      <c r="Q174" s="17" t="n">
        <v>28.55146026611328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Q1 2023-24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0.73%</t>
        </is>
      </c>
      <c r="J175" s="13" t="inlineStr">
        <is>
          <t>-3.39%</t>
        </is>
      </c>
      <c r="K175" s="16">
        <f>X174</f>
        <v/>
      </c>
      <c r="L175" s="13" t="inlineStr">
        <is>
          <t>2023-04-17</t>
        </is>
      </c>
      <c r="M175" s="13" t="inlineStr">
        <is>
          <t>2023-04-27</t>
        </is>
      </c>
      <c r="N175" s="13" t="inlineStr">
        <is>
          <t>2023-04-22</t>
        </is>
      </c>
      <c r="O175" s="9" t="n">
        <v>5915</v>
      </c>
      <c r="P175" s="17" t="n">
        <v>79.03236389160156</v>
      </c>
      <c r="Q175" s="17" t="n">
        <v>79.61277770996094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Q1 2023-24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-4.25%</t>
        </is>
      </c>
      <c r="J176" s="13" t="inlineStr">
        <is>
          <t>-8.46%</t>
        </is>
      </c>
      <c r="K176" s="16">
        <f>X175</f>
        <v/>
      </c>
      <c r="L176" s="13" t="inlineStr">
        <is>
          <t>2023-04-10</t>
        </is>
      </c>
      <c r="M176" s="13" t="inlineStr">
        <is>
          <t>2023-04-24</t>
        </is>
      </c>
      <c r="N176" s="13" t="inlineStr">
        <is>
          <t>2023-04-22</t>
        </is>
      </c>
      <c r="O176" s="9" t="n">
        <v>1550</v>
      </c>
      <c r="P176" s="17" t="n">
        <v>771</v>
      </c>
      <c r="Q176" s="17" t="n">
        <v>739.6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Q1 2023-24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5.84%</t>
        </is>
      </c>
      <c r="J177" s="13" t="inlineStr">
        <is>
          <t>4.85%</t>
        </is>
      </c>
      <c r="K177" s="16">
        <f>X176</f>
        <v/>
      </c>
      <c r="L177" s="13" t="inlineStr">
        <is>
          <t>2021-04-30</t>
        </is>
      </c>
      <c r="M177" s="13" t="inlineStr">
        <is>
          <t>2021-05-04</t>
        </is>
      </c>
      <c r="N177" s="13" t="inlineStr">
        <is>
          <t>2021-05-03</t>
        </is>
      </c>
      <c r="O177" s="9" t="n">
        <v>375</v>
      </c>
      <c r="P177" s="17" t="n">
        <v>920.1127319335938</v>
      </c>
      <c r="Q177" s="17" t="n">
        <v>973.8115234375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Q1 2023-24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0.28%</t>
        </is>
      </c>
      <c r="J178" s="13" t="inlineStr">
        <is>
          <t>-0.19%</t>
        </is>
      </c>
      <c r="K178" s="16">
        <f>X177</f>
        <v/>
      </c>
      <c r="L178" s="13" t="inlineStr">
        <is>
          <t>2023-11-03</t>
        </is>
      </c>
      <c r="M178" s="13" t="inlineStr">
        <is>
          <t>2023-11-07</t>
        </is>
      </c>
      <c r="N178" s="13" t="inlineStr">
        <is>
          <t>2023-11-04</t>
        </is>
      </c>
      <c r="O178" s="9" t="n">
        <v>1500</v>
      </c>
      <c r="P178" s="17" t="n">
        <v>547.5521240234375</v>
      </c>
      <c r="Q178" s="17" t="n">
        <v>549.0673828125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Q1 2023-24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-8.19%</t>
        </is>
      </c>
      <c r="J179" s="13" t="inlineStr">
        <is>
          <t>-11.25%</t>
        </is>
      </c>
      <c r="K179" s="16">
        <f>X178</f>
        <v/>
      </c>
      <c r="L179" s="13" t="inlineStr">
        <is>
          <t>2023-04-10</t>
        </is>
      </c>
      <c r="M179" s="13" t="inlineStr">
        <is>
          <t>2023-04-24</t>
        </is>
      </c>
      <c r="N179" s="13" t="inlineStr">
        <is>
          <t>2023-04-22</t>
        </is>
      </c>
      <c r="O179" s="9" t="n">
        <v>100</v>
      </c>
      <c r="P179" s="17" t="n">
        <v>25610.890625</v>
      </c>
      <c r="Q179" s="17" t="n">
        <v>23512.43359375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Q1 2023-24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8.75%</t>
        </is>
      </c>
      <c r="J180" s="13" t="inlineStr">
        <is>
          <t>6.78%</t>
        </is>
      </c>
      <c r="K180" s="16">
        <f>X179</f>
        <v/>
      </c>
      <c r="L180" s="13" t="inlineStr">
        <is>
          <t>2023-10-26</t>
        </is>
      </c>
      <c r="M180" s="13" t="inlineStr">
        <is>
          <t>2023-11-02</t>
        </is>
      </c>
      <c r="N180" s="13" t="inlineStr">
        <is>
          <t>2023-10-26</t>
        </is>
      </c>
      <c r="O180" s="9" t="n">
        <v>957</v>
      </c>
      <c r="P180" s="17" t="n">
        <v>342.9010925292969</v>
      </c>
      <c r="Q180" s="17" t="n">
        <v>372.8972778320313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Q1 2023-24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-3.4%</t>
        </is>
      </c>
      <c r="J181" s="13" t="inlineStr">
        <is>
          <t>-5.52%</t>
        </is>
      </c>
      <c r="K181" s="16">
        <f>X180</f>
        <v/>
      </c>
      <c r="L181" s="13" t="inlineStr">
        <is>
          <t>2023-04-10</t>
        </is>
      </c>
      <c r="M181" s="13" t="inlineStr">
        <is>
          <t>2023-04-24</t>
        </is>
      </c>
      <c r="N181" s="13" t="inlineStr">
        <is>
          <t>2023-04-22</t>
        </is>
      </c>
      <c r="O181" s="9" t="n">
        <v>273</v>
      </c>
      <c r="P181" s="17" t="n">
        <v>1961.7294921875</v>
      </c>
      <c r="Q181" s="17" t="n">
        <v>1895.05517578125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Q1 2023-24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-0.18%</t>
        </is>
      </c>
      <c r="J182" s="13" t="inlineStr">
        <is>
          <t>-2.57%</t>
        </is>
      </c>
      <c r="K182" s="16">
        <f>X181</f>
        <v/>
      </c>
      <c r="L182" s="13" t="inlineStr">
        <is>
          <t>2023-04-11</t>
        </is>
      </c>
      <c r="M182" s="13" t="inlineStr">
        <is>
          <t>2023-04-27</t>
        </is>
      </c>
      <c r="N182" s="13" t="inlineStr">
        <is>
          <t>2023-04-22</t>
        </is>
      </c>
      <c r="O182" s="9" t="n">
        <v>100</v>
      </c>
      <c r="P182" s="17" t="n">
        <v>3769.23291015625</v>
      </c>
      <c r="Q182" s="17" t="n">
        <v>3762.4599609375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Q1 2023-24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-5.93%</t>
        </is>
      </c>
      <c r="J183" s="13" t="inlineStr">
        <is>
          <t>-10.77%</t>
        </is>
      </c>
      <c r="K183" s="16">
        <f>X182</f>
        <v/>
      </c>
      <c r="L183" s="13" t="inlineStr">
        <is>
          <t>2023-04-13</t>
        </is>
      </c>
      <c r="M183" s="13" t="inlineStr">
        <is>
          <t>2023-04-27</t>
        </is>
      </c>
      <c r="N183" s="13" t="inlineStr">
        <is>
          <t>2023-04-22</t>
        </is>
      </c>
      <c r="O183" s="9" t="n">
        <v>1309</v>
      </c>
      <c r="P183" s="17" t="n">
        <v>461.1787719726562</v>
      </c>
      <c r="Q183" s="17" t="n">
        <v>435.3617553710938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Q1 2023-24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-0.48%</t>
        </is>
      </c>
      <c r="J184" s="13" t="inlineStr">
        <is>
          <t>-0.5%</t>
        </is>
      </c>
      <c r="K184" s="16">
        <f>X183</f>
        <v/>
      </c>
      <c r="L184" s="13" t="inlineStr">
        <is>
          <t>2023-04-18</t>
        </is>
      </c>
      <c r="M184" s="13" t="inlineStr">
        <is>
          <t>2023-04-27</t>
        </is>
      </c>
      <c r="N184" s="13" t="inlineStr">
        <is>
          <t>2023-04-22</t>
        </is>
      </c>
      <c r="O184" s="9" t="n">
        <v>383</v>
      </c>
      <c r="P184" s="17" t="n">
        <v>2468.384521484375</v>
      </c>
      <c r="Q184" s="17" t="n">
        <v>2456.515380859375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Q1 2023-24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4.83%</t>
        </is>
      </c>
      <c r="J185" s="13" t="inlineStr">
        <is>
          <t>4.27%</t>
        </is>
      </c>
      <c r="K185" s="16">
        <f>X184</f>
        <v/>
      </c>
      <c r="L185" s="13" t="inlineStr">
        <is>
          <t>2023-10-23</t>
        </is>
      </c>
      <c r="M185" s="13" t="inlineStr">
        <is>
          <t>2023-11-08</t>
        </is>
      </c>
      <c r="N185" s="13" t="inlineStr">
        <is>
          <t>2023-11-01</t>
        </is>
      </c>
      <c r="O185" s="9" t="n">
        <v>350</v>
      </c>
      <c r="P185" s="17" t="n">
        <v>1092.289916992188</v>
      </c>
      <c r="Q185" s="17" t="n">
        <v>1145.08203125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Q1 2023-24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-3.66%</t>
        </is>
      </c>
      <c r="J186" s="13" t="inlineStr">
        <is>
          <t>-6.97%</t>
        </is>
      </c>
      <c r="K186" s="16">
        <f>X185</f>
        <v/>
      </c>
      <c r="L186" s="13" t="inlineStr">
        <is>
          <t>2023-04-11</t>
        </is>
      </c>
      <c r="M186" s="13" t="inlineStr">
        <is>
          <t>2023-04-24</t>
        </is>
      </c>
      <c r="N186" s="13" t="inlineStr">
        <is>
          <t>2023-04-22</t>
        </is>
      </c>
      <c r="O186" s="9" t="n">
        <v>289</v>
      </c>
      <c r="P186" s="17" t="n">
        <v>2607.090087890625</v>
      </c>
      <c r="Q186" s="17" t="n">
        <v>2514.96435546875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Q1 2023-24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0.61%</t>
        </is>
      </c>
      <c r="J187" s="13" t="inlineStr">
        <is>
          <t>-6.04%</t>
        </is>
      </c>
      <c r="K187" s="16">
        <f>X186</f>
        <v/>
      </c>
      <c r="L187" s="13" t="inlineStr">
        <is>
          <t>2023-04-11</t>
        </is>
      </c>
      <c r="M187" s="13" t="inlineStr">
        <is>
          <t>2023-04-27</t>
        </is>
      </c>
      <c r="N187" s="13" t="inlineStr">
        <is>
          <t>2023-04-22</t>
        </is>
      </c>
      <c r="O187" s="9" t="n">
        <v>21097</v>
      </c>
      <c r="P187" s="17" t="n">
        <v>8.149999618530273</v>
      </c>
      <c r="Q187" s="17" t="n">
        <v>8.199999809265137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Q1 2023-24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-5.55%</t>
        </is>
      </c>
      <c r="J188" s="13" t="inlineStr">
        <is>
          <t>-2.64%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2023-04-22</t>
        </is>
      </c>
      <c r="O188" s="9" t="n">
        <v>3379</v>
      </c>
      <c r="P188" s="17" t="n">
        <v>456</v>
      </c>
      <c r="Q188" s="17" t="n">
        <v>430.7000122070313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Q1 2023-24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-3.47%</t>
        </is>
      </c>
      <c r="J189" s="13" t="inlineStr">
        <is>
          <t>-3.32%</t>
        </is>
      </c>
      <c r="K189" s="16">
        <f>X188</f>
        <v/>
      </c>
      <c r="L189" s="13" t="inlineStr">
        <is>
          <t>2023-10-27</t>
        </is>
      </c>
      <c r="M189" s="13" t="inlineStr">
        <is>
          <t>2023-11-07</t>
        </is>
      </c>
      <c r="N189" s="13" t="inlineStr">
        <is>
          <t>2023-10-31</t>
        </is>
      </c>
      <c r="O189" s="9" t="n">
        <v>450</v>
      </c>
      <c r="P189" s="17" t="n">
        <v>901.3724365234376</v>
      </c>
      <c r="Q189" s="17" t="n">
        <v>871.116455078125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Q1 2023-24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-3.09%</t>
        </is>
      </c>
      <c r="J190" s="13" t="inlineStr">
        <is>
          <t>-10.59%</t>
        </is>
      </c>
      <c r="K190" s="16">
        <f>X189</f>
        <v/>
      </c>
      <c r="L190" s="13" t="inlineStr">
        <is>
          <t>2023-04-11</t>
        </is>
      </c>
      <c r="M190" s="13" t="inlineStr">
        <is>
          <t>2023-04-27</t>
        </is>
      </c>
      <c r="N190" s="13" t="inlineStr">
        <is>
          <t>2023-04-22</t>
        </is>
      </c>
      <c r="O190" s="9" t="n">
        <v>273</v>
      </c>
      <c r="P190" s="17" t="n">
        <v>6279.109375</v>
      </c>
      <c r="Q190" s="17" t="n">
        <v>6091.16162109375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Q1 2023-24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1.09%</t>
        </is>
      </c>
      <c r="J191" s="13" t="inlineStr">
        <is>
          <t>-2.13%</t>
        </is>
      </c>
      <c r="K191" s="16">
        <f>X190</f>
        <v/>
      </c>
      <c r="L191" s="13" t="inlineStr">
        <is>
          <t>2023-04-19</t>
        </is>
      </c>
      <c r="M191" s="13" t="inlineStr">
        <is>
          <t>2023-04-24</t>
        </is>
      </c>
      <c r="N191" s="13" t="inlineStr">
        <is>
          <t>2023-04-22</t>
        </is>
      </c>
      <c r="O191" s="9" t="n">
        <v>1425</v>
      </c>
      <c r="P191" s="17" t="n">
        <v>469.3</v>
      </c>
      <c r="Q191" s="17" t="n">
        <v>474.4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Q1 2023-24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-1.12%</t>
        </is>
      </c>
      <c r="J192" s="13" t="inlineStr">
        <is>
          <t>-3.44%</t>
        </is>
      </c>
      <c r="K192" s="16">
        <f>X191</f>
        <v/>
      </c>
      <c r="L192" s="13" t="inlineStr">
        <is>
          <t>2023-04-13</t>
        </is>
      </c>
      <c r="M192" s="13" t="inlineStr">
        <is>
          <t>2023-04-27</t>
        </is>
      </c>
      <c r="N192" s="13" t="inlineStr">
        <is>
          <t>2023-04-22</t>
        </is>
      </c>
      <c r="O192" s="9" t="n">
        <v>2659</v>
      </c>
      <c r="P192" s="17" t="n">
        <v>193.4178619384766</v>
      </c>
      <c r="Q192" s="17" t="n">
        <v>191.2741851806641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Q1 2023-24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3.29%</t>
        </is>
      </c>
      <c r="J193" s="13" t="inlineStr">
        <is>
          <t>3.95%</t>
        </is>
      </c>
      <c r="K193" s="16">
        <f>X192</f>
        <v/>
      </c>
      <c r="L193" s="13" t="inlineStr">
        <is>
          <t>2023-10-20</t>
        </is>
      </c>
      <c r="M193" s="13" t="inlineStr">
        <is>
          <t>2023-11-08</t>
        </is>
      </c>
      <c r="N193" s="13" t="inlineStr">
        <is>
          <t>2023-11-01</t>
        </is>
      </c>
      <c r="O193" s="9" t="n">
        <v>5500</v>
      </c>
      <c r="P193" s="17" t="n">
        <v>111.7350387573242</v>
      </c>
      <c r="Q193" s="17" t="n">
        <v>115.5361785888672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Q1 2023-24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1.4%</t>
        </is>
      </c>
      <c r="J194" s="13" t="inlineStr">
        <is>
          <t>1.68%</t>
        </is>
      </c>
      <c r="K194" s="16">
        <f>X193</f>
        <v/>
      </c>
      <c r="L194" s="13" t="inlineStr">
        <is>
          <t>2023-10-06</t>
        </is>
      </c>
      <c r="M194" s="13" t="inlineStr">
        <is>
          <t>2023-10-13</t>
        </is>
      </c>
      <c r="N194" s="13" t="inlineStr">
        <is>
          <t>2023-10-11</t>
        </is>
      </c>
      <c r="O194" s="9" t="n">
        <v>175</v>
      </c>
      <c r="P194" s="17" t="n">
        <v>3272.656005859375</v>
      </c>
      <c r="Q194" s="17" t="n">
        <v>3318.984619140625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Q1 2023-24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1.28%</t>
        </is>
      </c>
      <c r="J195" s="13" t="inlineStr">
        <is>
          <t>0.12%</t>
        </is>
      </c>
      <c r="K195" s="16">
        <f>X194</f>
        <v/>
      </c>
      <c r="L195" s="13" t="inlineStr">
        <is>
          <t>2023-10-25</t>
        </is>
      </c>
      <c r="M195" s="13" t="inlineStr">
        <is>
          <t>2023-11-02</t>
        </is>
      </c>
      <c r="N195" s="13" t="inlineStr">
        <is>
          <t>2023-10-26</t>
        </is>
      </c>
      <c r="O195" s="9" t="n">
        <v>600</v>
      </c>
      <c r="P195" s="17" t="n">
        <v>1028.216430664062</v>
      </c>
      <c r="Q195" s="17" t="n">
        <v>1041.552490234375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Q1 2023-24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5.5%</t>
        </is>
      </c>
      <c r="J196" s="13" t="inlineStr">
        <is>
          <t>-0.32%</t>
        </is>
      </c>
      <c r="K196" s="16">
        <f>X195</f>
        <v/>
      </c>
      <c r="L196" s="13" t="inlineStr">
        <is>
          <t>2023-04-17</t>
        </is>
      </c>
      <c r="M196" s="13" t="inlineStr">
        <is>
          <t>2023-04-24</t>
        </is>
      </c>
      <c r="N196" s="13" t="inlineStr">
        <is>
          <t>2023-04-22</t>
        </is>
      </c>
      <c r="O196" s="9" t="n">
        <v>371</v>
      </c>
      <c r="P196" s="17" t="n">
        <v>2549.6943359375</v>
      </c>
      <c r="Q196" s="17" t="n">
        <v>2698.18115234375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Q1 2023-24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-0.09%</t>
        </is>
      </c>
      <c r="J197" s="13" t="inlineStr">
        <is>
          <t>-0.31%</t>
        </is>
      </c>
      <c r="K197" s="16">
        <f>X196</f>
        <v/>
      </c>
      <c r="L197" s="13" t="inlineStr">
        <is>
          <t>2023-08-03</t>
        </is>
      </c>
      <c r="M197" s="13" t="inlineStr">
        <is>
          <t>2023-08-07</t>
        </is>
      </c>
      <c r="N197" s="13" t="inlineStr">
        <is>
          <t>2023-08-03</t>
        </is>
      </c>
      <c r="O197" s="9" t="n">
        <v>175</v>
      </c>
      <c r="P197" s="17" t="n">
        <v>2877</v>
      </c>
      <c r="Q197" s="17" t="n">
        <v>2874.523681640625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Q1 2023-24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-2.6%</t>
        </is>
      </c>
      <c r="J198" s="13" t="inlineStr">
        <is>
          <t>-3.44%</t>
        </is>
      </c>
      <c r="K198" s="16">
        <f>X197</f>
        <v/>
      </c>
      <c r="L198" s="13" t="inlineStr">
        <is>
          <t>2023-04-19</t>
        </is>
      </c>
      <c r="M198" s="13" t="inlineStr">
        <is>
          <t>2023-04-27</t>
        </is>
      </c>
      <c r="N198" s="13" t="inlineStr">
        <is>
          <t>2023-04-22</t>
        </is>
      </c>
      <c r="O198" s="9" t="n">
        <v>3054</v>
      </c>
      <c r="P198" s="17" t="n">
        <v>469.1900939941406</v>
      </c>
      <c r="Q198" s="17" t="n">
        <v>457.304443359375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Q1 2023-24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2.5%</t>
        </is>
      </c>
      <c r="J199" s="13" t="inlineStr">
        <is>
          <t>0.72%</t>
        </is>
      </c>
      <c r="K199" s="16">
        <f>X198</f>
        <v/>
      </c>
      <c r="L199" s="13" t="inlineStr">
        <is>
          <t>2023-04-20</t>
        </is>
      </c>
      <c r="M199" s="13" t="inlineStr">
        <is>
          <t>2023-04-27</t>
        </is>
      </c>
      <c r="N199" s="13" t="inlineStr">
        <is>
          <t>2023-04-22</t>
        </is>
      </c>
      <c r="O199" s="9" t="n">
        <v>205</v>
      </c>
      <c r="P199" s="17" t="n">
        <v>1537.630981445312</v>
      </c>
      <c r="Q199" s="17" t="n">
        <v>1576.034423828125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Q1 2023-24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14.33%</t>
        </is>
      </c>
      <c r="J200" s="13" t="inlineStr">
        <is>
          <t>12.95%</t>
        </is>
      </c>
      <c r="K200" s="16">
        <f>X199</f>
        <v/>
      </c>
      <c r="L200" s="13" t="inlineStr">
        <is>
          <t>2023-11-06</t>
        </is>
      </c>
      <c r="M200" s="13" t="inlineStr">
        <is>
          <t>2023-11-15</t>
        </is>
      </c>
      <c r="N200" s="13" t="inlineStr">
        <is>
          <t>2023-11-07</t>
        </is>
      </c>
      <c r="O200" s="9" t="n">
        <v>345</v>
      </c>
      <c r="P200" s="17" t="n">
        <v>2227.599365234375</v>
      </c>
      <c r="Q200" s="17" t="n">
        <v>2546.746826171875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Q1 2023-24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5.8%</t>
        </is>
      </c>
      <c r="J201" s="13" t="inlineStr">
        <is>
          <t>5.52%</t>
        </is>
      </c>
      <c r="K201" s="16">
        <f>X200</f>
        <v/>
      </c>
      <c r="L201" s="13" t="inlineStr">
        <is>
          <t>2023-04-17</t>
        </is>
      </c>
      <c r="M201" s="13" t="inlineStr">
        <is>
          <t>2023-04-24</t>
        </is>
      </c>
      <c r="N201" s="13" t="inlineStr">
        <is>
          <t>2023-04-22</t>
        </is>
      </c>
      <c r="O201" s="9" t="n">
        <v>237</v>
      </c>
      <c r="P201" s="17" t="n">
        <v>1089.122192382812</v>
      </c>
      <c r="Q201" s="17" t="n">
        <v>1156.191528320312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Q1 2023-24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-4.75%</t>
        </is>
      </c>
      <c r="J202" s="13" t="inlineStr">
        <is>
          <t>-5.73%</t>
        </is>
      </c>
      <c r="K202" s="16">
        <f>X201</f>
        <v/>
      </c>
      <c r="L202" s="13" t="inlineStr">
        <is>
          <t>2024-01-12</t>
        </is>
      </c>
      <c r="M202" s="13" t="inlineStr">
        <is>
          <t>2024-01-29</t>
        </is>
      </c>
      <c r="N202" s="13" t="inlineStr">
        <is>
          <t>2024-01-19</t>
        </is>
      </c>
      <c r="O202" s="9" t="n">
        <v>100</v>
      </c>
      <c r="P202" s="17" t="n">
        <v>10149.1484375</v>
      </c>
      <c r="Q202" s="17" t="n">
        <v>9689.208984375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Q1 2023-24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2.27%</t>
        </is>
      </c>
      <c r="J203" s="13" t="inlineStr">
        <is>
          <t>0.72%</t>
        </is>
      </c>
      <c r="K203" s="16">
        <f>X202</f>
        <v/>
      </c>
      <c r="L203" s="13" t="inlineStr">
        <is>
          <t>2023-04-19</t>
        </is>
      </c>
      <c r="M203" s="13" t="inlineStr">
        <is>
          <t>2023-04-27</t>
        </is>
      </c>
      <c r="N203" s="13" t="inlineStr">
        <is>
          <t>2023-04-22</t>
        </is>
      </c>
      <c r="O203" s="9" t="n">
        <v>5868</v>
      </c>
      <c r="P203" s="17" t="n">
        <v>64.24222564697266</v>
      </c>
      <c r="Q203" s="17" t="n">
        <v>65.70326995849609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Q1 2023-24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-0.31%</t>
        </is>
      </c>
      <c r="J204" s="13" t="inlineStr">
        <is>
          <t>-0.11%</t>
        </is>
      </c>
      <c r="K204" s="16">
        <f>X203</f>
        <v/>
      </c>
      <c r="L204" s="13" t="inlineStr">
        <is>
          <t>2023-04-17</t>
        </is>
      </c>
      <c r="M204" s="13" t="inlineStr">
        <is>
          <t>2023-04-27</t>
        </is>
      </c>
      <c r="N204" s="13" t="inlineStr">
        <is>
          <t>2023-04-22</t>
        </is>
      </c>
      <c r="O204" s="9" t="n">
        <v>652</v>
      </c>
      <c r="P204" s="17" t="n">
        <v>746.0671997070312</v>
      </c>
      <c r="Q204" s="17" t="n">
        <v>743.78369140625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Q1 2023-24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3.53%</t>
        </is>
      </c>
      <c r="J205" s="13" t="inlineStr">
        <is>
          <t>-1.46%</t>
        </is>
      </c>
      <c r="K205" s="16">
        <f>X204</f>
        <v/>
      </c>
      <c r="L205" s="13" t="inlineStr">
        <is>
          <t>2023-04-11</t>
        </is>
      </c>
      <c r="M205" s="13" t="inlineStr">
        <is>
          <t>2023-04-27</t>
        </is>
      </c>
      <c r="N205" s="13" t="inlineStr">
        <is>
          <t>2023-04-22</t>
        </is>
      </c>
      <c r="O205" s="9" t="n">
        <v>852</v>
      </c>
      <c r="P205" s="17" t="n">
        <v>498.5788879394531</v>
      </c>
      <c r="Q205" s="17" t="n">
        <v>516.1763916015625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Q1 2023-24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1.35%</t>
        </is>
      </c>
      <c r="J206" s="13" t="inlineStr">
        <is>
          <t>2.04%</t>
        </is>
      </c>
      <c r="K206" s="16">
        <f>X205</f>
        <v/>
      </c>
      <c r="L206" s="13" t="inlineStr">
        <is>
          <t>2023-04-17</t>
        </is>
      </c>
      <c r="M206" s="13" t="inlineStr">
        <is>
          <t>2023-04-27</t>
        </is>
      </c>
      <c r="N206" s="13" t="inlineStr">
        <is>
          <t>2023-04-22</t>
        </is>
      </c>
      <c r="O206" s="9" t="n">
        <v>1659</v>
      </c>
      <c r="P206" s="17" t="n">
        <v>701.4246215820312</v>
      </c>
      <c r="Q206" s="17" t="n">
        <v>711.0219116210938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Q1 2023-24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-2.49%</t>
        </is>
      </c>
      <c r="J207" s="13" t="inlineStr">
        <is>
          <t>-3.34%</t>
        </is>
      </c>
      <c r="K207" s="16">
        <f>X206</f>
        <v/>
      </c>
      <c r="L207" s="13" t="inlineStr">
        <is>
          <t>2023-04-18</t>
        </is>
      </c>
      <c r="M207" s="13" t="inlineStr">
        <is>
          <t>2023-04-24</t>
        </is>
      </c>
      <c r="N207" s="13" t="inlineStr">
        <is>
          <t>2023-04-22</t>
        </is>
      </c>
      <c r="O207" s="9" t="n">
        <v>2215</v>
      </c>
      <c r="P207" s="17" t="n">
        <v>287.568603515625</v>
      </c>
      <c r="Q207" s="17" t="n">
        <v>280.5862121582031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Q1 2023-24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-1.94%</t>
        </is>
      </c>
      <c r="J208" s="13" t="inlineStr">
        <is>
          <t>-3.21%</t>
        </is>
      </c>
      <c r="K208" s="16">
        <f>X207</f>
        <v/>
      </c>
      <c r="L208" s="13" t="inlineStr">
        <is>
          <t>2023-04-19</t>
        </is>
      </c>
      <c r="M208" s="13" t="inlineStr">
        <is>
          <t>2023-04-27</t>
        </is>
      </c>
      <c r="N208" s="13" t="inlineStr">
        <is>
          <t>2023-04-22</t>
        </is>
      </c>
      <c r="O208" s="9" t="n">
        <v>3738</v>
      </c>
      <c r="P208" s="17" t="n">
        <v>214.9284057617188</v>
      </c>
      <c r="Q208" s="17" t="n">
        <v>210.7680206298828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Q1 2023-24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-6.08%</t>
        </is>
      </c>
      <c r="J209" s="13" t="inlineStr">
        <is>
          <t>-18.19%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2023-04-22</t>
        </is>
      </c>
      <c r="O209" s="9" t="n">
        <v>9268</v>
      </c>
      <c r="P209" s="17" t="n">
        <v>111.9300003051758</v>
      </c>
      <c r="Q209" s="17" t="n">
        <v>105.129997253418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Q1 2023-24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3.2%</t>
        </is>
      </c>
      <c r="J210" s="13" t="inlineStr">
        <is>
          <t>1.58%</t>
        </is>
      </c>
      <c r="K210" s="16">
        <f>X209</f>
        <v/>
      </c>
      <c r="L210" s="13" t="inlineStr">
        <is>
          <t>2023-04-18</t>
        </is>
      </c>
      <c r="M210" s="13" t="inlineStr">
        <is>
          <t>2023-04-27</t>
        </is>
      </c>
      <c r="N210" s="13" t="inlineStr">
        <is>
          <t>2023-04-22</t>
        </is>
      </c>
      <c r="O210" s="9" t="n">
        <v>750</v>
      </c>
      <c r="P210" s="17" t="n">
        <v>794.2650756835938</v>
      </c>
      <c r="Q210" s="17" t="n">
        <v>820.54736328125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Q1 2023-24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-23.57%</t>
        </is>
      </c>
      <c r="J211" s="13" t="inlineStr">
        <is>
          <t>-44.18%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2023-04-22</t>
        </is>
      </c>
      <c r="O211" s="9" t="n">
        <v>380</v>
      </c>
      <c r="P211" s="17" t="n">
        <v>2888.479736328125</v>
      </c>
      <c r="Q211" s="17" t="n">
        <v>2337.588623046875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Q1 2023-24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-9.31%</t>
        </is>
      </c>
      <c r="J212" s="13" t="inlineStr">
        <is>
          <t>-10.16%</t>
        </is>
      </c>
      <c r="K212" s="16">
        <f>X211</f>
        <v/>
      </c>
      <c r="L212" s="13" t="inlineStr">
        <is>
          <t>2023-10-12</t>
        </is>
      </c>
      <c r="M212" s="13" t="inlineStr">
        <is>
          <t>2023-10-26</t>
        </is>
      </c>
      <c r="N212" s="13" t="inlineStr">
        <is>
          <t>2023-10-18</t>
        </is>
      </c>
      <c r="O212" s="9" t="n">
        <v>1500</v>
      </c>
      <c r="P212" s="17" t="n">
        <v>195.0788726806641</v>
      </c>
      <c r="Q212" s="17" t="n">
        <v>176.9085998535156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Q1 2023-24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-2.63%</t>
        </is>
      </c>
      <c r="J213" s="13" t="inlineStr">
        <is>
          <t>-3.15%</t>
        </is>
      </c>
      <c r="K213" s="16">
        <f>X212</f>
        <v/>
      </c>
      <c r="L213" s="13" t="inlineStr">
        <is>
          <t>2023-04-10</t>
        </is>
      </c>
      <c r="M213" s="13" t="inlineStr">
        <is>
          <t>2023-04-27</t>
        </is>
      </c>
      <c r="N213" s="13" t="inlineStr">
        <is>
          <t>2023-04-22</t>
        </is>
      </c>
      <c r="O213" s="9" t="n">
        <v>44365</v>
      </c>
      <c r="P213" s="17" t="n">
        <v>15.60000038146973</v>
      </c>
      <c r="Q213" s="17" t="n">
        <v>15.19999980926514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Q1 2023-24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-2.5%</t>
        </is>
      </c>
      <c r="J214" s="13" t="inlineStr">
        <is>
          <t>0.1%</t>
        </is>
      </c>
      <c r="K214" s="16">
        <f>X213</f>
        <v/>
      </c>
      <c r="L214" s="13" t="inlineStr">
        <is>
          <t>2023-04-17</t>
        </is>
      </c>
      <c r="M214" s="13" t="inlineStr">
        <is>
          <t>2023-04-27</t>
        </is>
      </c>
      <c r="N214" s="13" t="inlineStr">
        <is>
          <t>2023-04-22</t>
        </is>
      </c>
      <c r="O214" s="9" t="n">
        <v>896</v>
      </c>
      <c r="P214" s="17" t="n">
        <v>502.4151611328125</v>
      </c>
      <c r="Q214" s="17" t="n">
        <v>490.1635131835938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2022-23 COMBINED BEST FUTURES MASTER</t>
        </is>
      </c>
    </row>
    <row r="2"/>
    <row r="3" ht="28" customHeight="1">
      <c r="A3" s="12" t="inlineStr">
        <is>
          <t>Sr. No.</t>
        </is>
      </c>
      <c r="B3" s="12" t="inlineStr">
        <is>
          <t>Stock Symbol</t>
        </is>
      </c>
      <c r="C3" s="12" t="inlineStr">
        <is>
          <t>Quarter</t>
        </is>
      </c>
      <c r="D3" s="12" t="inlineStr">
        <is>
          <t>Strategy</t>
        </is>
      </c>
      <c r="E3" s="12" t="inlineStr">
        <is>
          <t>Trading Status / Action</t>
        </is>
      </c>
      <c r="F3" s="12" t="inlineStr">
        <is>
          <t>Historical Quarters Count</t>
        </is>
      </c>
      <c r="G3" s="12" t="inlineStr">
        <is>
          <t>Position Taking Window</t>
        </is>
      </c>
      <c r="H3" s="12" t="inlineStr">
        <is>
          <t>Predicted Return %</t>
        </is>
      </c>
      <c r="I3" s="12" t="inlineStr">
        <is>
          <t>Actual Realised Return %</t>
        </is>
      </c>
      <c r="J3" s="12" t="inlineStr">
        <is>
          <t>Prediction Variance %</t>
        </is>
      </c>
      <c r="K3" s="12" t="inlineStr">
        <is>
          <t>Starting Portfolio Fund (₹)</t>
        </is>
      </c>
      <c r="L3" s="12" t="inlineStr">
        <is>
          <t>Entry Date</t>
        </is>
      </c>
      <c r="M3" s="12" t="inlineStr">
        <is>
          <t>Exit Date</t>
        </is>
      </c>
      <c r="N3" s="12" t="inlineStr">
        <is>
          <t>Result Date</t>
        </is>
      </c>
      <c r="O3" s="12" t="inlineStr">
        <is>
          <t>Lot Size</t>
        </is>
      </c>
      <c r="P3" s="12" t="inlineStr">
        <is>
          <t>Buy Price (₹)</t>
        </is>
      </c>
      <c r="Q3" s="12" t="inlineStr">
        <is>
          <t>Sell Price (₹)</t>
        </is>
      </c>
      <c r="R3" s="12" t="inlineStr">
        <is>
          <t>Turnover Buy (₹)</t>
        </is>
      </c>
      <c r="S3" s="12" t="inlineStr">
        <is>
          <t>Turnover Sell (₹)</t>
        </is>
      </c>
      <c r="T3" s="12" t="inlineStr">
        <is>
          <t>Combined Turnover (₹)</t>
        </is>
      </c>
      <c r="U3" s="12" t="inlineStr">
        <is>
          <t>Transaction Cost (0.05%)</t>
        </is>
      </c>
      <c r="V3" s="12" t="inlineStr">
        <is>
          <t>Gross P&amp;L (₹)</t>
        </is>
      </c>
      <c r="W3" s="12" t="inlineStr">
        <is>
          <t>Trade Net Realised P&amp;L (₹)</t>
        </is>
      </c>
      <c r="X3" s="12" t="inlineStr">
        <is>
          <t>Ending Reinvested Fund (₹)</t>
        </is>
      </c>
      <c r="Y3" s="12" t="inlineStr">
        <is>
          <t>Margin Required (20% ₹)</t>
        </is>
      </c>
      <c r="Z3" s="12" t="inlineStr">
        <is>
          <t>Return on Margin %</t>
        </is>
      </c>
      <c r="AA3" s="12" t="inlineStr">
        <is>
          <t>Peak Portfolio Capital (₹)</t>
        </is>
      </c>
      <c r="AB3" s="12" t="inlineStr">
        <is>
          <t>Portfolio Drawdown (₹)</t>
        </is>
      </c>
    </row>
    <row r="4">
      <c r="A4" s="13" t="n">
        <v>1</v>
      </c>
      <c r="B4" s="14" t="inlineStr">
        <is>
          <t>360ONE</t>
        </is>
      </c>
      <c r="C4" s="13" t="inlineStr">
        <is>
          <t>Q4 2022-23</t>
        </is>
      </c>
      <c r="D4" s="15" t="inlineStr">
        <is>
          <t>FUTURE LONG</t>
        </is>
      </c>
      <c r="E4" s="15" t="inlineStr">
        <is>
          <t>QUALIFIED</t>
        </is>
      </c>
      <c r="F4" s="13" t="inlineStr">
        <is>
          <t>198 Quarters</t>
        </is>
      </c>
      <c r="G4" s="13" t="inlineStr">
        <is>
          <t>T-7 to T+4</t>
        </is>
      </c>
      <c r="H4" s="13" t="inlineStr">
        <is>
          <t>2.07%</t>
        </is>
      </c>
      <c r="I4" s="13" t="inlineStr">
        <is>
          <t>9.25%</t>
        </is>
      </c>
      <c r="J4" s="13" t="inlineStr">
        <is>
          <t>7.18%</t>
        </is>
      </c>
      <c r="K4" s="16" t="n">
        <v>42511150.11</v>
      </c>
      <c r="L4" s="13" t="inlineStr">
        <is>
          <t>2025-10-08</t>
        </is>
      </c>
      <c r="M4" s="13" t="inlineStr">
        <is>
          <t>2025-10-24</t>
        </is>
      </c>
      <c r="N4" s="13" t="inlineStr">
        <is>
          <t>2025-10-17</t>
        </is>
      </c>
      <c r="O4" s="9" t="n">
        <v>874</v>
      </c>
      <c r="P4" s="17" t="n">
        <v>1073.576049804688</v>
      </c>
      <c r="Q4" s="17" t="n">
        <v>1172.891357421875</v>
      </c>
      <c r="R4" s="16">
        <f>O4*P4</f>
        <v/>
      </c>
      <c r="S4" s="16">
        <f>O4*Q4</f>
        <v/>
      </c>
      <c r="T4" s="16">
        <f>R4+S4</f>
        <v/>
      </c>
      <c r="U4" s="16">
        <f>ROUND(T4*0.0005, 2)</f>
        <v/>
      </c>
      <c r="V4" s="16">
        <f>S4-R4</f>
        <v/>
      </c>
      <c r="W4" s="16">
        <f>V4-U4</f>
        <v/>
      </c>
      <c r="X4" s="16">
        <f>K4+W4</f>
        <v/>
      </c>
      <c r="Y4" s="16">
        <f>ROUND(0.20*R4, 2)</f>
        <v/>
      </c>
      <c r="Z4" s="18">
        <f>ROUND((W4/Y4)*100, 2)</f>
        <v/>
      </c>
      <c r="AA4" s="16">
        <f>MAX(42511150.11, X4)</f>
        <v/>
      </c>
      <c r="AB4" s="16">
        <f>X4-AA4</f>
        <v/>
      </c>
    </row>
    <row r="5">
      <c r="A5" s="13" t="n">
        <v>2</v>
      </c>
      <c r="B5" s="14" t="inlineStr">
        <is>
          <t>ABB</t>
        </is>
      </c>
      <c r="C5" s="13" t="inlineStr">
        <is>
          <t>Q4 2022-23</t>
        </is>
      </c>
      <c r="D5" s="15" t="inlineStr">
        <is>
          <t>FUTURE LONG</t>
        </is>
      </c>
      <c r="E5" s="15" t="inlineStr">
        <is>
          <t>QUALIFIED</t>
        </is>
      </c>
      <c r="F5" s="13" t="inlineStr">
        <is>
          <t>272 Quarters</t>
        </is>
      </c>
      <c r="G5" s="13" t="inlineStr">
        <is>
          <t>T-7 to T+4</t>
        </is>
      </c>
      <c r="H5" s="13" t="inlineStr">
        <is>
          <t>0.61%</t>
        </is>
      </c>
      <c r="I5" s="13" t="inlineStr">
        <is>
          <t>-11.71%</t>
        </is>
      </c>
      <c r="J5" s="13" t="inlineStr">
        <is>
          <t>-12.32%</t>
        </is>
      </c>
      <c r="K5" s="16">
        <f>X4</f>
        <v/>
      </c>
      <c r="L5" s="13" t="inlineStr">
        <is>
          <t>2025-07-24</t>
        </is>
      </c>
      <c r="M5" s="13" t="inlineStr">
        <is>
          <t>2025-08-08</t>
        </is>
      </c>
      <c r="N5" s="13" t="inlineStr">
        <is>
          <t>2025-08-02</t>
        </is>
      </c>
      <c r="O5" s="9" t="n">
        <v>137</v>
      </c>
      <c r="P5" s="17" t="n">
        <v>5664.95263671875</v>
      </c>
      <c r="Q5" s="17" t="n">
        <v>5001.5439453125</v>
      </c>
      <c r="R5" s="16">
        <f>O5*P5</f>
        <v/>
      </c>
      <c r="S5" s="16">
        <f>O5*Q5</f>
        <v/>
      </c>
      <c r="T5" s="16">
        <f>R5+S5</f>
        <v/>
      </c>
      <c r="U5" s="16">
        <f>ROUND(T5*0.0005, 2)</f>
        <v/>
      </c>
      <c r="V5" s="16">
        <f>S5-R5</f>
        <v/>
      </c>
      <c r="W5" s="16">
        <f>V5-U5</f>
        <v/>
      </c>
      <c r="X5" s="16">
        <f>K5+W5</f>
        <v/>
      </c>
      <c r="Y5" s="16">
        <f>ROUND(0.20*R5, 2)</f>
        <v/>
      </c>
      <c r="Z5" s="18">
        <f>ROUND((W5/Y5)*100, 2)</f>
        <v/>
      </c>
      <c r="AA5" s="16">
        <f>MAX(AA4, X5)</f>
        <v/>
      </c>
      <c r="AB5" s="16">
        <f>X5-AA5</f>
        <v/>
      </c>
    </row>
    <row r="6">
      <c r="A6" s="13" t="n">
        <v>3</v>
      </c>
      <c r="B6" s="14" t="inlineStr">
        <is>
          <t>ABCAPITAL</t>
        </is>
      </c>
      <c r="C6" s="13" t="inlineStr">
        <is>
          <t>Q4 2022-23</t>
        </is>
      </c>
      <c r="D6" s="15" t="inlineStr">
        <is>
          <t>FUTURE LONG</t>
        </is>
      </c>
      <c r="E6" s="15" t="inlineStr">
        <is>
          <t>QUALIFIED</t>
        </is>
      </c>
      <c r="F6" s="13" t="inlineStr">
        <is>
          <t>135 Quarters</t>
        </is>
      </c>
      <c r="G6" s="13" t="inlineStr">
        <is>
          <t>T-3 to T+4</t>
        </is>
      </c>
      <c r="H6" s="13" t="inlineStr">
        <is>
          <t>1.32%</t>
        </is>
      </c>
      <c r="I6" s="13" t="inlineStr">
        <is>
          <t>4.11%</t>
        </is>
      </c>
      <c r="J6" s="13" t="inlineStr">
        <is>
          <t>2.79%</t>
        </is>
      </c>
      <c r="K6" s="16">
        <f>X5</f>
        <v/>
      </c>
      <c r="L6" s="13" t="inlineStr">
        <is>
          <t>2026-01-30</t>
        </is>
      </c>
      <c r="M6" s="13" t="inlineStr">
        <is>
          <t>2026-02-10</t>
        </is>
      </c>
      <c r="N6" s="13" t="inlineStr">
        <is>
          <t>2026-02-03</t>
        </is>
      </c>
      <c r="O6" s="9" t="n">
        <v>2537</v>
      </c>
      <c r="P6" s="17" t="n">
        <v>339.7999877929688</v>
      </c>
      <c r="Q6" s="17" t="n">
        <v>353.75</v>
      </c>
      <c r="R6" s="16">
        <f>O6*P6</f>
        <v/>
      </c>
      <c r="S6" s="16">
        <f>O6*Q6</f>
        <v/>
      </c>
      <c r="T6" s="16">
        <f>R6+S6</f>
        <v/>
      </c>
      <c r="U6" s="16">
        <f>ROUND(T6*0.0005, 2)</f>
        <v/>
      </c>
      <c r="V6" s="16">
        <f>S6-R6</f>
        <v/>
      </c>
      <c r="W6" s="16">
        <f>V6-U6</f>
        <v/>
      </c>
      <c r="X6" s="16">
        <f>K6+W6</f>
        <v/>
      </c>
      <c r="Y6" s="16">
        <f>ROUND(0.20*R6, 2)</f>
        <v/>
      </c>
      <c r="Z6" s="18">
        <f>ROUND((W6/Y6)*100, 2)</f>
        <v/>
      </c>
      <c r="AA6" s="16">
        <f>MAX(AA5, X6)</f>
        <v/>
      </c>
      <c r="AB6" s="16">
        <f>X6-AA6</f>
        <v/>
      </c>
    </row>
    <row r="7">
      <c r="A7" s="13" t="n">
        <v>4</v>
      </c>
      <c r="B7" s="14" t="inlineStr">
        <is>
          <t>ADANIENSOL</t>
        </is>
      </c>
      <c r="C7" s="13" t="inlineStr">
        <is>
          <t>Q4 2022-23</t>
        </is>
      </c>
      <c r="D7" s="19" t="inlineStr">
        <is>
          <t>FUTURE SHORT</t>
        </is>
      </c>
      <c r="E7" s="15" t="inlineStr">
        <is>
          <t>QUALIFIED</t>
        </is>
      </c>
      <c r="F7" s="13" t="inlineStr">
        <is>
          <t>151 Quarters</t>
        </is>
      </c>
      <c r="G7" s="13" t="inlineStr">
        <is>
          <t>T-1 to T+1</t>
        </is>
      </c>
      <c r="H7" s="13" t="inlineStr">
        <is>
          <t>0.72%</t>
        </is>
      </c>
      <c r="I7" s="13" t="inlineStr">
        <is>
          <t>-2.57%</t>
        </is>
      </c>
      <c r="J7" s="13" t="inlineStr">
        <is>
          <t>-3.29%</t>
        </is>
      </c>
      <c r="K7" s="16">
        <f>X6</f>
        <v/>
      </c>
      <c r="L7" s="13" t="inlineStr">
        <is>
          <t>2025-12-09</t>
        </is>
      </c>
      <c r="M7" s="13" t="inlineStr">
        <is>
          <t>2025-12-11</t>
        </is>
      </c>
      <c r="N7" s="13" t="inlineStr">
        <is>
          <t>2025-12-09</t>
        </is>
      </c>
      <c r="O7" s="9" t="n">
        <v>602</v>
      </c>
      <c r="P7" s="17" t="n">
        <v>999.5999755859376</v>
      </c>
      <c r="Q7" s="17" t="n">
        <v>974.5999755859376</v>
      </c>
      <c r="R7" s="16">
        <f>O7*P7</f>
        <v/>
      </c>
      <c r="S7" s="16">
        <f>O7*Q7</f>
        <v/>
      </c>
      <c r="T7" s="16">
        <f>R7+S7</f>
        <v/>
      </c>
      <c r="U7" s="16">
        <f>ROUND(T7*0.0005, 2)</f>
        <v/>
      </c>
      <c r="V7" s="16">
        <f>S7-R7</f>
        <v/>
      </c>
      <c r="W7" s="16">
        <f>V7-U7</f>
        <v/>
      </c>
      <c r="X7" s="16">
        <f>K7+W7</f>
        <v/>
      </c>
      <c r="Y7" s="16">
        <f>ROUND(0.20*R7, 2)</f>
        <v/>
      </c>
      <c r="Z7" s="18">
        <f>ROUND((W7/Y7)*100, 2)</f>
        <v/>
      </c>
      <c r="AA7" s="16">
        <f>MAX(AA6, X7)</f>
        <v/>
      </c>
      <c r="AB7" s="16">
        <f>X7-AA7</f>
        <v/>
      </c>
    </row>
    <row r="8">
      <c r="A8" s="13" t="n">
        <v>5</v>
      </c>
      <c r="B8" s="14" t="inlineStr">
        <is>
          <t>ADANIENT</t>
        </is>
      </c>
      <c r="C8" s="13" t="inlineStr">
        <is>
          <t>Q4 2022-23</t>
        </is>
      </c>
      <c r="D8" s="15" t="inlineStr">
        <is>
          <t>FUTURE LONG</t>
        </is>
      </c>
      <c r="E8" s="15" t="inlineStr">
        <is>
          <t>QUALIFIED</t>
        </is>
      </c>
      <c r="F8" s="13" t="inlineStr">
        <is>
          <t>193 Quarters</t>
        </is>
      </c>
      <c r="G8" s="13" t="inlineStr">
        <is>
          <t>T-1 to T+1</t>
        </is>
      </c>
      <c r="H8" s="13" t="inlineStr">
        <is>
          <t>0.62%</t>
        </is>
      </c>
      <c r="I8" s="13" t="inlineStr">
        <is>
          <t>0.71%</t>
        </is>
      </c>
      <c r="J8" s="13" t="inlineStr">
        <is>
          <t>0.09%</t>
        </is>
      </c>
      <c r="K8" s="16">
        <f>X7</f>
        <v/>
      </c>
      <c r="L8" s="13" t="inlineStr">
        <is>
          <t>2023-08-03</t>
        </is>
      </c>
      <c r="M8" s="13" t="inlineStr">
        <is>
          <t>2023-08-07</t>
        </is>
      </c>
      <c r="N8" s="13" t="inlineStr">
        <is>
          <t>2023-08-04</t>
        </is>
      </c>
      <c r="O8" s="9" t="n">
        <v>300</v>
      </c>
      <c r="P8" s="17" t="n">
        <v>2529.22509765625</v>
      </c>
      <c r="Q8" s="17" t="n">
        <v>2547.10107421875</v>
      </c>
      <c r="R8" s="16">
        <f>O8*P8</f>
        <v/>
      </c>
      <c r="S8" s="16">
        <f>O8*Q8</f>
        <v/>
      </c>
      <c r="T8" s="16">
        <f>R8+S8</f>
        <v/>
      </c>
      <c r="U8" s="16">
        <f>ROUND(T8*0.0005, 2)</f>
        <v/>
      </c>
      <c r="V8" s="16">
        <f>S8-R8</f>
        <v/>
      </c>
      <c r="W8" s="16">
        <f>V8-U8</f>
        <v/>
      </c>
      <c r="X8" s="16">
        <f>K8+W8</f>
        <v/>
      </c>
      <c r="Y8" s="16">
        <f>ROUND(0.20*R8, 2)</f>
        <v/>
      </c>
      <c r="Z8" s="18">
        <f>ROUND((W8/Y8)*100, 2)</f>
        <v/>
      </c>
      <c r="AA8" s="16">
        <f>MAX(AA7, X8)</f>
        <v/>
      </c>
      <c r="AB8" s="16">
        <f>X8-AA8</f>
        <v/>
      </c>
    </row>
    <row r="9">
      <c r="A9" s="13" t="n">
        <v>6</v>
      </c>
      <c r="B9" s="14" t="inlineStr">
        <is>
          <t>ADANIGREEN</t>
        </is>
      </c>
      <c r="C9" s="13" t="inlineStr">
        <is>
          <t>Q4 2022-23</t>
        </is>
      </c>
      <c r="D9" s="15" t="inlineStr">
        <is>
          <t>FUTURE LONG</t>
        </is>
      </c>
      <c r="E9" s="15" t="inlineStr">
        <is>
          <t>QUALIFIED</t>
        </is>
      </c>
      <c r="F9" s="13" t="inlineStr">
        <is>
          <t>123 Quarters</t>
        </is>
      </c>
      <c r="G9" s="13" t="inlineStr">
        <is>
          <t>T-3 to T+1</t>
        </is>
      </c>
      <c r="H9" s="13" t="inlineStr">
        <is>
          <t>1.43%</t>
        </is>
      </c>
      <c r="I9" s="13" t="inlineStr">
        <is>
          <t>-4.7%</t>
        </is>
      </c>
      <c r="J9" s="13" t="inlineStr">
        <is>
          <t>-6.13%</t>
        </is>
      </c>
      <c r="K9" s="16">
        <f>X8</f>
        <v/>
      </c>
      <c r="L9" s="13" t="inlineStr">
        <is>
          <t>2025-08-21</t>
        </is>
      </c>
      <c r="M9" s="13" t="inlineStr">
        <is>
          <t>2025-08-28</t>
        </is>
      </c>
      <c r="N9" s="13" t="inlineStr">
        <is>
          <t>2025-08-26</t>
        </is>
      </c>
      <c r="O9" s="9" t="n">
        <v>500</v>
      </c>
      <c r="P9" s="17" t="n">
        <v>966.5999755859376</v>
      </c>
      <c r="Q9" s="17" t="n">
        <v>921.1500244140624</v>
      </c>
      <c r="R9" s="16">
        <f>O9*P9</f>
        <v/>
      </c>
      <c r="S9" s="16">
        <f>O9*Q9</f>
        <v/>
      </c>
      <c r="T9" s="16">
        <f>R9+S9</f>
        <v/>
      </c>
      <c r="U9" s="16">
        <f>ROUND(T9*0.0005, 2)</f>
        <v/>
      </c>
      <c r="V9" s="16">
        <f>S9-R9</f>
        <v/>
      </c>
      <c r="W9" s="16">
        <f>V9-U9</f>
        <v/>
      </c>
      <c r="X9" s="16">
        <f>K9+W9</f>
        <v/>
      </c>
      <c r="Y9" s="16">
        <f>ROUND(0.20*R9, 2)</f>
        <v/>
      </c>
      <c r="Z9" s="18">
        <f>ROUND((W9/Y9)*100, 2)</f>
        <v/>
      </c>
      <c r="AA9" s="16">
        <f>MAX(AA8, X9)</f>
        <v/>
      </c>
      <c r="AB9" s="16">
        <f>X9-AA9</f>
        <v/>
      </c>
    </row>
    <row r="10">
      <c r="A10" s="13" t="n">
        <v>7</v>
      </c>
      <c r="B10" s="14" t="inlineStr">
        <is>
          <t>ADANIPORTS</t>
        </is>
      </c>
      <c r="C10" s="13" t="inlineStr">
        <is>
          <t>Q4 2022-23</t>
        </is>
      </c>
      <c r="D10" s="15" t="inlineStr">
        <is>
          <t>FUTURE LONG</t>
        </is>
      </c>
      <c r="E10" s="15" t="inlineStr">
        <is>
          <t>QUALIFIED</t>
        </is>
      </c>
      <c r="F10" s="13" t="inlineStr">
        <is>
          <t>162 Quarters</t>
        </is>
      </c>
      <c r="G10" s="13" t="inlineStr">
        <is>
          <t>T-7 to T+4</t>
        </is>
      </c>
      <c r="H10" s="13" t="inlineStr">
        <is>
          <t>0.66%</t>
        </is>
      </c>
      <c r="I10" s="13" t="inlineStr">
        <is>
          <t>-0.22%</t>
        </is>
      </c>
      <c r="J10" s="13" t="inlineStr">
        <is>
          <t>-0.88%</t>
        </is>
      </c>
      <c r="K10" s="16">
        <f>X9</f>
        <v/>
      </c>
      <c r="L10" s="13" t="inlineStr">
        <is>
          <t>2023-07-31</t>
        </is>
      </c>
      <c r="M10" s="13" t="inlineStr">
        <is>
          <t>2023-08-16</t>
        </is>
      </c>
      <c r="N10" s="13" t="inlineStr">
        <is>
          <t>2023-08-08</t>
        </is>
      </c>
      <c r="O10" s="9" t="n">
        <v>625</v>
      </c>
      <c r="P10" s="17" t="n">
        <v>767.5421752929688</v>
      </c>
      <c r="Q10" s="17" t="n">
        <v>765.8153686523438</v>
      </c>
      <c r="R10" s="16">
        <f>O10*P10</f>
        <v/>
      </c>
      <c r="S10" s="16">
        <f>O10*Q10</f>
        <v/>
      </c>
      <c r="T10" s="16">
        <f>R10+S10</f>
        <v/>
      </c>
      <c r="U10" s="16">
        <f>ROUND(T10*0.0005, 2)</f>
        <v/>
      </c>
      <c r="V10" s="16">
        <f>S10-R10</f>
        <v/>
      </c>
      <c r="W10" s="16">
        <f>V10-U10</f>
        <v/>
      </c>
      <c r="X10" s="16">
        <f>K10+W10</f>
        <v/>
      </c>
      <c r="Y10" s="16">
        <f>ROUND(0.20*R10, 2)</f>
        <v/>
      </c>
      <c r="Z10" s="18">
        <f>ROUND((W10/Y10)*100, 2)</f>
        <v/>
      </c>
      <c r="AA10" s="16">
        <f>MAX(AA9, X10)</f>
        <v/>
      </c>
      <c r="AB10" s="16">
        <f>X10-AA10</f>
        <v/>
      </c>
    </row>
    <row r="11">
      <c r="A11" s="13" t="n">
        <v>8</v>
      </c>
      <c r="B11" s="14" t="inlineStr">
        <is>
          <t>ADANIPOWER</t>
        </is>
      </c>
      <c r="C11" s="13" t="inlineStr">
        <is>
          <t>Q4 2022-23</t>
        </is>
      </c>
      <c r="D11" s="19" t="inlineStr">
        <is>
          <t>FUTURE SHORT</t>
        </is>
      </c>
      <c r="E11" s="15" t="inlineStr">
        <is>
          <t>QUALIFIED</t>
        </is>
      </c>
      <c r="F11" s="13" t="inlineStr">
        <is>
          <t>269 Quarters</t>
        </is>
      </c>
      <c r="G11" s="13" t="inlineStr">
        <is>
          <t>T-3 to T+1</t>
        </is>
      </c>
      <c r="H11" s="13" t="inlineStr">
        <is>
          <t>0.16%</t>
        </is>
      </c>
      <c r="I11" s="13" t="inlineStr">
        <is>
          <t>2.75%</t>
        </is>
      </c>
      <c r="J11" s="13" t="inlineStr">
        <is>
          <t>2.59%</t>
        </is>
      </c>
      <c r="K11" s="16">
        <f>X10</f>
        <v/>
      </c>
      <c r="L11" s="13" t="inlineStr">
        <is>
          <t>2025-11-18</t>
        </is>
      </c>
      <c r="M11" s="13" t="inlineStr">
        <is>
          <t>2025-11-24</t>
        </is>
      </c>
      <c r="N11" s="13" t="inlineStr">
        <is>
          <t>2025-11-21</t>
        </is>
      </c>
      <c r="O11" s="9" t="n">
        <v>4785</v>
      </c>
      <c r="P11" s="17" t="n">
        <v>145.4400024414062</v>
      </c>
      <c r="Q11" s="17" t="n">
        <v>149.5500030517578</v>
      </c>
      <c r="R11" s="16">
        <f>O11*P11</f>
        <v/>
      </c>
      <c r="S11" s="16">
        <f>O11*Q11</f>
        <v/>
      </c>
      <c r="T11" s="16">
        <f>R11+S11</f>
        <v/>
      </c>
      <c r="U11" s="16">
        <f>ROUND(T11*0.0005, 2)</f>
        <v/>
      </c>
      <c r="V11" s="16">
        <f>S11-R11</f>
        <v/>
      </c>
      <c r="W11" s="16">
        <f>V11-U11</f>
        <v/>
      </c>
      <c r="X11" s="16">
        <f>K11+W11</f>
        <v/>
      </c>
      <c r="Y11" s="16">
        <f>ROUND(0.20*R11, 2)</f>
        <v/>
      </c>
      <c r="Z11" s="18">
        <f>ROUND((W11/Y11)*100, 2)</f>
        <v/>
      </c>
      <c r="AA11" s="16">
        <f>MAX(AA10, X11)</f>
        <v/>
      </c>
      <c r="AB11" s="16">
        <f>X11-AA11</f>
        <v/>
      </c>
    </row>
    <row r="12">
      <c r="A12" s="13" t="n">
        <v>9</v>
      </c>
      <c r="B12" s="14" t="inlineStr">
        <is>
          <t>ALKEM</t>
        </is>
      </c>
      <c r="C12" s="13" t="inlineStr">
        <is>
          <t>Q4 2022-23</t>
        </is>
      </c>
      <c r="D12" s="15" t="inlineStr">
        <is>
          <t>FUTURE LONG</t>
        </is>
      </c>
      <c r="E12" s="15" t="inlineStr">
        <is>
          <t>QUALIFIED</t>
        </is>
      </c>
      <c r="F12" s="13" t="inlineStr">
        <is>
          <t>172 Quarters</t>
        </is>
      </c>
      <c r="G12" s="13" t="inlineStr">
        <is>
          <t>T-2 to T+1</t>
        </is>
      </c>
      <c r="H12" s="13" t="inlineStr">
        <is>
          <t>0.31%</t>
        </is>
      </c>
      <c r="I12" s="13" t="inlineStr">
        <is>
          <t>-0.77%</t>
        </is>
      </c>
      <c r="J12" s="13" t="inlineStr">
        <is>
          <t>-1.08%</t>
        </is>
      </c>
      <c r="K12" s="16">
        <f>X11</f>
        <v/>
      </c>
      <c r="L12" s="13" t="inlineStr">
        <is>
          <t>2025-11-12</t>
        </is>
      </c>
      <c r="M12" s="13" t="inlineStr">
        <is>
          <t>2025-11-17</t>
        </is>
      </c>
      <c r="N12" s="13" t="inlineStr">
        <is>
          <t>2025-11-13</t>
        </is>
      </c>
      <c r="O12" s="9" t="n">
        <v>171</v>
      </c>
      <c r="P12" s="17" t="n">
        <v>5721.376953125</v>
      </c>
      <c r="Q12" s="17" t="n">
        <v>5677.23291015625</v>
      </c>
      <c r="R12" s="16">
        <f>O12*P12</f>
        <v/>
      </c>
      <c r="S12" s="16">
        <f>O12*Q12</f>
        <v/>
      </c>
      <c r="T12" s="16">
        <f>R12+S12</f>
        <v/>
      </c>
      <c r="U12" s="16">
        <f>ROUND(T12*0.0005, 2)</f>
        <v/>
      </c>
      <c r="V12" s="16">
        <f>S12-R12</f>
        <v/>
      </c>
      <c r="W12" s="16">
        <f>V12-U12</f>
        <v/>
      </c>
      <c r="X12" s="16">
        <f>K12+W12</f>
        <v/>
      </c>
      <c r="Y12" s="16">
        <f>ROUND(0.20*R12, 2)</f>
        <v/>
      </c>
      <c r="Z12" s="18">
        <f>ROUND((W12/Y12)*100, 2)</f>
        <v/>
      </c>
      <c r="AA12" s="16">
        <f>MAX(AA11, X12)</f>
        <v/>
      </c>
      <c r="AB12" s="16">
        <f>X12-AA12</f>
        <v/>
      </c>
    </row>
    <row r="13">
      <c r="A13" s="13" t="n">
        <v>10</v>
      </c>
      <c r="B13" s="14" t="inlineStr">
        <is>
          <t>AMBER</t>
        </is>
      </c>
      <c r="C13" s="13" t="inlineStr">
        <is>
          <t>Q4 2022-23</t>
        </is>
      </c>
      <c r="D13" s="19" t="inlineStr">
        <is>
          <t>FUTURE SHORT</t>
        </is>
      </c>
      <c r="E13" s="15" t="inlineStr">
        <is>
          <t>QUALIFIED</t>
        </is>
      </c>
      <c r="F13" s="13" t="inlineStr">
        <is>
          <t>198 Quarters</t>
        </is>
      </c>
      <c r="G13" s="13" t="inlineStr">
        <is>
          <t>T-5 to T+4</t>
        </is>
      </c>
      <c r="H13" s="13" t="inlineStr">
        <is>
          <t>-1.04%</t>
        </is>
      </c>
      <c r="I13" s="13" t="inlineStr">
        <is>
          <t>13.82%</t>
        </is>
      </c>
      <c r="J13" s="13" t="inlineStr">
        <is>
          <t>14.86%</t>
        </is>
      </c>
      <c r="K13" s="16">
        <f>X12</f>
        <v/>
      </c>
      <c r="L13" s="13" t="inlineStr">
        <is>
          <t>2026-05-11</t>
        </is>
      </c>
      <c r="M13" s="13" t="inlineStr">
        <is>
          <t>2026-05-22</t>
        </is>
      </c>
      <c r="N13" s="13" t="inlineStr">
        <is>
          <t>2026-05-16</t>
        </is>
      </c>
      <c r="O13" s="9" t="n">
        <v>135</v>
      </c>
      <c r="P13" s="17" t="n">
        <v>7359</v>
      </c>
      <c r="Q13" s="17" t="n">
        <v>8539.5</v>
      </c>
      <c r="R13" s="16">
        <f>O13*P13</f>
        <v/>
      </c>
      <c r="S13" s="16">
        <f>O13*Q13</f>
        <v/>
      </c>
      <c r="T13" s="16">
        <f>R13+S13</f>
        <v/>
      </c>
      <c r="U13" s="16">
        <f>ROUND(T13*0.0005, 2)</f>
        <v/>
      </c>
      <c r="V13" s="16">
        <f>S13-R13</f>
        <v/>
      </c>
      <c r="W13" s="16">
        <f>V13-U13</f>
        <v/>
      </c>
      <c r="X13" s="16">
        <f>K13+W13</f>
        <v/>
      </c>
      <c r="Y13" s="16">
        <f>ROUND(0.20*R13, 2)</f>
        <v/>
      </c>
      <c r="Z13" s="18">
        <f>ROUND((W13/Y13)*100, 2)</f>
        <v/>
      </c>
      <c r="AA13" s="16">
        <f>MAX(AA12, X13)</f>
        <v/>
      </c>
      <c r="AB13" s="16">
        <f>X13-AA13</f>
        <v/>
      </c>
    </row>
    <row r="14">
      <c r="A14" s="13" t="n">
        <v>11</v>
      </c>
      <c r="B14" s="14" t="inlineStr">
        <is>
          <t>AMBUJACEM</t>
        </is>
      </c>
      <c r="C14" s="13" t="inlineStr">
        <is>
          <t>Q4 2022-23</t>
        </is>
      </c>
      <c r="D14" s="19" t="inlineStr">
        <is>
          <t>FUTURE SHORT</t>
        </is>
      </c>
      <c r="E14" s="15" t="inlineStr">
        <is>
          <t>QUALIFIED</t>
        </is>
      </c>
      <c r="F14" s="13" t="inlineStr">
        <is>
          <t>304 Quarters</t>
        </is>
      </c>
      <c r="G14" s="13" t="inlineStr">
        <is>
          <t>T-7 to T+4</t>
        </is>
      </c>
      <c r="H14" s="13" t="inlineStr">
        <is>
          <t>0.25%</t>
        </is>
      </c>
      <c r="I14" s="13" t="inlineStr">
        <is>
          <t>-4.43%</t>
        </is>
      </c>
      <c r="J14" s="13" t="inlineStr">
        <is>
          <t>-4.68%</t>
        </is>
      </c>
      <c r="K14" s="16">
        <f>X13</f>
        <v/>
      </c>
      <c r="L14" s="13" t="inlineStr">
        <is>
          <t>2025-12-19</t>
        </is>
      </c>
      <c r="M14" s="13" t="inlineStr">
        <is>
          <t>2026-01-06</t>
        </is>
      </c>
      <c r="N14" s="13" t="inlineStr">
        <is>
          <t>2025-12-30</t>
        </is>
      </c>
      <c r="O14" s="9" t="n">
        <v>2303</v>
      </c>
      <c r="P14" s="17" t="n">
        <v>560.7742309570312</v>
      </c>
      <c r="Q14" s="17" t="n">
        <v>536.9920043945312</v>
      </c>
      <c r="R14" s="16">
        <f>O14*P14</f>
        <v/>
      </c>
      <c r="S14" s="16">
        <f>O14*Q14</f>
        <v/>
      </c>
      <c r="T14" s="16">
        <f>R14+S14</f>
        <v/>
      </c>
      <c r="U14" s="16">
        <f>ROUND(T14*0.0005, 2)</f>
        <v/>
      </c>
      <c r="V14" s="16">
        <f>S14-R14</f>
        <v/>
      </c>
      <c r="W14" s="16">
        <f>V14-U14</f>
        <v/>
      </c>
      <c r="X14" s="16">
        <f>K14+W14</f>
        <v/>
      </c>
      <c r="Y14" s="16">
        <f>ROUND(0.20*R14, 2)</f>
        <v/>
      </c>
      <c r="Z14" s="18">
        <f>ROUND((W14/Y14)*100, 2)</f>
        <v/>
      </c>
      <c r="AA14" s="16">
        <f>MAX(AA13, X14)</f>
        <v/>
      </c>
      <c r="AB14" s="16">
        <f>X14-AA14</f>
        <v/>
      </c>
    </row>
    <row r="15">
      <c r="A15" s="13" t="n">
        <v>12</v>
      </c>
      <c r="B15" s="14" t="inlineStr">
        <is>
          <t>ANGELONE</t>
        </is>
      </c>
      <c r="C15" s="13" t="inlineStr">
        <is>
          <t>Q4 2022-23</t>
        </is>
      </c>
      <c r="D15" s="15" t="inlineStr">
        <is>
          <t>FUTURE LONG</t>
        </is>
      </c>
      <c r="E15" s="15" t="inlineStr">
        <is>
          <t>QUALIFIED</t>
        </is>
      </c>
      <c r="F15" s="13" t="inlineStr">
        <is>
          <t>148 Quarters</t>
        </is>
      </c>
      <c r="G15" s="13" t="inlineStr">
        <is>
          <t>T-3 to T+4</t>
        </is>
      </c>
      <c r="H15" s="13" t="inlineStr">
        <is>
          <t>4.91%</t>
        </is>
      </c>
      <c r="I15" s="13" t="inlineStr">
        <is>
          <t>6.14%</t>
        </is>
      </c>
      <c r="J15" s="13" t="inlineStr">
        <is>
          <t>1.23%</t>
        </is>
      </c>
      <c r="K15" s="16">
        <f>X14</f>
        <v/>
      </c>
      <c r="L15" s="13" t="inlineStr">
        <is>
          <t>2026-01-13</t>
        </is>
      </c>
      <c r="M15" s="13" t="inlineStr">
        <is>
          <t>2026-01-22</t>
        </is>
      </c>
      <c r="N15" s="13" t="inlineStr">
        <is>
          <t>2026-01-15</t>
        </is>
      </c>
      <c r="O15" s="9" t="n">
        <v>3428</v>
      </c>
      <c r="P15" s="17" t="n">
        <v>239.3104095458984</v>
      </c>
      <c r="Q15" s="17" t="n">
        <v>254.015869140625</v>
      </c>
      <c r="R15" s="16">
        <f>O15*P15</f>
        <v/>
      </c>
      <c r="S15" s="16">
        <f>O15*Q15</f>
        <v/>
      </c>
      <c r="T15" s="16">
        <f>R15+S15</f>
        <v/>
      </c>
      <c r="U15" s="16">
        <f>ROUND(T15*0.0005, 2)</f>
        <v/>
      </c>
      <c r="V15" s="16">
        <f>S15-R15</f>
        <v/>
      </c>
      <c r="W15" s="16">
        <f>V15-U15</f>
        <v/>
      </c>
      <c r="X15" s="16">
        <f>K15+W15</f>
        <v/>
      </c>
      <c r="Y15" s="16">
        <f>ROUND(0.20*R15, 2)</f>
        <v/>
      </c>
      <c r="Z15" s="18">
        <f>ROUND((W15/Y15)*100, 2)</f>
        <v/>
      </c>
      <c r="AA15" s="16">
        <f>MAX(AA14, X15)</f>
        <v/>
      </c>
      <c r="AB15" s="16">
        <f>X15-AA15</f>
        <v/>
      </c>
    </row>
    <row r="16">
      <c r="A16" s="13" t="n">
        <v>13</v>
      </c>
      <c r="B16" s="14" t="inlineStr">
        <is>
          <t>APLAPOLLO</t>
        </is>
      </c>
      <c r="C16" s="13" t="inlineStr">
        <is>
          <t>Q4 2022-23</t>
        </is>
      </c>
      <c r="D16" s="15" t="inlineStr">
        <is>
          <t>FUTURE LONG</t>
        </is>
      </c>
      <c r="E16" s="15" t="inlineStr">
        <is>
          <t>QUALIFIED</t>
        </is>
      </c>
      <c r="F16" s="13" t="inlineStr">
        <is>
          <t>216 Quarters</t>
        </is>
      </c>
      <c r="G16" s="13" t="inlineStr">
        <is>
          <t>T-3 to T+1</t>
        </is>
      </c>
      <c r="H16" s="13" t="inlineStr">
        <is>
          <t>1.0%</t>
        </is>
      </c>
      <c r="I16" s="13" t="inlineStr">
        <is>
          <t>2.31%</t>
        </is>
      </c>
      <c r="J16" s="13" t="inlineStr">
        <is>
          <t>1.31%</t>
        </is>
      </c>
      <c r="K16" s="16">
        <f>X15</f>
        <v/>
      </c>
      <c r="L16" s="13" t="inlineStr">
        <is>
          <t>2025-05-05</t>
        </is>
      </c>
      <c r="M16" s="13" t="inlineStr">
        <is>
          <t>2025-05-09</t>
        </is>
      </c>
      <c r="N16" s="13" t="inlineStr">
        <is>
          <t>2025-05-07</t>
        </is>
      </c>
      <c r="O16" s="9" t="n">
        <v>528</v>
      </c>
      <c r="P16" s="17" t="n">
        <v>1612.67138671875</v>
      </c>
      <c r="Q16" s="17" t="n">
        <v>1649.941284179688</v>
      </c>
      <c r="R16" s="16">
        <f>O16*P16</f>
        <v/>
      </c>
      <c r="S16" s="16">
        <f>O16*Q16</f>
        <v/>
      </c>
      <c r="T16" s="16">
        <f>R16+S16</f>
        <v/>
      </c>
      <c r="U16" s="16">
        <f>ROUND(T16*0.0005, 2)</f>
        <v/>
      </c>
      <c r="V16" s="16">
        <f>S16-R16</f>
        <v/>
      </c>
      <c r="W16" s="16">
        <f>V16-U16</f>
        <v/>
      </c>
      <c r="X16" s="16">
        <f>K16+W16</f>
        <v/>
      </c>
      <c r="Y16" s="16">
        <f>ROUND(0.20*R16, 2)</f>
        <v/>
      </c>
      <c r="Z16" s="18">
        <f>ROUND((W16/Y16)*100, 2)</f>
        <v/>
      </c>
      <c r="AA16" s="16">
        <f>MAX(AA15, X16)</f>
        <v/>
      </c>
      <c r="AB16" s="16">
        <f>X16-AA16</f>
        <v/>
      </c>
    </row>
    <row r="17">
      <c r="A17" s="13" t="n">
        <v>14</v>
      </c>
      <c r="B17" s="14" t="inlineStr">
        <is>
          <t>APOLLOHOSP</t>
        </is>
      </c>
      <c r="C17" s="13" t="inlineStr">
        <is>
          <t>Q4 2022-23</t>
        </is>
      </c>
      <c r="D17" s="15" t="inlineStr">
        <is>
          <t>FUTURE LONG</t>
        </is>
      </c>
      <c r="E17" s="15" t="inlineStr">
        <is>
          <t>QUALIFIED</t>
        </is>
      </c>
      <c r="F17" s="13" t="inlineStr">
        <is>
          <t>135 Quarters</t>
        </is>
      </c>
      <c r="G17" s="13" t="inlineStr">
        <is>
          <t>T-1 to T+4</t>
        </is>
      </c>
      <c r="H17" s="13" t="inlineStr">
        <is>
          <t>2.63%</t>
        </is>
      </c>
      <c r="I17" s="13" t="inlineStr">
        <is>
          <t>-1.32%</t>
        </is>
      </c>
      <c r="J17" s="13" t="inlineStr">
        <is>
          <t>-3.95%</t>
        </is>
      </c>
      <c r="K17" s="16">
        <f>X16</f>
        <v/>
      </c>
      <c r="L17" s="13" t="inlineStr">
        <is>
          <t>2023-08-10</t>
        </is>
      </c>
      <c r="M17" s="13" t="inlineStr">
        <is>
          <t>2023-08-18</t>
        </is>
      </c>
      <c r="N17" s="13" t="inlineStr">
        <is>
          <t>2023-08-11</t>
        </is>
      </c>
      <c r="O17" s="9" t="n">
        <v>125</v>
      </c>
      <c r="P17" s="17" t="n">
        <v>4881.82177734375</v>
      </c>
      <c r="Q17" s="17" t="n">
        <v>4817.1455078125</v>
      </c>
      <c r="R17" s="16">
        <f>O17*P17</f>
        <v/>
      </c>
      <c r="S17" s="16">
        <f>O17*Q17</f>
        <v/>
      </c>
      <c r="T17" s="16">
        <f>R17+S17</f>
        <v/>
      </c>
      <c r="U17" s="16">
        <f>ROUND(T17*0.0005, 2)</f>
        <v/>
      </c>
      <c r="V17" s="16">
        <f>S17-R17</f>
        <v/>
      </c>
      <c r="W17" s="16">
        <f>V17-U17</f>
        <v/>
      </c>
      <c r="X17" s="16">
        <f>K17+W17</f>
        <v/>
      </c>
      <c r="Y17" s="16">
        <f>ROUND(0.20*R17, 2)</f>
        <v/>
      </c>
      <c r="Z17" s="18">
        <f>ROUND((W17/Y17)*100, 2)</f>
        <v/>
      </c>
      <c r="AA17" s="16">
        <f>MAX(AA16, X17)</f>
        <v/>
      </c>
      <c r="AB17" s="16">
        <f>X17-AA17</f>
        <v/>
      </c>
    </row>
    <row r="18">
      <c r="A18" s="13" t="n">
        <v>15</v>
      </c>
      <c r="B18" s="14" t="inlineStr">
        <is>
          <t>ASHOKLEY</t>
        </is>
      </c>
      <c r="C18" s="13" t="inlineStr">
        <is>
          <t>Q4 2022-23</t>
        </is>
      </c>
      <c r="D18" s="15" t="inlineStr">
        <is>
          <t>FUTURE LONG</t>
        </is>
      </c>
      <c r="E18" s="20" t="inlineStr">
        <is>
          <t>AVOID BUT MONITOR IT</t>
        </is>
      </c>
      <c r="F18" s="13" t="inlineStr">
        <is>
          <t>5 Quarters</t>
        </is>
      </c>
      <c r="G18" s="13" t="inlineStr">
        <is>
          <t>T-1 to T+1</t>
        </is>
      </c>
      <c r="H18" s="13" t="inlineStr">
        <is>
          <t>4.48%</t>
        </is>
      </c>
      <c r="I18" s="13" t="inlineStr">
        <is>
          <t>0.96%</t>
        </is>
      </c>
      <c r="J18" s="13" t="inlineStr">
        <is>
          <t>-3.52%</t>
        </is>
      </c>
      <c r="K18" s="16">
        <f>X17</f>
        <v/>
      </c>
      <c r="L18" s="13" t="inlineStr">
        <is>
          <t>2023-01-19</t>
        </is>
      </c>
      <c r="M18" s="13" t="inlineStr">
        <is>
          <t>2023-01-23</t>
        </is>
      </c>
      <c r="N18" s="13" t="inlineStr">
        <is>
          <t>2023-01-20</t>
        </is>
      </c>
      <c r="O18" s="9" t="n">
        <v>5000</v>
      </c>
      <c r="P18" s="17" t="n">
        <v>66.38613891601562</v>
      </c>
      <c r="Q18" s="17" t="n">
        <v>67.02295684814453</v>
      </c>
      <c r="R18" s="16">
        <f>O18*P18</f>
        <v/>
      </c>
      <c r="S18" s="16">
        <f>O18*Q18</f>
        <v/>
      </c>
      <c r="T18" s="16">
        <f>R18+S18</f>
        <v/>
      </c>
      <c r="U18" s="16">
        <f>ROUND(T18*0.0005, 2)</f>
        <v/>
      </c>
      <c r="V18" s="16">
        <f>S18-R18</f>
        <v/>
      </c>
      <c r="W18" s="16">
        <f>V18-U18</f>
        <v/>
      </c>
      <c r="X18" s="16">
        <f>K18+W18</f>
        <v/>
      </c>
      <c r="Y18" s="16">
        <f>ROUND(0.20*R18, 2)</f>
        <v/>
      </c>
      <c r="Z18" s="18">
        <f>ROUND((W18/Y18)*100, 2)</f>
        <v/>
      </c>
      <c r="AA18" s="16">
        <f>MAX(AA17, X18)</f>
        <v/>
      </c>
      <c r="AB18" s="16">
        <f>X18-AA18</f>
        <v/>
      </c>
    </row>
    <row r="19">
      <c r="A19" s="13" t="n">
        <v>16</v>
      </c>
      <c r="B19" s="14" t="inlineStr">
        <is>
          <t>ASIANPAINT</t>
        </is>
      </c>
      <c r="C19" s="13" t="inlineStr">
        <is>
          <t>Q4 2022-23</t>
        </is>
      </c>
      <c r="D19" s="19" t="inlineStr">
        <is>
          <t>FUTURE SHORT</t>
        </is>
      </c>
      <c r="E19" s="15" t="inlineStr">
        <is>
          <t>QUALIFIED</t>
        </is>
      </c>
      <c r="F19" s="13" t="inlineStr">
        <is>
          <t>195 Quarters</t>
        </is>
      </c>
      <c r="G19" s="13" t="inlineStr">
        <is>
          <t>T-5 to T+1</t>
        </is>
      </c>
      <c r="H19" s="13" t="inlineStr">
        <is>
          <t>-0.16%</t>
        </is>
      </c>
      <c r="I19" s="13" t="inlineStr">
        <is>
          <t>4.13%</t>
        </is>
      </c>
      <c r="J19" s="13" t="inlineStr">
        <is>
          <t>4.29%</t>
        </is>
      </c>
      <c r="K19" s="16">
        <f>X18</f>
        <v/>
      </c>
      <c r="L19" s="13" t="inlineStr">
        <is>
          <t>2023-07-19</t>
        </is>
      </c>
      <c r="M19" s="13" t="inlineStr">
        <is>
          <t>2023-07-27</t>
        </is>
      </c>
      <c r="N19" s="13" t="inlineStr">
        <is>
          <t>2023-07-25</t>
        </is>
      </c>
      <c r="O19" s="9" t="n">
        <v>200</v>
      </c>
      <c r="P19" s="17" t="n">
        <v>3261.76025390625</v>
      </c>
      <c r="Q19" s="17" t="n">
        <v>3402.36962890625</v>
      </c>
      <c r="R19" s="16">
        <f>O19*P19</f>
        <v/>
      </c>
      <c r="S19" s="16">
        <f>O19*Q19</f>
        <v/>
      </c>
      <c r="T19" s="16">
        <f>R19+S19</f>
        <v/>
      </c>
      <c r="U19" s="16">
        <f>ROUND(T19*0.0005, 2)</f>
        <v/>
      </c>
      <c r="V19" s="16">
        <f>S19-R19</f>
        <v/>
      </c>
      <c r="W19" s="16">
        <f>V19-U19</f>
        <v/>
      </c>
      <c r="X19" s="16">
        <f>K19+W19</f>
        <v/>
      </c>
      <c r="Y19" s="16">
        <f>ROUND(0.20*R19, 2)</f>
        <v/>
      </c>
      <c r="Z19" s="18">
        <f>ROUND((W19/Y19)*100, 2)</f>
        <v/>
      </c>
      <c r="AA19" s="16">
        <f>MAX(AA18, X19)</f>
        <v/>
      </c>
      <c r="AB19" s="16">
        <f>X19-AA19</f>
        <v/>
      </c>
    </row>
    <row r="20">
      <c r="A20" s="13" t="n">
        <v>17</v>
      </c>
      <c r="B20" s="14" t="inlineStr">
        <is>
          <t>ASTRAL</t>
        </is>
      </c>
      <c r="C20" s="13" t="inlineStr">
        <is>
          <t>Q4 2022-23</t>
        </is>
      </c>
      <c r="D20" s="15" t="inlineStr">
        <is>
          <t>FUTURE LONG</t>
        </is>
      </c>
      <c r="E20" s="20" t="inlineStr">
        <is>
          <t>AVOID BUT MONITOR IT</t>
        </is>
      </c>
      <c r="F20" s="13" t="inlineStr">
        <is>
          <t>5 Quarters</t>
        </is>
      </c>
      <c r="G20" s="13" t="inlineStr">
        <is>
          <t>T-8 to T+4</t>
        </is>
      </c>
      <c r="H20" s="13" t="inlineStr">
        <is>
          <t>-1.46%</t>
        </is>
      </c>
      <c r="I20" s="13" t="inlineStr">
        <is>
          <t>-5.94%</t>
        </is>
      </c>
      <c r="J20" s="13" t="inlineStr">
        <is>
          <t>-4.48%</t>
        </is>
      </c>
      <c r="K20" s="16">
        <f>X19</f>
        <v/>
      </c>
      <c r="L20" s="13" t="inlineStr">
        <is>
          <t>2023-01-10</t>
        </is>
      </c>
      <c r="M20" s="13" t="inlineStr">
        <is>
          <t>2023-01-27</t>
        </is>
      </c>
      <c r="N20" s="13" t="inlineStr">
        <is>
          <t>2023-01-20</t>
        </is>
      </c>
      <c r="O20" s="9" t="n">
        <v>679</v>
      </c>
      <c r="P20" s="17" t="n">
        <v>1554.913696289062</v>
      </c>
      <c r="Q20" s="17" t="n">
        <v>1462.576171875</v>
      </c>
      <c r="R20" s="16">
        <f>O20*P20</f>
        <v/>
      </c>
      <c r="S20" s="16">
        <f>O20*Q20</f>
        <v/>
      </c>
      <c r="T20" s="16">
        <f>R20+S20</f>
        <v/>
      </c>
      <c r="U20" s="16">
        <f>ROUND(T20*0.0005, 2)</f>
        <v/>
      </c>
      <c r="V20" s="16">
        <f>S20-R20</f>
        <v/>
      </c>
      <c r="W20" s="16">
        <f>V20-U20</f>
        <v/>
      </c>
      <c r="X20" s="16">
        <f>K20+W20</f>
        <v/>
      </c>
      <c r="Y20" s="16">
        <f>ROUND(0.20*R20, 2)</f>
        <v/>
      </c>
      <c r="Z20" s="18">
        <f>ROUND((W20/Y20)*100, 2)</f>
        <v/>
      </c>
      <c r="AA20" s="16">
        <f>MAX(AA19, X20)</f>
        <v/>
      </c>
      <c r="AB20" s="16">
        <f>X20-AA20</f>
        <v/>
      </c>
    </row>
    <row r="21">
      <c r="A21" s="13" t="n">
        <v>18</v>
      </c>
      <c r="B21" s="14" t="inlineStr">
        <is>
          <t>ATHERENERG</t>
        </is>
      </c>
      <c r="C21" s="13" t="inlineStr">
        <is>
          <t>Q4 2022-23</t>
        </is>
      </c>
      <c r="D21" s="15" t="inlineStr">
        <is>
          <t>FUTURE LONG</t>
        </is>
      </c>
      <c r="E21" s="20" t="inlineStr">
        <is>
          <t>AVOID BUT MONITOR IT</t>
        </is>
      </c>
      <c r="F21" s="13" t="inlineStr">
        <is>
          <t>11 Quarters</t>
        </is>
      </c>
      <c r="G21" s="13" t="inlineStr">
        <is>
          <t>T-1 to T+4</t>
        </is>
      </c>
      <c r="H21" s="13" t="inlineStr">
        <is>
          <t>15.26%</t>
        </is>
      </c>
      <c r="I21" s="13" t="inlineStr">
        <is>
          <t>14.86%</t>
        </is>
      </c>
      <c r="J21" s="13" t="inlineStr">
        <is>
          <t>-0.4%</t>
        </is>
      </c>
      <c r="K21" s="16">
        <f>X20</f>
        <v/>
      </c>
      <c r="L21" s="13" t="inlineStr">
        <is>
          <t>2026-08-03</t>
        </is>
      </c>
      <c r="M21" s="13" t="inlineStr">
        <is>
          <t>2026-08-10</t>
        </is>
      </c>
      <c r="N21" s="13" t="inlineStr">
        <is>
          <t>2023-01-20</t>
        </is>
      </c>
      <c r="O21" s="9" t="n">
        <v>668</v>
      </c>
      <c r="P21" s="17" t="n">
        <v>1280</v>
      </c>
      <c r="Q21" s="17" t="n">
        <v>1470.2</v>
      </c>
      <c r="R21" s="16">
        <f>O21*P21</f>
        <v/>
      </c>
      <c r="S21" s="16">
        <f>O21*Q21</f>
        <v/>
      </c>
      <c r="T21" s="16">
        <f>R21+S21</f>
        <v/>
      </c>
      <c r="U21" s="16">
        <f>ROUND(T21*0.0005, 2)</f>
        <v/>
      </c>
      <c r="V21" s="16">
        <f>S21-R21</f>
        <v/>
      </c>
      <c r="W21" s="16">
        <f>V21-U21</f>
        <v/>
      </c>
      <c r="X21" s="16">
        <f>K21+W21</f>
        <v/>
      </c>
      <c r="Y21" s="16">
        <f>ROUND(0.20*R21, 2)</f>
        <v/>
      </c>
      <c r="Z21" s="18">
        <f>ROUND((W21/Y21)*100, 2)</f>
        <v/>
      </c>
      <c r="AA21" s="16">
        <f>MAX(AA20, X21)</f>
        <v/>
      </c>
      <c r="AB21" s="16">
        <f>X21-AA21</f>
        <v/>
      </c>
    </row>
    <row r="22">
      <c r="A22" s="13" t="n">
        <v>19</v>
      </c>
      <c r="B22" s="14" t="inlineStr">
        <is>
          <t>AUBANK</t>
        </is>
      </c>
      <c r="C22" s="13" t="inlineStr">
        <is>
          <t>Q4 2022-23</t>
        </is>
      </c>
      <c r="D22" s="19" t="inlineStr">
        <is>
          <t>FUTURE SHORT</t>
        </is>
      </c>
      <c r="E22" s="20" t="inlineStr">
        <is>
          <t>AVOID BUT MONITOR IT</t>
        </is>
      </c>
      <c r="F22" s="13" t="inlineStr">
        <is>
          <t>5 Quarters</t>
        </is>
      </c>
      <c r="G22" s="13" t="inlineStr">
        <is>
          <t>T-8 to T+1</t>
        </is>
      </c>
      <c r="H22" s="13" t="inlineStr">
        <is>
          <t>8.2%</t>
        </is>
      </c>
      <c r="I22" s="13" t="inlineStr">
        <is>
          <t>-2.51%</t>
        </is>
      </c>
      <c r="J22" s="13" t="inlineStr">
        <is>
          <t>-10.71%</t>
        </is>
      </c>
      <c r="K22" s="16">
        <f>X21</f>
        <v/>
      </c>
      <c r="L22" s="13" t="inlineStr">
        <is>
          <t>2023-01-10</t>
        </is>
      </c>
      <c r="M22" s="13" t="inlineStr">
        <is>
          <t>2023-01-23</t>
        </is>
      </c>
      <c r="N22" s="13" t="inlineStr">
        <is>
          <t>2023-01-20</t>
        </is>
      </c>
      <c r="O22" s="9" t="n">
        <v>970</v>
      </c>
      <c r="P22" s="17" t="n">
        <v>638.2593383789062</v>
      </c>
      <c r="Q22" s="17" t="n">
        <v>622.6240234375</v>
      </c>
      <c r="R22" s="16">
        <f>O22*P22</f>
        <v/>
      </c>
      <c r="S22" s="16">
        <f>O22*Q22</f>
        <v/>
      </c>
      <c r="T22" s="16">
        <f>R22+S22</f>
        <v/>
      </c>
      <c r="U22" s="16">
        <f>ROUND(T22*0.0005, 2)</f>
        <v/>
      </c>
      <c r="V22" s="16">
        <f>S22-R22</f>
        <v/>
      </c>
      <c r="W22" s="16">
        <f>V22-U22</f>
        <v/>
      </c>
      <c r="X22" s="16">
        <f>K22+W22</f>
        <v/>
      </c>
      <c r="Y22" s="16">
        <f>ROUND(0.20*R22, 2)</f>
        <v/>
      </c>
      <c r="Z22" s="18">
        <f>ROUND((W22/Y22)*100, 2)</f>
        <v/>
      </c>
      <c r="AA22" s="16">
        <f>MAX(AA21, X22)</f>
        <v/>
      </c>
      <c r="AB22" s="16">
        <f>X22-AA22</f>
        <v/>
      </c>
    </row>
    <row r="23">
      <c r="A23" s="13" t="n">
        <v>20</v>
      </c>
      <c r="B23" s="14" t="inlineStr">
        <is>
          <t>AUROPHARMA</t>
        </is>
      </c>
      <c r="C23" s="13" t="inlineStr">
        <is>
          <t>Q4 2022-23</t>
        </is>
      </c>
      <c r="D23" s="15" t="inlineStr">
        <is>
          <t>FUTURE LONG</t>
        </is>
      </c>
      <c r="E23" s="20" t="inlineStr">
        <is>
          <t>AVOID BUT MONITOR IT</t>
        </is>
      </c>
      <c r="F23" s="13" t="inlineStr">
        <is>
          <t>5 Quarters</t>
        </is>
      </c>
      <c r="G23" s="13" t="inlineStr">
        <is>
          <t>T-4 to T+1</t>
        </is>
      </c>
      <c r="H23" s="13" t="inlineStr">
        <is>
          <t>0.3%</t>
        </is>
      </c>
      <c r="I23" s="13" t="inlineStr">
        <is>
          <t>-0.15%</t>
        </is>
      </c>
      <c r="J23" s="13" t="inlineStr">
        <is>
          <t>-0.45%</t>
        </is>
      </c>
      <c r="K23" s="16">
        <f>X22</f>
        <v/>
      </c>
      <c r="L23" s="13" t="inlineStr">
        <is>
          <t>2023-01-16</t>
        </is>
      </c>
      <c r="M23" s="13" t="inlineStr">
        <is>
          <t>2023-01-23</t>
        </is>
      </c>
      <c r="N23" s="13" t="inlineStr">
        <is>
          <t>2023-01-20</t>
        </is>
      </c>
      <c r="O23" s="9" t="n">
        <v>634</v>
      </c>
      <c r="P23" s="17" t="n">
        <v>440.0978698730469</v>
      </c>
      <c r="Q23" s="17" t="n">
        <v>439.4572143554688</v>
      </c>
      <c r="R23" s="16">
        <f>O23*P23</f>
        <v/>
      </c>
      <c r="S23" s="16">
        <f>O23*Q23</f>
        <v/>
      </c>
      <c r="T23" s="16">
        <f>R23+S23</f>
        <v/>
      </c>
      <c r="U23" s="16">
        <f>ROUND(T23*0.0005, 2)</f>
        <v/>
      </c>
      <c r="V23" s="16">
        <f>S23-R23</f>
        <v/>
      </c>
      <c r="W23" s="16">
        <f>V23-U23</f>
        <v/>
      </c>
      <c r="X23" s="16">
        <f>K23+W23</f>
        <v/>
      </c>
      <c r="Y23" s="16">
        <f>ROUND(0.20*R23, 2)</f>
        <v/>
      </c>
      <c r="Z23" s="18">
        <f>ROUND((W23/Y23)*100, 2)</f>
        <v/>
      </c>
      <c r="AA23" s="16">
        <f>MAX(AA22, X23)</f>
        <v/>
      </c>
      <c r="AB23" s="16">
        <f>X23-AA23</f>
        <v/>
      </c>
    </row>
    <row r="24">
      <c r="A24" s="13" t="n">
        <v>21</v>
      </c>
      <c r="B24" s="14" t="inlineStr">
        <is>
          <t>AXISBANK</t>
        </is>
      </c>
      <c r="C24" s="13" t="inlineStr">
        <is>
          <t>Q4 2022-23</t>
        </is>
      </c>
      <c r="D24" s="15" t="inlineStr">
        <is>
          <t>FUTURE LONG</t>
        </is>
      </c>
      <c r="E24" s="15" t="inlineStr">
        <is>
          <t>QUALIFIED</t>
        </is>
      </c>
      <c r="F24" s="13" t="inlineStr">
        <is>
          <t>130 Quarters</t>
        </is>
      </c>
      <c r="G24" s="13" t="inlineStr">
        <is>
          <t>T-2 to T+4</t>
        </is>
      </c>
      <c r="H24" s="13" t="inlineStr">
        <is>
          <t>1.33%</t>
        </is>
      </c>
      <c r="I24" s="13" t="inlineStr">
        <is>
          <t>-4.22%</t>
        </is>
      </c>
      <c r="J24" s="13" t="inlineStr">
        <is>
          <t>-5.55%</t>
        </is>
      </c>
      <c r="K24" s="16">
        <f>X23</f>
        <v/>
      </c>
      <c r="L24" s="13" t="inlineStr">
        <is>
          <t>2023-07-26</t>
        </is>
      </c>
      <c r="M24" s="13" t="inlineStr">
        <is>
          <t>2023-08-03</t>
        </is>
      </c>
      <c r="N24" s="13" t="inlineStr">
        <is>
          <t>2023-07-27</t>
        </is>
      </c>
      <c r="O24" s="9" t="n">
        <v>625</v>
      </c>
      <c r="P24" s="17" t="n">
        <v>974.4617309570312</v>
      </c>
      <c r="Q24" s="17" t="n">
        <v>933.310546875</v>
      </c>
      <c r="R24" s="16">
        <f>O24*P24</f>
        <v/>
      </c>
      <c r="S24" s="16">
        <f>O24*Q24</f>
        <v/>
      </c>
      <c r="T24" s="16">
        <f>R24+S24</f>
        <v/>
      </c>
      <c r="U24" s="16">
        <f>ROUND(T24*0.0005, 2)</f>
        <v/>
      </c>
      <c r="V24" s="16">
        <f>S24-R24</f>
        <v/>
      </c>
      <c r="W24" s="16">
        <f>V24-U24</f>
        <v/>
      </c>
      <c r="X24" s="16">
        <f>K24+W24</f>
        <v/>
      </c>
      <c r="Y24" s="16">
        <f>ROUND(0.20*R24, 2)</f>
        <v/>
      </c>
      <c r="Z24" s="18">
        <f>ROUND((W24/Y24)*100, 2)</f>
        <v/>
      </c>
      <c r="AA24" s="16">
        <f>MAX(AA23, X24)</f>
        <v/>
      </c>
      <c r="AB24" s="16">
        <f>X24-AA24</f>
        <v/>
      </c>
    </row>
    <row r="25">
      <c r="A25" s="13" t="n">
        <v>22</v>
      </c>
      <c r="B25" s="14" t="inlineStr">
        <is>
          <t>BAJAJ-AUTO</t>
        </is>
      </c>
      <c r="C25" s="13" t="inlineStr">
        <is>
          <t>Q4 2022-23</t>
        </is>
      </c>
      <c r="D25" s="15" t="inlineStr">
        <is>
          <t>FUTURE LONG</t>
        </is>
      </c>
      <c r="E25" s="15" t="inlineStr">
        <is>
          <t>QUALIFIED</t>
        </is>
      </c>
      <c r="F25" s="13" t="inlineStr">
        <is>
          <t>145 Quarters</t>
        </is>
      </c>
      <c r="G25" s="13" t="inlineStr">
        <is>
          <t>T-5 to T+1</t>
        </is>
      </c>
      <c r="H25" s="13" t="inlineStr">
        <is>
          <t>1.65%</t>
        </is>
      </c>
      <c r="I25" s="13" t="inlineStr">
        <is>
          <t>0.57%</t>
        </is>
      </c>
      <c r="J25" s="13" t="inlineStr">
        <is>
          <t>-1.08%</t>
        </is>
      </c>
      <c r="K25" s="16">
        <f>X24</f>
        <v/>
      </c>
      <c r="L25" s="13" t="inlineStr">
        <is>
          <t>2023-07-19</t>
        </is>
      </c>
      <c r="M25" s="13" t="inlineStr">
        <is>
          <t>2023-07-27</t>
        </is>
      </c>
      <c r="N25" s="13" t="inlineStr">
        <is>
          <t>2023-07-25</t>
        </is>
      </c>
      <c r="O25" s="9" t="n">
        <v>125</v>
      </c>
      <c r="P25" s="17" t="n">
        <v>4601.73388671875</v>
      </c>
      <c r="Q25" s="17" t="n">
        <v>4627.8251953125</v>
      </c>
      <c r="R25" s="16">
        <f>O25*P25</f>
        <v/>
      </c>
      <c r="S25" s="16">
        <f>O25*Q25</f>
        <v/>
      </c>
      <c r="T25" s="16">
        <f>R25+S25</f>
        <v/>
      </c>
      <c r="U25" s="16">
        <f>ROUND(T25*0.0005, 2)</f>
        <v/>
      </c>
      <c r="V25" s="16">
        <f>S25-R25</f>
        <v/>
      </c>
      <c r="W25" s="16">
        <f>V25-U25</f>
        <v/>
      </c>
      <c r="X25" s="16">
        <f>K25+W25</f>
        <v/>
      </c>
      <c r="Y25" s="16">
        <f>ROUND(0.20*R25, 2)</f>
        <v/>
      </c>
      <c r="Z25" s="18">
        <f>ROUND((W25/Y25)*100, 2)</f>
        <v/>
      </c>
      <c r="AA25" s="16">
        <f>MAX(AA24, X25)</f>
        <v/>
      </c>
      <c r="AB25" s="16">
        <f>X25-AA25</f>
        <v/>
      </c>
    </row>
    <row r="26">
      <c r="A26" s="13" t="n">
        <v>23</v>
      </c>
      <c r="B26" s="14" t="inlineStr">
        <is>
          <t>BAJAJFINSV</t>
        </is>
      </c>
      <c r="C26" s="13" t="inlineStr">
        <is>
          <t>Q4 2022-23</t>
        </is>
      </c>
      <c r="D26" s="15" t="inlineStr">
        <is>
          <t>FUTURE LONG</t>
        </is>
      </c>
      <c r="E26" s="15" t="inlineStr">
        <is>
          <t>QUALIFIED</t>
        </is>
      </c>
      <c r="F26" s="13" t="inlineStr">
        <is>
          <t>170 Quarters</t>
        </is>
      </c>
      <c r="G26" s="13" t="inlineStr">
        <is>
          <t>T-1 to T+1</t>
        </is>
      </c>
      <c r="H26" s="13" t="inlineStr">
        <is>
          <t>0.53%</t>
        </is>
      </c>
      <c r="I26" s="13" t="inlineStr">
        <is>
          <t>-1.01%</t>
        </is>
      </c>
      <c r="J26" s="13" t="inlineStr">
        <is>
          <t>-1.54%</t>
        </is>
      </c>
      <c r="K26" s="16">
        <f>X25</f>
        <v/>
      </c>
      <c r="L26" s="13" t="inlineStr">
        <is>
          <t>2023-07-27</t>
        </is>
      </c>
      <c r="M26" s="13" t="inlineStr">
        <is>
          <t>2023-07-31</t>
        </is>
      </c>
      <c r="N26" s="13" t="inlineStr">
        <is>
          <t>2023-07-27</t>
        </is>
      </c>
      <c r="O26" s="9" t="n">
        <v>500</v>
      </c>
      <c r="P26" s="17" t="n">
        <v>1611.371337890625</v>
      </c>
      <c r="Q26" s="17" t="n">
        <v>1595.1533203125</v>
      </c>
      <c r="R26" s="16">
        <f>O26*P26</f>
        <v/>
      </c>
      <c r="S26" s="16">
        <f>O26*Q26</f>
        <v/>
      </c>
      <c r="T26" s="16">
        <f>R26+S26</f>
        <v/>
      </c>
      <c r="U26" s="16">
        <f>ROUND(T26*0.0005, 2)</f>
        <v/>
      </c>
      <c r="V26" s="16">
        <f>S26-R26</f>
        <v/>
      </c>
      <c r="W26" s="16">
        <f>V26-U26</f>
        <v/>
      </c>
      <c r="X26" s="16">
        <f>K26+W26</f>
        <v/>
      </c>
      <c r="Y26" s="16">
        <f>ROUND(0.20*R26, 2)</f>
        <v/>
      </c>
      <c r="Z26" s="18">
        <f>ROUND((W26/Y26)*100, 2)</f>
        <v/>
      </c>
      <c r="AA26" s="16">
        <f>MAX(AA25, X26)</f>
        <v/>
      </c>
      <c r="AB26" s="16">
        <f>X26-AA26</f>
        <v/>
      </c>
    </row>
    <row r="27">
      <c r="A27" s="13" t="n">
        <v>24</v>
      </c>
      <c r="B27" s="14" t="inlineStr">
        <is>
          <t>BAJAJHLDNG</t>
        </is>
      </c>
      <c r="C27" s="13" t="inlineStr">
        <is>
          <t>Q4 2022-23</t>
        </is>
      </c>
      <c r="D27" s="15" t="inlineStr">
        <is>
          <t>FUTURE LONG</t>
        </is>
      </c>
      <c r="E27" s="20" t="inlineStr">
        <is>
          <t>AVOID BUT MONITOR IT</t>
        </is>
      </c>
      <c r="F27" s="13" t="inlineStr">
        <is>
          <t>5 Quarters</t>
        </is>
      </c>
      <c r="G27" s="13" t="inlineStr">
        <is>
          <t>T-5 to T+4</t>
        </is>
      </c>
      <c r="H27" s="13" t="inlineStr">
        <is>
          <t>3.78%</t>
        </is>
      </c>
      <c r="I27" s="13" t="inlineStr">
        <is>
          <t>-0.72%</t>
        </is>
      </c>
      <c r="J27" s="13" t="inlineStr">
        <is>
          <t>-4.5%</t>
        </is>
      </c>
      <c r="K27" s="16">
        <f>X26</f>
        <v/>
      </c>
      <c r="L27" s="13" t="inlineStr">
        <is>
          <t>2023-01-13</t>
        </is>
      </c>
      <c r="M27" s="13" t="inlineStr">
        <is>
          <t>2023-01-27</t>
        </is>
      </c>
      <c r="N27" s="13" t="inlineStr">
        <is>
          <t>2023-01-20</t>
        </is>
      </c>
      <c r="O27" s="9" t="n">
        <v>100</v>
      </c>
      <c r="P27" s="17" t="n">
        <v>5686.7861328125</v>
      </c>
      <c r="Q27" s="17" t="n">
        <v>5646.05322265625</v>
      </c>
      <c r="R27" s="16">
        <f>O27*P27</f>
        <v/>
      </c>
      <c r="S27" s="16">
        <f>O27*Q27</f>
        <v/>
      </c>
      <c r="T27" s="16">
        <f>R27+S27</f>
        <v/>
      </c>
      <c r="U27" s="16">
        <f>ROUND(T27*0.0005, 2)</f>
        <v/>
      </c>
      <c r="V27" s="16">
        <f>S27-R27</f>
        <v/>
      </c>
      <c r="W27" s="16">
        <f>V27-U27</f>
        <v/>
      </c>
      <c r="X27" s="16">
        <f>K27+W27</f>
        <v/>
      </c>
      <c r="Y27" s="16">
        <f>ROUND(0.20*R27, 2)</f>
        <v/>
      </c>
      <c r="Z27" s="18">
        <f>ROUND((W27/Y27)*100, 2)</f>
        <v/>
      </c>
      <c r="AA27" s="16">
        <f>MAX(AA26, X27)</f>
        <v/>
      </c>
      <c r="AB27" s="16">
        <f>X27-AA27</f>
        <v/>
      </c>
    </row>
    <row r="28">
      <c r="A28" s="13" t="n">
        <v>25</v>
      </c>
      <c r="B28" s="14" t="inlineStr">
        <is>
          <t>BAJFINANCE</t>
        </is>
      </c>
      <c r="C28" s="13" t="inlineStr">
        <is>
          <t>Q4 2022-23</t>
        </is>
      </c>
      <c r="D28" s="15" t="inlineStr">
        <is>
          <t>FUTURE LONG</t>
        </is>
      </c>
      <c r="E28" s="15" t="inlineStr">
        <is>
          <t>QUALIFIED</t>
        </is>
      </c>
      <c r="F28" s="13" t="inlineStr">
        <is>
          <t>132 Quarters</t>
        </is>
      </c>
      <c r="G28" s="13" t="inlineStr">
        <is>
          <t>T-2 to T+4</t>
        </is>
      </c>
      <c r="H28" s="13" t="inlineStr">
        <is>
          <t>2.06%</t>
        </is>
      </c>
      <c r="I28" s="13" t="inlineStr">
        <is>
          <t>-5.3%</t>
        </is>
      </c>
      <c r="J28" s="13" t="inlineStr">
        <is>
          <t>-7.36%</t>
        </is>
      </c>
      <c r="K28" s="16">
        <f>X27</f>
        <v/>
      </c>
      <c r="L28" s="13" t="inlineStr">
        <is>
          <t>2023-07-25</t>
        </is>
      </c>
      <c r="M28" s="13" t="inlineStr">
        <is>
          <t>2023-08-02</t>
        </is>
      </c>
      <c r="N28" s="13" t="inlineStr">
        <is>
          <t>2023-07-26</t>
        </is>
      </c>
      <c r="O28" s="9" t="n">
        <v>125</v>
      </c>
      <c r="P28" s="17" t="n">
        <v>747.6083984375</v>
      </c>
      <c r="Q28" s="17" t="n">
        <v>707.9990844726562</v>
      </c>
      <c r="R28" s="16">
        <f>O28*P28</f>
        <v/>
      </c>
      <c r="S28" s="16">
        <f>O28*Q28</f>
        <v/>
      </c>
      <c r="T28" s="16">
        <f>R28+S28</f>
        <v/>
      </c>
      <c r="U28" s="16">
        <f>ROUND(T28*0.0005, 2)</f>
        <v/>
      </c>
      <c r="V28" s="16">
        <f>S28-R28</f>
        <v/>
      </c>
      <c r="W28" s="16">
        <f>V28-U28</f>
        <v/>
      </c>
      <c r="X28" s="16">
        <f>K28+W28</f>
        <v/>
      </c>
      <c r="Y28" s="16">
        <f>ROUND(0.20*R28, 2)</f>
        <v/>
      </c>
      <c r="Z28" s="18">
        <f>ROUND((W28/Y28)*100, 2)</f>
        <v/>
      </c>
      <c r="AA28" s="16">
        <f>MAX(AA27, X28)</f>
        <v/>
      </c>
      <c r="AB28" s="16">
        <f>X28-AA28</f>
        <v/>
      </c>
    </row>
    <row r="29">
      <c r="A29" s="13" t="n">
        <v>26</v>
      </c>
      <c r="B29" s="14" t="inlineStr">
        <is>
          <t>BANDHANBNK</t>
        </is>
      </c>
      <c r="C29" s="13" t="inlineStr">
        <is>
          <t>Q4 2022-23</t>
        </is>
      </c>
      <c r="D29" s="15" t="inlineStr">
        <is>
          <t>FUTURE LONG</t>
        </is>
      </c>
      <c r="E29" s="20" t="inlineStr">
        <is>
          <t>AVOID BUT MONITOR IT</t>
        </is>
      </c>
      <c r="F29" s="13" t="inlineStr">
        <is>
          <t>5 Quarters</t>
        </is>
      </c>
      <c r="G29" s="13" t="inlineStr">
        <is>
          <t>T-3 to T+4</t>
        </is>
      </c>
      <c r="H29" s="13" t="inlineStr">
        <is>
          <t>1.04%</t>
        </is>
      </c>
      <c r="I29" s="13" t="inlineStr">
        <is>
          <t>0.02%</t>
        </is>
      </c>
      <c r="J29" s="13" t="inlineStr">
        <is>
          <t>-1.02%</t>
        </is>
      </c>
      <c r="K29" s="16">
        <f>X28</f>
        <v/>
      </c>
      <c r="L29" s="13" t="inlineStr">
        <is>
          <t>2023-01-17</t>
        </is>
      </c>
      <c r="M29" s="13" t="inlineStr">
        <is>
          <t>2023-01-27</t>
        </is>
      </c>
      <c r="N29" s="13" t="inlineStr">
        <is>
          <t>2023-01-20</t>
        </is>
      </c>
      <c r="O29" s="9" t="n">
        <v>6099</v>
      </c>
      <c r="P29" s="17" t="n">
        <v>232.6000366210937</v>
      </c>
      <c r="Q29" s="17" t="n">
        <v>232.648452758789</v>
      </c>
      <c r="R29" s="16">
        <f>O29*P29</f>
        <v/>
      </c>
      <c r="S29" s="16">
        <f>O29*Q29</f>
        <v/>
      </c>
      <c r="T29" s="16">
        <f>R29+S29</f>
        <v/>
      </c>
      <c r="U29" s="16">
        <f>ROUND(T29*0.0005, 2)</f>
        <v/>
      </c>
      <c r="V29" s="16">
        <f>S29-R29</f>
        <v/>
      </c>
      <c r="W29" s="16">
        <f>V29-U29</f>
        <v/>
      </c>
      <c r="X29" s="16">
        <f>K29+W29</f>
        <v/>
      </c>
      <c r="Y29" s="16">
        <f>ROUND(0.20*R29, 2)</f>
        <v/>
      </c>
      <c r="Z29" s="18">
        <f>ROUND((W29/Y29)*100, 2)</f>
        <v/>
      </c>
      <c r="AA29" s="16">
        <f>MAX(AA28, X29)</f>
        <v/>
      </c>
      <c r="AB29" s="16">
        <f>X29-AA29</f>
        <v/>
      </c>
    </row>
    <row r="30">
      <c r="A30" s="13" t="n">
        <v>27</v>
      </c>
      <c r="B30" s="14" t="inlineStr">
        <is>
          <t>BANKBARODA</t>
        </is>
      </c>
      <c r="C30" s="13" t="inlineStr">
        <is>
          <t>Q4 2022-23</t>
        </is>
      </c>
      <c r="D30" s="19" t="inlineStr">
        <is>
          <t>FUTURE SHORT</t>
        </is>
      </c>
      <c r="E30" s="20" t="inlineStr">
        <is>
          <t>AVOID BUT MONITOR IT</t>
        </is>
      </c>
      <c r="F30" s="13" t="inlineStr">
        <is>
          <t>5 Quarters</t>
        </is>
      </c>
      <c r="G30" s="13" t="inlineStr">
        <is>
          <t>T-5 to T+4</t>
        </is>
      </c>
      <c r="H30" s="13" t="inlineStr">
        <is>
          <t>0.36%</t>
        </is>
      </c>
      <c r="I30" s="13" t="inlineStr">
        <is>
          <t>14.95%</t>
        </is>
      </c>
      <c r="J30" s="13" t="inlineStr">
        <is>
          <t>14.59%</t>
        </is>
      </c>
      <c r="K30" s="16">
        <f>X29</f>
        <v/>
      </c>
      <c r="L30" s="13" t="inlineStr">
        <is>
          <t>2023-01-13</t>
        </is>
      </c>
      <c r="M30" s="13" t="inlineStr">
        <is>
          <t>2023-01-27</t>
        </is>
      </c>
      <c r="N30" s="13" t="inlineStr">
        <is>
          <t>2023-01-20</t>
        </is>
      </c>
      <c r="O30" s="9" t="n">
        <v>4138</v>
      </c>
      <c r="P30" s="17" t="n">
        <v>139.1030578613281</v>
      </c>
      <c r="Q30" s="17" t="n">
        <v>163.5621948242188</v>
      </c>
      <c r="R30" s="16">
        <f>O30*P30</f>
        <v/>
      </c>
      <c r="S30" s="16">
        <f>O30*Q30</f>
        <v/>
      </c>
      <c r="T30" s="16">
        <f>R30+S30</f>
        <v/>
      </c>
      <c r="U30" s="16">
        <f>ROUND(T30*0.0005, 2)</f>
        <v/>
      </c>
      <c r="V30" s="16">
        <f>S30-R30</f>
        <v/>
      </c>
      <c r="W30" s="16">
        <f>V30-U30</f>
        <v/>
      </c>
      <c r="X30" s="16">
        <f>K30+W30</f>
        <v/>
      </c>
      <c r="Y30" s="16">
        <f>ROUND(0.20*R30, 2)</f>
        <v/>
      </c>
      <c r="Z30" s="18">
        <f>ROUND((W30/Y30)*100, 2)</f>
        <v/>
      </c>
      <c r="AA30" s="16">
        <f>MAX(AA29, X30)</f>
        <v/>
      </c>
      <c r="AB30" s="16">
        <f>X30-AA30</f>
        <v/>
      </c>
    </row>
    <row r="31">
      <c r="A31" s="13" t="n">
        <v>28</v>
      </c>
      <c r="B31" s="14" t="inlineStr">
        <is>
          <t>BANKINDIA</t>
        </is>
      </c>
      <c r="C31" s="13" t="inlineStr">
        <is>
          <t>Q4 2022-23</t>
        </is>
      </c>
      <c r="D31" s="19" t="inlineStr">
        <is>
          <t>FUTURE SHORT</t>
        </is>
      </c>
      <c r="E31" s="20" t="inlineStr">
        <is>
          <t>AVOID BUT MONITOR IT</t>
        </is>
      </c>
      <c r="F31" s="13" t="inlineStr">
        <is>
          <t>5 Quarters</t>
        </is>
      </c>
      <c r="G31" s="13" t="inlineStr">
        <is>
          <t>T-3 to T+4</t>
        </is>
      </c>
      <c r="H31" s="13" t="inlineStr">
        <is>
          <t>2.97%</t>
        </is>
      </c>
      <c r="I31" s="13" t="inlineStr">
        <is>
          <t>16.6%</t>
        </is>
      </c>
      <c r="J31" s="13" t="inlineStr">
        <is>
          <t>13.63%</t>
        </is>
      </c>
      <c r="K31" s="16">
        <f>X30</f>
        <v/>
      </c>
      <c r="L31" s="13" t="inlineStr">
        <is>
          <t>2023-01-17</t>
        </is>
      </c>
      <c r="M31" s="13" t="inlineStr">
        <is>
          <t>2023-01-27</t>
        </is>
      </c>
      <c r="N31" s="13" t="inlineStr">
        <is>
          <t>2023-01-20</t>
        </is>
      </c>
      <c r="O31" s="9" t="n">
        <v>7287</v>
      </c>
      <c r="P31" s="17" t="n">
        <v>69.27984619140625</v>
      </c>
      <c r="Q31" s="17" t="n">
        <v>83.06466674804688</v>
      </c>
      <c r="R31" s="16">
        <f>O31*P31</f>
        <v/>
      </c>
      <c r="S31" s="16">
        <f>O31*Q31</f>
        <v/>
      </c>
      <c r="T31" s="16">
        <f>R31+S31</f>
        <v/>
      </c>
      <c r="U31" s="16">
        <f>ROUND(T31*0.0005, 2)</f>
        <v/>
      </c>
      <c r="V31" s="16">
        <f>S31-R31</f>
        <v/>
      </c>
      <c r="W31" s="16">
        <f>V31-U31</f>
        <v/>
      </c>
      <c r="X31" s="16">
        <f>K31+W31</f>
        <v/>
      </c>
      <c r="Y31" s="16">
        <f>ROUND(0.20*R31, 2)</f>
        <v/>
      </c>
      <c r="Z31" s="18">
        <f>ROUND((W31/Y31)*100, 2)</f>
        <v/>
      </c>
      <c r="AA31" s="16">
        <f>MAX(AA30, X31)</f>
        <v/>
      </c>
      <c r="AB31" s="16">
        <f>X31-AA31</f>
        <v/>
      </c>
    </row>
    <row r="32">
      <c r="A32" s="13" t="n">
        <v>29</v>
      </c>
      <c r="B32" s="14" t="inlineStr">
        <is>
          <t>BDL</t>
        </is>
      </c>
      <c r="C32" s="13" t="inlineStr">
        <is>
          <t>Q4 2022-23</t>
        </is>
      </c>
      <c r="D32" s="19" t="inlineStr">
        <is>
          <t>FUTURE SHORT</t>
        </is>
      </c>
      <c r="E32" s="20" t="inlineStr">
        <is>
          <t>AVOID BUT MONITOR IT</t>
        </is>
      </c>
      <c r="F32" s="13" t="inlineStr">
        <is>
          <t>5 Quarters</t>
        </is>
      </c>
      <c r="G32" s="13" t="inlineStr">
        <is>
          <t>T-8 to T+1</t>
        </is>
      </c>
      <c r="H32" s="13" t="inlineStr">
        <is>
          <t>-4.94%</t>
        </is>
      </c>
      <c r="I32" s="13" t="inlineStr">
        <is>
          <t>-1.51%</t>
        </is>
      </c>
      <c r="J32" s="13" t="inlineStr">
        <is>
          <t>3.43%</t>
        </is>
      </c>
      <c r="K32" s="16">
        <f>X31</f>
        <v/>
      </c>
      <c r="L32" s="13" t="inlineStr">
        <is>
          <t>2023-01-10</t>
        </is>
      </c>
      <c r="M32" s="13" t="inlineStr">
        <is>
          <t>2023-01-23</t>
        </is>
      </c>
      <c r="N32" s="13" t="inlineStr">
        <is>
          <t>2023-01-20</t>
        </is>
      </c>
      <c r="O32" s="9" t="n">
        <v>793</v>
      </c>
      <c r="P32" s="17" t="n">
        <v>454.2274475097656</v>
      </c>
      <c r="Q32" s="17" t="n">
        <v>447.4888000488281</v>
      </c>
      <c r="R32" s="16">
        <f>O32*P32</f>
        <v/>
      </c>
      <c r="S32" s="16">
        <f>O32*Q32</f>
        <v/>
      </c>
      <c r="T32" s="16">
        <f>R32+S32</f>
        <v/>
      </c>
      <c r="U32" s="16">
        <f>ROUND(T32*0.0005, 2)</f>
        <v/>
      </c>
      <c r="V32" s="16">
        <f>S32-R32</f>
        <v/>
      </c>
      <c r="W32" s="16">
        <f>V32-U32</f>
        <v/>
      </c>
      <c r="X32" s="16">
        <f>K32+W32</f>
        <v/>
      </c>
      <c r="Y32" s="16">
        <f>ROUND(0.20*R32, 2)</f>
        <v/>
      </c>
      <c r="Z32" s="18">
        <f>ROUND((W32/Y32)*100, 2)</f>
        <v/>
      </c>
      <c r="AA32" s="16">
        <f>MAX(AA31, X32)</f>
        <v/>
      </c>
      <c r="AB32" s="16">
        <f>X32-AA32</f>
        <v/>
      </c>
    </row>
    <row r="33">
      <c r="A33" s="13" t="n">
        <v>30</v>
      </c>
      <c r="B33" s="14" t="inlineStr">
        <is>
          <t>BEL</t>
        </is>
      </c>
      <c r="C33" s="13" t="inlineStr">
        <is>
          <t>Q4 2022-23</t>
        </is>
      </c>
      <c r="D33" s="19" t="inlineStr">
        <is>
          <t>FUTURE SHORT</t>
        </is>
      </c>
      <c r="E33" s="15" t="inlineStr">
        <is>
          <t>QUALIFIED</t>
        </is>
      </c>
      <c r="F33" s="13" t="inlineStr">
        <is>
          <t>139 Quarters</t>
        </is>
      </c>
      <c r="G33" s="13" t="inlineStr">
        <is>
          <t>T-7 to T+4</t>
        </is>
      </c>
      <c r="H33" s="13" t="inlineStr">
        <is>
          <t>-1.63%</t>
        </is>
      </c>
      <c r="I33" s="13" t="inlineStr">
        <is>
          <t>1.77%</t>
        </is>
      </c>
      <c r="J33" s="13" t="inlineStr">
        <is>
          <t>3.4%</t>
        </is>
      </c>
      <c r="K33" s="16">
        <f>X32</f>
        <v/>
      </c>
      <c r="L33" s="13" t="inlineStr">
        <is>
          <t>2023-07-19</t>
        </is>
      </c>
      <c r="M33" s="13" t="inlineStr">
        <is>
          <t>2023-08-03</t>
        </is>
      </c>
      <c r="N33" s="13" t="inlineStr">
        <is>
          <t>2023-07-27</t>
        </is>
      </c>
      <c r="O33" s="9" t="n">
        <v>2438</v>
      </c>
      <c r="P33" s="17" t="n">
        <v>121.3620910644531</v>
      </c>
      <c r="Q33" s="17" t="n">
        <v>123.5527496337891</v>
      </c>
      <c r="R33" s="16">
        <f>O33*P33</f>
        <v/>
      </c>
      <c r="S33" s="16">
        <f>O33*Q33</f>
        <v/>
      </c>
      <c r="T33" s="16">
        <f>R33+S33</f>
        <v/>
      </c>
      <c r="U33" s="16">
        <f>ROUND(T33*0.0005, 2)</f>
        <v/>
      </c>
      <c r="V33" s="16">
        <f>S33-R33</f>
        <v/>
      </c>
      <c r="W33" s="16">
        <f>V33-U33</f>
        <v/>
      </c>
      <c r="X33" s="16">
        <f>K33+W33</f>
        <v/>
      </c>
      <c r="Y33" s="16">
        <f>ROUND(0.20*R33, 2)</f>
        <v/>
      </c>
      <c r="Z33" s="18">
        <f>ROUND((W33/Y33)*100, 2)</f>
        <v/>
      </c>
      <c r="AA33" s="16">
        <f>MAX(AA32, X33)</f>
        <v/>
      </c>
      <c r="AB33" s="16">
        <f>X33-AA33</f>
        <v/>
      </c>
    </row>
    <row r="34">
      <c r="A34" s="13" t="n">
        <v>31</v>
      </c>
      <c r="B34" s="14" t="inlineStr">
        <is>
          <t>BHARATFORG</t>
        </is>
      </c>
      <c r="C34" s="13" t="inlineStr">
        <is>
          <t>Q4 2022-23</t>
        </is>
      </c>
      <c r="D34" s="19" t="inlineStr">
        <is>
          <t>FUTURE SHORT</t>
        </is>
      </c>
      <c r="E34" s="20" t="inlineStr">
        <is>
          <t>AVOID BUT MONITOR IT</t>
        </is>
      </c>
      <c r="F34" s="13" t="inlineStr">
        <is>
          <t>5 Quarters</t>
        </is>
      </c>
      <c r="G34" s="13" t="inlineStr">
        <is>
          <t>T-7 to T+1</t>
        </is>
      </c>
      <c r="H34" s="13" t="inlineStr">
        <is>
          <t>5.63%</t>
        </is>
      </c>
      <c r="I34" s="13" t="inlineStr">
        <is>
          <t>-1.55%</t>
        </is>
      </c>
      <c r="J34" s="13" t="inlineStr">
        <is>
          <t>-7.18%</t>
        </is>
      </c>
      <c r="K34" s="16">
        <f>X33</f>
        <v/>
      </c>
      <c r="L34" s="13" t="inlineStr">
        <is>
          <t>2023-01-11</t>
        </is>
      </c>
      <c r="M34" s="13" t="inlineStr">
        <is>
          <t>2023-01-23</t>
        </is>
      </c>
      <c r="N34" s="13" t="inlineStr">
        <is>
          <t>2023-01-20</t>
        </is>
      </c>
      <c r="O34" s="9" t="n">
        <v>461</v>
      </c>
      <c r="P34" s="17" t="n">
        <v>858.6798095703125</v>
      </c>
      <c r="Q34" s="17" t="n">
        <v>845.59326171875</v>
      </c>
      <c r="R34" s="16">
        <f>O34*P34</f>
        <v/>
      </c>
      <c r="S34" s="16">
        <f>O34*Q34</f>
        <v/>
      </c>
      <c r="T34" s="16">
        <f>R34+S34</f>
        <v/>
      </c>
      <c r="U34" s="16">
        <f>ROUND(T34*0.0005, 2)</f>
        <v/>
      </c>
      <c r="V34" s="16">
        <f>S34-R34</f>
        <v/>
      </c>
      <c r="W34" s="16">
        <f>V34-U34</f>
        <v/>
      </c>
      <c r="X34" s="16">
        <f>K34+W34</f>
        <v/>
      </c>
      <c r="Y34" s="16">
        <f>ROUND(0.20*R34, 2)</f>
        <v/>
      </c>
      <c r="Z34" s="18">
        <f>ROUND((W34/Y34)*100, 2)</f>
        <v/>
      </c>
      <c r="AA34" s="16">
        <f>MAX(AA33, X34)</f>
        <v/>
      </c>
      <c r="AB34" s="16">
        <f>X34-AA34</f>
        <v/>
      </c>
    </row>
    <row r="35">
      <c r="A35" s="13" t="n">
        <v>32</v>
      </c>
      <c r="B35" s="14" t="inlineStr">
        <is>
          <t>BHARTIARTL</t>
        </is>
      </c>
      <c r="C35" s="13" t="inlineStr">
        <is>
          <t>Q4 2022-23</t>
        </is>
      </c>
      <c r="D35" s="15" t="inlineStr">
        <is>
          <t>FUTURE LONG</t>
        </is>
      </c>
      <c r="E35" s="15" t="inlineStr">
        <is>
          <t>QUALIFIED</t>
        </is>
      </c>
      <c r="F35" s="13" t="inlineStr">
        <is>
          <t>165 Quarters</t>
        </is>
      </c>
      <c r="G35" s="13" t="inlineStr">
        <is>
          <t>T-8 to T+4</t>
        </is>
      </c>
      <c r="H35" s="13" t="inlineStr">
        <is>
          <t>1.5%</t>
        </is>
      </c>
      <c r="I35" s="13" t="inlineStr">
        <is>
          <t>-1.0%</t>
        </is>
      </c>
      <c r="J35" s="13" t="inlineStr">
        <is>
          <t>-2.5%</t>
        </is>
      </c>
      <c r="K35" s="16">
        <f>X34</f>
        <v/>
      </c>
      <c r="L35" s="13" t="inlineStr">
        <is>
          <t>2023-07-25</t>
        </is>
      </c>
      <c r="M35" s="13" t="inlineStr">
        <is>
          <t>2023-08-10</t>
        </is>
      </c>
      <c r="N35" s="13" t="inlineStr">
        <is>
          <t>2023-08-04</t>
        </is>
      </c>
      <c r="O35" s="9" t="n">
        <v>950</v>
      </c>
      <c r="P35" s="17" t="n">
        <v>867.4827270507812</v>
      </c>
      <c r="Q35" s="17" t="n">
        <v>858.7946166992188</v>
      </c>
      <c r="R35" s="16">
        <f>O35*P35</f>
        <v/>
      </c>
      <c r="S35" s="16">
        <f>O35*Q35</f>
        <v/>
      </c>
      <c r="T35" s="16">
        <f>R35+S35</f>
        <v/>
      </c>
      <c r="U35" s="16">
        <f>ROUND(T35*0.0005, 2)</f>
        <v/>
      </c>
      <c r="V35" s="16">
        <f>S35-R35</f>
        <v/>
      </c>
      <c r="W35" s="16">
        <f>V35-U35</f>
        <v/>
      </c>
      <c r="X35" s="16">
        <f>K35+W35</f>
        <v/>
      </c>
      <c r="Y35" s="16">
        <f>ROUND(0.20*R35, 2)</f>
        <v/>
      </c>
      <c r="Z35" s="18">
        <f>ROUND((W35/Y35)*100, 2)</f>
        <v/>
      </c>
      <c r="AA35" s="16">
        <f>MAX(AA34, X35)</f>
        <v/>
      </c>
      <c r="AB35" s="16">
        <f>X35-AA35</f>
        <v/>
      </c>
    </row>
    <row r="36">
      <c r="A36" s="13" t="n">
        <v>33</v>
      </c>
      <c r="B36" s="14" t="inlineStr">
        <is>
          <t>BHEL</t>
        </is>
      </c>
      <c r="C36" s="13" t="inlineStr">
        <is>
          <t>Q4 2022-23</t>
        </is>
      </c>
      <c r="D36" s="19" t="inlineStr">
        <is>
          <t>FUTURE SHORT</t>
        </is>
      </c>
      <c r="E36" s="20" t="inlineStr">
        <is>
          <t>AVOID BUT MONITOR IT</t>
        </is>
      </c>
      <c r="F36" s="13" t="inlineStr">
        <is>
          <t>5 Quarters</t>
        </is>
      </c>
      <c r="G36" s="13" t="inlineStr">
        <is>
          <t>T-4 to T+4</t>
        </is>
      </c>
      <c r="H36" s="13" t="inlineStr">
        <is>
          <t>1.07%</t>
        </is>
      </c>
      <c r="I36" s="13" t="inlineStr">
        <is>
          <t>8.15%</t>
        </is>
      </c>
      <c r="J36" s="13" t="inlineStr">
        <is>
          <t>7.08%</t>
        </is>
      </c>
      <c r="K36" s="16">
        <f>X35</f>
        <v/>
      </c>
      <c r="L36" s="13" t="inlineStr">
        <is>
          <t>2023-01-16</t>
        </is>
      </c>
      <c r="M36" s="13" t="inlineStr">
        <is>
          <t>2023-01-27</t>
        </is>
      </c>
      <c r="N36" s="13" t="inlineStr">
        <is>
          <t>2023-01-20</t>
        </is>
      </c>
      <c r="O36" s="9" t="n">
        <v>2481</v>
      </c>
      <c r="P36" s="17" t="n">
        <v>72.50857543945312</v>
      </c>
      <c r="Q36" s="17" t="n">
        <v>78.94277191162109</v>
      </c>
      <c r="R36" s="16">
        <f>O36*P36</f>
        <v/>
      </c>
      <c r="S36" s="16">
        <f>O36*Q36</f>
        <v/>
      </c>
      <c r="T36" s="16">
        <f>R36+S36</f>
        <v/>
      </c>
      <c r="U36" s="16">
        <f>ROUND(T36*0.0005, 2)</f>
        <v/>
      </c>
      <c r="V36" s="16">
        <f>S36-R36</f>
        <v/>
      </c>
      <c r="W36" s="16">
        <f>V36-U36</f>
        <v/>
      </c>
      <c r="X36" s="16">
        <f>K36+W36</f>
        <v/>
      </c>
      <c r="Y36" s="16">
        <f>ROUND(0.20*R36, 2)</f>
        <v/>
      </c>
      <c r="Z36" s="18">
        <f>ROUND((W36/Y36)*100, 2)</f>
        <v/>
      </c>
      <c r="AA36" s="16">
        <f>MAX(AA35, X36)</f>
        <v/>
      </c>
      <c r="AB36" s="16">
        <f>X36-AA36</f>
        <v/>
      </c>
    </row>
    <row r="37">
      <c r="A37" s="13" t="n">
        <v>34</v>
      </c>
      <c r="B37" s="14" t="inlineStr">
        <is>
          <t>BIOCON</t>
        </is>
      </c>
      <c r="C37" s="13" t="inlineStr">
        <is>
          <t>Q4 2022-23</t>
        </is>
      </c>
      <c r="D37" s="19" t="inlineStr">
        <is>
          <t>FUTURE SHORT</t>
        </is>
      </c>
      <c r="E37" s="20" t="inlineStr">
        <is>
          <t>AVOID BUT MONITOR IT</t>
        </is>
      </c>
      <c r="F37" s="13" t="inlineStr">
        <is>
          <t>5 Quarters</t>
        </is>
      </c>
      <c r="G37" s="13" t="inlineStr">
        <is>
          <t>T-7 to T+1</t>
        </is>
      </c>
      <c r="H37" s="13" t="inlineStr">
        <is>
          <t>2.92%</t>
        </is>
      </c>
      <c r="I37" s="13" t="inlineStr">
        <is>
          <t>1.27%</t>
        </is>
      </c>
      <c r="J37" s="13" t="inlineStr">
        <is>
          <t>-1.65%</t>
        </is>
      </c>
      <c r="K37" s="16">
        <f>X36</f>
        <v/>
      </c>
      <c r="L37" s="13" t="inlineStr">
        <is>
          <t>2023-01-11</t>
        </is>
      </c>
      <c r="M37" s="13" t="inlineStr">
        <is>
          <t>2023-01-23</t>
        </is>
      </c>
      <c r="N37" s="13" t="inlineStr">
        <is>
          <t>2023-01-20</t>
        </is>
      </c>
      <c r="O37" s="9" t="n">
        <v>2351</v>
      </c>
      <c r="P37" s="17" t="n">
        <v>245.9493865966797</v>
      </c>
      <c r="Q37" s="17" t="n">
        <v>249.1184387207031</v>
      </c>
      <c r="R37" s="16">
        <f>O37*P37</f>
        <v/>
      </c>
      <c r="S37" s="16">
        <f>O37*Q37</f>
        <v/>
      </c>
      <c r="T37" s="16">
        <f>R37+S37</f>
        <v/>
      </c>
      <c r="U37" s="16">
        <f>ROUND(T37*0.0005, 2)</f>
        <v/>
      </c>
      <c r="V37" s="16">
        <f>S37-R37</f>
        <v/>
      </c>
      <c r="W37" s="16">
        <f>V37-U37</f>
        <v/>
      </c>
      <c r="X37" s="16">
        <f>K37+W37</f>
        <v/>
      </c>
      <c r="Y37" s="16">
        <f>ROUND(0.20*R37, 2)</f>
        <v/>
      </c>
      <c r="Z37" s="18">
        <f>ROUND((W37/Y37)*100, 2)</f>
        <v/>
      </c>
      <c r="AA37" s="16">
        <f>MAX(AA36, X37)</f>
        <v/>
      </c>
      <c r="AB37" s="16">
        <f>X37-AA37</f>
        <v/>
      </c>
    </row>
    <row r="38">
      <c r="A38" s="13" t="n">
        <v>35</v>
      </c>
      <c r="B38" s="14" t="inlineStr">
        <is>
          <t>BLUESTARCO</t>
        </is>
      </c>
      <c r="C38" s="13" t="inlineStr">
        <is>
          <t>Q4 2022-23</t>
        </is>
      </c>
      <c r="D38" s="19" t="inlineStr">
        <is>
          <t>FUTURE SHORT</t>
        </is>
      </c>
      <c r="E38" s="20" t="inlineStr">
        <is>
          <t>AVOID BUT MONITOR IT</t>
        </is>
      </c>
      <c r="F38" s="13" t="inlineStr">
        <is>
          <t>5 Quarters</t>
        </is>
      </c>
      <c r="G38" s="13" t="inlineStr">
        <is>
          <t>T-8 to T+1</t>
        </is>
      </c>
      <c r="H38" s="13" t="inlineStr">
        <is>
          <t>0.53%</t>
        </is>
      </c>
      <c r="I38" s="13" t="inlineStr">
        <is>
          <t>-1.84%</t>
        </is>
      </c>
      <c r="J38" s="13" t="inlineStr">
        <is>
          <t>-2.37%</t>
        </is>
      </c>
      <c r="K38" s="16">
        <f>X37</f>
        <v/>
      </c>
      <c r="L38" s="13" t="inlineStr">
        <is>
          <t>2023-01-10</t>
        </is>
      </c>
      <c r="M38" s="13" t="inlineStr">
        <is>
          <t>2023-01-23</t>
        </is>
      </c>
      <c r="N38" s="13" t="inlineStr">
        <is>
          <t>2023-01-20</t>
        </is>
      </c>
      <c r="O38" s="9" t="n">
        <v>591</v>
      </c>
      <c r="P38" s="17" t="n">
        <v>606.6576538085938</v>
      </c>
      <c r="Q38" s="17" t="n">
        <v>595.7196044921875</v>
      </c>
      <c r="R38" s="16">
        <f>O38*P38</f>
        <v/>
      </c>
      <c r="S38" s="16">
        <f>O38*Q38</f>
        <v/>
      </c>
      <c r="T38" s="16">
        <f>R38+S38</f>
        <v/>
      </c>
      <c r="U38" s="16">
        <f>ROUND(T38*0.0005, 2)</f>
        <v/>
      </c>
      <c r="V38" s="16">
        <f>S38-R38</f>
        <v/>
      </c>
      <c r="W38" s="16">
        <f>V38-U38</f>
        <v/>
      </c>
      <c r="X38" s="16">
        <f>K38+W38</f>
        <v/>
      </c>
      <c r="Y38" s="16">
        <f>ROUND(0.20*R38, 2)</f>
        <v/>
      </c>
      <c r="Z38" s="18">
        <f>ROUND((W38/Y38)*100, 2)</f>
        <v/>
      </c>
      <c r="AA38" s="16">
        <f>MAX(AA37, X38)</f>
        <v/>
      </c>
      <c r="AB38" s="16">
        <f>X38-AA38</f>
        <v/>
      </c>
    </row>
    <row r="39">
      <c r="A39" s="13" t="n">
        <v>36</v>
      </c>
      <c r="B39" s="14" t="inlineStr">
        <is>
          <t>BOSCHLTD</t>
        </is>
      </c>
      <c r="C39" s="13" t="inlineStr">
        <is>
          <t>Q4 2022-23</t>
        </is>
      </c>
      <c r="D39" s="19" t="inlineStr">
        <is>
          <t>FUTURE SHORT</t>
        </is>
      </c>
      <c r="E39" s="20" t="inlineStr">
        <is>
          <t>AVOID BUT MONITOR IT</t>
        </is>
      </c>
      <c r="F39" s="13" t="inlineStr">
        <is>
          <t>5 Quarters</t>
        </is>
      </c>
      <c r="G39" s="13" t="inlineStr">
        <is>
          <t>T-8 to T+4</t>
        </is>
      </c>
      <c r="H39" s="13" t="inlineStr">
        <is>
          <t>-0.39%</t>
        </is>
      </c>
      <c r="I39" s="13" t="inlineStr">
        <is>
          <t>4.08%</t>
        </is>
      </c>
      <c r="J39" s="13" t="inlineStr">
        <is>
          <t>4.47%</t>
        </is>
      </c>
      <c r="K39" s="16">
        <f>X38</f>
        <v/>
      </c>
      <c r="L39" s="13" t="inlineStr">
        <is>
          <t>2023-01-10</t>
        </is>
      </c>
      <c r="M39" s="13" t="inlineStr">
        <is>
          <t>2023-01-27</t>
        </is>
      </c>
      <c r="N39" s="13" t="inlineStr">
        <is>
          <t>2023-01-20</t>
        </is>
      </c>
      <c r="O39" s="9" t="n">
        <v>100</v>
      </c>
      <c r="P39" s="17" t="n">
        <v>15862.9248046875</v>
      </c>
      <c r="Q39" s="17" t="n">
        <v>16537.11328125</v>
      </c>
      <c r="R39" s="16">
        <f>O39*P39</f>
        <v/>
      </c>
      <c r="S39" s="16">
        <f>O39*Q39</f>
        <v/>
      </c>
      <c r="T39" s="16">
        <f>R39+S39</f>
        <v/>
      </c>
      <c r="U39" s="16">
        <f>ROUND(T39*0.0005, 2)</f>
        <v/>
      </c>
      <c r="V39" s="16">
        <f>S39-R39</f>
        <v/>
      </c>
      <c r="W39" s="16">
        <f>V39-U39</f>
        <v/>
      </c>
      <c r="X39" s="16">
        <f>K39+W39</f>
        <v/>
      </c>
      <c r="Y39" s="16">
        <f>ROUND(0.20*R39, 2)</f>
        <v/>
      </c>
      <c r="Z39" s="18">
        <f>ROUND((W39/Y39)*100, 2)</f>
        <v/>
      </c>
      <c r="AA39" s="16">
        <f>MAX(AA38, X39)</f>
        <v/>
      </c>
      <c r="AB39" s="16">
        <f>X39-AA39</f>
        <v/>
      </c>
    </row>
    <row r="40">
      <c r="A40" s="13" t="n">
        <v>37</v>
      </c>
      <c r="B40" s="14" t="inlineStr">
        <is>
          <t>BPCL</t>
        </is>
      </c>
      <c r="C40" s="13" t="inlineStr">
        <is>
          <t>Q4 2022-23</t>
        </is>
      </c>
      <c r="D40" s="19" t="inlineStr">
        <is>
          <t>FUTURE SHORT</t>
        </is>
      </c>
      <c r="E40" s="15" t="inlineStr">
        <is>
          <t>QUALIFIED</t>
        </is>
      </c>
      <c r="F40" s="13" t="inlineStr">
        <is>
          <t>135 Quarters</t>
        </is>
      </c>
      <c r="G40" s="13" t="inlineStr">
        <is>
          <t>T-5 to T+4</t>
        </is>
      </c>
      <c r="H40" s="13" t="inlineStr">
        <is>
          <t>-1.13%</t>
        </is>
      </c>
      <c r="I40" s="13" t="inlineStr">
        <is>
          <t>4.86%</t>
        </is>
      </c>
      <c r="J40" s="13" t="inlineStr">
        <is>
          <t>5.99%</t>
        </is>
      </c>
      <c r="K40" s="16">
        <f>X39</f>
        <v/>
      </c>
      <c r="L40" s="13" t="inlineStr">
        <is>
          <t>2023-07-20</t>
        </is>
      </c>
      <c r="M40" s="13" t="inlineStr">
        <is>
          <t>2023-08-02</t>
        </is>
      </c>
      <c r="N40" s="13" t="inlineStr">
        <is>
          <t>2023-07-26</t>
        </is>
      </c>
      <c r="O40" s="9" t="n">
        <v>1800</v>
      </c>
      <c r="P40" s="17" t="n">
        <v>155.4328460693359</v>
      </c>
      <c r="Q40" s="17" t="n">
        <v>163.370849609375</v>
      </c>
      <c r="R40" s="16">
        <f>O40*P40</f>
        <v/>
      </c>
      <c r="S40" s="16">
        <f>O40*Q40</f>
        <v/>
      </c>
      <c r="T40" s="16">
        <f>R40+S40</f>
        <v/>
      </c>
      <c r="U40" s="16">
        <f>ROUND(T40*0.0005, 2)</f>
        <v/>
      </c>
      <c r="V40" s="16">
        <f>S40-R40</f>
        <v/>
      </c>
      <c r="W40" s="16">
        <f>V40-U40</f>
        <v/>
      </c>
      <c r="X40" s="16">
        <f>K40+W40</f>
        <v/>
      </c>
      <c r="Y40" s="16">
        <f>ROUND(0.20*R40, 2)</f>
        <v/>
      </c>
      <c r="Z40" s="18">
        <f>ROUND((W40/Y40)*100, 2)</f>
        <v/>
      </c>
      <c r="AA40" s="16">
        <f>MAX(AA39, X40)</f>
        <v/>
      </c>
      <c r="AB40" s="16">
        <f>X40-AA40</f>
        <v/>
      </c>
    </row>
    <row r="41">
      <c r="A41" s="13" t="n">
        <v>38</v>
      </c>
      <c r="B41" s="14" t="inlineStr">
        <is>
          <t>BRITANNIA</t>
        </is>
      </c>
      <c r="C41" s="13" t="inlineStr">
        <is>
          <t>Q4 2022-23</t>
        </is>
      </c>
      <c r="D41" s="15" t="inlineStr">
        <is>
          <t>FUTURE LONG</t>
        </is>
      </c>
      <c r="E41" s="15" t="inlineStr">
        <is>
          <t>QUALIFIED</t>
        </is>
      </c>
      <c r="F41" s="13" t="inlineStr">
        <is>
          <t>155 Quarters</t>
        </is>
      </c>
      <c r="G41" s="13" t="inlineStr">
        <is>
          <t>T-1 to T+1</t>
        </is>
      </c>
      <c r="H41" s="13" t="inlineStr">
        <is>
          <t>0.6%</t>
        </is>
      </c>
      <c r="I41" s="13" t="inlineStr">
        <is>
          <t>-4.03%</t>
        </is>
      </c>
      <c r="J41" s="13" t="inlineStr">
        <is>
          <t>-4.63%</t>
        </is>
      </c>
      <c r="K41" s="16">
        <f>X40</f>
        <v/>
      </c>
      <c r="L41" s="13" t="inlineStr">
        <is>
          <t>2023-08-04</t>
        </is>
      </c>
      <c r="M41" s="13" t="inlineStr">
        <is>
          <t>2023-08-08</t>
        </is>
      </c>
      <c r="N41" s="13" t="inlineStr">
        <is>
          <t>2023-08-05</t>
        </is>
      </c>
      <c r="O41" s="9" t="n">
        <v>200</v>
      </c>
      <c r="P41" s="17" t="n">
        <v>4675.57080078125</v>
      </c>
      <c r="Q41" s="17" t="n">
        <v>4487.369140625</v>
      </c>
      <c r="R41" s="16">
        <f>O41*P41</f>
        <v/>
      </c>
      <c r="S41" s="16">
        <f>O41*Q41</f>
        <v/>
      </c>
      <c r="T41" s="16">
        <f>R41+S41</f>
        <v/>
      </c>
      <c r="U41" s="16">
        <f>ROUND(T41*0.0005, 2)</f>
        <v/>
      </c>
      <c r="V41" s="16">
        <f>S41-R41</f>
        <v/>
      </c>
      <c r="W41" s="16">
        <f>V41-U41</f>
        <v/>
      </c>
      <c r="X41" s="16">
        <f>K41+W41</f>
        <v/>
      </c>
      <c r="Y41" s="16">
        <f>ROUND(0.20*R41, 2)</f>
        <v/>
      </c>
      <c r="Z41" s="18">
        <f>ROUND((W41/Y41)*100, 2)</f>
        <v/>
      </c>
      <c r="AA41" s="16">
        <f>MAX(AA40, X41)</f>
        <v/>
      </c>
      <c r="AB41" s="16">
        <f>X41-AA41</f>
        <v/>
      </c>
    </row>
    <row r="42">
      <c r="A42" s="13" t="n">
        <v>39</v>
      </c>
      <c r="B42" s="14" t="inlineStr">
        <is>
          <t>BSE</t>
        </is>
      </c>
      <c r="C42" s="13" t="inlineStr">
        <is>
          <t>Q4 2022-23</t>
        </is>
      </c>
      <c r="D42" s="15" t="inlineStr">
        <is>
          <t>FUTURE LONG</t>
        </is>
      </c>
      <c r="E42" s="20" t="inlineStr">
        <is>
          <t>AVOID BUT MONITOR IT</t>
        </is>
      </c>
      <c r="F42" s="13" t="inlineStr">
        <is>
          <t>5 Quarters</t>
        </is>
      </c>
      <c r="G42" s="13" t="inlineStr">
        <is>
          <t>T-7 to T+1</t>
        </is>
      </c>
      <c r="H42" s="13" t="inlineStr">
        <is>
          <t>3.06%</t>
        </is>
      </c>
      <c r="I42" s="13" t="inlineStr">
        <is>
          <t>-1.21%</t>
        </is>
      </c>
      <c r="J42" s="13" t="inlineStr">
        <is>
          <t>-4.27%</t>
        </is>
      </c>
      <c r="K42" s="16">
        <f>X41</f>
        <v/>
      </c>
      <c r="L42" s="13" t="inlineStr">
        <is>
          <t>2023-01-11</t>
        </is>
      </c>
      <c r="M42" s="13" t="inlineStr">
        <is>
          <t>2023-01-23</t>
        </is>
      </c>
      <c r="N42" s="13" t="inlineStr">
        <is>
          <t>2023-01-20</t>
        </is>
      </c>
      <c r="O42" s="9" t="n">
        <v>283</v>
      </c>
      <c r="P42" s="17" t="n">
        <v>174.1986083984375</v>
      </c>
      <c r="Q42" s="17" t="n">
        <v>172.0869140625</v>
      </c>
      <c r="R42" s="16">
        <f>O42*P42</f>
        <v/>
      </c>
      <c r="S42" s="16">
        <f>O42*Q42</f>
        <v/>
      </c>
      <c r="T42" s="16">
        <f>R42+S42</f>
        <v/>
      </c>
      <c r="U42" s="16">
        <f>ROUND(T42*0.0005, 2)</f>
        <v/>
      </c>
      <c r="V42" s="16">
        <f>S42-R42</f>
        <v/>
      </c>
      <c r="W42" s="16">
        <f>V42-U42</f>
        <v/>
      </c>
      <c r="X42" s="16">
        <f>K42+W42</f>
        <v/>
      </c>
      <c r="Y42" s="16">
        <f>ROUND(0.20*R42, 2)</f>
        <v/>
      </c>
      <c r="Z42" s="18">
        <f>ROUND((W42/Y42)*100, 2)</f>
        <v/>
      </c>
      <c r="AA42" s="16">
        <f>MAX(AA41, X42)</f>
        <v/>
      </c>
      <c r="AB42" s="16">
        <f>X42-AA42</f>
        <v/>
      </c>
    </row>
    <row r="43">
      <c r="A43" s="13" t="n">
        <v>40</v>
      </c>
      <c r="B43" s="14" t="inlineStr">
        <is>
          <t>CAMS</t>
        </is>
      </c>
      <c r="C43" s="13" t="inlineStr">
        <is>
          <t>Q4 2022-23</t>
        </is>
      </c>
      <c r="D43" s="19" t="inlineStr">
        <is>
          <t>FUTURE SHORT</t>
        </is>
      </c>
      <c r="E43" s="20" t="inlineStr">
        <is>
          <t>AVOID BUT MONITOR IT</t>
        </is>
      </c>
      <c r="F43" s="13" t="inlineStr">
        <is>
          <t>5 Quarters</t>
        </is>
      </c>
      <c r="G43" s="13" t="inlineStr">
        <is>
          <t>T-2 to T+1</t>
        </is>
      </c>
      <c r="H43" s="13" t="inlineStr">
        <is>
          <t>4.11%</t>
        </is>
      </c>
      <c r="I43" s="13" t="inlineStr">
        <is>
          <t>-1.0%</t>
        </is>
      </c>
      <c r="J43" s="13" t="inlineStr">
        <is>
          <t>-5.11%</t>
        </is>
      </c>
      <c r="K43" s="16">
        <f>X42</f>
        <v/>
      </c>
      <c r="L43" s="13" t="inlineStr">
        <is>
          <t>2023-01-18</t>
        </is>
      </c>
      <c r="M43" s="13" t="inlineStr">
        <is>
          <t>2023-01-23</t>
        </is>
      </c>
      <c r="N43" s="13" t="inlineStr">
        <is>
          <t>2023-01-20</t>
        </is>
      </c>
      <c r="O43" s="9" t="n">
        <v>1260</v>
      </c>
      <c r="P43" s="17" t="n">
        <v>437.1661682128906</v>
      </c>
      <c r="Q43" s="17" t="n">
        <v>432.8487243652344</v>
      </c>
      <c r="R43" s="16">
        <f>O43*P43</f>
        <v/>
      </c>
      <c r="S43" s="16">
        <f>O43*Q43</f>
        <v/>
      </c>
      <c r="T43" s="16">
        <f>R43+S43</f>
        <v/>
      </c>
      <c r="U43" s="16">
        <f>ROUND(T43*0.0005, 2)</f>
        <v/>
      </c>
      <c r="V43" s="16">
        <f>S43-R43</f>
        <v/>
      </c>
      <c r="W43" s="16">
        <f>V43-U43</f>
        <v/>
      </c>
      <c r="X43" s="16">
        <f>K43+W43</f>
        <v/>
      </c>
      <c r="Y43" s="16">
        <f>ROUND(0.20*R43, 2)</f>
        <v/>
      </c>
      <c r="Z43" s="18">
        <f>ROUND((W43/Y43)*100, 2)</f>
        <v/>
      </c>
      <c r="AA43" s="16">
        <f>MAX(AA42, X43)</f>
        <v/>
      </c>
      <c r="AB43" s="16">
        <f>X43-AA43</f>
        <v/>
      </c>
    </row>
    <row r="44">
      <c r="A44" s="13" t="n">
        <v>41</v>
      </c>
      <c r="B44" s="14" t="inlineStr">
        <is>
          <t>CANBK</t>
        </is>
      </c>
      <c r="C44" s="13" t="inlineStr">
        <is>
          <t>Q4 2022-23</t>
        </is>
      </c>
      <c r="D44" s="19" t="inlineStr">
        <is>
          <t>FUTURE SHORT</t>
        </is>
      </c>
      <c r="E44" s="20" t="inlineStr">
        <is>
          <t>AVOID BUT MONITOR IT</t>
        </is>
      </c>
      <c r="F44" s="13" t="inlineStr">
        <is>
          <t>5 Quarters</t>
        </is>
      </c>
      <c r="G44" s="13" t="inlineStr">
        <is>
          <t>T-7 to T+4</t>
        </is>
      </c>
      <c r="H44" s="13" t="inlineStr">
        <is>
          <t>2.59%</t>
        </is>
      </c>
      <c r="I44" s="13" t="inlineStr">
        <is>
          <t>8.49%</t>
        </is>
      </c>
      <c r="J44" s="13" t="inlineStr">
        <is>
          <t>5.9%</t>
        </is>
      </c>
      <c r="K44" s="16">
        <f>X43</f>
        <v/>
      </c>
      <c r="L44" s="13" t="inlineStr">
        <is>
          <t>2023-01-11</t>
        </is>
      </c>
      <c r="M44" s="13" t="inlineStr">
        <is>
          <t>2023-01-27</t>
        </is>
      </c>
      <c r="N44" s="13" t="inlineStr">
        <is>
          <t>2023-01-20</t>
        </is>
      </c>
      <c r="O44" s="9" t="n">
        <v>8046</v>
      </c>
      <c r="P44" s="17" t="n">
        <v>50.93800354003906</v>
      </c>
      <c r="Q44" s="17" t="n">
        <v>55.66420745849609</v>
      </c>
      <c r="R44" s="16">
        <f>O44*P44</f>
        <v/>
      </c>
      <c r="S44" s="16">
        <f>O44*Q44</f>
        <v/>
      </c>
      <c r="T44" s="16">
        <f>R44+S44</f>
        <v/>
      </c>
      <c r="U44" s="16">
        <f>ROUND(T44*0.0005, 2)</f>
        <v/>
      </c>
      <c r="V44" s="16">
        <f>S44-R44</f>
        <v/>
      </c>
      <c r="W44" s="16">
        <f>V44-U44</f>
        <v/>
      </c>
      <c r="X44" s="16">
        <f>K44+W44</f>
        <v/>
      </c>
      <c r="Y44" s="16">
        <f>ROUND(0.20*R44, 2)</f>
        <v/>
      </c>
      <c r="Z44" s="18">
        <f>ROUND((W44/Y44)*100, 2)</f>
        <v/>
      </c>
      <c r="AA44" s="16">
        <f>MAX(AA43, X44)</f>
        <v/>
      </c>
      <c r="AB44" s="16">
        <f>X44-AA44</f>
        <v/>
      </c>
    </row>
    <row r="45">
      <c r="A45" s="13" t="n">
        <v>42</v>
      </c>
      <c r="B45" s="14" t="inlineStr">
        <is>
          <t>CDSL</t>
        </is>
      </c>
      <c r="C45" s="13" t="inlineStr">
        <is>
          <t>Q4 2022-23</t>
        </is>
      </c>
      <c r="D45" s="19" t="inlineStr">
        <is>
          <t>FUTURE SHORT</t>
        </is>
      </c>
      <c r="E45" s="20" t="inlineStr">
        <is>
          <t>AVOID BUT MONITOR IT</t>
        </is>
      </c>
      <c r="F45" s="13" t="inlineStr">
        <is>
          <t>5 Quarters</t>
        </is>
      </c>
      <c r="G45" s="13" t="inlineStr">
        <is>
          <t>T-8 to T+1</t>
        </is>
      </c>
      <c r="H45" s="13" t="inlineStr">
        <is>
          <t>2.9%</t>
        </is>
      </c>
      <c r="I45" s="13" t="inlineStr">
        <is>
          <t>4.03%</t>
        </is>
      </c>
      <c r="J45" s="13" t="inlineStr">
        <is>
          <t>1.13%</t>
        </is>
      </c>
      <c r="K45" s="16">
        <f>X44</f>
        <v/>
      </c>
      <c r="L45" s="13" t="inlineStr">
        <is>
          <t>2023-01-10</t>
        </is>
      </c>
      <c r="M45" s="13" t="inlineStr">
        <is>
          <t>2023-01-23</t>
        </is>
      </c>
      <c r="N45" s="13" t="inlineStr">
        <is>
          <t>2023-01-20</t>
        </is>
      </c>
      <c r="O45" s="9" t="n">
        <v>748</v>
      </c>
      <c r="P45" s="17" t="n">
        <v>508.0820617675781</v>
      </c>
      <c r="Q45" s="17" t="n">
        <v>529.4053344726562</v>
      </c>
      <c r="R45" s="16">
        <f>O45*P45</f>
        <v/>
      </c>
      <c r="S45" s="16">
        <f>O45*Q45</f>
        <v/>
      </c>
      <c r="T45" s="16">
        <f>R45+S45</f>
        <v/>
      </c>
      <c r="U45" s="16">
        <f>ROUND(T45*0.0005, 2)</f>
        <v/>
      </c>
      <c r="V45" s="16">
        <f>S45-R45</f>
        <v/>
      </c>
      <c r="W45" s="16">
        <f>V45-U45</f>
        <v/>
      </c>
      <c r="X45" s="16">
        <f>K45+W45</f>
        <v/>
      </c>
      <c r="Y45" s="16">
        <f>ROUND(0.20*R45, 2)</f>
        <v/>
      </c>
      <c r="Z45" s="18">
        <f>ROUND((W45/Y45)*100, 2)</f>
        <v/>
      </c>
      <c r="AA45" s="16">
        <f>MAX(AA44, X45)</f>
        <v/>
      </c>
      <c r="AB45" s="16">
        <f>X45-AA45</f>
        <v/>
      </c>
    </row>
    <row r="46">
      <c r="A46" s="13" t="n">
        <v>43</v>
      </c>
      <c r="B46" s="14" t="inlineStr">
        <is>
          <t>CGPOWER</t>
        </is>
      </c>
      <c r="C46" s="13" t="inlineStr">
        <is>
          <t>Q4 2022-23</t>
        </is>
      </c>
      <c r="D46" s="15" t="inlineStr">
        <is>
          <t>FUTURE LONG</t>
        </is>
      </c>
      <c r="E46" s="20" t="inlineStr">
        <is>
          <t>AVOID BUT MONITOR IT</t>
        </is>
      </c>
      <c r="F46" s="13" t="inlineStr">
        <is>
          <t>5 Quarters</t>
        </is>
      </c>
      <c r="G46" s="13" t="inlineStr">
        <is>
          <t>T-4 to T+4</t>
        </is>
      </c>
      <c r="H46" s="13" t="inlineStr">
        <is>
          <t>-0.87%</t>
        </is>
      </c>
      <c r="I46" s="13" t="inlineStr">
        <is>
          <t>-1.19%</t>
        </is>
      </c>
      <c r="J46" s="13" t="inlineStr">
        <is>
          <t>-0.32%</t>
        </is>
      </c>
      <c r="K46" s="16">
        <f>X45</f>
        <v/>
      </c>
      <c r="L46" s="13" t="inlineStr">
        <is>
          <t>2023-01-16</t>
        </is>
      </c>
      <c r="M46" s="13" t="inlineStr">
        <is>
          <t>2023-01-27</t>
        </is>
      </c>
      <c r="N46" s="13" t="inlineStr">
        <is>
          <t>2023-01-20</t>
        </is>
      </c>
      <c r="O46" s="9" t="n">
        <v>1201</v>
      </c>
      <c r="P46" s="17" t="n">
        <v>298.3286437988281</v>
      </c>
      <c r="Q46" s="17" t="n">
        <v>294.7723999023437</v>
      </c>
      <c r="R46" s="16">
        <f>O46*P46</f>
        <v/>
      </c>
      <c r="S46" s="16">
        <f>O46*Q46</f>
        <v/>
      </c>
      <c r="T46" s="16">
        <f>R46+S46</f>
        <v/>
      </c>
      <c r="U46" s="16">
        <f>ROUND(T46*0.0005, 2)</f>
        <v/>
      </c>
      <c r="V46" s="16">
        <f>S46-R46</f>
        <v/>
      </c>
      <c r="W46" s="16">
        <f>V46-U46</f>
        <v/>
      </c>
      <c r="X46" s="16">
        <f>K46+W46</f>
        <v/>
      </c>
      <c r="Y46" s="16">
        <f>ROUND(0.20*R46, 2)</f>
        <v/>
      </c>
      <c r="Z46" s="18">
        <f>ROUND((W46/Y46)*100, 2)</f>
        <v/>
      </c>
      <c r="AA46" s="16">
        <f>MAX(AA45, X46)</f>
        <v/>
      </c>
      <c r="AB46" s="16">
        <f>X46-AA46</f>
        <v/>
      </c>
    </row>
    <row r="47">
      <c r="A47" s="13" t="n">
        <v>44</v>
      </c>
      <c r="B47" s="14" t="inlineStr">
        <is>
          <t>CHOLAFIN</t>
        </is>
      </c>
      <c r="C47" s="13" t="inlineStr">
        <is>
          <t>Q4 2022-23</t>
        </is>
      </c>
      <c r="D47" s="19" t="inlineStr">
        <is>
          <t>FUTURE SHORT</t>
        </is>
      </c>
      <c r="E47" s="20" t="inlineStr">
        <is>
          <t>AVOID BUT MONITOR IT</t>
        </is>
      </c>
      <c r="F47" s="13" t="inlineStr">
        <is>
          <t>5 Quarters</t>
        </is>
      </c>
      <c r="G47" s="13" t="inlineStr">
        <is>
          <t>T-1 to T+1</t>
        </is>
      </c>
      <c r="H47" s="13" t="inlineStr">
        <is>
          <t>-1.06%</t>
        </is>
      </c>
      <c r="I47" s="13" t="inlineStr">
        <is>
          <t>-1.65%</t>
        </is>
      </c>
      <c r="J47" s="13" t="inlineStr">
        <is>
          <t>-0.59%</t>
        </is>
      </c>
      <c r="K47" s="16">
        <f>X46</f>
        <v/>
      </c>
      <c r="L47" s="13" t="inlineStr">
        <is>
          <t>2023-01-19</t>
        </is>
      </c>
      <c r="M47" s="13" t="inlineStr">
        <is>
          <t>2023-01-23</t>
        </is>
      </c>
      <c r="N47" s="13" t="inlineStr">
        <is>
          <t>2023-01-20</t>
        </is>
      </c>
      <c r="O47" s="9" t="n">
        <v>563</v>
      </c>
      <c r="P47" s="17" t="n">
        <v>708.2637329101562</v>
      </c>
      <c r="Q47" s="17" t="n">
        <v>696.7872314453125</v>
      </c>
      <c r="R47" s="16">
        <f>O47*P47</f>
        <v/>
      </c>
      <c r="S47" s="16">
        <f>O47*Q47</f>
        <v/>
      </c>
      <c r="T47" s="16">
        <f>R47+S47</f>
        <v/>
      </c>
      <c r="U47" s="16">
        <f>ROUND(T47*0.0005, 2)</f>
        <v/>
      </c>
      <c r="V47" s="16">
        <f>S47-R47</f>
        <v/>
      </c>
      <c r="W47" s="16">
        <f>V47-U47</f>
        <v/>
      </c>
      <c r="X47" s="16">
        <f>K47+W47</f>
        <v/>
      </c>
      <c r="Y47" s="16">
        <f>ROUND(0.20*R47, 2)</f>
        <v/>
      </c>
      <c r="Z47" s="18">
        <f>ROUND((W47/Y47)*100, 2)</f>
        <v/>
      </c>
      <c r="AA47" s="16">
        <f>MAX(AA46, X47)</f>
        <v/>
      </c>
      <c r="AB47" s="16">
        <f>X47-AA47</f>
        <v/>
      </c>
    </row>
    <row r="48">
      <c r="A48" s="13" t="n">
        <v>45</v>
      </c>
      <c r="B48" s="14" t="inlineStr">
        <is>
          <t>CIPLA</t>
        </is>
      </c>
      <c r="C48" s="13" t="inlineStr">
        <is>
          <t>Q4 2022-23</t>
        </is>
      </c>
      <c r="D48" s="19" t="inlineStr">
        <is>
          <t>FUTURE SHORT</t>
        </is>
      </c>
      <c r="E48" s="15" t="inlineStr">
        <is>
          <t>QUALIFIED</t>
        </is>
      </c>
      <c r="F48" s="13" t="inlineStr">
        <is>
          <t>165 Quarters</t>
        </is>
      </c>
      <c r="G48" s="13" t="inlineStr">
        <is>
          <t>T-3 to T+4</t>
        </is>
      </c>
      <c r="H48" s="13" t="inlineStr">
        <is>
          <t>0.06%</t>
        </is>
      </c>
      <c r="I48" s="13" t="inlineStr">
        <is>
          <t>-11.38%</t>
        </is>
      </c>
      <c r="J48" s="13" t="inlineStr">
        <is>
          <t>-11.44%</t>
        </is>
      </c>
      <c r="K48" s="16">
        <f>X47</f>
        <v/>
      </c>
      <c r="L48" s="13" t="inlineStr">
        <is>
          <t>2023-07-24</t>
        </is>
      </c>
      <c r="M48" s="13" t="inlineStr">
        <is>
          <t>2023-08-02</t>
        </is>
      </c>
      <c r="N48" s="13" t="inlineStr">
        <is>
          <t>2023-07-26</t>
        </is>
      </c>
      <c r="O48" s="9" t="n">
        <v>650</v>
      </c>
      <c r="P48" s="17" t="n">
        <v>1135.579467773438</v>
      </c>
      <c r="Q48" s="17" t="n">
        <v>1019.571960449219</v>
      </c>
      <c r="R48" s="16">
        <f>O48*P48</f>
        <v/>
      </c>
      <c r="S48" s="16">
        <f>O48*Q48</f>
        <v/>
      </c>
      <c r="T48" s="16">
        <f>R48+S48</f>
        <v/>
      </c>
      <c r="U48" s="16">
        <f>ROUND(T48*0.0005, 2)</f>
        <v/>
      </c>
      <c r="V48" s="16">
        <f>S48-R48</f>
        <v/>
      </c>
      <c r="W48" s="16">
        <f>V48-U48</f>
        <v/>
      </c>
      <c r="X48" s="16">
        <f>K48+W48</f>
        <v/>
      </c>
      <c r="Y48" s="16">
        <f>ROUND(0.20*R48, 2)</f>
        <v/>
      </c>
      <c r="Z48" s="18">
        <f>ROUND((W48/Y48)*100, 2)</f>
        <v/>
      </c>
      <c r="AA48" s="16">
        <f>MAX(AA47, X48)</f>
        <v/>
      </c>
      <c r="AB48" s="16">
        <f>X48-AA48</f>
        <v/>
      </c>
    </row>
    <row r="49">
      <c r="A49" s="13" t="n">
        <v>46</v>
      </c>
      <c r="B49" s="14" t="inlineStr">
        <is>
          <t>COALINDIA</t>
        </is>
      </c>
      <c r="C49" s="13" t="inlineStr">
        <is>
          <t>Q4 2022-23</t>
        </is>
      </c>
      <c r="D49" s="15" t="inlineStr">
        <is>
          <t>FUTURE LONG</t>
        </is>
      </c>
      <c r="E49" s="15" t="inlineStr">
        <is>
          <t>QUALIFIED</t>
        </is>
      </c>
      <c r="F49" s="13" t="inlineStr">
        <is>
          <t>150 Quarters</t>
        </is>
      </c>
      <c r="G49" s="13" t="inlineStr">
        <is>
          <t>T-8 to T+1</t>
        </is>
      </c>
      <c r="H49" s="13" t="inlineStr">
        <is>
          <t>0.96%</t>
        </is>
      </c>
      <c r="I49" s="13" t="inlineStr">
        <is>
          <t>3.43%</t>
        </is>
      </c>
      <c r="J49" s="13" t="inlineStr">
        <is>
          <t>2.47%</t>
        </is>
      </c>
      <c r="K49" s="16">
        <f>X48</f>
        <v/>
      </c>
      <c r="L49" s="13" t="inlineStr">
        <is>
          <t>2023-07-28</t>
        </is>
      </c>
      <c r="M49" s="13" t="inlineStr">
        <is>
          <t>2023-08-10</t>
        </is>
      </c>
      <c r="N49" s="13" t="inlineStr">
        <is>
          <t>2023-08-08</t>
        </is>
      </c>
      <c r="O49" s="9" t="n">
        <v>2100</v>
      </c>
      <c r="P49" s="17" t="n">
        <v>185.4894409179688</v>
      </c>
      <c r="Q49" s="17" t="n">
        <v>191.8602752685547</v>
      </c>
      <c r="R49" s="16">
        <f>O49*P49</f>
        <v/>
      </c>
      <c r="S49" s="16">
        <f>O49*Q49</f>
        <v/>
      </c>
      <c r="T49" s="16">
        <f>R49+S49</f>
        <v/>
      </c>
      <c r="U49" s="16">
        <f>ROUND(T49*0.0005, 2)</f>
        <v/>
      </c>
      <c r="V49" s="16">
        <f>S49-R49</f>
        <v/>
      </c>
      <c r="W49" s="16">
        <f>V49-U49</f>
        <v/>
      </c>
      <c r="X49" s="16">
        <f>K49+W49</f>
        <v/>
      </c>
      <c r="Y49" s="16">
        <f>ROUND(0.20*R49, 2)</f>
        <v/>
      </c>
      <c r="Z49" s="18">
        <f>ROUND((W49/Y49)*100, 2)</f>
        <v/>
      </c>
      <c r="AA49" s="16">
        <f>MAX(AA48, X49)</f>
        <v/>
      </c>
      <c r="AB49" s="16">
        <f>X49-AA49</f>
        <v/>
      </c>
    </row>
    <row r="50">
      <c r="A50" s="13" t="n">
        <v>47</v>
      </c>
      <c r="B50" s="14" t="inlineStr">
        <is>
          <t>COCHINSHIP</t>
        </is>
      </c>
      <c r="C50" s="13" t="inlineStr">
        <is>
          <t>Q4 2022-23</t>
        </is>
      </c>
      <c r="D50" s="19" t="inlineStr">
        <is>
          <t>FUTURE SHORT</t>
        </is>
      </c>
      <c r="E50" s="20" t="inlineStr">
        <is>
          <t>AVOID BUT MONITOR IT</t>
        </is>
      </c>
      <c r="F50" s="13" t="inlineStr">
        <is>
          <t>5 Quarters</t>
        </is>
      </c>
      <c r="G50" s="13" t="inlineStr">
        <is>
          <t>T-5 to T+1</t>
        </is>
      </c>
      <c r="H50" s="13" t="inlineStr">
        <is>
          <t>-6.01%</t>
        </is>
      </c>
      <c r="I50" s="13" t="inlineStr">
        <is>
          <t>-2.61%</t>
        </is>
      </c>
      <c r="J50" s="13" t="inlineStr">
        <is>
          <t>3.4%</t>
        </is>
      </c>
      <c r="K50" s="16">
        <f>X49</f>
        <v/>
      </c>
      <c r="L50" s="13" t="inlineStr">
        <is>
          <t>2023-01-13</t>
        </is>
      </c>
      <c r="M50" s="13" t="inlineStr">
        <is>
          <t>2023-01-23</t>
        </is>
      </c>
      <c r="N50" s="13" t="inlineStr">
        <is>
          <t>2023-01-20</t>
        </is>
      </c>
      <c r="O50" s="9" t="n">
        <v>713</v>
      </c>
      <c r="P50" s="17" t="n">
        <v>242.5850524902344</v>
      </c>
      <c r="Q50" s="17" t="n">
        <v>236.4215393066407</v>
      </c>
      <c r="R50" s="16">
        <f>O50*P50</f>
        <v/>
      </c>
      <c r="S50" s="16">
        <f>O50*Q50</f>
        <v/>
      </c>
      <c r="T50" s="16">
        <f>R50+S50</f>
        <v/>
      </c>
      <c r="U50" s="16">
        <f>ROUND(T50*0.0005, 2)</f>
        <v/>
      </c>
      <c r="V50" s="16">
        <f>S50-R50</f>
        <v/>
      </c>
      <c r="W50" s="16">
        <f>V50-U50</f>
        <v/>
      </c>
      <c r="X50" s="16">
        <f>K50+W50</f>
        <v/>
      </c>
      <c r="Y50" s="16">
        <f>ROUND(0.20*R50, 2)</f>
        <v/>
      </c>
      <c r="Z50" s="18">
        <f>ROUND((W50/Y50)*100, 2)</f>
        <v/>
      </c>
      <c r="AA50" s="16">
        <f>MAX(AA49, X50)</f>
        <v/>
      </c>
      <c r="AB50" s="16">
        <f>X50-AA50</f>
        <v/>
      </c>
    </row>
    <row r="51">
      <c r="A51" s="13" t="n">
        <v>48</v>
      </c>
      <c r="B51" s="14" t="inlineStr">
        <is>
          <t>COFORGE</t>
        </is>
      </c>
      <c r="C51" s="13" t="inlineStr">
        <is>
          <t>Q4 2022-23</t>
        </is>
      </c>
      <c r="D51" s="15" t="inlineStr">
        <is>
          <t>FUTURE LONG</t>
        </is>
      </c>
      <c r="E51" s="20" t="inlineStr">
        <is>
          <t>AVOID BUT MONITOR IT</t>
        </is>
      </c>
      <c r="F51" s="13" t="inlineStr">
        <is>
          <t>5 Quarters</t>
        </is>
      </c>
      <c r="G51" s="13" t="inlineStr">
        <is>
          <t>T-1 to T+4</t>
        </is>
      </c>
      <c r="H51" s="13" t="inlineStr">
        <is>
          <t>1.59%</t>
        </is>
      </c>
      <c r="I51" s="13" t="inlineStr">
        <is>
          <t>8.26%</t>
        </is>
      </c>
      <c r="J51" s="13" t="inlineStr">
        <is>
          <t>6.67%</t>
        </is>
      </c>
      <c r="K51" s="16">
        <f>X50</f>
        <v/>
      </c>
      <c r="L51" s="13" t="inlineStr">
        <is>
          <t>2023-01-19</t>
        </is>
      </c>
      <c r="M51" s="13" t="inlineStr">
        <is>
          <t>2023-01-27</t>
        </is>
      </c>
      <c r="N51" s="13" t="inlineStr">
        <is>
          <t>2023-01-20</t>
        </is>
      </c>
      <c r="O51" s="9" t="n">
        <v>572</v>
      </c>
      <c r="P51" s="17" t="n">
        <v>761.4451904296875</v>
      </c>
      <c r="Q51" s="17" t="n">
        <v>824.323974609375</v>
      </c>
      <c r="R51" s="16">
        <f>O51*P51</f>
        <v/>
      </c>
      <c r="S51" s="16">
        <f>O51*Q51</f>
        <v/>
      </c>
      <c r="T51" s="16">
        <f>R51+S51</f>
        <v/>
      </c>
      <c r="U51" s="16">
        <f>ROUND(T51*0.0005, 2)</f>
        <v/>
      </c>
      <c r="V51" s="16">
        <f>S51-R51</f>
        <v/>
      </c>
      <c r="W51" s="16">
        <f>V51-U51</f>
        <v/>
      </c>
      <c r="X51" s="16">
        <f>K51+W51</f>
        <v/>
      </c>
      <c r="Y51" s="16">
        <f>ROUND(0.20*R51, 2)</f>
        <v/>
      </c>
      <c r="Z51" s="18">
        <f>ROUND((W51/Y51)*100, 2)</f>
        <v/>
      </c>
      <c r="AA51" s="16">
        <f>MAX(AA50, X51)</f>
        <v/>
      </c>
      <c r="AB51" s="16">
        <f>X51-AA51</f>
        <v/>
      </c>
    </row>
    <row r="52">
      <c r="A52" s="13" t="n">
        <v>49</v>
      </c>
      <c r="B52" s="14" t="inlineStr">
        <is>
          <t>COLPAL</t>
        </is>
      </c>
      <c r="C52" s="13" t="inlineStr">
        <is>
          <t>Q4 2022-23</t>
        </is>
      </c>
      <c r="D52" s="15" t="inlineStr">
        <is>
          <t>FUTURE LONG</t>
        </is>
      </c>
      <c r="E52" s="20" t="inlineStr">
        <is>
          <t>AVOID BUT MONITOR IT</t>
        </is>
      </c>
      <c r="F52" s="13" t="inlineStr">
        <is>
          <t>5 Quarters</t>
        </is>
      </c>
      <c r="G52" s="13" t="inlineStr">
        <is>
          <t>T-5 to T+4</t>
        </is>
      </c>
      <c r="H52" s="13" t="inlineStr">
        <is>
          <t>-0.01%</t>
        </is>
      </c>
      <c r="I52" s="13" t="inlineStr">
        <is>
          <t>-2.52%</t>
        </is>
      </c>
      <c r="J52" s="13" t="inlineStr">
        <is>
          <t>-2.51%</t>
        </is>
      </c>
      <c r="K52" s="16">
        <f>X51</f>
        <v/>
      </c>
      <c r="L52" s="13" t="inlineStr">
        <is>
          <t>2023-01-13</t>
        </is>
      </c>
      <c r="M52" s="13" t="inlineStr">
        <is>
          <t>2023-01-27</t>
        </is>
      </c>
      <c r="N52" s="13" t="inlineStr">
        <is>
          <t>2023-01-20</t>
        </is>
      </c>
      <c r="O52" s="9" t="n">
        <v>479</v>
      </c>
      <c r="P52" s="17" t="n">
        <v>1373.01806640625</v>
      </c>
      <c r="Q52" s="17" t="n">
        <v>1338.421752929688</v>
      </c>
      <c r="R52" s="16">
        <f>O52*P52</f>
        <v/>
      </c>
      <c r="S52" s="16">
        <f>O52*Q52</f>
        <v/>
      </c>
      <c r="T52" s="16">
        <f>R52+S52</f>
        <v/>
      </c>
      <c r="U52" s="16">
        <f>ROUND(T52*0.0005, 2)</f>
        <v/>
      </c>
      <c r="V52" s="16">
        <f>S52-R52</f>
        <v/>
      </c>
      <c r="W52" s="16">
        <f>V52-U52</f>
        <v/>
      </c>
      <c r="X52" s="16">
        <f>K52+W52</f>
        <v/>
      </c>
      <c r="Y52" s="16">
        <f>ROUND(0.20*R52, 2)</f>
        <v/>
      </c>
      <c r="Z52" s="18">
        <f>ROUND((W52/Y52)*100, 2)</f>
        <v/>
      </c>
      <c r="AA52" s="16">
        <f>MAX(AA51, X52)</f>
        <v/>
      </c>
      <c r="AB52" s="16">
        <f>X52-AA52</f>
        <v/>
      </c>
    </row>
    <row r="53">
      <c r="A53" s="13" t="n">
        <v>50</v>
      </c>
      <c r="B53" s="14" t="inlineStr">
        <is>
          <t>CONCOR</t>
        </is>
      </c>
      <c r="C53" s="13" t="inlineStr">
        <is>
          <t>Q4 2022-23</t>
        </is>
      </c>
      <c r="D53" s="15" t="inlineStr">
        <is>
          <t>FUTURE LONG</t>
        </is>
      </c>
      <c r="E53" s="20" t="inlineStr">
        <is>
          <t>AVOID BUT MONITOR IT</t>
        </is>
      </c>
      <c r="F53" s="13" t="inlineStr">
        <is>
          <t>5 Quarters</t>
        </is>
      </c>
      <c r="G53" s="13" t="inlineStr">
        <is>
          <t>T-3 to T+1</t>
        </is>
      </c>
      <c r="H53" s="13" t="inlineStr">
        <is>
          <t>3.07%</t>
        </is>
      </c>
      <c r="I53" s="13" t="inlineStr">
        <is>
          <t>0.78%</t>
        </is>
      </c>
      <c r="J53" s="13" t="inlineStr">
        <is>
          <t>-2.29%</t>
        </is>
      </c>
      <c r="K53" s="16">
        <f>X52</f>
        <v/>
      </c>
      <c r="L53" s="13" t="inlineStr">
        <is>
          <t>2023-01-17</t>
        </is>
      </c>
      <c r="M53" s="13" t="inlineStr">
        <is>
          <t>2023-01-23</t>
        </is>
      </c>
      <c r="N53" s="13" t="inlineStr">
        <is>
          <t>2023-01-20</t>
        </is>
      </c>
      <c r="O53" s="9" t="n">
        <v>1904</v>
      </c>
      <c r="P53" s="17" t="n">
        <v>663.84619140625</v>
      </c>
      <c r="Q53" s="17" t="n">
        <v>669.048583984375</v>
      </c>
      <c r="R53" s="16">
        <f>O53*P53</f>
        <v/>
      </c>
      <c r="S53" s="16">
        <f>O53*Q53</f>
        <v/>
      </c>
      <c r="T53" s="16">
        <f>R53+S53</f>
        <v/>
      </c>
      <c r="U53" s="16">
        <f>ROUND(T53*0.0005, 2)</f>
        <v/>
      </c>
      <c r="V53" s="16">
        <f>S53-R53</f>
        <v/>
      </c>
      <c r="W53" s="16">
        <f>V53-U53</f>
        <v/>
      </c>
      <c r="X53" s="16">
        <f>K53+W53</f>
        <v/>
      </c>
      <c r="Y53" s="16">
        <f>ROUND(0.20*R53, 2)</f>
        <v/>
      </c>
      <c r="Z53" s="18">
        <f>ROUND((W53/Y53)*100, 2)</f>
        <v/>
      </c>
      <c r="AA53" s="16">
        <f>MAX(AA52, X53)</f>
        <v/>
      </c>
      <c r="AB53" s="16">
        <f>X53-AA53</f>
        <v/>
      </c>
    </row>
    <row r="54">
      <c r="A54" s="13" t="n">
        <v>51</v>
      </c>
      <c r="B54" s="14" t="inlineStr">
        <is>
          <t>CROMPTON</t>
        </is>
      </c>
      <c r="C54" s="13" t="inlineStr">
        <is>
          <t>Q4 2022-23</t>
        </is>
      </c>
      <c r="D54" s="19" t="inlineStr">
        <is>
          <t>FUTURE SHORT</t>
        </is>
      </c>
      <c r="E54" s="20" t="inlineStr">
        <is>
          <t>AVOID BUT MONITOR IT</t>
        </is>
      </c>
      <c r="F54" s="13" t="inlineStr">
        <is>
          <t>5 Quarters</t>
        </is>
      </c>
      <c r="G54" s="13" t="inlineStr">
        <is>
          <t>T-4 to T+1</t>
        </is>
      </c>
      <c r="H54" s="13" t="inlineStr">
        <is>
          <t>-1.81%</t>
        </is>
      </c>
      <c r="I54" s="13" t="inlineStr">
        <is>
          <t>0.64%</t>
        </is>
      </c>
      <c r="J54" s="13" t="inlineStr">
        <is>
          <t>2.45%</t>
        </is>
      </c>
      <c r="K54" s="16">
        <f>X53</f>
        <v/>
      </c>
      <c r="L54" s="13" t="inlineStr">
        <is>
          <t>2023-01-16</t>
        </is>
      </c>
      <c r="M54" s="13" t="inlineStr">
        <is>
          <t>2023-01-23</t>
        </is>
      </c>
      <c r="N54" s="13" t="inlineStr">
        <is>
          <t>2023-01-20</t>
        </is>
      </c>
      <c r="O54" s="9" t="n">
        <v>3841</v>
      </c>
      <c r="P54" s="17" t="n">
        <v>315.4925842285156</v>
      </c>
      <c r="Q54" s="17" t="n">
        <v>317.5137329101562</v>
      </c>
      <c r="R54" s="16">
        <f>O54*P54</f>
        <v/>
      </c>
      <c r="S54" s="16">
        <f>O54*Q54</f>
        <v/>
      </c>
      <c r="T54" s="16">
        <f>R54+S54</f>
        <v/>
      </c>
      <c r="U54" s="16">
        <f>ROUND(T54*0.0005, 2)</f>
        <v/>
      </c>
      <c r="V54" s="16">
        <f>S54-R54</f>
        <v/>
      </c>
      <c r="W54" s="16">
        <f>V54-U54</f>
        <v/>
      </c>
      <c r="X54" s="16">
        <f>K54+W54</f>
        <v/>
      </c>
      <c r="Y54" s="16">
        <f>ROUND(0.20*R54, 2)</f>
        <v/>
      </c>
      <c r="Z54" s="18">
        <f>ROUND((W54/Y54)*100, 2)</f>
        <v/>
      </c>
      <c r="AA54" s="16">
        <f>MAX(AA53, X54)</f>
        <v/>
      </c>
      <c r="AB54" s="16">
        <f>X54-AA54</f>
        <v/>
      </c>
    </row>
    <row r="55">
      <c r="A55" s="13" t="n">
        <v>52</v>
      </c>
      <c r="B55" s="14" t="inlineStr">
        <is>
          <t>CUMMINSIND</t>
        </is>
      </c>
      <c r="C55" s="13" t="inlineStr">
        <is>
          <t>Q4 2022-23</t>
        </is>
      </c>
      <c r="D55" s="19" t="inlineStr">
        <is>
          <t>FUTURE SHORT</t>
        </is>
      </c>
      <c r="E55" s="20" t="inlineStr">
        <is>
          <t>AVOID BUT MONITOR IT</t>
        </is>
      </c>
      <c r="F55" s="13" t="inlineStr">
        <is>
          <t>5 Quarters</t>
        </is>
      </c>
      <c r="G55" s="13" t="inlineStr">
        <is>
          <t>T-4 to T+4</t>
        </is>
      </c>
      <c r="H55" s="13" t="inlineStr">
        <is>
          <t>0.79%</t>
        </is>
      </c>
      <c r="I55" s="13" t="inlineStr">
        <is>
          <t>4.92%</t>
        </is>
      </c>
      <c r="J55" s="13" t="inlineStr">
        <is>
          <t>4.13%</t>
        </is>
      </c>
      <c r="K55" s="16">
        <f>X54</f>
        <v/>
      </c>
      <c r="L55" s="13" t="inlineStr">
        <is>
          <t>2023-01-16</t>
        </is>
      </c>
      <c r="M55" s="13" t="inlineStr">
        <is>
          <t>2023-01-27</t>
        </is>
      </c>
      <c r="N55" s="13" t="inlineStr">
        <is>
          <t>2023-01-20</t>
        </is>
      </c>
      <c r="O55" s="9" t="n">
        <v>185</v>
      </c>
      <c r="P55" s="17" t="n">
        <v>1308.145629882812</v>
      </c>
      <c r="Q55" s="17" t="n">
        <v>1375.817626953125</v>
      </c>
      <c r="R55" s="16">
        <f>O55*P55</f>
        <v/>
      </c>
      <c r="S55" s="16">
        <f>O55*Q55</f>
        <v/>
      </c>
      <c r="T55" s="16">
        <f>R55+S55</f>
        <v/>
      </c>
      <c r="U55" s="16">
        <f>ROUND(T55*0.0005, 2)</f>
        <v/>
      </c>
      <c r="V55" s="16">
        <f>S55-R55</f>
        <v/>
      </c>
      <c r="W55" s="16">
        <f>V55-U55</f>
        <v/>
      </c>
      <c r="X55" s="16">
        <f>K55+W55</f>
        <v/>
      </c>
      <c r="Y55" s="16">
        <f>ROUND(0.20*R55, 2)</f>
        <v/>
      </c>
      <c r="Z55" s="18">
        <f>ROUND((W55/Y55)*100, 2)</f>
        <v/>
      </c>
      <c r="AA55" s="16">
        <f>MAX(AA54, X55)</f>
        <v/>
      </c>
      <c r="AB55" s="16">
        <f>X55-AA55</f>
        <v/>
      </c>
    </row>
    <row r="56">
      <c r="A56" s="13" t="n">
        <v>53</v>
      </c>
      <c r="B56" s="14" t="inlineStr">
        <is>
          <t>DABUR</t>
        </is>
      </c>
      <c r="C56" s="13" t="inlineStr">
        <is>
          <t>Q4 2022-23</t>
        </is>
      </c>
      <c r="D56" s="15" t="inlineStr">
        <is>
          <t>FUTURE LONG</t>
        </is>
      </c>
      <c r="E56" s="20" t="inlineStr">
        <is>
          <t>AVOID BUT MONITOR IT</t>
        </is>
      </c>
      <c r="F56" s="13" t="inlineStr">
        <is>
          <t>5 Quarters</t>
        </is>
      </c>
      <c r="G56" s="13" t="inlineStr">
        <is>
          <t>T-5 to T+1</t>
        </is>
      </c>
      <c r="H56" s="13" t="inlineStr">
        <is>
          <t>1.5%</t>
        </is>
      </c>
      <c r="I56" s="13" t="inlineStr">
        <is>
          <t>3.81%</t>
        </is>
      </c>
      <c r="J56" s="13" t="inlineStr">
        <is>
          <t>2.31%</t>
        </is>
      </c>
      <c r="K56" s="16">
        <f>X55</f>
        <v/>
      </c>
      <c r="L56" s="13" t="inlineStr">
        <is>
          <t>2023-01-13</t>
        </is>
      </c>
      <c r="M56" s="13" t="inlineStr">
        <is>
          <t>2023-01-23</t>
        </is>
      </c>
      <c r="N56" s="13" t="inlineStr">
        <is>
          <t>2023-01-20</t>
        </is>
      </c>
      <c r="O56" s="9" t="n">
        <v>2346</v>
      </c>
      <c r="P56" s="17" t="n">
        <v>518.5300903320312</v>
      </c>
      <c r="Q56" s="17" t="n">
        <v>538.27197265625</v>
      </c>
      <c r="R56" s="16">
        <f>O56*P56</f>
        <v/>
      </c>
      <c r="S56" s="16">
        <f>O56*Q56</f>
        <v/>
      </c>
      <c r="T56" s="16">
        <f>R56+S56</f>
        <v/>
      </c>
      <c r="U56" s="16">
        <f>ROUND(T56*0.0005, 2)</f>
        <v/>
      </c>
      <c r="V56" s="16">
        <f>S56-R56</f>
        <v/>
      </c>
      <c r="W56" s="16">
        <f>V56-U56</f>
        <v/>
      </c>
      <c r="X56" s="16">
        <f>K56+W56</f>
        <v/>
      </c>
      <c r="Y56" s="16">
        <f>ROUND(0.20*R56, 2)</f>
        <v/>
      </c>
      <c r="Z56" s="18">
        <f>ROUND((W56/Y56)*100, 2)</f>
        <v/>
      </c>
      <c r="AA56" s="16">
        <f>MAX(AA55, X56)</f>
        <v/>
      </c>
      <c r="AB56" s="16">
        <f>X56-AA56</f>
        <v/>
      </c>
    </row>
    <row r="57">
      <c r="A57" s="13" t="n">
        <v>54</v>
      </c>
      <c r="B57" s="14" t="inlineStr">
        <is>
          <t>DELHIVERY</t>
        </is>
      </c>
      <c r="C57" s="13" t="inlineStr">
        <is>
          <t>Q4 2022-23</t>
        </is>
      </c>
      <c r="D57" s="19" t="inlineStr">
        <is>
          <t>FUTURE SHORT</t>
        </is>
      </c>
      <c r="E57" s="20" t="inlineStr">
        <is>
          <t>AVOID BUT MONITOR IT</t>
        </is>
      </c>
      <c r="F57" s="13" t="inlineStr">
        <is>
          <t>5 Quarters</t>
        </is>
      </c>
      <c r="G57" s="13" t="inlineStr">
        <is>
          <t>T-2 to T+1</t>
        </is>
      </c>
      <c r="H57" s="13" t="inlineStr">
        <is>
          <t>4.89%</t>
        </is>
      </c>
      <c r="I57" s="13" t="inlineStr">
        <is>
          <t>-5.59%</t>
        </is>
      </c>
      <c r="J57" s="13" t="inlineStr">
        <is>
          <t>-10.48%</t>
        </is>
      </c>
      <c r="K57" s="16">
        <f>X56</f>
        <v/>
      </c>
      <c r="L57" s="13" t="inlineStr">
        <is>
          <t>2023-01-18</t>
        </is>
      </c>
      <c r="M57" s="13" t="inlineStr">
        <is>
          <t>2023-01-23</t>
        </is>
      </c>
      <c r="N57" s="13" t="inlineStr">
        <is>
          <t>2023-01-20</t>
        </is>
      </c>
      <c r="O57" s="9" t="n">
        <v>2135</v>
      </c>
      <c r="P57" s="17" t="n">
        <v>324.75</v>
      </c>
      <c r="Q57" s="17" t="n">
        <v>307.5499877929688</v>
      </c>
      <c r="R57" s="16">
        <f>O57*P57</f>
        <v/>
      </c>
      <c r="S57" s="16">
        <f>O57*Q57</f>
        <v/>
      </c>
      <c r="T57" s="16">
        <f>R57+S57</f>
        <v/>
      </c>
      <c r="U57" s="16">
        <f>ROUND(T57*0.0005, 2)</f>
        <v/>
      </c>
      <c r="V57" s="16">
        <f>S57-R57</f>
        <v/>
      </c>
      <c r="W57" s="16">
        <f>V57-U57</f>
        <v/>
      </c>
      <c r="X57" s="16">
        <f>K57+W57</f>
        <v/>
      </c>
      <c r="Y57" s="16">
        <f>ROUND(0.20*R57, 2)</f>
        <v/>
      </c>
      <c r="Z57" s="18">
        <f>ROUND((W57/Y57)*100, 2)</f>
        <v/>
      </c>
      <c r="AA57" s="16">
        <f>MAX(AA56, X57)</f>
        <v/>
      </c>
      <c r="AB57" s="16">
        <f>X57-AA57</f>
        <v/>
      </c>
    </row>
    <row r="58">
      <c r="A58" s="13" t="n">
        <v>55</v>
      </c>
      <c r="B58" s="14" t="inlineStr">
        <is>
          <t>DIVISLAB</t>
        </is>
      </c>
      <c r="C58" s="13" t="inlineStr">
        <is>
          <t>Q4 2022-23</t>
        </is>
      </c>
      <c r="D58" s="15" t="inlineStr">
        <is>
          <t>FUTURE LONG</t>
        </is>
      </c>
      <c r="E58" s="20" t="inlineStr">
        <is>
          <t>AVOID BUT MONITOR IT</t>
        </is>
      </c>
      <c r="F58" s="13" t="inlineStr">
        <is>
          <t>5 Quarters</t>
        </is>
      </c>
      <c r="G58" s="13" t="inlineStr">
        <is>
          <t>T-5 to T+1</t>
        </is>
      </c>
      <c r="H58" s="13" t="inlineStr">
        <is>
          <t>4.67%</t>
        </is>
      </c>
      <c r="I58" s="13" t="inlineStr">
        <is>
          <t>1.01%</t>
        </is>
      </c>
      <c r="J58" s="13" t="inlineStr">
        <is>
          <t>-3.66%</t>
        </is>
      </c>
      <c r="K58" s="16">
        <f>X57</f>
        <v/>
      </c>
      <c r="L58" s="13" t="inlineStr">
        <is>
          <t>2023-01-13</t>
        </is>
      </c>
      <c r="M58" s="13" t="inlineStr">
        <is>
          <t>2023-01-23</t>
        </is>
      </c>
      <c r="N58" s="13" t="inlineStr">
        <is>
          <t>2023-01-20</t>
        </is>
      </c>
      <c r="O58" s="9" t="n">
        <v>200</v>
      </c>
      <c r="P58" s="17" t="n">
        <v>3276.083740234375</v>
      </c>
      <c r="Q58" s="17" t="n">
        <v>3309.31640625</v>
      </c>
      <c r="R58" s="16">
        <f>O58*P58</f>
        <v/>
      </c>
      <c r="S58" s="16">
        <f>O58*Q58</f>
        <v/>
      </c>
      <c r="T58" s="16">
        <f>R58+S58</f>
        <v/>
      </c>
      <c r="U58" s="16">
        <f>ROUND(T58*0.0005, 2)</f>
        <v/>
      </c>
      <c r="V58" s="16">
        <f>S58-R58</f>
        <v/>
      </c>
      <c r="W58" s="16">
        <f>V58-U58</f>
        <v/>
      </c>
      <c r="X58" s="16">
        <f>K58+W58</f>
        <v/>
      </c>
      <c r="Y58" s="16">
        <f>ROUND(0.20*R58, 2)</f>
        <v/>
      </c>
      <c r="Z58" s="18">
        <f>ROUND((W58/Y58)*100, 2)</f>
        <v/>
      </c>
      <c r="AA58" s="16">
        <f>MAX(AA57, X58)</f>
        <v/>
      </c>
      <c r="AB58" s="16">
        <f>X58-AA58</f>
        <v/>
      </c>
    </row>
    <row r="59">
      <c r="A59" s="13" t="n">
        <v>56</v>
      </c>
      <c r="B59" s="14" t="inlineStr">
        <is>
          <t>DIXON</t>
        </is>
      </c>
      <c r="C59" s="13" t="inlineStr">
        <is>
          <t>Q4 2022-23</t>
        </is>
      </c>
      <c r="D59" s="19" t="inlineStr">
        <is>
          <t>FUTURE SHORT</t>
        </is>
      </c>
      <c r="E59" s="20" t="inlineStr">
        <is>
          <t>AVOID BUT MONITOR IT</t>
        </is>
      </c>
      <c r="F59" s="13" t="inlineStr">
        <is>
          <t>5 Quarters</t>
        </is>
      </c>
      <c r="G59" s="13" t="inlineStr">
        <is>
          <t>T-7 to T+1</t>
        </is>
      </c>
      <c r="H59" s="13" t="inlineStr">
        <is>
          <t>3.38%</t>
        </is>
      </c>
      <c r="I59" s="13" t="inlineStr">
        <is>
          <t>5.67%</t>
        </is>
      </c>
      <c r="J59" s="13" t="inlineStr">
        <is>
          <t>2.29%</t>
        </is>
      </c>
      <c r="K59" s="16">
        <f>X58</f>
        <v/>
      </c>
      <c r="L59" s="13" t="inlineStr">
        <is>
          <t>2023-01-11</t>
        </is>
      </c>
      <c r="M59" s="13" t="inlineStr">
        <is>
          <t>2023-01-23</t>
        </is>
      </c>
      <c r="N59" s="13" t="inlineStr">
        <is>
          <t>2023-01-20</t>
        </is>
      </c>
      <c r="O59" s="9" t="n">
        <v>100</v>
      </c>
      <c r="P59" s="17" t="n">
        <v>3490.08642578125</v>
      </c>
      <c r="Q59" s="17" t="n">
        <v>3700.037841796875</v>
      </c>
      <c r="R59" s="16">
        <f>O59*P59</f>
        <v/>
      </c>
      <c r="S59" s="16">
        <f>O59*Q59</f>
        <v/>
      </c>
      <c r="T59" s="16">
        <f>R59+S59</f>
        <v/>
      </c>
      <c r="U59" s="16">
        <f>ROUND(T59*0.0005, 2)</f>
        <v/>
      </c>
      <c r="V59" s="16">
        <f>S59-R59</f>
        <v/>
      </c>
      <c r="W59" s="16">
        <f>V59-U59</f>
        <v/>
      </c>
      <c r="X59" s="16">
        <f>K59+W59</f>
        <v/>
      </c>
      <c r="Y59" s="16">
        <f>ROUND(0.20*R59, 2)</f>
        <v/>
      </c>
      <c r="Z59" s="18">
        <f>ROUND((W59/Y59)*100, 2)</f>
        <v/>
      </c>
      <c r="AA59" s="16">
        <f>MAX(AA58, X59)</f>
        <v/>
      </c>
      <c r="AB59" s="16">
        <f>X59-AA59</f>
        <v/>
      </c>
    </row>
    <row r="60">
      <c r="A60" s="13" t="n">
        <v>57</v>
      </c>
      <c r="B60" s="14" t="inlineStr">
        <is>
          <t>DLF</t>
        </is>
      </c>
      <c r="C60" s="13" t="inlineStr">
        <is>
          <t>Q4 2022-23</t>
        </is>
      </c>
      <c r="D60" s="19" t="inlineStr">
        <is>
          <t>FUTURE SHORT</t>
        </is>
      </c>
      <c r="E60" s="20" t="inlineStr">
        <is>
          <t>AVOID BUT MONITOR IT</t>
        </is>
      </c>
      <c r="F60" s="13" t="inlineStr">
        <is>
          <t>5 Quarters</t>
        </is>
      </c>
      <c r="G60" s="13" t="inlineStr">
        <is>
          <t>T-3 to T+1</t>
        </is>
      </c>
      <c r="H60" s="13" t="inlineStr">
        <is>
          <t>1.53%</t>
        </is>
      </c>
      <c r="I60" s="13" t="inlineStr">
        <is>
          <t>1.56%</t>
        </is>
      </c>
      <c r="J60" s="13" t="inlineStr">
        <is>
          <t>0.03%</t>
        </is>
      </c>
      <c r="K60" s="16">
        <f>X59</f>
        <v/>
      </c>
      <c r="L60" s="13" t="inlineStr">
        <is>
          <t>2023-01-17</t>
        </is>
      </c>
      <c r="M60" s="13" t="inlineStr">
        <is>
          <t>2023-01-23</t>
        </is>
      </c>
      <c r="N60" s="13" t="inlineStr">
        <is>
          <t>2023-01-20</t>
        </is>
      </c>
      <c r="O60" s="9" t="n">
        <v>1527</v>
      </c>
      <c r="P60" s="17" t="n">
        <v>357.4377136230469</v>
      </c>
      <c r="Q60" s="17" t="n">
        <v>363.0959777832031</v>
      </c>
      <c r="R60" s="16">
        <f>O60*P60</f>
        <v/>
      </c>
      <c r="S60" s="16">
        <f>O60*Q60</f>
        <v/>
      </c>
      <c r="T60" s="16">
        <f>R60+S60</f>
        <v/>
      </c>
      <c r="U60" s="16">
        <f>ROUND(T60*0.0005, 2)</f>
        <v/>
      </c>
      <c r="V60" s="16">
        <f>S60-R60</f>
        <v/>
      </c>
      <c r="W60" s="16">
        <f>V60-U60</f>
        <v/>
      </c>
      <c r="X60" s="16">
        <f>K60+W60</f>
        <v/>
      </c>
      <c r="Y60" s="16">
        <f>ROUND(0.20*R60, 2)</f>
        <v/>
      </c>
      <c r="Z60" s="18">
        <f>ROUND((W60/Y60)*100, 2)</f>
        <v/>
      </c>
      <c r="AA60" s="16">
        <f>MAX(AA59, X60)</f>
        <v/>
      </c>
      <c r="AB60" s="16">
        <f>X60-AA60</f>
        <v/>
      </c>
    </row>
    <row r="61">
      <c r="A61" s="13" t="n">
        <v>58</v>
      </c>
      <c r="B61" s="14" t="inlineStr">
        <is>
          <t>DMART</t>
        </is>
      </c>
      <c r="C61" s="13" t="inlineStr">
        <is>
          <t>Q4 2022-23</t>
        </is>
      </c>
      <c r="D61" s="19" t="inlineStr">
        <is>
          <t>FUTURE SHORT</t>
        </is>
      </c>
      <c r="E61" s="20" t="inlineStr">
        <is>
          <t>AVOID BUT MONITOR IT</t>
        </is>
      </c>
      <c r="F61" s="13" t="inlineStr">
        <is>
          <t>5 Quarters</t>
        </is>
      </c>
      <c r="G61" s="13" t="inlineStr">
        <is>
          <t>T-2 to T+1</t>
        </is>
      </c>
      <c r="H61" s="13" t="inlineStr">
        <is>
          <t>2.92%</t>
        </is>
      </c>
      <c r="I61" s="13" t="inlineStr">
        <is>
          <t>5.88%</t>
        </is>
      </c>
      <c r="J61" s="13" t="inlineStr">
        <is>
          <t>2.96%</t>
        </is>
      </c>
      <c r="K61" s="16">
        <f>X60</f>
        <v/>
      </c>
      <c r="L61" s="13" t="inlineStr">
        <is>
          <t>2023-01-18</t>
        </is>
      </c>
      <c r="M61" s="13" t="inlineStr">
        <is>
          <t>2023-01-23</t>
        </is>
      </c>
      <c r="N61" s="13" t="inlineStr">
        <is>
          <t>2023-01-20</t>
        </is>
      </c>
      <c r="O61" s="9" t="n">
        <v>258</v>
      </c>
      <c r="P61" s="17" t="n">
        <v>3434</v>
      </c>
      <c r="Q61" s="17" t="n">
        <v>3648.60009765625</v>
      </c>
      <c r="R61" s="16">
        <f>O61*P61</f>
        <v/>
      </c>
      <c r="S61" s="16">
        <f>O61*Q61</f>
        <v/>
      </c>
      <c r="T61" s="16">
        <f>R61+S61</f>
        <v/>
      </c>
      <c r="U61" s="16">
        <f>ROUND(T61*0.0005, 2)</f>
        <v/>
      </c>
      <c r="V61" s="16">
        <f>S61-R61</f>
        <v/>
      </c>
      <c r="W61" s="16">
        <f>V61-U61</f>
        <v/>
      </c>
      <c r="X61" s="16">
        <f>K61+W61</f>
        <v/>
      </c>
      <c r="Y61" s="16">
        <f>ROUND(0.20*R61, 2)</f>
        <v/>
      </c>
      <c r="Z61" s="18">
        <f>ROUND((W61/Y61)*100, 2)</f>
        <v/>
      </c>
      <c r="AA61" s="16">
        <f>MAX(AA60, X61)</f>
        <v/>
      </c>
      <c r="AB61" s="16">
        <f>X61-AA61</f>
        <v/>
      </c>
    </row>
    <row r="62">
      <c r="A62" s="13" t="n">
        <v>59</v>
      </c>
      <c r="B62" s="14" t="inlineStr">
        <is>
          <t>DRREDDY</t>
        </is>
      </c>
      <c r="C62" s="13" t="inlineStr">
        <is>
          <t>Q4 2022-23</t>
        </is>
      </c>
      <c r="D62" s="19" t="inlineStr">
        <is>
          <t>FUTURE SHORT</t>
        </is>
      </c>
      <c r="E62" s="15" t="inlineStr">
        <is>
          <t>QUALIFIED</t>
        </is>
      </c>
      <c r="F62" s="13" t="inlineStr">
        <is>
          <t>162 Quarters</t>
        </is>
      </c>
      <c r="G62" s="13" t="inlineStr">
        <is>
          <t>T-7 to T+1</t>
        </is>
      </c>
      <c r="H62" s="13" t="inlineStr">
        <is>
          <t>0.73%</t>
        </is>
      </c>
      <c r="I62" s="13" t="inlineStr">
        <is>
          <t>-7.55%</t>
        </is>
      </c>
      <c r="J62" s="13" t="inlineStr">
        <is>
          <t>-8.28%</t>
        </is>
      </c>
      <c r="K62" s="16">
        <f>X61</f>
        <v/>
      </c>
      <c r="L62" s="13" t="inlineStr">
        <is>
          <t>2023-07-18</t>
        </is>
      </c>
      <c r="M62" s="13" t="inlineStr">
        <is>
          <t>2023-07-28</t>
        </is>
      </c>
      <c r="N62" s="13" t="inlineStr">
        <is>
          <t>2023-07-26</t>
        </is>
      </c>
      <c r="O62" s="9" t="n">
        <v>125</v>
      </c>
      <c r="P62" s="17" t="n">
        <v>1096.080078125</v>
      </c>
      <c r="Q62" s="17" t="n">
        <v>1019.120788574219</v>
      </c>
      <c r="R62" s="16">
        <f>O62*P62</f>
        <v/>
      </c>
      <c r="S62" s="16">
        <f>O62*Q62</f>
        <v/>
      </c>
      <c r="T62" s="16">
        <f>R62+S62</f>
        <v/>
      </c>
      <c r="U62" s="16">
        <f>ROUND(T62*0.0005, 2)</f>
        <v/>
      </c>
      <c r="V62" s="16">
        <f>S62-R62</f>
        <v/>
      </c>
      <c r="W62" s="16">
        <f>V62-U62</f>
        <v/>
      </c>
      <c r="X62" s="16">
        <f>K62+W62</f>
        <v/>
      </c>
      <c r="Y62" s="16">
        <f>ROUND(0.20*R62, 2)</f>
        <v/>
      </c>
      <c r="Z62" s="18">
        <f>ROUND((W62/Y62)*100, 2)</f>
        <v/>
      </c>
      <c r="AA62" s="16">
        <f>MAX(AA61, X62)</f>
        <v/>
      </c>
      <c r="AB62" s="16">
        <f>X62-AA62</f>
        <v/>
      </c>
    </row>
    <row r="63">
      <c r="A63" s="13" t="n">
        <v>60</v>
      </c>
      <c r="B63" s="14" t="inlineStr">
        <is>
          <t>EICHERMOT</t>
        </is>
      </c>
      <c r="C63" s="13" t="inlineStr">
        <is>
          <t>Q4 2022-23</t>
        </is>
      </c>
      <c r="D63" s="15" t="inlineStr">
        <is>
          <t>FUTURE LONG</t>
        </is>
      </c>
      <c r="E63" s="15" t="inlineStr">
        <is>
          <t>QUALIFIED</t>
        </is>
      </c>
      <c r="F63" s="13" t="inlineStr">
        <is>
          <t>186 Quarters</t>
        </is>
      </c>
      <c r="G63" s="13" t="inlineStr">
        <is>
          <t>T-8 to T+1</t>
        </is>
      </c>
      <c r="H63" s="13" t="inlineStr">
        <is>
          <t>2.3%</t>
        </is>
      </c>
      <c r="I63" s="13" t="inlineStr">
        <is>
          <t>0.89%</t>
        </is>
      </c>
      <c r="J63" s="13" t="inlineStr">
        <is>
          <t>-1.41%</t>
        </is>
      </c>
      <c r="K63" s="16">
        <f>X62</f>
        <v/>
      </c>
      <c r="L63" s="13" t="inlineStr">
        <is>
          <t>2023-07-25</t>
        </is>
      </c>
      <c r="M63" s="13" t="inlineStr">
        <is>
          <t>2023-08-07</t>
        </is>
      </c>
      <c r="N63" s="13" t="inlineStr">
        <is>
          <t>2023-08-04</t>
        </is>
      </c>
      <c r="O63" s="9" t="n">
        <v>175</v>
      </c>
      <c r="P63" s="17" t="n">
        <v>3212.1845703125</v>
      </c>
      <c r="Q63" s="17" t="n">
        <v>3240.818115234375</v>
      </c>
      <c r="R63" s="16">
        <f>O63*P63</f>
        <v/>
      </c>
      <c r="S63" s="16">
        <f>O63*Q63</f>
        <v/>
      </c>
      <c r="T63" s="16">
        <f>R63+S63</f>
        <v/>
      </c>
      <c r="U63" s="16">
        <f>ROUND(T63*0.0005, 2)</f>
        <v/>
      </c>
      <c r="V63" s="16">
        <f>S63-R63</f>
        <v/>
      </c>
      <c r="W63" s="16">
        <f>V63-U63</f>
        <v/>
      </c>
      <c r="X63" s="16">
        <f>K63+W63</f>
        <v/>
      </c>
      <c r="Y63" s="16">
        <f>ROUND(0.20*R63, 2)</f>
        <v/>
      </c>
      <c r="Z63" s="18">
        <f>ROUND((W63/Y63)*100, 2)</f>
        <v/>
      </c>
      <c r="AA63" s="16">
        <f>MAX(AA62, X63)</f>
        <v/>
      </c>
      <c r="AB63" s="16">
        <f>X63-AA63</f>
        <v/>
      </c>
    </row>
    <row r="64">
      <c r="A64" s="13" t="n">
        <v>61</v>
      </c>
      <c r="B64" s="14" t="inlineStr">
        <is>
          <t>ETERNAL</t>
        </is>
      </c>
      <c r="C64" s="13" t="inlineStr">
        <is>
          <t>Q4 2022-23</t>
        </is>
      </c>
      <c r="D64" s="15" t="inlineStr">
        <is>
          <t>FUTURE LONG</t>
        </is>
      </c>
      <c r="E64" s="15" t="inlineStr">
        <is>
          <t>QUALIFIED</t>
        </is>
      </c>
      <c r="F64" s="13" t="inlineStr">
        <is>
          <t>13 Quarters</t>
        </is>
      </c>
      <c r="G64" s="13" t="inlineStr">
        <is>
          <t>T-2 to T+4</t>
        </is>
      </c>
      <c r="H64" s="13" t="inlineStr">
        <is>
          <t>5.83%</t>
        </is>
      </c>
      <c r="I64" s="13" t="inlineStr">
        <is>
          <t>-7.94%</t>
        </is>
      </c>
      <c r="J64" s="13" t="inlineStr">
        <is>
          <t>-13.77%</t>
        </is>
      </c>
      <c r="K64" s="16">
        <f>X63</f>
        <v/>
      </c>
      <c r="L64" s="13" t="inlineStr">
        <is>
          <t>2023-01-18</t>
        </is>
      </c>
      <c r="M64" s="13" t="inlineStr">
        <is>
          <t>2023-01-27</t>
        </is>
      </c>
      <c r="N64" s="13" t="inlineStr">
        <is>
          <t>2023-01-20</t>
        </is>
      </c>
      <c r="O64" s="9" t="n">
        <v>3399</v>
      </c>
      <c r="P64" s="17" t="n">
        <v>51</v>
      </c>
      <c r="Q64" s="17" t="n">
        <v>46.95000076293945</v>
      </c>
      <c r="R64" s="16">
        <f>O64*P64</f>
        <v/>
      </c>
      <c r="S64" s="16">
        <f>O64*Q64</f>
        <v/>
      </c>
      <c r="T64" s="16">
        <f>R64+S64</f>
        <v/>
      </c>
      <c r="U64" s="16">
        <f>ROUND(T64*0.0005, 2)</f>
        <v/>
      </c>
      <c r="V64" s="16">
        <f>S64-R64</f>
        <v/>
      </c>
      <c r="W64" s="16">
        <f>V64-U64</f>
        <v/>
      </c>
      <c r="X64" s="16">
        <f>K64+W64</f>
        <v/>
      </c>
      <c r="Y64" s="16">
        <f>ROUND(0.20*R64, 2)</f>
        <v/>
      </c>
      <c r="Z64" s="18">
        <f>ROUND((W64/Y64)*100, 2)</f>
        <v/>
      </c>
      <c r="AA64" s="16">
        <f>MAX(AA63, X64)</f>
        <v/>
      </c>
      <c r="AB64" s="16">
        <f>X64-AA64</f>
        <v/>
      </c>
    </row>
    <row r="65">
      <c r="A65" s="13" t="n">
        <v>62</v>
      </c>
      <c r="B65" s="14" t="inlineStr">
        <is>
          <t>FEDERALBNK</t>
        </is>
      </c>
      <c r="C65" s="13" t="inlineStr">
        <is>
          <t>Q4 2022-23</t>
        </is>
      </c>
      <c r="D65" s="15" t="inlineStr">
        <is>
          <t>FUTURE LONG</t>
        </is>
      </c>
      <c r="E65" s="20" t="inlineStr">
        <is>
          <t>AVOID BUT MONITOR IT</t>
        </is>
      </c>
      <c r="F65" s="13" t="inlineStr">
        <is>
          <t>5 Quarters</t>
        </is>
      </c>
      <c r="G65" s="13" t="inlineStr">
        <is>
          <t>T-3 to T+1</t>
        </is>
      </c>
      <c r="H65" s="13" t="inlineStr">
        <is>
          <t>1.98%</t>
        </is>
      </c>
      <c r="I65" s="13" t="inlineStr">
        <is>
          <t>-1.45%</t>
        </is>
      </c>
      <c r="J65" s="13" t="inlineStr">
        <is>
          <t>-3.43%</t>
        </is>
      </c>
      <c r="K65" s="16">
        <f>X64</f>
        <v/>
      </c>
      <c r="L65" s="13" t="inlineStr">
        <is>
          <t>2023-01-17</t>
        </is>
      </c>
      <c r="M65" s="13" t="inlineStr">
        <is>
          <t>2023-01-23</t>
        </is>
      </c>
      <c r="N65" s="13" t="inlineStr">
        <is>
          <t>2023-01-20</t>
        </is>
      </c>
      <c r="O65" s="9" t="n">
        <v>2823</v>
      </c>
      <c r="P65" s="17" t="n">
        <v>135.3439483642578</v>
      </c>
      <c r="Q65" s="17" t="n">
        <v>133.3824462890625</v>
      </c>
      <c r="R65" s="16">
        <f>O65*P65</f>
        <v/>
      </c>
      <c r="S65" s="16">
        <f>O65*Q65</f>
        <v/>
      </c>
      <c r="T65" s="16">
        <f>R65+S65</f>
        <v/>
      </c>
      <c r="U65" s="16">
        <f>ROUND(T65*0.0005, 2)</f>
        <v/>
      </c>
      <c r="V65" s="16">
        <f>S65-R65</f>
        <v/>
      </c>
      <c r="W65" s="16">
        <f>V65-U65</f>
        <v/>
      </c>
      <c r="X65" s="16">
        <f>K65+W65</f>
        <v/>
      </c>
      <c r="Y65" s="16">
        <f>ROUND(0.20*R65, 2)</f>
        <v/>
      </c>
      <c r="Z65" s="18">
        <f>ROUND((W65/Y65)*100, 2)</f>
        <v/>
      </c>
      <c r="AA65" s="16">
        <f>MAX(AA64, X65)</f>
        <v/>
      </c>
      <c r="AB65" s="16">
        <f>X65-AA65</f>
        <v/>
      </c>
    </row>
    <row r="66">
      <c r="A66" s="13" t="n">
        <v>63</v>
      </c>
      <c r="B66" s="14" t="inlineStr">
        <is>
          <t>FORCEMOT</t>
        </is>
      </c>
      <c r="C66" s="13" t="inlineStr">
        <is>
          <t>Q4 2022-23</t>
        </is>
      </c>
      <c r="D66" s="15" t="inlineStr">
        <is>
          <t>FUTURE LONG</t>
        </is>
      </c>
      <c r="E66" s="15" t="inlineStr">
        <is>
          <t>QUALIFIED</t>
        </is>
      </c>
      <c r="F66" s="13" t="inlineStr">
        <is>
          <t>15 Quarters</t>
        </is>
      </c>
      <c r="G66" s="13" t="inlineStr">
        <is>
          <t>T-2 to T+4</t>
        </is>
      </c>
      <c r="H66" s="13" t="inlineStr">
        <is>
          <t>2.41%</t>
        </is>
      </c>
      <c r="I66" s="13" t="inlineStr">
        <is>
          <t>7.38%</t>
        </is>
      </c>
      <c r="J66" s="13" t="inlineStr">
        <is>
          <t>4.97%</t>
        </is>
      </c>
      <c r="K66" s="16">
        <f>X65</f>
        <v/>
      </c>
      <c r="L66" s="13" t="inlineStr">
        <is>
          <t>2024-03-26</t>
        </is>
      </c>
      <c r="M66" s="13" t="inlineStr">
        <is>
          <t>2024-04-04</t>
        </is>
      </c>
      <c r="N66" s="13" t="inlineStr">
        <is>
          <t>2024-03-29</t>
        </is>
      </c>
      <c r="O66" s="9" t="n">
        <v>100</v>
      </c>
      <c r="P66" s="17" t="n">
        <v>7242.14794921875</v>
      </c>
      <c r="Q66" s="17" t="n">
        <v>7776.2880859375</v>
      </c>
      <c r="R66" s="16">
        <f>O66*P66</f>
        <v/>
      </c>
      <c r="S66" s="16">
        <f>O66*Q66</f>
        <v/>
      </c>
      <c r="T66" s="16">
        <f>R66+S66</f>
        <v/>
      </c>
      <c r="U66" s="16">
        <f>ROUND(T66*0.0005, 2)</f>
        <v/>
      </c>
      <c r="V66" s="16">
        <f>S66-R66</f>
        <v/>
      </c>
      <c r="W66" s="16">
        <f>V66-U66</f>
        <v/>
      </c>
      <c r="X66" s="16">
        <f>K66+W66</f>
        <v/>
      </c>
      <c r="Y66" s="16">
        <f>ROUND(0.20*R66, 2)</f>
        <v/>
      </c>
      <c r="Z66" s="18">
        <f>ROUND((W66/Y66)*100, 2)</f>
        <v/>
      </c>
      <c r="AA66" s="16">
        <f>MAX(AA65, X66)</f>
        <v/>
      </c>
      <c r="AB66" s="16">
        <f>X66-AA66</f>
        <v/>
      </c>
    </row>
    <row r="67">
      <c r="A67" s="13" t="n">
        <v>64</v>
      </c>
      <c r="B67" s="14" t="inlineStr">
        <is>
          <t>FORTIS</t>
        </is>
      </c>
      <c r="C67" s="13" t="inlineStr">
        <is>
          <t>Q4 2022-23</t>
        </is>
      </c>
      <c r="D67" s="15" t="inlineStr">
        <is>
          <t>FUTURE LONG</t>
        </is>
      </c>
      <c r="E67" s="20" t="inlineStr">
        <is>
          <t>AVOID BUT MONITOR IT</t>
        </is>
      </c>
      <c r="F67" s="13" t="inlineStr">
        <is>
          <t>5 Quarters</t>
        </is>
      </c>
      <c r="G67" s="13" t="inlineStr">
        <is>
          <t>T-5 to T+4</t>
        </is>
      </c>
      <c r="H67" s="13" t="inlineStr">
        <is>
          <t>0.55%</t>
        </is>
      </c>
      <c r="I67" s="13" t="inlineStr">
        <is>
          <t>-2.43%</t>
        </is>
      </c>
      <c r="J67" s="13" t="inlineStr">
        <is>
          <t>-2.98%</t>
        </is>
      </c>
      <c r="K67" s="16">
        <f>X66</f>
        <v/>
      </c>
      <c r="L67" s="13" t="inlineStr">
        <is>
          <t>2023-01-13</t>
        </is>
      </c>
      <c r="M67" s="13" t="inlineStr">
        <is>
          <t>2023-01-27</t>
        </is>
      </c>
      <c r="N67" s="13" t="inlineStr">
        <is>
          <t>2023-01-20</t>
        </is>
      </c>
      <c r="O67" s="9" t="n">
        <v>1053</v>
      </c>
      <c r="P67" s="17" t="n">
        <v>285.5462341308594</v>
      </c>
      <c r="Q67" s="17" t="n">
        <v>278.597412109375</v>
      </c>
      <c r="R67" s="16">
        <f>O67*P67</f>
        <v/>
      </c>
      <c r="S67" s="16">
        <f>O67*Q67</f>
        <v/>
      </c>
      <c r="T67" s="16">
        <f>R67+S67</f>
        <v/>
      </c>
      <c r="U67" s="16">
        <f>ROUND(T67*0.0005, 2)</f>
        <v/>
      </c>
      <c r="V67" s="16">
        <f>S67-R67</f>
        <v/>
      </c>
      <c r="W67" s="16">
        <f>V67-U67</f>
        <v/>
      </c>
      <c r="X67" s="16">
        <f>K67+W67</f>
        <v/>
      </c>
      <c r="Y67" s="16">
        <f>ROUND(0.20*R67, 2)</f>
        <v/>
      </c>
      <c r="Z67" s="18">
        <f>ROUND((W67/Y67)*100, 2)</f>
        <v/>
      </c>
      <c r="AA67" s="16">
        <f>MAX(AA66, X67)</f>
        <v/>
      </c>
      <c r="AB67" s="16">
        <f>X67-AA67</f>
        <v/>
      </c>
    </row>
    <row r="68">
      <c r="A68" s="13" t="n">
        <v>65</v>
      </c>
      <c r="B68" s="14" t="inlineStr">
        <is>
          <t>GAIL</t>
        </is>
      </c>
      <c r="C68" s="13" t="inlineStr">
        <is>
          <t>Q4 2022-23</t>
        </is>
      </c>
      <c r="D68" s="15" t="inlineStr">
        <is>
          <t>FUTURE LONG</t>
        </is>
      </c>
      <c r="E68" s="20" t="inlineStr">
        <is>
          <t>AVOID BUT MONITOR IT</t>
        </is>
      </c>
      <c r="F68" s="13" t="inlineStr">
        <is>
          <t>5 Quarters</t>
        </is>
      </c>
      <c r="G68" s="13" t="inlineStr">
        <is>
          <t>T-2 to T+4</t>
        </is>
      </c>
      <c r="H68" s="13" t="inlineStr">
        <is>
          <t>2.46%</t>
        </is>
      </c>
      <c r="I68" s="13" t="inlineStr">
        <is>
          <t>1.95%</t>
        </is>
      </c>
      <c r="J68" s="13" t="inlineStr">
        <is>
          <t>-0.51%</t>
        </is>
      </c>
      <c r="K68" s="16">
        <f>X67</f>
        <v/>
      </c>
      <c r="L68" s="13" t="inlineStr">
        <is>
          <t>2023-01-18</t>
        </is>
      </c>
      <c r="M68" s="13" t="inlineStr">
        <is>
          <t>2023-01-27</t>
        </is>
      </c>
      <c r="N68" s="13" t="inlineStr">
        <is>
          <t>2023-01-20</t>
        </is>
      </c>
      <c r="O68" s="9" t="n">
        <v>5759</v>
      </c>
      <c r="P68" s="17" t="n">
        <v>84.42488861083984</v>
      </c>
      <c r="Q68" s="17" t="n">
        <v>86.0743408203125</v>
      </c>
      <c r="R68" s="16">
        <f>O68*P68</f>
        <v/>
      </c>
      <c r="S68" s="16">
        <f>O68*Q68</f>
        <v/>
      </c>
      <c r="T68" s="16">
        <f>R68+S68</f>
        <v/>
      </c>
      <c r="U68" s="16">
        <f>ROUND(T68*0.0005, 2)</f>
        <v/>
      </c>
      <c r="V68" s="16">
        <f>S68-R68</f>
        <v/>
      </c>
      <c r="W68" s="16">
        <f>V68-U68</f>
        <v/>
      </c>
      <c r="X68" s="16">
        <f>K68+W68</f>
        <v/>
      </c>
      <c r="Y68" s="16">
        <f>ROUND(0.20*R68, 2)</f>
        <v/>
      </c>
      <c r="Z68" s="18">
        <f>ROUND((W68/Y68)*100, 2)</f>
        <v/>
      </c>
      <c r="AA68" s="16">
        <f>MAX(AA67, X68)</f>
        <v/>
      </c>
      <c r="AB68" s="16">
        <f>X68-AA68</f>
        <v/>
      </c>
    </row>
    <row r="69">
      <c r="A69" s="13" t="n">
        <v>66</v>
      </c>
      <c r="B69" s="14" t="inlineStr">
        <is>
          <t>GLENMARK</t>
        </is>
      </c>
      <c r="C69" s="13" t="inlineStr">
        <is>
          <t>Q4 2022-23</t>
        </is>
      </c>
      <c r="D69" s="15" t="inlineStr">
        <is>
          <t>FUTURE LONG</t>
        </is>
      </c>
      <c r="E69" s="20" t="inlineStr">
        <is>
          <t>AVOID BUT MONITOR IT</t>
        </is>
      </c>
      <c r="F69" s="13" t="inlineStr">
        <is>
          <t>5 Quarters</t>
        </is>
      </c>
      <c r="G69" s="13" t="inlineStr">
        <is>
          <t>T-2 to T+4</t>
        </is>
      </c>
      <c r="H69" s="13" t="inlineStr">
        <is>
          <t>4.36%</t>
        </is>
      </c>
      <c r="I69" s="13" t="inlineStr">
        <is>
          <t>-9.04%</t>
        </is>
      </c>
      <c r="J69" s="13" t="inlineStr">
        <is>
          <t>-13.4%</t>
        </is>
      </c>
      <c r="K69" s="16">
        <f>X68</f>
        <v/>
      </c>
      <c r="L69" s="13" t="inlineStr">
        <is>
          <t>2023-01-18</t>
        </is>
      </c>
      <c r="M69" s="13" t="inlineStr">
        <is>
          <t>2023-01-27</t>
        </is>
      </c>
      <c r="N69" s="13" t="inlineStr">
        <is>
          <t>2023-01-20</t>
        </is>
      </c>
      <c r="O69" s="9" t="n">
        <v>456</v>
      </c>
      <c r="P69" s="17" t="n">
        <v>416.3076782226562</v>
      </c>
      <c r="Q69" s="17" t="n">
        <v>378.6647033691406</v>
      </c>
      <c r="R69" s="16">
        <f>O69*P69</f>
        <v/>
      </c>
      <c r="S69" s="16">
        <f>O69*Q69</f>
        <v/>
      </c>
      <c r="T69" s="16">
        <f>R69+S69</f>
        <v/>
      </c>
      <c r="U69" s="16">
        <f>ROUND(T69*0.0005, 2)</f>
        <v/>
      </c>
      <c r="V69" s="16">
        <f>S69-R69</f>
        <v/>
      </c>
      <c r="W69" s="16">
        <f>V69-U69</f>
        <v/>
      </c>
      <c r="X69" s="16">
        <f>K69+W69</f>
        <v/>
      </c>
      <c r="Y69" s="16">
        <f>ROUND(0.20*R69, 2)</f>
        <v/>
      </c>
      <c r="Z69" s="18">
        <f>ROUND((W69/Y69)*100, 2)</f>
        <v/>
      </c>
      <c r="AA69" s="16">
        <f>MAX(AA68, X69)</f>
        <v/>
      </c>
      <c r="AB69" s="16">
        <f>X69-AA69</f>
        <v/>
      </c>
    </row>
    <row r="70">
      <c r="A70" s="13" t="n">
        <v>67</v>
      </c>
      <c r="B70" s="14" t="inlineStr">
        <is>
          <t>GMRAIRPORT</t>
        </is>
      </c>
      <c r="C70" s="13" t="inlineStr">
        <is>
          <t>Q4 2022-23</t>
        </is>
      </c>
      <c r="D70" s="19" t="inlineStr">
        <is>
          <t>FUTURE SHORT</t>
        </is>
      </c>
      <c r="E70" s="20" t="inlineStr">
        <is>
          <t>AVOID BUT MONITOR IT</t>
        </is>
      </c>
      <c r="F70" s="13" t="inlineStr">
        <is>
          <t>5 Quarters</t>
        </is>
      </c>
      <c r="G70" s="13" t="inlineStr">
        <is>
          <t>T-2 to T+4</t>
        </is>
      </c>
      <c r="H70" s="13" t="inlineStr">
        <is>
          <t>-1.23%</t>
        </is>
      </c>
      <c r="I70" s="13" t="inlineStr">
        <is>
          <t>8.99%</t>
        </is>
      </c>
      <c r="J70" s="13" t="inlineStr">
        <is>
          <t>10.22%</t>
        </is>
      </c>
      <c r="K70" s="16">
        <f>X69</f>
        <v/>
      </c>
      <c r="L70" s="13" t="inlineStr">
        <is>
          <t>2023-01-18</t>
        </is>
      </c>
      <c r="M70" s="13" t="inlineStr">
        <is>
          <t>2023-01-27</t>
        </is>
      </c>
      <c r="N70" s="13" t="inlineStr">
        <is>
          <t>2023-01-20</t>
        </is>
      </c>
      <c r="O70" s="9" t="n">
        <v>9623</v>
      </c>
      <c r="P70" s="17" t="n">
        <v>36.95000076293945</v>
      </c>
      <c r="Q70" s="17" t="n">
        <v>40.59999847412109</v>
      </c>
      <c r="R70" s="16">
        <f>O70*P70</f>
        <v/>
      </c>
      <c r="S70" s="16">
        <f>O70*Q70</f>
        <v/>
      </c>
      <c r="T70" s="16">
        <f>R70+S70</f>
        <v/>
      </c>
      <c r="U70" s="16">
        <f>ROUND(T70*0.0005, 2)</f>
        <v/>
      </c>
      <c r="V70" s="16">
        <f>S70-R70</f>
        <v/>
      </c>
      <c r="W70" s="16">
        <f>V70-U70</f>
        <v/>
      </c>
      <c r="X70" s="16">
        <f>K70+W70</f>
        <v/>
      </c>
      <c r="Y70" s="16">
        <f>ROUND(0.20*R70, 2)</f>
        <v/>
      </c>
      <c r="Z70" s="18">
        <f>ROUND((W70/Y70)*100, 2)</f>
        <v/>
      </c>
      <c r="AA70" s="16">
        <f>MAX(AA69, X70)</f>
        <v/>
      </c>
      <c r="AB70" s="16">
        <f>X70-AA70</f>
        <v/>
      </c>
    </row>
    <row r="71">
      <c r="A71" s="13" t="n">
        <v>68</v>
      </c>
      <c r="B71" s="14" t="inlineStr">
        <is>
          <t>GODFRYPHLP</t>
        </is>
      </c>
      <c r="C71" s="13" t="inlineStr">
        <is>
          <t>Q4 2022-23</t>
        </is>
      </c>
      <c r="D71" s="15" t="inlineStr">
        <is>
          <t>FUTURE LONG</t>
        </is>
      </c>
      <c r="E71" s="20" t="inlineStr">
        <is>
          <t>AVOID BUT MONITOR IT</t>
        </is>
      </c>
      <c r="F71" s="13" t="inlineStr">
        <is>
          <t>5 Quarters</t>
        </is>
      </c>
      <c r="G71" s="13" t="inlineStr">
        <is>
          <t>T-3 to T+4</t>
        </is>
      </c>
      <c r="H71" s="13" t="inlineStr">
        <is>
          <t>3.18%</t>
        </is>
      </c>
      <c r="I71" s="13" t="inlineStr">
        <is>
          <t>-2.0%</t>
        </is>
      </c>
      <c r="J71" s="13" t="inlineStr">
        <is>
          <t>-5.18%</t>
        </is>
      </c>
      <c r="K71" s="16">
        <f>X70</f>
        <v/>
      </c>
      <c r="L71" s="13" t="inlineStr">
        <is>
          <t>2023-01-17</t>
        </is>
      </c>
      <c r="M71" s="13" t="inlineStr">
        <is>
          <t>2023-01-27</t>
        </is>
      </c>
      <c r="N71" s="13" t="inlineStr">
        <is>
          <t>2023-01-20</t>
        </is>
      </c>
      <c r="O71" s="9" t="n">
        <v>469</v>
      </c>
      <c r="P71" s="17" t="n">
        <v>613.2342529296875</v>
      </c>
      <c r="Q71" s="17" t="n">
        <v>600.9966430664062</v>
      </c>
      <c r="R71" s="16">
        <f>O71*P71</f>
        <v/>
      </c>
      <c r="S71" s="16">
        <f>O71*Q71</f>
        <v/>
      </c>
      <c r="T71" s="16">
        <f>R71+S71</f>
        <v/>
      </c>
      <c r="U71" s="16">
        <f>ROUND(T71*0.0005, 2)</f>
        <v/>
      </c>
      <c r="V71" s="16">
        <f>S71-R71</f>
        <v/>
      </c>
      <c r="W71" s="16">
        <f>V71-U71</f>
        <v/>
      </c>
      <c r="X71" s="16">
        <f>K71+W71</f>
        <v/>
      </c>
      <c r="Y71" s="16">
        <f>ROUND(0.20*R71, 2)</f>
        <v/>
      </c>
      <c r="Z71" s="18">
        <f>ROUND((W71/Y71)*100, 2)</f>
        <v/>
      </c>
      <c r="AA71" s="16">
        <f>MAX(AA70, X71)</f>
        <v/>
      </c>
      <c r="AB71" s="16">
        <f>X71-AA71</f>
        <v/>
      </c>
    </row>
    <row r="72">
      <c r="A72" s="13" t="n">
        <v>69</v>
      </c>
      <c r="B72" s="14" t="inlineStr">
        <is>
          <t>GODREJCP</t>
        </is>
      </c>
      <c r="C72" s="13" t="inlineStr">
        <is>
          <t>Q4 2022-23</t>
        </is>
      </c>
      <c r="D72" s="15" t="inlineStr">
        <is>
          <t>FUTURE LONG</t>
        </is>
      </c>
      <c r="E72" s="20" t="inlineStr">
        <is>
          <t>AVOID BUT MONITOR IT</t>
        </is>
      </c>
      <c r="F72" s="13" t="inlineStr">
        <is>
          <t>5 Quarters</t>
        </is>
      </c>
      <c r="G72" s="13" t="inlineStr">
        <is>
          <t>T-5 to T+1</t>
        </is>
      </c>
      <c r="H72" s="13" t="inlineStr">
        <is>
          <t>2.65%</t>
        </is>
      </c>
      <c r="I72" s="13" t="inlineStr">
        <is>
          <t>1.05%</t>
        </is>
      </c>
      <c r="J72" s="13" t="inlineStr">
        <is>
          <t>-1.6%</t>
        </is>
      </c>
      <c r="K72" s="16">
        <f>X71</f>
        <v/>
      </c>
      <c r="L72" s="13" t="inlineStr">
        <is>
          <t>2023-01-13</t>
        </is>
      </c>
      <c r="M72" s="13" t="inlineStr">
        <is>
          <t>2023-01-23</t>
        </is>
      </c>
      <c r="N72" s="13" t="inlineStr">
        <is>
          <t>2023-01-20</t>
        </is>
      </c>
      <c r="O72" s="9" t="n">
        <v>932</v>
      </c>
      <c r="P72" s="17" t="n">
        <v>876.07470703125</v>
      </c>
      <c r="Q72" s="17" t="n">
        <v>885.2919921875</v>
      </c>
      <c r="R72" s="16">
        <f>O72*P72</f>
        <v/>
      </c>
      <c r="S72" s="16">
        <f>O72*Q72</f>
        <v/>
      </c>
      <c r="T72" s="16">
        <f>R72+S72</f>
        <v/>
      </c>
      <c r="U72" s="16">
        <f>ROUND(T72*0.0005, 2)</f>
        <v/>
      </c>
      <c r="V72" s="16">
        <f>S72-R72</f>
        <v/>
      </c>
      <c r="W72" s="16">
        <f>V72-U72</f>
        <v/>
      </c>
      <c r="X72" s="16">
        <f>K72+W72</f>
        <v/>
      </c>
      <c r="Y72" s="16">
        <f>ROUND(0.20*R72, 2)</f>
        <v/>
      </c>
      <c r="Z72" s="18">
        <f>ROUND((W72/Y72)*100, 2)</f>
        <v/>
      </c>
      <c r="AA72" s="16">
        <f>MAX(AA71, X72)</f>
        <v/>
      </c>
      <c r="AB72" s="16">
        <f>X72-AA72</f>
        <v/>
      </c>
    </row>
    <row r="73">
      <c r="A73" s="13" t="n">
        <v>70</v>
      </c>
      <c r="B73" s="14" t="inlineStr">
        <is>
          <t>GODREJPROP</t>
        </is>
      </c>
      <c r="C73" s="13" t="inlineStr">
        <is>
          <t>Q4 2022-23</t>
        </is>
      </c>
      <c r="D73" s="19" t="inlineStr">
        <is>
          <t>FUTURE SHORT</t>
        </is>
      </c>
      <c r="E73" s="20" t="inlineStr">
        <is>
          <t>AVOID BUT MONITOR IT</t>
        </is>
      </c>
      <c r="F73" s="13" t="inlineStr">
        <is>
          <t>5 Quarters</t>
        </is>
      </c>
      <c r="G73" s="13" t="inlineStr">
        <is>
          <t>T-7 to T+1</t>
        </is>
      </c>
      <c r="H73" s="13" t="inlineStr">
        <is>
          <t>-2.32%</t>
        </is>
      </c>
      <c r="I73" s="13" t="inlineStr">
        <is>
          <t>-0.7%</t>
        </is>
      </c>
      <c r="J73" s="13" t="inlineStr">
        <is>
          <t>1.62%</t>
        </is>
      </c>
      <c r="K73" s="16">
        <f>X72</f>
        <v/>
      </c>
      <c r="L73" s="13" t="inlineStr">
        <is>
          <t>2023-01-11</t>
        </is>
      </c>
      <c r="M73" s="13" t="inlineStr">
        <is>
          <t>2023-01-23</t>
        </is>
      </c>
      <c r="N73" s="13" t="inlineStr">
        <is>
          <t>2023-01-20</t>
        </is>
      </c>
      <c r="O73" s="9" t="n">
        <v>473</v>
      </c>
      <c r="P73" s="17" t="n">
        <v>1226.620971679688</v>
      </c>
      <c r="Q73" s="17" t="n">
        <v>1218.062255859375</v>
      </c>
      <c r="R73" s="16">
        <f>O73*P73</f>
        <v/>
      </c>
      <c r="S73" s="16">
        <f>O73*Q73</f>
        <v/>
      </c>
      <c r="T73" s="16">
        <f>R73+S73</f>
        <v/>
      </c>
      <c r="U73" s="16">
        <f>ROUND(T73*0.0005, 2)</f>
        <v/>
      </c>
      <c r="V73" s="16">
        <f>S73-R73</f>
        <v/>
      </c>
      <c r="W73" s="16">
        <f>V73-U73</f>
        <v/>
      </c>
      <c r="X73" s="16">
        <f>K73+W73</f>
        <v/>
      </c>
      <c r="Y73" s="16">
        <f>ROUND(0.20*R73, 2)</f>
        <v/>
      </c>
      <c r="Z73" s="18">
        <f>ROUND((W73/Y73)*100, 2)</f>
        <v/>
      </c>
      <c r="AA73" s="16">
        <f>MAX(AA72, X73)</f>
        <v/>
      </c>
      <c r="AB73" s="16">
        <f>X73-AA73</f>
        <v/>
      </c>
    </row>
    <row r="74">
      <c r="A74" s="13" t="n">
        <v>71</v>
      </c>
      <c r="B74" s="14" t="inlineStr">
        <is>
          <t>GRASIM</t>
        </is>
      </c>
      <c r="C74" s="13" t="inlineStr">
        <is>
          <t>Q4 2022-23</t>
        </is>
      </c>
      <c r="D74" s="19" t="inlineStr">
        <is>
          <t>FUTURE SHORT</t>
        </is>
      </c>
      <c r="E74" s="15" t="inlineStr">
        <is>
          <t>QUALIFIED</t>
        </is>
      </c>
      <c r="F74" s="13" t="inlineStr">
        <is>
          <t>188 Quarters</t>
        </is>
      </c>
      <c r="G74" s="13" t="inlineStr">
        <is>
          <t>T-4 to T+4</t>
        </is>
      </c>
      <c r="H74" s="13" t="inlineStr">
        <is>
          <t>-0.04%</t>
        </is>
      </c>
      <c r="I74" s="13" t="inlineStr">
        <is>
          <t>2.95%</t>
        </is>
      </c>
      <c r="J74" s="13" t="inlineStr">
        <is>
          <t>2.99%</t>
        </is>
      </c>
      <c r="K74" s="16">
        <f>X73</f>
        <v/>
      </c>
      <c r="L74" s="13" t="inlineStr">
        <is>
          <t>2023-08-07</t>
        </is>
      </c>
      <c r="M74" s="13" t="inlineStr">
        <is>
          <t>2023-08-18</t>
        </is>
      </c>
      <c r="N74" s="13" t="inlineStr">
        <is>
          <t>2023-08-10</t>
        </is>
      </c>
      <c r="O74" s="9" t="n">
        <v>250</v>
      </c>
      <c r="P74" s="17" t="n">
        <v>1770.587158203125</v>
      </c>
      <c r="Q74" s="17" t="n">
        <v>1824.479125976562</v>
      </c>
      <c r="R74" s="16">
        <f>O74*P74</f>
        <v/>
      </c>
      <c r="S74" s="16">
        <f>O74*Q74</f>
        <v/>
      </c>
      <c r="T74" s="16">
        <f>R74+S74</f>
        <v/>
      </c>
      <c r="U74" s="16">
        <f>ROUND(T74*0.0005, 2)</f>
        <v/>
      </c>
      <c r="V74" s="16">
        <f>S74-R74</f>
        <v/>
      </c>
      <c r="W74" s="16">
        <f>V74-U74</f>
        <v/>
      </c>
      <c r="X74" s="16">
        <f>K74+W74</f>
        <v/>
      </c>
      <c r="Y74" s="16">
        <f>ROUND(0.20*R74, 2)</f>
        <v/>
      </c>
      <c r="Z74" s="18">
        <f>ROUND((W74/Y74)*100, 2)</f>
        <v/>
      </c>
      <c r="AA74" s="16">
        <f>MAX(AA73, X74)</f>
        <v/>
      </c>
      <c r="AB74" s="16">
        <f>X74-AA74</f>
        <v/>
      </c>
    </row>
    <row r="75">
      <c r="A75" s="13" t="n">
        <v>72</v>
      </c>
      <c r="B75" s="14" t="inlineStr">
        <is>
          <t>GVT&amp;D</t>
        </is>
      </c>
      <c r="C75" s="13" t="inlineStr">
        <is>
          <t>Q4 2022-23</t>
        </is>
      </c>
      <c r="D75" s="15" t="inlineStr">
        <is>
          <t>FUTURE LONG</t>
        </is>
      </c>
      <c r="E75" s="20" t="inlineStr">
        <is>
          <t>AVOID BUT MONITOR IT</t>
        </is>
      </c>
      <c r="F75" s="13" t="inlineStr">
        <is>
          <t>5 Quarters</t>
        </is>
      </c>
      <c r="G75" s="13" t="inlineStr">
        <is>
          <t>T-3 to T+4</t>
        </is>
      </c>
      <c r="H75" s="13" t="inlineStr">
        <is>
          <t>6.11%</t>
        </is>
      </c>
      <c r="I75" s="13" t="inlineStr">
        <is>
          <t>-3.63%</t>
        </is>
      </c>
      <c r="J75" s="13" t="inlineStr">
        <is>
          <t>-9.74%</t>
        </is>
      </c>
      <c r="K75" s="16">
        <f>X74</f>
        <v/>
      </c>
      <c r="L75" s="13" t="inlineStr">
        <is>
          <t>2023-01-17</t>
        </is>
      </c>
      <c r="M75" s="13" t="inlineStr">
        <is>
          <t>2023-01-27</t>
        </is>
      </c>
      <c r="N75" s="13" t="inlineStr">
        <is>
          <t>2023-01-20</t>
        </is>
      </c>
      <c r="O75" s="9" t="n">
        <v>237</v>
      </c>
      <c r="P75" s="17" t="n">
        <v>118.0926055908203</v>
      </c>
      <c r="Q75" s="17" t="n">
        <v>113.8055877685547</v>
      </c>
      <c r="R75" s="16">
        <f>O75*P75</f>
        <v/>
      </c>
      <c r="S75" s="16">
        <f>O75*Q75</f>
        <v/>
      </c>
      <c r="T75" s="16">
        <f>R75+S75</f>
        <v/>
      </c>
      <c r="U75" s="16">
        <f>ROUND(T75*0.0005, 2)</f>
        <v/>
      </c>
      <c r="V75" s="16">
        <f>S75-R75</f>
        <v/>
      </c>
      <c r="W75" s="16">
        <f>V75-U75</f>
        <v/>
      </c>
      <c r="X75" s="16">
        <f>K75+W75</f>
        <v/>
      </c>
      <c r="Y75" s="16">
        <f>ROUND(0.20*R75, 2)</f>
        <v/>
      </c>
      <c r="Z75" s="18">
        <f>ROUND((W75/Y75)*100, 2)</f>
        <v/>
      </c>
      <c r="AA75" s="16">
        <f>MAX(AA74, X75)</f>
        <v/>
      </c>
      <c r="AB75" s="16">
        <f>X75-AA75</f>
        <v/>
      </c>
    </row>
    <row r="76">
      <c r="A76" s="13" t="n">
        <v>73</v>
      </c>
      <c r="B76" s="14" t="inlineStr">
        <is>
          <t>HAL</t>
        </is>
      </c>
      <c r="C76" s="13" t="inlineStr">
        <is>
          <t>Q4 2022-23</t>
        </is>
      </c>
      <c r="D76" s="15" t="inlineStr">
        <is>
          <t>FUTURE LONG</t>
        </is>
      </c>
      <c r="E76" s="20" t="inlineStr">
        <is>
          <t>AVOID BUT MONITOR IT</t>
        </is>
      </c>
      <c r="F76" s="13" t="inlineStr">
        <is>
          <t>5 Quarters</t>
        </is>
      </c>
      <c r="G76" s="13" t="inlineStr">
        <is>
          <t>T-4 to T+4</t>
        </is>
      </c>
      <c r="H76" s="13" t="inlineStr">
        <is>
          <t>3.25%</t>
        </is>
      </c>
      <c r="I76" s="13" t="inlineStr">
        <is>
          <t>-0.51%</t>
        </is>
      </c>
      <c r="J76" s="13" t="inlineStr">
        <is>
          <t>-3.76%</t>
        </is>
      </c>
      <c r="K76" s="16">
        <f>X75</f>
        <v/>
      </c>
      <c r="L76" s="13" t="inlineStr">
        <is>
          <t>2023-01-16</t>
        </is>
      </c>
      <c r="M76" s="13" t="inlineStr">
        <is>
          <t>2023-01-27</t>
        </is>
      </c>
      <c r="N76" s="13" t="inlineStr">
        <is>
          <t>2023-01-20</t>
        </is>
      </c>
      <c r="O76" s="9" t="n">
        <v>218</v>
      </c>
      <c r="P76" s="17" t="n">
        <v>1190.45166015625</v>
      </c>
      <c r="Q76" s="17" t="n">
        <v>1184.3974609375</v>
      </c>
      <c r="R76" s="16">
        <f>O76*P76</f>
        <v/>
      </c>
      <c r="S76" s="16">
        <f>O76*Q76</f>
        <v/>
      </c>
      <c r="T76" s="16">
        <f>R76+S76</f>
        <v/>
      </c>
      <c r="U76" s="16">
        <f>ROUND(T76*0.0005, 2)</f>
        <v/>
      </c>
      <c r="V76" s="16">
        <f>S76-R76</f>
        <v/>
      </c>
      <c r="W76" s="16">
        <f>V76-U76</f>
        <v/>
      </c>
      <c r="X76" s="16">
        <f>K76+W76</f>
        <v/>
      </c>
      <c r="Y76" s="16">
        <f>ROUND(0.20*R76, 2)</f>
        <v/>
      </c>
      <c r="Z76" s="18">
        <f>ROUND((W76/Y76)*100, 2)</f>
        <v/>
      </c>
      <c r="AA76" s="16">
        <f>MAX(AA75, X76)</f>
        <v/>
      </c>
      <c r="AB76" s="16">
        <f>X76-AA76</f>
        <v/>
      </c>
    </row>
    <row r="77">
      <c r="A77" s="13" t="n">
        <v>74</v>
      </c>
      <c r="B77" s="14" t="inlineStr">
        <is>
          <t>HAVELLS</t>
        </is>
      </c>
      <c r="C77" s="13" t="inlineStr">
        <is>
          <t>Q4 2022-23</t>
        </is>
      </c>
      <c r="D77" s="19" t="inlineStr">
        <is>
          <t>FUTURE SHORT</t>
        </is>
      </c>
      <c r="E77" s="20" t="inlineStr">
        <is>
          <t>AVOID BUT MONITOR IT</t>
        </is>
      </c>
      <c r="F77" s="13" t="inlineStr">
        <is>
          <t>5 Quarters</t>
        </is>
      </c>
      <c r="G77" s="13" t="inlineStr">
        <is>
          <t>T-5 to T+4</t>
        </is>
      </c>
      <c r="H77" s="13" t="inlineStr">
        <is>
          <t>4.55%</t>
        </is>
      </c>
      <c r="I77" s="13" t="inlineStr">
        <is>
          <t>-0.13%</t>
        </is>
      </c>
      <c r="J77" s="13" t="inlineStr">
        <is>
          <t>-4.68%</t>
        </is>
      </c>
      <c r="K77" s="16">
        <f>X76</f>
        <v/>
      </c>
      <c r="L77" s="13" t="inlineStr">
        <is>
          <t>2023-01-13</t>
        </is>
      </c>
      <c r="M77" s="13" t="inlineStr">
        <is>
          <t>2023-01-27</t>
        </is>
      </c>
      <c r="N77" s="13" t="inlineStr">
        <is>
          <t>2023-01-20</t>
        </is>
      </c>
      <c r="O77" s="9" t="n">
        <v>792</v>
      </c>
      <c r="P77" s="17" t="n">
        <v>1144.181762695312</v>
      </c>
      <c r="Q77" s="17" t="n">
        <v>1142.669799804688</v>
      </c>
      <c r="R77" s="16">
        <f>O77*P77</f>
        <v/>
      </c>
      <c r="S77" s="16">
        <f>O77*Q77</f>
        <v/>
      </c>
      <c r="T77" s="16">
        <f>R77+S77</f>
        <v/>
      </c>
      <c r="U77" s="16">
        <f>ROUND(T77*0.0005, 2)</f>
        <v/>
      </c>
      <c r="V77" s="16">
        <f>S77-R77</f>
        <v/>
      </c>
      <c r="W77" s="16">
        <f>V77-U77</f>
        <v/>
      </c>
      <c r="X77" s="16">
        <f>K77+W77</f>
        <v/>
      </c>
      <c r="Y77" s="16">
        <f>ROUND(0.20*R77, 2)</f>
        <v/>
      </c>
      <c r="Z77" s="18">
        <f>ROUND((W77/Y77)*100, 2)</f>
        <v/>
      </c>
      <c r="AA77" s="16">
        <f>MAX(AA76, X77)</f>
        <v/>
      </c>
      <c r="AB77" s="16">
        <f>X77-AA77</f>
        <v/>
      </c>
    </row>
    <row r="78">
      <c r="A78" s="13" t="n">
        <v>75</v>
      </c>
      <c r="B78" s="14" t="inlineStr">
        <is>
          <t>HCLTECH</t>
        </is>
      </c>
      <c r="C78" s="13" t="inlineStr">
        <is>
          <t>Q4 2022-23</t>
        </is>
      </c>
      <c r="D78" s="15" t="inlineStr">
        <is>
          <t>FUTURE LONG</t>
        </is>
      </c>
      <c r="E78" s="15" t="inlineStr">
        <is>
          <t>QUALIFIED</t>
        </is>
      </c>
      <c r="F78" s="13" t="inlineStr">
        <is>
          <t>149 Quarters</t>
        </is>
      </c>
      <c r="G78" s="13" t="inlineStr">
        <is>
          <t>T-4 to T+4</t>
        </is>
      </c>
      <c r="H78" s="13" t="inlineStr">
        <is>
          <t>0.34%</t>
        </is>
      </c>
      <c r="I78" s="13" t="inlineStr">
        <is>
          <t>0.99%</t>
        </is>
      </c>
      <c r="J78" s="13" t="inlineStr">
        <is>
          <t>0.65%</t>
        </is>
      </c>
      <c r="K78" s="16">
        <f>X77</f>
        <v/>
      </c>
      <c r="L78" s="13" t="inlineStr">
        <is>
          <t>2023-07-07</t>
        </is>
      </c>
      <c r="M78" s="13" t="inlineStr">
        <is>
          <t>2023-07-19</t>
        </is>
      </c>
      <c r="N78" s="13" t="inlineStr">
        <is>
          <t>2023-07-12</t>
        </is>
      </c>
      <c r="O78" s="9" t="n">
        <v>350</v>
      </c>
      <c r="P78" s="17" t="n">
        <v>1029.994750976562</v>
      </c>
      <c r="Q78" s="17" t="n">
        <v>1040.182739257812</v>
      </c>
      <c r="R78" s="16">
        <f>O78*P78</f>
        <v/>
      </c>
      <c r="S78" s="16">
        <f>O78*Q78</f>
        <v/>
      </c>
      <c r="T78" s="16">
        <f>R78+S78</f>
        <v/>
      </c>
      <c r="U78" s="16">
        <f>ROUND(T78*0.0005, 2)</f>
        <v/>
      </c>
      <c r="V78" s="16">
        <f>S78-R78</f>
        <v/>
      </c>
      <c r="W78" s="16">
        <f>V78-U78</f>
        <v/>
      </c>
      <c r="X78" s="16">
        <f>K78+W78</f>
        <v/>
      </c>
      <c r="Y78" s="16">
        <f>ROUND(0.20*R78, 2)</f>
        <v/>
      </c>
      <c r="Z78" s="18">
        <f>ROUND((W78/Y78)*100, 2)</f>
        <v/>
      </c>
      <c r="AA78" s="16">
        <f>MAX(AA77, X78)</f>
        <v/>
      </c>
      <c r="AB78" s="16">
        <f>X78-AA78</f>
        <v/>
      </c>
    </row>
    <row r="79">
      <c r="A79" s="13" t="n">
        <v>76</v>
      </c>
      <c r="B79" s="14" t="inlineStr">
        <is>
          <t>HDFCAMC</t>
        </is>
      </c>
      <c r="C79" s="13" t="inlineStr">
        <is>
          <t>Q4 2022-23</t>
        </is>
      </c>
      <c r="D79" s="19" t="inlineStr">
        <is>
          <t>FUTURE SHORT</t>
        </is>
      </c>
      <c r="E79" s="20" t="inlineStr">
        <is>
          <t>AVOID BUT MONITOR IT</t>
        </is>
      </c>
      <c r="F79" s="13" t="inlineStr">
        <is>
          <t>5 Quarters</t>
        </is>
      </c>
      <c r="G79" s="13" t="inlineStr">
        <is>
          <t>T-4 to T+1</t>
        </is>
      </c>
      <c r="H79" s="13" t="inlineStr">
        <is>
          <t>-2.29%</t>
        </is>
      </c>
      <c r="I79" s="13" t="inlineStr">
        <is>
          <t>5.26%</t>
        </is>
      </c>
      <c r="J79" s="13" t="inlineStr">
        <is>
          <t>7.55%</t>
        </is>
      </c>
      <c r="K79" s="16">
        <f>X78</f>
        <v/>
      </c>
      <c r="L79" s="13" t="inlineStr">
        <is>
          <t>2023-01-16</t>
        </is>
      </c>
      <c r="M79" s="13" t="inlineStr">
        <is>
          <t>2023-01-23</t>
        </is>
      </c>
      <c r="N79" s="13" t="inlineStr">
        <is>
          <t>2023-01-20</t>
        </is>
      </c>
      <c r="O79" s="9" t="n">
        <v>392</v>
      </c>
      <c r="P79" s="17" t="n">
        <v>921.4645385742188</v>
      </c>
      <c r="Q79" s="17" t="n">
        <v>972.6543579101562</v>
      </c>
      <c r="R79" s="16">
        <f>O79*P79</f>
        <v/>
      </c>
      <c r="S79" s="16">
        <f>O79*Q79</f>
        <v/>
      </c>
      <c r="T79" s="16">
        <f>R79+S79</f>
        <v/>
      </c>
      <c r="U79" s="16">
        <f>ROUND(T79*0.0005, 2)</f>
        <v/>
      </c>
      <c r="V79" s="16">
        <f>S79-R79</f>
        <v/>
      </c>
      <c r="W79" s="16">
        <f>V79-U79</f>
        <v/>
      </c>
      <c r="X79" s="16">
        <f>K79+W79</f>
        <v/>
      </c>
      <c r="Y79" s="16">
        <f>ROUND(0.20*R79, 2)</f>
        <v/>
      </c>
      <c r="Z79" s="18">
        <f>ROUND((W79/Y79)*100, 2)</f>
        <v/>
      </c>
      <c r="AA79" s="16">
        <f>MAX(AA78, X79)</f>
        <v/>
      </c>
      <c r="AB79" s="16">
        <f>X79-AA79</f>
        <v/>
      </c>
    </row>
    <row r="80">
      <c r="A80" s="13" t="n">
        <v>77</v>
      </c>
      <c r="B80" s="14" t="inlineStr">
        <is>
          <t>HDFCBANK</t>
        </is>
      </c>
      <c r="C80" s="13" t="inlineStr">
        <is>
          <t>Q4 2022-23</t>
        </is>
      </c>
      <c r="D80" s="15" t="inlineStr">
        <is>
          <t>FUTURE LONG</t>
        </is>
      </c>
      <c r="E80" s="15" t="inlineStr">
        <is>
          <t>QUALIFIED</t>
        </is>
      </c>
      <c r="F80" s="13" t="inlineStr">
        <is>
          <t>129 Quarters</t>
        </is>
      </c>
      <c r="G80" s="13" t="inlineStr">
        <is>
          <t>T-7 to T+4</t>
        </is>
      </c>
      <c r="H80" s="13" t="inlineStr">
        <is>
          <t>0.24%</t>
        </is>
      </c>
      <c r="I80" s="13" t="inlineStr">
        <is>
          <t>1.08%</t>
        </is>
      </c>
      <c r="J80" s="13" t="inlineStr">
        <is>
          <t>0.84%</t>
        </is>
      </c>
      <c r="K80" s="16">
        <f>X79</f>
        <v/>
      </c>
      <c r="L80" s="13" t="inlineStr">
        <is>
          <t>2023-07-07</t>
        </is>
      </c>
      <c r="M80" s="13" t="inlineStr">
        <is>
          <t>2023-07-24</t>
        </is>
      </c>
      <c r="N80" s="13" t="inlineStr">
        <is>
          <t>2023-07-17</t>
        </is>
      </c>
      <c r="O80" s="9" t="n">
        <v>550</v>
      </c>
      <c r="P80" s="17" t="n">
        <v>794.945068359375</v>
      </c>
      <c r="Q80" s="17" t="n">
        <v>803.5628662109375</v>
      </c>
      <c r="R80" s="16">
        <f>O80*P80</f>
        <v/>
      </c>
      <c r="S80" s="16">
        <f>O80*Q80</f>
        <v/>
      </c>
      <c r="T80" s="16">
        <f>R80+S80</f>
        <v/>
      </c>
      <c r="U80" s="16">
        <f>ROUND(T80*0.0005, 2)</f>
        <v/>
      </c>
      <c r="V80" s="16">
        <f>S80-R80</f>
        <v/>
      </c>
      <c r="W80" s="16">
        <f>V80-U80</f>
        <v/>
      </c>
      <c r="X80" s="16">
        <f>K80+W80</f>
        <v/>
      </c>
      <c r="Y80" s="16">
        <f>ROUND(0.20*R80, 2)</f>
        <v/>
      </c>
      <c r="Z80" s="18">
        <f>ROUND((W80/Y80)*100, 2)</f>
        <v/>
      </c>
      <c r="AA80" s="16">
        <f>MAX(AA79, X80)</f>
        <v/>
      </c>
      <c r="AB80" s="16">
        <f>X80-AA80</f>
        <v/>
      </c>
    </row>
    <row r="81">
      <c r="A81" s="13" t="n">
        <v>78</v>
      </c>
      <c r="B81" s="14" t="inlineStr">
        <is>
          <t>HDFCLIFE</t>
        </is>
      </c>
      <c r="C81" s="13" t="inlineStr">
        <is>
          <t>Q4 2022-23</t>
        </is>
      </c>
      <c r="D81" s="19" t="inlineStr">
        <is>
          <t>FUTURE SHORT</t>
        </is>
      </c>
      <c r="E81" s="15" t="inlineStr">
        <is>
          <t>QUALIFIED</t>
        </is>
      </c>
      <c r="F81" s="13" t="inlineStr">
        <is>
          <t>28 Quarters</t>
        </is>
      </c>
      <c r="G81" s="13" t="inlineStr">
        <is>
          <t>T-2 to T+4</t>
        </is>
      </c>
      <c r="H81" s="13" t="inlineStr">
        <is>
          <t>0.71%</t>
        </is>
      </c>
      <c r="I81" s="13" t="inlineStr">
        <is>
          <t>3.56%</t>
        </is>
      </c>
      <c r="J81" s="13" t="inlineStr">
        <is>
          <t>2.85%</t>
        </is>
      </c>
      <c r="K81" s="16">
        <f>X80</f>
        <v/>
      </c>
      <c r="L81" s="13" t="inlineStr">
        <is>
          <t>2021-01-20</t>
        </is>
      </c>
      <c r="M81" s="13" t="inlineStr">
        <is>
          <t>2021-01-29</t>
        </is>
      </c>
      <c r="N81" s="13" t="inlineStr">
        <is>
          <t>2021-01-22</t>
        </is>
      </c>
      <c r="O81" s="9" t="n">
        <v>1100</v>
      </c>
      <c r="P81" s="17" t="n">
        <v>665.3585205078125</v>
      </c>
      <c r="Q81" s="17" t="n">
        <v>689.8942260742188</v>
      </c>
      <c r="R81" s="16">
        <f>O81*P81</f>
        <v/>
      </c>
      <c r="S81" s="16">
        <f>O81*Q81</f>
        <v/>
      </c>
      <c r="T81" s="16">
        <f>R81+S81</f>
        <v/>
      </c>
      <c r="U81" s="16">
        <f>ROUND(T81*0.0005, 2)</f>
        <v/>
      </c>
      <c r="V81" s="16">
        <f>S81-R81</f>
        <v/>
      </c>
      <c r="W81" s="16">
        <f>V81-U81</f>
        <v/>
      </c>
      <c r="X81" s="16">
        <f>K81+W81</f>
        <v/>
      </c>
      <c r="Y81" s="16">
        <f>ROUND(0.20*R81, 2)</f>
        <v/>
      </c>
      <c r="Z81" s="18">
        <f>ROUND((W81/Y81)*100, 2)</f>
        <v/>
      </c>
      <c r="AA81" s="16">
        <f>MAX(AA80, X81)</f>
        <v/>
      </c>
      <c r="AB81" s="16">
        <f>X81-AA81</f>
        <v/>
      </c>
    </row>
    <row r="82">
      <c r="A82" s="13" t="n">
        <v>79</v>
      </c>
      <c r="B82" s="14" t="inlineStr">
        <is>
          <t>HEROMOTOCO</t>
        </is>
      </c>
      <c r="C82" s="13" t="inlineStr">
        <is>
          <t>Q4 2022-23</t>
        </is>
      </c>
      <c r="D82" s="15" t="inlineStr">
        <is>
          <t>FUTURE LONG</t>
        </is>
      </c>
      <c r="E82" s="15" t="inlineStr">
        <is>
          <t>QUALIFIED</t>
        </is>
      </c>
      <c r="F82" s="13" t="inlineStr">
        <is>
          <t>128 Quarters</t>
        </is>
      </c>
      <c r="G82" s="13" t="inlineStr">
        <is>
          <t>T-3 to T+4</t>
        </is>
      </c>
      <c r="H82" s="13" t="inlineStr">
        <is>
          <t>1.29%</t>
        </is>
      </c>
      <c r="I82" s="13" t="inlineStr">
        <is>
          <t>-4.56%</t>
        </is>
      </c>
      <c r="J82" s="13" t="inlineStr">
        <is>
          <t>-5.85%</t>
        </is>
      </c>
      <c r="K82" s="16">
        <f>X81</f>
        <v/>
      </c>
      <c r="L82" s="13" t="inlineStr">
        <is>
          <t>2023-08-08</t>
        </is>
      </c>
      <c r="M82" s="13" t="inlineStr">
        <is>
          <t>2023-08-18</t>
        </is>
      </c>
      <c r="N82" s="13" t="inlineStr">
        <is>
          <t>2023-08-10</t>
        </is>
      </c>
      <c r="O82" s="9" t="n">
        <v>150</v>
      </c>
      <c r="P82" s="17" t="n">
        <v>2808.3095703125</v>
      </c>
      <c r="Q82" s="17" t="n">
        <v>2680.251708984375</v>
      </c>
      <c r="R82" s="16">
        <f>O82*P82</f>
        <v/>
      </c>
      <c r="S82" s="16">
        <f>O82*Q82</f>
        <v/>
      </c>
      <c r="T82" s="16">
        <f>R82+S82</f>
        <v/>
      </c>
      <c r="U82" s="16">
        <f>ROUND(T82*0.0005, 2)</f>
        <v/>
      </c>
      <c r="V82" s="16">
        <f>S82-R82</f>
        <v/>
      </c>
      <c r="W82" s="16">
        <f>V82-U82</f>
        <v/>
      </c>
      <c r="X82" s="16">
        <f>K82+W82</f>
        <v/>
      </c>
      <c r="Y82" s="16">
        <f>ROUND(0.20*R82, 2)</f>
        <v/>
      </c>
      <c r="Z82" s="18">
        <f>ROUND((W82/Y82)*100, 2)</f>
        <v/>
      </c>
      <c r="AA82" s="16">
        <f>MAX(AA81, X82)</f>
        <v/>
      </c>
      <c r="AB82" s="16">
        <f>X82-AA82</f>
        <v/>
      </c>
    </row>
    <row r="83">
      <c r="A83" s="13" t="n">
        <v>80</v>
      </c>
      <c r="B83" s="14" t="inlineStr">
        <is>
          <t>HINDALCO</t>
        </is>
      </c>
      <c r="C83" s="13" t="inlineStr">
        <is>
          <t>Q4 2022-23</t>
        </is>
      </c>
      <c r="D83" s="19" t="inlineStr">
        <is>
          <t>FUTURE SHORT</t>
        </is>
      </c>
      <c r="E83" s="15" t="inlineStr">
        <is>
          <t>QUALIFIED</t>
        </is>
      </c>
      <c r="F83" s="13" t="inlineStr">
        <is>
          <t>138 Quarters</t>
        </is>
      </c>
      <c r="G83" s="13" t="inlineStr">
        <is>
          <t>T-3 to T+1</t>
        </is>
      </c>
      <c r="H83" s="13" t="inlineStr">
        <is>
          <t>-0.14%</t>
        </is>
      </c>
      <c r="I83" s="13" t="inlineStr">
        <is>
          <t>-2.6%</t>
        </is>
      </c>
      <c r="J83" s="13" t="inlineStr">
        <is>
          <t>-2.46%</t>
        </is>
      </c>
      <c r="K83" s="16">
        <f>X82</f>
        <v/>
      </c>
      <c r="L83" s="13" t="inlineStr">
        <is>
          <t>2023-08-04</t>
        </is>
      </c>
      <c r="M83" s="13" t="inlineStr">
        <is>
          <t>2023-08-10</t>
        </is>
      </c>
      <c r="N83" s="13" t="inlineStr">
        <is>
          <t>2023-08-08</t>
        </is>
      </c>
      <c r="O83" s="9" t="n">
        <v>1400</v>
      </c>
      <c r="P83" s="17" t="n">
        <v>457.4443054199219</v>
      </c>
      <c r="Q83" s="17" t="n">
        <v>445.8350524902344</v>
      </c>
      <c r="R83" s="16">
        <f>O83*P83</f>
        <v/>
      </c>
      <c r="S83" s="16">
        <f>O83*Q83</f>
        <v/>
      </c>
      <c r="T83" s="16">
        <f>R83+S83</f>
        <v/>
      </c>
      <c r="U83" s="16">
        <f>ROUND(T83*0.0005, 2)</f>
        <v/>
      </c>
      <c r="V83" s="16">
        <f>S83-R83</f>
        <v/>
      </c>
      <c r="W83" s="16">
        <f>V83-U83</f>
        <v/>
      </c>
      <c r="X83" s="16">
        <f>K83+W83</f>
        <v/>
      </c>
      <c r="Y83" s="16">
        <f>ROUND(0.20*R83, 2)</f>
        <v/>
      </c>
      <c r="Z83" s="18">
        <f>ROUND((W83/Y83)*100, 2)</f>
        <v/>
      </c>
      <c r="AA83" s="16">
        <f>MAX(AA82, X83)</f>
        <v/>
      </c>
      <c r="AB83" s="16">
        <f>X83-AA83</f>
        <v/>
      </c>
    </row>
    <row r="84">
      <c r="A84" s="13" t="n">
        <v>81</v>
      </c>
      <c r="B84" s="14" t="inlineStr">
        <is>
          <t>HINDPETRO</t>
        </is>
      </c>
      <c r="C84" s="13" t="inlineStr">
        <is>
          <t>Q4 2022-23</t>
        </is>
      </c>
      <c r="D84" s="19" t="inlineStr">
        <is>
          <t>FUTURE SHORT</t>
        </is>
      </c>
      <c r="E84" s="20" t="inlineStr">
        <is>
          <t>AVOID BUT MONITOR IT</t>
        </is>
      </c>
      <c r="F84" s="13" t="inlineStr">
        <is>
          <t>5 Quarters</t>
        </is>
      </c>
      <c r="G84" s="13" t="inlineStr">
        <is>
          <t>T-1 to T+4</t>
        </is>
      </c>
      <c r="H84" s="13" t="inlineStr">
        <is>
          <t>1.35%</t>
        </is>
      </c>
      <c r="I84" s="13" t="inlineStr">
        <is>
          <t>4.7%</t>
        </is>
      </c>
      <c r="J84" s="13" t="inlineStr">
        <is>
          <t>3.35%</t>
        </is>
      </c>
      <c r="K84" s="16">
        <f>X83</f>
        <v/>
      </c>
      <c r="L84" s="13" t="inlineStr">
        <is>
          <t>2023-01-19</t>
        </is>
      </c>
      <c r="M84" s="13" t="inlineStr">
        <is>
          <t>2023-01-27</t>
        </is>
      </c>
      <c r="N84" s="13" t="inlineStr">
        <is>
          <t>2023-01-20</t>
        </is>
      </c>
      <c r="O84" s="9" t="n">
        <v>2574</v>
      </c>
      <c r="P84" s="17" t="n">
        <v>142.2845916748047</v>
      </c>
      <c r="Q84" s="17" t="n">
        <v>149.2986297607422</v>
      </c>
      <c r="R84" s="16">
        <f>O84*P84</f>
        <v/>
      </c>
      <c r="S84" s="16">
        <f>O84*Q84</f>
        <v/>
      </c>
      <c r="T84" s="16">
        <f>R84+S84</f>
        <v/>
      </c>
      <c r="U84" s="16">
        <f>ROUND(T84*0.0005, 2)</f>
        <v/>
      </c>
      <c r="V84" s="16">
        <f>S84-R84</f>
        <v/>
      </c>
      <c r="W84" s="16">
        <f>V84-U84</f>
        <v/>
      </c>
      <c r="X84" s="16">
        <f>K84+W84</f>
        <v/>
      </c>
      <c r="Y84" s="16">
        <f>ROUND(0.20*R84, 2)</f>
        <v/>
      </c>
      <c r="Z84" s="18">
        <f>ROUND((W84/Y84)*100, 2)</f>
        <v/>
      </c>
      <c r="AA84" s="16">
        <f>MAX(AA83, X84)</f>
        <v/>
      </c>
      <c r="AB84" s="16">
        <f>X84-AA84</f>
        <v/>
      </c>
    </row>
    <row r="85">
      <c r="A85" s="13" t="n">
        <v>82</v>
      </c>
      <c r="B85" s="14" t="inlineStr">
        <is>
          <t>HINDUNILVR</t>
        </is>
      </c>
      <c r="C85" s="13" t="inlineStr">
        <is>
          <t>Q4 2022-23</t>
        </is>
      </c>
      <c r="D85" s="19" t="inlineStr">
        <is>
          <t>FUTURE SHORT</t>
        </is>
      </c>
      <c r="E85" s="15" t="inlineStr">
        <is>
          <t>QUALIFIED</t>
        </is>
      </c>
      <c r="F85" s="13" t="inlineStr">
        <is>
          <t>135 Quarters</t>
        </is>
      </c>
      <c r="G85" s="13" t="inlineStr">
        <is>
          <t>T-7 to T+4</t>
        </is>
      </c>
      <c r="H85" s="13" t="inlineStr">
        <is>
          <t>-0.11%</t>
        </is>
      </c>
      <c r="I85" s="13" t="inlineStr">
        <is>
          <t>3.88%</t>
        </is>
      </c>
      <c r="J85" s="13" t="inlineStr">
        <is>
          <t>3.99%</t>
        </is>
      </c>
      <c r="K85" s="16">
        <f>X84</f>
        <v/>
      </c>
      <c r="L85" s="13" t="inlineStr">
        <is>
          <t>2023-07-12</t>
        </is>
      </c>
      <c r="M85" s="13" t="inlineStr">
        <is>
          <t>2023-07-27</t>
        </is>
      </c>
      <c r="N85" s="13" t="inlineStr">
        <is>
          <t>2023-07-21</t>
        </is>
      </c>
      <c r="O85" s="9" t="n">
        <v>300</v>
      </c>
      <c r="P85" s="17" t="n">
        <v>2427.50634765625</v>
      </c>
      <c r="Q85" s="17" t="n">
        <v>2525.556884765625</v>
      </c>
      <c r="R85" s="16">
        <f>O85*P85</f>
        <v/>
      </c>
      <c r="S85" s="16">
        <f>O85*Q85</f>
        <v/>
      </c>
      <c r="T85" s="16">
        <f>R85+S85</f>
        <v/>
      </c>
      <c r="U85" s="16">
        <f>ROUND(T85*0.0005, 2)</f>
        <v/>
      </c>
      <c r="V85" s="16">
        <f>S85-R85</f>
        <v/>
      </c>
      <c r="W85" s="16">
        <f>V85-U85</f>
        <v/>
      </c>
      <c r="X85" s="16">
        <f>K85+W85</f>
        <v/>
      </c>
      <c r="Y85" s="16">
        <f>ROUND(0.20*R85, 2)</f>
        <v/>
      </c>
      <c r="Z85" s="18">
        <f>ROUND((W85/Y85)*100, 2)</f>
        <v/>
      </c>
      <c r="AA85" s="16">
        <f>MAX(AA84, X85)</f>
        <v/>
      </c>
      <c r="AB85" s="16">
        <f>X85-AA85</f>
        <v/>
      </c>
    </row>
    <row r="86">
      <c r="A86" s="13" t="n">
        <v>83</v>
      </c>
      <c r="B86" s="14" t="inlineStr">
        <is>
          <t>HINDZINC</t>
        </is>
      </c>
      <c r="C86" s="13" t="inlineStr">
        <is>
          <t>Q4 2022-23</t>
        </is>
      </c>
      <c r="D86" s="19" t="inlineStr">
        <is>
          <t>FUTURE SHORT</t>
        </is>
      </c>
      <c r="E86" s="20" t="inlineStr">
        <is>
          <t>AVOID BUT MONITOR IT</t>
        </is>
      </c>
      <c r="F86" s="13" t="inlineStr">
        <is>
          <t>5 Quarters</t>
        </is>
      </c>
      <c r="G86" s="13" t="inlineStr">
        <is>
          <t>T-3 to T+4</t>
        </is>
      </c>
      <c r="H86" s="13" t="inlineStr">
        <is>
          <t>1.71%</t>
        </is>
      </c>
      <c r="I86" s="13" t="inlineStr">
        <is>
          <t>0.35%</t>
        </is>
      </c>
      <c r="J86" s="13" t="inlineStr">
        <is>
          <t>-1.36%</t>
        </is>
      </c>
      <c r="K86" s="16">
        <f>X85</f>
        <v/>
      </c>
      <c r="L86" s="13" t="inlineStr">
        <is>
          <t>2023-01-17</t>
        </is>
      </c>
      <c r="M86" s="13" t="inlineStr">
        <is>
          <t>2023-01-27</t>
        </is>
      </c>
      <c r="N86" s="13" t="inlineStr">
        <is>
          <t>2023-01-20</t>
        </is>
      </c>
      <c r="O86" s="9" t="n">
        <v>1866</v>
      </c>
      <c r="P86" s="17" t="n">
        <v>268.9855041503906</v>
      </c>
      <c r="Q86" s="17" t="n">
        <v>269.9174499511719</v>
      </c>
      <c r="R86" s="16">
        <f>O86*P86</f>
        <v/>
      </c>
      <c r="S86" s="16">
        <f>O86*Q86</f>
        <v/>
      </c>
      <c r="T86" s="16">
        <f>R86+S86</f>
        <v/>
      </c>
      <c r="U86" s="16">
        <f>ROUND(T86*0.0005, 2)</f>
        <v/>
      </c>
      <c r="V86" s="16">
        <f>S86-R86</f>
        <v/>
      </c>
      <c r="W86" s="16">
        <f>V86-U86</f>
        <v/>
      </c>
      <c r="X86" s="16">
        <f>K86+W86</f>
        <v/>
      </c>
      <c r="Y86" s="16">
        <f>ROUND(0.20*R86, 2)</f>
        <v/>
      </c>
      <c r="Z86" s="18">
        <f>ROUND((W86/Y86)*100, 2)</f>
        <v/>
      </c>
      <c r="AA86" s="16">
        <f>MAX(AA85, X86)</f>
        <v/>
      </c>
      <c r="AB86" s="16">
        <f>X86-AA86</f>
        <v/>
      </c>
    </row>
    <row r="87">
      <c r="A87" s="13" t="n">
        <v>84</v>
      </c>
      <c r="B87" s="14" t="inlineStr">
        <is>
          <t>HYUNDAI</t>
        </is>
      </c>
      <c r="C87" s="13" t="inlineStr">
        <is>
          <t>Q4 2022-23</t>
        </is>
      </c>
      <c r="D87" s="19" t="inlineStr">
        <is>
          <t>FUTURE SHORT</t>
        </is>
      </c>
      <c r="E87" s="20" t="inlineStr">
        <is>
          <t>AVOID BUT MONITOR IT</t>
        </is>
      </c>
      <c r="F87" s="13" t="inlineStr">
        <is>
          <t>2 Quarters</t>
        </is>
      </c>
      <c r="G87" s="13" t="inlineStr">
        <is>
          <t>T-2 to T+1</t>
        </is>
      </c>
      <c r="H87" s="13" t="inlineStr">
        <is>
          <t>3.18%</t>
        </is>
      </c>
      <c r="I87" s="13" t="inlineStr">
        <is>
          <t>-4.25%</t>
        </is>
      </c>
      <c r="J87" s="13" t="inlineStr">
        <is>
          <t>-7.43%</t>
        </is>
      </c>
      <c r="K87" s="16">
        <f>X86</f>
        <v/>
      </c>
      <c r="L87" s="13" t="inlineStr">
        <is>
          <t>2024-10-22</t>
        </is>
      </c>
      <c r="M87" s="13" t="inlineStr">
        <is>
          <t>2024-10-23</t>
        </is>
      </c>
      <c r="N87" s="13" t="inlineStr">
        <is>
          <t>2023-01-20</t>
        </is>
      </c>
      <c r="O87" s="9" t="n">
        <v>495</v>
      </c>
      <c r="P87" s="17" t="n">
        <v>1878.654418945312</v>
      </c>
      <c r="Q87" s="17" t="n">
        <v>1802.145385742188</v>
      </c>
      <c r="R87" s="16">
        <f>O87*P87</f>
        <v/>
      </c>
      <c r="S87" s="16">
        <f>O87*Q87</f>
        <v/>
      </c>
      <c r="T87" s="16">
        <f>R87+S87</f>
        <v/>
      </c>
      <c r="U87" s="16">
        <f>ROUND(T87*0.0005, 2)</f>
        <v/>
      </c>
      <c r="V87" s="16">
        <f>S87-R87</f>
        <v/>
      </c>
      <c r="W87" s="16">
        <f>V87-U87</f>
        <v/>
      </c>
      <c r="X87" s="16">
        <f>K87+W87</f>
        <v/>
      </c>
      <c r="Y87" s="16">
        <f>ROUND(0.20*R87, 2)</f>
        <v/>
      </c>
      <c r="Z87" s="18">
        <f>ROUND((W87/Y87)*100, 2)</f>
        <v/>
      </c>
      <c r="AA87" s="16">
        <f>MAX(AA86, X87)</f>
        <v/>
      </c>
      <c r="AB87" s="16">
        <f>X87-AA87</f>
        <v/>
      </c>
    </row>
    <row r="88">
      <c r="A88" s="13" t="n">
        <v>85</v>
      </c>
      <c r="B88" s="14" t="inlineStr">
        <is>
          <t>ICICIBANK</t>
        </is>
      </c>
      <c r="C88" s="13" t="inlineStr">
        <is>
          <t>Q4 2022-23</t>
        </is>
      </c>
      <c r="D88" s="15" t="inlineStr">
        <is>
          <t>FUTURE LONG</t>
        </is>
      </c>
      <c r="E88" s="15" t="inlineStr">
        <is>
          <t>QUALIFIED</t>
        </is>
      </c>
      <c r="F88" s="13" t="inlineStr">
        <is>
          <t>141 Quarters</t>
        </is>
      </c>
      <c r="G88" s="13" t="inlineStr">
        <is>
          <t>T-8 to T+4</t>
        </is>
      </c>
      <c r="H88" s="13" t="inlineStr">
        <is>
          <t>2.46%</t>
        </is>
      </c>
      <c r="I88" s="13" t="inlineStr">
        <is>
          <t>5.48%</t>
        </is>
      </c>
      <c r="J88" s="13" t="inlineStr">
        <is>
          <t>3.02%</t>
        </is>
      </c>
      <c r="K88" s="16">
        <f>X87</f>
        <v/>
      </c>
      <c r="L88" s="13" t="inlineStr">
        <is>
          <t>2023-07-12</t>
        </is>
      </c>
      <c r="M88" s="13" t="inlineStr">
        <is>
          <t>2023-07-28</t>
        </is>
      </c>
      <c r="N88" s="13" t="inlineStr">
        <is>
          <t>2023-07-22</t>
        </is>
      </c>
      <c r="O88" s="9" t="n">
        <v>700</v>
      </c>
      <c r="P88" s="17" t="n">
        <v>921.5839233398438</v>
      </c>
      <c r="Q88" s="17" t="n">
        <v>972.1324462890624</v>
      </c>
      <c r="R88" s="16">
        <f>O88*P88</f>
        <v/>
      </c>
      <c r="S88" s="16">
        <f>O88*Q88</f>
        <v/>
      </c>
      <c r="T88" s="16">
        <f>R88+S88</f>
        <v/>
      </c>
      <c r="U88" s="16">
        <f>ROUND(T88*0.0005, 2)</f>
        <v/>
      </c>
      <c r="V88" s="16">
        <f>S88-R88</f>
        <v/>
      </c>
      <c r="W88" s="16">
        <f>V88-U88</f>
        <v/>
      </c>
      <c r="X88" s="16">
        <f>K88+W88</f>
        <v/>
      </c>
      <c r="Y88" s="16">
        <f>ROUND(0.20*R88, 2)</f>
        <v/>
      </c>
      <c r="Z88" s="18">
        <f>ROUND((W88/Y88)*100, 2)</f>
        <v/>
      </c>
      <c r="AA88" s="16">
        <f>MAX(AA87, X88)</f>
        <v/>
      </c>
      <c r="AB88" s="16">
        <f>X88-AA88</f>
        <v/>
      </c>
    </row>
    <row r="89">
      <c r="A89" s="13" t="n">
        <v>86</v>
      </c>
      <c r="B89" s="14" t="inlineStr">
        <is>
          <t>ICICIGI</t>
        </is>
      </c>
      <c r="C89" s="13" t="inlineStr">
        <is>
          <t>Q4 2022-23</t>
        </is>
      </c>
      <c r="D89" s="19" t="inlineStr">
        <is>
          <t>FUTURE SHORT</t>
        </is>
      </c>
      <c r="E89" s="15" t="inlineStr">
        <is>
          <t>QUALIFIED</t>
        </is>
      </c>
      <c r="F89" s="13" t="inlineStr">
        <is>
          <t>73 Quarters</t>
        </is>
      </c>
      <c r="G89" s="13" t="inlineStr">
        <is>
          <t>T-8 to T+4</t>
        </is>
      </c>
      <c r="H89" s="13" t="inlineStr">
        <is>
          <t>2.02%</t>
        </is>
      </c>
      <c r="I89" s="13" t="inlineStr">
        <is>
          <t>-3.76%</t>
        </is>
      </c>
      <c r="J89" s="13" t="inlineStr">
        <is>
          <t>-5.78%</t>
        </is>
      </c>
      <c r="K89" s="16">
        <f>X88</f>
        <v/>
      </c>
      <c r="L89" s="13" t="inlineStr">
        <is>
          <t>2024-04-04</t>
        </is>
      </c>
      <c r="M89" s="13" t="inlineStr">
        <is>
          <t>2024-04-24</t>
        </is>
      </c>
      <c r="N89" s="13" t="inlineStr">
        <is>
          <t>2024-04-17</t>
        </is>
      </c>
      <c r="O89" s="9" t="n">
        <v>629</v>
      </c>
      <c r="P89" s="17" t="n">
        <v>1706.8</v>
      </c>
      <c r="Q89" s="17" t="n">
        <v>1644.95</v>
      </c>
      <c r="R89" s="16">
        <f>O89*P89</f>
        <v/>
      </c>
      <c r="S89" s="16">
        <f>O89*Q89</f>
        <v/>
      </c>
      <c r="T89" s="16">
        <f>R89+S89</f>
        <v/>
      </c>
      <c r="U89" s="16">
        <f>ROUND(T89*0.0005, 2)</f>
        <v/>
      </c>
      <c r="V89" s="16">
        <f>S89-R89</f>
        <v/>
      </c>
      <c r="W89" s="16">
        <f>V89-U89</f>
        <v/>
      </c>
      <c r="X89" s="16">
        <f>K89+W89</f>
        <v/>
      </c>
      <c r="Y89" s="16">
        <f>ROUND(0.20*R89, 2)</f>
        <v/>
      </c>
      <c r="Z89" s="18">
        <f>ROUND((W89/Y89)*100, 2)</f>
        <v/>
      </c>
      <c r="AA89" s="16">
        <f>MAX(AA88, X89)</f>
        <v/>
      </c>
      <c r="AB89" s="16">
        <f>X89-AA89</f>
        <v/>
      </c>
    </row>
    <row r="90">
      <c r="A90" s="13" t="n">
        <v>87</v>
      </c>
      <c r="B90" s="14" t="inlineStr">
        <is>
          <t>ICICIPRULI</t>
        </is>
      </c>
      <c r="C90" s="13" t="inlineStr">
        <is>
          <t>Q4 2022-23</t>
        </is>
      </c>
      <c r="D90" s="19" t="inlineStr">
        <is>
          <t>FUTURE SHORT</t>
        </is>
      </c>
      <c r="E90" s="15" t="inlineStr">
        <is>
          <t>QUALIFIED</t>
        </is>
      </c>
      <c r="F90" s="13" t="inlineStr">
        <is>
          <t>78 Quarters</t>
        </is>
      </c>
      <c r="G90" s="13" t="inlineStr">
        <is>
          <t>T-8 to T+4</t>
        </is>
      </c>
      <c r="H90" s="13" t="inlineStr">
        <is>
          <t>-0.49%</t>
        </is>
      </c>
      <c r="I90" s="13" t="inlineStr">
        <is>
          <t>6.87%</t>
        </is>
      </c>
      <c r="J90" s="13" t="inlineStr">
        <is>
          <t>7.36%</t>
        </is>
      </c>
      <c r="K90" s="16">
        <f>X89</f>
        <v/>
      </c>
      <c r="L90" s="13" t="inlineStr">
        <is>
          <t>2025-01-10</t>
        </is>
      </c>
      <c r="M90" s="13" t="inlineStr">
        <is>
          <t>2025-01-28</t>
        </is>
      </c>
      <c r="N90" s="13" t="inlineStr">
        <is>
          <t>2025-01-21</t>
        </is>
      </c>
      <c r="O90" s="9" t="n">
        <v>1958</v>
      </c>
      <c r="P90" s="17" t="n">
        <v>597.43212890625</v>
      </c>
      <c r="Q90" s="17" t="n">
        <v>641.4707641601562</v>
      </c>
      <c r="R90" s="16">
        <f>O90*P90</f>
        <v/>
      </c>
      <c r="S90" s="16">
        <f>O90*Q90</f>
        <v/>
      </c>
      <c r="T90" s="16">
        <f>R90+S90</f>
        <v/>
      </c>
      <c r="U90" s="16">
        <f>ROUND(T90*0.0005, 2)</f>
        <v/>
      </c>
      <c r="V90" s="16">
        <f>S90-R90</f>
        <v/>
      </c>
      <c r="W90" s="16">
        <f>V90-U90</f>
        <v/>
      </c>
      <c r="X90" s="16">
        <f>K90+W90</f>
        <v/>
      </c>
      <c r="Y90" s="16">
        <f>ROUND(0.20*R90, 2)</f>
        <v/>
      </c>
      <c r="Z90" s="18">
        <f>ROUND((W90/Y90)*100, 2)</f>
        <v/>
      </c>
      <c r="AA90" s="16">
        <f>MAX(AA89, X90)</f>
        <v/>
      </c>
      <c r="AB90" s="16">
        <f>X90-AA90</f>
        <v/>
      </c>
    </row>
    <row r="91">
      <c r="A91" s="13" t="n">
        <v>88</v>
      </c>
      <c r="B91" s="14" t="inlineStr">
        <is>
          <t>IDEA</t>
        </is>
      </c>
      <c r="C91" s="13" t="inlineStr">
        <is>
          <t>Q4 2022-23</t>
        </is>
      </c>
      <c r="D91" s="19" t="inlineStr">
        <is>
          <t>FUTURE SHORT</t>
        </is>
      </c>
      <c r="E91" s="20" t="inlineStr">
        <is>
          <t>AVOID BUT MONITOR IT</t>
        </is>
      </c>
      <c r="F91" s="13" t="inlineStr">
        <is>
          <t>5 Quarters</t>
        </is>
      </c>
      <c r="G91" s="13" t="inlineStr">
        <is>
          <t>T-5 to T+4</t>
        </is>
      </c>
      <c r="H91" s="13" t="inlineStr">
        <is>
          <t>3.9%</t>
        </is>
      </c>
      <c r="I91" s="13" t="inlineStr">
        <is>
          <t>12.33%</t>
        </is>
      </c>
      <c r="J91" s="13" t="inlineStr">
        <is>
          <t>8.43%</t>
        </is>
      </c>
      <c r="K91" s="16">
        <f>X90</f>
        <v/>
      </c>
      <c r="L91" s="13" t="inlineStr">
        <is>
          <t>2023-01-13</t>
        </is>
      </c>
      <c r="M91" s="13" t="inlineStr">
        <is>
          <t>2023-01-27</t>
        </is>
      </c>
      <c r="N91" s="13" t="inlineStr">
        <is>
          <t>2023-01-20</t>
        </is>
      </c>
      <c r="O91" s="9" t="n">
        <v>77700</v>
      </c>
      <c r="P91" s="17" t="n">
        <v>6.400000095367432</v>
      </c>
      <c r="Q91" s="17" t="n">
        <v>7.300000190734863</v>
      </c>
      <c r="R91" s="16">
        <f>O91*P91</f>
        <v/>
      </c>
      <c r="S91" s="16">
        <f>O91*Q91</f>
        <v/>
      </c>
      <c r="T91" s="16">
        <f>R91+S91</f>
        <v/>
      </c>
      <c r="U91" s="16">
        <f>ROUND(T91*0.0005, 2)</f>
        <v/>
      </c>
      <c r="V91" s="16">
        <f>S91-R91</f>
        <v/>
      </c>
      <c r="W91" s="16">
        <f>V91-U91</f>
        <v/>
      </c>
      <c r="X91" s="16">
        <f>K91+W91</f>
        <v/>
      </c>
      <c r="Y91" s="16">
        <f>ROUND(0.20*R91, 2)</f>
        <v/>
      </c>
      <c r="Z91" s="18">
        <f>ROUND((W91/Y91)*100, 2)</f>
        <v/>
      </c>
      <c r="AA91" s="16">
        <f>MAX(AA90, X91)</f>
        <v/>
      </c>
      <c r="AB91" s="16">
        <f>X91-AA91</f>
        <v/>
      </c>
    </row>
    <row r="92">
      <c r="A92" s="13" t="n">
        <v>89</v>
      </c>
      <c r="B92" s="14" t="inlineStr">
        <is>
          <t>IDFCFIRSTB</t>
        </is>
      </c>
      <c r="C92" s="13" t="inlineStr">
        <is>
          <t>Q4 2022-23</t>
        </is>
      </c>
      <c r="D92" s="19" t="inlineStr">
        <is>
          <t>FUTURE SHORT</t>
        </is>
      </c>
      <c r="E92" s="20" t="inlineStr">
        <is>
          <t>AVOID BUT MONITOR IT</t>
        </is>
      </c>
      <c r="F92" s="13" t="inlineStr">
        <is>
          <t>5 Quarters</t>
        </is>
      </c>
      <c r="G92" s="13" t="inlineStr">
        <is>
          <t>T-7 to T+1</t>
        </is>
      </c>
      <c r="H92" s="13" t="inlineStr">
        <is>
          <t>4.67%</t>
        </is>
      </c>
      <c r="I92" s="13" t="inlineStr">
        <is>
          <t>0.84%</t>
        </is>
      </c>
      <c r="J92" s="13" t="inlineStr">
        <is>
          <t>-3.83%</t>
        </is>
      </c>
      <c r="K92" s="16">
        <f>X91</f>
        <v/>
      </c>
      <c r="L92" s="13" t="inlineStr">
        <is>
          <t>2023-01-11</t>
        </is>
      </c>
      <c r="M92" s="13" t="inlineStr">
        <is>
          <t>2023-01-23</t>
        </is>
      </c>
      <c r="N92" s="13" t="inlineStr">
        <is>
          <t>2023-01-20</t>
        </is>
      </c>
      <c r="O92" s="9" t="n">
        <v>11798</v>
      </c>
      <c r="P92" s="17" t="n">
        <v>59.10654067993164</v>
      </c>
      <c r="Q92" s="17" t="n">
        <v>59.60490798950195</v>
      </c>
      <c r="R92" s="16">
        <f>O92*P92</f>
        <v/>
      </c>
      <c r="S92" s="16">
        <f>O92*Q92</f>
        <v/>
      </c>
      <c r="T92" s="16">
        <f>R92+S92</f>
        <v/>
      </c>
      <c r="U92" s="16">
        <f>ROUND(T92*0.0005, 2)</f>
        <v/>
      </c>
      <c r="V92" s="16">
        <f>S92-R92</f>
        <v/>
      </c>
      <c r="W92" s="16">
        <f>V92-U92</f>
        <v/>
      </c>
      <c r="X92" s="16">
        <f>K92+W92</f>
        <v/>
      </c>
      <c r="Y92" s="16">
        <f>ROUND(0.20*R92, 2)</f>
        <v/>
      </c>
      <c r="Z92" s="18">
        <f>ROUND((W92/Y92)*100, 2)</f>
        <v/>
      </c>
      <c r="AA92" s="16">
        <f>MAX(AA91, X92)</f>
        <v/>
      </c>
      <c r="AB92" s="16">
        <f>X92-AA92</f>
        <v/>
      </c>
    </row>
    <row r="93">
      <c r="A93" s="13" t="n">
        <v>90</v>
      </c>
      <c r="B93" s="14" t="inlineStr">
        <is>
          <t>IEX</t>
        </is>
      </c>
      <c r="C93" s="13" t="inlineStr">
        <is>
          <t>Q4 2022-23</t>
        </is>
      </c>
      <c r="D93" s="15" t="inlineStr">
        <is>
          <t>FUTURE LONG</t>
        </is>
      </c>
      <c r="E93" s="20" t="inlineStr">
        <is>
          <t>AVOID BUT MONITOR IT</t>
        </is>
      </c>
      <c r="F93" s="13" t="inlineStr">
        <is>
          <t>5 Quarters</t>
        </is>
      </c>
      <c r="G93" s="13" t="inlineStr">
        <is>
          <t>T-1 to T+1</t>
        </is>
      </c>
      <c r="H93" s="13" t="inlineStr">
        <is>
          <t>1.81%</t>
        </is>
      </c>
      <c r="I93" s="13" t="inlineStr">
        <is>
          <t>0.14%</t>
        </is>
      </c>
      <c r="J93" s="13" t="inlineStr">
        <is>
          <t>-1.67%</t>
        </is>
      </c>
      <c r="K93" s="16">
        <f>X92</f>
        <v/>
      </c>
      <c r="L93" s="13" t="inlineStr">
        <is>
          <t>2023-01-19</t>
        </is>
      </c>
      <c r="M93" s="13" t="inlineStr">
        <is>
          <t>2023-01-23</t>
        </is>
      </c>
      <c r="N93" s="13" t="inlineStr">
        <is>
          <t>2023-01-20</t>
        </is>
      </c>
      <c r="O93" s="9" t="n">
        <v>7610</v>
      </c>
      <c r="P93" s="17" t="n">
        <v>129.2833862304688</v>
      </c>
      <c r="Q93" s="17" t="n">
        <v>129.4700775146484</v>
      </c>
      <c r="R93" s="16">
        <f>O93*P93</f>
        <v/>
      </c>
      <c r="S93" s="16">
        <f>O93*Q93</f>
        <v/>
      </c>
      <c r="T93" s="16">
        <f>R93+S93</f>
        <v/>
      </c>
      <c r="U93" s="16">
        <f>ROUND(T93*0.0005, 2)</f>
        <v/>
      </c>
      <c r="V93" s="16">
        <f>S93-R93</f>
        <v/>
      </c>
      <c r="W93" s="16">
        <f>V93-U93</f>
        <v/>
      </c>
      <c r="X93" s="16">
        <f>K93+W93</f>
        <v/>
      </c>
      <c r="Y93" s="16">
        <f>ROUND(0.20*R93, 2)</f>
        <v/>
      </c>
      <c r="Z93" s="18">
        <f>ROUND((W93/Y93)*100, 2)</f>
        <v/>
      </c>
      <c r="AA93" s="16">
        <f>MAX(AA92, X93)</f>
        <v/>
      </c>
      <c r="AB93" s="16">
        <f>X93-AA93</f>
        <v/>
      </c>
    </row>
    <row r="94">
      <c r="A94" s="13" t="n">
        <v>91</v>
      </c>
      <c r="B94" s="14" t="inlineStr">
        <is>
          <t>INDHOTEL</t>
        </is>
      </c>
      <c r="C94" s="13" t="inlineStr">
        <is>
          <t>Q4 2022-23</t>
        </is>
      </c>
      <c r="D94" s="15" t="inlineStr">
        <is>
          <t>FUTURE LONG</t>
        </is>
      </c>
      <c r="E94" s="20" t="inlineStr">
        <is>
          <t>AVOID BUT MONITOR IT</t>
        </is>
      </c>
      <c r="F94" s="13" t="inlineStr">
        <is>
          <t>5 Quarters</t>
        </is>
      </c>
      <c r="G94" s="13" t="inlineStr">
        <is>
          <t>T-3 to T+4</t>
        </is>
      </c>
      <c r="H94" s="13" t="inlineStr">
        <is>
          <t>2.96%</t>
        </is>
      </c>
      <c r="I94" s="13" t="inlineStr">
        <is>
          <t>-7.42%</t>
        </is>
      </c>
      <c r="J94" s="13" t="inlineStr">
        <is>
          <t>-10.38%</t>
        </is>
      </c>
      <c r="K94" s="16">
        <f>X93</f>
        <v/>
      </c>
      <c r="L94" s="13" t="inlineStr">
        <is>
          <t>2023-01-17</t>
        </is>
      </c>
      <c r="M94" s="13" t="inlineStr">
        <is>
          <t>2023-01-27</t>
        </is>
      </c>
      <c r="N94" s="13" t="inlineStr">
        <is>
          <t>2023-01-20</t>
        </is>
      </c>
      <c r="O94" s="9" t="n">
        <v>1334</v>
      </c>
      <c r="P94" s="17" t="n">
        <v>305.3998107910156</v>
      </c>
      <c r="Q94" s="17" t="n">
        <v>282.74658203125</v>
      </c>
      <c r="R94" s="16">
        <f>O94*P94</f>
        <v/>
      </c>
      <c r="S94" s="16">
        <f>O94*Q94</f>
        <v/>
      </c>
      <c r="T94" s="16">
        <f>R94+S94</f>
        <v/>
      </c>
      <c r="U94" s="16">
        <f>ROUND(T94*0.0005, 2)</f>
        <v/>
      </c>
      <c r="V94" s="16">
        <f>S94-R94</f>
        <v/>
      </c>
      <c r="W94" s="16">
        <f>V94-U94</f>
        <v/>
      </c>
      <c r="X94" s="16">
        <f>K94+W94</f>
        <v/>
      </c>
      <c r="Y94" s="16">
        <f>ROUND(0.20*R94, 2)</f>
        <v/>
      </c>
      <c r="Z94" s="18">
        <f>ROUND((W94/Y94)*100, 2)</f>
        <v/>
      </c>
      <c r="AA94" s="16">
        <f>MAX(AA93, X94)</f>
        <v/>
      </c>
      <c r="AB94" s="16">
        <f>X94-AA94</f>
        <v/>
      </c>
    </row>
    <row r="95">
      <c r="A95" s="13" t="n">
        <v>92</v>
      </c>
      <c r="B95" s="14" t="inlineStr">
        <is>
          <t>INDIANB</t>
        </is>
      </c>
      <c r="C95" s="13" t="inlineStr">
        <is>
          <t>Q4 2022-23</t>
        </is>
      </c>
      <c r="D95" s="15" t="inlineStr">
        <is>
          <t>FUTURE LONG</t>
        </is>
      </c>
      <c r="E95" s="20" t="inlineStr">
        <is>
          <t>AVOID BUT MONITOR IT</t>
        </is>
      </c>
      <c r="F95" s="13" t="inlineStr">
        <is>
          <t>5 Quarters</t>
        </is>
      </c>
      <c r="G95" s="13" t="inlineStr">
        <is>
          <t>T-3 to T+4</t>
        </is>
      </c>
      <c r="H95" s="13" t="inlineStr">
        <is>
          <t>6.31%</t>
        </is>
      </c>
      <c r="I95" s="13" t="inlineStr">
        <is>
          <t>-1.84%</t>
        </is>
      </c>
      <c r="J95" s="13" t="inlineStr">
        <is>
          <t>-8.15%</t>
        </is>
      </c>
      <c r="K95" s="16">
        <f>X94</f>
        <v/>
      </c>
      <c r="L95" s="13" t="inlineStr">
        <is>
          <t>2023-01-17</t>
        </is>
      </c>
      <c r="M95" s="13" t="inlineStr">
        <is>
          <t>2023-01-27</t>
        </is>
      </c>
      <c r="N95" s="13" t="inlineStr">
        <is>
          <t>2023-01-20</t>
        </is>
      </c>
      <c r="O95" s="9" t="n">
        <v>1208</v>
      </c>
      <c r="P95" s="17" t="n">
        <v>260.4588928222656</v>
      </c>
      <c r="Q95" s="17" t="n">
        <v>255.659912109375</v>
      </c>
      <c r="R95" s="16">
        <f>O95*P95</f>
        <v/>
      </c>
      <c r="S95" s="16">
        <f>O95*Q95</f>
        <v/>
      </c>
      <c r="T95" s="16">
        <f>R95+S95</f>
        <v/>
      </c>
      <c r="U95" s="16">
        <f>ROUND(T95*0.0005, 2)</f>
        <v/>
      </c>
      <c r="V95" s="16">
        <f>S95-R95</f>
        <v/>
      </c>
      <c r="W95" s="16">
        <f>V95-U95</f>
        <v/>
      </c>
      <c r="X95" s="16">
        <f>K95+W95</f>
        <v/>
      </c>
      <c r="Y95" s="16">
        <f>ROUND(0.20*R95, 2)</f>
        <v/>
      </c>
      <c r="Z95" s="18">
        <f>ROUND((W95/Y95)*100, 2)</f>
        <v/>
      </c>
      <c r="AA95" s="16">
        <f>MAX(AA94, X95)</f>
        <v/>
      </c>
      <c r="AB95" s="16">
        <f>X95-AA95</f>
        <v/>
      </c>
    </row>
    <row r="96">
      <c r="A96" s="13" t="n">
        <v>93</v>
      </c>
      <c r="B96" s="14" t="inlineStr">
        <is>
          <t>INDIGO</t>
        </is>
      </c>
      <c r="C96" s="13" t="inlineStr">
        <is>
          <t>Q4 2022-23</t>
        </is>
      </c>
      <c r="D96" s="15" t="inlineStr">
        <is>
          <t>FUTURE LONG</t>
        </is>
      </c>
      <c r="E96" s="15" t="inlineStr">
        <is>
          <t>QUALIFIED</t>
        </is>
      </c>
      <c r="F96" s="13" t="inlineStr">
        <is>
          <t>35 Quarters</t>
        </is>
      </c>
      <c r="G96" s="13" t="inlineStr">
        <is>
          <t>T-7 to T+1</t>
        </is>
      </c>
      <c r="H96" s="13" t="inlineStr">
        <is>
          <t>-0.56%</t>
        </is>
      </c>
      <c r="I96" s="13" t="inlineStr">
        <is>
          <t>-2.9%</t>
        </is>
      </c>
      <c r="J96" s="13" t="inlineStr">
        <is>
          <t>-2.34%</t>
        </is>
      </c>
      <c r="K96" s="16">
        <f>X95</f>
        <v/>
      </c>
      <c r="L96" s="13" t="inlineStr">
        <is>
          <t>2021-01-18</t>
        </is>
      </c>
      <c r="M96" s="13" t="inlineStr">
        <is>
          <t>2021-01-29</t>
        </is>
      </c>
      <c r="N96" s="13" t="inlineStr">
        <is>
          <t>2021-01-28</t>
        </is>
      </c>
      <c r="O96" s="9" t="n">
        <v>196</v>
      </c>
      <c r="P96" s="17" t="n">
        <v>1591.36083984375</v>
      </c>
      <c r="Q96" s="17" t="n">
        <v>1545.138916015625</v>
      </c>
      <c r="R96" s="16">
        <f>O96*P96</f>
        <v/>
      </c>
      <c r="S96" s="16">
        <f>O96*Q96</f>
        <v/>
      </c>
      <c r="T96" s="16">
        <f>R96+S96</f>
        <v/>
      </c>
      <c r="U96" s="16">
        <f>ROUND(T96*0.0005, 2)</f>
        <v/>
      </c>
      <c r="V96" s="16">
        <f>S96-R96</f>
        <v/>
      </c>
      <c r="W96" s="16">
        <f>V96-U96</f>
        <v/>
      </c>
      <c r="X96" s="16">
        <f>K96+W96</f>
        <v/>
      </c>
      <c r="Y96" s="16">
        <f>ROUND(0.20*R96, 2)</f>
        <v/>
      </c>
      <c r="Z96" s="18">
        <f>ROUND((W96/Y96)*100, 2)</f>
        <v/>
      </c>
      <c r="AA96" s="16">
        <f>MAX(AA95, X96)</f>
        <v/>
      </c>
      <c r="AB96" s="16">
        <f>X96-AA96</f>
        <v/>
      </c>
    </row>
    <row r="97">
      <c r="A97" s="13" t="n">
        <v>94</v>
      </c>
      <c r="B97" s="14" t="inlineStr">
        <is>
          <t>INDUSINDBK</t>
        </is>
      </c>
      <c r="C97" s="13" t="inlineStr">
        <is>
          <t>Q4 2022-23</t>
        </is>
      </c>
      <c r="D97" s="15" t="inlineStr">
        <is>
          <t>FUTURE LONG</t>
        </is>
      </c>
      <c r="E97" s="15" t="inlineStr">
        <is>
          <t>QUALIFIED</t>
        </is>
      </c>
      <c r="F97" s="13" t="inlineStr">
        <is>
          <t>112 Quarters</t>
        </is>
      </c>
      <c r="G97" s="13" t="inlineStr">
        <is>
          <t>T-2 to T+4</t>
        </is>
      </c>
      <c r="H97" s="13" t="inlineStr">
        <is>
          <t>0.9%</t>
        </is>
      </c>
      <c r="I97" s="13" t="inlineStr">
        <is>
          <t>1.79%</t>
        </is>
      </c>
      <c r="J97" s="13" t="inlineStr">
        <is>
          <t>0.89%</t>
        </is>
      </c>
      <c r="K97" s="16">
        <f>X96</f>
        <v/>
      </c>
      <c r="L97" s="13" t="inlineStr">
        <is>
          <t>2023-07-17</t>
        </is>
      </c>
      <c r="M97" s="13" t="inlineStr">
        <is>
          <t>2023-07-25</t>
        </is>
      </c>
      <c r="N97" s="13" t="inlineStr">
        <is>
          <t>2023-07-18</t>
        </is>
      </c>
      <c r="O97" s="9" t="n">
        <v>500</v>
      </c>
      <c r="P97" s="17" t="n">
        <v>1373.008666992188</v>
      </c>
      <c r="Q97" s="17" t="n">
        <v>1397.644653320312</v>
      </c>
      <c r="R97" s="16">
        <f>O97*P97</f>
        <v/>
      </c>
      <c r="S97" s="16">
        <f>O97*Q97</f>
        <v/>
      </c>
      <c r="T97" s="16">
        <f>R97+S97</f>
        <v/>
      </c>
      <c r="U97" s="16">
        <f>ROUND(T97*0.0005, 2)</f>
        <v/>
      </c>
      <c r="V97" s="16">
        <f>S97-R97</f>
        <v/>
      </c>
      <c r="W97" s="16">
        <f>V97-U97</f>
        <v/>
      </c>
      <c r="X97" s="16">
        <f>K97+W97</f>
        <v/>
      </c>
      <c r="Y97" s="16">
        <f>ROUND(0.20*R97, 2)</f>
        <v/>
      </c>
      <c r="Z97" s="18">
        <f>ROUND((W97/Y97)*100, 2)</f>
        <v/>
      </c>
      <c r="AA97" s="16">
        <f>MAX(AA96, X97)</f>
        <v/>
      </c>
      <c r="AB97" s="16">
        <f>X97-AA97</f>
        <v/>
      </c>
    </row>
    <row r="98">
      <c r="A98" s="13" t="n">
        <v>95</v>
      </c>
      <c r="B98" s="14" t="inlineStr">
        <is>
          <t>INDUSTOWER</t>
        </is>
      </c>
      <c r="C98" s="13" t="inlineStr">
        <is>
          <t>Q4 2022-23</t>
        </is>
      </c>
      <c r="D98" s="19" t="inlineStr">
        <is>
          <t>FUTURE SHORT</t>
        </is>
      </c>
      <c r="E98" s="20" t="inlineStr">
        <is>
          <t>AVOID BUT MONITOR IT</t>
        </is>
      </c>
      <c r="F98" s="13" t="inlineStr">
        <is>
          <t>5 Quarters</t>
        </is>
      </c>
      <c r="G98" s="13" t="inlineStr">
        <is>
          <t>T-3 to T+1</t>
        </is>
      </c>
      <c r="H98" s="13" t="inlineStr">
        <is>
          <t>2.26%</t>
        </is>
      </c>
      <c r="I98" s="13" t="inlineStr">
        <is>
          <t>1.73%</t>
        </is>
      </c>
      <c r="J98" s="13" t="inlineStr">
        <is>
          <t>-0.53%</t>
        </is>
      </c>
      <c r="K98" s="16">
        <f>X97</f>
        <v/>
      </c>
      <c r="L98" s="13" t="inlineStr">
        <is>
          <t>2023-01-17</t>
        </is>
      </c>
      <c r="M98" s="13" t="inlineStr">
        <is>
          <t>2023-01-23</t>
        </is>
      </c>
      <c r="N98" s="13" t="inlineStr">
        <is>
          <t>2023-01-20</t>
        </is>
      </c>
      <c r="O98" s="9" t="n">
        <v>2545</v>
      </c>
      <c r="P98" s="17" t="n">
        <v>172.8999938964844</v>
      </c>
      <c r="Q98" s="17" t="n">
        <v>175.9499969482422</v>
      </c>
      <c r="R98" s="16">
        <f>O98*P98</f>
        <v/>
      </c>
      <c r="S98" s="16">
        <f>O98*Q98</f>
        <v/>
      </c>
      <c r="T98" s="16">
        <f>R98+S98</f>
        <v/>
      </c>
      <c r="U98" s="16">
        <f>ROUND(T98*0.0005, 2)</f>
        <v/>
      </c>
      <c r="V98" s="16">
        <f>S98-R98</f>
        <v/>
      </c>
      <c r="W98" s="16">
        <f>V98-U98</f>
        <v/>
      </c>
      <c r="X98" s="16">
        <f>K98+W98</f>
        <v/>
      </c>
      <c r="Y98" s="16">
        <f>ROUND(0.20*R98, 2)</f>
        <v/>
      </c>
      <c r="Z98" s="18">
        <f>ROUND((W98/Y98)*100, 2)</f>
        <v/>
      </c>
      <c r="AA98" s="16">
        <f>MAX(AA97, X98)</f>
        <v/>
      </c>
      <c r="AB98" s="16">
        <f>X98-AA98</f>
        <v/>
      </c>
    </row>
    <row r="99">
      <c r="A99" s="13" t="n">
        <v>96</v>
      </c>
      <c r="B99" s="14" t="inlineStr">
        <is>
          <t>INFY</t>
        </is>
      </c>
      <c r="C99" s="13" t="inlineStr">
        <is>
          <t>Q4 2022-23</t>
        </is>
      </c>
      <c r="D99" s="19" t="inlineStr">
        <is>
          <t>FUTURE SHORT</t>
        </is>
      </c>
      <c r="E99" s="15" t="inlineStr">
        <is>
          <t>QUALIFIED</t>
        </is>
      </c>
      <c r="F99" s="13" t="inlineStr">
        <is>
          <t>163 Quarters</t>
        </is>
      </c>
      <c r="G99" s="13" t="inlineStr">
        <is>
          <t>T-5 to T+1</t>
        </is>
      </c>
      <c r="H99" s="13" t="inlineStr">
        <is>
          <t>0.84%</t>
        </is>
      </c>
      <c r="I99" s="13" t="inlineStr">
        <is>
          <t>6.27%</t>
        </is>
      </c>
      <c r="J99" s="13" t="inlineStr">
        <is>
          <t>5.43%</t>
        </is>
      </c>
      <c r="K99" s="16">
        <f>X98</f>
        <v/>
      </c>
      <c r="L99" s="13" t="inlineStr">
        <is>
          <t>2023-07-14</t>
        </is>
      </c>
      <c r="M99" s="13" t="inlineStr">
        <is>
          <t>2023-07-24</t>
        </is>
      </c>
      <c r="N99" s="13" t="inlineStr">
        <is>
          <t>2023-07-20</t>
        </is>
      </c>
      <c r="O99" s="9" t="n">
        <v>400</v>
      </c>
      <c r="P99" s="17" t="n">
        <v>1215.995483398438</v>
      </c>
      <c r="Q99" s="17" t="n">
        <v>1297.283081054688</v>
      </c>
      <c r="R99" s="16">
        <f>O99*P99</f>
        <v/>
      </c>
      <c r="S99" s="16">
        <f>O99*Q99</f>
        <v/>
      </c>
      <c r="T99" s="16">
        <f>R99+S99</f>
        <v/>
      </c>
      <c r="U99" s="16">
        <f>ROUND(T99*0.0005, 2)</f>
        <v/>
      </c>
      <c r="V99" s="16">
        <f>S99-R99</f>
        <v/>
      </c>
      <c r="W99" s="16">
        <f>V99-U99</f>
        <v/>
      </c>
      <c r="X99" s="16">
        <f>K99+W99</f>
        <v/>
      </c>
      <c r="Y99" s="16">
        <f>ROUND(0.20*R99, 2)</f>
        <v/>
      </c>
      <c r="Z99" s="18">
        <f>ROUND((W99/Y99)*100, 2)</f>
        <v/>
      </c>
      <c r="AA99" s="16">
        <f>MAX(AA98, X99)</f>
        <v/>
      </c>
      <c r="AB99" s="16">
        <f>X99-AA99</f>
        <v/>
      </c>
    </row>
    <row r="100">
      <c r="A100" s="13" t="n">
        <v>97</v>
      </c>
      <c r="B100" s="14" t="inlineStr">
        <is>
          <t>INOXWIND</t>
        </is>
      </c>
      <c r="C100" s="13" t="inlineStr">
        <is>
          <t>Q4 2022-23</t>
        </is>
      </c>
      <c r="D100" s="15" t="inlineStr">
        <is>
          <t>FUTURE LONG</t>
        </is>
      </c>
      <c r="E100" s="20" t="inlineStr">
        <is>
          <t>AVOID BUT MONITOR IT</t>
        </is>
      </c>
      <c r="F100" s="13" t="inlineStr">
        <is>
          <t>5 Quarters</t>
        </is>
      </c>
      <c r="G100" s="13" t="inlineStr">
        <is>
          <t>T-7 to T+1</t>
        </is>
      </c>
      <c r="H100" s="13" t="inlineStr">
        <is>
          <t>5.35%</t>
        </is>
      </c>
      <c r="I100" s="13" t="inlineStr">
        <is>
          <t>2.15%</t>
        </is>
      </c>
      <c r="J100" s="13" t="inlineStr">
        <is>
          <t>-3.2%</t>
        </is>
      </c>
      <c r="K100" s="16">
        <f>X99</f>
        <v/>
      </c>
      <c r="L100" s="13" t="inlineStr">
        <is>
          <t>2023-01-11</t>
        </is>
      </c>
      <c r="M100" s="13" t="inlineStr">
        <is>
          <t>2023-01-23</t>
        </is>
      </c>
      <c r="N100" s="13" t="inlineStr">
        <is>
          <t>2023-01-20</t>
        </is>
      </c>
      <c r="O100" s="9" t="n">
        <v>13336</v>
      </c>
      <c r="P100" s="17" t="n">
        <v>26.125</v>
      </c>
      <c r="Q100" s="17" t="n">
        <v>26.6875</v>
      </c>
      <c r="R100" s="16">
        <f>O100*P100</f>
        <v/>
      </c>
      <c r="S100" s="16">
        <f>O100*Q100</f>
        <v/>
      </c>
      <c r="T100" s="16">
        <f>R100+S100</f>
        <v/>
      </c>
      <c r="U100" s="16">
        <f>ROUND(T100*0.0005, 2)</f>
        <v/>
      </c>
      <c r="V100" s="16">
        <f>S100-R100</f>
        <v/>
      </c>
      <c r="W100" s="16">
        <f>V100-U100</f>
        <v/>
      </c>
      <c r="X100" s="16">
        <f>K100+W100</f>
        <v/>
      </c>
      <c r="Y100" s="16">
        <f>ROUND(0.20*R100, 2)</f>
        <v/>
      </c>
      <c r="Z100" s="18">
        <f>ROUND((W100/Y100)*100, 2)</f>
        <v/>
      </c>
      <c r="AA100" s="16">
        <f>MAX(AA99, X100)</f>
        <v/>
      </c>
      <c r="AB100" s="16">
        <f>X100-AA100</f>
        <v/>
      </c>
    </row>
    <row r="101">
      <c r="A101" s="13" t="n">
        <v>98</v>
      </c>
      <c r="B101" s="14" t="inlineStr">
        <is>
          <t>IOC</t>
        </is>
      </c>
      <c r="C101" s="13" t="inlineStr">
        <is>
          <t>Q4 2022-23</t>
        </is>
      </c>
      <c r="D101" s="19" t="inlineStr">
        <is>
          <t>FUTURE SHORT</t>
        </is>
      </c>
      <c r="E101" s="20" t="inlineStr">
        <is>
          <t>AVOID BUT MONITOR IT</t>
        </is>
      </c>
      <c r="F101" s="13" t="inlineStr">
        <is>
          <t>5 Quarters</t>
        </is>
      </c>
      <c r="G101" s="13" t="inlineStr">
        <is>
          <t>T-5 to T+4</t>
        </is>
      </c>
      <c r="H101" s="13" t="inlineStr">
        <is>
          <t>2.12%</t>
        </is>
      </c>
      <c r="I101" s="13" t="inlineStr">
        <is>
          <t>1.58%</t>
        </is>
      </c>
      <c r="J101" s="13" t="inlineStr">
        <is>
          <t>-0.54%</t>
        </is>
      </c>
      <c r="K101" s="16">
        <f>X100</f>
        <v/>
      </c>
      <c r="L101" s="13" t="inlineStr">
        <is>
          <t>2023-01-13</t>
        </is>
      </c>
      <c r="M101" s="13" t="inlineStr">
        <is>
          <t>2023-01-27</t>
        </is>
      </c>
      <c r="N101" s="13" t="inlineStr">
        <is>
          <t>2023-01-20</t>
        </is>
      </c>
      <c r="O101" s="9" t="n">
        <v>7145</v>
      </c>
      <c r="P101" s="17" t="n">
        <v>67.26846313476562</v>
      </c>
      <c r="Q101" s="17" t="n">
        <v>68.34807586669922</v>
      </c>
      <c r="R101" s="16">
        <f>O101*P101</f>
        <v/>
      </c>
      <c r="S101" s="16">
        <f>O101*Q101</f>
        <v/>
      </c>
      <c r="T101" s="16">
        <f>R101+S101</f>
        <v/>
      </c>
      <c r="U101" s="16">
        <f>ROUND(T101*0.0005, 2)</f>
        <v/>
      </c>
      <c r="V101" s="16">
        <f>S101-R101</f>
        <v/>
      </c>
      <c r="W101" s="16">
        <f>V101-U101</f>
        <v/>
      </c>
      <c r="X101" s="16">
        <f>K101+W101</f>
        <v/>
      </c>
      <c r="Y101" s="16">
        <f>ROUND(0.20*R101, 2)</f>
        <v/>
      </c>
      <c r="Z101" s="18">
        <f>ROUND((W101/Y101)*100, 2)</f>
        <v/>
      </c>
      <c r="AA101" s="16">
        <f>MAX(AA100, X101)</f>
        <v/>
      </c>
      <c r="AB101" s="16">
        <f>X101-AA101</f>
        <v/>
      </c>
    </row>
    <row r="102">
      <c r="A102" s="13" t="n">
        <v>99</v>
      </c>
      <c r="B102" s="14" t="inlineStr">
        <is>
          <t>IREDA</t>
        </is>
      </c>
      <c r="C102" s="13" t="inlineStr">
        <is>
          <t>Q4 2022-23</t>
        </is>
      </c>
      <c r="D102" s="15" t="inlineStr">
        <is>
          <t>FUTURE LONG</t>
        </is>
      </c>
      <c r="E102" s="20" t="inlineStr">
        <is>
          <t>AVOID BUT MONITOR IT</t>
        </is>
      </c>
      <c r="F102" s="13" t="inlineStr">
        <is>
          <t>4 Quarters</t>
        </is>
      </c>
      <c r="G102" s="13" t="inlineStr">
        <is>
          <t>T-8 to T+4</t>
        </is>
      </c>
      <c r="H102" s="13" t="inlineStr">
        <is>
          <t>20.37%</t>
        </is>
      </c>
      <c r="I102" s="13" t="inlineStr">
        <is>
          <t>5.08%</t>
        </is>
      </c>
      <c r="J102" s="13" t="inlineStr">
        <is>
          <t>-15.29%</t>
        </is>
      </c>
      <c r="K102" s="16">
        <f>X101</f>
        <v/>
      </c>
      <c r="L102" s="13" t="inlineStr">
        <is>
          <t>2023-11-29</t>
        </is>
      </c>
      <c r="M102" s="13" t="inlineStr">
        <is>
          <t>2023-12-05</t>
        </is>
      </c>
      <c r="N102" s="13" t="inlineStr">
        <is>
          <t>2023-01-20</t>
        </is>
      </c>
      <c r="O102" s="9" t="n">
        <v>8341</v>
      </c>
      <c r="P102" s="17" t="n">
        <v>59.68354415893555</v>
      </c>
      <c r="Q102" s="17" t="n">
        <v>62.71745681762695</v>
      </c>
      <c r="R102" s="16">
        <f>O102*P102</f>
        <v/>
      </c>
      <c r="S102" s="16">
        <f>O102*Q102</f>
        <v/>
      </c>
      <c r="T102" s="16">
        <f>R102+S102</f>
        <v/>
      </c>
      <c r="U102" s="16">
        <f>ROUND(T102*0.0005, 2)</f>
        <v/>
      </c>
      <c r="V102" s="16">
        <f>S102-R102</f>
        <v/>
      </c>
      <c r="W102" s="16">
        <f>V102-U102</f>
        <v/>
      </c>
      <c r="X102" s="16">
        <f>K102+W102</f>
        <v/>
      </c>
      <c r="Y102" s="16">
        <f>ROUND(0.20*R102, 2)</f>
        <v/>
      </c>
      <c r="Z102" s="18">
        <f>ROUND((W102/Y102)*100, 2)</f>
        <v/>
      </c>
      <c r="AA102" s="16">
        <f>MAX(AA101, X102)</f>
        <v/>
      </c>
      <c r="AB102" s="16">
        <f>X102-AA102</f>
        <v/>
      </c>
    </row>
    <row r="103">
      <c r="A103" s="13" t="n">
        <v>100</v>
      </c>
      <c r="B103" s="14" t="inlineStr">
        <is>
          <t>IRFC</t>
        </is>
      </c>
      <c r="C103" s="13" t="inlineStr">
        <is>
          <t>Q4 2022-23</t>
        </is>
      </c>
      <c r="D103" s="19" t="inlineStr">
        <is>
          <t>FUTURE SHORT</t>
        </is>
      </c>
      <c r="E103" s="20" t="inlineStr">
        <is>
          <t>AVOID BUT MONITOR IT</t>
        </is>
      </c>
      <c r="F103" s="13" t="inlineStr">
        <is>
          <t>5 Quarters</t>
        </is>
      </c>
      <c r="G103" s="13" t="inlineStr">
        <is>
          <t>T-2 to T+1</t>
        </is>
      </c>
      <c r="H103" s="13" t="inlineStr">
        <is>
          <t>0.86%</t>
        </is>
      </c>
      <c r="I103" s="13" t="inlineStr">
        <is>
          <t>0.98%</t>
        </is>
      </c>
      <c r="J103" s="13" t="inlineStr">
        <is>
          <t>0.12%</t>
        </is>
      </c>
      <c r="K103" s="16">
        <f>X102</f>
        <v/>
      </c>
      <c r="L103" s="13" t="inlineStr">
        <is>
          <t>2024-11-04</t>
        </is>
      </c>
      <c r="M103" s="13" t="inlineStr">
        <is>
          <t>2024-11-05</t>
        </is>
      </c>
      <c r="N103" s="13" t="inlineStr">
        <is>
          <t>2023-01-20</t>
        </is>
      </c>
      <c r="O103" s="9" t="n">
        <v>11813</v>
      </c>
      <c r="P103" s="17" t="n">
        <v>151.3</v>
      </c>
      <c r="Q103" s="17" t="n">
        <v>152.8</v>
      </c>
      <c r="R103" s="16">
        <f>O103*P103</f>
        <v/>
      </c>
      <c r="S103" s="16">
        <f>O103*Q103</f>
        <v/>
      </c>
      <c r="T103" s="16">
        <f>R103+S103</f>
        <v/>
      </c>
      <c r="U103" s="16">
        <f>ROUND(T103*0.0005, 2)</f>
        <v/>
      </c>
      <c r="V103" s="16">
        <f>S103-R103</f>
        <v/>
      </c>
      <c r="W103" s="16">
        <f>V103-U103</f>
        <v/>
      </c>
      <c r="X103" s="16">
        <f>K103+W103</f>
        <v/>
      </c>
      <c r="Y103" s="16">
        <f>ROUND(0.20*R103, 2)</f>
        <v/>
      </c>
      <c r="Z103" s="18">
        <f>ROUND((W103/Y103)*100, 2)</f>
        <v/>
      </c>
      <c r="AA103" s="16">
        <f>MAX(AA102, X103)</f>
        <v/>
      </c>
      <c r="AB103" s="16">
        <f>X103-AA103</f>
        <v/>
      </c>
    </row>
    <row r="104">
      <c r="A104" s="13" t="n">
        <v>101</v>
      </c>
      <c r="B104" s="14" t="inlineStr">
        <is>
          <t>ITC</t>
        </is>
      </c>
      <c r="C104" s="13" t="inlineStr">
        <is>
          <t>Q4 2022-23</t>
        </is>
      </c>
      <c r="D104" s="19" t="inlineStr">
        <is>
          <t>FUTURE SHORT</t>
        </is>
      </c>
      <c r="E104" s="15" t="inlineStr">
        <is>
          <t>QUALIFIED</t>
        </is>
      </c>
      <c r="F104" s="13" t="inlineStr">
        <is>
          <t>137 Quarters</t>
        </is>
      </c>
      <c r="G104" s="13" t="inlineStr">
        <is>
          <t>T-8 to T+1</t>
        </is>
      </c>
      <c r="H104" s="13" t="inlineStr">
        <is>
          <t>-0.01%</t>
        </is>
      </c>
      <c r="I104" s="13" t="inlineStr">
        <is>
          <t>2.14%</t>
        </is>
      </c>
      <c r="J104" s="13" t="inlineStr">
        <is>
          <t>2.15%</t>
        </is>
      </c>
      <c r="K104" s="16">
        <f>X103</f>
        <v/>
      </c>
      <c r="L104" s="13" t="inlineStr">
        <is>
          <t>2023-08-02</t>
        </is>
      </c>
      <c r="M104" s="13" t="inlineStr">
        <is>
          <t>2023-08-16</t>
        </is>
      </c>
      <c r="N104" s="13" t="inlineStr">
        <is>
          <t>2023-08-14</t>
        </is>
      </c>
      <c r="O104" s="9" t="n">
        <v>1600</v>
      </c>
      <c r="P104" s="17" t="n">
        <v>386.4738159179688</v>
      </c>
      <c r="Q104" s="17" t="n">
        <v>394.9286499023438</v>
      </c>
      <c r="R104" s="16">
        <f>O104*P104</f>
        <v/>
      </c>
      <c r="S104" s="16">
        <f>O104*Q104</f>
        <v/>
      </c>
      <c r="T104" s="16">
        <f>R104+S104</f>
        <v/>
      </c>
      <c r="U104" s="16">
        <f>ROUND(T104*0.0005, 2)</f>
        <v/>
      </c>
      <c r="V104" s="16">
        <f>S104-R104</f>
        <v/>
      </c>
      <c r="W104" s="16">
        <f>V104-U104</f>
        <v/>
      </c>
      <c r="X104" s="16">
        <f>K104+W104</f>
        <v/>
      </c>
      <c r="Y104" s="16">
        <f>ROUND(0.20*R104, 2)</f>
        <v/>
      </c>
      <c r="Z104" s="18">
        <f>ROUND((W104/Y104)*100, 2)</f>
        <v/>
      </c>
      <c r="AA104" s="16">
        <f>MAX(AA103, X104)</f>
        <v/>
      </c>
      <c r="AB104" s="16">
        <f>X104-AA104</f>
        <v/>
      </c>
    </row>
    <row r="105">
      <c r="A105" s="13" t="n">
        <v>102</v>
      </c>
      <c r="B105" s="14" t="inlineStr">
        <is>
          <t>JINDALSTEL</t>
        </is>
      </c>
      <c r="C105" s="13" t="inlineStr">
        <is>
          <t>Q4 2022-23</t>
        </is>
      </c>
      <c r="D105" s="15" t="inlineStr">
        <is>
          <t>FUTURE LONG</t>
        </is>
      </c>
      <c r="E105" s="20" t="inlineStr">
        <is>
          <t>AVOID BUT MONITOR IT</t>
        </is>
      </c>
      <c r="F105" s="13" t="inlineStr">
        <is>
          <t>5 Quarters</t>
        </is>
      </c>
      <c r="G105" s="13" t="inlineStr">
        <is>
          <t>T-3 to T+1</t>
        </is>
      </c>
      <c r="H105" s="13" t="inlineStr">
        <is>
          <t>2.1%</t>
        </is>
      </c>
      <c r="I105" s="13" t="inlineStr">
        <is>
          <t>3.08%</t>
        </is>
      </c>
      <c r="J105" s="13" t="inlineStr">
        <is>
          <t>0.98%</t>
        </is>
      </c>
      <c r="K105" s="16">
        <f>X104</f>
        <v/>
      </c>
      <c r="L105" s="13" t="inlineStr">
        <is>
          <t>2023-01-17</t>
        </is>
      </c>
      <c r="M105" s="13" t="inlineStr">
        <is>
          <t>2023-01-23</t>
        </is>
      </c>
      <c r="N105" s="13" t="inlineStr">
        <is>
          <t>2023-01-20</t>
        </is>
      </c>
      <c r="O105" s="9" t="n">
        <v>914</v>
      </c>
      <c r="P105" s="17" t="n">
        <v>581.6602783203125</v>
      </c>
      <c r="Q105" s="17" t="n">
        <v>599.5812377929688</v>
      </c>
      <c r="R105" s="16">
        <f>O105*P105</f>
        <v/>
      </c>
      <c r="S105" s="16">
        <f>O105*Q105</f>
        <v/>
      </c>
      <c r="T105" s="16">
        <f>R105+S105</f>
        <v/>
      </c>
      <c r="U105" s="16">
        <f>ROUND(T105*0.0005, 2)</f>
        <v/>
      </c>
      <c r="V105" s="16">
        <f>S105-R105</f>
        <v/>
      </c>
      <c r="W105" s="16">
        <f>V105-U105</f>
        <v/>
      </c>
      <c r="X105" s="16">
        <f>K105+W105</f>
        <v/>
      </c>
      <c r="Y105" s="16">
        <f>ROUND(0.20*R105, 2)</f>
        <v/>
      </c>
      <c r="Z105" s="18">
        <f>ROUND((W105/Y105)*100, 2)</f>
        <v/>
      </c>
      <c r="AA105" s="16">
        <f>MAX(AA104, X105)</f>
        <v/>
      </c>
      <c r="AB105" s="16">
        <f>X105-AA105</f>
        <v/>
      </c>
    </row>
    <row r="106">
      <c r="A106" s="13" t="n">
        <v>103</v>
      </c>
      <c r="B106" s="14" t="inlineStr">
        <is>
          <t>JIOFIN</t>
        </is>
      </c>
      <c r="C106" s="13" t="inlineStr">
        <is>
          <t>Q4 2022-23</t>
        </is>
      </c>
      <c r="D106" s="19" t="inlineStr">
        <is>
          <t>FUTURE SHORT</t>
        </is>
      </c>
      <c r="E106" s="15" t="inlineStr">
        <is>
          <t>QUALIFIED</t>
        </is>
      </c>
      <c r="F106" s="13" t="inlineStr">
        <is>
          <t>14 Quarters</t>
        </is>
      </c>
      <c r="G106" s="13" t="inlineStr">
        <is>
          <t>T-1 to T+4</t>
        </is>
      </c>
      <c r="H106" s="13" t="inlineStr">
        <is>
          <t>3.7%</t>
        </is>
      </c>
      <c r="I106" s="13" t="inlineStr">
        <is>
          <t>13.82%</t>
        </is>
      </c>
      <c r="J106" s="13" t="inlineStr">
        <is>
          <t>10.12%</t>
        </is>
      </c>
      <c r="K106" s="16">
        <f>X105</f>
        <v/>
      </c>
      <c r="L106" s="13" t="inlineStr">
        <is>
          <t>2023-08-21</t>
        </is>
      </c>
      <c r="M106" s="13" t="inlineStr">
        <is>
          <t>2023-08-25</t>
        </is>
      </c>
      <c r="N106" s="13" t="inlineStr">
        <is>
          <t>2023-01-20</t>
        </is>
      </c>
      <c r="O106" s="9" t="n">
        <v>4127</v>
      </c>
      <c r="P106" s="17" t="n">
        <v>214.166030883789</v>
      </c>
      <c r="Q106" s="17" t="n">
        <v>248.5124664306641</v>
      </c>
      <c r="R106" s="16">
        <f>O106*P106</f>
        <v/>
      </c>
      <c r="S106" s="16">
        <f>O106*Q106</f>
        <v/>
      </c>
      <c r="T106" s="16">
        <f>R106+S106</f>
        <v/>
      </c>
      <c r="U106" s="16">
        <f>ROUND(T106*0.0005, 2)</f>
        <v/>
      </c>
      <c r="V106" s="16">
        <f>S106-R106</f>
        <v/>
      </c>
      <c r="W106" s="16">
        <f>V106-U106</f>
        <v/>
      </c>
      <c r="X106" s="16">
        <f>K106+W106</f>
        <v/>
      </c>
      <c r="Y106" s="16">
        <f>ROUND(0.20*R106, 2)</f>
        <v/>
      </c>
      <c r="Z106" s="18">
        <f>ROUND((W106/Y106)*100, 2)</f>
        <v/>
      </c>
      <c r="AA106" s="16">
        <f>MAX(AA105, X106)</f>
        <v/>
      </c>
      <c r="AB106" s="16">
        <f>X106-AA106</f>
        <v/>
      </c>
    </row>
    <row r="107">
      <c r="A107" s="13" t="n">
        <v>104</v>
      </c>
      <c r="B107" s="14" t="inlineStr">
        <is>
          <t>JSWENERGY</t>
        </is>
      </c>
      <c r="C107" s="13" t="inlineStr">
        <is>
          <t>Q4 2022-23</t>
        </is>
      </c>
      <c r="D107" s="19" t="inlineStr">
        <is>
          <t>FUTURE SHORT</t>
        </is>
      </c>
      <c r="E107" s="20" t="inlineStr">
        <is>
          <t>AVOID BUT MONITOR IT</t>
        </is>
      </c>
      <c r="F107" s="13" t="inlineStr">
        <is>
          <t>5 Quarters</t>
        </is>
      </c>
      <c r="G107" s="13" t="inlineStr">
        <is>
          <t>T-5 to T+1</t>
        </is>
      </c>
      <c r="H107" s="13" t="inlineStr">
        <is>
          <t>4.16%</t>
        </is>
      </c>
      <c r="I107" s="13" t="inlineStr">
        <is>
          <t>7.86%</t>
        </is>
      </c>
      <c r="J107" s="13" t="inlineStr">
        <is>
          <t>3.7%</t>
        </is>
      </c>
      <c r="K107" s="16">
        <f>X106</f>
        <v/>
      </c>
      <c r="L107" s="13" t="inlineStr">
        <is>
          <t>2023-01-13</t>
        </is>
      </c>
      <c r="M107" s="13" t="inlineStr">
        <is>
          <t>2023-01-23</t>
        </is>
      </c>
      <c r="N107" s="13" t="inlineStr">
        <is>
          <t>2023-01-20</t>
        </is>
      </c>
      <c r="O107" s="9" t="n">
        <v>1839</v>
      </c>
      <c r="P107" s="17" t="n">
        <v>242.3128356933593</v>
      </c>
      <c r="Q107" s="17" t="n">
        <v>262.9759216308594</v>
      </c>
      <c r="R107" s="16">
        <f>O107*P107</f>
        <v/>
      </c>
      <c r="S107" s="16">
        <f>O107*Q107</f>
        <v/>
      </c>
      <c r="T107" s="16">
        <f>R107+S107</f>
        <v/>
      </c>
      <c r="U107" s="16">
        <f>ROUND(T107*0.0005, 2)</f>
        <v/>
      </c>
      <c r="V107" s="16">
        <f>S107-R107</f>
        <v/>
      </c>
      <c r="W107" s="16">
        <f>V107-U107</f>
        <v/>
      </c>
      <c r="X107" s="16">
        <f>K107+W107</f>
        <v/>
      </c>
      <c r="Y107" s="16">
        <f>ROUND(0.20*R107, 2)</f>
        <v/>
      </c>
      <c r="Z107" s="18">
        <f>ROUND((W107/Y107)*100, 2)</f>
        <v/>
      </c>
      <c r="AA107" s="16">
        <f>MAX(AA106, X107)</f>
        <v/>
      </c>
      <c r="AB107" s="16">
        <f>X107-AA107</f>
        <v/>
      </c>
    </row>
    <row r="108">
      <c r="A108" s="13" t="n">
        <v>105</v>
      </c>
      <c r="B108" s="14" t="inlineStr">
        <is>
          <t>JSWSTEEL</t>
        </is>
      </c>
      <c r="C108" s="13" t="inlineStr">
        <is>
          <t>Q4 2022-23</t>
        </is>
      </c>
      <c r="D108" s="15" t="inlineStr">
        <is>
          <t>FUTURE LONG</t>
        </is>
      </c>
      <c r="E108" s="15" t="inlineStr">
        <is>
          <t>QUALIFIED</t>
        </is>
      </c>
      <c r="F108" s="13" t="inlineStr">
        <is>
          <t>194 Quarters</t>
        </is>
      </c>
      <c r="G108" s="13" t="inlineStr">
        <is>
          <t>T-5 to T+4</t>
        </is>
      </c>
      <c r="H108" s="13" t="inlineStr">
        <is>
          <t>1.67%</t>
        </is>
      </c>
      <c r="I108" s="13" t="inlineStr">
        <is>
          <t>-1.38%</t>
        </is>
      </c>
      <c r="J108" s="13" t="inlineStr">
        <is>
          <t>-3.05%</t>
        </is>
      </c>
      <c r="K108" s="16">
        <f>X107</f>
        <v/>
      </c>
      <c r="L108" s="13" t="inlineStr">
        <is>
          <t>2023-07-14</t>
        </is>
      </c>
      <c r="M108" s="13" t="inlineStr">
        <is>
          <t>2023-07-27</t>
        </is>
      </c>
      <c r="N108" s="13" t="inlineStr">
        <is>
          <t>2023-07-21</t>
        </is>
      </c>
      <c r="O108" s="9" t="n">
        <v>675</v>
      </c>
      <c r="P108" s="17" t="n">
        <v>791.9009399414062</v>
      </c>
      <c r="Q108" s="17" t="n">
        <v>780.9795532226562</v>
      </c>
      <c r="R108" s="16">
        <f>O108*P108</f>
        <v/>
      </c>
      <c r="S108" s="16">
        <f>O108*Q108</f>
        <v/>
      </c>
      <c r="T108" s="16">
        <f>R108+S108</f>
        <v/>
      </c>
      <c r="U108" s="16">
        <f>ROUND(T108*0.0005, 2)</f>
        <v/>
      </c>
      <c r="V108" s="16">
        <f>S108-R108</f>
        <v/>
      </c>
      <c r="W108" s="16">
        <f>V108-U108</f>
        <v/>
      </c>
      <c r="X108" s="16">
        <f>K108+W108</f>
        <v/>
      </c>
      <c r="Y108" s="16">
        <f>ROUND(0.20*R108, 2)</f>
        <v/>
      </c>
      <c r="Z108" s="18">
        <f>ROUND((W108/Y108)*100, 2)</f>
        <v/>
      </c>
      <c r="AA108" s="16">
        <f>MAX(AA107, X108)</f>
        <v/>
      </c>
      <c r="AB108" s="16">
        <f>X108-AA108</f>
        <v/>
      </c>
    </row>
    <row r="109">
      <c r="A109" s="13" t="n">
        <v>106</v>
      </c>
      <c r="B109" s="14" t="inlineStr">
        <is>
          <t>JUBLFOOD</t>
        </is>
      </c>
      <c r="C109" s="13" t="inlineStr">
        <is>
          <t>Q4 2022-23</t>
        </is>
      </c>
      <c r="D109" s="15" t="inlineStr">
        <is>
          <t>FUTURE LONG</t>
        </is>
      </c>
      <c r="E109" s="20" t="inlineStr">
        <is>
          <t>AVOID BUT MONITOR IT</t>
        </is>
      </c>
      <c r="F109" s="13" t="inlineStr">
        <is>
          <t>5 Quarters</t>
        </is>
      </c>
      <c r="G109" s="13" t="inlineStr">
        <is>
          <t>T-5 to T+4</t>
        </is>
      </c>
      <c r="H109" s="13" t="inlineStr">
        <is>
          <t>1.24%</t>
        </is>
      </c>
      <c r="I109" s="13" t="inlineStr">
        <is>
          <t>-2.68%</t>
        </is>
      </c>
      <c r="J109" s="13" t="inlineStr">
        <is>
          <t>-3.92%</t>
        </is>
      </c>
      <c r="K109" s="16">
        <f>X108</f>
        <v/>
      </c>
      <c r="L109" s="13" t="inlineStr">
        <is>
          <t>2023-01-13</t>
        </is>
      </c>
      <c r="M109" s="13" t="inlineStr">
        <is>
          <t>2023-01-27</t>
        </is>
      </c>
      <c r="N109" s="13" t="inlineStr">
        <is>
          <t>2023-01-20</t>
        </is>
      </c>
      <c r="O109" s="9" t="n">
        <v>2273</v>
      </c>
      <c r="P109" s="17" t="n">
        <v>493.1178283691406</v>
      </c>
      <c r="Q109" s="17" t="n">
        <v>479.889404296875</v>
      </c>
      <c r="R109" s="16">
        <f>O109*P109</f>
        <v/>
      </c>
      <c r="S109" s="16">
        <f>O109*Q109</f>
        <v/>
      </c>
      <c r="T109" s="16">
        <f>R109+S109</f>
        <v/>
      </c>
      <c r="U109" s="16">
        <f>ROUND(T109*0.0005, 2)</f>
        <v/>
      </c>
      <c r="V109" s="16">
        <f>S109-R109</f>
        <v/>
      </c>
      <c r="W109" s="16">
        <f>V109-U109</f>
        <v/>
      </c>
      <c r="X109" s="16">
        <f>K109+W109</f>
        <v/>
      </c>
      <c r="Y109" s="16">
        <f>ROUND(0.20*R109, 2)</f>
        <v/>
      </c>
      <c r="Z109" s="18">
        <f>ROUND((W109/Y109)*100, 2)</f>
        <v/>
      </c>
      <c r="AA109" s="16">
        <f>MAX(AA108, X109)</f>
        <v/>
      </c>
      <c r="AB109" s="16">
        <f>X109-AA109</f>
        <v/>
      </c>
    </row>
    <row r="110">
      <c r="A110" s="13" t="n">
        <v>107</v>
      </c>
      <c r="B110" s="14" t="inlineStr">
        <is>
          <t>KALYANKJIL</t>
        </is>
      </c>
      <c r="C110" s="13" t="inlineStr">
        <is>
          <t>Q4 2022-23</t>
        </is>
      </c>
      <c r="D110" s="19" t="inlineStr">
        <is>
          <t>FUTURE SHORT</t>
        </is>
      </c>
      <c r="E110" s="20" t="inlineStr">
        <is>
          <t>AVOID BUT MONITOR IT</t>
        </is>
      </c>
      <c r="F110" s="13" t="inlineStr">
        <is>
          <t>5 Quarters</t>
        </is>
      </c>
      <c r="G110" s="13" t="inlineStr">
        <is>
          <t>T-3 to T+1</t>
        </is>
      </c>
      <c r="H110" s="13" t="inlineStr">
        <is>
          <t>-0.6%</t>
        </is>
      </c>
      <c r="I110" s="13" t="inlineStr">
        <is>
          <t>0.83%</t>
        </is>
      </c>
      <c r="J110" s="13" t="inlineStr">
        <is>
          <t>1.43%</t>
        </is>
      </c>
      <c r="K110" s="16">
        <f>X109</f>
        <v/>
      </c>
      <c r="L110" s="13" t="inlineStr">
        <is>
          <t>2023-01-17</t>
        </is>
      </c>
      <c r="M110" s="13" t="inlineStr">
        <is>
          <t>2023-01-23</t>
        </is>
      </c>
      <c r="N110" s="13" t="inlineStr">
        <is>
          <t>2023-01-20</t>
        </is>
      </c>
      <c r="O110" s="9" t="n">
        <v>1575</v>
      </c>
      <c r="P110" s="17" t="n">
        <v>118.6353149414062</v>
      </c>
      <c r="Q110" s="17" t="n">
        <v>119.6272430419922</v>
      </c>
      <c r="R110" s="16">
        <f>O110*P110</f>
        <v/>
      </c>
      <c r="S110" s="16">
        <f>O110*Q110</f>
        <v/>
      </c>
      <c r="T110" s="16">
        <f>R110+S110</f>
        <v/>
      </c>
      <c r="U110" s="16">
        <f>ROUND(T110*0.0005, 2)</f>
        <v/>
      </c>
      <c r="V110" s="16">
        <f>S110-R110</f>
        <v/>
      </c>
      <c r="W110" s="16">
        <f>V110-U110</f>
        <v/>
      </c>
      <c r="X110" s="16">
        <f>K110+W110</f>
        <v/>
      </c>
      <c r="Y110" s="16">
        <f>ROUND(0.20*R110, 2)</f>
        <v/>
      </c>
      <c r="Z110" s="18">
        <f>ROUND((W110/Y110)*100, 2)</f>
        <v/>
      </c>
      <c r="AA110" s="16">
        <f>MAX(AA109, X110)</f>
        <v/>
      </c>
      <c r="AB110" s="16">
        <f>X110-AA110</f>
        <v/>
      </c>
    </row>
    <row r="111">
      <c r="A111" s="13" t="n">
        <v>108</v>
      </c>
      <c r="B111" s="14" t="inlineStr">
        <is>
          <t>KAYNES</t>
        </is>
      </c>
      <c r="C111" s="13" t="inlineStr">
        <is>
          <t>Q4 2022-23</t>
        </is>
      </c>
      <c r="D111" s="15" t="inlineStr">
        <is>
          <t>FUTURE LONG</t>
        </is>
      </c>
      <c r="E111" s="20" t="inlineStr">
        <is>
          <t>AVOID BUT MONITOR IT</t>
        </is>
      </c>
      <c r="F111" s="13" t="inlineStr">
        <is>
          <t>5 Quarters</t>
        </is>
      </c>
      <c r="G111" s="13" t="inlineStr">
        <is>
          <t>T-3 to T+4</t>
        </is>
      </c>
      <c r="H111" s="13" t="inlineStr">
        <is>
          <t>6.09%</t>
        </is>
      </c>
      <c r="I111" s="13" t="inlineStr">
        <is>
          <t>-0.57%</t>
        </is>
      </c>
      <c r="J111" s="13" t="inlineStr">
        <is>
          <t>-6.66%</t>
        </is>
      </c>
      <c r="K111" s="16">
        <f>X110</f>
        <v/>
      </c>
      <c r="L111" s="13" t="inlineStr">
        <is>
          <t>2023-01-17</t>
        </is>
      </c>
      <c r="M111" s="13" t="inlineStr">
        <is>
          <t>2023-01-27</t>
        </is>
      </c>
      <c r="N111" s="13" t="inlineStr">
        <is>
          <t>2023-01-20</t>
        </is>
      </c>
      <c r="O111" s="9" t="n">
        <v>276</v>
      </c>
      <c r="P111" s="17" t="n">
        <v>768.7000122070312</v>
      </c>
      <c r="Q111" s="17" t="n">
        <v>764.3499755859375</v>
      </c>
      <c r="R111" s="16">
        <f>O111*P111</f>
        <v/>
      </c>
      <c r="S111" s="16">
        <f>O111*Q111</f>
        <v/>
      </c>
      <c r="T111" s="16">
        <f>R111+S111</f>
        <v/>
      </c>
      <c r="U111" s="16">
        <f>ROUND(T111*0.0005, 2)</f>
        <v/>
      </c>
      <c r="V111" s="16">
        <f>S111-R111</f>
        <v/>
      </c>
      <c r="W111" s="16">
        <f>V111-U111</f>
        <v/>
      </c>
      <c r="X111" s="16">
        <f>K111+W111</f>
        <v/>
      </c>
      <c r="Y111" s="16">
        <f>ROUND(0.20*R111, 2)</f>
        <v/>
      </c>
      <c r="Z111" s="18">
        <f>ROUND((W111/Y111)*100, 2)</f>
        <v/>
      </c>
      <c r="AA111" s="16">
        <f>MAX(AA110, X111)</f>
        <v/>
      </c>
      <c r="AB111" s="16">
        <f>X111-AA111</f>
        <v/>
      </c>
    </row>
    <row r="112">
      <c r="A112" s="13" t="n">
        <v>109</v>
      </c>
      <c r="B112" s="14" t="inlineStr">
        <is>
          <t>KEI</t>
        </is>
      </c>
      <c r="C112" s="13" t="inlineStr">
        <is>
          <t>Q4 2022-23</t>
        </is>
      </c>
      <c r="D112" s="19" t="inlineStr">
        <is>
          <t>FUTURE SHORT</t>
        </is>
      </c>
      <c r="E112" s="20" t="inlineStr">
        <is>
          <t>AVOID BUT MONITOR IT</t>
        </is>
      </c>
      <c r="F112" s="13" t="inlineStr">
        <is>
          <t>5 Quarters</t>
        </is>
      </c>
      <c r="G112" s="13" t="inlineStr">
        <is>
          <t>T-8 to T+4</t>
        </is>
      </c>
      <c r="H112" s="13" t="inlineStr">
        <is>
          <t>3.74%</t>
        </is>
      </c>
      <c r="I112" s="13" t="inlineStr">
        <is>
          <t>-7.61%</t>
        </is>
      </c>
      <c r="J112" s="13" t="inlineStr">
        <is>
          <t>-11.35%</t>
        </is>
      </c>
      <c r="K112" s="16">
        <f>X111</f>
        <v/>
      </c>
      <c r="L112" s="13" t="inlineStr">
        <is>
          <t>2023-01-10</t>
        </is>
      </c>
      <c r="M112" s="13" t="inlineStr">
        <is>
          <t>2023-01-27</t>
        </is>
      </c>
      <c r="N112" s="13" t="inlineStr">
        <is>
          <t>2023-01-20</t>
        </is>
      </c>
      <c r="O112" s="9" t="n">
        <v>208</v>
      </c>
      <c r="P112" s="17" t="n">
        <v>1565.317138671875</v>
      </c>
      <c r="Q112" s="17" t="n">
        <v>1454.67431640625</v>
      </c>
      <c r="R112" s="16">
        <f>O112*P112</f>
        <v/>
      </c>
      <c r="S112" s="16">
        <f>O112*Q112</f>
        <v/>
      </c>
      <c r="T112" s="16">
        <f>R112+S112</f>
        <v/>
      </c>
      <c r="U112" s="16">
        <f>ROUND(T112*0.0005, 2)</f>
        <v/>
      </c>
      <c r="V112" s="16">
        <f>S112-R112</f>
        <v/>
      </c>
      <c r="W112" s="16">
        <f>V112-U112</f>
        <v/>
      </c>
      <c r="X112" s="16">
        <f>K112+W112</f>
        <v/>
      </c>
      <c r="Y112" s="16">
        <f>ROUND(0.20*R112, 2)</f>
        <v/>
      </c>
      <c r="Z112" s="18">
        <f>ROUND((W112/Y112)*100, 2)</f>
        <v/>
      </c>
      <c r="AA112" s="16">
        <f>MAX(AA111, X112)</f>
        <v/>
      </c>
      <c r="AB112" s="16">
        <f>X112-AA112</f>
        <v/>
      </c>
    </row>
    <row r="113">
      <c r="A113" s="13" t="n">
        <v>110</v>
      </c>
      <c r="B113" s="14" t="inlineStr">
        <is>
          <t>KFINTECH</t>
        </is>
      </c>
      <c r="C113" s="13" t="inlineStr">
        <is>
          <t>Q4 2022-23</t>
        </is>
      </c>
      <c r="D113" s="15" t="inlineStr">
        <is>
          <t>FUTURE LONG</t>
        </is>
      </c>
      <c r="E113" s="20" t="inlineStr">
        <is>
          <t>AVOID BUT MONITOR IT</t>
        </is>
      </c>
      <c r="F113" s="13" t="inlineStr">
        <is>
          <t>5 Quarters</t>
        </is>
      </c>
      <c r="G113" s="13" t="inlineStr">
        <is>
          <t>T-8 to T+1</t>
        </is>
      </c>
      <c r="H113" s="13" t="inlineStr">
        <is>
          <t>2.5%</t>
        </is>
      </c>
      <c r="I113" s="13" t="inlineStr">
        <is>
          <t>-0.31%</t>
        </is>
      </c>
      <c r="J113" s="13" t="inlineStr">
        <is>
          <t>-2.81%</t>
        </is>
      </c>
      <c r="K113" s="16">
        <f>X112</f>
        <v/>
      </c>
      <c r="L113" s="13" t="inlineStr">
        <is>
          <t>2023-01-10</t>
        </is>
      </c>
      <c r="M113" s="13" t="inlineStr">
        <is>
          <t>2023-01-23</t>
        </is>
      </c>
      <c r="N113" s="13" t="inlineStr">
        <is>
          <t>2023-01-20</t>
        </is>
      </c>
      <c r="O113" s="9" t="n">
        <v>1063</v>
      </c>
      <c r="P113" s="17" t="n">
        <v>328.855712890625</v>
      </c>
      <c r="Q113" s="17" t="n">
        <v>327.8324279785156</v>
      </c>
      <c r="R113" s="16">
        <f>O113*P113</f>
        <v/>
      </c>
      <c r="S113" s="16">
        <f>O113*Q113</f>
        <v/>
      </c>
      <c r="T113" s="16">
        <f>R113+S113</f>
        <v/>
      </c>
      <c r="U113" s="16">
        <f>ROUND(T113*0.0005, 2)</f>
        <v/>
      </c>
      <c r="V113" s="16">
        <f>S113-R113</f>
        <v/>
      </c>
      <c r="W113" s="16">
        <f>V113-U113</f>
        <v/>
      </c>
      <c r="X113" s="16">
        <f>K113+W113</f>
        <v/>
      </c>
      <c r="Y113" s="16">
        <f>ROUND(0.20*R113, 2)</f>
        <v/>
      </c>
      <c r="Z113" s="18">
        <f>ROUND((W113/Y113)*100, 2)</f>
        <v/>
      </c>
      <c r="AA113" s="16">
        <f>MAX(AA112, X113)</f>
        <v/>
      </c>
      <c r="AB113" s="16">
        <f>X113-AA113</f>
        <v/>
      </c>
    </row>
    <row r="114">
      <c r="A114" s="13" t="n">
        <v>111</v>
      </c>
      <c r="B114" s="14" t="inlineStr">
        <is>
          <t>KOTAKBANK</t>
        </is>
      </c>
      <c r="C114" s="13" t="inlineStr">
        <is>
          <t>Q4 2022-23</t>
        </is>
      </c>
      <c r="D114" s="19" t="inlineStr">
        <is>
          <t>FUTURE SHORT</t>
        </is>
      </c>
      <c r="E114" s="15" t="inlineStr">
        <is>
          <t>QUALIFIED</t>
        </is>
      </c>
      <c r="F114" s="13" t="inlineStr">
        <is>
          <t>182 Quarters</t>
        </is>
      </c>
      <c r="G114" s="13" t="inlineStr">
        <is>
          <t>T-3 to T+1</t>
        </is>
      </c>
      <c r="H114" s="13" t="inlineStr">
        <is>
          <t>0.1%</t>
        </is>
      </c>
      <c r="I114" s="13" t="inlineStr">
        <is>
          <t>1.63%</t>
        </is>
      </c>
      <c r="J114" s="13" t="inlineStr">
        <is>
          <t>1.53%</t>
        </is>
      </c>
      <c r="K114" s="16">
        <f>X113</f>
        <v/>
      </c>
      <c r="L114" s="13" t="inlineStr">
        <is>
          <t>2023-07-19</t>
        </is>
      </c>
      <c r="M114" s="13" t="inlineStr">
        <is>
          <t>2023-07-25</t>
        </is>
      </c>
      <c r="N114" s="13" t="inlineStr">
        <is>
          <t>2023-07-22</t>
        </is>
      </c>
      <c r="O114" s="9" t="n">
        <v>400</v>
      </c>
      <c r="P114" s="17" t="n">
        <v>373.9499206542969</v>
      </c>
      <c r="Q114" s="17" t="n">
        <v>380.1508483886719</v>
      </c>
      <c r="R114" s="16">
        <f>O114*P114</f>
        <v/>
      </c>
      <c r="S114" s="16">
        <f>O114*Q114</f>
        <v/>
      </c>
      <c r="T114" s="16">
        <f>R114+S114</f>
        <v/>
      </c>
      <c r="U114" s="16">
        <f>ROUND(T114*0.0005, 2)</f>
        <v/>
      </c>
      <c r="V114" s="16">
        <f>S114-R114</f>
        <v/>
      </c>
      <c r="W114" s="16">
        <f>V114-U114</f>
        <v/>
      </c>
      <c r="X114" s="16">
        <f>K114+W114</f>
        <v/>
      </c>
      <c r="Y114" s="16">
        <f>ROUND(0.20*R114, 2)</f>
        <v/>
      </c>
      <c r="Z114" s="18">
        <f>ROUND((W114/Y114)*100, 2)</f>
        <v/>
      </c>
      <c r="AA114" s="16">
        <f>MAX(AA113, X114)</f>
        <v/>
      </c>
      <c r="AB114" s="16">
        <f>X114-AA114</f>
        <v/>
      </c>
    </row>
    <row r="115">
      <c r="A115" s="13" t="n">
        <v>112</v>
      </c>
      <c r="B115" s="14" t="inlineStr">
        <is>
          <t>KPITTECH</t>
        </is>
      </c>
      <c r="C115" s="13" t="inlineStr">
        <is>
          <t>Q4 2022-23</t>
        </is>
      </c>
      <c r="D115" s="15" t="inlineStr">
        <is>
          <t>FUTURE LONG</t>
        </is>
      </c>
      <c r="E115" s="20" t="inlineStr">
        <is>
          <t>AVOID BUT MONITOR IT</t>
        </is>
      </c>
      <c r="F115" s="13" t="inlineStr">
        <is>
          <t>5 Quarters</t>
        </is>
      </c>
      <c r="G115" s="13" t="inlineStr">
        <is>
          <t>T-5 to T+1</t>
        </is>
      </c>
      <c r="H115" s="13" t="inlineStr">
        <is>
          <t>-1.15%</t>
        </is>
      </c>
      <c r="I115" s="13" t="inlineStr">
        <is>
          <t>0.78%</t>
        </is>
      </c>
      <c r="J115" s="13" t="inlineStr">
        <is>
          <t>1.93%</t>
        </is>
      </c>
      <c r="K115" s="16">
        <f>X114</f>
        <v/>
      </c>
      <c r="L115" s="13" t="inlineStr">
        <is>
          <t>2023-01-13</t>
        </is>
      </c>
      <c r="M115" s="13" t="inlineStr">
        <is>
          <t>2023-01-23</t>
        </is>
      </c>
      <c r="N115" s="13" t="inlineStr">
        <is>
          <t>2023-01-20</t>
        </is>
      </c>
      <c r="O115" s="9" t="n">
        <v>1695</v>
      </c>
      <c r="P115" s="17" t="n">
        <v>680.7489624023438</v>
      </c>
      <c r="Q115" s="17" t="n">
        <v>686.05810546875</v>
      </c>
      <c r="R115" s="16">
        <f>O115*P115</f>
        <v/>
      </c>
      <c r="S115" s="16">
        <f>O115*Q115</f>
        <v/>
      </c>
      <c r="T115" s="16">
        <f>R115+S115</f>
        <v/>
      </c>
      <c r="U115" s="16">
        <f>ROUND(T115*0.0005, 2)</f>
        <v/>
      </c>
      <c r="V115" s="16">
        <f>S115-R115</f>
        <v/>
      </c>
      <c r="W115" s="16">
        <f>V115-U115</f>
        <v/>
      </c>
      <c r="X115" s="16">
        <f>K115+W115</f>
        <v/>
      </c>
      <c r="Y115" s="16">
        <f>ROUND(0.20*R115, 2)</f>
        <v/>
      </c>
      <c r="Z115" s="18">
        <f>ROUND((W115/Y115)*100, 2)</f>
        <v/>
      </c>
      <c r="AA115" s="16">
        <f>MAX(AA114, X115)</f>
        <v/>
      </c>
      <c r="AB115" s="16">
        <f>X115-AA115</f>
        <v/>
      </c>
    </row>
    <row r="116">
      <c r="A116" s="13" t="n">
        <v>113</v>
      </c>
      <c r="B116" s="14" t="inlineStr">
        <is>
          <t>LAURUSLABS</t>
        </is>
      </c>
      <c r="C116" s="13" t="inlineStr">
        <is>
          <t>Q4 2022-23</t>
        </is>
      </c>
      <c r="D116" s="19" t="inlineStr">
        <is>
          <t>FUTURE SHORT</t>
        </is>
      </c>
      <c r="E116" s="20" t="inlineStr">
        <is>
          <t>AVOID BUT MONITOR IT</t>
        </is>
      </c>
      <c r="F116" s="13" t="inlineStr">
        <is>
          <t>5 Quarters</t>
        </is>
      </c>
      <c r="G116" s="13" t="inlineStr">
        <is>
          <t>T-4 to T+1</t>
        </is>
      </c>
      <c r="H116" s="13" t="inlineStr">
        <is>
          <t>2.81%</t>
        </is>
      </c>
      <c r="I116" s="13" t="inlineStr">
        <is>
          <t>1.59%</t>
        </is>
      </c>
      <c r="J116" s="13" t="inlineStr">
        <is>
          <t>-1.22%</t>
        </is>
      </c>
      <c r="K116" s="16">
        <f>X115</f>
        <v/>
      </c>
      <c r="L116" s="13" t="inlineStr">
        <is>
          <t>2023-01-16</t>
        </is>
      </c>
      <c r="M116" s="13" t="inlineStr">
        <is>
          <t>2023-01-23</t>
        </is>
      </c>
      <c r="N116" s="13" t="inlineStr">
        <is>
          <t>2023-01-20</t>
        </is>
      </c>
      <c r="O116" s="9" t="n">
        <v>561</v>
      </c>
      <c r="P116" s="17" t="n">
        <v>345.5503845214844</v>
      </c>
      <c r="Q116" s="17" t="n">
        <v>351.1461181640625</v>
      </c>
      <c r="R116" s="16">
        <f>O116*P116</f>
        <v/>
      </c>
      <c r="S116" s="16">
        <f>O116*Q116</f>
        <v/>
      </c>
      <c r="T116" s="16">
        <f>R116+S116</f>
        <v/>
      </c>
      <c r="U116" s="16">
        <f>ROUND(T116*0.0005, 2)</f>
        <v/>
      </c>
      <c r="V116" s="16">
        <f>S116-R116</f>
        <v/>
      </c>
      <c r="W116" s="16">
        <f>V116-U116</f>
        <v/>
      </c>
      <c r="X116" s="16">
        <f>K116+W116</f>
        <v/>
      </c>
      <c r="Y116" s="16">
        <f>ROUND(0.20*R116, 2)</f>
        <v/>
      </c>
      <c r="Z116" s="18">
        <f>ROUND((W116/Y116)*100, 2)</f>
        <v/>
      </c>
      <c r="AA116" s="16">
        <f>MAX(AA115, X116)</f>
        <v/>
      </c>
      <c r="AB116" s="16">
        <f>X116-AA116</f>
        <v/>
      </c>
    </row>
    <row r="117">
      <c r="A117" s="13" t="n">
        <v>114</v>
      </c>
      <c r="B117" s="14" t="inlineStr">
        <is>
          <t>LICHSGFIN</t>
        </is>
      </c>
      <c r="C117" s="13" t="inlineStr">
        <is>
          <t>Q4 2022-23</t>
        </is>
      </c>
      <c r="D117" s="15" t="inlineStr">
        <is>
          <t>FUTURE LONG</t>
        </is>
      </c>
      <c r="E117" s="20" t="inlineStr">
        <is>
          <t>AVOID BUT MONITOR IT</t>
        </is>
      </c>
      <c r="F117" s="13" t="inlineStr">
        <is>
          <t>5 Quarters</t>
        </is>
      </c>
      <c r="G117" s="13" t="inlineStr">
        <is>
          <t>T-2 to T+4</t>
        </is>
      </c>
      <c r="H117" s="13" t="inlineStr">
        <is>
          <t>-0.58%</t>
        </is>
      </c>
      <c r="I117" s="13" t="inlineStr">
        <is>
          <t>-2.55%</t>
        </is>
      </c>
      <c r="J117" s="13" t="inlineStr">
        <is>
          <t>-1.97%</t>
        </is>
      </c>
      <c r="K117" s="16">
        <f>X116</f>
        <v/>
      </c>
      <c r="L117" s="13" t="inlineStr">
        <is>
          <t>2023-01-18</t>
        </is>
      </c>
      <c r="M117" s="13" t="inlineStr">
        <is>
          <t>2023-01-27</t>
        </is>
      </c>
      <c r="N117" s="13" t="inlineStr">
        <is>
          <t>2023-01-20</t>
        </is>
      </c>
      <c r="O117" s="9" t="n">
        <v>1848</v>
      </c>
      <c r="P117" s="17" t="n">
        <v>376.7023315429688</v>
      </c>
      <c r="Q117" s="17" t="n">
        <v>367.1042175292969</v>
      </c>
      <c r="R117" s="16">
        <f>O117*P117</f>
        <v/>
      </c>
      <c r="S117" s="16">
        <f>O117*Q117</f>
        <v/>
      </c>
      <c r="T117" s="16">
        <f>R117+S117</f>
        <v/>
      </c>
      <c r="U117" s="16">
        <f>ROUND(T117*0.0005, 2)</f>
        <v/>
      </c>
      <c r="V117" s="16">
        <f>S117-R117</f>
        <v/>
      </c>
      <c r="W117" s="16">
        <f>V117-U117</f>
        <v/>
      </c>
      <c r="X117" s="16">
        <f>K117+W117</f>
        <v/>
      </c>
      <c r="Y117" s="16">
        <f>ROUND(0.20*R117, 2)</f>
        <v/>
      </c>
      <c r="Z117" s="18">
        <f>ROUND((W117/Y117)*100, 2)</f>
        <v/>
      </c>
      <c r="AA117" s="16">
        <f>MAX(AA116, X117)</f>
        <v/>
      </c>
      <c r="AB117" s="16">
        <f>X117-AA117</f>
        <v/>
      </c>
    </row>
    <row r="118">
      <c r="A118" s="13" t="n">
        <v>115</v>
      </c>
      <c r="B118" s="14" t="inlineStr">
        <is>
          <t>LICI</t>
        </is>
      </c>
      <c r="C118" s="13" t="inlineStr">
        <is>
          <t>Q4 2022-23</t>
        </is>
      </c>
      <c r="D118" s="15" t="inlineStr">
        <is>
          <t>FUTURE LONG</t>
        </is>
      </c>
      <c r="E118" s="15" t="inlineStr">
        <is>
          <t>QUALIFIED</t>
        </is>
      </c>
      <c r="F118" s="13" t="inlineStr">
        <is>
          <t>30 Quarters</t>
        </is>
      </c>
      <c r="G118" s="13" t="inlineStr">
        <is>
          <t>T-5 to T+4</t>
        </is>
      </c>
      <c r="H118" s="13" t="inlineStr">
        <is>
          <t>0.95%</t>
        </is>
      </c>
      <c r="I118" s="13" t="inlineStr">
        <is>
          <t>11.7%</t>
        </is>
      </c>
      <c r="J118" s="13" t="inlineStr">
        <is>
          <t>10.75%</t>
        </is>
      </c>
      <c r="K118" s="16">
        <f>X117</f>
        <v/>
      </c>
      <c r="L118" s="13" t="inlineStr">
        <is>
          <t>2024-02-02</t>
        </is>
      </c>
      <c r="M118" s="13" t="inlineStr">
        <is>
          <t>2024-02-15</t>
        </is>
      </c>
      <c r="N118" s="13" t="inlineStr">
        <is>
          <t>2024-02-08</t>
        </is>
      </c>
      <c r="O118" s="9" t="n">
        <v>2364</v>
      </c>
      <c r="P118" s="17" t="n">
        <v>451.6480712890625</v>
      </c>
      <c r="Q118" s="17" t="n">
        <v>504.50634765625</v>
      </c>
      <c r="R118" s="16">
        <f>O118*P118</f>
        <v/>
      </c>
      <c r="S118" s="16">
        <f>O118*Q118</f>
        <v/>
      </c>
      <c r="T118" s="16">
        <f>R118+S118</f>
        <v/>
      </c>
      <c r="U118" s="16">
        <f>ROUND(T118*0.0005, 2)</f>
        <v/>
      </c>
      <c r="V118" s="16">
        <f>S118-R118</f>
        <v/>
      </c>
      <c r="W118" s="16">
        <f>V118-U118</f>
        <v/>
      </c>
      <c r="X118" s="16">
        <f>K118+W118</f>
        <v/>
      </c>
      <c r="Y118" s="16">
        <f>ROUND(0.20*R118, 2)</f>
        <v/>
      </c>
      <c r="Z118" s="18">
        <f>ROUND((W118/Y118)*100, 2)</f>
        <v/>
      </c>
      <c r="AA118" s="16">
        <f>MAX(AA117, X118)</f>
        <v/>
      </c>
      <c r="AB118" s="16">
        <f>X118-AA118</f>
        <v/>
      </c>
    </row>
    <row r="119">
      <c r="A119" s="13" t="n">
        <v>116</v>
      </c>
      <c r="B119" s="14" t="inlineStr">
        <is>
          <t>LODHA</t>
        </is>
      </c>
      <c r="C119" s="13" t="inlineStr">
        <is>
          <t>Q4 2022-23</t>
        </is>
      </c>
      <c r="D119" s="19" t="inlineStr">
        <is>
          <t>FUTURE SHORT</t>
        </is>
      </c>
      <c r="E119" s="20" t="inlineStr">
        <is>
          <t>AVOID BUT MONITOR IT</t>
        </is>
      </c>
      <c r="F119" s="13" t="inlineStr">
        <is>
          <t>5 Quarters</t>
        </is>
      </c>
      <c r="G119" s="13" t="inlineStr">
        <is>
          <t>T-4 to T+1</t>
        </is>
      </c>
      <c r="H119" s="13" t="inlineStr">
        <is>
          <t>4.25%</t>
        </is>
      </c>
      <c r="I119" s="13" t="inlineStr">
        <is>
          <t>-6.61%</t>
        </is>
      </c>
      <c r="J119" s="13" t="inlineStr">
        <is>
          <t>-10.86%</t>
        </is>
      </c>
      <c r="K119" s="16">
        <f>X118</f>
        <v/>
      </c>
      <c r="L119" s="13" t="inlineStr">
        <is>
          <t>2023-01-16</t>
        </is>
      </c>
      <c r="M119" s="13" t="inlineStr">
        <is>
          <t>2023-01-23</t>
        </is>
      </c>
      <c r="N119" s="13" t="inlineStr">
        <is>
          <t>2023-01-20</t>
        </is>
      </c>
      <c r="O119" s="9" t="n">
        <v>776</v>
      </c>
      <c r="P119" s="17" t="n">
        <v>543.788330078125</v>
      </c>
      <c r="Q119" s="17" t="n">
        <v>510.0546264648438</v>
      </c>
      <c r="R119" s="16">
        <f>O119*P119</f>
        <v/>
      </c>
      <c r="S119" s="16">
        <f>O119*Q119</f>
        <v/>
      </c>
      <c r="T119" s="16">
        <f>R119+S119</f>
        <v/>
      </c>
      <c r="U119" s="16">
        <f>ROUND(T119*0.0005, 2)</f>
        <v/>
      </c>
      <c r="V119" s="16">
        <f>S119-R119</f>
        <v/>
      </c>
      <c r="W119" s="16">
        <f>V119-U119</f>
        <v/>
      </c>
      <c r="X119" s="16">
        <f>K119+W119</f>
        <v/>
      </c>
      <c r="Y119" s="16">
        <f>ROUND(0.20*R119, 2)</f>
        <v/>
      </c>
      <c r="Z119" s="18">
        <f>ROUND((W119/Y119)*100, 2)</f>
        <v/>
      </c>
      <c r="AA119" s="16">
        <f>MAX(AA118, X119)</f>
        <v/>
      </c>
      <c r="AB119" s="16">
        <f>X119-AA119</f>
        <v/>
      </c>
    </row>
    <row r="120">
      <c r="A120" s="13" t="n">
        <v>117</v>
      </c>
      <c r="B120" s="14" t="inlineStr">
        <is>
          <t>LT</t>
        </is>
      </c>
      <c r="C120" s="13" t="inlineStr">
        <is>
          <t>Q4 2022-23</t>
        </is>
      </c>
      <c r="D120" s="15" t="inlineStr">
        <is>
          <t>FUTURE LONG</t>
        </is>
      </c>
      <c r="E120" s="15" t="inlineStr">
        <is>
          <t>QUALIFIED</t>
        </is>
      </c>
      <c r="F120" s="13" t="inlineStr">
        <is>
          <t>159 Quarters</t>
        </is>
      </c>
      <c r="G120" s="13" t="inlineStr">
        <is>
          <t>T-1 to T+1</t>
        </is>
      </c>
      <c r="H120" s="13" t="inlineStr">
        <is>
          <t>0.56%</t>
        </is>
      </c>
      <c r="I120" s="13" t="inlineStr">
        <is>
          <t>0.12%</t>
        </is>
      </c>
      <c r="J120" s="13" t="inlineStr">
        <is>
          <t>-0.44%</t>
        </is>
      </c>
      <c r="K120" s="16">
        <f>X119</f>
        <v/>
      </c>
      <c r="L120" s="13" t="inlineStr">
        <is>
          <t>2023-07-26</t>
        </is>
      </c>
      <c r="M120" s="13" t="inlineStr">
        <is>
          <t>2023-07-28</t>
        </is>
      </c>
      <c r="N120" s="13" t="inlineStr">
        <is>
          <t>2023-07-26</t>
        </is>
      </c>
      <c r="O120" s="9" t="n">
        <v>300</v>
      </c>
      <c r="P120" s="17" t="n">
        <v>2547.204345703125</v>
      </c>
      <c r="Q120" s="17" t="n">
        <v>2550.381103515625</v>
      </c>
      <c r="R120" s="16">
        <f>O120*P120</f>
        <v/>
      </c>
      <c r="S120" s="16">
        <f>O120*Q120</f>
        <v/>
      </c>
      <c r="T120" s="16">
        <f>R120+S120</f>
        <v/>
      </c>
      <c r="U120" s="16">
        <f>ROUND(T120*0.0005, 2)</f>
        <v/>
      </c>
      <c r="V120" s="16">
        <f>S120-R120</f>
        <v/>
      </c>
      <c r="W120" s="16">
        <f>V120-U120</f>
        <v/>
      </c>
      <c r="X120" s="16">
        <f>K120+W120</f>
        <v/>
      </c>
      <c r="Y120" s="16">
        <f>ROUND(0.20*R120, 2)</f>
        <v/>
      </c>
      <c r="Z120" s="18">
        <f>ROUND((W120/Y120)*100, 2)</f>
        <v/>
      </c>
      <c r="AA120" s="16">
        <f>MAX(AA119, X120)</f>
        <v/>
      </c>
      <c r="AB120" s="16">
        <f>X120-AA120</f>
        <v/>
      </c>
    </row>
    <row r="121">
      <c r="A121" s="13" t="n">
        <v>118</v>
      </c>
      <c r="B121" s="14" t="inlineStr">
        <is>
          <t>LTF</t>
        </is>
      </c>
      <c r="C121" s="13" t="inlineStr">
        <is>
          <t>Q4 2022-23</t>
        </is>
      </c>
      <c r="D121" s="19" t="inlineStr">
        <is>
          <t>FUTURE SHORT</t>
        </is>
      </c>
      <c r="E121" s="20" t="inlineStr">
        <is>
          <t>AVOID BUT MONITOR IT</t>
        </is>
      </c>
      <c r="F121" s="13" t="inlineStr">
        <is>
          <t>5 Quarters</t>
        </is>
      </c>
      <c r="G121" s="13" t="inlineStr">
        <is>
          <t>T-1 to T+1</t>
        </is>
      </c>
      <c r="H121" s="13" t="inlineStr">
        <is>
          <t>1.46%</t>
        </is>
      </c>
      <c r="I121" s="13" t="inlineStr">
        <is>
          <t>2.4%</t>
        </is>
      </c>
      <c r="J121" s="13" t="inlineStr">
        <is>
          <t>0.94%</t>
        </is>
      </c>
      <c r="K121" s="16">
        <f>X120</f>
        <v/>
      </c>
      <c r="L121" s="13" t="inlineStr">
        <is>
          <t>2023-01-19</t>
        </is>
      </c>
      <c r="M121" s="13" t="inlineStr">
        <is>
          <t>2023-01-23</t>
        </is>
      </c>
      <c r="N121" s="13" t="inlineStr">
        <is>
          <t>2023-01-20</t>
        </is>
      </c>
      <c r="O121" s="9" t="n">
        <v>3265</v>
      </c>
      <c r="P121" s="17" t="n">
        <v>88.51218414306641</v>
      </c>
      <c r="Q121" s="17" t="n">
        <v>90.68832397460938</v>
      </c>
      <c r="R121" s="16">
        <f>O121*P121</f>
        <v/>
      </c>
      <c r="S121" s="16">
        <f>O121*Q121</f>
        <v/>
      </c>
      <c r="T121" s="16">
        <f>R121+S121</f>
        <v/>
      </c>
      <c r="U121" s="16">
        <f>ROUND(T121*0.0005, 2)</f>
        <v/>
      </c>
      <c r="V121" s="16">
        <f>S121-R121</f>
        <v/>
      </c>
      <c r="W121" s="16">
        <f>V121-U121</f>
        <v/>
      </c>
      <c r="X121" s="16">
        <f>K121+W121</f>
        <v/>
      </c>
      <c r="Y121" s="16">
        <f>ROUND(0.20*R121, 2)</f>
        <v/>
      </c>
      <c r="Z121" s="18">
        <f>ROUND((W121/Y121)*100, 2)</f>
        <v/>
      </c>
      <c r="AA121" s="16">
        <f>MAX(AA120, X121)</f>
        <v/>
      </c>
      <c r="AB121" s="16">
        <f>X121-AA121</f>
        <v/>
      </c>
    </row>
    <row r="122">
      <c r="A122" s="13" t="n">
        <v>119</v>
      </c>
      <c r="B122" s="14" t="inlineStr">
        <is>
          <t>LTM</t>
        </is>
      </c>
      <c r="C122" s="13" t="inlineStr">
        <is>
          <t>Q4 2022-23</t>
        </is>
      </c>
      <c r="D122" s="19" t="inlineStr">
        <is>
          <t>FUTURE SHORT</t>
        </is>
      </c>
      <c r="E122" s="20" t="inlineStr">
        <is>
          <t>AVOID BUT MONITOR IT</t>
        </is>
      </c>
      <c r="F122" s="13" t="inlineStr">
        <is>
          <t>5 Quarters</t>
        </is>
      </c>
      <c r="G122" s="13" t="inlineStr">
        <is>
          <t>T-1 to T+4</t>
        </is>
      </c>
      <c r="H122" s="13" t="inlineStr">
        <is>
          <t>2.57%</t>
        </is>
      </c>
      <c r="I122" s="13" t="inlineStr">
        <is>
          <t>-3.78%</t>
        </is>
      </c>
      <c r="J122" s="13" t="inlineStr">
        <is>
          <t>-6.35%</t>
        </is>
      </c>
      <c r="K122" s="16">
        <f>X121</f>
        <v/>
      </c>
      <c r="L122" s="13" t="inlineStr">
        <is>
          <t>2023-01-19</t>
        </is>
      </c>
      <c r="M122" s="13" t="inlineStr">
        <is>
          <t>2023-01-27</t>
        </is>
      </c>
      <c r="N122" s="13" t="inlineStr">
        <is>
          <t>2023-01-20</t>
        </is>
      </c>
      <c r="O122" s="9" t="n">
        <v>225</v>
      </c>
      <c r="P122" s="17" t="n">
        <v>4164.8642578125</v>
      </c>
      <c r="Q122" s="17" t="n">
        <v>4013.09814453125</v>
      </c>
      <c r="R122" s="16">
        <f>O122*P122</f>
        <v/>
      </c>
      <c r="S122" s="16">
        <f>O122*Q122</f>
        <v/>
      </c>
      <c r="T122" s="16">
        <f>R122+S122</f>
        <v/>
      </c>
      <c r="U122" s="16">
        <f>ROUND(T122*0.0005, 2)</f>
        <v/>
      </c>
      <c r="V122" s="16">
        <f>S122-R122</f>
        <v/>
      </c>
      <c r="W122" s="16">
        <f>V122-U122</f>
        <v/>
      </c>
      <c r="X122" s="16">
        <f>K122+W122</f>
        <v/>
      </c>
      <c r="Y122" s="16">
        <f>ROUND(0.20*R122, 2)</f>
        <v/>
      </c>
      <c r="Z122" s="18">
        <f>ROUND((W122/Y122)*100, 2)</f>
        <v/>
      </c>
      <c r="AA122" s="16">
        <f>MAX(AA121, X122)</f>
        <v/>
      </c>
      <c r="AB122" s="16">
        <f>X122-AA122</f>
        <v/>
      </c>
    </row>
    <row r="123">
      <c r="A123" s="13" t="n">
        <v>120</v>
      </c>
      <c r="B123" s="14" t="inlineStr">
        <is>
          <t>LUPIN</t>
        </is>
      </c>
      <c r="C123" s="13" t="inlineStr">
        <is>
          <t>Q4 2022-23</t>
        </is>
      </c>
      <c r="D123" s="15" t="inlineStr">
        <is>
          <t>FUTURE LONG</t>
        </is>
      </c>
      <c r="E123" s="20" t="inlineStr">
        <is>
          <t>AVOID BUT MONITOR IT</t>
        </is>
      </c>
      <c r="F123" s="13" t="inlineStr">
        <is>
          <t>5 Quarters</t>
        </is>
      </c>
      <c r="G123" s="13" t="inlineStr">
        <is>
          <t>T-8 to T+1</t>
        </is>
      </c>
      <c r="H123" s="13" t="inlineStr">
        <is>
          <t>3.79%</t>
        </is>
      </c>
      <c r="I123" s="13" t="inlineStr">
        <is>
          <t>0.88%</t>
        </is>
      </c>
      <c r="J123" s="13" t="inlineStr">
        <is>
          <t>-2.91%</t>
        </is>
      </c>
      <c r="K123" s="16">
        <f>X122</f>
        <v/>
      </c>
      <c r="L123" s="13" t="inlineStr">
        <is>
          <t>2023-01-10</t>
        </is>
      </c>
      <c r="M123" s="13" t="inlineStr">
        <is>
          <t>2023-01-23</t>
        </is>
      </c>
      <c r="N123" s="13" t="inlineStr">
        <is>
          <t>2023-01-20</t>
        </is>
      </c>
      <c r="O123" s="9" t="n">
        <v>413</v>
      </c>
      <c r="P123" s="17" t="n">
        <v>742.2586059570312</v>
      </c>
      <c r="Q123" s="17" t="n">
        <v>748.8121337890625</v>
      </c>
      <c r="R123" s="16">
        <f>O123*P123</f>
        <v/>
      </c>
      <c r="S123" s="16">
        <f>O123*Q123</f>
        <v/>
      </c>
      <c r="T123" s="16">
        <f>R123+S123</f>
        <v/>
      </c>
      <c r="U123" s="16">
        <f>ROUND(T123*0.0005, 2)</f>
        <v/>
      </c>
      <c r="V123" s="16">
        <f>S123-R123</f>
        <v/>
      </c>
      <c r="W123" s="16">
        <f>V123-U123</f>
        <v/>
      </c>
      <c r="X123" s="16">
        <f>K123+W123</f>
        <v/>
      </c>
      <c r="Y123" s="16">
        <f>ROUND(0.20*R123, 2)</f>
        <v/>
      </c>
      <c r="Z123" s="18">
        <f>ROUND((W123/Y123)*100, 2)</f>
        <v/>
      </c>
      <c r="AA123" s="16">
        <f>MAX(AA122, X123)</f>
        <v/>
      </c>
      <c r="AB123" s="16">
        <f>X123-AA123</f>
        <v/>
      </c>
    </row>
    <row r="124">
      <c r="A124" s="13" t="n">
        <v>121</v>
      </c>
      <c r="B124" s="14" t="inlineStr">
        <is>
          <t>M&amp;M</t>
        </is>
      </c>
      <c r="C124" s="13" t="inlineStr">
        <is>
          <t>Q4 2022-23</t>
        </is>
      </c>
      <c r="D124" s="15" t="inlineStr">
        <is>
          <t>FUTURE LONG</t>
        </is>
      </c>
      <c r="E124" s="15" t="inlineStr">
        <is>
          <t>QUALIFIED</t>
        </is>
      </c>
      <c r="F124" s="13" t="inlineStr">
        <is>
          <t>132 Quarters</t>
        </is>
      </c>
      <c r="G124" s="13" t="inlineStr">
        <is>
          <t>T-4 to T+1</t>
        </is>
      </c>
      <c r="H124" s="13" t="inlineStr">
        <is>
          <t>2.27%</t>
        </is>
      </c>
      <c r="I124" s="13" t="inlineStr">
        <is>
          <t>3.5%</t>
        </is>
      </c>
      <c r="J124" s="13" t="inlineStr">
        <is>
          <t>1.23%</t>
        </is>
      </c>
      <c r="K124" s="16">
        <f>X123</f>
        <v/>
      </c>
      <c r="L124" s="13" t="inlineStr">
        <is>
          <t>2023-07-31</t>
        </is>
      </c>
      <c r="M124" s="13" t="inlineStr">
        <is>
          <t>2023-08-07</t>
        </is>
      </c>
      <c r="N124" s="13" t="inlineStr">
        <is>
          <t>2023-08-04</t>
        </is>
      </c>
      <c r="O124" s="9" t="n">
        <v>350</v>
      </c>
      <c r="P124" s="17" t="n">
        <v>1437.706909179688</v>
      </c>
      <c r="Q124" s="17" t="n">
        <v>1488.093139648438</v>
      </c>
      <c r="R124" s="16">
        <f>O124*P124</f>
        <v/>
      </c>
      <c r="S124" s="16">
        <f>O124*Q124</f>
        <v/>
      </c>
      <c r="T124" s="16">
        <f>R124+S124</f>
        <v/>
      </c>
      <c r="U124" s="16">
        <f>ROUND(T124*0.0005, 2)</f>
        <v/>
      </c>
      <c r="V124" s="16">
        <f>S124-R124</f>
        <v/>
      </c>
      <c r="W124" s="16">
        <f>V124-U124</f>
        <v/>
      </c>
      <c r="X124" s="16">
        <f>K124+W124</f>
        <v/>
      </c>
      <c r="Y124" s="16">
        <f>ROUND(0.20*R124, 2)</f>
        <v/>
      </c>
      <c r="Z124" s="18">
        <f>ROUND((W124/Y124)*100, 2)</f>
        <v/>
      </c>
      <c r="AA124" s="16">
        <f>MAX(AA123, X124)</f>
        <v/>
      </c>
      <c r="AB124" s="16">
        <f>X124-AA124</f>
        <v/>
      </c>
    </row>
    <row r="125">
      <c r="A125" s="13" t="n">
        <v>122</v>
      </c>
      <c r="B125" s="14" t="inlineStr">
        <is>
          <t>MAHABANK</t>
        </is>
      </c>
      <c r="C125" s="13" t="inlineStr">
        <is>
          <t>Q4 2022-23</t>
        </is>
      </c>
      <c r="D125" s="15" t="inlineStr">
        <is>
          <t>FUTURE LONG</t>
        </is>
      </c>
      <c r="E125" s="20" t="inlineStr">
        <is>
          <t>AVOID BUT MONITOR IT</t>
        </is>
      </c>
      <c r="F125" s="13" t="inlineStr">
        <is>
          <t>5 Quarters</t>
        </is>
      </c>
      <c r="G125" s="13" t="inlineStr">
        <is>
          <t>T-4 to T+4</t>
        </is>
      </c>
      <c r="H125" s="13" t="inlineStr">
        <is>
          <t>4.38%</t>
        </is>
      </c>
      <c r="I125" s="13" t="inlineStr">
        <is>
          <t>-16.04%</t>
        </is>
      </c>
      <c r="J125" s="13" t="inlineStr">
        <is>
          <t>-20.42%</t>
        </is>
      </c>
      <c r="K125" s="16">
        <f>X124</f>
        <v/>
      </c>
      <c r="L125" s="13" t="inlineStr">
        <is>
          <t>2023-01-16</t>
        </is>
      </c>
      <c r="M125" s="13" t="inlineStr">
        <is>
          <t>2023-01-27</t>
        </is>
      </c>
      <c r="N125" s="13" t="inlineStr">
        <is>
          <t>2023-01-20</t>
        </is>
      </c>
      <c r="O125" s="9" t="n">
        <v>12616</v>
      </c>
      <c r="P125" s="17" t="n">
        <v>29.16245460510254</v>
      </c>
      <c r="Q125" s="17" t="n">
        <v>24.48587417602539</v>
      </c>
      <c r="R125" s="16">
        <f>O125*P125</f>
        <v/>
      </c>
      <c r="S125" s="16">
        <f>O125*Q125</f>
        <v/>
      </c>
      <c r="T125" s="16">
        <f>R125+S125</f>
        <v/>
      </c>
      <c r="U125" s="16">
        <f>ROUND(T125*0.0005, 2)</f>
        <v/>
      </c>
      <c r="V125" s="16">
        <f>S125-R125</f>
        <v/>
      </c>
      <c r="W125" s="16">
        <f>V125-U125</f>
        <v/>
      </c>
      <c r="X125" s="16">
        <f>K125+W125</f>
        <v/>
      </c>
      <c r="Y125" s="16">
        <f>ROUND(0.20*R125, 2)</f>
        <v/>
      </c>
      <c r="Z125" s="18">
        <f>ROUND((W125/Y125)*100, 2)</f>
        <v/>
      </c>
      <c r="AA125" s="16">
        <f>MAX(AA124, X125)</f>
        <v/>
      </c>
      <c r="AB125" s="16">
        <f>X125-AA125</f>
        <v/>
      </c>
    </row>
    <row r="126">
      <c r="A126" s="13" t="n">
        <v>123</v>
      </c>
      <c r="B126" s="14" t="inlineStr">
        <is>
          <t>MANAPPURAM</t>
        </is>
      </c>
      <c r="C126" s="13" t="inlineStr">
        <is>
          <t>Q4 2022-23</t>
        </is>
      </c>
      <c r="D126" s="15" t="inlineStr">
        <is>
          <t>FUTURE LONG</t>
        </is>
      </c>
      <c r="E126" s="20" t="inlineStr">
        <is>
          <t>AVOID BUT MONITOR IT</t>
        </is>
      </c>
      <c r="F126" s="13" t="inlineStr">
        <is>
          <t>5 Quarters</t>
        </is>
      </c>
      <c r="G126" s="13" t="inlineStr">
        <is>
          <t>T-2 to T+1</t>
        </is>
      </c>
      <c r="H126" s="13" t="inlineStr">
        <is>
          <t>0.57%</t>
        </is>
      </c>
      <c r="I126" s="13" t="inlineStr">
        <is>
          <t>1.54%</t>
        </is>
      </c>
      <c r="J126" s="13" t="inlineStr">
        <is>
          <t>0.97%</t>
        </is>
      </c>
      <c r="K126" s="16">
        <f>X125</f>
        <v/>
      </c>
      <c r="L126" s="13" t="inlineStr">
        <is>
          <t>2023-01-18</t>
        </is>
      </c>
      <c r="M126" s="13" t="inlineStr">
        <is>
          <t>2023-01-23</t>
        </is>
      </c>
      <c r="N126" s="13" t="inlineStr">
        <is>
          <t>2023-01-20</t>
        </is>
      </c>
      <c r="O126" s="9" t="n">
        <v>2714</v>
      </c>
      <c r="P126" s="17" t="n">
        <v>110.0477294921875</v>
      </c>
      <c r="Q126" s="17" t="n">
        <v>111.7414855957031</v>
      </c>
      <c r="R126" s="16">
        <f>O126*P126</f>
        <v/>
      </c>
      <c r="S126" s="16">
        <f>O126*Q126</f>
        <v/>
      </c>
      <c r="T126" s="16">
        <f>R126+S126</f>
        <v/>
      </c>
      <c r="U126" s="16">
        <f>ROUND(T126*0.0005, 2)</f>
        <v/>
      </c>
      <c r="V126" s="16">
        <f>S126-R126</f>
        <v/>
      </c>
      <c r="W126" s="16">
        <f>V126-U126</f>
        <v/>
      </c>
      <c r="X126" s="16">
        <f>K126+W126</f>
        <v/>
      </c>
      <c r="Y126" s="16">
        <f>ROUND(0.20*R126, 2)</f>
        <v/>
      </c>
      <c r="Z126" s="18">
        <f>ROUND((W126/Y126)*100, 2)</f>
        <v/>
      </c>
      <c r="AA126" s="16">
        <f>MAX(AA125, X126)</f>
        <v/>
      </c>
      <c r="AB126" s="16">
        <f>X126-AA126</f>
        <v/>
      </c>
    </row>
    <row r="127">
      <c r="A127" s="13" t="n">
        <v>124</v>
      </c>
      <c r="B127" s="14" t="inlineStr">
        <is>
          <t>MANKIND</t>
        </is>
      </c>
      <c r="C127" s="13" t="inlineStr">
        <is>
          <t>Q4 2022-23</t>
        </is>
      </c>
      <c r="D127" s="19" t="inlineStr">
        <is>
          <t>FUTURE SHORT</t>
        </is>
      </c>
      <c r="E127" s="20" t="inlineStr">
        <is>
          <t>AVOID BUT MONITOR IT</t>
        </is>
      </c>
      <c r="F127" s="13" t="inlineStr">
        <is>
          <t>5 Quarters</t>
        </is>
      </c>
      <c r="G127" s="13" t="inlineStr">
        <is>
          <t>T-4 to T+1</t>
        </is>
      </c>
      <c r="H127" s="13" t="inlineStr">
        <is>
          <t>3.1%</t>
        </is>
      </c>
      <c r="I127" s="13" t="inlineStr">
        <is>
          <t>2.77%</t>
        </is>
      </c>
      <c r="J127" s="13" t="inlineStr">
        <is>
          <t>-0.33%</t>
        </is>
      </c>
      <c r="K127" s="16">
        <f>X126</f>
        <v/>
      </c>
      <c r="L127" s="13" t="inlineStr">
        <is>
          <t>2023-05-09</t>
        </is>
      </c>
      <c r="M127" s="13" t="inlineStr">
        <is>
          <t>2023-05-10</t>
        </is>
      </c>
      <c r="N127" s="13" t="inlineStr">
        <is>
          <t>2023-01-20</t>
        </is>
      </c>
      <c r="O127" s="9" t="n">
        <v>388</v>
      </c>
      <c r="P127" s="17" t="n">
        <v>1382.305053710938</v>
      </c>
      <c r="Q127" s="17" t="n">
        <v>1421.739624023438</v>
      </c>
      <c r="R127" s="16">
        <f>O127*P127</f>
        <v/>
      </c>
      <c r="S127" s="16">
        <f>O127*Q127</f>
        <v/>
      </c>
      <c r="T127" s="16">
        <f>R127+S127</f>
        <v/>
      </c>
      <c r="U127" s="16">
        <f>ROUND(T127*0.0005, 2)</f>
        <v/>
      </c>
      <c r="V127" s="16">
        <f>S127-R127</f>
        <v/>
      </c>
      <c r="W127" s="16">
        <f>V127-U127</f>
        <v/>
      </c>
      <c r="X127" s="16">
        <f>K127+W127</f>
        <v/>
      </c>
      <c r="Y127" s="16">
        <f>ROUND(0.20*R127, 2)</f>
        <v/>
      </c>
      <c r="Z127" s="18">
        <f>ROUND((W127/Y127)*100, 2)</f>
        <v/>
      </c>
      <c r="AA127" s="16">
        <f>MAX(AA126, X127)</f>
        <v/>
      </c>
      <c r="AB127" s="16">
        <f>X127-AA127</f>
        <v/>
      </c>
    </row>
    <row r="128">
      <c r="A128" s="13" t="n">
        <v>125</v>
      </c>
      <c r="B128" s="14" t="inlineStr">
        <is>
          <t>MARICO</t>
        </is>
      </c>
      <c r="C128" s="13" t="inlineStr">
        <is>
          <t>Q4 2022-23</t>
        </is>
      </c>
      <c r="D128" s="15" t="inlineStr">
        <is>
          <t>FUTURE LONG</t>
        </is>
      </c>
      <c r="E128" s="20" t="inlineStr">
        <is>
          <t>AVOID BUT MONITOR IT</t>
        </is>
      </c>
      <c r="F128" s="13" t="inlineStr">
        <is>
          <t>5 Quarters</t>
        </is>
      </c>
      <c r="G128" s="13" t="inlineStr">
        <is>
          <t>T-5 to T+4</t>
        </is>
      </c>
      <c r="H128" s="13" t="inlineStr">
        <is>
          <t>1.39%</t>
        </is>
      </c>
      <c r="I128" s="13" t="inlineStr">
        <is>
          <t>1.46%</t>
        </is>
      </c>
      <c r="J128" s="13" t="inlineStr">
        <is>
          <t>0.07%</t>
        </is>
      </c>
      <c r="K128" s="16">
        <f>X127</f>
        <v/>
      </c>
      <c r="L128" s="13" t="inlineStr">
        <is>
          <t>2023-01-13</t>
        </is>
      </c>
      <c r="M128" s="13" t="inlineStr">
        <is>
          <t>2023-01-27</t>
        </is>
      </c>
      <c r="N128" s="13" t="inlineStr">
        <is>
          <t>2023-01-20</t>
        </is>
      </c>
      <c r="O128" s="9" t="n">
        <v>1129</v>
      </c>
      <c r="P128" s="17" t="n">
        <v>473.7279663085938</v>
      </c>
      <c r="Q128" s="17" t="n">
        <v>480.6447448730469</v>
      </c>
      <c r="R128" s="16">
        <f>O128*P128</f>
        <v/>
      </c>
      <c r="S128" s="16">
        <f>O128*Q128</f>
        <v/>
      </c>
      <c r="T128" s="16">
        <f>R128+S128</f>
        <v/>
      </c>
      <c r="U128" s="16">
        <f>ROUND(T128*0.0005, 2)</f>
        <v/>
      </c>
      <c r="V128" s="16">
        <f>S128-R128</f>
        <v/>
      </c>
      <c r="W128" s="16">
        <f>V128-U128</f>
        <v/>
      </c>
      <c r="X128" s="16">
        <f>K128+W128</f>
        <v/>
      </c>
      <c r="Y128" s="16">
        <f>ROUND(0.20*R128, 2)</f>
        <v/>
      </c>
      <c r="Z128" s="18">
        <f>ROUND((W128/Y128)*100, 2)</f>
        <v/>
      </c>
      <c r="AA128" s="16">
        <f>MAX(AA127, X128)</f>
        <v/>
      </c>
      <c r="AB128" s="16">
        <f>X128-AA128</f>
        <v/>
      </c>
    </row>
    <row r="129">
      <c r="A129" s="13" t="n">
        <v>126</v>
      </c>
      <c r="B129" s="14" t="inlineStr">
        <is>
          <t>MARUTI</t>
        </is>
      </c>
      <c r="C129" s="13" t="inlineStr">
        <is>
          <t>Q4 2022-23</t>
        </is>
      </c>
      <c r="D129" s="19" t="inlineStr">
        <is>
          <t>FUTURE SHORT</t>
        </is>
      </c>
      <c r="E129" s="15" t="inlineStr">
        <is>
          <t>QUALIFIED</t>
        </is>
      </c>
      <c r="F129" s="13" t="inlineStr">
        <is>
          <t>138 Quarters</t>
        </is>
      </c>
      <c r="G129" s="13" t="inlineStr">
        <is>
          <t>T-3 to T+1</t>
        </is>
      </c>
      <c r="H129" s="13" t="inlineStr">
        <is>
          <t>0.71%</t>
        </is>
      </c>
      <c r="I129" s="13" t="inlineStr">
        <is>
          <t>1.02%</t>
        </is>
      </c>
      <c r="J129" s="13" t="inlineStr">
        <is>
          <t>0.31%</t>
        </is>
      </c>
      <c r="K129" s="16">
        <f>X128</f>
        <v/>
      </c>
      <c r="L129" s="13" t="inlineStr">
        <is>
          <t>2023-07-27</t>
        </is>
      </c>
      <c r="M129" s="13" t="inlineStr">
        <is>
          <t>2023-08-02</t>
        </is>
      </c>
      <c r="N129" s="13" t="inlineStr">
        <is>
          <t>2023-07-31</t>
        </is>
      </c>
      <c r="O129" s="9" t="n">
        <v>100</v>
      </c>
      <c r="P129" s="17" t="n">
        <v>9372.865234375</v>
      </c>
      <c r="Q129" s="17" t="n">
        <v>9469.7607421875</v>
      </c>
      <c r="R129" s="16">
        <f>O129*P129</f>
        <v/>
      </c>
      <c r="S129" s="16">
        <f>O129*Q129</f>
        <v/>
      </c>
      <c r="T129" s="16">
        <f>R129+S129</f>
        <v/>
      </c>
      <c r="U129" s="16">
        <f>ROUND(T129*0.0005, 2)</f>
        <v/>
      </c>
      <c r="V129" s="16">
        <f>S129-R129</f>
        <v/>
      </c>
      <c r="W129" s="16">
        <f>V129-U129</f>
        <v/>
      </c>
      <c r="X129" s="16">
        <f>K129+W129</f>
        <v/>
      </c>
      <c r="Y129" s="16">
        <f>ROUND(0.20*R129, 2)</f>
        <v/>
      </c>
      <c r="Z129" s="18">
        <f>ROUND((W129/Y129)*100, 2)</f>
        <v/>
      </c>
      <c r="AA129" s="16">
        <f>MAX(AA128, X129)</f>
        <v/>
      </c>
      <c r="AB129" s="16">
        <f>X129-AA129</f>
        <v/>
      </c>
    </row>
    <row r="130">
      <c r="A130" s="13" t="n">
        <v>127</v>
      </c>
      <c r="B130" s="14" t="inlineStr">
        <is>
          <t>MAXHEALTH</t>
        </is>
      </c>
      <c r="C130" s="13" t="inlineStr">
        <is>
          <t>Q4 2022-23</t>
        </is>
      </c>
      <c r="D130" s="15" t="inlineStr">
        <is>
          <t>FUTURE LONG</t>
        </is>
      </c>
      <c r="E130" s="15" t="inlineStr">
        <is>
          <t>QUALIFIED</t>
        </is>
      </c>
      <c r="F130" s="13" t="inlineStr">
        <is>
          <t>16 Quarters</t>
        </is>
      </c>
      <c r="G130" s="13" t="inlineStr">
        <is>
          <t>T-4 to T+1</t>
        </is>
      </c>
      <c r="H130" s="13" t="inlineStr">
        <is>
          <t>2.62%</t>
        </is>
      </c>
      <c r="I130" s="13" t="inlineStr">
        <is>
          <t>8.49%</t>
        </is>
      </c>
      <c r="J130" s="13" t="inlineStr">
        <is>
          <t>5.87%</t>
        </is>
      </c>
      <c r="K130" s="16">
        <f>X129</f>
        <v/>
      </c>
      <c r="L130" s="13" t="inlineStr">
        <is>
          <t>2021-02-01</t>
        </is>
      </c>
      <c r="M130" s="13" t="inlineStr">
        <is>
          <t>2021-02-08</t>
        </is>
      </c>
      <c r="N130" s="13" t="inlineStr">
        <is>
          <t>2021-02-06</t>
        </is>
      </c>
      <c r="O130" s="9" t="n">
        <v>922</v>
      </c>
      <c r="P130" s="17" t="n">
        <v>166.1967010498047</v>
      </c>
      <c r="Q130" s="17" t="n">
        <v>180.3072662353516</v>
      </c>
      <c r="R130" s="16">
        <f>O130*P130</f>
        <v/>
      </c>
      <c r="S130" s="16">
        <f>O130*Q130</f>
        <v/>
      </c>
      <c r="T130" s="16">
        <f>R130+S130</f>
        <v/>
      </c>
      <c r="U130" s="16">
        <f>ROUND(T130*0.0005, 2)</f>
        <v/>
      </c>
      <c r="V130" s="16">
        <f>S130-R130</f>
        <v/>
      </c>
      <c r="W130" s="16">
        <f>V130-U130</f>
        <v/>
      </c>
      <c r="X130" s="16">
        <f>K130+W130</f>
        <v/>
      </c>
      <c r="Y130" s="16">
        <f>ROUND(0.20*R130, 2)</f>
        <v/>
      </c>
      <c r="Z130" s="18">
        <f>ROUND((W130/Y130)*100, 2)</f>
        <v/>
      </c>
      <c r="AA130" s="16">
        <f>MAX(AA129, X130)</f>
        <v/>
      </c>
      <c r="AB130" s="16">
        <f>X130-AA130</f>
        <v/>
      </c>
    </row>
    <row r="131">
      <c r="A131" s="13" t="n">
        <v>128</v>
      </c>
      <c r="B131" s="14" t="inlineStr">
        <is>
          <t>MAZDOCK</t>
        </is>
      </c>
      <c r="C131" s="13" t="inlineStr">
        <is>
          <t>Q4 2022-23</t>
        </is>
      </c>
      <c r="D131" s="19" t="inlineStr">
        <is>
          <t>FUTURE SHORT</t>
        </is>
      </c>
      <c r="E131" s="20" t="inlineStr">
        <is>
          <t>AVOID BUT MONITOR IT</t>
        </is>
      </c>
      <c r="F131" s="13" t="inlineStr">
        <is>
          <t>5 Quarters</t>
        </is>
      </c>
      <c r="G131" s="13" t="inlineStr">
        <is>
          <t>T-4 to T+4</t>
        </is>
      </c>
      <c r="H131" s="13" t="inlineStr">
        <is>
          <t>4.99%</t>
        </is>
      </c>
      <c r="I131" s="13" t="inlineStr">
        <is>
          <t>6.5%</t>
        </is>
      </c>
      <c r="J131" s="13" t="inlineStr">
        <is>
          <t>1.51%</t>
        </is>
      </c>
      <c r="K131" s="16">
        <f>X130</f>
        <v/>
      </c>
      <c r="L131" s="13" t="inlineStr">
        <is>
          <t>2023-01-16</t>
        </is>
      </c>
      <c r="M131" s="13" t="inlineStr">
        <is>
          <t>2023-01-27</t>
        </is>
      </c>
      <c r="N131" s="13" t="inlineStr">
        <is>
          <t>2023-01-20</t>
        </is>
      </c>
      <c r="O131" s="9" t="n">
        <v>431</v>
      </c>
      <c r="P131" s="17" t="n">
        <v>350.9775390625</v>
      </c>
      <c r="Q131" s="17" t="n">
        <v>375.3607482910156</v>
      </c>
      <c r="R131" s="16">
        <f>O131*P131</f>
        <v/>
      </c>
      <c r="S131" s="16">
        <f>O131*Q131</f>
        <v/>
      </c>
      <c r="T131" s="16">
        <f>R131+S131</f>
        <v/>
      </c>
      <c r="U131" s="16">
        <f>ROUND(T131*0.0005, 2)</f>
        <v/>
      </c>
      <c r="V131" s="16">
        <f>S131-R131</f>
        <v/>
      </c>
      <c r="W131" s="16">
        <f>V131-U131</f>
        <v/>
      </c>
      <c r="X131" s="16">
        <f>K131+W131</f>
        <v/>
      </c>
      <c r="Y131" s="16">
        <f>ROUND(0.20*R131, 2)</f>
        <v/>
      </c>
      <c r="Z131" s="18">
        <f>ROUND((W131/Y131)*100, 2)</f>
        <v/>
      </c>
      <c r="AA131" s="16">
        <f>MAX(AA130, X131)</f>
        <v/>
      </c>
      <c r="AB131" s="16">
        <f>X131-AA131</f>
        <v/>
      </c>
    </row>
    <row r="132">
      <c r="A132" s="13" t="n">
        <v>129</v>
      </c>
      <c r="B132" s="14" t="inlineStr">
        <is>
          <t>MCX</t>
        </is>
      </c>
      <c r="C132" s="13" t="inlineStr">
        <is>
          <t>Q4 2022-23</t>
        </is>
      </c>
      <c r="D132" s="15" t="inlineStr">
        <is>
          <t>FUTURE LONG</t>
        </is>
      </c>
      <c r="E132" s="20" t="inlineStr">
        <is>
          <t>AVOID BUT MONITOR IT</t>
        </is>
      </c>
      <c r="F132" s="13" t="inlineStr">
        <is>
          <t>4 Quarters</t>
        </is>
      </c>
      <c r="G132" s="13" t="inlineStr">
        <is>
          <t>T-7 to T+1</t>
        </is>
      </c>
      <c r="H132" s="13" t="inlineStr">
        <is>
          <t>10.36%</t>
        </is>
      </c>
      <c r="I132" s="13" t="inlineStr">
        <is>
          <t>5.56%</t>
        </is>
      </c>
      <c r="J132" s="13" t="inlineStr">
        <is>
          <t>-4.8%</t>
        </is>
      </c>
      <c r="K132" s="16">
        <f>X131</f>
        <v/>
      </c>
      <c r="L132" s="13" t="inlineStr">
        <is>
          <t>2023-01-11</t>
        </is>
      </c>
      <c r="M132" s="13" t="inlineStr">
        <is>
          <t>2023-01-23</t>
        </is>
      </c>
      <c r="N132" s="13" t="inlineStr">
        <is>
          <t>2023-01-20</t>
        </is>
      </c>
      <c r="O132" s="9" t="n">
        <v>373</v>
      </c>
      <c r="P132" s="17" t="n">
        <v>291.6628112792969</v>
      </c>
      <c r="Q132" s="17" t="n">
        <v>307.8722839355469</v>
      </c>
      <c r="R132" s="16">
        <f>O132*P132</f>
        <v/>
      </c>
      <c r="S132" s="16">
        <f>O132*Q132</f>
        <v/>
      </c>
      <c r="T132" s="16">
        <f>R132+S132</f>
        <v/>
      </c>
      <c r="U132" s="16">
        <f>ROUND(T132*0.0005, 2)</f>
        <v/>
      </c>
      <c r="V132" s="16">
        <f>S132-R132</f>
        <v/>
      </c>
      <c r="W132" s="16">
        <f>V132-U132</f>
        <v/>
      </c>
      <c r="X132" s="16">
        <f>K132+W132</f>
        <v/>
      </c>
      <c r="Y132" s="16">
        <f>ROUND(0.20*R132, 2)</f>
        <v/>
      </c>
      <c r="Z132" s="18">
        <f>ROUND((W132/Y132)*100, 2)</f>
        <v/>
      </c>
      <c r="AA132" s="16">
        <f>MAX(AA131, X132)</f>
        <v/>
      </c>
      <c r="AB132" s="16">
        <f>X132-AA132</f>
        <v/>
      </c>
    </row>
    <row r="133">
      <c r="A133" s="13" t="n">
        <v>130</v>
      </c>
      <c r="B133" s="14" t="inlineStr">
        <is>
          <t>MFSL</t>
        </is>
      </c>
      <c r="C133" s="13" t="inlineStr">
        <is>
          <t>Q4 2022-23</t>
        </is>
      </c>
      <c r="D133" s="19" t="inlineStr">
        <is>
          <t>FUTURE SHORT</t>
        </is>
      </c>
      <c r="E133" s="20" t="inlineStr">
        <is>
          <t>AVOID BUT MONITOR IT</t>
        </is>
      </c>
      <c r="F133" s="13" t="inlineStr">
        <is>
          <t>5 Quarters</t>
        </is>
      </c>
      <c r="G133" s="13" t="inlineStr">
        <is>
          <t>T-2 to T+1</t>
        </is>
      </c>
      <c r="H133" s="13" t="inlineStr">
        <is>
          <t>-1.48%</t>
        </is>
      </c>
      <c r="I133" s="13" t="inlineStr">
        <is>
          <t>-1.81%</t>
        </is>
      </c>
      <c r="J133" s="13" t="inlineStr">
        <is>
          <t>-0.33%</t>
        </is>
      </c>
      <c r="K133" s="16">
        <f>X132</f>
        <v/>
      </c>
      <c r="L133" s="13" t="inlineStr">
        <is>
          <t>2023-01-18</t>
        </is>
      </c>
      <c r="M133" s="13" t="inlineStr">
        <is>
          <t>2023-01-23</t>
        </is>
      </c>
      <c r="N133" s="13" t="inlineStr">
        <is>
          <t>2023-01-20</t>
        </is>
      </c>
      <c r="O133" s="9" t="n">
        <v>661</v>
      </c>
      <c r="P133" s="17" t="n">
        <v>843.3499755859375</v>
      </c>
      <c r="Q133" s="17" t="n">
        <v>828.3499755859375</v>
      </c>
      <c r="R133" s="16">
        <f>O133*P133</f>
        <v/>
      </c>
      <c r="S133" s="16">
        <f>O133*Q133</f>
        <v/>
      </c>
      <c r="T133" s="16">
        <f>R133+S133</f>
        <v/>
      </c>
      <c r="U133" s="16">
        <f>ROUND(T133*0.0005, 2)</f>
        <v/>
      </c>
      <c r="V133" s="16">
        <f>S133-R133</f>
        <v/>
      </c>
      <c r="W133" s="16">
        <f>V133-U133</f>
        <v/>
      </c>
      <c r="X133" s="16">
        <f>K133+W133</f>
        <v/>
      </c>
      <c r="Y133" s="16">
        <f>ROUND(0.20*R133, 2)</f>
        <v/>
      </c>
      <c r="Z133" s="18">
        <f>ROUND((W133/Y133)*100, 2)</f>
        <v/>
      </c>
      <c r="AA133" s="16">
        <f>MAX(AA132, X133)</f>
        <v/>
      </c>
      <c r="AB133" s="16">
        <f>X133-AA133</f>
        <v/>
      </c>
    </row>
    <row r="134">
      <c r="A134" s="13" t="n">
        <v>131</v>
      </c>
      <c r="B134" s="14" t="inlineStr">
        <is>
          <t>MOTHERSON</t>
        </is>
      </c>
      <c r="C134" s="13" t="inlineStr">
        <is>
          <t>Q4 2022-23</t>
        </is>
      </c>
      <c r="D134" s="19" t="inlineStr">
        <is>
          <t>FUTURE SHORT</t>
        </is>
      </c>
      <c r="E134" s="20" t="inlineStr">
        <is>
          <t>AVOID BUT MONITOR IT</t>
        </is>
      </c>
      <c r="F134" s="13" t="inlineStr">
        <is>
          <t>5 Quarters</t>
        </is>
      </c>
      <c r="G134" s="13" t="inlineStr">
        <is>
          <t>T-4 to T+4</t>
        </is>
      </c>
      <c r="H134" s="13" t="inlineStr">
        <is>
          <t>1.98%</t>
        </is>
      </c>
      <c r="I134" s="13" t="inlineStr">
        <is>
          <t>5.23%</t>
        </is>
      </c>
      <c r="J134" s="13" t="inlineStr">
        <is>
          <t>3.25%</t>
        </is>
      </c>
      <c r="K134" s="16">
        <f>X133</f>
        <v/>
      </c>
      <c r="L134" s="13" t="inlineStr">
        <is>
          <t>2023-01-16</t>
        </is>
      </c>
      <c r="M134" s="13" t="inlineStr">
        <is>
          <t>2023-01-27</t>
        </is>
      </c>
      <c r="N134" s="13" t="inlineStr">
        <is>
          <t>2023-01-20</t>
        </is>
      </c>
      <c r="O134" s="9" t="n">
        <v>6815</v>
      </c>
      <c r="P134" s="17" t="n">
        <v>46.68480682373047</v>
      </c>
      <c r="Q134" s="17" t="n">
        <v>49.26029586791992</v>
      </c>
      <c r="R134" s="16">
        <f>O134*P134</f>
        <v/>
      </c>
      <c r="S134" s="16">
        <f>O134*Q134</f>
        <v/>
      </c>
      <c r="T134" s="16">
        <f>R134+S134</f>
        <v/>
      </c>
      <c r="U134" s="16">
        <f>ROUND(T134*0.0005, 2)</f>
        <v/>
      </c>
      <c r="V134" s="16">
        <f>S134-R134</f>
        <v/>
      </c>
      <c r="W134" s="16">
        <f>V134-U134</f>
        <v/>
      </c>
      <c r="X134" s="16">
        <f>K134+W134</f>
        <v/>
      </c>
      <c r="Y134" s="16">
        <f>ROUND(0.20*R134, 2)</f>
        <v/>
      </c>
      <c r="Z134" s="18">
        <f>ROUND((W134/Y134)*100, 2)</f>
        <v/>
      </c>
      <c r="AA134" s="16">
        <f>MAX(AA133, X134)</f>
        <v/>
      </c>
      <c r="AB134" s="16">
        <f>X134-AA134</f>
        <v/>
      </c>
    </row>
    <row r="135">
      <c r="A135" s="13" t="n">
        <v>132</v>
      </c>
      <c r="B135" s="14" t="inlineStr">
        <is>
          <t>MOTILALOFS</t>
        </is>
      </c>
      <c r="C135" s="13" t="inlineStr">
        <is>
          <t>Q4 2022-23</t>
        </is>
      </c>
      <c r="D135" s="15" t="inlineStr">
        <is>
          <t>FUTURE LONG</t>
        </is>
      </c>
      <c r="E135" s="20" t="inlineStr">
        <is>
          <t>AVOID BUT MONITOR IT</t>
        </is>
      </c>
      <c r="F135" s="13" t="inlineStr">
        <is>
          <t>5 Quarters</t>
        </is>
      </c>
      <c r="G135" s="13" t="inlineStr">
        <is>
          <t>T-1 to T+1</t>
        </is>
      </c>
      <c r="H135" s="13" t="inlineStr">
        <is>
          <t>5.12%</t>
        </is>
      </c>
      <c r="I135" s="13" t="inlineStr">
        <is>
          <t>-1.77%</t>
        </is>
      </c>
      <c r="J135" s="13" t="inlineStr">
        <is>
          <t>-6.89%</t>
        </is>
      </c>
      <c r="K135" s="16">
        <f>X134</f>
        <v/>
      </c>
      <c r="L135" s="13" t="inlineStr">
        <is>
          <t>2023-01-19</t>
        </is>
      </c>
      <c r="M135" s="13" t="inlineStr">
        <is>
          <t>2023-01-23</t>
        </is>
      </c>
      <c r="N135" s="13" t="inlineStr">
        <is>
          <t>2023-01-20</t>
        </is>
      </c>
      <c r="O135" s="9" t="n">
        <v>1194</v>
      </c>
      <c r="P135" s="17" t="n">
        <v>718.8028564453125</v>
      </c>
      <c r="Q135" s="17" t="n">
        <v>706.0565795898438</v>
      </c>
      <c r="R135" s="16">
        <f>O135*P135</f>
        <v/>
      </c>
      <c r="S135" s="16">
        <f>O135*Q135</f>
        <v/>
      </c>
      <c r="T135" s="16">
        <f>R135+S135</f>
        <v/>
      </c>
      <c r="U135" s="16">
        <f>ROUND(T135*0.0005, 2)</f>
        <v/>
      </c>
      <c r="V135" s="16">
        <f>S135-R135</f>
        <v/>
      </c>
      <c r="W135" s="16">
        <f>V135-U135</f>
        <v/>
      </c>
      <c r="X135" s="16">
        <f>K135+W135</f>
        <v/>
      </c>
      <c r="Y135" s="16">
        <f>ROUND(0.20*R135, 2)</f>
        <v/>
      </c>
      <c r="Z135" s="18">
        <f>ROUND((W135/Y135)*100, 2)</f>
        <v/>
      </c>
      <c r="AA135" s="16">
        <f>MAX(AA134, X135)</f>
        <v/>
      </c>
      <c r="AB135" s="16">
        <f>X135-AA135</f>
        <v/>
      </c>
    </row>
    <row r="136">
      <c r="A136" s="13" t="n">
        <v>133</v>
      </c>
      <c r="B136" s="14" t="inlineStr">
        <is>
          <t>MPHASIS</t>
        </is>
      </c>
      <c r="C136" s="13" t="inlineStr">
        <is>
          <t>Q4 2022-23</t>
        </is>
      </c>
      <c r="D136" s="15" t="inlineStr">
        <is>
          <t>FUTURE LONG</t>
        </is>
      </c>
      <c r="E136" s="20" t="inlineStr">
        <is>
          <t>AVOID BUT MONITOR IT</t>
        </is>
      </c>
      <c r="F136" s="13" t="inlineStr">
        <is>
          <t>5 Quarters</t>
        </is>
      </c>
      <c r="G136" s="13" t="inlineStr">
        <is>
          <t>T-7 to T+4</t>
        </is>
      </c>
      <c r="H136" s="13" t="inlineStr">
        <is>
          <t>2.91%</t>
        </is>
      </c>
      <c r="I136" s="13" t="inlineStr">
        <is>
          <t>2.14%</t>
        </is>
      </c>
      <c r="J136" s="13" t="inlineStr">
        <is>
          <t>-0.77%</t>
        </is>
      </c>
      <c r="K136" s="16">
        <f>X135</f>
        <v/>
      </c>
      <c r="L136" s="13" t="inlineStr">
        <is>
          <t>2023-01-11</t>
        </is>
      </c>
      <c r="M136" s="13" t="inlineStr">
        <is>
          <t>2023-01-27</t>
        </is>
      </c>
      <c r="N136" s="13" t="inlineStr">
        <is>
          <t>2023-01-20</t>
        </is>
      </c>
      <c r="O136" s="9" t="n">
        <v>426</v>
      </c>
      <c r="P136" s="17" t="n">
        <v>1846.840454101562</v>
      </c>
      <c r="Q136" s="17" t="n">
        <v>1886.343994140625</v>
      </c>
      <c r="R136" s="16">
        <f>O136*P136</f>
        <v/>
      </c>
      <c r="S136" s="16">
        <f>O136*Q136</f>
        <v/>
      </c>
      <c r="T136" s="16">
        <f>R136+S136</f>
        <v/>
      </c>
      <c r="U136" s="16">
        <f>ROUND(T136*0.0005, 2)</f>
        <v/>
      </c>
      <c r="V136" s="16">
        <f>S136-R136</f>
        <v/>
      </c>
      <c r="W136" s="16">
        <f>V136-U136</f>
        <v/>
      </c>
      <c r="X136" s="16">
        <f>K136+W136</f>
        <v/>
      </c>
      <c r="Y136" s="16">
        <f>ROUND(0.20*R136, 2)</f>
        <v/>
      </c>
      <c r="Z136" s="18">
        <f>ROUND((W136/Y136)*100, 2)</f>
        <v/>
      </c>
      <c r="AA136" s="16">
        <f>MAX(AA135, X136)</f>
        <v/>
      </c>
      <c r="AB136" s="16">
        <f>X136-AA136</f>
        <v/>
      </c>
    </row>
    <row r="137">
      <c r="A137" s="13" t="n">
        <v>134</v>
      </c>
      <c r="B137" s="14" t="inlineStr">
        <is>
          <t>MUTHOOTFIN</t>
        </is>
      </c>
      <c r="C137" s="13" t="inlineStr">
        <is>
          <t>Q4 2022-23</t>
        </is>
      </c>
      <c r="D137" s="15" t="inlineStr">
        <is>
          <t>FUTURE LONG</t>
        </is>
      </c>
      <c r="E137" s="15" t="inlineStr">
        <is>
          <t>QUALIFIED</t>
        </is>
      </c>
      <c r="F137" s="13" t="inlineStr">
        <is>
          <t>111 Quarters</t>
        </is>
      </c>
      <c r="G137" s="13" t="inlineStr">
        <is>
          <t>T-3 to T+4</t>
        </is>
      </c>
      <c r="H137" s="13" t="inlineStr">
        <is>
          <t>0.86%</t>
        </is>
      </c>
      <c r="I137" s="13" t="inlineStr">
        <is>
          <t>2.83%</t>
        </is>
      </c>
      <c r="J137" s="13" t="inlineStr">
        <is>
          <t>1.97%</t>
        </is>
      </c>
      <c r="K137" s="16">
        <f>X136</f>
        <v/>
      </c>
      <c r="L137" s="13" t="inlineStr">
        <is>
          <t>2025-02-10</t>
        </is>
      </c>
      <c r="M137" s="13" t="inlineStr">
        <is>
          <t>2025-02-19</t>
        </is>
      </c>
      <c r="N137" s="13" t="inlineStr">
        <is>
          <t>2025-02-12</t>
        </is>
      </c>
      <c r="O137" s="9" t="n">
        <v>332</v>
      </c>
      <c r="P137" s="17" t="n">
        <v>2156.99072265625</v>
      </c>
      <c r="Q137" s="17" t="n">
        <v>2218.070556640625</v>
      </c>
      <c r="R137" s="16">
        <f>O137*P137</f>
        <v/>
      </c>
      <c r="S137" s="16">
        <f>O137*Q137</f>
        <v/>
      </c>
      <c r="T137" s="16">
        <f>R137+S137</f>
        <v/>
      </c>
      <c r="U137" s="16">
        <f>ROUND(T137*0.0005, 2)</f>
        <v/>
      </c>
      <c r="V137" s="16">
        <f>S137-R137</f>
        <v/>
      </c>
      <c r="W137" s="16">
        <f>V137-U137</f>
        <v/>
      </c>
      <c r="X137" s="16">
        <f>K137+W137</f>
        <v/>
      </c>
      <c r="Y137" s="16">
        <f>ROUND(0.20*R137, 2)</f>
        <v/>
      </c>
      <c r="Z137" s="18">
        <f>ROUND((W137/Y137)*100, 2)</f>
        <v/>
      </c>
      <c r="AA137" s="16">
        <f>MAX(AA136, X137)</f>
        <v/>
      </c>
      <c r="AB137" s="16">
        <f>X137-AA137</f>
        <v/>
      </c>
    </row>
    <row r="138">
      <c r="A138" s="13" t="n">
        <v>135</v>
      </c>
      <c r="B138" s="14" t="inlineStr">
        <is>
          <t>NAM-INDIA</t>
        </is>
      </c>
      <c r="C138" s="13" t="inlineStr">
        <is>
          <t>Q4 2022-23</t>
        </is>
      </c>
      <c r="D138" s="19" t="inlineStr">
        <is>
          <t>FUTURE SHORT</t>
        </is>
      </c>
      <c r="E138" s="20" t="inlineStr">
        <is>
          <t>AVOID BUT MONITOR IT</t>
        </is>
      </c>
      <c r="F138" s="13" t="inlineStr">
        <is>
          <t>5 Quarters</t>
        </is>
      </c>
      <c r="G138" s="13" t="inlineStr">
        <is>
          <t>T-1 to T+1</t>
        </is>
      </c>
      <c r="H138" s="13" t="inlineStr">
        <is>
          <t>0.51%</t>
        </is>
      </c>
      <c r="I138" s="13" t="inlineStr">
        <is>
          <t>2.02%</t>
        </is>
      </c>
      <c r="J138" s="13" t="inlineStr">
        <is>
          <t>1.51%</t>
        </is>
      </c>
      <c r="K138" s="16">
        <f>X137</f>
        <v/>
      </c>
      <c r="L138" s="13" t="inlineStr">
        <is>
          <t>2023-01-19</t>
        </is>
      </c>
      <c r="M138" s="13" t="inlineStr">
        <is>
          <t>2023-01-23</t>
        </is>
      </c>
      <c r="N138" s="13" t="inlineStr">
        <is>
          <t>2023-01-20</t>
        </is>
      </c>
      <c r="O138" s="9" t="n">
        <v>871</v>
      </c>
      <c r="P138" s="17" t="n">
        <v>220.36474609375</v>
      </c>
      <c r="Q138" s="17" t="n">
        <v>224.9125366210937</v>
      </c>
      <c r="R138" s="16">
        <f>O138*P138</f>
        <v/>
      </c>
      <c r="S138" s="16">
        <f>O138*Q138</f>
        <v/>
      </c>
      <c r="T138" s="16">
        <f>R138+S138</f>
        <v/>
      </c>
      <c r="U138" s="16">
        <f>ROUND(T138*0.0005, 2)</f>
        <v/>
      </c>
      <c r="V138" s="16">
        <f>S138-R138</f>
        <v/>
      </c>
      <c r="W138" s="16">
        <f>V138-U138</f>
        <v/>
      </c>
      <c r="X138" s="16">
        <f>K138+W138</f>
        <v/>
      </c>
      <c r="Y138" s="16">
        <f>ROUND(0.20*R138, 2)</f>
        <v/>
      </c>
      <c r="Z138" s="18">
        <f>ROUND((W138/Y138)*100, 2)</f>
        <v/>
      </c>
      <c r="AA138" s="16">
        <f>MAX(AA137, X138)</f>
        <v/>
      </c>
      <c r="AB138" s="16">
        <f>X138-AA138</f>
        <v/>
      </c>
    </row>
    <row r="139">
      <c r="A139" s="13" t="n">
        <v>136</v>
      </c>
      <c r="B139" s="14" t="inlineStr">
        <is>
          <t>NATIONALUM</t>
        </is>
      </c>
      <c r="C139" s="13" t="inlineStr">
        <is>
          <t>Q4 2022-23</t>
        </is>
      </c>
      <c r="D139" s="19" t="inlineStr">
        <is>
          <t>FUTURE SHORT</t>
        </is>
      </c>
      <c r="E139" s="20" t="inlineStr">
        <is>
          <t>AVOID BUT MONITOR IT</t>
        </is>
      </c>
      <c r="F139" s="13" t="inlineStr">
        <is>
          <t>5 Quarters</t>
        </is>
      </c>
      <c r="G139" s="13" t="inlineStr">
        <is>
          <t>T-3 to T+1</t>
        </is>
      </c>
      <c r="H139" s="13" t="inlineStr">
        <is>
          <t>5.52%</t>
        </is>
      </c>
      <c r="I139" s="13" t="inlineStr">
        <is>
          <t>0.0%</t>
        </is>
      </c>
      <c r="J139" s="13" t="inlineStr">
        <is>
          <t>-5.52%</t>
        </is>
      </c>
      <c r="K139" s="16">
        <f>X138</f>
        <v/>
      </c>
      <c r="L139" s="13" t="inlineStr">
        <is>
          <t>2023-01-17</t>
        </is>
      </c>
      <c r="M139" s="13" t="inlineStr">
        <is>
          <t>2023-01-23</t>
        </is>
      </c>
      <c r="N139" s="13" t="inlineStr">
        <is>
          <t>2023-01-20</t>
        </is>
      </c>
      <c r="O139" s="9" t="n">
        <v>2876</v>
      </c>
      <c r="P139" s="17" t="n">
        <v>71.31165313720703</v>
      </c>
      <c r="Q139" s="17" t="n">
        <v>71.31165313720703</v>
      </c>
      <c r="R139" s="16">
        <f>O139*P139</f>
        <v/>
      </c>
      <c r="S139" s="16">
        <f>O139*Q139</f>
        <v/>
      </c>
      <c r="T139" s="16">
        <f>R139+S139</f>
        <v/>
      </c>
      <c r="U139" s="16">
        <f>ROUND(T139*0.0005, 2)</f>
        <v/>
      </c>
      <c r="V139" s="16">
        <f>S139-R139</f>
        <v/>
      </c>
      <c r="W139" s="16">
        <f>V139-U139</f>
        <v/>
      </c>
      <c r="X139" s="16">
        <f>K139+W139</f>
        <v/>
      </c>
      <c r="Y139" s="16">
        <f>ROUND(0.20*R139, 2)</f>
        <v/>
      </c>
      <c r="Z139" s="18">
        <f>ROUND((W139/Y139)*100, 2)</f>
        <v/>
      </c>
      <c r="AA139" s="16">
        <f>MAX(AA138, X139)</f>
        <v/>
      </c>
      <c r="AB139" s="16">
        <f>X139-AA139</f>
        <v/>
      </c>
    </row>
    <row r="140">
      <c r="A140" s="13" t="n">
        <v>137</v>
      </c>
      <c r="B140" s="14" t="inlineStr">
        <is>
          <t>NAUKRI</t>
        </is>
      </c>
      <c r="C140" s="13" t="inlineStr">
        <is>
          <t>Q4 2022-23</t>
        </is>
      </c>
      <c r="D140" s="15" t="inlineStr">
        <is>
          <t>FUTURE LONG</t>
        </is>
      </c>
      <c r="E140" s="20" t="inlineStr">
        <is>
          <t>AVOID BUT MONITOR IT</t>
        </is>
      </c>
      <c r="F140" s="13" t="inlineStr">
        <is>
          <t>5 Quarters</t>
        </is>
      </c>
      <c r="G140" s="13" t="inlineStr">
        <is>
          <t>T-4 to T+1</t>
        </is>
      </c>
      <c r="H140" s="13" t="inlineStr">
        <is>
          <t>1.61%</t>
        </is>
      </c>
      <c r="I140" s="13" t="inlineStr">
        <is>
          <t>-0.37%</t>
        </is>
      </c>
      <c r="J140" s="13" t="inlineStr">
        <is>
          <t>-1.98%</t>
        </is>
      </c>
      <c r="K140" s="16">
        <f>X139</f>
        <v/>
      </c>
      <c r="L140" s="13" t="inlineStr">
        <is>
          <t>2023-01-16</t>
        </is>
      </c>
      <c r="M140" s="13" t="inlineStr">
        <is>
          <t>2023-01-23</t>
        </is>
      </c>
      <c r="N140" s="13" t="inlineStr">
        <is>
          <t>2023-01-20</t>
        </is>
      </c>
      <c r="O140" s="9" t="n">
        <v>803</v>
      </c>
      <c r="P140" s="17" t="n">
        <v>739.4541015625</v>
      </c>
      <c r="Q140" s="17" t="n">
        <v>736.7304077148438</v>
      </c>
      <c r="R140" s="16">
        <f>O140*P140</f>
        <v/>
      </c>
      <c r="S140" s="16">
        <f>O140*Q140</f>
        <v/>
      </c>
      <c r="T140" s="16">
        <f>R140+S140</f>
        <v/>
      </c>
      <c r="U140" s="16">
        <f>ROUND(T140*0.0005, 2)</f>
        <v/>
      </c>
      <c r="V140" s="16">
        <f>S140-R140</f>
        <v/>
      </c>
      <c r="W140" s="16">
        <f>V140-U140</f>
        <v/>
      </c>
      <c r="X140" s="16">
        <f>K140+W140</f>
        <v/>
      </c>
      <c r="Y140" s="16">
        <f>ROUND(0.20*R140, 2)</f>
        <v/>
      </c>
      <c r="Z140" s="18">
        <f>ROUND((W140/Y140)*100, 2)</f>
        <v/>
      </c>
      <c r="AA140" s="16">
        <f>MAX(AA139, X140)</f>
        <v/>
      </c>
      <c r="AB140" s="16">
        <f>X140-AA140</f>
        <v/>
      </c>
    </row>
    <row r="141">
      <c r="A141" s="13" t="n">
        <v>138</v>
      </c>
      <c r="B141" s="14" t="inlineStr">
        <is>
          <t>NBCC</t>
        </is>
      </c>
      <c r="C141" s="13" t="inlineStr">
        <is>
          <t>Q4 2022-23</t>
        </is>
      </c>
      <c r="D141" s="19" t="inlineStr">
        <is>
          <t>FUTURE SHORT</t>
        </is>
      </c>
      <c r="E141" s="20" t="inlineStr">
        <is>
          <t>AVOID BUT MONITOR IT</t>
        </is>
      </c>
      <c r="F141" s="13" t="inlineStr">
        <is>
          <t>5 Quarters</t>
        </is>
      </c>
      <c r="G141" s="13" t="inlineStr">
        <is>
          <t>T-2 to T+1</t>
        </is>
      </c>
      <c r="H141" s="13" t="inlineStr">
        <is>
          <t>2.09%</t>
        </is>
      </c>
      <c r="I141" s="13" t="inlineStr">
        <is>
          <t>3.23%</t>
        </is>
      </c>
      <c r="J141" s="13" t="inlineStr">
        <is>
          <t>1.14%</t>
        </is>
      </c>
      <c r="K141" s="16">
        <f>X140</f>
        <v/>
      </c>
      <c r="L141" s="13" t="inlineStr">
        <is>
          <t>2023-01-18</t>
        </is>
      </c>
      <c r="M141" s="13" t="inlineStr">
        <is>
          <t>2023-01-23</t>
        </is>
      </c>
      <c r="N141" s="13" t="inlineStr">
        <is>
          <t>2023-01-20</t>
        </is>
      </c>
      <c r="O141" s="9" t="n">
        <v>10687</v>
      </c>
      <c r="P141" s="17" t="n">
        <v>24.30214881896973</v>
      </c>
      <c r="Q141" s="17" t="n">
        <v>25.1133041381836</v>
      </c>
      <c r="R141" s="16">
        <f>O141*P141</f>
        <v/>
      </c>
      <c r="S141" s="16">
        <f>O141*Q141</f>
        <v/>
      </c>
      <c r="T141" s="16">
        <f>R141+S141</f>
        <v/>
      </c>
      <c r="U141" s="16">
        <f>ROUND(T141*0.0005, 2)</f>
        <v/>
      </c>
      <c r="V141" s="16">
        <f>S141-R141</f>
        <v/>
      </c>
      <c r="W141" s="16">
        <f>V141-U141</f>
        <v/>
      </c>
      <c r="X141" s="16">
        <f>K141+W141</f>
        <v/>
      </c>
      <c r="Y141" s="16">
        <f>ROUND(0.20*R141, 2)</f>
        <v/>
      </c>
      <c r="Z141" s="18">
        <f>ROUND((W141/Y141)*100, 2)</f>
        <v/>
      </c>
      <c r="AA141" s="16">
        <f>MAX(AA140, X141)</f>
        <v/>
      </c>
      <c r="AB141" s="16">
        <f>X141-AA141</f>
        <v/>
      </c>
    </row>
    <row r="142">
      <c r="A142" s="13" t="n">
        <v>139</v>
      </c>
      <c r="B142" s="14" t="inlineStr">
        <is>
          <t>NESTLEIND</t>
        </is>
      </c>
      <c r="C142" s="13" t="inlineStr">
        <is>
          <t>Q4 2022-23</t>
        </is>
      </c>
      <c r="D142" s="15" t="inlineStr">
        <is>
          <t>FUTURE LONG</t>
        </is>
      </c>
      <c r="E142" s="20" t="inlineStr">
        <is>
          <t>AVOID BUT MONITOR IT</t>
        </is>
      </c>
      <c r="F142" s="13" t="inlineStr">
        <is>
          <t>10 Quarters</t>
        </is>
      </c>
      <c r="G142" s="13" t="inlineStr">
        <is>
          <t>T-1 to T+1</t>
        </is>
      </c>
      <c r="H142" s="13" t="inlineStr">
        <is>
          <t>-0.13%</t>
        </is>
      </c>
      <c r="I142" s="13" t="inlineStr">
        <is>
          <t>-1.6%</t>
        </is>
      </c>
      <c r="J142" s="13" t="inlineStr">
        <is>
          <t>-1.47%</t>
        </is>
      </c>
      <c r="K142" s="16">
        <f>X141</f>
        <v/>
      </c>
      <c r="L142" s="13" t="inlineStr">
        <is>
          <t>2023-01-19</t>
        </is>
      </c>
      <c r="M142" s="13" t="inlineStr">
        <is>
          <t>2023-01-23</t>
        </is>
      </c>
      <c r="N142" s="13" t="inlineStr">
        <is>
          <t>2023-01-20</t>
        </is>
      </c>
      <c r="O142" s="9" t="n">
        <v>200</v>
      </c>
      <c r="P142" s="17" t="n">
        <v>946.7052001953124</v>
      </c>
      <c r="Q142" s="17" t="n">
        <v>931.6010131835938</v>
      </c>
      <c r="R142" s="16">
        <f>O142*P142</f>
        <v/>
      </c>
      <c r="S142" s="16">
        <f>O142*Q142</f>
        <v/>
      </c>
      <c r="T142" s="16">
        <f>R142+S142</f>
        <v/>
      </c>
      <c r="U142" s="16">
        <f>ROUND(T142*0.0005, 2)</f>
        <v/>
      </c>
      <c r="V142" s="16">
        <f>S142-R142</f>
        <v/>
      </c>
      <c r="W142" s="16">
        <f>V142-U142</f>
        <v/>
      </c>
      <c r="X142" s="16">
        <f>K142+W142</f>
        <v/>
      </c>
      <c r="Y142" s="16">
        <f>ROUND(0.20*R142, 2)</f>
        <v/>
      </c>
      <c r="Z142" s="18">
        <f>ROUND((W142/Y142)*100, 2)</f>
        <v/>
      </c>
      <c r="AA142" s="16">
        <f>MAX(AA141, X142)</f>
        <v/>
      </c>
      <c r="AB142" s="16">
        <f>X142-AA142</f>
        <v/>
      </c>
    </row>
    <row r="143">
      <c r="A143" s="13" t="n">
        <v>140</v>
      </c>
      <c r="B143" s="14" t="inlineStr">
        <is>
          <t>NHPC</t>
        </is>
      </c>
      <c r="C143" s="13" t="inlineStr">
        <is>
          <t>Q4 2022-23</t>
        </is>
      </c>
      <c r="D143" s="19" t="inlineStr">
        <is>
          <t>FUTURE SHORT</t>
        </is>
      </c>
      <c r="E143" s="20" t="inlineStr">
        <is>
          <t>AVOID BUT MONITOR IT</t>
        </is>
      </c>
      <c r="F143" s="13" t="inlineStr">
        <is>
          <t>5 Quarters</t>
        </is>
      </c>
      <c r="G143" s="13" t="inlineStr">
        <is>
          <t>T-4 to T+4</t>
        </is>
      </c>
      <c r="H143" s="13" t="inlineStr">
        <is>
          <t>2.78%</t>
        </is>
      </c>
      <c r="I143" s="13" t="inlineStr">
        <is>
          <t>-9.92%</t>
        </is>
      </c>
      <c r="J143" s="13" t="inlineStr">
        <is>
          <t>-12.7%</t>
        </is>
      </c>
      <c r="K143" s="16">
        <f>X142</f>
        <v/>
      </c>
      <c r="L143" s="13" t="inlineStr">
        <is>
          <t>2023-01-16</t>
        </is>
      </c>
      <c r="M143" s="13" t="inlineStr">
        <is>
          <t>2023-01-27</t>
        </is>
      </c>
      <c r="N143" s="13" t="inlineStr">
        <is>
          <t>2023-01-20</t>
        </is>
      </c>
      <c r="O143" s="9" t="n">
        <v>12809</v>
      </c>
      <c r="P143" s="17" t="n">
        <v>38.81050109863281</v>
      </c>
      <c r="Q143" s="17" t="n">
        <v>35.30678176879883</v>
      </c>
      <c r="R143" s="16">
        <f>O143*P143</f>
        <v/>
      </c>
      <c r="S143" s="16">
        <f>O143*Q143</f>
        <v/>
      </c>
      <c r="T143" s="16">
        <f>R143+S143</f>
        <v/>
      </c>
      <c r="U143" s="16">
        <f>ROUND(T143*0.0005, 2)</f>
        <v/>
      </c>
      <c r="V143" s="16">
        <f>S143-R143</f>
        <v/>
      </c>
      <c r="W143" s="16">
        <f>V143-U143</f>
        <v/>
      </c>
      <c r="X143" s="16">
        <f>K143+W143</f>
        <v/>
      </c>
      <c r="Y143" s="16">
        <f>ROUND(0.20*R143, 2)</f>
        <v/>
      </c>
      <c r="Z143" s="18">
        <f>ROUND((W143/Y143)*100, 2)</f>
        <v/>
      </c>
      <c r="AA143" s="16">
        <f>MAX(AA142, X143)</f>
        <v/>
      </c>
      <c r="AB143" s="16">
        <f>X143-AA143</f>
        <v/>
      </c>
    </row>
    <row r="144">
      <c r="A144" s="13" t="n">
        <v>141</v>
      </c>
      <c r="B144" s="14" t="inlineStr">
        <is>
          <t>NMDC</t>
        </is>
      </c>
      <c r="C144" s="13" t="inlineStr">
        <is>
          <t>Q4 2022-23</t>
        </is>
      </c>
      <c r="D144" s="15" t="inlineStr">
        <is>
          <t>FUTURE LONG</t>
        </is>
      </c>
      <c r="E144" s="20" t="inlineStr">
        <is>
          <t>AVOID BUT MONITOR IT</t>
        </is>
      </c>
      <c r="F144" s="13" t="inlineStr">
        <is>
          <t>5 Quarters</t>
        </is>
      </c>
      <c r="G144" s="13" t="inlineStr">
        <is>
          <t>T-4 to T+1</t>
        </is>
      </c>
      <c r="H144" s="13" t="inlineStr">
        <is>
          <t>-0.85%</t>
        </is>
      </c>
      <c r="I144" s="13" t="inlineStr">
        <is>
          <t>-1.69%</t>
        </is>
      </c>
      <c r="J144" s="13" t="inlineStr">
        <is>
          <t>-0.84%</t>
        </is>
      </c>
      <c r="K144" s="16">
        <f>X143</f>
        <v/>
      </c>
      <c r="L144" s="13" t="inlineStr">
        <is>
          <t>2023-01-16</t>
        </is>
      </c>
      <c r="M144" s="13" t="inlineStr">
        <is>
          <t>2023-01-23</t>
        </is>
      </c>
      <c r="N144" s="13" t="inlineStr">
        <is>
          <t>2023-01-20</t>
        </is>
      </c>
      <c r="O144" s="9" t="n">
        <v>11763</v>
      </c>
      <c r="P144" s="17" t="n">
        <v>36.03613662719727</v>
      </c>
      <c r="Q144" s="17" t="n">
        <v>35.42870712280273</v>
      </c>
      <c r="R144" s="16">
        <f>O144*P144</f>
        <v/>
      </c>
      <c r="S144" s="16">
        <f>O144*Q144</f>
        <v/>
      </c>
      <c r="T144" s="16">
        <f>R144+S144</f>
        <v/>
      </c>
      <c r="U144" s="16">
        <f>ROUND(T144*0.0005, 2)</f>
        <v/>
      </c>
      <c r="V144" s="16">
        <f>S144-R144</f>
        <v/>
      </c>
      <c r="W144" s="16">
        <f>V144-U144</f>
        <v/>
      </c>
      <c r="X144" s="16">
        <f>K144+W144</f>
        <v/>
      </c>
      <c r="Y144" s="16">
        <f>ROUND(0.20*R144, 2)</f>
        <v/>
      </c>
      <c r="Z144" s="18">
        <f>ROUND((W144/Y144)*100, 2)</f>
        <v/>
      </c>
      <c r="AA144" s="16">
        <f>MAX(AA143, X144)</f>
        <v/>
      </c>
      <c r="AB144" s="16">
        <f>X144-AA144</f>
        <v/>
      </c>
    </row>
    <row r="145">
      <c r="A145" s="13" t="n">
        <v>142</v>
      </c>
      <c r="B145" s="14" t="inlineStr">
        <is>
          <t>NTPC</t>
        </is>
      </c>
      <c r="C145" s="13" t="inlineStr">
        <is>
          <t>Q4 2022-23</t>
        </is>
      </c>
      <c r="D145" s="19" t="inlineStr">
        <is>
          <t>FUTURE SHORT</t>
        </is>
      </c>
      <c r="E145" s="15" t="inlineStr">
        <is>
          <t>QUALIFIED</t>
        </is>
      </c>
      <c r="F145" s="13" t="inlineStr">
        <is>
          <t>138 Quarters</t>
        </is>
      </c>
      <c r="G145" s="13" t="inlineStr">
        <is>
          <t>T-7 to T+4</t>
        </is>
      </c>
      <c r="H145" s="13" t="inlineStr">
        <is>
          <t>-1.49%</t>
        </is>
      </c>
      <c r="I145" s="13" t="inlineStr">
        <is>
          <t>-12.99%</t>
        </is>
      </c>
      <c r="J145" s="13" t="inlineStr">
        <is>
          <t>-11.5%</t>
        </is>
      </c>
      <c r="K145" s="16">
        <f>X144</f>
        <v/>
      </c>
      <c r="L145" s="13" t="inlineStr">
        <is>
          <t>2023-07-20</t>
        </is>
      </c>
      <c r="M145" s="13" t="inlineStr">
        <is>
          <t>2023-08-04</t>
        </is>
      </c>
      <c r="N145" s="13" t="inlineStr">
        <is>
          <t>2023-07-29</t>
        </is>
      </c>
      <c r="O145" s="9" t="n">
        <v>1500</v>
      </c>
      <c r="P145" s="17" t="n">
        <v>200.9835662841797</v>
      </c>
      <c r="Q145" s="17" t="n">
        <v>177.8836059570312</v>
      </c>
      <c r="R145" s="16">
        <f>O145*P145</f>
        <v/>
      </c>
      <c r="S145" s="16">
        <f>O145*Q145</f>
        <v/>
      </c>
      <c r="T145" s="16">
        <f>R145+S145</f>
        <v/>
      </c>
      <c r="U145" s="16">
        <f>ROUND(T145*0.0005, 2)</f>
        <v/>
      </c>
      <c r="V145" s="16">
        <f>S145-R145</f>
        <v/>
      </c>
      <c r="W145" s="16">
        <f>V145-U145</f>
        <v/>
      </c>
      <c r="X145" s="16">
        <f>K145+W145</f>
        <v/>
      </c>
      <c r="Y145" s="16">
        <f>ROUND(0.20*R145, 2)</f>
        <v/>
      </c>
      <c r="Z145" s="18">
        <f>ROUND((W145/Y145)*100, 2)</f>
        <v/>
      </c>
      <c r="AA145" s="16">
        <f>MAX(AA144, X145)</f>
        <v/>
      </c>
      <c r="AB145" s="16">
        <f>X145-AA145</f>
        <v/>
      </c>
    </row>
    <row r="146">
      <c r="A146" s="13" t="n">
        <v>143</v>
      </c>
      <c r="B146" s="14" t="inlineStr">
        <is>
          <t>NYKAA</t>
        </is>
      </c>
      <c r="C146" s="13" t="inlineStr">
        <is>
          <t>Q4 2022-23</t>
        </is>
      </c>
      <c r="D146" s="19" t="inlineStr">
        <is>
          <t>FUTURE SHORT</t>
        </is>
      </c>
      <c r="E146" s="20" t="inlineStr">
        <is>
          <t>AVOID BUT MONITOR IT</t>
        </is>
      </c>
      <c r="F146" s="13" t="inlineStr">
        <is>
          <t>5 Quarters</t>
        </is>
      </c>
      <c r="G146" s="13" t="inlineStr">
        <is>
          <t>T-7 to T+1</t>
        </is>
      </c>
      <c r="H146" s="13" t="inlineStr">
        <is>
          <t>2.86%</t>
        </is>
      </c>
      <c r="I146" s="13" t="inlineStr">
        <is>
          <t>19.57%</t>
        </is>
      </c>
      <c r="J146" s="13" t="inlineStr">
        <is>
          <t>16.71%</t>
        </is>
      </c>
      <c r="K146" s="16">
        <f>X145</f>
        <v/>
      </c>
      <c r="L146" s="13" t="inlineStr">
        <is>
          <t>2023-01-11</t>
        </is>
      </c>
      <c r="M146" s="13" t="inlineStr">
        <is>
          <t>2023-01-23</t>
        </is>
      </c>
      <c r="N146" s="13" t="inlineStr">
        <is>
          <t>2023-01-20</t>
        </is>
      </c>
      <c r="O146" s="9" t="n">
        <v>2996</v>
      </c>
      <c r="P146" s="17" t="n">
        <v>124.75</v>
      </c>
      <c r="Q146" s="17" t="n">
        <v>155.1000061035156</v>
      </c>
      <c r="R146" s="16">
        <f>O146*P146</f>
        <v/>
      </c>
      <c r="S146" s="16">
        <f>O146*Q146</f>
        <v/>
      </c>
      <c r="T146" s="16">
        <f>R146+S146</f>
        <v/>
      </c>
      <c r="U146" s="16">
        <f>ROUND(T146*0.0005, 2)</f>
        <v/>
      </c>
      <c r="V146" s="16">
        <f>S146-R146</f>
        <v/>
      </c>
      <c r="W146" s="16">
        <f>V146-U146</f>
        <v/>
      </c>
      <c r="X146" s="16">
        <f>K146+W146</f>
        <v/>
      </c>
      <c r="Y146" s="16">
        <f>ROUND(0.20*R146, 2)</f>
        <v/>
      </c>
      <c r="Z146" s="18">
        <f>ROUND((W146/Y146)*100, 2)</f>
        <v/>
      </c>
      <c r="AA146" s="16">
        <f>MAX(AA145, X146)</f>
        <v/>
      </c>
      <c r="AB146" s="16">
        <f>X146-AA146</f>
        <v/>
      </c>
    </row>
    <row r="147">
      <c r="A147" s="13" t="n">
        <v>144</v>
      </c>
      <c r="B147" s="14" t="inlineStr">
        <is>
          <t>OBEROIRLTY</t>
        </is>
      </c>
      <c r="C147" s="13" t="inlineStr">
        <is>
          <t>Q4 2022-23</t>
        </is>
      </c>
      <c r="D147" s="15" t="inlineStr">
        <is>
          <t>FUTURE LONG</t>
        </is>
      </c>
      <c r="E147" s="20" t="inlineStr">
        <is>
          <t>AVOID BUT MONITOR IT</t>
        </is>
      </c>
      <c r="F147" s="13" t="inlineStr">
        <is>
          <t>5 Quarters</t>
        </is>
      </c>
      <c r="G147" s="13" t="inlineStr">
        <is>
          <t>T-5 to T+4</t>
        </is>
      </c>
      <c r="H147" s="13" t="inlineStr">
        <is>
          <t>-1.76%</t>
        </is>
      </c>
      <c r="I147" s="13" t="inlineStr">
        <is>
          <t>-5.68%</t>
        </is>
      </c>
      <c r="J147" s="13" t="inlineStr">
        <is>
          <t>-3.92%</t>
        </is>
      </c>
      <c r="K147" s="16">
        <f>X146</f>
        <v/>
      </c>
      <c r="L147" s="13" t="inlineStr">
        <is>
          <t>2023-01-13</t>
        </is>
      </c>
      <c r="M147" s="13" t="inlineStr">
        <is>
          <t>2023-01-27</t>
        </is>
      </c>
      <c r="N147" s="13" t="inlineStr">
        <is>
          <t>2023-01-20</t>
        </is>
      </c>
      <c r="O147" s="9" t="n">
        <v>551</v>
      </c>
      <c r="P147" s="17" t="n">
        <v>833.9578857421875</v>
      </c>
      <c r="Q147" s="17" t="n">
        <v>786.5538940429688</v>
      </c>
      <c r="R147" s="16">
        <f>O147*P147</f>
        <v/>
      </c>
      <c r="S147" s="16">
        <f>O147*Q147</f>
        <v/>
      </c>
      <c r="T147" s="16">
        <f>R147+S147</f>
        <v/>
      </c>
      <c r="U147" s="16">
        <f>ROUND(T147*0.0005, 2)</f>
        <v/>
      </c>
      <c r="V147" s="16">
        <f>S147-R147</f>
        <v/>
      </c>
      <c r="W147" s="16">
        <f>V147-U147</f>
        <v/>
      </c>
      <c r="X147" s="16">
        <f>K147+W147</f>
        <v/>
      </c>
      <c r="Y147" s="16">
        <f>ROUND(0.20*R147, 2)</f>
        <v/>
      </c>
      <c r="Z147" s="18">
        <f>ROUND((W147/Y147)*100, 2)</f>
        <v/>
      </c>
      <c r="AA147" s="16">
        <f>MAX(AA146, X147)</f>
        <v/>
      </c>
      <c r="AB147" s="16">
        <f>X147-AA147</f>
        <v/>
      </c>
    </row>
    <row r="148">
      <c r="A148" s="13" t="n">
        <v>145</v>
      </c>
      <c r="B148" s="14" t="inlineStr">
        <is>
          <t>OFSS</t>
        </is>
      </c>
      <c r="C148" s="13" t="inlineStr">
        <is>
          <t>Q4 2022-23</t>
        </is>
      </c>
      <c r="D148" s="19" t="inlineStr">
        <is>
          <t>FUTURE SHORT</t>
        </is>
      </c>
      <c r="E148" s="20" t="inlineStr">
        <is>
          <t>AVOID BUT MONITOR IT</t>
        </is>
      </c>
      <c r="F148" s="13" t="inlineStr">
        <is>
          <t>5 Quarters</t>
        </is>
      </c>
      <c r="G148" s="13" t="inlineStr">
        <is>
          <t>T-8 to T+4</t>
        </is>
      </c>
      <c r="H148" s="13" t="inlineStr">
        <is>
          <t>-4.55%</t>
        </is>
      </c>
      <c r="I148" s="13" t="inlineStr">
        <is>
          <t>-1.05%</t>
        </is>
      </c>
      <c r="J148" s="13" t="inlineStr">
        <is>
          <t>3.5%</t>
        </is>
      </c>
      <c r="K148" s="16">
        <f>X147</f>
        <v/>
      </c>
      <c r="L148" s="13" t="inlineStr">
        <is>
          <t>2023-01-10</t>
        </is>
      </c>
      <c r="M148" s="13" t="inlineStr">
        <is>
          <t>2023-01-27</t>
        </is>
      </c>
      <c r="N148" s="13" t="inlineStr">
        <is>
          <t>2023-01-20</t>
        </is>
      </c>
      <c r="O148" s="9" t="n">
        <v>100</v>
      </c>
      <c r="P148" s="17" t="n">
        <v>2577.579833984375</v>
      </c>
      <c r="Q148" s="17" t="n">
        <v>2550.84521484375</v>
      </c>
      <c r="R148" s="16">
        <f>O148*P148</f>
        <v/>
      </c>
      <c r="S148" s="16">
        <f>O148*Q148</f>
        <v/>
      </c>
      <c r="T148" s="16">
        <f>R148+S148</f>
        <v/>
      </c>
      <c r="U148" s="16">
        <f>ROUND(T148*0.0005, 2)</f>
        <v/>
      </c>
      <c r="V148" s="16">
        <f>S148-R148</f>
        <v/>
      </c>
      <c r="W148" s="16">
        <f>V148-U148</f>
        <v/>
      </c>
      <c r="X148" s="16">
        <f>K148+W148</f>
        <v/>
      </c>
      <c r="Y148" s="16">
        <f>ROUND(0.20*R148, 2)</f>
        <v/>
      </c>
      <c r="Z148" s="18">
        <f>ROUND((W148/Y148)*100, 2)</f>
        <v/>
      </c>
      <c r="AA148" s="16">
        <f>MAX(AA147, X148)</f>
        <v/>
      </c>
      <c r="AB148" s="16">
        <f>X148-AA148</f>
        <v/>
      </c>
    </row>
    <row r="149">
      <c r="A149" s="13" t="n">
        <v>146</v>
      </c>
      <c r="B149" s="14" t="inlineStr">
        <is>
          <t>OIL</t>
        </is>
      </c>
      <c r="C149" s="13" t="inlineStr">
        <is>
          <t>Q4 2022-23</t>
        </is>
      </c>
      <c r="D149" s="15" t="inlineStr">
        <is>
          <t>FUTURE LONG</t>
        </is>
      </c>
      <c r="E149" s="20" t="inlineStr">
        <is>
          <t>AVOID BUT MONITOR IT</t>
        </is>
      </c>
      <c r="F149" s="13" t="inlineStr">
        <is>
          <t>5 Quarters</t>
        </is>
      </c>
      <c r="G149" s="13" t="inlineStr">
        <is>
          <t>T-3 to T+1</t>
        </is>
      </c>
      <c r="H149" s="13" t="inlineStr">
        <is>
          <t>8.09%</t>
        </is>
      </c>
      <c r="I149" s="13" t="inlineStr">
        <is>
          <t>6.31%</t>
        </is>
      </c>
      <c r="J149" s="13" t="inlineStr">
        <is>
          <t>-1.78%</t>
        </is>
      </c>
      <c r="K149" s="16">
        <f>X148</f>
        <v/>
      </c>
      <c r="L149" s="13" t="inlineStr">
        <is>
          <t>2023-01-17</t>
        </is>
      </c>
      <c r="M149" s="13" t="inlineStr">
        <is>
          <t>2023-01-23</t>
        </is>
      </c>
      <c r="N149" s="13" t="inlineStr">
        <is>
          <t>2023-01-20</t>
        </is>
      </c>
      <c r="O149" s="9" t="n">
        <v>2188</v>
      </c>
      <c r="P149" s="17" t="n">
        <v>130.8542175292969</v>
      </c>
      <c r="Q149" s="17" t="n">
        <v>139.108642578125</v>
      </c>
      <c r="R149" s="16">
        <f>O149*P149</f>
        <v/>
      </c>
      <c r="S149" s="16">
        <f>O149*Q149</f>
        <v/>
      </c>
      <c r="T149" s="16">
        <f>R149+S149</f>
        <v/>
      </c>
      <c r="U149" s="16">
        <f>ROUND(T149*0.0005, 2)</f>
        <v/>
      </c>
      <c r="V149" s="16">
        <f>S149-R149</f>
        <v/>
      </c>
      <c r="W149" s="16">
        <f>V149-U149</f>
        <v/>
      </c>
      <c r="X149" s="16">
        <f>K149+W149</f>
        <v/>
      </c>
      <c r="Y149" s="16">
        <f>ROUND(0.20*R149, 2)</f>
        <v/>
      </c>
      <c r="Z149" s="18">
        <f>ROUND((W149/Y149)*100, 2)</f>
        <v/>
      </c>
      <c r="AA149" s="16">
        <f>MAX(AA148, X149)</f>
        <v/>
      </c>
      <c r="AB149" s="16">
        <f>X149-AA149</f>
        <v/>
      </c>
    </row>
    <row r="150">
      <c r="A150" s="13" t="n">
        <v>147</v>
      </c>
      <c r="B150" s="14" t="inlineStr">
        <is>
          <t>ONGC</t>
        </is>
      </c>
      <c r="C150" s="13" t="inlineStr">
        <is>
          <t>Q4 2022-23</t>
        </is>
      </c>
      <c r="D150" s="19" t="inlineStr">
        <is>
          <t>FUTURE SHORT</t>
        </is>
      </c>
      <c r="E150" s="15" t="inlineStr">
        <is>
          <t>QUALIFIED</t>
        </is>
      </c>
      <c r="F150" s="13" t="inlineStr">
        <is>
          <t>135 Quarters</t>
        </is>
      </c>
      <c r="G150" s="13" t="inlineStr">
        <is>
          <t>T-7 to T+4</t>
        </is>
      </c>
      <c r="H150" s="13" t="inlineStr">
        <is>
          <t>0.75%</t>
        </is>
      </c>
      <c r="I150" s="13" t="inlineStr">
        <is>
          <t>0.09%</t>
        </is>
      </c>
      <c r="J150" s="13" t="inlineStr">
        <is>
          <t>-0.66%</t>
        </is>
      </c>
      <c r="K150" s="16">
        <f>X149</f>
        <v/>
      </c>
      <c r="L150" s="13" t="inlineStr">
        <is>
          <t>2023-08-02</t>
        </is>
      </c>
      <c r="M150" s="13" t="inlineStr">
        <is>
          <t>2023-08-18</t>
        </is>
      </c>
      <c r="N150" s="13" t="inlineStr">
        <is>
          <t>2023-08-11</t>
        </is>
      </c>
      <c r="O150" s="9" t="n">
        <v>3750</v>
      </c>
      <c r="P150" s="17" t="n">
        <v>151.1217651367188</v>
      </c>
      <c r="Q150" s="17" t="n">
        <v>151.2554168701172</v>
      </c>
      <c r="R150" s="16">
        <f>O150*P150</f>
        <v/>
      </c>
      <c r="S150" s="16">
        <f>O150*Q150</f>
        <v/>
      </c>
      <c r="T150" s="16">
        <f>R150+S150</f>
        <v/>
      </c>
      <c r="U150" s="16">
        <f>ROUND(T150*0.0005, 2)</f>
        <v/>
      </c>
      <c r="V150" s="16">
        <f>S150-R150</f>
        <v/>
      </c>
      <c r="W150" s="16">
        <f>V150-U150</f>
        <v/>
      </c>
      <c r="X150" s="16">
        <f>K150+W150</f>
        <v/>
      </c>
      <c r="Y150" s="16">
        <f>ROUND(0.20*R150, 2)</f>
        <v/>
      </c>
      <c r="Z150" s="18">
        <f>ROUND((W150/Y150)*100, 2)</f>
        <v/>
      </c>
      <c r="AA150" s="16">
        <f>MAX(AA149, X150)</f>
        <v/>
      </c>
      <c r="AB150" s="16">
        <f>X150-AA150</f>
        <v/>
      </c>
    </row>
    <row r="151">
      <c r="A151" s="13" t="n">
        <v>148</v>
      </c>
      <c r="B151" s="14" t="inlineStr">
        <is>
          <t>PAGEIND</t>
        </is>
      </c>
      <c r="C151" s="13" t="inlineStr">
        <is>
          <t>Q4 2022-23</t>
        </is>
      </c>
      <c r="D151" s="19" t="inlineStr">
        <is>
          <t>FUTURE SHORT</t>
        </is>
      </c>
      <c r="E151" s="20" t="inlineStr">
        <is>
          <t>AVOID BUT MONITOR IT</t>
        </is>
      </c>
      <c r="F151" s="13" t="inlineStr">
        <is>
          <t>5 Quarters</t>
        </is>
      </c>
      <c r="G151" s="13" t="inlineStr">
        <is>
          <t>T-8 to T+1</t>
        </is>
      </c>
      <c r="H151" s="13" t="inlineStr">
        <is>
          <t>-0.09%</t>
        </is>
      </c>
      <c r="I151" s="13" t="inlineStr">
        <is>
          <t>1.19%</t>
        </is>
      </c>
      <c r="J151" s="13" t="inlineStr">
        <is>
          <t>1.28%</t>
        </is>
      </c>
      <c r="K151" s="16">
        <f>X150</f>
        <v/>
      </c>
      <c r="L151" s="13" t="inlineStr">
        <is>
          <t>2023-01-10</t>
        </is>
      </c>
      <c r="M151" s="13" t="inlineStr">
        <is>
          <t>2023-01-23</t>
        </is>
      </c>
      <c r="N151" s="13" t="inlineStr">
        <is>
          <t>2023-01-20</t>
        </is>
      </c>
      <c r="O151" s="9" t="n">
        <v>100</v>
      </c>
      <c r="P151" s="17" t="n">
        <v>40625.05</v>
      </c>
      <c r="Q151" s="17" t="n">
        <v>41114</v>
      </c>
      <c r="R151" s="16">
        <f>O151*P151</f>
        <v/>
      </c>
      <c r="S151" s="16">
        <f>O151*Q151</f>
        <v/>
      </c>
      <c r="T151" s="16">
        <f>R151+S151</f>
        <v/>
      </c>
      <c r="U151" s="16">
        <f>ROUND(T151*0.0005, 2)</f>
        <v/>
      </c>
      <c r="V151" s="16">
        <f>S151-R151</f>
        <v/>
      </c>
      <c r="W151" s="16">
        <f>V151-U151</f>
        <v/>
      </c>
      <c r="X151" s="16">
        <f>K151+W151</f>
        <v/>
      </c>
      <c r="Y151" s="16">
        <f>ROUND(0.20*R151, 2)</f>
        <v/>
      </c>
      <c r="Z151" s="18">
        <f>ROUND((W151/Y151)*100, 2)</f>
        <v/>
      </c>
      <c r="AA151" s="16">
        <f>MAX(AA150, X151)</f>
        <v/>
      </c>
      <c r="AB151" s="16">
        <f>X151-AA151</f>
        <v/>
      </c>
    </row>
    <row r="152">
      <c r="A152" s="13" t="n">
        <v>149</v>
      </c>
      <c r="B152" s="14" t="inlineStr">
        <is>
          <t>PATANJALI</t>
        </is>
      </c>
      <c r="C152" s="13" t="inlineStr">
        <is>
          <t>Q4 2022-23</t>
        </is>
      </c>
      <c r="D152" s="19" t="inlineStr">
        <is>
          <t>FUTURE SHORT</t>
        </is>
      </c>
      <c r="E152" s="20" t="inlineStr">
        <is>
          <t>AVOID BUT MONITOR IT</t>
        </is>
      </c>
      <c r="F152" s="13" t="inlineStr">
        <is>
          <t>5 Quarters</t>
        </is>
      </c>
      <c r="G152" s="13" t="inlineStr">
        <is>
          <t>T-5 to T+1</t>
        </is>
      </c>
      <c r="H152" s="13" t="inlineStr">
        <is>
          <t>1.44%</t>
        </is>
      </c>
      <c r="I152" s="13" t="inlineStr">
        <is>
          <t>-2.0%</t>
        </is>
      </c>
      <c r="J152" s="13" t="inlineStr">
        <is>
          <t>-3.44%</t>
        </is>
      </c>
      <c r="K152" s="16">
        <f>X151</f>
        <v/>
      </c>
      <c r="L152" s="13" t="inlineStr">
        <is>
          <t>2023-01-13</t>
        </is>
      </c>
      <c r="M152" s="13" t="inlineStr">
        <is>
          <t>2023-01-23</t>
        </is>
      </c>
      <c r="N152" s="13" t="inlineStr">
        <is>
          <t>2023-01-20</t>
        </is>
      </c>
      <c r="O152" s="9" t="n">
        <v>2806</v>
      </c>
      <c r="P152" s="17" t="n">
        <v>389.879150390625</v>
      </c>
      <c r="Q152" s="17" t="n">
        <v>382.2438049316406</v>
      </c>
      <c r="R152" s="16">
        <f>O152*P152</f>
        <v/>
      </c>
      <c r="S152" s="16">
        <f>O152*Q152</f>
        <v/>
      </c>
      <c r="T152" s="16">
        <f>R152+S152</f>
        <v/>
      </c>
      <c r="U152" s="16">
        <f>ROUND(T152*0.0005, 2)</f>
        <v/>
      </c>
      <c r="V152" s="16">
        <f>S152-R152</f>
        <v/>
      </c>
      <c r="W152" s="16">
        <f>V152-U152</f>
        <v/>
      </c>
      <c r="X152" s="16">
        <f>K152+W152</f>
        <v/>
      </c>
      <c r="Y152" s="16">
        <f>ROUND(0.20*R152, 2)</f>
        <v/>
      </c>
      <c r="Z152" s="18">
        <f>ROUND((W152/Y152)*100, 2)</f>
        <v/>
      </c>
      <c r="AA152" s="16">
        <f>MAX(AA151, X152)</f>
        <v/>
      </c>
      <c r="AB152" s="16">
        <f>X152-AA152</f>
        <v/>
      </c>
    </row>
    <row r="153">
      <c r="A153" s="13" t="n">
        <v>150</v>
      </c>
      <c r="B153" s="14" t="inlineStr">
        <is>
          <t>PAYTM</t>
        </is>
      </c>
      <c r="C153" s="13" t="inlineStr">
        <is>
          <t>Q4 2022-23</t>
        </is>
      </c>
      <c r="D153" s="19" t="inlineStr">
        <is>
          <t>FUTURE SHORT</t>
        </is>
      </c>
      <c r="E153" s="20" t="inlineStr">
        <is>
          <t>AVOID BUT MONITOR IT</t>
        </is>
      </c>
      <c r="F153" s="13" t="inlineStr">
        <is>
          <t>5 Quarters</t>
        </is>
      </c>
      <c r="G153" s="13" t="inlineStr">
        <is>
          <t>T-4 to T+4</t>
        </is>
      </c>
      <c r="H153" s="13" t="inlineStr">
        <is>
          <t>-1.59%</t>
        </is>
      </c>
      <c r="I153" s="13" t="inlineStr">
        <is>
          <t>7.25%</t>
        </is>
      </c>
      <c r="J153" s="13" t="inlineStr">
        <is>
          <t>8.84%</t>
        </is>
      </c>
      <c r="K153" s="16">
        <f>X152</f>
        <v/>
      </c>
      <c r="L153" s="13" t="inlineStr">
        <is>
          <t>2023-01-16</t>
        </is>
      </c>
      <c r="M153" s="13" t="inlineStr">
        <is>
          <t>2023-01-27</t>
        </is>
      </c>
      <c r="N153" s="13" t="inlineStr">
        <is>
          <t>2023-01-20</t>
        </is>
      </c>
      <c r="O153" s="9" t="n">
        <v>750</v>
      </c>
      <c r="P153" s="17" t="n">
        <v>513.4000244140625</v>
      </c>
      <c r="Q153" s="17" t="n">
        <v>553.5499877929688</v>
      </c>
      <c r="R153" s="16">
        <f>O153*P153</f>
        <v/>
      </c>
      <c r="S153" s="16">
        <f>O153*Q153</f>
        <v/>
      </c>
      <c r="T153" s="16">
        <f>R153+S153</f>
        <v/>
      </c>
      <c r="U153" s="16">
        <f>ROUND(T153*0.0005, 2)</f>
        <v/>
      </c>
      <c r="V153" s="16">
        <f>S153-R153</f>
        <v/>
      </c>
      <c r="W153" s="16">
        <f>V153-U153</f>
        <v/>
      </c>
      <c r="X153" s="16">
        <f>K153+W153</f>
        <v/>
      </c>
      <c r="Y153" s="16">
        <f>ROUND(0.20*R153, 2)</f>
        <v/>
      </c>
      <c r="Z153" s="18">
        <f>ROUND((W153/Y153)*100, 2)</f>
        <v/>
      </c>
      <c r="AA153" s="16">
        <f>MAX(AA152, X153)</f>
        <v/>
      </c>
      <c r="AB153" s="16">
        <f>X153-AA153</f>
        <v/>
      </c>
    </row>
    <row r="154">
      <c r="A154" s="13" t="n">
        <v>151</v>
      </c>
      <c r="B154" s="14" t="inlineStr">
        <is>
          <t>PERSISTENT</t>
        </is>
      </c>
      <c r="C154" s="13" t="inlineStr">
        <is>
          <t>Q4 2022-23</t>
        </is>
      </c>
      <c r="D154" s="15" t="inlineStr">
        <is>
          <t>FUTURE LONG</t>
        </is>
      </c>
      <c r="E154" s="20" t="inlineStr">
        <is>
          <t>AVOID BUT MONITOR IT</t>
        </is>
      </c>
      <c r="F154" s="13" t="inlineStr">
        <is>
          <t>5 Quarters</t>
        </is>
      </c>
      <c r="G154" s="13" t="inlineStr">
        <is>
          <t>T-7 to T+4</t>
        </is>
      </c>
      <c r="H154" s="13" t="inlineStr">
        <is>
          <t>2.05%</t>
        </is>
      </c>
      <c r="I154" s="13" t="inlineStr">
        <is>
          <t>17.28%</t>
        </is>
      </c>
      <c r="J154" s="13" t="inlineStr">
        <is>
          <t>15.23%</t>
        </is>
      </c>
      <c r="K154" s="16">
        <f>X153</f>
        <v/>
      </c>
      <c r="L154" s="13" t="inlineStr">
        <is>
          <t>2023-01-11</t>
        </is>
      </c>
      <c r="M154" s="13" t="inlineStr">
        <is>
          <t>2023-01-27</t>
        </is>
      </c>
      <c r="N154" s="13" t="inlineStr">
        <is>
          <t>2023-01-20</t>
        </is>
      </c>
      <c r="O154" s="9" t="n">
        <v>181</v>
      </c>
      <c r="P154" s="17" t="n">
        <v>1905.759887695312</v>
      </c>
      <c r="Q154" s="17" t="n">
        <v>2235.12939453125</v>
      </c>
      <c r="R154" s="16">
        <f>O154*P154</f>
        <v/>
      </c>
      <c r="S154" s="16">
        <f>O154*Q154</f>
        <v/>
      </c>
      <c r="T154" s="16">
        <f>R154+S154</f>
        <v/>
      </c>
      <c r="U154" s="16">
        <f>ROUND(T154*0.0005, 2)</f>
        <v/>
      </c>
      <c r="V154" s="16">
        <f>S154-R154</f>
        <v/>
      </c>
      <c r="W154" s="16">
        <f>V154-U154</f>
        <v/>
      </c>
      <c r="X154" s="16">
        <f>K154+W154</f>
        <v/>
      </c>
      <c r="Y154" s="16">
        <f>ROUND(0.20*R154, 2)</f>
        <v/>
      </c>
      <c r="Z154" s="18">
        <f>ROUND((W154/Y154)*100, 2)</f>
        <v/>
      </c>
      <c r="AA154" s="16">
        <f>MAX(AA153, X154)</f>
        <v/>
      </c>
      <c r="AB154" s="16">
        <f>X154-AA154</f>
        <v/>
      </c>
    </row>
    <row r="155">
      <c r="A155" s="13" t="n">
        <v>152</v>
      </c>
      <c r="B155" s="14" t="inlineStr">
        <is>
          <t>PETRONET</t>
        </is>
      </c>
      <c r="C155" s="13" t="inlineStr">
        <is>
          <t>Q4 2022-23</t>
        </is>
      </c>
      <c r="D155" s="19" t="inlineStr">
        <is>
          <t>FUTURE SHORT</t>
        </is>
      </c>
      <c r="E155" s="20" t="inlineStr">
        <is>
          <t>AVOID BUT MONITOR IT</t>
        </is>
      </c>
      <c r="F155" s="13" t="inlineStr">
        <is>
          <t>5 Quarters</t>
        </is>
      </c>
      <c r="G155" s="13" t="inlineStr">
        <is>
          <t>T-5 to T+4</t>
        </is>
      </c>
      <c r="H155" s="13" t="inlineStr">
        <is>
          <t>-0.48%</t>
        </is>
      </c>
      <c r="I155" s="13" t="inlineStr">
        <is>
          <t>-2.04%</t>
        </is>
      </c>
      <c r="J155" s="13" t="inlineStr">
        <is>
          <t>-1.56%</t>
        </is>
      </c>
      <c r="K155" s="16">
        <f>X154</f>
        <v/>
      </c>
      <c r="L155" s="13" t="inlineStr">
        <is>
          <t>2023-01-13</t>
        </is>
      </c>
      <c r="M155" s="13" t="inlineStr">
        <is>
          <t>2023-01-27</t>
        </is>
      </c>
      <c r="N155" s="13" t="inlineStr">
        <is>
          <t>2023-01-20</t>
        </is>
      </c>
      <c r="O155" s="9" t="n">
        <v>3585</v>
      </c>
      <c r="P155" s="17" t="n">
        <v>198.9988861083984</v>
      </c>
      <c r="Q155" s="17" t="n">
        <v>195.0286102294922</v>
      </c>
      <c r="R155" s="16">
        <f>O155*P155</f>
        <v/>
      </c>
      <c r="S155" s="16">
        <f>O155*Q155</f>
        <v/>
      </c>
      <c r="T155" s="16">
        <f>R155+S155</f>
        <v/>
      </c>
      <c r="U155" s="16">
        <f>ROUND(T155*0.0005, 2)</f>
        <v/>
      </c>
      <c r="V155" s="16">
        <f>S155-R155</f>
        <v/>
      </c>
      <c r="W155" s="16">
        <f>V155-U155</f>
        <v/>
      </c>
      <c r="X155" s="16">
        <f>K155+W155</f>
        <v/>
      </c>
      <c r="Y155" s="16">
        <f>ROUND(0.20*R155, 2)</f>
        <v/>
      </c>
      <c r="Z155" s="18">
        <f>ROUND((W155/Y155)*100, 2)</f>
        <v/>
      </c>
      <c r="AA155" s="16">
        <f>MAX(AA154, X155)</f>
        <v/>
      </c>
      <c r="AB155" s="16">
        <f>X155-AA155</f>
        <v/>
      </c>
    </row>
    <row r="156">
      <c r="A156" s="13" t="n">
        <v>153</v>
      </c>
      <c r="B156" s="14" t="inlineStr">
        <is>
          <t>PFC</t>
        </is>
      </c>
      <c r="C156" s="13" t="inlineStr">
        <is>
          <t>Q4 2022-23</t>
        </is>
      </c>
      <c r="D156" s="19" t="inlineStr">
        <is>
          <t>FUTURE SHORT</t>
        </is>
      </c>
      <c r="E156" s="20" t="inlineStr">
        <is>
          <t>AVOID BUT MONITOR IT</t>
        </is>
      </c>
      <c r="F156" s="13" t="inlineStr">
        <is>
          <t>5 Quarters</t>
        </is>
      </c>
      <c r="G156" s="13" t="inlineStr">
        <is>
          <t>T-8 to T+4</t>
        </is>
      </c>
      <c r="H156" s="13" t="inlineStr">
        <is>
          <t>-1.31%</t>
        </is>
      </c>
      <c r="I156" s="13" t="inlineStr">
        <is>
          <t>12.25%</t>
        </is>
      </c>
      <c r="J156" s="13" t="inlineStr">
        <is>
          <t>13.56%</t>
        </is>
      </c>
      <c r="K156" s="16">
        <f>X155</f>
        <v/>
      </c>
      <c r="L156" s="13" t="inlineStr">
        <is>
          <t>2023-01-10</t>
        </is>
      </c>
      <c r="M156" s="13" t="inlineStr">
        <is>
          <t>2023-01-27</t>
        </is>
      </c>
      <c r="N156" s="13" t="inlineStr">
        <is>
          <t>2023-01-20</t>
        </is>
      </c>
      <c r="O156" s="9" t="n">
        <v>2346</v>
      </c>
      <c r="P156" s="17" t="n">
        <v>93.2664031982422</v>
      </c>
      <c r="Q156" s="17" t="n">
        <v>106.2866897583008</v>
      </c>
      <c r="R156" s="16">
        <f>O156*P156</f>
        <v/>
      </c>
      <c r="S156" s="16">
        <f>O156*Q156</f>
        <v/>
      </c>
      <c r="T156" s="16">
        <f>R156+S156</f>
        <v/>
      </c>
      <c r="U156" s="16">
        <f>ROUND(T156*0.0005, 2)</f>
        <v/>
      </c>
      <c r="V156" s="16">
        <f>S156-R156</f>
        <v/>
      </c>
      <c r="W156" s="16">
        <f>V156-U156</f>
        <v/>
      </c>
      <c r="X156" s="16">
        <f>K156+W156</f>
        <v/>
      </c>
      <c r="Y156" s="16">
        <f>ROUND(0.20*R156, 2)</f>
        <v/>
      </c>
      <c r="Z156" s="18">
        <f>ROUND((W156/Y156)*100, 2)</f>
        <v/>
      </c>
      <c r="AA156" s="16">
        <f>MAX(AA155, X156)</f>
        <v/>
      </c>
      <c r="AB156" s="16">
        <f>X156-AA156</f>
        <v/>
      </c>
    </row>
    <row r="157">
      <c r="A157" s="13" t="n">
        <v>154</v>
      </c>
      <c r="B157" s="14" t="inlineStr">
        <is>
          <t>PGEL</t>
        </is>
      </c>
      <c r="C157" s="13" t="inlineStr">
        <is>
          <t>Q4 2022-23</t>
        </is>
      </c>
      <c r="D157" s="15" t="inlineStr">
        <is>
          <t>FUTURE LONG</t>
        </is>
      </c>
      <c r="E157" s="20" t="inlineStr">
        <is>
          <t>AVOID BUT MONITOR IT</t>
        </is>
      </c>
      <c r="F157" s="13" t="inlineStr">
        <is>
          <t>5 Quarters</t>
        </is>
      </c>
      <c r="G157" s="13" t="inlineStr">
        <is>
          <t>T-5 to T+1</t>
        </is>
      </c>
      <c r="H157" s="13" t="inlineStr">
        <is>
          <t>10.2%</t>
        </is>
      </c>
      <c r="I157" s="13" t="inlineStr">
        <is>
          <t>-0.83%</t>
        </is>
      </c>
      <c r="J157" s="13" t="inlineStr">
        <is>
          <t>-11.03%</t>
        </is>
      </c>
      <c r="K157" s="16">
        <f>X156</f>
        <v/>
      </c>
      <c r="L157" s="13" t="inlineStr">
        <is>
          <t>2023-01-13</t>
        </is>
      </c>
      <c r="M157" s="13" t="inlineStr">
        <is>
          <t>2023-01-23</t>
        </is>
      </c>
      <c r="N157" s="13" t="inlineStr">
        <is>
          <t>2023-01-20</t>
        </is>
      </c>
      <c r="O157" s="9" t="n">
        <v>1631</v>
      </c>
      <c r="P157" s="17" t="n">
        <v>115.0267715454102</v>
      </c>
      <c r="Q157" s="17" t="n">
        <v>114.067512512207</v>
      </c>
      <c r="R157" s="16">
        <f>O157*P157</f>
        <v/>
      </c>
      <c r="S157" s="16">
        <f>O157*Q157</f>
        <v/>
      </c>
      <c r="T157" s="16">
        <f>R157+S157</f>
        <v/>
      </c>
      <c r="U157" s="16">
        <f>ROUND(T157*0.0005, 2)</f>
        <v/>
      </c>
      <c r="V157" s="16">
        <f>S157-R157</f>
        <v/>
      </c>
      <c r="W157" s="16">
        <f>V157-U157</f>
        <v/>
      </c>
      <c r="X157" s="16">
        <f>K157+W157</f>
        <v/>
      </c>
      <c r="Y157" s="16">
        <f>ROUND(0.20*R157, 2)</f>
        <v/>
      </c>
      <c r="Z157" s="18">
        <f>ROUND((W157/Y157)*100, 2)</f>
        <v/>
      </c>
      <c r="AA157" s="16">
        <f>MAX(AA156, X157)</f>
        <v/>
      </c>
      <c r="AB157" s="16">
        <f>X157-AA157</f>
        <v/>
      </c>
    </row>
    <row r="158">
      <c r="A158" s="13" t="n">
        <v>155</v>
      </c>
      <c r="B158" s="14" t="inlineStr">
        <is>
          <t>PHOENIXLTD</t>
        </is>
      </c>
      <c r="C158" s="13" t="inlineStr">
        <is>
          <t>Q4 2022-23</t>
        </is>
      </c>
      <c r="D158" s="19" t="inlineStr">
        <is>
          <t>FUTURE SHORT</t>
        </is>
      </c>
      <c r="E158" s="20" t="inlineStr">
        <is>
          <t>AVOID BUT MONITOR IT</t>
        </is>
      </c>
      <c r="F158" s="13" t="inlineStr">
        <is>
          <t>5 Quarters</t>
        </is>
      </c>
      <c r="G158" s="13" t="inlineStr">
        <is>
          <t>T-3 to T+4</t>
        </is>
      </c>
      <c r="H158" s="13" t="inlineStr">
        <is>
          <t>-1.04%</t>
        </is>
      </c>
      <c r="I158" s="13" t="inlineStr">
        <is>
          <t>5.17%</t>
        </is>
      </c>
      <c r="J158" s="13" t="inlineStr">
        <is>
          <t>6.21%</t>
        </is>
      </c>
      <c r="K158" s="16">
        <f>X157</f>
        <v/>
      </c>
      <c r="L158" s="13" t="inlineStr">
        <is>
          <t>2023-01-17</t>
        </is>
      </c>
      <c r="M158" s="13" t="inlineStr">
        <is>
          <t>2023-01-27</t>
        </is>
      </c>
      <c r="N158" s="13" t="inlineStr">
        <is>
          <t>2023-01-20</t>
        </is>
      </c>
      <c r="O158" s="9" t="n">
        <v>529</v>
      </c>
      <c r="P158" s="17" t="n">
        <v>674.409423828125</v>
      </c>
      <c r="Q158" s="17" t="n">
        <v>711.19580078125</v>
      </c>
      <c r="R158" s="16">
        <f>O158*P158</f>
        <v/>
      </c>
      <c r="S158" s="16">
        <f>O158*Q158</f>
        <v/>
      </c>
      <c r="T158" s="16">
        <f>R158+S158</f>
        <v/>
      </c>
      <c r="U158" s="16">
        <f>ROUND(T158*0.0005, 2)</f>
        <v/>
      </c>
      <c r="V158" s="16">
        <f>S158-R158</f>
        <v/>
      </c>
      <c r="W158" s="16">
        <f>V158-U158</f>
        <v/>
      </c>
      <c r="X158" s="16">
        <f>K158+W158</f>
        <v/>
      </c>
      <c r="Y158" s="16">
        <f>ROUND(0.20*R158, 2)</f>
        <v/>
      </c>
      <c r="Z158" s="18">
        <f>ROUND((W158/Y158)*100, 2)</f>
        <v/>
      </c>
      <c r="AA158" s="16">
        <f>MAX(AA157, X158)</f>
        <v/>
      </c>
      <c r="AB158" s="16">
        <f>X158-AA158</f>
        <v/>
      </c>
    </row>
    <row r="159">
      <c r="A159" s="13" t="n">
        <v>156</v>
      </c>
      <c r="B159" s="14" t="inlineStr">
        <is>
          <t>PIDILITIND</t>
        </is>
      </c>
      <c r="C159" s="13" t="inlineStr">
        <is>
          <t>Q4 2022-23</t>
        </is>
      </c>
      <c r="D159" s="15" t="inlineStr">
        <is>
          <t>FUTURE LONG</t>
        </is>
      </c>
      <c r="E159" s="20" t="inlineStr">
        <is>
          <t>AVOID BUT MONITOR IT</t>
        </is>
      </c>
      <c r="F159" s="13" t="inlineStr">
        <is>
          <t>5 Quarters</t>
        </is>
      </c>
      <c r="G159" s="13" t="inlineStr">
        <is>
          <t>T-3 to T+1</t>
        </is>
      </c>
      <c r="H159" s="13" t="inlineStr">
        <is>
          <t>-0.73%</t>
        </is>
      </c>
      <c r="I159" s="13" t="inlineStr">
        <is>
          <t>-1.14%</t>
        </is>
      </c>
      <c r="J159" s="13" t="inlineStr">
        <is>
          <t>-0.41%</t>
        </is>
      </c>
      <c r="K159" s="16">
        <f>X158</f>
        <v/>
      </c>
      <c r="L159" s="13" t="inlineStr">
        <is>
          <t>2023-01-17</t>
        </is>
      </c>
      <c r="M159" s="13" t="inlineStr">
        <is>
          <t>2023-01-23</t>
        </is>
      </c>
      <c r="N159" s="13" t="inlineStr">
        <is>
          <t>2023-01-20</t>
        </is>
      </c>
      <c r="O159" s="9" t="n">
        <v>613</v>
      </c>
      <c r="P159" s="17" t="n">
        <v>1190.687377929688</v>
      </c>
      <c r="Q159" s="17" t="n">
        <v>1177.082763671875</v>
      </c>
      <c r="R159" s="16">
        <f>O159*P159</f>
        <v/>
      </c>
      <c r="S159" s="16">
        <f>O159*Q159</f>
        <v/>
      </c>
      <c r="T159" s="16">
        <f>R159+S159</f>
        <v/>
      </c>
      <c r="U159" s="16">
        <f>ROUND(T159*0.0005, 2)</f>
        <v/>
      </c>
      <c r="V159" s="16">
        <f>S159-R159</f>
        <v/>
      </c>
      <c r="W159" s="16">
        <f>V159-U159</f>
        <v/>
      </c>
      <c r="X159" s="16">
        <f>K159+W159</f>
        <v/>
      </c>
      <c r="Y159" s="16">
        <f>ROUND(0.20*R159, 2)</f>
        <v/>
      </c>
      <c r="Z159" s="18">
        <f>ROUND((W159/Y159)*100, 2)</f>
        <v/>
      </c>
      <c r="AA159" s="16">
        <f>MAX(AA158, X159)</f>
        <v/>
      </c>
      <c r="AB159" s="16">
        <f>X159-AA159</f>
        <v/>
      </c>
    </row>
    <row r="160">
      <c r="A160" s="13" t="n">
        <v>157</v>
      </c>
      <c r="B160" s="14" t="inlineStr">
        <is>
          <t>PIIND</t>
        </is>
      </c>
      <c r="C160" s="13" t="inlineStr">
        <is>
          <t>Q4 2022-23</t>
        </is>
      </c>
      <c r="D160" s="15" t="inlineStr">
        <is>
          <t>FUTURE LONG</t>
        </is>
      </c>
      <c r="E160" s="20" t="inlineStr">
        <is>
          <t>AVOID BUT MONITOR IT</t>
        </is>
      </c>
      <c r="F160" s="13" t="inlineStr">
        <is>
          <t>5 Quarters</t>
        </is>
      </c>
      <c r="G160" s="13" t="inlineStr">
        <is>
          <t>T-7 to T+1</t>
        </is>
      </c>
      <c r="H160" s="13" t="inlineStr">
        <is>
          <t>-0.13%</t>
        </is>
      </c>
      <c r="I160" s="13" t="inlineStr">
        <is>
          <t>-4.41%</t>
        </is>
      </c>
      <c r="J160" s="13" t="inlineStr">
        <is>
          <t>-4.28%</t>
        </is>
      </c>
      <c r="K160" s="16">
        <f>X159</f>
        <v/>
      </c>
      <c r="L160" s="13" t="inlineStr">
        <is>
          <t>2023-01-11</t>
        </is>
      </c>
      <c r="M160" s="13" t="inlineStr">
        <is>
          <t>2023-01-23</t>
        </is>
      </c>
      <c r="N160" s="13" t="inlineStr">
        <is>
          <t>2023-01-20</t>
        </is>
      </c>
      <c r="O160" s="9" t="n">
        <v>360</v>
      </c>
      <c r="P160" s="17" t="n">
        <v>3232.598876953125</v>
      </c>
      <c r="Q160" s="17" t="n">
        <v>3089.945556640625</v>
      </c>
      <c r="R160" s="16">
        <f>O160*P160</f>
        <v/>
      </c>
      <c r="S160" s="16">
        <f>O160*Q160</f>
        <v/>
      </c>
      <c r="T160" s="16">
        <f>R160+S160</f>
        <v/>
      </c>
      <c r="U160" s="16">
        <f>ROUND(T160*0.0005, 2)</f>
        <v/>
      </c>
      <c r="V160" s="16">
        <f>S160-R160</f>
        <v/>
      </c>
      <c r="W160" s="16">
        <f>V160-U160</f>
        <v/>
      </c>
      <c r="X160" s="16">
        <f>K160+W160</f>
        <v/>
      </c>
      <c r="Y160" s="16">
        <f>ROUND(0.20*R160, 2)</f>
        <v/>
      </c>
      <c r="Z160" s="18">
        <f>ROUND((W160/Y160)*100, 2)</f>
        <v/>
      </c>
      <c r="AA160" s="16">
        <f>MAX(AA159, X160)</f>
        <v/>
      </c>
      <c r="AB160" s="16">
        <f>X160-AA160</f>
        <v/>
      </c>
    </row>
    <row r="161">
      <c r="A161" s="13" t="n">
        <v>158</v>
      </c>
      <c r="B161" s="14" t="inlineStr">
        <is>
          <t>PNB</t>
        </is>
      </c>
      <c r="C161" s="13" t="inlineStr">
        <is>
          <t>Q4 2022-23</t>
        </is>
      </c>
      <c r="D161" s="19" t="inlineStr">
        <is>
          <t>FUTURE SHORT</t>
        </is>
      </c>
      <c r="E161" s="20" t="inlineStr">
        <is>
          <t>AVOID BUT MONITOR IT</t>
        </is>
      </c>
      <c r="F161" s="13" t="inlineStr">
        <is>
          <t>5 Quarters</t>
        </is>
      </c>
      <c r="G161" s="13" t="inlineStr">
        <is>
          <t>T-8 to T+1</t>
        </is>
      </c>
      <c r="H161" s="13" t="inlineStr">
        <is>
          <t>2.71%</t>
        </is>
      </c>
      <c r="I161" s="13" t="inlineStr">
        <is>
          <t>-3.09%</t>
        </is>
      </c>
      <c r="J161" s="13" t="inlineStr">
        <is>
          <t>-5.8%</t>
        </is>
      </c>
      <c r="K161" s="16">
        <f>X160</f>
        <v/>
      </c>
      <c r="L161" s="13" t="inlineStr">
        <is>
          <t>2023-01-10</t>
        </is>
      </c>
      <c r="M161" s="13" t="inlineStr">
        <is>
          <t>2023-01-23</t>
        </is>
      </c>
      <c r="N161" s="13" t="inlineStr">
        <is>
          <t>2023-01-20</t>
        </is>
      </c>
      <c r="O161" s="9" t="n">
        <v>8957</v>
      </c>
      <c r="P161" s="17" t="n">
        <v>52.33880996704102</v>
      </c>
      <c r="Q161" s="17" t="n">
        <v>50.77233123779297</v>
      </c>
      <c r="R161" s="16">
        <f>O161*P161</f>
        <v/>
      </c>
      <c r="S161" s="16">
        <f>O161*Q161</f>
        <v/>
      </c>
      <c r="T161" s="16">
        <f>R161+S161</f>
        <v/>
      </c>
      <c r="U161" s="16">
        <f>ROUND(T161*0.0005, 2)</f>
        <v/>
      </c>
      <c r="V161" s="16">
        <f>S161-R161</f>
        <v/>
      </c>
      <c r="W161" s="16">
        <f>V161-U161</f>
        <v/>
      </c>
      <c r="X161" s="16">
        <f>K161+W161</f>
        <v/>
      </c>
      <c r="Y161" s="16">
        <f>ROUND(0.20*R161, 2)</f>
        <v/>
      </c>
      <c r="Z161" s="18">
        <f>ROUND((W161/Y161)*100, 2)</f>
        <v/>
      </c>
      <c r="AA161" s="16">
        <f>MAX(AA160, X161)</f>
        <v/>
      </c>
      <c r="AB161" s="16">
        <f>X161-AA161</f>
        <v/>
      </c>
    </row>
    <row r="162">
      <c r="A162" s="13" t="n">
        <v>159</v>
      </c>
      <c r="B162" s="14" t="inlineStr">
        <is>
          <t>PNBHOUSING</t>
        </is>
      </c>
      <c r="C162" s="13" t="inlineStr">
        <is>
          <t>Q4 2022-23</t>
        </is>
      </c>
      <c r="D162" s="19" t="inlineStr">
        <is>
          <t>FUTURE SHORT</t>
        </is>
      </c>
      <c r="E162" s="20" t="inlineStr">
        <is>
          <t>AVOID BUT MONITOR IT</t>
        </is>
      </c>
      <c r="F162" s="13" t="inlineStr">
        <is>
          <t>5 Quarters</t>
        </is>
      </c>
      <c r="G162" s="13" t="inlineStr">
        <is>
          <t>T-5 to T+4</t>
        </is>
      </c>
      <c r="H162" s="13" t="inlineStr">
        <is>
          <t>-0.66%</t>
        </is>
      </c>
      <c r="I162" s="13" t="inlineStr">
        <is>
          <t>8.06%</t>
        </is>
      </c>
      <c r="J162" s="13" t="inlineStr">
        <is>
          <t>8.72%</t>
        </is>
      </c>
      <c r="K162" s="16">
        <f>X161</f>
        <v/>
      </c>
      <c r="L162" s="13" t="inlineStr">
        <is>
          <t>2023-01-13</t>
        </is>
      </c>
      <c r="M162" s="13" t="inlineStr">
        <is>
          <t>2023-01-27</t>
        </is>
      </c>
      <c r="N162" s="13" t="inlineStr">
        <is>
          <t>2023-01-20</t>
        </is>
      </c>
      <c r="O162" s="9" t="n">
        <v>967</v>
      </c>
      <c r="P162" s="17" t="n">
        <v>439.6259765625</v>
      </c>
      <c r="Q162" s="17" t="n">
        <v>478.1498718261719</v>
      </c>
      <c r="R162" s="16">
        <f>O162*P162</f>
        <v/>
      </c>
      <c r="S162" s="16">
        <f>O162*Q162</f>
        <v/>
      </c>
      <c r="T162" s="16">
        <f>R162+S162</f>
        <v/>
      </c>
      <c r="U162" s="16">
        <f>ROUND(T162*0.0005, 2)</f>
        <v/>
      </c>
      <c r="V162" s="16">
        <f>S162-R162</f>
        <v/>
      </c>
      <c r="W162" s="16">
        <f>V162-U162</f>
        <v/>
      </c>
      <c r="X162" s="16">
        <f>K162+W162</f>
        <v/>
      </c>
      <c r="Y162" s="16">
        <f>ROUND(0.20*R162, 2)</f>
        <v/>
      </c>
      <c r="Z162" s="18">
        <f>ROUND((W162/Y162)*100, 2)</f>
        <v/>
      </c>
      <c r="AA162" s="16">
        <f>MAX(AA161, X162)</f>
        <v/>
      </c>
      <c r="AB162" s="16">
        <f>X162-AA162</f>
        <v/>
      </c>
    </row>
    <row r="163">
      <c r="A163" s="13" t="n">
        <v>160</v>
      </c>
      <c r="B163" s="14" t="inlineStr">
        <is>
          <t>POLICYBZR</t>
        </is>
      </c>
      <c r="C163" s="13" t="inlineStr">
        <is>
          <t>Q4 2022-23</t>
        </is>
      </c>
      <c r="D163" s="15" t="inlineStr">
        <is>
          <t>FUTURE LONG</t>
        </is>
      </c>
      <c r="E163" s="20" t="inlineStr">
        <is>
          <t>AVOID BUT MONITOR IT</t>
        </is>
      </c>
      <c r="F163" s="13" t="inlineStr">
        <is>
          <t>5 Quarters</t>
        </is>
      </c>
      <c r="G163" s="13" t="inlineStr">
        <is>
          <t>T-5 to T+1</t>
        </is>
      </c>
      <c r="H163" s="13" t="inlineStr">
        <is>
          <t>3.53%</t>
        </is>
      </c>
      <c r="I163" s="13" t="inlineStr">
        <is>
          <t>-9.64%</t>
        </is>
      </c>
      <c r="J163" s="13" t="inlineStr">
        <is>
          <t>-13.17%</t>
        </is>
      </c>
      <c r="K163" s="16">
        <f>X162</f>
        <v/>
      </c>
      <c r="L163" s="13" t="inlineStr">
        <is>
          <t>2023-01-13</t>
        </is>
      </c>
      <c r="M163" s="13" t="inlineStr">
        <is>
          <t>2023-01-23</t>
        </is>
      </c>
      <c r="N163" s="13" t="inlineStr">
        <is>
          <t>2023-01-20</t>
        </is>
      </c>
      <c r="O163" s="9" t="n">
        <v>627</v>
      </c>
      <c r="P163" s="17" t="n">
        <v>464.2999877929688</v>
      </c>
      <c r="Q163" s="17" t="n">
        <v>419.5499877929688</v>
      </c>
      <c r="R163" s="16">
        <f>O163*P163</f>
        <v/>
      </c>
      <c r="S163" s="16">
        <f>O163*Q163</f>
        <v/>
      </c>
      <c r="T163" s="16">
        <f>R163+S163</f>
        <v/>
      </c>
      <c r="U163" s="16">
        <f>ROUND(T163*0.0005, 2)</f>
        <v/>
      </c>
      <c r="V163" s="16">
        <f>S163-R163</f>
        <v/>
      </c>
      <c r="W163" s="16">
        <f>V163-U163</f>
        <v/>
      </c>
      <c r="X163" s="16">
        <f>K163+W163</f>
        <v/>
      </c>
      <c r="Y163" s="16">
        <f>ROUND(0.20*R163, 2)</f>
        <v/>
      </c>
      <c r="Z163" s="18">
        <f>ROUND((W163/Y163)*100, 2)</f>
        <v/>
      </c>
      <c r="AA163" s="16">
        <f>MAX(AA162, X163)</f>
        <v/>
      </c>
      <c r="AB163" s="16">
        <f>X163-AA163</f>
        <v/>
      </c>
    </row>
    <row r="164">
      <c r="A164" s="13" t="n">
        <v>161</v>
      </c>
      <c r="B164" s="14" t="inlineStr">
        <is>
          <t>POLYCAB</t>
        </is>
      </c>
      <c r="C164" s="13" t="inlineStr">
        <is>
          <t>Q4 2022-23</t>
        </is>
      </c>
      <c r="D164" s="19" t="inlineStr">
        <is>
          <t>FUTURE SHORT</t>
        </is>
      </c>
      <c r="E164" s="20" t="inlineStr">
        <is>
          <t>AVOID BUT MONITOR IT</t>
        </is>
      </c>
      <c r="F164" s="13" t="inlineStr">
        <is>
          <t>5 Quarters</t>
        </is>
      </c>
      <c r="G164" s="13" t="inlineStr">
        <is>
          <t>T-3 to T+1</t>
        </is>
      </c>
      <c r="H164" s="13" t="inlineStr">
        <is>
          <t>0.02%</t>
        </is>
      </c>
      <c r="I164" s="13" t="inlineStr">
        <is>
          <t>-3.06%</t>
        </is>
      </c>
      <c r="J164" s="13" t="inlineStr">
        <is>
          <t>-3.08%</t>
        </is>
      </c>
      <c r="K164" s="16">
        <f>X163</f>
        <v/>
      </c>
      <c r="L164" s="13" t="inlineStr">
        <is>
          <t>2023-01-17</t>
        </is>
      </c>
      <c r="M164" s="13" t="inlineStr">
        <is>
          <t>2023-01-23</t>
        </is>
      </c>
      <c r="N164" s="13" t="inlineStr">
        <is>
          <t>2023-01-20</t>
        </is>
      </c>
      <c r="O164" s="9" t="n">
        <v>112</v>
      </c>
      <c r="P164" s="17" t="n">
        <v>2743.4365234375</v>
      </c>
      <c r="Q164" s="17" t="n">
        <v>2662.0283203125</v>
      </c>
      <c r="R164" s="16">
        <f>O164*P164</f>
        <v/>
      </c>
      <c r="S164" s="16">
        <f>O164*Q164</f>
        <v/>
      </c>
      <c r="T164" s="16">
        <f>R164+S164</f>
        <v/>
      </c>
      <c r="U164" s="16">
        <f>ROUND(T164*0.0005, 2)</f>
        <v/>
      </c>
      <c r="V164" s="16">
        <f>S164-R164</f>
        <v/>
      </c>
      <c r="W164" s="16">
        <f>V164-U164</f>
        <v/>
      </c>
      <c r="X164" s="16">
        <f>K164+W164</f>
        <v/>
      </c>
      <c r="Y164" s="16">
        <f>ROUND(0.20*R164, 2)</f>
        <v/>
      </c>
      <c r="Z164" s="18">
        <f>ROUND((W164/Y164)*100, 2)</f>
        <v/>
      </c>
      <c r="AA164" s="16">
        <f>MAX(AA163, X164)</f>
        <v/>
      </c>
      <c r="AB164" s="16">
        <f>X164-AA164</f>
        <v/>
      </c>
    </row>
    <row r="165">
      <c r="A165" s="13" t="n">
        <v>162</v>
      </c>
      <c r="B165" s="14" t="inlineStr">
        <is>
          <t>POWERGRID</t>
        </is>
      </c>
      <c r="C165" s="13" t="inlineStr">
        <is>
          <t>Q4 2022-23</t>
        </is>
      </c>
      <c r="D165" s="19" t="inlineStr">
        <is>
          <t>FUTURE SHORT</t>
        </is>
      </c>
      <c r="E165" s="15" t="inlineStr">
        <is>
          <t>QUALIFIED</t>
        </is>
      </c>
      <c r="F165" s="13" t="inlineStr">
        <is>
          <t>130 Quarters</t>
        </is>
      </c>
      <c r="G165" s="13" t="inlineStr">
        <is>
          <t>T-2 to T+4</t>
        </is>
      </c>
      <c r="H165" s="13" t="inlineStr">
        <is>
          <t>-0.53%</t>
        </is>
      </c>
      <c r="I165" s="13" t="inlineStr">
        <is>
          <t>7.45%</t>
        </is>
      </c>
      <c r="J165" s="13" t="inlineStr">
        <is>
          <t>7.98%</t>
        </is>
      </c>
      <c r="K165" s="16">
        <f>X164</f>
        <v/>
      </c>
      <c r="L165" s="13" t="inlineStr">
        <is>
          <t>2023-07-31</t>
        </is>
      </c>
      <c r="M165" s="13" t="inlineStr">
        <is>
          <t>2023-08-08</t>
        </is>
      </c>
      <c r="N165" s="13" t="inlineStr">
        <is>
          <t>2023-08-01</t>
        </is>
      </c>
      <c r="O165" s="9" t="n">
        <v>1800</v>
      </c>
      <c r="P165" s="17" t="n">
        <v>163.5419006347656</v>
      </c>
      <c r="Q165" s="17" t="n">
        <v>176.7154846191406</v>
      </c>
      <c r="R165" s="16">
        <f>O165*P165</f>
        <v/>
      </c>
      <c r="S165" s="16">
        <f>O165*Q165</f>
        <v/>
      </c>
      <c r="T165" s="16">
        <f>R165+S165</f>
        <v/>
      </c>
      <c r="U165" s="16">
        <f>ROUND(T165*0.0005, 2)</f>
        <v/>
      </c>
      <c r="V165" s="16">
        <f>S165-R165</f>
        <v/>
      </c>
      <c r="W165" s="16">
        <f>V165-U165</f>
        <v/>
      </c>
      <c r="X165" s="16">
        <f>K165+W165</f>
        <v/>
      </c>
      <c r="Y165" s="16">
        <f>ROUND(0.20*R165, 2)</f>
        <v/>
      </c>
      <c r="Z165" s="18">
        <f>ROUND((W165/Y165)*100, 2)</f>
        <v/>
      </c>
      <c r="AA165" s="16">
        <f>MAX(AA164, X165)</f>
        <v/>
      </c>
      <c r="AB165" s="16">
        <f>X165-AA165</f>
        <v/>
      </c>
    </row>
    <row r="166">
      <c r="A166" s="13" t="n">
        <v>163</v>
      </c>
      <c r="B166" s="14" t="inlineStr">
        <is>
          <t>POWERINDIA</t>
        </is>
      </c>
      <c r="C166" s="13" t="inlineStr">
        <is>
          <t>Q4 2022-23</t>
        </is>
      </c>
      <c r="D166" s="19" t="inlineStr">
        <is>
          <t>FUTURE SHORT</t>
        </is>
      </c>
      <c r="E166" s="20" t="inlineStr">
        <is>
          <t>AVOID BUT MONITOR IT</t>
        </is>
      </c>
      <c r="F166" s="13" t="inlineStr">
        <is>
          <t>5 Quarters</t>
        </is>
      </c>
      <c r="G166" s="13" t="inlineStr">
        <is>
          <t>T-2 to T+1</t>
        </is>
      </c>
      <c r="H166" s="13" t="inlineStr">
        <is>
          <t>0.03%</t>
        </is>
      </c>
      <c r="I166" s="13" t="inlineStr">
        <is>
          <t>0.03%</t>
        </is>
      </c>
      <c r="J166" s="13" t="inlineStr">
        <is>
          <t>0.0%</t>
        </is>
      </c>
      <c r="K166" s="16">
        <f>X165</f>
        <v/>
      </c>
      <c r="L166" s="13" t="inlineStr">
        <is>
          <t>2025-10-01</t>
        </is>
      </c>
      <c r="M166" s="13" t="inlineStr">
        <is>
          <t>2025-10-03</t>
        </is>
      </c>
      <c r="N166" s="13" t="inlineStr">
        <is>
          <t>2023-01-20</t>
        </is>
      </c>
      <c r="O166" s="9" t="n">
        <v>100</v>
      </c>
      <c r="P166" s="17" t="n">
        <v>18220</v>
      </c>
      <c r="Q166" s="17" t="n">
        <v>18225</v>
      </c>
      <c r="R166" s="16">
        <f>O166*P166</f>
        <v/>
      </c>
      <c r="S166" s="16">
        <f>O166*Q166</f>
        <v/>
      </c>
      <c r="T166" s="16">
        <f>R166+S166</f>
        <v/>
      </c>
      <c r="U166" s="16">
        <f>ROUND(T166*0.0005, 2)</f>
        <v/>
      </c>
      <c r="V166" s="16">
        <f>S166-R166</f>
        <v/>
      </c>
      <c r="W166" s="16">
        <f>V166-U166</f>
        <v/>
      </c>
      <c r="X166" s="16">
        <f>K166+W166</f>
        <v/>
      </c>
      <c r="Y166" s="16">
        <f>ROUND(0.20*R166, 2)</f>
        <v/>
      </c>
      <c r="Z166" s="18">
        <f>ROUND((W166/Y166)*100, 2)</f>
        <v/>
      </c>
      <c r="AA166" s="16">
        <f>MAX(AA165, X166)</f>
        <v/>
      </c>
      <c r="AB166" s="16">
        <f>X166-AA166</f>
        <v/>
      </c>
    </row>
    <row r="167">
      <c r="A167" s="13" t="n">
        <v>164</v>
      </c>
      <c r="B167" s="14" t="inlineStr">
        <is>
          <t>PREMIERENE</t>
        </is>
      </c>
      <c r="C167" s="13" t="inlineStr">
        <is>
          <t>Q4 2022-23</t>
        </is>
      </c>
      <c r="D167" s="19" t="inlineStr">
        <is>
          <t>FUTURE SHORT</t>
        </is>
      </c>
      <c r="E167" s="20" t="inlineStr">
        <is>
          <t>AVOID BUT MONITOR IT</t>
        </is>
      </c>
      <c r="F167" s="13" t="inlineStr">
        <is>
          <t>2 Quarters</t>
        </is>
      </c>
      <c r="G167" s="13" t="inlineStr">
        <is>
          <t>T-1 to T+1</t>
        </is>
      </c>
      <c r="H167" s="13" t="inlineStr">
        <is>
          <t>4.71%</t>
        </is>
      </c>
      <c r="I167" s="13" t="inlineStr">
        <is>
          <t>-0.24%</t>
        </is>
      </c>
      <c r="J167" s="13" t="inlineStr">
        <is>
          <t>-4.95%</t>
        </is>
      </c>
      <c r="K167" s="16">
        <f>X166</f>
        <v/>
      </c>
      <c r="L167" s="13" t="inlineStr">
        <is>
          <t>2024-09-03</t>
        </is>
      </c>
      <c r="M167" s="13" t="inlineStr">
        <is>
          <t>2024-09-04</t>
        </is>
      </c>
      <c r="N167" s="13" t="inlineStr">
        <is>
          <t>2023-01-20</t>
        </is>
      </c>
      <c r="O167" s="9" t="n">
        <v>1017</v>
      </c>
      <c r="P167" s="17" t="n">
        <v>840.2365112304688</v>
      </c>
      <c r="Q167" s="17" t="n">
        <v>838.2405395507812</v>
      </c>
      <c r="R167" s="16">
        <f>O167*P167</f>
        <v/>
      </c>
      <c r="S167" s="16">
        <f>O167*Q167</f>
        <v/>
      </c>
      <c r="T167" s="16">
        <f>R167+S167</f>
        <v/>
      </c>
      <c r="U167" s="16">
        <f>ROUND(T167*0.0005, 2)</f>
        <v/>
      </c>
      <c r="V167" s="16">
        <f>S167-R167</f>
        <v/>
      </c>
      <c r="W167" s="16">
        <f>V167-U167</f>
        <v/>
      </c>
      <c r="X167" s="16">
        <f>K167+W167</f>
        <v/>
      </c>
      <c r="Y167" s="16">
        <f>ROUND(0.20*R167, 2)</f>
        <v/>
      </c>
      <c r="Z167" s="18">
        <f>ROUND((W167/Y167)*100, 2)</f>
        <v/>
      </c>
      <c r="AA167" s="16">
        <f>MAX(AA166, X167)</f>
        <v/>
      </c>
      <c r="AB167" s="16">
        <f>X167-AA167</f>
        <v/>
      </c>
    </row>
    <row r="168">
      <c r="A168" s="13" t="n">
        <v>165</v>
      </c>
      <c r="B168" s="14" t="inlineStr">
        <is>
          <t>PRESTIGE</t>
        </is>
      </c>
      <c r="C168" s="13" t="inlineStr">
        <is>
          <t>Q4 2022-23</t>
        </is>
      </c>
      <c r="D168" s="19" t="inlineStr">
        <is>
          <t>FUTURE SHORT</t>
        </is>
      </c>
      <c r="E168" s="20" t="inlineStr">
        <is>
          <t>AVOID BUT MONITOR IT</t>
        </is>
      </c>
      <c r="F168" s="13" t="inlineStr">
        <is>
          <t>5 Quarters</t>
        </is>
      </c>
      <c r="G168" s="13" t="inlineStr">
        <is>
          <t>T-5 to T+4</t>
        </is>
      </c>
      <c r="H168" s="13" t="inlineStr">
        <is>
          <t>3.78%</t>
        </is>
      </c>
      <c r="I168" s="13" t="inlineStr">
        <is>
          <t>4.57%</t>
        </is>
      </c>
      <c r="J168" s="13" t="inlineStr">
        <is>
          <t>0.79%</t>
        </is>
      </c>
      <c r="K168" s="16">
        <f>X167</f>
        <v/>
      </c>
      <c r="L168" s="13" t="inlineStr">
        <is>
          <t>2023-01-13</t>
        </is>
      </c>
      <c r="M168" s="13" t="inlineStr">
        <is>
          <t>2023-01-27</t>
        </is>
      </c>
      <c r="N168" s="13" t="inlineStr">
        <is>
          <t>2023-01-20</t>
        </is>
      </c>
      <c r="O168" s="9" t="n">
        <v>627</v>
      </c>
      <c r="P168" s="17" t="n">
        <v>421.2859497070313</v>
      </c>
      <c r="Q168" s="17" t="n">
        <v>441.4443664550781</v>
      </c>
      <c r="R168" s="16">
        <f>O168*P168</f>
        <v/>
      </c>
      <c r="S168" s="16">
        <f>O168*Q168</f>
        <v/>
      </c>
      <c r="T168" s="16">
        <f>R168+S168</f>
        <v/>
      </c>
      <c r="U168" s="16">
        <f>ROUND(T168*0.0005, 2)</f>
        <v/>
      </c>
      <c r="V168" s="16">
        <f>S168-R168</f>
        <v/>
      </c>
      <c r="W168" s="16">
        <f>V168-U168</f>
        <v/>
      </c>
      <c r="X168" s="16">
        <f>K168+W168</f>
        <v/>
      </c>
      <c r="Y168" s="16">
        <f>ROUND(0.20*R168, 2)</f>
        <v/>
      </c>
      <c r="Z168" s="18">
        <f>ROUND((W168/Y168)*100, 2)</f>
        <v/>
      </c>
      <c r="AA168" s="16">
        <f>MAX(AA167, X168)</f>
        <v/>
      </c>
      <c r="AB168" s="16">
        <f>X168-AA168</f>
        <v/>
      </c>
    </row>
    <row r="169">
      <c r="A169" s="13" t="n">
        <v>166</v>
      </c>
      <c r="B169" s="14" t="inlineStr">
        <is>
          <t>RADICO</t>
        </is>
      </c>
      <c r="C169" s="13" t="inlineStr">
        <is>
          <t>Q4 2022-23</t>
        </is>
      </c>
      <c r="D169" s="19" t="inlineStr">
        <is>
          <t>FUTURE SHORT</t>
        </is>
      </c>
      <c r="E169" s="20" t="inlineStr">
        <is>
          <t>AVOID BUT MONITOR IT</t>
        </is>
      </c>
      <c r="F169" s="13" t="inlineStr">
        <is>
          <t>5 Quarters</t>
        </is>
      </c>
      <c r="G169" s="13" t="inlineStr">
        <is>
          <t>T-8 to T+1</t>
        </is>
      </c>
      <c r="H169" s="13" t="inlineStr">
        <is>
          <t>1.02%</t>
        </is>
      </c>
      <c r="I169" s="13" t="inlineStr">
        <is>
          <t>3.04%</t>
        </is>
      </c>
      <c r="J169" s="13" t="inlineStr">
        <is>
          <t>2.02%</t>
        </is>
      </c>
      <c r="K169" s="16">
        <f>X168</f>
        <v/>
      </c>
      <c r="L169" s="13" t="inlineStr">
        <is>
          <t>2023-01-10</t>
        </is>
      </c>
      <c r="M169" s="13" t="inlineStr">
        <is>
          <t>2023-01-23</t>
        </is>
      </c>
      <c r="N169" s="13" t="inlineStr">
        <is>
          <t>2023-01-20</t>
        </is>
      </c>
      <c r="O169" s="9" t="n">
        <v>229</v>
      </c>
      <c r="P169" s="17" t="n">
        <v>1033.55908203125</v>
      </c>
      <c r="Q169" s="17" t="n">
        <v>1065.952270507812</v>
      </c>
      <c r="R169" s="16">
        <f>O169*P169</f>
        <v/>
      </c>
      <c r="S169" s="16">
        <f>O169*Q169</f>
        <v/>
      </c>
      <c r="T169" s="16">
        <f>R169+S169</f>
        <v/>
      </c>
      <c r="U169" s="16">
        <f>ROUND(T169*0.0005, 2)</f>
        <v/>
      </c>
      <c r="V169" s="16">
        <f>S169-R169</f>
        <v/>
      </c>
      <c r="W169" s="16">
        <f>V169-U169</f>
        <v/>
      </c>
      <c r="X169" s="16">
        <f>K169+W169</f>
        <v/>
      </c>
      <c r="Y169" s="16">
        <f>ROUND(0.20*R169, 2)</f>
        <v/>
      </c>
      <c r="Z169" s="18">
        <f>ROUND((W169/Y169)*100, 2)</f>
        <v/>
      </c>
      <c r="AA169" s="16">
        <f>MAX(AA168, X169)</f>
        <v/>
      </c>
      <c r="AB169" s="16">
        <f>X169-AA169</f>
        <v/>
      </c>
    </row>
    <row r="170">
      <c r="A170" s="13" t="n">
        <v>167</v>
      </c>
      <c r="B170" s="14" t="inlineStr">
        <is>
          <t>RBLBANK</t>
        </is>
      </c>
      <c r="C170" s="13" t="inlineStr">
        <is>
          <t>Q4 2022-23</t>
        </is>
      </c>
      <c r="D170" s="19" t="inlineStr">
        <is>
          <t>FUTURE SHORT</t>
        </is>
      </c>
      <c r="E170" s="20" t="inlineStr">
        <is>
          <t>AVOID BUT MONITOR IT</t>
        </is>
      </c>
      <c r="F170" s="13" t="inlineStr">
        <is>
          <t>5 Quarters</t>
        </is>
      </c>
      <c r="G170" s="13" t="inlineStr">
        <is>
          <t>T-3 to T+1</t>
        </is>
      </c>
      <c r="H170" s="13" t="inlineStr">
        <is>
          <t>5.64%</t>
        </is>
      </c>
      <c r="I170" s="13" t="inlineStr">
        <is>
          <t>2.62%</t>
        </is>
      </c>
      <c r="J170" s="13" t="inlineStr">
        <is>
          <t>-3.02%</t>
        </is>
      </c>
      <c r="K170" s="16">
        <f>X169</f>
        <v/>
      </c>
      <c r="L170" s="13" t="inlineStr">
        <is>
          <t>2023-01-17</t>
        </is>
      </c>
      <c r="M170" s="13" t="inlineStr">
        <is>
          <t>2023-01-23</t>
        </is>
      </c>
      <c r="N170" s="13" t="inlineStr">
        <is>
          <t>2023-01-20</t>
        </is>
      </c>
      <c r="O170" s="9" t="n">
        <v>2645</v>
      </c>
      <c r="P170" s="17" t="n">
        <v>164.5718994140625</v>
      </c>
      <c r="Q170" s="17" t="n">
        <v>168.9958953857422</v>
      </c>
      <c r="R170" s="16">
        <f>O170*P170</f>
        <v/>
      </c>
      <c r="S170" s="16">
        <f>O170*Q170</f>
        <v/>
      </c>
      <c r="T170" s="16">
        <f>R170+S170</f>
        <v/>
      </c>
      <c r="U170" s="16">
        <f>ROUND(T170*0.0005, 2)</f>
        <v/>
      </c>
      <c r="V170" s="16">
        <f>S170-R170</f>
        <v/>
      </c>
      <c r="W170" s="16">
        <f>V170-U170</f>
        <v/>
      </c>
      <c r="X170" s="16">
        <f>K170+W170</f>
        <v/>
      </c>
      <c r="Y170" s="16">
        <f>ROUND(0.20*R170, 2)</f>
        <v/>
      </c>
      <c r="Z170" s="18">
        <f>ROUND((W170/Y170)*100, 2)</f>
        <v/>
      </c>
      <c r="AA170" s="16">
        <f>MAX(AA169, X170)</f>
        <v/>
      </c>
      <c r="AB170" s="16">
        <f>X170-AA170</f>
        <v/>
      </c>
    </row>
    <row r="171">
      <c r="A171" s="13" t="n">
        <v>168</v>
      </c>
      <c r="B171" s="14" t="inlineStr">
        <is>
          <t>RECLTD</t>
        </is>
      </c>
      <c r="C171" s="13" t="inlineStr">
        <is>
          <t>Q4 2022-23</t>
        </is>
      </c>
      <c r="D171" s="15" t="inlineStr">
        <is>
          <t>FUTURE LONG</t>
        </is>
      </c>
      <c r="E171" s="15" t="inlineStr">
        <is>
          <t>QUALIFIED</t>
        </is>
      </c>
      <c r="F171" s="13" t="inlineStr">
        <is>
          <t>142 Quarters</t>
        </is>
      </c>
      <c r="G171" s="13" t="inlineStr">
        <is>
          <t>T-2 to T+1</t>
        </is>
      </c>
      <c r="H171" s="13" t="inlineStr">
        <is>
          <t>1.52%</t>
        </is>
      </c>
      <c r="I171" s="13" t="inlineStr">
        <is>
          <t>3.63%</t>
        </is>
      </c>
      <c r="J171" s="13" t="inlineStr">
        <is>
          <t>2.11%</t>
        </is>
      </c>
      <c r="K171" s="16">
        <f>X170</f>
        <v/>
      </c>
      <c r="L171" s="13" t="inlineStr">
        <is>
          <t>2025-06-03</t>
        </is>
      </c>
      <c r="M171" s="13" t="inlineStr">
        <is>
          <t>2025-06-06</t>
        </is>
      </c>
      <c r="N171" s="13" t="inlineStr">
        <is>
          <t>2025-06-04</t>
        </is>
      </c>
      <c r="O171" s="9" t="n">
        <v>2667</v>
      </c>
      <c r="P171" s="17" t="n">
        <v>379.9212646484375</v>
      </c>
      <c r="Q171" s="17" t="n">
        <v>393.725341796875</v>
      </c>
      <c r="R171" s="16">
        <f>O171*P171</f>
        <v/>
      </c>
      <c r="S171" s="16">
        <f>O171*Q171</f>
        <v/>
      </c>
      <c r="T171" s="16">
        <f>R171+S171</f>
        <v/>
      </c>
      <c r="U171" s="16">
        <f>ROUND(T171*0.0005, 2)</f>
        <v/>
      </c>
      <c r="V171" s="16">
        <f>S171-R171</f>
        <v/>
      </c>
      <c r="W171" s="16">
        <f>V171-U171</f>
        <v/>
      </c>
      <c r="X171" s="16">
        <f>K171+W171</f>
        <v/>
      </c>
      <c r="Y171" s="16">
        <f>ROUND(0.20*R171, 2)</f>
        <v/>
      </c>
      <c r="Z171" s="18">
        <f>ROUND((W171/Y171)*100, 2)</f>
        <v/>
      </c>
      <c r="AA171" s="16">
        <f>MAX(AA170, X171)</f>
        <v/>
      </c>
      <c r="AB171" s="16">
        <f>X171-AA171</f>
        <v/>
      </c>
    </row>
    <row r="172">
      <c r="A172" s="13" t="n">
        <v>169</v>
      </c>
      <c r="B172" s="14" t="inlineStr">
        <is>
          <t>RELIANCE</t>
        </is>
      </c>
      <c r="C172" s="13" t="inlineStr">
        <is>
          <t>Q4 2022-23</t>
        </is>
      </c>
      <c r="D172" s="19" t="inlineStr">
        <is>
          <t>FUTURE SHORT</t>
        </is>
      </c>
      <c r="E172" s="15" t="inlineStr">
        <is>
          <t>QUALIFIED</t>
        </is>
      </c>
      <c r="F172" s="13" t="inlineStr">
        <is>
          <t>160 Quarters</t>
        </is>
      </c>
      <c r="G172" s="13" t="inlineStr">
        <is>
          <t>T-2 to T+4</t>
        </is>
      </c>
      <c r="H172" s="13" t="inlineStr">
        <is>
          <t>1.23%</t>
        </is>
      </c>
      <c r="I172" s="13" t="inlineStr">
        <is>
          <t>4.59%</t>
        </is>
      </c>
      <c r="J172" s="13" t="inlineStr">
        <is>
          <t>3.36%</t>
        </is>
      </c>
      <c r="K172" s="16">
        <f>X171</f>
        <v/>
      </c>
      <c r="L172" s="13" t="inlineStr">
        <is>
          <t>2023-07-19</t>
        </is>
      </c>
      <c r="M172" s="13" t="inlineStr">
        <is>
          <t>2023-07-27</t>
        </is>
      </c>
      <c r="N172" s="13" t="inlineStr">
        <is>
          <t>2023-07-21</t>
        </is>
      </c>
      <c r="O172" s="9" t="n">
        <v>250</v>
      </c>
      <c r="P172" s="17" t="n">
        <v>1232.087158203125</v>
      </c>
      <c r="Q172" s="17" t="n">
        <v>1291.324462890625</v>
      </c>
      <c r="R172" s="16">
        <f>O172*P172</f>
        <v/>
      </c>
      <c r="S172" s="16">
        <f>O172*Q172</f>
        <v/>
      </c>
      <c r="T172" s="16">
        <f>R172+S172</f>
        <v/>
      </c>
      <c r="U172" s="16">
        <f>ROUND(T172*0.0005, 2)</f>
        <v/>
      </c>
      <c r="V172" s="16">
        <f>S172-R172</f>
        <v/>
      </c>
      <c r="W172" s="16">
        <f>V172-U172</f>
        <v/>
      </c>
      <c r="X172" s="16">
        <f>K172+W172</f>
        <v/>
      </c>
      <c r="Y172" s="16">
        <f>ROUND(0.20*R172, 2)</f>
        <v/>
      </c>
      <c r="Z172" s="18">
        <f>ROUND((W172/Y172)*100, 2)</f>
        <v/>
      </c>
      <c r="AA172" s="16">
        <f>MAX(AA171, X172)</f>
        <v/>
      </c>
      <c r="AB172" s="16">
        <f>X172-AA172</f>
        <v/>
      </c>
    </row>
    <row r="173">
      <c r="A173" s="13" t="n">
        <v>170</v>
      </c>
      <c r="B173" s="14" t="inlineStr">
        <is>
          <t>RVNL</t>
        </is>
      </c>
      <c r="C173" s="13" t="inlineStr">
        <is>
          <t>Q4 2022-23</t>
        </is>
      </c>
      <c r="D173" s="19" t="inlineStr">
        <is>
          <t>FUTURE SHORT</t>
        </is>
      </c>
      <c r="E173" s="20" t="inlineStr">
        <is>
          <t>AVOID BUT MONITOR IT</t>
        </is>
      </c>
      <c r="F173" s="13" t="inlineStr">
        <is>
          <t>5 Quarters</t>
        </is>
      </c>
      <c r="G173" s="13" t="inlineStr">
        <is>
          <t>T-8 to T+1</t>
        </is>
      </c>
      <c r="H173" s="13" t="inlineStr">
        <is>
          <t>2.11%</t>
        </is>
      </c>
      <c r="I173" s="13" t="inlineStr">
        <is>
          <t>-8.24%</t>
        </is>
      </c>
      <c r="J173" s="13" t="inlineStr">
        <is>
          <t>-10.35%</t>
        </is>
      </c>
      <c r="K173" s="16">
        <f>X172</f>
        <v/>
      </c>
      <c r="L173" s="13" t="inlineStr">
        <is>
          <t>2023-01-10</t>
        </is>
      </c>
      <c r="M173" s="13" t="inlineStr">
        <is>
          <t>2023-01-23</t>
        </is>
      </c>
      <c r="N173" s="13" t="inlineStr">
        <is>
          <t>2023-01-20</t>
        </is>
      </c>
      <c r="O173" s="9" t="n">
        <v>4486</v>
      </c>
      <c r="P173" s="17" t="n">
        <v>73.29364776611328</v>
      </c>
      <c r="Q173" s="17" t="n">
        <v>67.71121215820312</v>
      </c>
      <c r="R173" s="16">
        <f>O173*P173</f>
        <v/>
      </c>
      <c r="S173" s="16">
        <f>O173*Q173</f>
        <v/>
      </c>
      <c r="T173" s="16">
        <f>R173+S173</f>
        <v/>
      </c>
      <c r="U173" s="16">
        <f>ROUND(T173*0.0005, 2)</f>
        <v/>
      </c>
      <c r="V173" s="16">
        <f>S173-R173</f>
        <v/>
      </c>
      <c r="W173" s="16">
        <f>V173-U173</f>
        <v/>
      </c>
      <c r="X173" s="16">
        <f>K173+W173</f>
        <v/>
      </c>
      <c r="Y173" s="16">
        <f>ROUND(0.20*R173, 2)</f>
        <v/>
      </c>
      <c r="Z173" s="18">
        <f>ROUND((W173/Y173)*100, 2)</f>
        <v/>
      </c>
      <c r="AA173" s="16">
        <f>MAX(AA172, X173)</f>
        <v/>
      </c>
      <c r="AB173" s="16">
        <f>X173-AA173</f>
        <v/>
      </c>
    </row>
    <row r="174">
      <c r="A174" s="13" t="n">
        <v>171</v>
      </c>
      <c r="B174" s="14" t="inlineStr">
        <is>
          <t>SAGILITY</t>
        </is>
      </c>
      <c r="C174" s="13" t="inlineStr">
        <is>
          <t>Q4 2022-23</t>
        </is>
      </c>
      <c r="D174" s="15" t="inlineStr">
        <is>
          <t>FUTURE LONG</t>
        </is>
      </c>
      <c r="E174" s="20" t="inlineStr">
        <is>
          <t>AVOID BUT MONITOR IT</t>
        </is>
      </c>
      <c r="F174" s="13" t="inlineStr">
        <is>
          <t>2 Quarters</t>
        </is>
      </c>
      <c r="G174" s="13" t="inlineStr">
        <is>
          <t>T-2 to T+1</t>
        </is>
      </c>
      <c r="H174" s="13" t="inlineStr">
        <is>
          <t>8.2%</t>
        </is>
      </c>
      <c r="I174" s="13" t="inlineStr">
        <is>
          <t>-2.52%</t>
        </is>
      </c>
      <c r="J174" s="13" t="inlineStr">
        <is>
          <t>-10.72%</t>
        </is>
      </c>
      <c r="K174" s="16">
        <f>X173</f>
        <v/>
      </c>
      <c r="L174" s="13" t="inlineStr">
        <is>
          <t>2024-11-12</t>
        </is>
      </c>
      <c r="M174" s="13" t="inlineStr">
        <is>
          <t>2024-11-13</t>
        </is>
      </c>
      <c r="N174" s="13" t="inlineStr">
        <is>
          <t>2023-01-20</t>
        </is>
      </c>
      <c r="O174" s="9" t="n">
        <v>21748</v>
      </c>
      <c r="P174" s="17" t="n">
        <v>29.29071998596192</v>
      </c>
      <c r="Q174" s="17" t="n">
        <v>28.55146026611328</v>
      </c>
      <c r="R174" s="16">
        <f>O174*P174</f>
        <v/>
      </c>
      <c r="S174" s="16">
        <f>O174*Q174</f>
        <v/>
      </c>
      <c r="T174" s="16">
        <f>R174+S174</f>
        <v/>
      </c>
      <c r="U174" s="16">
        <f>ROUND(T174*0.0005, 2)</f>
        <v/>
      </c>
      <c r="V174" s="16">
        <f>S174-R174</f>
        <v/>
      </c>
      <c r="W174" s="16">
        <f>V174-U174</f>
        <v/>
      </c>
      <c r="X174" s="16">
        <f>K174+W174</f>
        <v/>
      </c>
      <c r="Y174" s="16">
        <f>ROUND(0.20*R174, 2)</f>
        <v/>
      </c>
      <c r="Z174" s="18">
        <f>ROUND((W174/Y174)*100, 2)</f>
        <v/>
      </c>
      <c r="AA174" s="16">
        <f>MAX(AA173, X174)</f>
        <v/>
      </c>
      <c r="AB174" s="16">
        <f>X174-AA174</f>
        <v/>
      </c>
    </row>
    <row r="175">
      <c r="A175" s="13" t="n">
        <v>172</v>
      </c>
      <c r="B175" s="14" t="inlineStr">
        <is>
          <t>SAIL</t>
        </is>
      </c>
      <c r="C175" s="13" t="inlineStr">
        <is>
          <t>Q4 2022-23</t>
        </is>
      </c>
      <c r="D175" s="19" t="inlineStr">
        <is>
          <t>FUTURE SHORT</t>
        </is>
      </c>
      <c r="E175" s="20" t="inlineStr">
        <is>
          <t>AVOID BUT MONITOR IT</t>
        </is>
      </c>
      <c r="F175" s="13" t="inlineStr">
        <is>
          <t>5 Quarters</t>
        </is>
      </c>
      <c r="G175" s="13" t="inlineStr">
        <is>
          <t>T-4 to T+4</t>
        </is>
      </c>
      <c r="H175" s="13" t="inlineStr">
        <is>
          <t>4.12%</t>
        </is>
      </c>
      <c r="I175" s="13" t="inlineStr">
        <is>
          <t>-0.28%</t>
        </is>
      </c>
      <c r="J175" s="13" t="inlineStr">
        <is>
          <t>-4.4%</t>
        </is>
      </c>
      <c r="K175" s="16">
        <f>X174</f>
        <v/>
      </c>
      <c r="L175" s="13" t="inlineStr">
        <is>
          <t>2023-01-16</t>
        </is>
      </c>
      <c r="M175" s="13" t="inlineStr">
        <is>
          <t>2023-01-27</t>
        </is>
      </c>
      <c r="N175" s="13" t="inlineStr">
        <is>
          <t>2023-01-20</t>
        </is>
      </c>
      <c r="O175" s="9" t="n">
        <v>5915</v>
      </c>
      <c r="P175" s="17" t="n">
        <v>84.27850341796875</v>
      </c>
      <c r="Q175" s="17" t="n">
        <v>84.03947448730469</v>
      </c>
      <c r="R175" s="16">
        <f>O175*P175</f>
        <v/>
      </c>
      <c r="S175" s="16">
        <f>O175*Q175</f>
        <v/>
      </c>
      <c r="T175" s="16">
        <f>R175+S175</f>
        <v/>
      </c>
      <c r="U175" s="16">
        <f>ROUND(T175*0.0005, 2)</f>
        <v/>
      </c>
      <c r="V175" s="16">
        <f>S175-R175</f>
        <v/>
      </c>
      <c r="W175" s="16">
        <f>V175-U175</f>
        <v/>
      </c>
      <c r="X175" s="16">
        <f>K175+W175</f>
        <v/>
      </c>
      <c r="Y175" s="16">
        <f>ROUND(0.20*R175, 2)</f>
        <v/>
      </c>
      <c r="Z175" s="18">
        <f>ROUND((W175/Y175)*100, 2)</f>
        <v/>
      </c>
      <c r="AA175" s="16">
        <f>MAX(AA174, X175)</f>
        <v/>
      </c>
      <c r="AB175" s="16">
        <f>X175-AA175</f>
        <v/>
      </c>
    </row>
    <row r="176">
      <c r="A176" s="13" t="n">
        <v>173</v>
      </c>
      <c r="B176" s="14" t="inlineStr">
        <is>
          <t>SBICARD</t>
        </is>
      </c>
      <c r="C176" s="13" t="inlineStr">
        <is>
          <t>Q4 2022-23</t>
        </is>
      </c>
      <c r="D176" s="19" t="inlineStr">
        <is>
          <t>FUTURE SHORT</t>
        </is>
      </c>
      <c r="E176" s="20" t="inlineStr">
        <is>
          <t>AVOID BUT MONITOR IT</t>
        </is>
      </c>
      <c r="F176" s="13" t="inlineStr">
        <is>
          <t>5 Quarters</t>
        </is>
      </c>
      <c r="G176" s="13" t="inlineStr">
        <is>
          <t>T-8 to T+1</t>
        </is>
      </c>
      <c r="H176" s="13" t="inlineStr">
        <is>
          <t>4.21%</t>
        </is>
      </c>
      <c r="I176" s="13" t="inlineStr">
        <is>
          <t>1.91%</t>
        </is>
      </c>
      <c r="J176" s="13" t="inlineStr">
        <is>
          <t>-2.3%</t>
        </is>
      </c>
      <c r="K176" s="16">
        <f>X175</f>
        <v/>
      </c>
      <c r="L176" s="13" t="inlineStr">
        <is>
          <t>2023-01-10</t>
        </is>
      </c>
      <c r="M176" s="13" t="inlineStr">
        <is>
          <t>2023-01-23</t>
        </is>
      </c>
      <c r="N176" s="13" t="inlineStr">
        <is>
          <t>2023-01-20</t>
        </is>
      </c>
      <c r="O176" s="9" t="n">
        <v>1550</v>
      </c>
      <c r="P176" s="17" t="n">
        <v>768.5</v>
      </c>
      <c r="Q176" s="17" t="n">
        <v>783.5</v>
      </c>
      <c r="R176" s="16">
        <f>O176*P176</f>
        <v/>
      </c>
      <c r="S176" s="16">
        <f>O176*Q176</f>
        <v/>
      </c>
      <c r="T176" s="16">
        <f>R176+S176</f>
        <v/>
      </c>
      <c r="U176" s="16">
        <f>ROUND(T176*0.0005, 2)</f>
        <v/>
      </c>
      <c r="V176" s="16">
        <f>S176-R176</f>
        <v/>
      </c>
      <c r="W176" s="16">
        <f>V176-U176</f>
        <v/>
      </c>
      <c r="X176" s="16">
        <f>K176+W176</f>
        <v/>
      </c>
      <c r="Y176" s="16">
        <f>ROUND(0.20*R176, 2)</f>
        <v/>
      </c>
      <c r="Z176" s="18">
        <f>ROUND((W176/Y176)*100, 2)</f>
        <v/>
      </c>
      <c r="AA176" s="16">
        <f>MAX(AA175, X176)</f>
        <v/>
      </c>
      <c r="AB176" s="16">
        <f>X176-AA176</f>
        <v/>
      </c>
    </row>
    <row r="177">
      <c r="A177" s="13" t="n">
        <v>174</v>
      </c>
      <c r="B177" s="14" t="inlineStr">
        <is>
          <t>SBILIFE</t>
        </is>
      </c>
      <c r="C177" s="13" t="inlineStr">
        <is>
          <t>Q4 2022-23</t>
        </is>
      </c>
      <c r="D177" s="15" t="inlineStr">
        <is>
          <t>FUTURE LONG</t>
        </is>
      </c>
      <c r="E177" s="15" t="inlineStr">
        <is>
          <t>QUALIFIED</t>
        </is>
      </c>
      <c r="F177" s="13" t="inlineStr">
        <is>
          <t>28 Quarters</t>
        </is>
      </c>
      <c r="G177" s="13" t="inlineStr">
        <is>
          <t>T-1 to T+1</t>
        </is>
      </c>
      <c r="H177" s="13" t="inlineStr">
        <is>
          <t>0.99%</t>
        </is>
      </c>
      <c r="I177" s="13" t="inlineStr">
        <is>
          <t>-1.76%</t>
        </is>
      </c>
      <c r="J177" s="13" t="inlineStr">
        <is>
          <t>-2.75%</t>
        </is>
      </c>
      <c r="K177" s="16">
        <f>X176</f>
        <v/>
      </c>
      <c r="L177" s="13" t="inlineStr">
        <is>
          <t>2021-01-21</t>
        </is>
      </c>
      <c r="M177" s="13" t="inlineStr">
        <is>
          <t>2021-01-25</t>
        </is>
      </c>
      <c r="N177" s="13" t="inlineStr">
        <is>
          <t>2021-01-22</t>
        </is>
      </c>
      <c r="O177" s="9" t="n">
        <v>375</v>
      </c>
      <c r="P177" s="17" t="n">
        <v>867.71630859375</v>
      </c>
      <c r="Q177" s="17" t="n">
        <v>852.4524536132812</v>
      </c>
      <c r="R177" s="16">
        <f>O177*P177</f>
        <v/>
      </c>
      <c r="S177" s="16">
        <f>O177*Q177</f>
        <v/>
      </c>
      <c r="T177" s="16">
        <f>R177+S177</f>
        <v/>
      </c>
      <c r="U177" s="16">
        <f>ROUND(T177*0.0005, 2)</f>
        <v/>
      </c>
      <c r="V177" s="16">
        <f>S177-R177</f>
        <v/>
      </c>
      <c r="W177" s="16">
        <f>V177-U177</f>
        <v/>
      </c>
      <c r="X177" s="16">
        <f>K177+W177</f>
        <v/>
      </c>
      <c r="Y177" s="16">
        <f>ROUND(0.20*R177, 2)</f>
        <v/>
      </c>
      <c r="Z177" s="18">
        <f>ROUND((W177/Y177)*100, 2)</f>
        <v/>
      </c>
      <c r="AA177" s="16">
        <f>MAX(AA176, X177)</f>
        <v/>
      </c>
      <c r="AB177" s="16">
        <f>X177-AA177</f>
        <v/>
      </c>
    </row>
    <row r="178">
      <c r="A178" s="13" t="n">
        <v>175</v>
      </c>
      <c r="B178" s="14" t="inlineStr">
        <is>
          <t>SBIN</t>
        </is>
      </c>
      <c r="C178" s="13" t="inlineStr">
        <is>
          <t>Q4 2022-23</t>
        </is>
      </c>
      <c r="D178" s="15" t="inlineStr">
        <is>
          <t>FUTURE LONG</t>
        </is>
      </c>
      <c r="E178" s="15" t="inlineStr">
        <is>
          <t>QUALIFIED</t>
        </is>
      </c>
      <c r="F178" s="13" t="inlineStr">
        <is>
          <t>174 Quarters</t>
        </is>
      </c>
      <c r="G178" s="13" t="inlineStr">
        <is>
          <t>T-1 to T+1</t>
        </is>
      </c>
      <c r="H178" s="13" t="inlineStr">
        <is>
          <t>0.47%</t>
        </is>
      </c>
      <c r="I178" s="13" t="inlineStr">
        <is>
          <t>-3.83%</t>
        </is>
      </c>
      <c r="J178" s="13" t="inlineStr">
        <is>
          <t>-4.3%</t>
        </is>
      </c>
      <c r="K178" s="16">
        <f>X177</f>
        <v/>
      </c>
      <c r="L178" s="13" t="inlineStr">
        <is>
          <t>2023-08-03</t>
        </is>
      </c>
      <c r="M178" s="13" t="inlineStr">
        <is>
          <t>2023-08-07</t>
        </is>
      </c>
      <c r="N178" s="13" t="inlineStr">
        <is>
          <t>2023-08-04</t>
        </is>
      </c>
      <c r="O178" s="9" t="n">
        <v>1500</v>
      </c>
      <c r="P178" s="17" t="n">
        <v>559.2484741210938</v>
      </c>
      <c r="Q178" s="17" t="n">
        <v>537.8446044921875</v>
      </c>
      <c r="R178" s="16">
        <f>O178*P178</f>
        <v/>
      </c>
      <c r="S178" s="16">
        <f>O178*Q178</f>
        <v/>
      </c>
      <c r="T178" s="16">
        <f>R178+S178</f>
        <v/>
      </c>
      <c r="U178" s="16">
        <f>ROUND(T178*0.0005, 2)</f>
        <v/>
      </c>
      <c r="V178" s="16">
        <f>S178-R178</f>
        <v/>
      </c>
      <c r="W178" s="16">
        <f>V178-U178</f>
        <v/>
      </c>
      <c r="X178" s="16">
        <f>K178+W178</f>
        <v/>
      </c>
      <c r="Y178" s="16">
        <f>ROUND(0.20*R178, 2)</f>
        <v/>
      </c>
      <c r="Z178" s="18">
        <f>ROUND((W178/Y178)*100, 2)</f>
        <v/>
      </c>
      <c r="AA178" s="16">
        <f>MAX(AA177, X178)</f>
        <v/>
      </c>
      <c r="AB178" s="16">
        <f>X178-AA178</f>
        <v/>
      </c>
    </row>
    <row r="179">
      <c r="A179" s="13" t="n">
        <v>176</v>
      </c>
      <c r="B179" s="14" t="inlineStr">
        <is>
          <t>SHREECEM</t>
        </is>
      </c>
      <c r="C179" s="13" t="inlineStr">
        <is>
          <t>Q4 2022-23</t>
        </is>
      </c>
      <c r="D179" s="15" t="inlineStr">
        <is>
          <t>FUTURE LONG</t>
        </is>
      </c>
      <c r="E179" s="20" t="inlineStr">
        <is>
          <t>AVOID BUT MONITOR IT</t>
        </is>
      </c>
      <c r="F179" s="13" t="inlineStr">
        <is>
          <t>5 Quarters</t>
        </is>
      </c>
      <c r="G179" s="13" t="inlineStr">
        <is>
          <t>T-8 to T+1</t>
        </is>
      </c>
      <c r="H179" s="13" t="inlineStr">
        <is>
          <t>3.06%</t>
        </is>
      </c>
      <c r="I179" s="13" t="inlineStr">
        <is>
          <t>-2.22%</t>
        </is>
      </c>
      <c r="J179" s="13" t="inlineStr">
        <is>
          <t>-5.28%</t>
        </is>
      </c>
      <c r="K179" s="16">
        <f>X178</f>
        <v/>
      </c>
      <c r="L179" s="13" t="inlineStr">
        <is>
          <t>2023-01-10</t>
        </is>
      </c>
      <c r="M179" s="13" t="inlineStr">
        <is>
          <t>2023-01-23</t>
        </is>
      </c>
      <c r="N179" s="13" t="inlineStr">
        <is>
          <t>2023-01-20</t>
        </is>
      </c>
      <c r="O179" s="9" t="n">
        <v>100</v>
      </c>
      <c r="P179" s="17" t="n">
        <v>23164.291015625</v>
      </c>
      <c r="Q179" s="17" t="n">
        <v>22650.6015625</v>
      </c>
      <c r="R179" s="16">
        <f>O179*P179</f>
        <v/>
      </c>
      <c r="S179" s="16">
        <f>O179*Q179</f>
        <v/>
      </c>
      <c r="T179" s="16">
        <f>R179+S179</f>
        <v/>
      </c>
      <c r="U179" s="16">
        <f>ROUND(T179*0.0005, 2)</f>
        <v/>
      </c>
      <c r="V179" s="16">
        <f>S179-R179</f>
        <v/>
      </c>
      <c r="W179" s="16">
        <f>V179-U179</f>
        <v/>
      </c>
      <c r="X179" s="16">
        <f>K179+W179</f>
        <v/>
      </c>
      <c r="Y179" s="16">
        <f>ROUND(0.20*R179, 2)</f>
        <v/>
      </c>
      <c r="Z179" s="18">
        <f>ROUND((W179/Y179)*100, 2)</f>
        <v/>
      </c>
      <c r="AA179" s="16">
        <f>MAX(AA178, X179)</f>
        <v/>
      </c>
      <c r="AB179" s="16">
        <f>X179-AA179</f>
        <v/>
      </c>
    </row>
    <row r="180">
      <c r="A180" s="13" t="n">
        <v>177</v>
      </c>
      <c r="B180" s="14" t="inlineStr">
        <is>
          <t>SHRIRAMFIN</t>
        </is>
      </c>
      <c r="C180" s="13" t="inlineStr">
        <is>
          <t>Q4 2022-23</t>
        </is>
      </c>
      <c r="D180" s="15" t="inlineStr">
        <is>
          <t>FUTURE LONG</t>
        </is>
      </c>
      <c r="E180" s="15" t="inlineStr">
        <is>
          <t>QUALIFIED</t>
        </is>
      </c>
      <c r="F180" s="13" t="inlineStr">
        <is>
          <t>146 Quarters</t>
        </is>
      </c>
      <c r="G180" s="13" t="inlineStr">
        <is>
          <t>T-1 to T+4</t>
        </is>
      </c>
      <c r="H180" s="13" t="inlineStr">
        <is>
          <t>1.97%</t>
        </is>
      </c>
      <c r="I180" s="13" t="inlineStr">
        <is>
          <t>0.38%</t>
        </is>
      </c>
      <c r="J180" s="13" t="inlineStr">
        <is>
          <t>-1.59%</t>
        </is>
      </c>
      <c r="K180" s="16">
        <f>X179</f>
        <v/>
      </c>
      <c r="L180" s="13" t="inlineStr">
        <is>
          <t>2023-07-27</t>
        </is>
      </c>
      <c r="M180" s="13" t="inlineStr">
        <is>
          <t>2023-08-03</t>
        </is>
      </c>
      <c r="N180" s="13" t="inlineStr">
        <is>
          <t>2023-07-27</t>
        </is>
      </c>
      <c r="O180" s="9" t="n">
        <v>957</v>
      </c>
      <c r="P180" s="17" t="n">
        <v>345.5811462402344</v>
      </c>
      <c r="Q180" s="17" t="n">
        <v>346.8783264160156</v>
      </c>
      <c r="R180" s="16">
        <f>O180*P180</f>
        <v/>
      </c>
      <c r="S180" s="16">
        <f>O180*Q180</f>
        <v/>
      </c>
      <c r="T180" s="16">
        <f>R180+S180</f>
        <v/>
      </c>
      <c r="U180" s="16">
        <f>ROUND(T180*0.0005, 2)</f>
        <v/>
      </c>
      <c r="V180" s="16">
        <f>S180-R180</f>
        <v/>
      </c>
      <c r="W180" s="16">
        <f>V180-U180</f>
        <v/>
      </c>
      <c r="X180" s="16">
        <f>K180+W180</f>
        <v/>
      </c>
      <c r="Y180" s="16">
        <f>ROUND(0.20*R180, 2)</f>
        <v/>
      </c>
      <c r="Z180" s="18">
        <f>ROUND((W180/Y180)*100, 2)</f>
        <v/>
      </c>
      <c r="AA180" s="16">
        <f>MAX(AA179, X180)</f>
        <v/>
      </c>
      <c r="AB180" s="16">
        <f>X180-AA180</f>
        <v/>
      </c>
    </row>
    <row r="181">
      <c r="A181" s="13" t="n">
        <v>178</v>
      </c>
      <c r="B181" s="14" t="inlineStr">
        <is>
          <t>SIEMENS</t>
        </is>
      </c>
      <c r="C181" s="13" t="inlineStr">
        <is>
          <t>Q4 2022-23</t>
        </is>
      </c>
      <c r="D181" s="15" t="inlineStr">
        <is>
          <t>FUTURE LONG</t>
        </is>
      </c>
      <c r="E181" s="20" t="inlineStr">
        <is>
          <t>AVOID BUT MONITOR IT</t>
        </is>
      </c>
      <c r="F181" s="13" t="inlineStr">
        <is>
          <t>5 Quarters</t>
        </is>
      </c>
      <c r="G181" s="13" t="inlineStr">
        <is>
          <t>T-8 to T+1</t>
        </is>
      </c>
      <c r="H181" s="13" t="inlineStr">
        <is>
          <t>2.12%</t>
        </is>
      </c>
      <c r="I181" s="13" t="inlineStr">
        <is>
          <t>6.56%</t>
        </is>
      </c>
      <c r="J181" s="13" t="inlineStr">
        <is>
          <t>4.44%</t>
        </is>
      </c>
      <c r="K181" s="16">
        <f>X180</f>
        <v/>
      </c>
      <c r="L181" s="13" t="inlineStr">
        <is>
          <t>2023-01-10</t>
        </is>
      </c>
      <c r="M181" s="13" t="inlineStr">
        <is>
          <t>2023-01-23</t>
        </is>
      </c>
      <c r="N181" s="13" t="inlineStr">
        <is>
          <t>2023-01-20</t>
        </is>
      </c>
      <c r="O181" s="9" t="n">
        <v>273</v>
      </c>
      <c r="P181" s="17" t="n">
        <v>1654.325439453125</v>
      </c>
      <c r="Q181" s="17" t="n">
        <v>1762.888427734375</v>
      </c>
      <c r="R181" s="16">
        <f>O181*P181</f>
        <v/>
      </c>
      <c r="S181" s="16">
        <f>O181*Q181</f>
        <v/>
      </c>
      <c r="T181" s="16">
        <f>R181+S181</f>
        <v/>
      </c>
      <c r="U181" s="16">
        <f>ROUND(T181*0.0005, 2)</f>
        <v/>
      </c>
      <c r="V181" s="16">
        <f>S181-R181</f>
        <v/>
      </c>
      <c r="W181" s="16">
        <f>V181-U181</f>
        <v/>
      </c>
      <c r="X181" s="16">
        <f>K181+W181</f>
        <v/>
      </c>
      <c r="Y181" s="16">
        <f>ROUND(0.20*R181, 2)</f>
        <v/>
      </c>
      <c r="Z181" s="18">
        <f>ROUND((W181/Y181)*100, 2)</f>
        <v/>
      </c>
      <c r="AA181" s="16">
        <f>MAX(AA180, X181)</f>
        <v/>
      </c>
      <c r="AB181" s="16">
        <f>X181-AA181</f>
        <v/>
      </c>
    </row>
    <row r="182">
      <c r="A182" s="13" t="n">
        <v>179</v>
      </c>
      <c r="B182" s="14" t="inlineStr">
        <is>
          <t>SOLARINDS</t>
        </is>
      </c>
      <c r="C182" s="13" t="inlineStr">
        <is>
          <t>Q4 2022-23</t>
        </is>
      </c>
      <c r="D182" s="15" t="inlineStr">
        <is>
          <t>FUTURE LONG</t>
        </is>
      </c>
      <c r="E182" s="20" t="inlineStr">
        <is>
          <t>AVOID BUT MONITOR IT</t>
        </is>
      </c>
      <c r="F182" s="13" t="inlineStr">
        <is>
          <t>5 Quarters</t>
        </is>
      </c>
      <c r="G182" s="13" t="inlineStr">
        <is>
          <t>T-7 to T+4</t>
        </is>
      </c>
      <c r="H182" s="13" t="inlineStr">
        <is>
          <t>2.39%</t>
        </is>
      </c>
      <c r="I182" s="13" t="inlineStr">
        <is>
          <t>-5.29%</t>
        </is>
      </c>
      <c r="J182" s="13" t="inlineStr">
        <is>
          <t>-7.68%</t>
        </is>
      </c>
      <c r="K182" s="16">
        <f>X181</f>
        <v/>
      </c>
      <c r="L182" s="13" t="inlineStr">
        <is>
          <t>2023-01-11</t>
        </is>
      </c>
      <c r="M182" s="13" t="inlineStr">
        <is>
          <t>2023-01-27</t>
        </is>
      </c>
      <c r="N182" s="13" t="inlineStr">
        <is>
          <t>2023-01-20</t>
        </is>
      </c>
      <c r="O182" s="9" t="n">
        <v>100</v>
      </c>
      <c r="P182" s="17" t="n">
        <v>4316.29541015625</v>
      </c>
      <c r="Q182" s="17" t="n">
        <v>4087.85986328125</v>
      </c>
      <c r="R182" s="16">
        <f>O182*P182</f>
        <v/>
      </c>
      <c r="S182" s="16">
        <f>O182*Q182</f>
        <v/>
      </c>
      <c r="T182" s="16">
        <f>R182+S182</f>
        <v/>
      </c>
      <c r="U182" s="16">
        <f>ROUND(T182*0.0005, 2)</f>
        <v/>
      </c>
      <c r="V182" s="16">
        <f>S182-R182</f>
        <v/>
      </c>
      <c r="W182" s="16">
        <f>V182-U182</f>
        <v/>
      </c>
      <c r="X182" s="16">
        <f>K182+W182</f>
        <v/>
      </c>
      <c r="Y182" s="16">
        <f>ROUND(0.20*R182, 2)</f>
        <v/>
      </c>
      <c r="Z182" s="18">
        <f>ROUND((W182/Y182)*100, 2)</f>
        <v/>
      </c>
      <c r="AA182" s="16">
        <f>MAX(AA181, X182)</f>
        <v/>
      </c>
      <c r="AB182" s="16">
        <f>X182-AA182</f>
        <v/>
      </c>
    </row>
    <row r="183">
      <c r="A183" s="13" t="n">
        <v>180</v>
      </c>
      <c r="B183" s="14" t="inlineStr">
        <is>
          <t>SONACOMS</t>
        </is>
      </c>
      <c r="C183" s="13" t="inlineStr">
        <is>
          <t>Q4 2022-23</t>
        </is>
      </c>
      <c r="D183" s="19" t="inlineStr">
        <is>
          <t>FUTURE SHORT</t>
        </is>
      </c>
      <c r="E183" s="20" t="inlineStr">
        <is>
          <t>AVOID BUT MONITOR IT</t>
        </is>
      </c>
      <c r="F183" s="13" t="inlineStr">
        <is>
          <t>5 Quarters</t>
        </is>
      </c>
      <c r="G183" s="13" t="inlineStr">
        <is>
          <t>T-5 to T+4</t>
        </is>
      </c>
      <c r="H183" s="13" t="inlineStr">
        <is>
          <t>4.84%</t>
        </is>
      </c>
      <c r="I183" s="13" t="inlineStr">
        <is>
          <t>-6.1%</t>
        </is>
      </c>
      <c r="J183" s="13" t="inlineStr">
        <is>
          <t>-10.94%</t>
        </is>
      </c>
      <c r="K183" s="16">
        <f>X182</f>
        <v/>
      </c>
      <c r="L183" s="13" t="inlineStr">
        <is>
          <t>2023-01-13</t>
        </is>
      </c>
      <c r="M183" s="13" t="inlineStr">
        <is>
          <t>2023-01-27</t>
        </is>
      </c>
      <c r="N183" s="13" t="inlineStr">
        <is>
          <t>2023-01-20</t>
        </is>
      </c>
      <c r="O183" s="9" t="n">
        <v>1309</v>
      </c>
      <c r="P183" s="17" t="n">
        <v>441.1918029785156</v>
      </c>
      <c r="Q183" s="17" t="n">
        <v>415.8399353027344</v>
      </c>
      <c r="R183" s="16">
        <f>O183*P183</f>
        <v/>
      </c>
      <c r="S183" s="16">
        <f>O183*Q183</f>
        <v/>
      </c>
      <c r="T183" s="16">
        <f>R183+S183</f>
        <v/>
      </c>
      <c r="U183" s="16">
        <f>ROUND(T183*0.0005, 2)</f>
        <v/>
      </c>
      <c r="V183" s="16">
        <f>S183-R183</f>
        <v/>
      </c>
      <c r="W183" s="16">
        <f>V183-U183</f>
        <v/>
      </c>
      <c r="X183" s="16">
        <f>K183+W183</f>
        <v/>
      </c>
      <c r="Y183" s="16">
        <f>ROUND(0.20*R183, 2)</f>
        <v/>
      </c>
      <c r="Z183" s="18">
        <f>ROUND((W183/Y183)*100, 2)</f>
        <v/>
      </c>
      <c r="AA183" s="16">
        <f>MAX(AA182, X183)</f>
        <v/>
      </c>
      <c r="AB183" s="16">
        <f>X183-AA183</f>
        <v/>
      </c>
    </row>
    <row r="184">
      <c r="A184" s="13" t="n">
        <v>181</v>
      </c>
      <c r="B184" s="14" t="inlineStr">
        <is>
          <t>SRF</t>
        </is>
      </c>
      <c r="C184" s="13" t="inlineStr">
        <is>
          <t>Q4 2022-23</t>
        </is>
      </c>
      <c r="D184" s="19" t="inlineStr">
        <is>
          <t>FUTURE SHORT</t>
        </is>
      </c>
      <c r="E184" s="20" t="inlineStr">
        <is>
          <t>AVOID BUT MONITOR IT</t>
        </is>
      </c>
      <c r="F184" s="13" t="inlineStr">
        <is>
          <t>5 Quarters</t>
        </is>
      </c>
      <c r="G184" s="13" t="inlineStr">
        <is>
          <t>T-3 to T+4</t>
        </is>
      </c>
      <c r="H184" s="13" t="inlineStr">
        <is>
          <t>0.02%</t>
        </is>
      </c>
      <c r="I184" s="13" t="inlineStr">
        <is>
          <t>2.62%</t>
        </is>
      </c>
      <c r="J184" s="13" t="inlineStr">
        <is>
          <t>2.6%</t>
        </is>
      </c>
      <c r="K184" s="16">
        <f>X183</f>
        <v/>
      </c>
      <c r="L184" s="13" t="inlineStr">
        <is>
          <t>2023-01-17</t>
        </is>
      </c>
      <c r="M184" s="13" t="inlineStr">
        <is>
          <t>2023-01-27</t>
        </is>
      </c>
      <c r="N184" s="13" t="inlineStr">
        <is>
          <t>2023-01-20</t>
        </is>
      </c>
      <c r="O184" s="9" t="n">
        <v>383</v>
      </c>
      <c r="P184" s="17" t="n">
        <v>2104.524658203125</v>
      </c>
      <c r="Q184" s="17" t="n">
        <v>2161.159423828125</v>
      </c>
      <c r="R184" s="16">
        <f>O184*P184</f>
        <v/>
      </c>
      <c r="S184" s="16">
        <f>O184*Q184</f>
        <v/>
      </c>
      <c r="T184" s="16">
        <f>R184+S184</f>
        <v/>
      </c>
      <c r="U184" s="16">
        <f>ROUND(T184*0.0005, 2)</f>
        <v/>
      </c>
      <c r="V184" s="16">
        <f>S184-R184</f>
        <v/>
      </c>
      <c r="W184" s="16">
        <f>V184-U184</f>
        <v/>
      </c>
      <c r="X184" s="16">
        <f>K184+W184</f>
        <v/>
      </c>
      <c r="Y184" s="16">
        <f>ROUND(0.20*R184, 2)</f>
        <v/>
      </c>
      <c r="Z184" s="18">
        <f>ROUND((W184/Y184)*100, 2)</f>
        <v/>
      </c>
      <c r="AA184" s="16">
        <f>MAX(AA183, X184)</f>
        <v/>
      </c>
      <c r="AB184" s="16">
        <f>X184-AA184</f>
        <v/>
      </c>
    </row>
    <row r="185">
      <c r="A185" s="13" t="n">
        <v>182</v>
      </c>
      <c r="B185" s="14" t="inlineStr">
        <is>
          <t>SUNPHARMA</t>
        </is>
      </c>
      <c r="C185" s="13" t="inlineStr">
        <is>
          <t>Q4 2022-23</t>
        </is>
      </c>
      <c r="D185" s="15" t="inlineStr">
        <is>
          <t>FUTURE LONG</t>
        </is>
      </c>
      <c r="E185" s="15" t="inlineStr">
        <is>
          <t>QUALIFIED</t>
        </is>
      </c>
      <c r="F185" s="13" t="inlineStr">
        <is>
          <t>188 Quarters</t>
        </is>
      </c>
      <c r="G185" s="13" t="inlineStr">
        <is>
          <t>T-7 to T+4</t>
        </is>
      </c>
      <c r="H185" s="13" t="inlineStr">
        <is>
          <t>0.56%</t>
        </is>
      </c>
      <c r="I185" s="13" t="inlineStr">
        <is>
          <t>4.83%</t>
        </is>
      </c>
      <c r="J185" s="13" t="inlineStr">
        <is>
          <t>4.27%</t>
        </is>
      </c>
      <c r="K185" s="16">
        <f>X184</f>
        <v/>
      </c>
      <c r="L185" s="13" t="inlineStr">
        <is>
          <t>2023-10-23</t>
        </is>
      </c>
      <c r="M185" s="13" t="inlineStr">
        <is>
          <t>2023-11-08</t>
        </is>
      </c>
      <c r="N185" s="13" t="inlineStr">
        <is>
          <t>2023-11-01</t>
        </is>
      </c>
      <c r="O185" s="9" t="n">
        <v>350</v>
      </c>
      <c r="P185" s="17" t="n">
        <v>1092.289916992188</v>
      </c>
      <c r="Q185" s="17" t="n">
        <v>1145.08203125</v>
      </c>
      <c r="R185" s="16">
        <f>O185*P185</f>
        <v/>
      </c>
      <c r="S185" s="16">
        <f>O185*Q185</f>
        <v/>
      </c>
      <c r="T185" s="16">
        <f>R185+S185</f>
        <v/>
      </c>
      <c r="U185" s="16">
        <f>ROUND(T185*0.0005, 2)</f>
        <v/>
      </c>
      <c r="V185" s="16">
        <f>S185-R185</f>
        <v/>
      </c>
      <c r="W185" s="16">
        <f>V185-U185</f>
        <v/>
      </c>
      <c r="X185" s="16">
        <f>K185+W185</f>
        <v/>
      </c>
      <c r="Y185" s="16">
        <f>ROUND(0.20*R185, 2)</f>
        <v/>
      </c>
      <c r="Z185" s="18">
        <f>ROUND((W185/Y185)*100, 2)</f>
        <v/>
      </c>
      <c r="AA185" s="16">
        <f>MAX(AA184, X185)</f>
        <v/>
      </c>
      <c r="AB185" s="16">
        <f>X185-AA185</f>
        <v/>
      </c>
    </row>
    <row r="186">
      <c r="A186" s="13" t="n">
        <v>183</v>
      </c>
      <c r="B186" s="14" t="inlineStr">
        <is>
          <t>SUPREMEIND</t>
        </is>
      </c>
      <c r="C186" s="13" t="inlineStr">
        <is>
          <t>Q4 2022-23</t>
        </is>
      </c>
      <c r="D186" s="19" t="inlineStr">
        <is>
          <t>FUTURE SHORT</t>
        </is>
      </c>
      <c r="E186" s="20" t="inlineStr">
        <is>
          <t>AVOID BUT MONITOR IT</t>
        </is>
      </c>
      <c r="F186" s="13" t="inlineStr">
        <is>
          <t>5 Quarters</t>
        </is>
      </c>
      <c r="G186" s="13" t="inlineStr">
        <is>
          <t>T-7 to T+1</t>
        </is>
      </c>
      <c r="H186" s="13" t="inlineStr">
        <is>
          <t>3.31%</t>
        </is>
      </c>
      <c r="I186" s="13" t="inlineStr">
        <is>
          <t>2.57%</t>
        </is>
      </c>
      <c r="J186" s="13" t="inlineStr">
        <is>
          <t>-0.74%</t>
        </is>
      </c>
      <c r="K186" s="16">
        <f>X185</f>
        <v/>
      </c>
      <c r="L186" s="13" t="inlineStr">
        <is>
          <t>2023-01-11</t>
        </is>
      </c>
      <c r="M186" s="13" t="inlineStr">
        <is>
          <t>2023-01-23</t>
        </is>
      </c>
      <c r="N186" s="13" t="inlineStr">
        <is>
          <t>2023-01-20</t>
        </is>
      </c>
      <c r="O186" s="9" t="n">
        <v>289</v>
      </c>
      <c r="P186" s="17" t="n">
        <v>2282.70849609375</v>
      </c>
      <c r="Q186" s="17" t="n">
        <v>2342.847900390625</v>
      </c>
      <c r="R186" s="16">
        <f>O186*P186</f>
        <v/>
      </c>
      <c r="S186" s="16">
        <f>O186*Q186</f>
        <v/>
      </c>
      <c r="T186" s="16">
        <f>R186+S186</f>
        <v/>
      </c>
      <c r="U186" s="16">
        <f>ROUND(T186*0.0005, 2)</f>
        <v/>
      </c>
      <c r="V186" s="16">
        <f>S186-R186</f>
        <v/>
      </c>
      <c r="W186" s="16">
        <f>V186-U186</f>
        <v/>
      </c>
      <c r="X186" s="16">
        <f>K186+W186</f>
        <v/>
      </c>
      <c r="Y186" s="16">
        <f>ROUND(0.20*R186, 2)</f>
        <v/>
      </c>
      <c r="Z186" s="18">
        <f>ROUND((W186/Y186)*100, 2)</f>
        <v/>
      </c>
      <c r="AA186" s="16">
        <f>MAX(AA185, X186)</f>
        <v/>
      </c>
      <c r="AB186" s="16">
        <f>X186-AA186</f>
        <v/>
      </c>
    </row>
    <row r="187">
      <c r="A187" s="13" t="n">
        <v>184</v>
      </c>
      <c r="B187" s="14" t="inlineStr">
        <is>
          <t>SUZLON</t>
        </is>
      </c>
      <c r="C187" s="13" t="inlineStr">
        <is>
          <t>Q4 2022-23</t>
        </is>
      </c>
      <c r="D187" s="15" t="inlineStr">
        <is>
          <t>FUTURE LONG</t>
        </is>
      </c>
      <c r="E187" s="20" t="inlineStr">
        <is>
          <t>AVOID BUT MONITOR IT</t>
        </is>
      </c>
      <c r="F187" s="13" t="inlineStr">
        <is>
          <t>5 Quarters</t>
        </is>
      </c>
      <c r="G187" s="13" t="inlineStr">
        <is>
          <t>T-7 to T+4</t>
        </is>
      </c>
      <c r="H187" s="13" t="inlineStr">
        <is>
          <t>6.65%</t>
        </is>
      </c>
      <c r="I187" s="13" t="inlineStr">
        <is>
          <t>-9.9%</t>
        </is>
      </c>
      <c r="J187" s="13" t="inlineStr">
        <is>
          <t>-16.55%</t>
        </is>
      </c>
      <c r="K187" s="16">
        <f>X186</f>
        <v/>
      </c>
      <c r="L187" s="13" t="inlineStr">
        <is>
          <t>2023-01-11</t>
        </is>
      </c>
      <c r="M187" s="13" t="inlineStr">
        <is>
          <t>2023-01-27</t>
        </is>
      </c>
      <c r="N187" s="13" t="inlineStr">
        <is>
          <t>2023-01-20</t>
        </is>
      </c>
      <c r="O187" s="9" t="n">
        <v>21097</v>
      </c>
      <c r="P187" s="17" t="n">
        <v>10.10000038146973</v>
      </c>
      <c r="Q187" s="17" t="n">
        <v>9.100000381469728</v>
      </c>
      <c r="R187" s="16">
        <f>O187*P187</f>
        <v/>
      </c>
      <c r="S187" s="16">
        <f>O187*Q187</f>
        <v/>
      </c>
      <c r="T187" s="16">
        <f>R187+S187</f>
        <v/>
      </c>
      <c r="U187" s="16">
        <f>ROUND(T187*0.0005, 2)</f>
        <v/>
      </c>
      <c r="V187" s="16">
        <f>S187-R187</f>
        <v/>
      </c>
      <c r="W187" s="16">
        <f>V187-U187</f>
        <v/>
      </c>
      <c r="X187" s="16">
        <f>K187+W187</f>
        <v/>
      </c>
      <c r="Y187" s="16">
        <f>ROUND(0.20*R187, 2)</f>
        <v/>
      </c>
      <c r="Z187" s="18">
        <f>ROUND((W187/Y187)*100, 2)</f>
        <v/>
      </c>
      <c r="AA187" s="16">
        <f>MAX(AA186, X187)</f>
        <v/>
      </c>
      <c r="AB187" s="16">
        <f>X187-AA187</f>
        <v/>
      </c>
    </row>
    <row r="188">
      <c r="A188" s="13" t="n">
        <v>185</v>
      </c>
      <c r="B188" s="14" t="inlineStr">
        <is>
          <t>SWIGGY</t>
        </is>
      </c>
      <c r="C188" s="13" t="inlineStr">
        <is>
          <t>Q4 2022-23</t>
        </is>
      </c>
      <c r="D188" s="15" t="inlineStr">
        <is>
          <t>FUTURE LONG</t>
        </is>
      </c>
      <c r="E188" s="20" t="inlineStr">
        <is>
          <t>AVOID BUT MONITOR IT</t>
        </is>
      </c>
      <c r="F188" s="13" t="inlineStr">
        <is>
          <t>2 Quarters</t>
        </is>
      </c>
      <c r="G188" s="13" t="inlineStr">
        <is>
          <t>T-2 to T+1</t>
        </is>
      </c>
      <c r="H188" s="13" t="inlineStr">
        <is>
          <t>-2.91%</t>
        </is>
      </c>
      <c r="I188" s="13" t="inlineStr">
        <is>
          <t>-5.55%</t>
        </is>
      </c>
      <c r="J188" s="13" t="inlineStr">
        <is>
          <t>-2.64%</t>
        </is>
      </c>
      <c r="K188" s="16">
        <f>X187</f>
        <v/>
      </c>
      <c r="L188" s="13" t="inlineStr">
        <is>
          <t>2024-11-13</t>
        </is>
      </c>
      <c r="M188" s="13" t="inlineStr">
        <is>
          <t>2024-11-14</t>
        </is>
      </c>
      <c r="N188" s="13" t="inlineStr">
        <is>
          <t>2023-01-20</t>
        </is>
      </c>
      <c r="O188" s="9" t="n">
        <v>3379</v>
      </c>
      <c r="P188" s="17" t="n">
        <v>456</v>
      </c>
      <c r="Q188" s="17" t="n">
        <v>430.7000122070313</v>
      </c>
      <c r="R188" s="16">
        <f>O188*P188</f>
        <v/>
      </c>
      <c r="S188" s="16">
        <f>O188*Q188</f>
        <v/>
      </c>
      <c r="T188" s="16">
        <f>R188+S188</f>
        <v/>
      </c>
      <c r="U188" s="16">
        <f>ROUND(T188*0.0005, 2)</f>
        <v/>
      </c>
      <c r="V188" s="16">
        <f>S188-R188</f>
        <v/>
      </c>
      <c r="W188" s="16">
        <f>V188-U188</f>
        <v/>
      </c>
      <c r="X188" s="16">
        <f>K188+W188</f>
        <v/>
      </c>
      <c r="Y188" s="16">
        <f>ROUND(0.20*R188, 2)</f>
        <v/>
      </c>
      <c r="Z188" s="18">
        <f>ROUND((W188/Y188)*100, 2)</f>
        <v/>
      </c>
      <c r="AA188" s="16">
        <f>MAX(AA187, X188)</f>
        <v/>
      </c>
      <c r="AB188" s="16">
        <f>X188-AA188</f>
        <v/>
      </c>
    </row>
    <row r="189">
      <c r="A189" s="13" t="n">
        <v>186</v>
      </c>
      <c r="B189" s="14" t="inlineStr">
        <is>
          <t>TATACONSUM</t>
        </is>
      </c>
      <c r="C189" s="13" t="inlineStr">
        <is>
          <t>Q4 2022-23</t>
        </is>
      </c>
      <c r="D189" s="19" t="inlineStr">
        <is>
          <t>FUTURE SHORT</t>
        </is>
      </c>
      <c r="E189" s="15" t="inlineStr">
        <is>
          <t>QUALIFIED</t>
        </is>
      </c>
      <c r="F189" s="13" t="inlineStr">
        <is>
          <t>189 Quarters</t>
        </is>
      </c>
      <c r="G189" s="13" t="inlineStr">
        <is>
          <t>T-3 to T+4</t>
        </is>
      </c>
      <c r="H189" s="13" t="inlineStr">
        <is>
          <t>-0.15%</t>
        </is>
      </c>
      <c r="I189" s="13" t="inlineStr">
        <is>
          <t>3.82%</t>
        </is>
      </c>
      <c r="J189" s="13" t="inlineStr">
        <is>
          <t>3.97%</t>
        </is>
      </c>
      <c r="K189" s="16">
        <f>X188</f>
        <v/>
      </c>
      <c r="L189" s="13" t="inlineStr">
        <is>
          <t>2023-07-25</t>
        </is>
      </c>
      <c r="M189" s="13" t="inlineStr">
        <is>
          <t>2023-08-03</t>
        </is>
      </c>
      <c r="N189" s="13" t="inlineStr">
        <is>
          <t>2023-07-27</t>
        </is>
      </c>
      <c r="O189" s="9" t="n">
        <v>450</v>
      </c>
      <c r="P189" s="17" t="n">
        <v>816.6656494140625</v>
      </c>
      <c r="Q189" s="17" t="n">
        <v>849.0722045898438</v>
      </c>
      <c r="R189" s="16">
        <f>O189*P189</f>
        <v/>
      </c>
      <c r="S189" s="16">
        <f>O189*Q189</f>
        <v/>
      </c>
      <c r="T189" s="16">
        <f>R189+S189</f>
        <v/>
      </c>
      <c r="U189" s="16">
        <f>ROUND(T189*0.0005, 2)</f>
        <v/>
      </c>
      <c r="V189" s="16">
        <f>S189-R189</f>
        <v/>
      </c>
      <c r="W189" s="16">
        <f>V189-U189</f>
        <v/>
      </c>
      <c r="X189" s="16">
        <f>K189+W189</f>
        <v/>
      </c>
      <c r="Y189" s="16">
        <f>ROUND(0.20*R189, 2)</f>
        <v/>
      </c>
      <c r="Z189" s="18">
        <f>ROUND((W189/Y189)*100, 2)</f>
        <v/>
      </c>
      <c r="AA189" s="16">
        <f>MAX(AA188, X189)</f>
        <v/>
      </c>
      <c r="AB189" s="16">
        <f>X189-AA189</f>
        <v/>
      </c>
    </row>
    <row r="190">
      <c r="A190" s="13" t="n">
        <v>187</v>
      </c>
      <c r="B190" s="14" t="inlineStr">
        <is>
          <t>TATAELXSI</t>
        </is>
      </c>
      <c r="C190" s="13" t="inlineStr">
        <is>
          <t>Q4 2022-23</t>
        </is>
      </c>
      <c r="D190" s="19" t="inlineStr">
        <is>
          <t>FUTURE SHORT</t>
        </is>
      </c>
      <c r="E190" s="20" t="inlineStr">
        <is>
          <t>AVOID BUT MONITOR IT</t>
        </is>
      </c>
      <c r="F190" s="13" t="inlineStr">
        <is>
          <t>5 Quarters</t>
        </is>
      </c>
      <c r="G190" s="13" t="inlineStr">
        <is>
          <t>T-7 to T+4</t>
        </is>
      </c>
      <c r="H190" s="13" t="inlineStr">
        <is>
          <t>7.5%</t>
        </is>
      </c>
      <c r="I190" s="13" t="inlineStr">
        <is>
          <t>-7.2%</t>
        </is>
      </c>
      <c r="J190" s="13" t="inlineStr">
        <is>
          <t>-14.7%</t>
        </is>
      </c>
      <c r="K190" s="16">
        <f>X189</f>
        <v/>
      </c>
      <c r="L190" s="13" t="inlineStr">
        <is>
          <t>2023-01-11</t>
        </is>
      </c>
      <c r="M190" s="13" t="inlineStr">
        <is>
          <t>2023-01-27</t>
        </is>
      </c>
      <c r="N190" s="13" t="inlineStr">
        <is>
          <t>2023-01-20</t>
        </is>
      </c>
      <c r="O190" s="9" t="n">
        <v>273</v>
      </c>
      <c r="P190" s="17" t="n">
        <v>6361.3427734375</v>
      </c>
      <c r="Q190" s="17" t="n">
        <v>5934.14111328125</v>
      </c>
      <c r="R190" s="16">
        <f>O190*P190</f>
        <v/>
      </c>
      <c r="S190" s="16">
        <f>O190*Q190</f>
        <v/>
      </c>
      <c r="T190" s="16">
        <f>R190+S190</f>
        <v/>
      </c>
      <c r="U190" s="16">
        <f>ROUND(T190*0.0005, 2)</f>
        <v/>
      </c>
      <c r="V190" s="16">
        <f>S190-R190</f>
        <v/>
      </c>
      <c r="W190" s="16">
        <f>V190-U190</f>
        <v/>
      </c>
      <c r="X190" s="16">
        <f>K190+W190</f>
        <v/>
      </c>
      <c r="Y190" s="16">
        <f>ROUND(0.20*R190, 2)</f>
        <v/>
      </c>
      <c r="Z190" s="18">
        <f>ROUND((W190/Y190)*100, 2)</f>
        <v/>
      </c>
      <c r="AA190" s="16">
        <f>MAX(AA189, X190)</f>
        <v/>
      </c>
      <c r="AB190" s="16">
        <f>X190-AA190</f>
        <v/>
      </c>
    </row>
    <row r="191">
      <c r="A191" s="13" t="n">
        <v>188</v>
      </c>
      <c r="B191" s="14" t="inlineStr">
        <is>
          <t>TATAMOTORS</t>
        </is>
      </c>
      <c r="C191" s="13" t="inlineStr">
        <is>
          <t>Q4 2022-23</t>
        </is>
      </c>
      <c r="D191" s="15" t="inlineStr">
        <is>
          <t>FUTURE LONG</t>
        </is>
      </c>
      <c r="E191" s="20" t="inlineStr">
        <is>
          <t>AVOID BUT MONITOR IT</t>
        </is>
      </c>
      <c r="F191" s="13" t="inlineStr">
        <is>
          <t>1 Quarters</t>
        </is>
      </c>
      <c r="G191" s="13" t="inlineStr">
        <is>
          <t>T-2 to T+1</t>
        </is>
      </c>
      <c r="H191" s="13" t="inlineStr">
        <is>
          <t>3.22%</t>
        </is>
      </c>
      <c r="I191" s="13" t="inlineStr">
        <is>
          <t>-0.21%</t>
        </is>
      </c>
      <c r="J191" s="13" t="inlineStr">
        <is>
          <t>-3.43%</t>
        </is>
      </c>
      <c r="K191" s="16">
        <f>X190</f>
        <v/>
      </c>
      <c r="L191" s="13" t="inlineStr">
        <is>
          <t>2023-01-18</t>
        </is>
      </c>
      <c r="M191" s="13" t="inlineStr">
        <is>
          <t>2023-01-23</t>
        </is>
      </c>
      <c r="N191" s="13" t="inlineStr">
        <is>
          <t>2023-01-20</t>
        </is>
      </c>
      <c r="O191" s="9" t="n">
        <v>1425</v>
      </c>
      <c r="P191" s="17" t="n">
        <v>408.85</v>
      </c>
      <c r="Q191" s="17" t="n">
        <v>408</v>
      </c>
      <c r="R191" s="16">
        <f>O191*P191</f>
        <v/>
      </c>
      <c r="S191" s="16">
        <f>O191*Q191</f>
        <v/>
      </c>
      <c r="T191" s="16">
        <f>R191+S191</f>
        <v/>
      </c>
      <c r="U191" s="16">
        <f>ROUND(T191*0.0005, 2)</f>
        <v/>
      </c>
      <c r="V191" s="16">
        <f>S191-R191</f>
        <v/>
      </c>
      <c r="W191" s="16">
        <f>V191-U191</f>
        <v/>
      </c>
      <c r="X191" s="16">
        <f>K191+W191</f>
        <v/>
      </c>
      <c r="Y191" s="16">
        <f>ROUND(0.20*R191, 2)</f>
        <v/>
      </c>
      <c r="Z191" s="18">
        <f>ROUND((W191/Y191)*100, 2)</f>
        <v/>
      </c>
      <c r="AA191" s="16">
        <f>MAX(AA190, X191)</f>
        <v/>
      </c>
      <c r="AB191" s="16">
        <f>X191-AA191</f>
        <v/>
      </c>
    </row>
    <row r="192">
      <c r="A192" s="13" t="n">
        <v>189</v>
      </c>
      <c r="B192" s="14" t="inlineStr">
        <is>
          <t>TATAPOWER</t>
        </is>
      </c>
      <c r="C192" s="13" t="inlineStr">
        <is>
          <t>Q4 2022-23</t>
        </is>
      </c>
      <c r="D192" s="19" t="inlineStr">
        <is>
          <t>FUTURE SHORT</t>
        </is>
      </c>
      <c r="E192" s="20" t="inlineStr">
        <is>
          <t>AVOID BUT MONITOR IT</t>
        </is>
      </c>
      <c r="F192" s="13" t="inlineStr">
        <is>
          <t>5 Quarters</t>
        </is>
      </c>
      <c r="G192" s="13" t="inlineStr">
        <is>
          <t>T-5 to T+4</t>
        </is>
      </c>
      <c r="H192" s="13" t="inlineStr">
        <is>
          <t>2.32%</t>
        </is>
      </c>
      <c r="I192" s="13" t="inlineStr">
        <is>
          <t>1.99%</t>
        </is>
      </c>
      <c r="J192" s="13" t="inlineStr">
        <is>
          <t>-0.33%</t>
        </is>
      </c>
      <c r="K192" s="16">
        <f>X191</f>
        <v/>
      </c>
      <c r="L192" s="13" t="inlineStr">
        <is>
          <t>2023-01-13</t>
        </is>
      </c>
      <c r="M192" s="13" t="inlineStr">
        <is>
          <t>2023-01-27</t>
        </is>
      </c>
      <c r="N192" s="13" t="inlineStr">
        <is>
          <t>2023-01-20</t>
        </is>
      </c>
      <c r="O192" s="9" t="n">
        <v>2659</v>
      </c>
      <c r="P192" s="17" t="n">
        <v>197.1692962646484</v>
      </c>
      <c r="Q192" s="17" t="n">
        <v>201.164306640625</v>
      </c>
      <c r="R192" s="16">
        <f>O192*P192</f>
        <v/>
      </c>
      <c r="S192" s="16">
        <f>O192*Q192</f>
        <v/>
      </c>
      <c r="T192" s="16">
        <f>R192+S192</f>
        <v/>
      </c>
      <c r="U192" s="16">
        <f>ROUND(T192*0.0005, 2)</f>
        <v/>
      </c>
      <c r="V192" s="16">
        <f>S192-R192</f>
        <v/>
      </c>
      <c r="W192" s="16">
        <f>V192-U192</f>
        <v/>
      </c>
      <c r="X192" s="16">
        <f>K192+W192</f>
        <v/>
      </c>
      <c r="Y192" s="16">
        <f>ROUND(0.20*R192, 2)</f>
        <v/>
      </c>
      <c r="Z192" s="18">
        <f>ROUND((W192/Y192)*100, 2)</f>
        <v/>
      </c>
      <c r="AA192" s="16">
        <f>MAX(AA191, X192)</f>
        <v/>
      </c>
      <c r="AB192" s="16">
        <f>X192-AA192</f>
        <v/>
      </c>
    </row>
    <row r="193">
      <c r="A193" s="13" t="n">
        <v>190</v>
      </c>
      <c r="B193" s="14" t="inlineStr">
        <is>
          <t>TATASTEEL</t>
        </is>
      </c>
      <c r="C193" s="13" t="inlineStr">
        <is>
          <t>Q4 2022-23</t>
        </is>
      </c>
      <c r="D193" s="19" t="inlineStr">
        <is>
          <t>FUTURE SHORT</t>
        </is>
      </c>
      <c r="E193" s="15" t="inlineStr">
        <is>
          <t>QUALIFIED</t>
        </is>
      </c>
      <c r="F193" s="13" t="inlineStr">
        <is>
          <t>184 Quarters</t>
        </is>
      </c>
      <c r="G193" s="13" t="inlineStr">
        <is>
          <t>T-8 to T+4</t>
        </is>
      </c>
      <c r="H193" s="13" t="inlineStr">
        <is>
          <t>-0.66%</t>
        </is>
      </c>
      <c r="I193" s="13" t="inlineStr">
        <is>
          <t>-7.23%</t>
        </is>
      </c>
      <c r="J193" s="13" t="inlineStr">
        <is>
          <t>-6.57%</t>
        </is>
      </c>
      <c r="K193" s="16">
        <f>X192</f>
        <v/>
      </c>
      <c r="L193" s="13" t="inlineStr">
        <is>
          <t>2023-07-13</t>
        </is>
      </c>
      <c r="M193" s="13" t="inlineStr">
        <is>
          <t>2023-07-31</t>
        </is>
      </c>
      <c r="N193" s="13" t="inlineStr">
        <is>
          <t>2023-07-24</t>
        </is>
      </c>
      <c r="O193" s="9" t="n">
        <v>5500</v>
      </c>
      <c r="P193" s="17" t="n">
        <v>115.5831146240234</v>
      </c>
      <c r="Q193" s="17" t="n">
        <v>107.793098449707</v>
      </c>
      <c r="R193" s="16">
        <f>O193*P193</f>
        <v/>
      </c>
      <c r="S193" s="16">
        <f>O193*Q193</f>
        <v/>
      </c>
      <c r="T193" s="16">
        <f>R193+S193</f>
        <v/>
      </c>
      <c r="U193" s="16">
        <f>ROUND(T193*0.0005, 2)</f>
        <v/>
      </c>
      <c r="V193" s="16">
        <f>S193-R193</f>
        <v/>
      </c>
      <c r="W193" s="16">
        <f>V193-U193</f>
        <v/>
      </c>
      <c r="X193" s="16">
        <f>K193+W193</f>
        <v/>
      </c>
      <c r="Y193" s="16">
        <f>ROUND(0.20*R193, 2)</f>
        <v/>
      </c>
      <c r="Z193" s="18">
        <f>ROUND((W193/Y193)*100, 2)</f>
        <v/>
      </c>
      <c r="AA193" s="16">
        <f>MAX(AA192, X193)</f>
        <v/>
      </c>
      <c r="AB193" s="16">
        <f>X193-AA193</f>
        <v/>
      </c>
    </row>
    <row r="194">
      <c r="A194" s="13" t="n">
        <v>191</v>
      </c>
      <c r="B194" s="14" t="inlineStr">
        <is>
          <t>TCS</t>
        </is>
      </c>
      <c r="C194" s="13" t="inlineStr">
        <is>
          <t>Q4 2022-23</t>
        </is>
      </c>
      <c r="D194" s="19" t="inlineStr">
        <is>
          <t>FUTURE SHORT</t>
        </is>
      </c>
      <c r="E194" s="15" t="inlineStr">
        <is>
          <t>QUALIFIED</t>
        </is>
      </c>
      <c r="F194" s="13" t="inlineStr">
        <is>
          <t>192 Quarters</t>
        </is>
      </c>
      <c r="G194" s="13" t="inlineStr">
        <is>
          <t>T-4 to T+1</t>
        </is>
      </c>
      <c r="H194" s="13" t="inlineStr">
        <is>
          <t>-0.28%</t>
        </is>
      </c>
      <c r="I194" s="13" t="inlineStr">
        <is>
          <t>-5.57%</t>
        </is>
      </c>
      <c r="J194" s="13" t="inlineStr">
        <is>
          <t>-5.29%</t>
        </is>
      </c>
      <c r="K194" s="16">
        <f>X193</f>
        <v/>
      </c>
      <c r="L194" s="13" t="inlineStr">
        <is>
          <t>2023-07-07</t>
        </is>
      </c>
      <c r="M194" s="13" t="inlineStr">
        <is>
          <t>2023-07-14</t>
        </is>
      </c>
      <c r="N194" s="13" t="inlineStr">
        <is>
          <t>2023-07-12</t>
        </is>
      </c>
      <c r="O194" s="9" t="n">
        <v>175</v>
      </c>
      <c r="P194" s="17" t="n">
        <v>3212.794189453125</v>
      </c>
      <c r="Q194" s="17" t="n">
        <v>3043.3173828125</v>
      </c>
      <c r="R194" s="16">
        <f>O194*P194</f>
        <v/>
      </c>
      <c r="S194" s="16">
        <f>O194*Q194</f>
        <v/>
      </c>
      <c r="T194" s="16">
        <f>R194+S194</f>
        <v/>
      </c>
      <c r="U194" s="16">
        <f>ROUND(T194*0.0005, 2)</f>
        <v/>
      </c>
      <c r="V194" s="16">
        <f>S194-R194</f>
        <v/>
      </c>
      <c r="W194" s="16">
        <f>V194-U194</f>
        <v/>
      </c>
      <c r="X194" s="16">
        <f>K194+W194</f>
        <v/>
      </c>
      <c r="Y194" s="16">
        <f>ROUND(0.20*R194, 2)</f>
        <v/>
      </c>
      <c r="Z194" s="18">
        <f>ROUND((W194/Y194)*100, 2)</f>
        <v/>
      </c>
      <c r="AA194" s="16">
        <f>MAX(AA193, X194)</f>
        <v/>
      </c>
      <c r="AB194" s="16">
        <f>X194-AA194</f>
        <v/>
      </c>
    </row>
    <row r="195">
      <c r="A195" s="13" t="n">
        <v>192</v>
      </c>
      <c r="B195" s="14" t="inlineStr">
        <is>
          <t>TECHM</t>
        </is>
      </c>
      <c r="C195" s="13" t="inlineStr">
        <is>
          <t>Q4 2022-23</t>
        </is>
      </c>
      <c r="D195" s="19" t="inlineStr">
        <is>
          <t>FUTURE SHORT</t>
        </is>
      </c>
      <c r="E195" s="15" t="inlineStr">
        <is>
          <t>QUALIFIED</t>
        </is>
      </c>
      <c r="F195" s="13" t="inlineStr">
        <is>
          <t>185 Quarters</t>
        </is>
      </c>
      <c r="G195" s="13" t="inlineStr">
        <is>
          <t>T-2 to T+4</t>
        </is>
      </c>
      <c r="H195" s="13" t="inlineStr">
        <is>
          <t>1.16%</t>
        </is>
      </c>
      <c r="I195" s="13" t="inlineStr">
        <is>
          <t>0.94%</t>
        </is>
      </c>
      <c r="J195" s="13" t="inlineStr">
        <is>
          <t>-0.22%</t>
        </is>
      </c>
      <c r="K195" s="16">
        <f>X194</f>
        <v/>
      </c>
      <c r="L195" s="13" t="inlineStr">
        <is>
          <t>2023-07-25</t>
        </is>
      </c>
      <c r="M195" s="13" t="inlineStr">
        <is>
          <t>2023-08-02</t>
        </is>
      </c>
      <c r="N195" s="13" t="inlineStr">
        <is>
          <t>2023-07-26</t>
        </is>
      </c>
      <c r="O195" s="9" t="n">
        <v>600</v>
      </c>
      <c r="P195" s="17" t="n">
        <v>1044.744384765625</v>
      </c>
      <c r="Q195" s="17" t="n">
        <v>1054.638549804688</v>
      </c>
      <c r="R195" s="16">
        <f>O195*P195</f>
        <v/>
      </c>
      <c r="S195" s="16">
        <f>O195*Q195</f>
        <v/>
      </c>
      <c r="T195" s="16">
        <f>R195+S195</f>
        <v/>
      </c>
      <c r="U195" s="16">
        <f>ROUND(T195*0.0005, 2)</f>
        <v/>
      </c>
      <c r="V195" s="16">
        <f>S195-R195</f>
        <v/>
      </c>
      <c r="W195" s="16">
        <f>V195-U195</f>
        <v/>
      </c>
      <c r="X195" s="16">
        <f>K195+W195</f>
        <v/>
      </c>
      <c r="Y195" s="16">
        <f>ROUND(0.20*R195, 2)</f>
        <v/>
      </c>
      <c r="Z195" s="18">
        <f>ROUND((W195/Y195)*100, 2)</f>
        <v/>
      </c>
      <c r="AA195" s="16">
        <f>MAX(AA194, X195)</f>
        <v/>
      </c>
      <c r="AB195" s="16">
        <f>X195-AA195</f>
        <v/>
      </c>
    </row>
    <row r="196">
      <c r="A196" s="13" t="n">
        <v>193</v>
      </c>
      <c r="B196" s="14" t="inlineStr">
        <is>
          <t>TIINDIA</t>
        </is>
      </c>
      <c r="C196" s="13" t="inlineStr">
        <is>
          <t>Q4 2022-23</t>
        </is>
      </c>
      <c r="D196" s="19" t="inlineStr">
        <is>
          <t>FUTURE SHORT</t>
        </is>
      </c>
      <c r="E196" s="20" t="inlineStr">
        <is>
          <t>AVOID BUT MONITOR IT</t>
        </is>
      </c>
      <c r="F196" s="13" t="inlineStr">
        <is>
          <t>5 Quarters</t>
        </is>
      </c>
      <c r="G196" s="13" t="inlineStr">
        <is>
          <t>T-4 to T+1</t>
        </is>
      </c>
      <c r="H196" s="13" t="inlineStr">
        <is>
          <t>5.82%</t>
        </is>
      </c>
      <c r="I196" s="13" t="inlineStr">
        <is>
          <t>1.22%</t>
        </is>
      </c>
      <c r="J196" s="13" t="inlineStr">
        <is>
          <t>-4.6%</t>
        </is>
      </c>
      <c r="K196" s="16">
        <f>X195</f>
        <v/>
      </c>
      <c r="L196" s="13" t="inlineStr">
        <is>
          <t>2023-01-16</t>
        </is>
      </c>
      <c r="M196" s="13" t="inlineStr">
        <is>
          <t>2023-01-23</t>
        </is>
      </c>
      <c r="N196" s="13" t="inlineStr">
        <is>
          <t>2023-01-20</t>
        </is>
      </c>
      <c r="O196" s="9" t="n">
        <v>371</v>
      </c>
      <c r="P196" s="17" t="n">
        <v>2576.814697265625</v>
      </c>
      <c r="Q196" s="17" t="n">
        <v>2608.579345703125</v>
      </c>
      <c r="R196" s="16">
        <f>O196*P196</f>
        <v/>
      </c>
      <c r="S196" s="16">
        <f>O196*Q196</f>
        <v/>
      </c>
      <c r="T196" s="16">
        <f>R196+S196</f>
        <v/>
      </c>
      <c r="U196" s="16">
        <f>ROUND(T196*0.0005, 2)</f>
        <v/>
      </c>
      <c r="V196" s="16">
        <f>S196-R196</f>
        <v/>
      </c>
      <c r="W196" s="16">
        <f>V196-U196</f>
        <v/>
      </c>
      <c r="X196" s="16">
        <f>K196+W196</f>
        <v/>
      </c>
      <c r="Y196" s="16">
        <f>ROUND(0.20*R196, 2)</f>
        <v/>
      </c>
      <c r="Z196" s="18">
        <f>ROUND((W196/Y196)*100, 2)</f>
        <v/>
      </c>
      <c r="AA196" s="16">
        <f>MAX(AA195, X196)</f>
        <v/>
      </c>
      <c r="AB196" s="16">
        <f>X196-AA196</f>
        <v/>
      </c>
    </row>
    <row r="197">
      <c r="A197" s="13" t="n">
        <v>194</v>
      </c>
      <c r="B197" s="14" t="inlineStr">
        <is>
          <t>TITAN</t>
        </is>
      </c>
      <c r="C197" s="13" t="inlineStr">
        <is>
          <t>Q4 2022-23</t>
        </is>
      </c>
      <c r="D197" s="19" t="inlineStr">
        <is>
          <t>FUTURE SHORT</t>
        </is>
      </c>
      <c r="E197" s="15" t="inlineStr">
        <is>
          <t>QUALIFIED</t>
        </is>
      </c>
      <c r="F197" s="13" t="inlineStr">
        <is>
          <t>143 Quarters</t>
        </is>
      </c>
      <c r="G197" s="13" t="inlineStr">
        <is>
          <t>T-1 to T+1</t>
        </is>
      </c>
      <c r="H197" s="13" t="inlineStr">
        <is>
          <t>0.22%</t>
        </is>
      </c>
      <c r="I197" s="13" t="inlineStr">
        <is>
          <t>-0.34%</t>
        </is>
      </c>
      <c r="J197" s="13" t="inlineStr">
        <is>
          <t>-0.56%</t>
        </is>
      </c>
      <c r="K197" s="16">
        <f>X196</f>
        <v/>
      </c>
      <c r="L197" s="13" t="inlineStr">
        <is>
          <t>2023-05-09</t>
        </is>
      </c>
      <c r="M197" s="13" t="inlineStr">
        <is>
          <t>2023-05-11</t>
        </is>
      </c>
      <c r="N197" s="13" t="inlineStr">
        <is>
          <t>2023-05-09</t>
        </is>
      </c>
      <c r="O197" s="9" t="n">
        <v>175</v>
      </c>
      <c r="P197" s="17" t="n">
        <v>2722.82275390625</v>
      </c>
      <c r="Q197" s="17" t="n">
        <v>2713.4921875</v>
      </c>
      <c r="R197" s="16">
        <f>O197*P197</f>
        <v/>
      </c>
      <c r="S197" s="16">
        <f>O197*Q197</f>
        <v/>
      </c>
      <c r="T197" s="16">
        <f>R197+S197</f>
        <v/>
      </c>
      <c r="U197" s="16">
        <f>ROUND(T197*0.0005, 2)</f>
        <v/>
      </c>
      <c r="V197" s="16">
        <f>S197-R197</f>
        <v/>
      </c>
      <c r="W197" s="16">
        <f>V197-U197</f>
        <v/>
      </c>
      <c r="X197" s="16">
        <f>K197+W197</f>
        <v/>
      </c>
      <c r="Y197" s="16">
        <f>ROUND(0.20*R197, 2)</f>
        <v/>
      </c>
      <c r="Z197" s="18">
        <f>ROUND((W197/Y197)*100, 2)</f>
        <v/>
      </c>
      <c r="AA197" s="16">
        <f>MAX(AA196, X197)</f>
        <v/>
      </c>
      <c r="AB197" s="16">
        <f>X197-AA197</f>
        <v/>
      </c>
    </row>
    <row r="198">
      <c r="A198" s="13" t="n">
        <v>195</v>
      </c>
      <c r="B198" s="14" t="inlineStr">
        <is>
          <t>TMPV</t>
        </is>
      </c>
      <c r="C198" s="13" t="inlineStr">
        <is>
          <t>Q4 2022-23</t>
        </is>
      </c>
      <c r="D198" s="19" t="inlineStr">
        <is>
          <t>FUTURE SHORT</t>
        </is>
      </c>
      <c r="E198" s="20" t="inlineStr">
        <is>
          <t>AVOID BUT MONITOR IT</t>
        </is>
      </c>
      <c r="F198" s="13" t="inlineStr">
        <is>
          <t>9 Quarters</t>
        </is>
      </c>
      <c r="G198" s="13" t="inlineStr">
        <is>
          <t>T-2 to T+4</t>
        </is>
      </c>
      <c r="H198" s="13" t="inlineStr">
        <is>
          <t>0.84%</t>
        </is>
      </c>
      <c r="I198" s="13" t="inlineStr">
        <is>
          <t>-9.11%</t>
        </is>
      </c>
      <c r="J198" s="13" t="inlineStr">
        <is>
          <t>-9.95%</t>
        </is>
      </c>
      <c r="K198" s="16">
        <f>X197</f>
        <v/>
      </c>
      <c r="L198" s="13" t="inlineStr">
        <is>
          <t>2023-01-18</t>
        </is>
      </c>
      <c r="M198" s="13" t="inlineStr">
        <is>
          <t>2023-01-27</t>
        </is>
      </c>
      <c r="N198" s="13" t="inlineStr">
        <is>
          <t>2023-01-20</t>
        </is>
      </c>
      <c r="O198" s="9" t="n">
        <v>3054</v>
      </c>
      <c r="P198" s="17" t="n">
        <v>434.1177368164063</v>
      </c>
      <c r="Q198" s="17" t="n">
        <v>397.8762817382813</v>
      </c>
      <c r="R198" s="16">
        <f>O198*P198</f>
        <v/>
      </c>
      <c r="S198" s="16">
        <f>O198*Q198</f>
        <v/>
      </c>
      <c r="T198" s="16">
        <f>R198+S198</f>
        <v/>
      </c>
      <c r="U198" s="16">
        <f>ROUND(T198*0.0005, 2)</f>
        <v/>
      </c>
      <c r="V198" s="16">
        <f>S198-R198</f>
        <v/>
      </c>
      <c r="W198" s="16">
        <f>V198-U198</f>
        <v/>
      </c>
      <c r="X198" s="16">
        <f>K198+W198</f>
        <v/>
      </c>
      <c r="Y198" s="16">
        <f>ROUND(0.20*R198, 2)</f>
        <v/>
      </c>
      <c r="Z198" s="18">
        <f>ROUND((W198/Y198)*100, 2)</f>
        <v/>
      </c>
      <c r="AA198" s="16">
        <f>MAX(AA197, X198)</f>
        <v/>
      </c>
      <c r="AB198" s="16">
        <f>X198-AA198</f>
        <v/>
      </c>
    </row>
    <row r="199">
      <c r="A199" s="13" t="n">
        <v>196</v>
      </c>
      <c r="B199" s="14" t="inlineStr">
        <is>
          <t>TORNTPHARM</t>
        </is>
      </c>
      <c r="C199" s="13" t="inlineStr">
        <is>
          <t>Q4 2022-23</t>
        </is>
      </c>
      <c r="D199" s="15" t="inlineStr">
        <is>
          <t>FUTURE LONG</t>
        </is>
      </c>
      <c r="E199" s="20" t="inlineStr">
        <is>
          <t>AVOID BUT MONITOR IT</t>
        </is>
      </c>
      <c r="F199" s="13" t="inlineStr">
        <is>
          <t>5 Quarters</t>
        </is>
      </c>
      <c r="G199" s="13" t="inlineStr">
        <is>
          <t>T-1 to T+4</t>
        </is>
      </c>
      <c r="H199" s="13" t="inlineStr">
        <is>
          <t>1.78%</t>
        </is>
      </c>
      <c r="I199" s="13" t="inlineStr">
        <is>
          <t>-3.92%</t>
        </is>
      </c>
      <c r="J199" s="13" t="inlineStr">
        <is>
          <t>-5.7%</t>
        </is>
      </c>
      <c r="K199" s="16">
        <f>X198</f>
        <v/>
      </c>
      <c r="L199" s="13" t="inlineStr">
        <is>
          <t>2023-01-19</t>
        </is>
      </c>
      <c r="M199" s="13" t="inlineStr">
        <is>
          <t>2023-01-27</t>
        </is>
      </c>
      <c r="N199" s="13" t="inlineStr">
        <is>
          <t>2023-01-20</t>
        </is>
      </c>
      <c r="O199" s="9" t="n">
        <v>205</v>
      </c>
      <c r="P199" s="17" t="n">
        <v>1533.774536132812</v>
      </c>
      <c r="Q199" s="17" t="n">
        <v>1473.673583984375</v>
      </c>
      <c r="R199" s="16">
        <f>O199*P199</f>
        <v/>
      </c>
      <c r="S199" s="16">
        <f>O199*Q199</f>
        <v/>
      </c>
      <c r="T199" s="16">
        <f>R199+S199</f>
        <v/>
      </c>
      <c r="U199" s="16">
        <f>ROUND(T199*0.0005, 2)</f>
        <v/>
      </c>
      <c r="V199" s="16">
        <f>S199-R199</f>
        <v/>
      </c>
      <c r="W199" s="16">
        <f>V199-U199</f>
        <v/>
      </c>
      <c r="X199" s="16">
        <f>K199+W199</f>
        <v/>
      </c>
      <c r="Y199" s="16">
        <f>ROUND(0.20*R199, 2)</f>
        <v/>
      </c>
      <c r="Z199" s="18">
        <f>ROUND((W199/Y199)*100, 2)</f>
        <v/>
      </c>
      <c r="AA199" s="16">
        <f>MAX(AA198, X199)</f>
        <v/>
      </c>
      <c r="AB199" s="16">
        <f>X199-AA199</f>
        <v/>
      </c>
    </row>
    <row r="200">
      <c r="A200" s="13" t="n">
        <v>197</v>
      </c>
      <c r="B200" s="14" t="inlineStr">
        <is>
          <t>TRENT</t>
        </is>
      </c>
      <c r="C200" s="13" t="inlineStr">
        <is>
          <t>Q4 2022-23</t>
        </is>
      </c>
      <c r="D200" s="15" t="inlineStr">
        <is>
          <t>FUTURE LONG</t>
        </is>
      </c>
      <c r="E200" s="15" t="inlineStr">
        <is>
          <t>QUALIFIED</t>
        </is>
      </c>
      <c r="F200" s="13" t="inlineStr">
        <is>
          <t>133 Quarters</t>
        </is>
      </c>
      <c r="G200" s="13" t="inlineStr">
        <is>
          <t>T-2 to T+4</t>
        </is>
      </c>
      <c r="H200" s="13" t="inlineStr">
        <is>
          <t>1.38%</t>
        </is>
      </c>
      <c r="I200" s="13" t="inlineStr">
        <is>
          <t>15.24%</t>
        </is>
      </c>
      <c r="J200" s="13" t="inlineStr">
        <is>
          <t>13.86%</t>
        </is>
      </c>
      <c r="K200" s="16">
        <f>X199</f>
        <v/>
      </c>
      <c r="L200" s="13" t="inlineStr">
        <is>
          <t>2023-08-08</t>
        </is>
      </c>
      <c r="M200" s="13" t="inlineStr">
        <is>
          <t>2023-08-17</t>
        </is>
      </c>
      <c r="N200" s="13" t="inlineStr">
        <is>
          <t>2023-08-09</t>
        </is>
      </c>
      <c r="O200" s="9" t="n">
        <v>345</v>
      </c>
      <c r="P200" s="17" t="n">
        <v>1709.402221679688</v>
      </c>
      <c r="Q200" s="17" t="n">
        <v>1969.847412109375</v>
      </c>
      <c r="R200" s="16">
        <f>O200*P200</f>
        <v/>
      </c>
      <c r="S200" s="16">
        <f>O200*Q200</f>
        <v/>
      </c>
      <c r="T200" s="16">
        <f>R200+S200</f>
        <v/>
      </c>
      <c r="U200" s="16">
        <f>ROUND(T200*0.0005, 2)</f>
        <v/>
      </c>
      <c r="V200" s="16">
        <f>S200-R200</f>
        <v/>
      </c>
      <c r="W200" s="16">
        <f>V200-U200</f>
        <v/>
      </c>
      <c r="X200" s="16">
        <f>K200+W200</f>
        <v/>
      </c>
      <c r="Y200" s="16">
        <f>ROUND(0.20*R200, 2)</f>
        <v/>
      </c>
      <c r="Z200" s="18">
        <f>ROUND((W200/Y200)*100, 2)</f>
        <v/>
      </c>
      <c r="AA200" s="16">
        <f>MAX(AA199, X200)</f>
        <v/>
      </c>
      <c r="AB200" s="16">
        <f>X200-AA200</f>
        <v/>
      </c>
    </row>
    <row r="201">
      <c r="A201" s="13" t="n">
        <v>198</v>
      </c>
      <c r="B201" s="14" t="inlineStr">
        <is>
          <t>TVSMOTOR</t>
        </is>
      </c>
      <c r="C201" s="13" t="inlineStr">
        <is>
          <t>Q4 2022-23</t>
        </is>
      </c>
      <c r="D201" s="19" t="inlineStr">
        <is>
          <t>FUTURE SHORT</t>
        </is>
      </c>
      <c r="E201" s="20" t="inlineStr">
        <is>
          <t>AVOID BUT MONITOR IT</t>
        </is>
      </c>
      <c r="F201" s="13" t="inlineStr">
        <is>
          <t>5 Quarters</t>
        </is>
      </c>
      <c r="G201" s="13" t="inlineStr">
        <is>
          <t>T-4 to T+1</t>
        </is>
      </c>
      <c r="H201" s="13" t="inlineStr">
        <is>
          <t>0.28%</t>
        </is>
      </c>
      <c r="I201" s="13" t="inlineStr">
        <is>
          <t>0.71%</t>
        </is>
      </c>
      <c r="J201" s="13" t="inlineStr">
        <is>
          <t>0.43%</t>
        </is>
      </c>
      <c r="K201" s="16">
        <f>X200</f>
        <v/>
      </c>
      <c r="L201" s="13" t="inlineStr">
        <is>
          <t>2023-01-16</t>
        </is>
      </c>
      <c r="M201" s="13" t="inlineStr">
        <is>
          <t>2023-01-23</t>
        </is>
      </c>
      <c r="N201" s="13" t="inlineStr">
        <is>
          <t>2023-01-20</t>
        </is>
      </c>
      <c r="O201" s="9" t="n">
        <v>237</v>
      </c>
      <c r="P201" s="17" t="n">
        <v>965.6394653320312</v>
      </c>
      <c r="Q201" s="17" t="n">
        <v>972.52490234375</v>
      </c>
      <c r="R201" s="16">
        <f>O201*P201</f>
        <v/>
      </c>
      <c r="S201" s="16">
        <f>O201*Q201</f>
        <v/>
      </c>
      <c r="T201" s="16">
        <f>R201+S201</f>
        <v/>
      </c>
      <c r="U201" s="16">
        <f>ROUND(T201*0.0005, 2)</f>
        <v/>
      </c>
      <c r="V201" s="16">
        <f>S201-R201</f>
        <v/>
      </c>
      <c r="W201" s="16">
        <f>V201-U201</f>
        <v/>
      </c>
      <c r="X201" s="16">
        <f>K201+W201</f>
        <v/>
      </c>
      <c r="Y201" s="16">
        <f>ROUND(0.20*R201, 2)</f>
        <v/>
      </c>
      <c r="Z201" s="18">
        <f>ROUND((W201/Y201)*100, 2)</f>
        <v/>
      </c>
      <c r="AA201" s="16">
        <f>MAX(AA200, X201)</f>
        <v/>
      </c>
      <c r="AB201" s="16">
        <f>X201-AA201</f>
        <v/>
      </c>
    </row>
    <row r="202">
      <c r="A202" s="13" t="n">
        <v>199</v>
      </c>
      <c r="B202" s="14" t="inlineStr">
        <is>
          <t>ULTRACEMCO</t>
        </is>
      </c>
      <c r="C202" s="13" t="inlineStr">
        <is>
          <t>Q4 2022-23</t>
        </is>
      </c>
      <c r="D202" s="19" t="inlineStr">
        <is>
          <t>FUTURE SHORT</t>
        </is>
      </c>
      <c r="E202" s="15" t="inlineStr">
        <is>
          <t>QUALIFIED</t>
        </is>
      </c>
      <c r="F202" s="13" t="inlineStr">
        <is>
          <t>158 Quarters</t>
        </is>
      </c>
      <c r="G202" s="13" t="inlineStr">
        <is>
          <t>T-5 to T+4</t>
        </is>
      </c>
      <c r="H202" s="13" t="inlineStr">
        <is>
          <t>0.98%</t>
        </is>
      </c>
      <c r="I202" s="13" t="inlineStr">
        <is>
          <t>1.9%</t>
        </is>
      </c>
      <c r="J202" s="13" t="inlineStr">
        <is>
          <t>0.92%</t>
        </is>
      </c>
      <c r="K202" s="16">
        <f>X201</f>
        <v/>
      </c>
      <c r="L202" s="13" t="inlineStr">
        <is>
          <t>2023-10-13</t>
        </is>
      </c>
      <c r="M202" s="13" t="inlineStr">
        <is>
          <t>2023-10-27</t>
        </is>
      </c>
      <c r="N202" s="13" t="inlineStr">
        <is>
          <t>2023-10-19</t>
        </is>
      </c>
      <c r="O202" s="9" t="n">
        <v>100</v>
      </c>
      <c r="P202" s="17" t="n">
        <v>8110.33984375</v>
      </c>
      <c r="Q202" s="17" t="n">
        <v>8267.2578125</v>
      </c>
      <c r="R202" s="16">
        <f>O202*P202</f>
        <v/>
      </c>
      <c r="S202" s="16">
        <f>O202*Q202</f>
        <v/>
      </c>
      <c r="T202" s="16">
        <f>R202+S202</f>
        <v/>
      </c>
      <c r="U202" s="16">
        <f>ROUND(T202*0.0005, 2)</f>
        <v/>
      </c>
      <c r="V202" s="16">
        <f>S202-R202</f>
        <v/>
      </c>
      <c r="W202" s="16">
        <f>V202-U202</f>
        <v/>
      </c>
      <c r="X202" s="16">
        <f>K202+W202</f>
        <v/>
      </c>
      <c r="Y202" s="16">
        <f>ROUND(0.20*R202, 2)</f>
        <v/>
      </c>
      <c r="Z202" s="18">
        <f>ROUND((W202/Y202)*100, 2)</f>
        <v/>
      </c>
      <c r="AA202" s="16">
        <f>MAX(AA201, X202)</f>
        <v/>
      </c>
      <c r="AB202" s="16">
        <f>X202-AA202</f>
        <v/>
      </c>
    </row>
    <row r="203">
      <c r="A203" s="13" t="n">
        <v>200</v>
      </c>
      <c r="B203" s="14" t="inlineStr">
        <is>
          <t>UNIONBANK</t>
        </is>
      </c>
      <c r="C203" s="13" t="inlineStr">
        <is>
          <t>Q4 2022-23</t>
        </is>
      </c>
      <c r="D203" s="15" t="inlineStr">
        <is>
          <t>FUTURE LONG</t>
        </is>
      </c>
      <c r="E203" s="20" t="inlineStr">
        <is>
          <t>AVOID BUT MONITOR IT</t>
        </is>
      </c>
      <c r="F203" s="13" t="inlineStr">
        <is>
          <t>5 Quarters</t>
        </is>
      </c>
      <c r="G203" s="13" t="inlineStr">
        <is>
          <t>T-2 to T+4</t>
        </is>
      </c>
      <c r="H203" s="13" t="inlineStr">
        <is>
          <t>1.55%</t>
        </is>
      </c>
      <c r="I203" s="13" t="inlineStr">
        <is>
          <t>-7.82%</t>
        </is>
      </c>
      <c r="J203" s="13" t="inlineStr">
        <is>
          <t>-9.37%</t>
        </is>
      </c>
      <c r="K203" s="16">
        <f>X202</f>
        <v/>
      </c>
      <c r="L203" s="13" t="inlineStr">
        <is>
          <t>2023-01-18</t>
        </is>
      </c>
      <c r="M203" s="13" t="inlineStr">
        <is>
          <t>2023-01-27</t>
        </is>
      </c>
      <c r="N203" s="13" t="inlineStr">
        <is>
          <t>2023-01-20</t>
        </is>
      </c>
      <c r="O203" s="9" t="n">
        <v>5868</v>
      </c>
      <c r="P203" s="17" t="n">
        <v>71.94596862792969</v>
      </c>
      <c r="Q203" s="17" t="n">
        <v>66.3231201171875</v>
      </c>
      <c r="R203" s="16">
        <f>O203*P203</f>
        <v/>
      </c>
      <c r="S203" s="16">
        <f>O203*Q203</f>
        <v/>
      </c>
      <c r="T203" s="16">
        <f>R203+S203</f>
        <v/>
      </c>
      <c r="U203" s="16">
        <f>ROUND(T203*0.0005, 2)</f>
        <v/>
      </c>
      <c r="V203" s="16">
        <f>S203-R203</f>
        <v/>
      </c>
      <c r="W203" s="16">
        <f>V203-U203</f>
        <v/>
      </c>
      <c r="X203" s="16">
        <f>K203+W203</f>
        <v/>
      </c>
      <c r="Y203" s="16">
        <f>ROUND(0.20*R203, 2)</f>
        <v/>
      </c>
      <c r="Z203" s="18">
        <f>ROUND((W203/Y203)*100, 2)</f>
        <v/>
      </c>
      <c r="AA203" s="16">
        <f>MAX(AA202, X203)</f>
        <v/>
      </c>
      <c r="AB203" s="16">
        <f>X203-AA203</f>
        <v/>
      </c>
    </row>
    <row r="204">
      <c r="A204" s="13" t="n">
        <v>201</v>
      </c>
      <c r="B204" s="14" t="inlineStr">
        <is>
          <t>UNITDSPR</t>
        </is>
      </c>
      <c r="C204" s="13" t="inlineStr">
        <is>
          <t>Q4 2022-23</t>
        </is>
      </c>
      <c r="D204" s="19" t="inlineStr">
        <is>
          <t>FUTURE SHORT</t>
        </is>
      </c>
      <c r="E204" s="20" t="inlineStr">
        <is>
          <t>AVOID BUT MONITOR IT</t>
        </is>
      </c>
      <c r="F204" s="13" t="inlineStr">
        <is>
          <t>5 Quarters</t>
        </is>
      </c>
      <c r="G204" s="13" t="inlineStr">
        <is>
          <t>T-4 to T+4</t>
        </is>
      </c>
      <c r="H204" s="13" t="inlineStr">
        <is>
          <t>-0.2%</t>
        </is>
      </c>
      <c r="I204" s="13" t="inlineStr">
        <is>
          <t>9.13%</t>
        </is>
      </c>
      <c r="J204" s="13" t="inlineStr">
        <is>
          <t>9.33%</t>
        </is>
      </c>
      <c r="K204" s="16">
        <f>X203</f>
        <v/>
      </c>
      <c r="L204" s="13" t="inlineStr">
        <is>
          <t>2023-01-16</t>
        </is>
      </c>
      <c r="M204" s="13" t="inlineStr">
        <is>
          <t>2023-01-27</t>
        </is>
      </c>
      <c r="N204" s="13" t="inlineStr">
        <is>
          <t>2023-01-20</t>
        </is>
      </c>
      <c r="O204" s="9" t="n">
        <v>652</v>
      </c>
      <c r="P204" s="17" t="n">
        <v>745.4357299804688</v>
      </c>
      <c r="Q204" s="17" t="n">
        <v>820.353271484375</v>
      </c>
      <c r="R204" s="16">
        <f>O204*P204</f>
        <v/>
      </c>
      <c r="S204" s="16">
        <f>O204*Q204</f>
        <v/>
      </c>
      <c r="T204" s="16">
        <f>R204+S204</f>
        <v/>
      </c>
      <c r="U204" s="16">
        <f>ROUND(T204*0.0005, 2)</f>
        <v/>
      </c>
      <c r="V204" s="16">
        <f>S204-R204</f>
        <v/>
      </c>
      <c r="W204" s="16">
        <f>V204-U204</f>
        <v/>
      </c>
      <c r="X204" s="16">
        <f>K204+W204</f>
        <v/>
      </c>
      <c r="Y204" s="16">
        <f>ROUND(0.20*R204, 2)</f>
        <v/>
      </c>
      <c r="Z204" s="18">
        <f>ROUND((W204/Y204)*100, 2)</f>
        <v/>
      </c>
      <c r="AA204" s="16">
        <f>MAX(AA203, X204)</f>
        <v/>
      </c>
      <c r="AB204" s="16">
        <f>X204-AA204</f>
        <v/>
      </c>
    </row>
    <row r="205">
      <c r="A205" s="13" t="n">
        <v>202</v>
      </c>
      <c r="B205" s="14" t="inlineStr">
        <is>
          <t>UNOMINDA</t>
        </is>
      </c>
      <c r="C205" s="13" t="inlineStr">
        <is>
          <t>Q4 2022-23</t>
        </is>
      </c>
      <c r="D205" s="15" t="inlineStr">
        <is>
          <t>FUTURE LONG</t>
        </is>
      </c>
      <c r="E205" s="20" t="inlineStr">
        <is>
          <t>AVOID BUT MONITOR IT</t>
        </is>
      </c>
      <c r="F205" s="13" t="inlineStr">
        <is>
          <t>5 Quarters</t>
        </is>
      </c>
      <c r="G205" s="13" t="inlineStr">
        <is>
          <t>T-7 to T+4</t>
        </is>
      </c>
      <c r="H205" s="13" t="inlineStr">
        <is>
          <t>4.99%</t>
        </is>
      </c>
      <c r="I205" s="13" t="inlineStr">
        <is>
          <t>-5.95%</t>
        </is>
      </c>
      <c r="J205" s="13" t="inlineStr">
        <is>
          <t>-10.94%</t>
        </is>
      </c>
      <c r="K205" s="16">
        <f>X204</f>
        <v/>
      </c>
      <c r="L205" s="13" t="inlineStr">
        <is>
          <t>2023-01-11</t>
        </is>
      </c>
      <c r="M205" s="13" t="inlineStr">
        <is>
          <t>2023-01-27</t>
        </is>
      </c>
      <c r="N205" s="13" t="inlineStr">
        <is>
          <t>2023-01-20</t>
        </is>
      </c>
      <c r="O205" s="9" t="n">
        <v>852</v>
      </c>
      <c r="P205" s="17" t="n">
        <v>524.8851928710938</v>
      </c>
      <c r="Q205" s="17" t="n">
        <v>493.6366271972656</v>
      </c>
      <c r="R205" s="16">
        <f>O205*P205</f>
        <v/>
      </c>
      <c r="S205" s="16">
        <f>O205*Q205</f>
        <v/>
      </c>
      <c r="T205" s="16">
        <f>R205+S205</f>
        <v/>
      </c>
      <c r="U205" s="16">
        <f>ROUND(T205*0.0005, 2)</f>
        <v/>
      </c>
      <c r="V205" s="16">
        <f>S205-R205</f>
        <v/>
      </c>
      <c r="W205" s="16">
        <f>V205-U205</f>
        <v/>
      </c>
      <c r="X205" s="16">
        <f>K205+W205</f>
        <v/>
      </c>
      <c r="Y205" s="16">
        <f>ROUND(0.20*R205, 2)</f>
        <v/>
      </c>
      <c r="Z205" s="18">
        <f>ROUND((W205/Y205)*100, 2)</f>
        <v/>
      </c>
      <c r="AA205" s="16">
        <f>MAX(AA204, X205)</f>
        <v/>
      </c>
      <c r="AB205" s="16">
        <f>X205-AA205</f>
        <v/>
      </c>
    </row>
    <row r="206">
      <c r="A206" s="13" t="n">
        <v>203</v>
      </c>
      <c r="B206" s="14" t="inlineStr">
        <is>
          <t>UPL</t>
        </is>
      </c>
      <c r="C206" s="13" t="inlineStr">
        <is>
          <t>Q4 2022-23</t>
        </is>
      </c>
      <c r="D206" s="19" t="inlineStr">
        <is>
          <t>FUTURE SHORT</t>
        </is>
      </c>
      <c r="E206" s="20" t="inlineStr">
        <is>
          <t>AVOID BUT MONITOR IT</t>
        </is>
      </c>
      <c r="F206" s="13" t="inlineStr">
        <is>
          <t>5 Quarters</t>
        </is>
      </c>
      <c r="G206" s="13" t="inlineStr">
        <is>
          <t>T-4 to T+4</t>
        </is>
      </c>
      <c r="H206" s="13" t="inlineStr">
        <is>
          <t>-0.69%</t>
        </is>
      </c>
      <c r="I206" s="13" t="inlineStr">
        <is>
          <t>-4.29%</t>
        </is>
      </c>
      <c r="J206" s="13" t="inlineStr">
        <is>
          <t>-3.6%</t>
        </is>
      </c>
      <c r="K206" s="16">
        <f>X205</f>
        <v/>
      </c>
      <c r="L206" s="13" t="inlineStr">
        <is>
          <t>2023-01-16</t>
        </is>
      </c>
      <c r="M206" s="13" t="inlineStr">
        <is>
          <t>2023-01-27</t>
        </is>
      </c>
      <c r="N206" s="13" t="inlineStr">
        <is>
          <t>2023-01-20</t>
        </is>
      </c>
      <c r="O206" s="9" t="n">
        <v>1659</v>
      </c>
      <c r="P206" s="17" t="n">
        <v>718.3043212890625</v>
      </c>
      <c r="Q206" s="17" t="n">
        <v>688.74072265625</v>
      </c>
      <c r="R206" s="16">
        <f>O206*P206</f>
        <v/>
      </c>
      <c r="S206" s="16">
        <f>O206*Q206</f>
        <v/>
      </c>
      <c r="T206" s="16">
        <f>R206+S206</f>
        <v/>
      </c>
      <c r="U206" s="16">
        <f>ROUND(T206*0.0005, 2)</f>
        <v/>
      </c>
      <c r="V206" s="16">
        <f>S206-R206</f>
        <v/>
      </c>
      <c r="W206" s="16">
        <f>V206-U206</f>
        <v/>
      </c>
      <c r="X206" s="16">
        <f>K206+W206</f>
        <v/>
      </c>
      <c r="Y206" s="16">
        <f>ROUND(0.20*R206, 2)</f>
        <v/>
      </c>
      <c r="Z206" s="18">
        <f>ROUND((W206/Y206)*100, 2)</f>
        <v/>
      </c>
      <c r="AA206" s="16">
        <f>MAX(AA205, X206)</f>
        <v/>
      </c>
      <c r="AB206" s="16">
        <f>X206-AA206</f>
        <v/>
      </c>
    </row>
    <row r="207">
      <c r="A207" s="13" t="n">
        <v>204</v>
      </c>
      <c r="B207" s="14" t="inlineStr">
        <is>
          <t>VBL</t>
        </is>
      </c>
      <c r="C207" s="13" t="inlineStr">
        <is>
          <t>Q4 2022-23</t>
        </is>
      </c>
      <c r="D207" s="19" t="inlineStr">
        <is>
          <t>FUTURE SHORT</t>
        </is>
      </c>
      <c r="E207" s="20" t="inlineStr">
        <is>
          <t>AVOID BUT MONITOR IT</t>
        </is>
      </c>
      <c r="F207" s="13" t="inlineStr">
        <is>
          <t>5 Quarters</t>
        </is>
      </c>
      <c r="G207" s="13" t="inlineStr">
        <is>
          <t>T-3 to T+1</t>
        </is>
      </c>
      <c r="H207" s="13" t="inlineStr">
        <is>
          <t>0.85%</t>
        </is>
      </c>
      <c r="I207" s="13" t="inlineStr">
        <is>
          <t>-2.19%</t>
        </is>
      </c>
      <c r="J207" s="13" t="inlineStr">
        <is>
          <t>-3.04%</t>
        </is>
      </c>
      <c r="K207" s="16">
        <f>X206</f>
        <v/>
      </c>
      <c r="L207" s="13" t="inlineStr">
        <is>
          <t>2023-01-17</t>
        </is>
      </c>
      <c r="M207" s="13" t="inlineStr">
        <is>
          <t>2023-01-23</t>
        </is>
      </c>
      <c r="N207" s="13" t="inlineStr">
        <is>
          <t>2023-01-20</t>
        </is>
      </c>
      <c r="O207" s="9" t="n">
        <v>2215</v>
      </c>
      <c r="P207" s="17" t="n">
        <v>245.1761779785156</v>
      </c>
      <c r="Q207" s="17" t="n">
        <v>239.9132843017578</v>
      </c>
      <c r="R207" s="16">
        <f>O207*P207</f>
        <v/>
      </c>
      <c r="S207" s="16">
        <f>O207*Q207</f>
        <v/>
      </c>
      <c r="T207" s="16">
        <f>R207+S207</f>
        <v/>
      </c>
      <c r="U207" s="16">
        <f>ROUND(T207*0.0005, 2)</f>
        <v/>
      </c>
      <c r="V207" s="16">
        <f>S207-R207</f>
        <v/>
      </c>
      <c r="W207" s="16">
        <f>V207-U207</f>
        <v/>
      </c>
      <c r="X207" s="16">
        <f>K207+W207</f>
        <v/>
      </c>
      <c r="Y207" s="16">
        <f>ROUND(0.20*R207, 2)</f>
        <v/>
      </c>
      <c r="Z207" s="18">
        <f>ROUND((W207/Y207)*100, 2)</f>
        <v/>
      </c>
      <c r="AA207" s="16">
        <f>MAX(AA206, X207)</f>
        <v/>
      </c>
      <c r="AB207" s="16">
        <f>X207-AA207</f>
        <v/>
      </c>
    </row>
    <row r="208">
      <c r="A208" s="13" t="n">
        <v>205</v>
      </c>
      <c r="B208" s="14" t="inlineStr">
        <is>
          <t>VEDL</t>
        </is>
      </c>
      <c r="C208" s="13" t="inlineStr">
        <is>
          <t>Q4 2022-23</t>
        </is>
      </c>
      <c r="D208" s="15" t="inlineStr">
        <is>
          <t>FUTURE LONG</t>
        </is>
      </c>
      <c r="E208" s="20" t="inlineStr">
        <is>
          <t>AVOID BUT MONITOR IT</t>
        </is>
      </c>
      <c r="F208" s="13" t="inlineStr">
        <is>
          <t>5 Quarters</t>
        </is>
      </c>
      <c r="G208" s="13" t="inlineStr">
        <is>
          <t>T-2 to T+4</t>
        </is>
      </c>
      <c r="H208" s="13" t="inlineStr">
        <is>
          <t>1.27%</t>
        </is>
      </c>
      <c r="I208" s="13" t="inlineStr">
        <is>
          <t>-1.36%</t>
        </is>
      </c>
      <c r="J208" s="13" t="inlineStr">
        <is>
          <t>-2.63%</t>
        </is>
      </c>
      <c r="K208" s="16">
        <f>X207</f>
        <v/>
      </c>
      <c r="L208" s="13" t="inlineStr">
        <is>
          <t>2023-01-18</t>
        </is>
      </c>
      <c r="M208" s="13" t="inlineStr">
        <is>
          <t>2023-01-27</t>
        </is>
      </c>
      <c r="N208" s="13" t="inlineStr">
        <is>
          <t>2023-01-20</t>
        </is>
      </c>
      <c r="O208" s="9" t="n">
        <v>3738</v>
      </c>
      <c r="P208" s="17" t="n">
        <v>220.9467315673828</v>
      </c>
      <c r="Q208" s="17" t="n">
        <v>217.9476165771484</v>
      </c>
      <c r="R208" s="16">
        <f>O208*P208</f>
        <v/>
      </c>
      <c r="S208" s="16">
        <f>O208*Q208</f>
        <v/>
      </c>
      <c r="T208" s="16">
        <f>R208+S208</f>
        <v/>
      </c>
      <c r="U208" s="16">
        <f>ROUND(T208*0.0005, 2)</f>
        <v/>
      </c>
      <c r="V208" s="16">
        <f>S208-R208</f>
        <v/>
      </c>
      <c r="W208" s="16">
        <f>V208-U208</f>
        <v/>
      </c>
      <c r="X208" s="16">
        <f>K208+W208</f>
        <v/>
      </c>
      <c r="Y208" s="16">
        <f>ROUND(0.20*R208, 2)</f>
        <v/>
      </c>
      <c r="Z208" s="18">
        <f>ROUND((W208/Y208)*100, 2)</f>
        <v/>
      </c>
      <c r="AA208" s="16">
        <f>MAX(AA207, X208)</f>
        <v/>
      </c>
      <c r="AB208" s="16">
        <f>X208-AA208</f>
        <v/>
      </c>
    </row>
    <row r="209">
      <c r="A209" s="13" t="n">
        <v>206</v>
      </c>
      <c r="B209" s="14" t="inlineStr">
        <is>
          <t>VMM</t>
        </is>
      </c>
      <c r="C209" s="13" t="inlineStr">
        <is>
          <t>Q4 2022-23</t>
        </is>
      </c>
      <c r="D209" s="15" t="inlineStr">
        <is>
          <t>FUTURE LONG</t>
        </is>
      </c>
      <c r="E209" s="20" t="inlineStr">
        <is>
          <t>AVOID BUT MONITOR IT</t>
        </is>
      </c>
      <c r="F209" s="13" t="inlineStr">
        <is>
          <t>1 Quarters</t>
        </is>
      </c>
      <c r="G209" s="13" t="inlineStr">
        <is>
          <t>T-5 to T+1</t>
        </is>
      </c>
      <c r="H209" s="13" t="inlineStr">
        <is>
          <t>12.11%</t>
        </is>
      </c>
      <c r="I209" s="13" t="inlineStr">
        <is>
          <t>-6.08%</t>
        </is>
      </c>
      <c r="J209" s="13" t="inlineStr">
        <is>
          <t>-18.19%</t>
        </is>
      </c>
      <c r="K209" s="16">
        <f>X208</f>
        <v/>
      </c>
      <c r="L209" s="13" t="inlineStr">
        <is>
          <t>2024-12-18</t>
        </is>
      </c>
      <c r="M209" s="13" t="inlineStr">
        <is>
          <t>2024-12-19</t>
        </is>
      </c>
      <c r="N209" s="13" t="inlineStr">
        <is>
          <t>2023-01-20</t>
        </is>
      </c>
      <c r="O209" s="9" t="n">
        <v>9268</v>
      </c>
      <c r="P209" s="17" t="n">
        <v>111.9300003051758</v>
      </c>
      <c r="Q209" s="17" t="n">
        <v>105.129997253418</v>
      </c>
      <c r="R209" s="16">
        <f>O209*P209</f>
        <v/>
      </c>
      <c r="S209" s="16">
        <f>O209*Q209</f>
        <v/>
      </c>
      <c r="T209" s="16">
        <f>R209+S209</f>
        <v/>
      </c>
      <c r="U209" s="16">
        <f>ROUND(T209*0.0005, 2)</f>
        <v/>
      </c>
      <c r="V209" s="16">
        <f>S209-R209</f>
        <v/>
      </c>
      <c r="W209" s="16">
        <f>V209-U209</f>
        <v/>
      </c>
      <c r="X209" s="16">
        <f>K209+W209</f>
        <v/>
      </c>
      <c r="Y209" s="16">
        <f>ROUND(0.20*R209, 2)</f>
        <v/>
      </c>
      <c r="Z209" s="18">
        <f>ROUND((W209/Y209)*100, 2)</f>
        <v/>
      </c>
      <c r="AA209" s="16">
        <f>MAX(AA208, X209)</f>
        <v/>
      </c>
      <c r="AB209" s="16">
        <f>X209-AA209</f>
        <v/>
      </c>
    </row>
    <row r="210">
      <c r="A210" s="13" t="n">
        <v>207</v>
      </c>
      <c r="B210" s="14" t="inlineStr">
        <is>
          <t>VOLTAS</t>
        </is>
      </c>
      <c r="C210" s="13" t="inlineStr">
        <is>
          <t>Q4 2022-23</t>
        </is>
      </c>
      <c r="D210" s="19" t="inlineStr">
        <is>
          <t>FUTURE SHORT</t>
        </is>
      </c>
      <c r="E210" s="20" t="inlineStr">
        <is>
          <t>AVOID BUT MONITOR IT</t>
        </is>
      </c>
      <c r="F210" s="13" t="inlineStr">
        <is>
          <t>5 Quarters</t>
        </is>
      </c>
      <c r="G210" s="13" t="inlineStr">
        <is>
          <t>T-3 to T+4</t>
        </is>
      </c>
      <c r="H210" s="13" t="inlineStr">
        <is>
          <t>1.62%</t>
        </is>
      </c>
      <c r="I210" s="13" t="inlineStr">
        <is>
          <t>8.03%</t>
        </is>
      </c>
      <c r="J210" s="13" t="inlineStr">
        <is>
          <t>6.41%</t>
        </is>
      </c>
      <c r="K210" s="16">
        <f>X209</f>
        <v/>
      </c>
      <c r="L210" s="13" t="inlineStr">
        <is>
          <t>2023-01-17</t>
        </is>
      </c>
      <c r="M210" s="13" t="inlineStr">
        <is>
          <t>2023-01-27</t>
        </is>
      </c>
      <c r="N210" s="13" t="inlineStr">
        <is>
          <t>2023-01-20</t>
        </is>
      </c>
      <c r="O210" s="9" t="n">
        <v>750</v>
      </c>
      <c r="P210" s="17" t="n">
        <v>731.924560546875</v>
      </c>
      <c r="Q210" s="17" t="n">
        <v>795.7880249023438</v>
      </c>
      <c r="R210" s="16">
        <f>O210*P210</f>
        <v/>
      </c>
      <c r="S210" s="16">
        <f>O210*Q210</f>
        <v/>
      </c>
      <c r="T210" s="16">
        <f>R210+S210</f>
        <v/>
      </c>
      <c r="U210" s="16">
        <f>ROUND(T210*0.0005, 2)</f>
        <v/>
      </c>
      <c r="V210" s="16">
        <f>S210-R210</f>
        <v/>
      </c>
      <c r="W210" s="16">
        <f>V210-U210</f>
        <v/>
      </c>
      <c r="X210" s="16">
        <f>K210+W210</f>
        <v/>
      </c>
      <c r="Y210" s="16">
        <f>ROUND(0.20*R210, 2)</f>
        <v/>
      </c>
      <c r="Z210" s="18">
        <f>ROUND((W210/Y210)*100, 2)</f>
        <v/>
      </c>
      <c r="AA210" s="16">
        <f>MAX(AA209, X210)</f>
        <v/>
      </c>
      <c r="AB210" s="16">
        <f>X210-AA210</f>
        <v/>
      </c>
    </row>
    <row r="211">
      <c r="A211" s="13" t="n">
        <v>208</v>
      </c>
      <c r="B211" s="14" t="inlineStr">
        <is>
          <t>WAAREEENER</t>
        </is>
      </c>
      <c r="C211" s="13" t="inlineStr">
        <is>
          <t>Q4 2022-23</t>
        </is>
      </c>
      <c r="D211" s="19" t="inlineStr">
        <is>
          <t>FUTURE SHORT</t>
        </is>
      </c>
      <c r="E211" s="20" t="inlineStr">
        <is>
          <t>AVOID BUT MONITOR IT</t>
        </is>
      </c>
      <c r="F211" s="13" t="inlineStr">
        <is>
          <t>2 Quarters</t>
        </is>
      </c>
      <c r="G211" s="13" t="inlineStr">
        <is>
          <t>T-8 to T+4</t>
        </is>
      </c>
      <c r="H211" s="13" t="inlineStr">
        <is>
          <t>20.61%</t>
        </is>
      </c>
      <c r="I211" s="13" t="inlineStr">
        <is>
          <t>-23.57%</t>
        </is>
      </c>
      <c r="J211" s="13" t="inlineStr">
        <is>
          <t>-44.18%</t>
        </is>
      </c>
      <c r="K211" s="16">
        <f>X210</f>
        <v/>
      </c>
      <c r="L211" s="13" t="inlineStr">
        <is>
          <t>2024-10-28</t>
        </is>
      </c>
      <c r="M211" s="13" t="inlineStr">
        <is>
          <t>2024-11-01</t>
        </is>
      </c>
      <c r="N211" s="13" t="inlineStr">
        <is>
          <t>2023-01-20</t>
        </is>
      </c>
      <c r="O211" s="9" t="n">
        <v>380</v>
      </c>
      <c r="P211" s="17" t="n">
        <v>2888.479736328125</v>
      </c>
      <c r="Q211" s="17" t="n">
        <v>2337.588623046875</v>
      </c>
      <c r="R211" s="16">
        <f>O211*P211</f>
        <v/>
      </c>
      <c r="S211" s="16">
        <f>O211*Q211</f>
        <v/>
      </c>
      <c r="T211" s="16">
        <f>R211+S211</f>
        <v/>
      </c>
      <c r="U211" s="16">
        <f>ROUND(T211*0.0005, 2)</f>
        <v/>
      </c>
      <c r="V211" s="16">
        <f>S211-R211</f>
        <v/>
      </c>
      <c r="W211" s="16">
        <f>V211-U211</f>
        <v/>
      </c>
      <c r="X211" s="16">
        <f>K211+W211</f>
        <v/>
      </c>
      <c r="Y211" s="16">
        <f>ROUND(0.20*R211, 2)</f>
        <v/>
      </c>
      <c r="Z211" s="18">
        <f>ROUND((W211/Y211)*100, 2)</f>
        <v/>
      </c>
      <c r="AA211" s="16">
        <f>MAX(AA210, X211)</f>
        <v/>
      </c>
      <c r="AB211" s="16">
        <f>X211-AA211</f>
        <v/>
      </c>
    </row>
    <row r="212">
      <c r="A212" s="13" t="n">
        <v>209</v>
      </c>
      <c r="B212" s="14" t="inlineStr">
        <is>
          <t>WIPRO</t>
        </is>
      </c>
      <c r="C212" s="13" t="inlineStr">
        <is>
          <t>Q4 2022-23</t>
        </is>
      </c>
      <c r="D212" s="15" t="inlineStr">
        <is>
          <t>FUTURE LONG</t>
        </is>
      </c>
      <c r="E212" s="15" t="inlineStr">
        <is>
          <t>QUALIFIED</t>
        </is>
      </c>
      <c r="F212" s="13" t="inlineStr">
        <is>
          <t>163 Quarters</t>
        </is>
      </c>
      <c r="G212" s="13" t="inlineStr">
        <is>
          <t>T-5 to T+4</t>
        </is>
      </c>
      <c r="H212" s="13" t="inlineStr">
        <is>
          <t>0.85%</t>
        </is>
      </c>
      <c r="I212" s="13" t="inlineStr">
        <is>
          <t>5.51%</t>
        </is>
      </c>
      <c r="J212" s="13" t="inlineStr">
        <is>
          <t>4.66%</t>
        </is>
      </c>
      <c r="K212" s="16">
        <f>X211</f>
        <v/>
      </c>
      <c r="L212" s="13" t="inlineStr">
        <is>
          <t>2023-07-07</t>
        </is>
      </c>
      <c r="M212" s="13" t="inlineStr">
        <is>
          <t>2023-07-20</t>
        </is>
      </c>
      <c r="N212" s="13" t="inlineStr">
        <is>
          <t>2023-07-13</t>
        </is>
      </c>
      <c r="O212" s="9" t="n">
        <v>1500</v>
      </c>
      <c r="P212" s="17" t="n">
        <v>185.1401824951172</v>
      </c>
      <c r="Q212" s="17" t="n">
        <v>195.3361053466797</v>
      </c>
      <c r="R212" s="16">
        <f>O212*P212</f>
        <v/>
      </c>
      <c r="S212" s="16">
        <f>O212*Q212</f>
        <v/>
      </c>
      <c r="T212" s="16">
        <f>R212+S212</f>
        <v/>
      </c>
      <c r="U212" s="16">
        <f>ROUND(T212*0.0005, 2)</f>
        <v/>
      </c>
      <c r="V212" s="16">
        <f>S212-R212</f>
        <v/>
      </c>
      <c r="W212" s="16">
        <f>V212-U212</f>
        <v/>
      </c>
      <c r="X212" s="16">
        <f>K212+W212</f>
        <v/>
      </c>
      <c r="Y212" s="16">
        <f>ROUND(0.20*R212, 2)</f>
        <v/>
      </c>
      <c r="Z212" s="18">
        <f>ROUND((W212/Y212)*100, 2)</f>
        <v/>
      </c>
      <c r="AA212" s="16">
        <f>MAX(AA211, X212)</f>
        <v/>
      </c>
      <c r="AB212" s="16">
        <f>X212-AA212</f>
        <v/>
      </c>
    </row>
    <row r="213">
      <c r="A213" s="13" t="n">
        <v>210</v>
      </c>
      <c r="B213" s="14" t="inlineStr">
        <is>
          <t>YESBANK</t>
        </is>
      </c>
      <c r="C213" s="13" t="inlineStr">
        <is>
          <t>Q4 2022-23</t>
        </is>
      </c>
      <c r="D213" s="19" t="inlineStr">
        <is>
          <t>FUTURE SHORT</t>
        </is>
      </c>
      <c r="E213" s="20" t="inlineStr">
        <is>
          <t>AVOID BUT MONITOR IT</t>
        </is>
      </c>
      <c r="F213" s="13" t="inlineStr">
        <is>
          <t>5 Quarters</t>
        </is>
      </c>
      <c r="G213" s="13" t="inlineStr">
        <is>
          <t>T-8 to T+4</t>
        </is>
      </c>
      <c r="H213" s="13" t="inlineStr">
        <is>
          <t>0.52%</t>
        </is>
      </c>
      <c r="I213" s="13" t="inlineStr">
        <is>
          <t>15.25%</t>
        </is>
      </c>
      <c r="J213" s="13" t="inlineStr">
        <is>
          <t>14.73%</t>
        </is>
      </c>
      <c r="K213" s="16">
        <f>X212</f>
        <v/>
      </c>
      <c r="L213" s="13" t="inlineStr">
        <is>
          <t>2023-01-10</t>
        </is>
      </c>
      <c r="M213" s="13" t="inlineStr">
        <is>
          <t>2023-01-27</t>
        </is>
      </c>
      <c r="N213" s="13" t="inlineStr">
        <is>
          <t>2023-01-20</t>
        </is>
      </c>
      <c r="O213" s="9" t="n">
        <v>44365</v>
      </c>
      <c r="P213" s="17" t="n">
        <v>17.5</v>
      </c>
      <c r="Q213" s="17" t="n">
        <v>20.64999961853028</v>
      </c>
      <c r="R213" s="16">
        <f>O213*P213</f>
        <v/>
      </c>
      <c r="S213" s="16">
        <f>O213*Q213</f>
        <v/>
      </c>
      <c r="T213" s="16">
        <f>R213+S213</f>
        <v/>
      </c>
      <c r="U213" s="16">
        <f>ROUND(T213*0.0005, 2)</f>
        <v/>
      </c>
      <c r="V213" s="16">
        <f>S213-R213</f>
        <v/>
      </c>
      <c r="W213" s="16">
        <f>V213-U213</f>
        <v/>
      </c>
      <c r="X213" s="16">
        <f>K213+W213</f>
        <v/>
      </c>
      <c r="Y213" s="16">
        <f>ROUND(0.20*R213, 2)</f>
        <v/>
      </c>
      <c r="Z213" s="18">
        <f>ROUND((W213/Y213)*100, 2)</f>
        <v/>
      </c>
      <c r="AA213" s="16">
        <f>MAX(AA212, X213)</f>
        <v/>
      </c>
      <c r="AB213" s="16">
        <f>X213-AA213</f>
        <v/>
      </c>
    </row>
    <row r="214">
      <c r="A214" s="13" t="n">
        <v>211</v>
      </c>
      <c r="B214" s="14" t="inlineStr">
        <is>
          <t>ZYDUSLIFE</t>
        </is>
      </c>
      <c r="C214" s="13" t="inlineStr">
        <is>
          <t>Q4 2022-23</t>
        </is>
      </c>
      <c r="D214" s="19" t="inlineStr">
        <is>
          <t>FUTURE SHORT</t>
        </is>
      </c>
      <c r="E214" s="20" t="inlineStr">
        <is>
          <t>AVOID BUT MONITOR IT</t>
        </is>
      </c>
      <c r="F214" s="13" t="inlineStr">
        <is>
          <t>5 Quarters</t>
        </is>
      </c>
      <c r="G214" s="13" t="inlineStr">
        <is>
          <t>T-4 to T+4</t>
        </is>
      </c>
      <c r="H214" s="13" t="inlineStr">
        <is>
          <t>-2.6%</t>
        </is>
      </c>
      <c r="I214" s="13" t="inlineStr">
        <is>
          <t>2.0%</t>
        </is>
      </c>
      <c r="J214" s="13" t="inlineStr">
        <is>
          <t>4.6%</t>
        </is>
      </c>
      <c r="K214" s="16">
        <f>X213</f>
        <v/>
      </c>
      <c r="L214" s="13" t="inlineStr">
        <is>
          <t>2023-01-16</t>
        </is>
      </c>
      <c r="M214" s="13" t="inlineStr">
        <is>
          <t>2023-01-27</t>
        </is>
      </c>
      <c r="N214" s="13" t="inlineStr">
        <is>
          <t>2023-01-20</t>
        </is>
      </c>
      <c r="O214" s="9" t="n">
        <v>896</v>
      </c>
      <c r="P214" s="17" t="n">
        <v>420.0704040527344</v>
      </c>
      <c r="Q214" s="17" t="n">
        <v>428.6611938476562</v>
      </c>
      <c r="R214" s="16">
        <f>O214*P214</f>
        <v/>
      </c>
      <c r="S214" s="16">
        <f>O214*Q214</f>
        <v/>
      </c>
      <c r="T214" s="16">
        <f>R214+S214</f>
        <v/>
      </c>
      <c r="U214" s="16">
        <f>ROUND(T214*0.0005, 2)</f>
        <v/>
      </c>
      <c r="V214" s="16">
        <f>S214-R214</f>
        <v/>
      </c>
      <c r="W214" s="16">
        <f>V214-U214</f>
        <v/>
      </c>
      <c r="X214" s="16">
        <f>K214+W214</f>
        <v/>
      </c>
      <c r="Y214" s="16">
        <f>ROUND(0.20*R214, 2)</f>
        <v/>
      </c>
      <c r="Z214" s="18">
        <f>ROUND((W214/Y214)*100, 2)</f>
        <v/>
      </c>
      <c r="AA214" s="16">
        <f>MAX(AA213, X214)</f>
        <v/>
      </c>
      <c r="AB214" s="16">
        <f>X214-AA214</f>
        <v/>
      </c>
    </row>
    <row r="215">
      <c r="A215" t="inlineStr">
        <is>
          <t>TOTAL / SUMMARY</t>
        </is>
      </c>
      <c r="W215" s="21">
        <f>SUM(W4:W214)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2026-09-02T05:49:19Z</dcterms:created>
  <dcterms:modified xmlns:dcterms="http://purl.org/dc/terms/" xmlns:xsi="http://www.w3.org/2001/XMLSchema-instance" xsi:type="dcterms:W3CDTF">2026-09-02T05:49:23Z</dcterms:modified>
</cp:coreProperties>
</file>