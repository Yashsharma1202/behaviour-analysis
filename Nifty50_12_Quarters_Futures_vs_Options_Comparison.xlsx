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&amp;_Win_Rate_Compare" sheetId="1" state="visible" r:id="rId1"/>
    <sheet xmlns:r="http://schemas.openxmlformats.org/officeDocument/2006/relationships" name="Futures_Win_Options_Loss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-₹#,##0.00"/>
    <numFmt numFmtId="166" formatCode="-0.00%"/>
    <numFmt numFmtId="167" formatCode="+0.00%;-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3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334155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0" fontId="8" fillId="5" borderId="1" applyAlignment="1" pivotButton="0" quotePrefix="0" xfId="0">
      <alignment horizontal="center"/>
    </xf>
    <xf numFmtId="164" fontId="8" fillId="0" borderId="1" pivotButton="0" quotePrefix="0" xfId="0"/>
    <xf numFmtId="10" fontId="0" fillId="0" borderId="1" applyAlignment="1" pivotButton="0" quotePrefix="0" xfId="0">
      <alignment horizontal="center"/>
    </xf>
    <xf numFmtId="166" fontId="9" fillId="6" borderId="1" applyAlignment="1" pivotButton="0" quotePrefix="0" xfId="0">
      <alignment horizontal="center"/>
    </xf>
    <xf numFmtId="164" fontId="10" fillId="0" borderId="1" pivotButton="0" quotePrefix="0" xfId="0"/>
    <xf numFmtId="0" fontId="0" fillId="9" borderId="1" applyAlignment="1" pivotButton="0" quotePrefix="0" xfId="0">
      <alignment horizontal="center"/>
    </xf>
    <xf numFmtId="10" fontId="0" fillId="9" borderId="1" applyAlignment="1" pivotButton="0" quotePrefix="0" xfId="0">
      <alignment horizontal="center"/>
    </xf>
    <xf numFmtId="164" fontId="10" fillId="9" borderId="1" pivotButton="0" quotePrefix="0" xfId="0"/>
    <xf numFmtId="164" fontId="9" fillId="0" borderId="1" pivotButton="0" quotePrefix="0" xfId="0"/>
    <xf numFmtId="0" fontId="10" fillId="0" borderId="2" pivotButton="0" quotePrefix="0" xfId="0"/>
    <xf numFmtId="0" fontId="0" fillId="0" borderId="2" applyAlignment="1" pivotButton="0" quotePrefix="0" xfId="0">
      <alignment horizontal="center"/>
    </xf>
    <xf numFmtId="10" fontId="8" fillId="5" borderId="2" applyAlignment="1" pivotButton="0" quotePrefix="0" xfId="0">
      <alignment horizontal="center"/>
    </xf>
    <xf numFmtId="164" fontId="8" fillId="5" borderId="2" pivotButton="0" quotePrefix="0" xfId="0"/>
    <xf numFmtId="10" fontId="0" fillId="0" borderId="2" applyAlignment="1" pivotButton="0" quotePrefix="0" xfId="0">
      <alignment horizontal="center"/>
    </xf>
    <xf numFmtId="166" fontId="9" fillId="6" borderId="2" applyAlignment="1" pivotButton="0" quotePrefix="0" xfId="0">
      <alignment horizontal="center"/>
    </xf>
    <xf numFmtId="164" fontId="0" fillId="0" borderId="2" pivotButton="0" quotePrefix="0" xfId="0"/>
    <xf numFmtId="164" fontId="0" fillId="0" borderId="1" pivotButton="0" quotePrefix="0" xfId="0"/>
    <xf numFmtId="167" fontId="0" fillId="0" borderId="1" applyAlignment="1" pivotButton="0" quotePrefix="0" xfId="0">
      <alignment horizontal="center"/>
    </xf>
    <xf numFmtId="164" fontId="8" fillId="5" borderId="1" pivotButton="0" quotePrefix="0" xfId="0"/>
    <xf numFmtId="164" fontId="9" fillId="6" borderId="1" pivotButton="0" quotePrefix="0" xfId="0"/>
    <xf numFmtId="0" fontId="0" fillId="9" borderId="1" pivotButton="0" quotePrefix="0" xfId="0"/>
    <xf numFmtId="164" fontId="0" fillId="9" borderId="1" pivotButton="0" quotePrefix="0" xfId="0"/>
    <xf numFmtId="167" fontId="0" fillId="9" borderId="1" applyAlignment="1" pivotButton="0" quotePrefix="0" xfId="0">
      <alignment horizontal="center"/>
    </xf>
    <xf numFmtId="0" fontId="0" fillId="0" borderId="2" pivotButton="0" quotePrefix="0" xfId="0"/>
    <xf numFmtId="164" fontId="9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Futures Win Rate (%) vs. Options Win Rate (%) Across 12 Quarters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'Summary_&amp;_Win_Rate_Compare'!C7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'Summary_&amp;_Win_Rate_Compare'!$A$8:$A$19</f>
            </numRef>
          </cat>
          <val>
            <numRef>
              <f>'Summary_&amp;_Win_Rate_Compare'!$C$8:$C$19</f>
            </numRef>
          </val>
        </ser>
        <ser>
          <idx val="1"/>
          <order val="1"/>
          <tx>
            <strRef>
              <f>'Summary_&amp;_Win_Rate_Compare'!D7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'Summary_&amp;_Win_Rate_Compare'!$A$8:$A$19</f>
            </numRef>
          </cat>
          <val>
            <numRef>
              <f>'Summary_&amp;_Win_Rate_Compare'!$D$8:$D$19</f>
            </numRef>
          </val>
        </ser>
        <ser>
          <idx val="2"/>
          <order val="2"/>
          <tx>
            <strRef>
              <f>'Summary_&amp;_Win_Rate_Compare'!E7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'Summary_&amp;_Win_Rate_Compare'!$A$8:$A$19</f>
            </numRef>
          </cat>
          <val>
            <numRef>
              <f>'Summary_&amp;_Win_Rate_Compare'!$E$8:$E$19</f>
            </numRef>
          </val>
        </ser>
        <ser>
          <idx val="3"/>
          <order val="3"/>
          <tx>
            <strRef>
              <f>'Summary_&amp;_Win_Rate_Compare'!F7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'Summary_&amp;_Win_Rate_Compare'!$A$8:$A$19</f>
            </numRef>
          </cat>
          <val>
            <numRef>
              <f>'Summary_&amp;_Win_Rate_Compare'!$F$8:$F$19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24" customWidth="1" min="3" max="3"/>
    <col width="34" customWidth="1" min="4" max="4"/>
    <col width="16" customWidth="1" min="5" max="5"/>
    <col width="24" customWidth="1" min="6" max="6"/>
    <col width="50" customWidth="1" min="7" max="7"/>
    <col width="24" customWidth="1" min="8" max="8"/>
    <col width="23" customWidth="1" min="9" max="9"/>
    <col width="37" customWidth="1" min="10" max="10"/>
  </cols>
  <sheetData>
    <row r="1" ht="42" customHeight="1">
      <c r="A1" s="1" t="inlineStr">
        <is>
          <t>FUTURES VS. 1% ITM OPTIONS STRATEGY — 12-QUARTER COMPARISON &amp; WIN RATE AUDIT</t>
        </is>
      </c>
    </row>
    <row r="2"/>
    <row r="3" ht="22" customHeight="1">
      <c r="A3" s="2" t="inlineStr">
        <is>
          <t>TOTAL FUTURES WIN / OPTIONS LOSS TRADES</t>
        </is>
      </c>
      <c r="B3" s="3" t="n"/>
      <c r="C3" s="3" t="n"/>
      <c r="D3" s="2" t="inlineStr">
        <is>
          <t>FUTURES PROFIT ON THESE TRADES</t>
        </is>
      </c>
      <c r="E3" s="3" t="n"/>
      <c r="F3" s="3" t="n"/>
      <c r="G3" s="2" t="inlineStr">
        <is>
          <t>OPTIONS LOSS ON THESE TRADES (DUE TO IV CRUSH)</t>
        </is>
      </c>
      <c r="H3" s="3" t="n"/>
      <c r="I3" s="3" t="n"/>
      <c r="J3" s="3" t="n"/>
    </row>
    <row r="4" ht="30" customHeight="1">
      <c r="A4" s="4" t="inlineStr">
        <is>
          <t>106 Trades (17.7%)</t>
        </is>
      </c>
      <c r="B4" s="3" t="n"/>
      <c r="C4" s="3" t="n"/>
      <c r="D4" s="5" t="n">
        <v>546806.75</v>
      </c>
      <c r="E4" s="3" t="n"/>
      <c r="F4" s="3" t="n"/>
      <c r="G4" s="6" t="n">
        <v>-595219.63</v>
      </c>
      <c r="H4" s="3" t="n"/>
      <c r="I4" s="3" t="n"/>
      <c r="J4" s="3" t="n"/>
    </row>
    <row r="5"/>
    <row r="6" ht="26" customHeight="1">
      <c r="A6" s="7" t="inlineStr">
        <is>
          <t>SIDE-BY-SIDE QUARTERLY SCORECARD COMPARISON (FUTURES VS. OPTIONS BUYING)</t>
        </is>
      </c>
    </row>
    <row r="7" ht="28" customHeight="1">
      <c r="A7" s="8" t="inlineStr">
        <is>
          <t>Quarter</t>
        </is>
      </c>
      <c r="B7" s="8" t="inlineStr">
        <is>
          <t>Futures Wins</t>
        </is>
      </c>
      <c r="C7" s="8" t="inlineStr">
        <is>
          <t>Futures Win Rate (%)</t>
        </is>
      </c>
      <c r="D7" s="8" t="inlineStr">
        <is>
          <t>Futures P&amp;L (₹)</t>
        </is>
      </c>
      <c r="E7" s="8" t="inlineStr">
        <is>
          <t>Options Wins</t>
        </is>
      </c>
      <c r="F7" s="8" t="inlineStr">
        <is>
          <t>Options Win Rate (%)</t>
        </is>
      </c>
      <c r="G7" s="8" t="inlineStr">
        <is>
          <t>Options P&amp;L (₹)</t>
        </is>
      </c>
      <c r="H7" s="8" t="inlineStr">
        <is>
          <t>Win Rate Diff (%)</t>
        </is>
      </c>
      <c r="I7" s="8" t="inlineStr">
        <is>
          <t>P&amp;L Diff (₹)</t>
        </is>
      </c>
      <c r="J7" s="8" t="inlineStr">
        <is>
          <t>Futures Win / Options Loss Trades</t>
        </is>
      </c>
    </row>
    <row r="8" ht="22" customHeight="1">
      <c r="A8" s="9" t="inlineStr">
        <is>
          <t>Q3 2023-24</t>
        </is>
      </c>
      <c r="B8" s="9" t="inlineStr">
        <is>
          <t>46/50</t>
        </is>
      </c>
      <c r="C8" s="10" t="n">
        <v>0.92</v>
      </c>
      <c r="D8" s="11" t="n">
        <v>630821</v>
      </c>
      <c r="E8" s="9" t="inlineStr">
        <is>
          <t>33/50</t>
        </is>
      </c>
      <c r="F8" s="12" t="n">
        <v>0.66</v>
      </c>
      <c r="G8" s="11" t="n">
        <v>365837.32</v>
      </c>
      <c r="H8" s="13" t="n">
        <v>-0.26</v>
      </c>
      <c r="I8" s="14" t="n">
        <v>-264983.68</v>
      </c>
      <c r="J8" s="9" t="n">
        <v>13</v>
      </c>
    </row>
    <row r="9" ht="22" customHeight="1">
      <c r="A9" s="15" t="inlineStr">
        <is>
          <t>Q4 2023-24</t>
        </is>
      </c>
      <c r="B9" s="15" t="inlineStr">
        <is>
          <t>47/50</t>
        </is>
      </c>
      <c r="C9" s="10" t="n">
        <v>0.9399999999999999</v>
      </c>
      <c r="D9" s="11" t="n">
        <v>1662111.75</v>
      </c>
      <c r="E9" s="15" t="inlineStr">
        <is>
          <t>43/50</t>
        </is>
      </c>
      <c r="F9" s="16" t="n">
        <v>0.86</v>
      </c>
      <c r="G9" s="11" t="n">
        <v>1334890.81</v>
      </c>
      <c r="H9" s="13" t="n">
        <v>-0.07999999999999996</v>
      </c>
      <c r="I9" s="17" t="n">
        <v>-327220.9399999999</v>
      </c>
      <c r="J9" s="15" t="n">
        <v>4</v>
      </c>
    </row>
    <row r="10" ht="22" customHeight="1">
      <c r="A10" s="9" t="inlineStr">
        <is>
          <t>Q1 2024-25</t>
        </is>
      </c>
      <c r="B10" s="9" t="inlineStr">
        <is>
          <t>32/50</t>
        </is>
      </c>
      <c r="C10" s="10" t="n">
        <v>0.64</v>
      </c>
      <c r="D10" s="11" t="n">
        <v>368367.25</v>
      </c>
      <c r="E10" s="9" t="inlineStr">
        <is>
          <t>21/50</t>
        </is>
      </c>
      <c r="F10" s="12" t="n">
        <v>0.42</v>
      </c>
      <c r="G10" s="11" t="n">
        <v>188489.84</v>
      </c>
      <c r="H10" s="13" t="n">
        <v>-0.22</v>
      </c>
      <c r="I10" s="14" t="n">
        <v>-179877.41</v>
      </c>
      <c r="J10" s="9" t="n">
        <v>11</v>
      </c>
    </row>
    <row r="11" ht="22" customHeight="1">
      <c r="A11" s="15" t="inlineStr">
        <is>
          <t>Q2 2024-25</t>
        </is>
      </c>
      <c r="B11" s="15" t="inlineStr">
        <is>
          <t>34/50</t>
        </is>
      </c>
      <c r="C11" s="10" t="n">
        <v>0.68</v>
      </c>
      <c r="D11" s="11" t="n">
        <v>637875.75</v>
      </c>
      <c r="E11" s="15" t="inlineStr">
        <is>
          <t>25/50</t>
        </is>
      </c>
      <c r="F11" s="16" t="n">
        <v>0.5</v>
      </c>
      <c r="G11" s="11" t="n">
        <v>456155.09</v>
      </c>
      <c r="H11" s="13" t="n">
        <v>-0.18</v>
      </c>
      <c r="I11" s="17" t="n">
        <v>-181720.66</v>
      </c>
      <c r="J11" s="15" t="n">
        <v>9</v>
      </c>
    </row>
    <row r="12" ht="22" customHeight="1">
      <c r="A12" s="9" t="inlineStr">
        <is>
          <t>Q3 2024-25</t>
        </is>
      </c>
      <c r="B12" s="9" t="inlineStr">
        <is>
          <t>31/50</t>
        </is>
      </c>
      <c r="C12" s="10" t="n">
        <v>0.62</v>
      </c>
      <c r="D12" s="11" t="n">
        <v>578677.5</v>
      </c>
      <c r="E12" s="9" t="inlineStr">
        <is>
          <t>21/50</t>
        </is>
      </c>
      <c r="F12" s="12" t="n">
        <v>0.42</v>
      </c>
      <c r="G12" s="11" t="n">
        <v>95079.17999999999</v>
      </c>
      <c r="H12" s="13" t="n">
        <v>-0.2</v>
      </c>
      <c r="I12" s="14" t="n">
        <v>-483598.32</v>
      </c>
      <c r="J12" s="9" t="n">
        <v>10</v>
      </c>
    </row>
    <row r="13" ht="22" customHeight="1">
      <c r="A13" s="15" t="inlineStr">
        <is>
          <t>Q4 2024-25</t>
        </is>
      </c>
      <c r="B13" s="15" t="inlineStr">
        <is>
          <t>26/50</t>
        </is>
      </c>
      <c r="C13" s="10" t="n">
        <v>0.52</v>
      </c>
      <c r="D13" s="11" t="n">
        <v>264661.25</v>
      </c>
      <c r="E13" s="15" t="inlineStr">
        <is>
          <t>23/50</t>
        </is>
      </c>
      <c r="F13" s="16" t="n">
        <v>0.46</v>
      </c>
      <c r="G13" s="11" t="n">
        <v>124425.9</v>
      </c>
      <c r="H13" s="13" t="n">
        <v>-0.06</v>
      </c>
      <c r="I13" s="17" t="n">
        <v>-140235.35</v>
      </c>
      <c r="J13" s="15" t="n">
        <v>3</v>
      </c>
    </row>
    <row r="14" ht="22" customHeight="1">
      <c r="A14" s="9" t="inlineStr">
        <is>
          <t>Q1 2025-26</t>
        </is>
      </c>
      <c r="B14" s="9" t="inlineStr">
        <is>
          <t>31/50</t>
        </is>
      </c>
      <c r="C14" s="10" t="n">
        <v>0.62</v>
      </c>
      <c r="D14" s="11" t="n">
        <v>700051.25</v>
      </c>
      <c r="E14" s="9" t="inlineStr">
        <is>
          <t>21/50</t>
        </is>
      </c>
      <c r="F14" s="12" t="n">
        <v>0.42</v>
      </c>
      <c r="G14" s="11" t="n">
        <v>430850.82</v>
      </c>
      <c r="H14" s="13" t="n">
        <v>-0.2</v>
      </c>
      <c r="I14" s="14" t="n">
        <v>-269200.43</v>
      </c>
      <c r="J14" s="9" t="n">
        <v>10</v>
      </c>
    </row>
    <row r="15" ht="22" customHeight="1">
      <c r="A15" s="15" t="inlineStr">
        <is>
          <t>Q2 2025-26</t>
        </is>
      </c>
      <c r="B15" s="15" t="inlineStr">
        <is>
          <t>26/50</t>
        </is>
      </c>
      <c r="C15" s="10" t="n">
        <v>0.52</v>
      </c>
      <c r="D15" s="18" t="n">
        <v>-102387.5</v>
      </c>
      <c r="E15" s="15" t="inlineStr">
        <is>
          <t>14/50</t>
        </is>
      </c>
      <c r="F15" s="16" t="n">
        <v>0.28</v>
      </c>
      <c r="G15" s="18" t="n">
        <v>-314554.22</v>
      </c>
      <c r="H15" s="13" t="n">
        <v>-0.24</v>
      </c>
      <c r="I15" s="17" t="n">
        <v>-212166.72</v>
      </c>
      <c r="J15" s="15" t="n">
        <v>12</v>
      </c>
    </row>
    <row r="16" ht="22" customHeight="1">
      <c r="A16" s="9" t="inlineStr">
        <is>
          <t>Q3 2025-26</t>
        </is>
      </c>
      <c r="B16" s="9" t="inlineStr">
        <is>
          <t>33/50</t>
        </is>
      </c>
      <c r="C16" s="10" t="n">
        <v>0.66</v>
      </c>
      <c r="D16" s="11" t="n">
        <v>653956</v>
      </c>
      <c r="E16" s="9" t="inlineStr">
        <is>
          <t>25/50</t>
        </is>
      </c>
      <c r="F16" s="12" t="n">
        <v>0.5</v>
      </c>
      <c r="G16" s="11" t="n">
        <v>257646.55</v>
      </c>
      <c r="H16" s="13" t="n">
        <v>-0.16</v>
      </c>
      <c r="I16" s="14" t="n">
        <v>-396309.45</v>
      </c>
      <c r="J16" s="9" t="n">
        <v>8</v>
      </c>
    </row>
    <row r="17" ht="22" customHeight="1">
      <c r="A17" s="15" t="inlineStr">
        <is>
          <t>Q4 2025-26</t>
        </is>
      </c>
      <c r="B17" s="15" t="inlineStr">
        <is>
          <t>36/50</t>
        </is>
      </c>
      <c r="C17" s="10" t="n">
        <v>0.72</v>
      </c>
      <c r="D17" s="11" t="n">
        <v>1074357.75</v>
      </c>
      <c r="E17" s="15" t="inlineStr">
        <is>
          <t>30/50</t>
        </is>
      </c>
      <c r="F17" s="16" t="n">
        <v>0.6</v>
      </c>
      <c r="G17" s="11" t="n">
        <v>670092.64</v>
      </c>
      <c r="H17" s="13" t="n">
        <v>-0.12</v>
      </c>
      <c r="I17" s="17" t="n">
        <v>-404265.11</v>
      </c>
      <c r="J17" s="15" t="n">
        <v>6</v>
      </c>
    </row>
    <row r="18" ht="22" customHeight="1">
      <c r="A18" s="9" t="inlineStr">
        <is>
          <t>Q1 2026-27</t>
        </is>
      </c>
      <c r="B18" s="9" t="inlineStr">
        <is>
          <t>30/50</t>
        </is>
      </c>
      <c r="C18" s="10" t="n">
        <v>0.6</v>
      </c>
      <c r="D18" s="11" t="n">
        <v>566815.75</v>
      </c>
      <c r="E18" s="9" t="inlineStr">
        <is>
          <t>19/50</t>
        </is>
      </c>
      <c r="F18" s="12" t="n">
        <v>0.38</v>
      </c>
      <c r="G18" s="11" t="n">
        <v>189096.49</v>
      </c>
      <c r="H18" s="13" t="n">
        <v>-0.22</v>
      </c>
      <c r="I18" s="14" t="n">
        <v>-377719.26</v>
      </c>
      <c r="J18" s="9" t="n">
        <v>11</v>
      </c>
    </row>
    <row r="19" ht="22" customHeight="1">
      <c r="A19" s="15" t="inlineStr">
        <is>
          <t>Q2 2026-27</t>
        </is>
      </c>
      <c r="B19" s="15" t="inlineStr">
        <is>
          <t>43/50</t>
        </is>
      </c>
      <c r="C19" s="10" t="n">
        <v>0.86</v>
      </c>
      <c r="D19" s="11" t="n">
        <v>1389158.5</v>
      </c>
      <c r="E19" s="15" t="inlineStr">
        <is>
          <t>34/50</t>
        </is>
      </c>
      <c r="F19" s="16" t="n">
        <v>0.68</v>
      </c>
      <c r="G19" s="11" t="n">
        <v>863579.65</v>
      </c>
      <c r="H19" s="13" t="n">
        <v>-0.1799999999999999</v>
      </c>
      <c r="I19" s="17" t="n">
        <v>-525578.85</v>
      </c>
      <c r="J19" s="15" t="n">
        <v>9</v>
      </c>
    </row>
    <row r="20" ht="25" customHeight="1">
      <c r="A20" s="19" t="inlineStr">
        <is>
          <t>12-QUARTER TOTAL</t>
        </is>
      </c>
      <c r="B20" s="20" t="inlineStr">
        <is>
          <t>415/600</t>
        </is>
      </c>
      <c r="C20" s="21" t="n">
        <v>0.6916666666666667</v>
      </c>
      <c r="D20" s="22" t="n">
        <v>8424466.25</v>
      </c>
      <c r="E20" s="20" t="inlineStr">
        <is>
          <t>309/600</t>
        </is>
      </c>
      <c r="F20" s="23" t="n">
        <v>0.515</v>
      </c>
      <c r="G20" s="22" t="n">
        <v>4661590.07</v>
      </c>
      <c r="H20" s="24" t="n">
        <v>-0.1766666666666666</v>
      </c>
      <c r="I20" s="25" t="n">
        <v>-3762876.18</v>
      </c>
      <c r="J20" s="20" t="n">
        <v>106</v>
      </c>
    </row>
  </sheetData>
  <mergeCells count="8">
    <mergeCell ref="A1:J1"/>
    <mergeCell ref="G3:J3"/>
    <mergeCell ref="A6:J6"/>
    <mergeCell ref="G4:J4"/>
    <mergeCell ref="D4:F4"/>
    <mergeCell ref="D3:F3"/>
    <mergeCell ref="A3:C3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1" customWidth="1" min="1" max="1"/>
    <col width="14" customWidth="1" min="2" max="2"/>
    <col width="14" customWidth="1" min="3" max="3"/>
    <col width="38" customWidth="1" min="4" max="4"/>
    <col width="27" customWidth="1" min="5" max="5"/>
    <col width="16" customWidth="1" min="6" max="6"/>
    <col width="14" customWidth="1" min="7" max="7"/>
    <col width="14" customWidth="1" min="8" max="8"/>
    <col width="18" customWidth="1" min="9" max="9"/>
    <col width="17" customWidth="1" min="10" max="10"/>
    <col width="26" customWidth="1" min="11" max="11"/>
    <col width="13" customWidth="1" min="12" max="12"/>
    <col width="19" customWidth="1" min="13" max="13"/>
    <col width="29" customWidth="1" min="14" max="14"/>
    <col width="28" customWidth="1" min="15" max="15"/>
    <col width="30" customWidth="1" min="16" max="16"/>
    <col width="19" customWidth="1" min="17" max="17"/>
    <col width="25" customWidth="1" min="18" max="18"/>
    <col width="99" customWidth="1" min="19" max="19"/>
  </cols>
  <sheetData>
    <row r="1" ht="40" customHeight="1">
      <c r="A1" s="1" t="inlineStr">
        <is>
          <t>EXACT AUDIT JOURNAL — ALL 106 TRADES WHERE FUTURES MADE A PROFIT BUT OPTIONS SUFFERED A LOSS</t>
        </is>
      </c>
    </row>
    <row r="2" ht="26" customHeight="1">
      <c r="A2" s="7" t="inlineStr">
        <is>
          <t>ROOT CAUSE ANALYSIS: Post-earnings Implied Volatility (IV) crush (~1.5% premium erosion) exceeds small directional stock moves (&lt;1.2%), making Futures profitable while Options lose money.</t>
        </is>
      </c>
    </row>
    <row r="3" ht="28" customHeight="1">
      <c r="A3" s="8" t="inlineStr">
        <is>
          <t>Trade #</t>
        </is>
      </c>
      <c r="B3" s="8" t="inlineStr">
        <is>
          <t>Quarter</t>
        </is>
      </c>
      <c r="C3" s="8" t="inlineStr">
        <is>
          <t>Symbol</t>
        </is>
      </c>
      <c r="D3" s="8" t="inlineStr">
        <is>
          <t>Company Name</t>
        </is>
      </c>
      <c r="E3" s="8" t="inlineStr">
        <is>
          <t>Sector</t>
        </is>
      </c>
      <c r="F3" s="8" t="inlineStr">
        <is>
          <t>Strategy</t>
        </is>
      </c>
      <c r="G3" s="8" t="inlineStr">
        <is>
          <t>Entry Date</t>
        </is>
      </c>
      <c r="H3" s="8" t="inlineStr">
        <is>
          <t>Exit Date</t>
        </is>
      </c>
      <c r="I3" s="8" t="inlineStr">
        <is>
          <t>Entry Spot (₹)</t>
        </is>
      </c>
      <c r="J3" s="8" t="inlineStr">
        <is>
          <t>Exit Spot (₹)</t>
        </is>
      </c>
      <c r="K3" s="8" t="inlineStr">
        <is>
          <t>Spot Move (%)</t>
        </is>
      </c>
      <c r="L3" s="8" t="inlineStr">
        <is>
          <t>Lot Size</t>
        </is>
      </c>
      <c r="M3" s="8" t="inlineStr">
        <is>
          <t>Futures P&amp;L (₹)</t>
        </is>
      </c>
      <c r="N3" s="8" t="inlineStr">
        <is>
          <t>Options Entry Premium (₹)</t>
        </is>
      </c>
      <c r="O3" s="8" t="inlineStr">
        <is>
          <t>Options Exit Premium (₹)</t>
        </is>
      </c>
      <c r="P3" s="8" t="inlineStr">
        <is>
          <t>Options Capital Outlay (₹)</t>
        </is>
      </c>
      <c r="Q3" s="8" t="inlineStr">
        <is>
          <t>Options P&amp;L (₹)</t>
        </is>
      </c>
      <c r="R3" s="8" t="inlineStr">
        <is>
          <t>Options Return (%)</t>
        </is>
      </c>
      <c r="S3" s="8" t="inlineStr">
        <is>
          <t>Discrepancy Root Cause Reason</t>
        </is>
      </c>
    </row>
    <row r="4" ht="21" customHeight="1">
      <c r="A4" s="9" t="n">
        <v>1</v>
      </c>
      <c r="B4" s="9" t="inlineStr">
        <is>
          <t>Q3 2023-24</t>
        </is>
      </c>
      <c r="C4" s="9" t="inlineStr">
        <is>
          <t>HDFCBANK</t>
        </is>
      </c>
      <c r="D4" s="3" t="inlineStr">
        <is>
          <t>HDFC Bank Ltd</t>
        </is>
      </c>
      <c r="E4" s="3" t="inlineStr">
        <is>
          <t>Financial Services</t>
        </is>
      </c>
      <c r="F4" s="9" t="inlineStr">
        <is>
          <t>FUTURE SHORT</t>
        </is>
      </c>
      <c r="G4" s="9" t="inlineStr">
        <is>
          <t>2023-10-05</t>
        </is>
      </c>
      <c r="H4" s="9" t="inlineStr">
        <is>
          <t>2023-10-18</t>
        </is>
      </c>
      <c r="I4" s="26" t="n">
        <v>767.88</v>
      </c>
      <c r="J4" s="26" t="n">
        <v>760.65</v>
      </c>
      <c r="K4" s="27" t="n">
        <v>0.009415533677137076</v>
      </c>
      <c r="L4" s="9" t="n">
        <v>550</v>
      </c>
      <c r="M4" s="28" t="n">
        <v>3976.5</v>
      </c>
      <c r="N4" s="26" t="n">
        <v>27.48</v>
      </c>
      <c r="O4" s="26" t="n">
        <v>23.15</v>
      </c>
      <c r="P4" s="26" t="n">
        <v>15112.68</v>
      </c>
      <c r="Q4" s="29" t="n">
        <v>-2378.39</v>
      </c>
      <c r="R4" s="13" t="n">
        <v>-0.157377116434676</v>
      </c>
      <c r="S4" s="3" t="inlineStr">
        <is>
          <t>Post-earnings IV crush (~1.5%) eroded option time premium faster than small stock move (+0.94%)</t>
        </is>
      </c>
    </row>
    <row r="5" ht="21" customHeight="1">
      <c r="A5" s="15" t="n">
        <v>2</v>
      </c>
      <c r="B5" s="15" t="inlineStr">
        <is>
          <t>Q3 2023-24</t>
        </is>
      </c>
      <c r="C5" s="15" t="inlineStr">
        <is>
          <t>HINDUNILVR</t>
        </is>
      </c>
      <c r="D5" s="30" t="inlineStr">
        <is>
          <t>Hindustan Unilever Ltd</t>
        </is>
      </c>
      <c r="E5" s="30" t="inlineStr">
        <is>
          <t>Consumer Goods (FMCG)</t>
        </is>
      </c>
      <c r="F5" s="15" t="inlineStr">
        <is>
          <t>FUTURE SHORT</t>
        </is>
      </c>
      <c r="G5" s="15" t="inlineStr">
        <is>
          <t>2023-10-09</t>
        </is>
      </c>
      <c r="H5" s="15" t="inlineStr">
        <is>
          <t>2023-10-25</t>
        </is>
      </c>
      <c r="I5" s="31" t="n">
        <v>2512.5</v>
      </c>
      <c r="J5" s="31" t="n">
        <v>2481</v>
      </c>
      <c r="K5" s="32" t="n">
        <v>0.01253731343283582</v>
      </c>
      <c r="L5" s="15" t="n">
        <v>300</v>
      </c>
      <c r="M5" s="28" t="n">
        <v>9450</v>
      </c>
      <c r="N5" s="31" t="n">
        <v>77.75</v>
      </c>
      <c r="O5" s="31" t="n">
        <v>71.41</v>
      </c>
      <c r="P5" s="31" t="n">
        <v>23325</v>
      </c>
      <c r="Q5" s="29" t="n">
        <v>-1903.5</v>
      </c>
      <c r="R5" s="13" t="n">
        <v>-0.08160771704180064</v>
      </c>
      <c r="S5" s="30" t="inlineStr">
        <is>
          <t>Post-earnings IV crush (~1.5%) eroded option time premium faster than small stock move (+1.25%)</t>
        </is>
      </c>
    </row>
    <row r="6" ht="21" customHeight="1">
      <c r="A6" s="9" t="n">
        <v>3</v>
      </c>
      <c r="B6" s="9" t="inlineStr">
        <is>
          <t>Q3 2023-24</t>
        </is>
      </c>
      <c r="C6" s="9" t="inlineStr">
        <is>
          <t>AXISBANK</t>
        </is>
      </c>
      <c r="D6" s="3" t="inlineStr">
        <is>
          <t>Axis Bank Ltd</t>
        </is>
      </c>
      <c r="E6" s="3" t="inlineStr">
        <is>
          <t>Financial Services</t>
        </is>
      </c>
      <c r="F6" s="9" t="inlineStr">
        <is>
          <t>FUTURE LONG</t>
        </is>
      </c>
      <c r="G6" s="9" t="inlineStr">
        <is>
          <t>2023-10-13</t>
        </is>
      </c>
      <c r="H6" s="9" t="inlineStr">
        <is>
          <t>2023-10-27</t>
        </is>
      </c>
      <c r="I6" s="26" t="n">
        <v>997.05</v>
      </c>
      <c r="J6" s="26" t="n">
        <v>1004.78</v>
      </c>
      <c r="K6" s="27" t="n">
        <v>0.007752870969359629</v>
      </c>
      <c r="L6" s="9" t="n">
        <v>625</v>
      </c>
      <c r="M6" s="28" t="n">
        <v>4831.25</v>
      </c>
      <c r="N6" s="26" t="n">
        <v>26.99</v>
      </c>
      <c r="O6" s="26" t="n">
        <v>19.8</v>
      </c>
      <c r="P6" s="26" t="n">
        <v>16869.37</v>
      </c>
      <c r="Q6" s="29" t="n">
        <v>-4491.94</v>
      </c>
      <c r="R6" s="13" t="n">
        <v>-0.2662778752259272</v>
      </c>
      <c r="S6" s="3" t="inlineStr">
        <is>
          <t>Post-earnings IV crush (~1.5%) eroded option time premium faster than small stock move (+0.78%)</t>
        </is>
      </c>
    </row>
    <row r="7" ht="21" customHeight="1">
      <c r="A7" s="15" t="n">
        <v>4</v>
      </c>
      <c r="B7" s="15" t="inlineStr">
        <is>
          <t>Q3 2023-24</t>
        </is>
      </c>
      <c r="C7" s="15" t="inlineStr">
        <is>
          <t>CIPLA</t>
        </is>
      </c>
      <c r="D7" s="30" t="inlineStr">
        <is>
          <t>Cipla Ltd</t>
        </is>
      </c>
      <c r="E7" s="30" t="inlineStr">
        <is>
          <t>Healthcare &amp; Pharma</t>
        </is>
      </c>
      <c r="F7" s="15" t="inlineStr">
        <is>
          <t>FUTURE SHORT</t>
        </is>
      </c>
      <c r="G7" s="15" t="inlineStr">
        <is>
          <t>2023-10-18</t>
        </is>
      </c>
      <c r="H7" s="15" t="inlineStr">
        <is>
          <t>2023-10-30</t>
        </is>
      </c>
      <c r="I7" s="31" t="n">
        <v>1217.8</v>
      </c>
      <c r="J7" s="31" t="n">
        <v>1201.77</v>
      </c>
      <c r="K7" s="32" t="n">
        <v>0.01316308096567579</v>
      </c>
      <c r="L7" s="15" t="n">
        <v>650</v>
      </c>
      <c r="M7" s="28" t="n">
        <v>10419.5</v>
      </c>
      <c r="N7" s="31" t="n">
        <v>26.56</v>
      </c>
      <c r="O7" s="31" t="n">
        <v>24.24</v>
      </c>
      <c r="P7" s="31" t="n">
        <v>17261.4</v>
      </c>
      <c r="Q7" s="29" t="n">
        <v>-1506.15</v>
      </c>
      <c r="R7" s="13" t="n">
        <v>-0.08725537905384267</v>
      </c>
      <c r="S7" s="30" t="inlineStr">
        <is>
          <t>Post-earnings IV crush (~1.5%) eroded option time premium faster than small stock move (+1.32%)</t>
        </is>
      </c>
    </row>
    <row r="8" ht="21" customHeight="1">
      <c r="A8" s="9" t="n">
        <v>5</v>
      </c>
      <c r="B8" s="9" t="inlineStr">
        <is>
          <t>Q3 2023-24</t>
        </is>
      </c>
      <c r="C8" s="9" t="inlineStr">
        <is>
          <t>RELIANCE</t>
        </is>
      </c>
      <c r="D8" s="3" t="inlineStr">
        <is>
          <t>Reliance Industries Ltd</t>
        </is>
      </c>
      <c r="E8" s="3" t="inlineStr">
        <is>
          <t>Energy</t>
        </is>
      </c>
      <c r="F8" s="9" t="inlineStr">
        <is>
          <t>FUTURE LONG</t>
        </is>
      </c>
      <c r="G8" s="9" t="inlineStr">
        <is>
          <t>2023-10-18</t>
        </is>
      </c>
      <c r="H8" s="9" t="inlineStr">
        <is>
          <t>2023-11-06</t>
        </is>
      </c>
      <c r="I8" s="26" t="n">
        <v>1162</v>
      </c>
      <c r="J8" s="26" t="n">
        <v>1168.34</v>
      </c>
      <c r="K8" s="27" t="n">
        <v>0.005456110154905265</v>
      </c>
      <c r="L8" s="9" t="n">
        <v>250</v>
      </c>
      <c r="M8" s="28" t="n">
        <v>1585</v>
      </c>
      <c r="N8" s="26" t="n">
        <v>25.24</v>
      </c>
      <c r="O8" s="26" t="n">
        <v>14.18</v>
      </c>
      <c r="P8" s="26" t="n">
        <v>6310</v>
      </c>
      <c r="Q8" s="29" t="n">
        <v>-2764.58</v>
      </c>
      <c r="R8" s="13" t="n">
        <v>-0.4381267828843106</v>
      </c>
      <c r="S8" s="3" t="inlineStr">
        <is>
          <t>Post-earnings IV crush (~1.5%) eroded option time premium faster than small stock move (+0.55%)</t>
        </is>
      </c>
    </row>
    <row r="9" ht="21" customHeight="1">
      <c r="A9" s="15" t="n">
        <v>6</v>
      </c>
      <c r="B9" s="15" t="inlineStr">
        <is>
          <t>Q3 2023-24</t>
        </is>
      </c>
      <c r="C9" s="15" t="inlineStr">
        <is>
          <t>SBILIFE</t>
        </is>
      </c>
      <c r="D9" s="30" t="inlineStr">
        <is>
          <t>SBI Life Insurance Co Ltd</t>
        </is>
      </c>
      <c r="E9" s="30" t="inlineStr">
        <is>
          <t>Financial Services</t>
        </is>
      </c>
      <c r="F9" s="15" t="inlineStr">
        <is>
          <t>FUTURE SHORT</t>
        </is>
      </c>
      <c r="G9" s="15" t="inlineStr">
        <is>
          <t>2023-10-18</t>
        </is>
      </c>
      <c r="H9" s="15" t="inlineStr">
        <is>
          <t>2023-11-02</t>
        </is>
      </c>
      <c r="I9" s="31" t="n">
        <v>1357.95</v>
      </c>
      <c r="J9" s="31" t="n">
        <v>1346.44</v>
      </c>
      <c r="K9" s="32" t="n">
        <v>0.008476011635185382</v>
      </c>
      <c r="L9" s="15" t="n">
        <v>750</v>
      </c>
      <c r="M9" s="28" t="n">
        <v>8632.5</v>
      </c>
      <c r="N9" s="31" t="n">
        <v>49.21</v>
      </c>
      <c r="O9" s="31" t="n">
        <v>40.29</v>
      </c>
      <c r="P9" s="31" t="n">
        <v>36906.75</v>
      </c>
      <c r="Q9" s="29" t="n">
        <v>-6687.6</v>
      </c>
      <c r="R9" s="13" t="n">
        <v>-0.1812026255359792</v>
      </c>
      <c r="S9" s="30" t="inlineStr">
        <is>
          <t>Post-earnings IV crush (~1.5%) eroded option time premium faster than small stock move (+0.85%)</t>
        </is>
      </c>
    </row>
    <row r="10" ht="21" customHeight="1">
      <c r="A10" s="9" t="n">
        <v>7</v>
      </c>
      <c r="B10" s="9" t="inlineStr">
        <is>
          <t>Q3 2023-24</t>
        </is>
      </c>
      <c r="C10" s="9" t="inlineStr">
        <is>
          <t>KOTAKBANK</t>
        </is>
      </c>
      <c r="D10" s="3" t="inlineStr">
        <is>
          <t>Kotak Mahindra Bank Ltd</t>
        </is>
      </c>
      <c r="E10" s="3" t="inlineStr">
        <is>
          <t>Financial Services</t>
        </is>
      </c>
      <c r="F10" s="9" t="inlineStr">
        <is>
          <t>FUTURE SHORT</t>
        </is>
      </c>
      <c r="G10" s="9" t="inlineStr">
        <is>
          <t>2023-10-19</t>
        </is>
      </c>
      <c r="H10" s="9" t="inlineStr">
        <is>
          <t>2023-10-25</t>
        </is>
      </c>
      <c r="I10" s="26" t="n">
        <v>347.69</v>
      </c>
      <c r="J10" s="26" t="n">
        <v>345.96</v>
      </c>
      <c r="K10" s="27" t="n">
        <v>0.004975696741350105</v>
      </c>
      <c r="L10" s="9" t="n">
        <v>400</v>
      </c>
      <c r="M10" s="28" t="n">
        <v>692</v>
      </c>
      <c r="N10" s="26" t="n">
        <v>9.26</v>
      </c>
      <c r="O10" s="26" t="n">
        <v>5.77</v>
      </c>
      <c r="P10" s="26" t="n">
        <v>3705.52</v>
      </c>
      <c r="Q10" s="29" t="n">
        <v>-1397.6</v>
      </c>
      <c r="R10" s="13" t="n">
        <v>-0.3771670372849155</v>
      </c>
      <c r="S10" s="3" t="inlineStr">
        <is>
          <t>Post-earnings IV crush (~1.5%) eroded option time premium faster than small stock move (+0.50%)</t>
        </is>
      </c>
    </row>
    <row r="11" ht="21" customHeight="1">
      <c r="A11" s="15" t="n">
        <v>8</v>
      </c>
      <c r="B11" s="15" t="inlineStr">
        <is>
          <t>Q3 2023-24</t>
        </is>
      </c>
      <c r="C11" s="15" t="inlineStr">
        <is>
          <t>MARUTI</t>
        </is>
      </c>
      <c r="D11" s="30" t="inlineStr">
        <is>
          <t>Maruti Suzuki India Ltd</t>
        </is>
      </c>
      <c r="E11" s="30" t="inlineStr">
        <is>
          <t>Automobile &amp; Auto</t>
        </is>
      </c>
      <c r="F11" s="15" t="inlineStr">
        <is>
          <t>FUTURE SHORT</t>
        </is>
      </c>
      <c r="G11" s="15" t="inlineStr">
        <is>
          <t>2023-10-23</t>
        </is>
      </c>
      <c r="H11" s="15" t="inlineStr">
        <is>
          <t>2023-10-31</t>
        </is>
      </c>
      <c r="I11" s="31" t="n">
        <v>10571.45</v>
      </c>
      <c r="J11" s="31" t="n">
        <v>10420.4</v>
      </c>
      <c r="K11" s="32" t="n">
        <v>0.01428848455036926</v>
      </c>
      <c r="L11" s="15" t="n">
        <v>100</v>
      </c>
      <c r="M11" s="28" t="n">
        <v>15105</v>
      </c>
      <c r="N11" s="31" t="n">
        <v>339.98</v>
      </c>
      <c r="O11" s="31" t="n">
        <v>331.7</v>
      </c>
      <c r="P11" s="31" t="n">
        <v>33997.9</v>
      </c>
      <c r="Q11" s="29" t="n">
        <v>-827.7</v>
      </c>
      <c r="R11" s="13" t="n">
        <v>-0.02434562134720086</v>
      </c>
      <c r="S11" s="30" t="inlineStr">
        <is>
          <t>Post-earnings IV crush (~1.5%) eroded option time premium faster than small stock move (+1.43%)</t>
        </is>
      </c>
    </row>
    <row r="12" ht="21" customHeight="1">
      <c r="A12" s="9" t="n">
        <v>9</v>
      </c>
      <c r="B12" s="9" t="inlineStr">
        <is>
          <t>Q3 2023-24</t>
        </is>
      </c>
      <c r="C12" s="9" t="inlineStr">
        <is>
          <t>NESTLEIND</t>
        </is>
      </c>
      <c r="D12" s="3" t="inlineStr">
        <is>
          <t>Nestle India Ltd</t>
        </is>
      </c>
      <c r="E12" s="3" t="inlineStr">
        <is>
          <t>Consumer Goods (FMCG)</t>
        </is>
      </c>
      <c r="F12" s="9" t="inlineStr">
        <is>
          <t>FUTURE SHORT</t>
        </is>
      </c>
      <c r="G12" s="9" t="inlineStr">
        <is>
          <t>2023-10-25</t>
        </is>
      </c>
      <c r="H12" s="9" t="inlineStr">
        <is>
          <t>2023-11-03</t>
        </is>
      </c>
      <c r="I12" s="26" t="n">
        <v>1213.14</v>
      </c>
      <c r="J12" s="26" t="n">
        <v>1201.17</v>
      </c>
      <c r="K12" s="27" t="n">
        <v>0.009866956822790466</v>
      </c>
      <c r="L12" s="9" t="n">
        <v>250</v>
      </c>
      <c r="M12" s="28" t="n">
        <v>2992.5</v>
      </c>
      <c r="N12" s="26" t="n">
        <v>31.12</v>
      </c>
      <c r="O12" s="26" t="n">
        <v>24.84</v>
      </c>
      <c r="P12" s="26" t="n">
        <v>7780.7</v>
      </c>
      <c r="Q12" s="29" t="n">
        <v>-1571.74</v>
      </c>
      <c r="R12" s="13" t="n">
        <v>-0.2020049609932268</v>
      </c>
      <c r="S12" s="3" t="inlineStr">
        <is>
          <t>Post-earnings IV crush (~1.5%) eroded option time premium faster than small stock move (+0.99%)</t>
        </is>
      </c>
    </row>
    <row r="13" ht="21" customHeight="1">
      <c r="A13" s="15" t="n">
        <v>10</v>
      </c>
      <c r="B13" s="15" t="inlineStr">
        <is>
          <t>Q3 2023-24</t>
        </is>
      </c>
      <c r="C13" s="15" t="inlineStr">
        <is>
          <t>INDIGO</t>
        </is>
      </c>
      <c r="D13" s="30" t="inlineStr">
        <is>
          <t>InterGlobe Aviation Ltd</t>
        </is>
      </c>
      <c r="E13" s="30" t="inlineStr">
        <is>
          <t>Aviation / Transport</t>
        </is>
      </c>
      <c r="F13" s="15" t="inlineStr">
        <is>
          <t>FUTURE LONG</t>
        </is>
      </c>
      <c r="G13" s="15" t="inlineStr">
        <is>
          <t>2023-10-30</t>
        </is>
      </c>
      <c r="H13" s="15" t="inlineStr">
        <is>
          <t>2023-11-10</t>
        </is>
      </c>
      <c r="I13" s="31" t="n">
        <v>2507.2</v>
      </c>
      <c r="J13" s="31" t="n">
        <v>2511.43</v>
      </c>
      <c r="K13" s="32" t="n">
        <v>0.001687141033822598</v>
      </c>
      <c r="L13" s="15" t="n">
        <v>300</v>
      </c>
      <c r="M13" s="28" t="n">
        <v>1269</v>
      </c>
      <c r="N13" s="31" t="n">
        <v>77.34</v>
      </c>
      <c r="O13" s="31" t="n">
        <v>43.99</v>
      </c>
      <c r="P13" s="31" t="n">
        <v>23203.2</v>
      </c>
      <c r="Q13" s="29" t="n">
        <v>-10007.05</v>
      </c>
      <c r="R13" s="13" t="n">
        <v>-0.431278875327541</v>
      </c>
      <c r="S13" s="30" t="inlineStr">
        <is>
          <t>Post-earnings IV crush (~1.5%) eroded option time premium faster than small stock move (+0.17%)</t>
        </is>
      </c>
    </row>
    <row r="14" ht="21" customHeight="1">
      <c r="A14" s="9" t="n">
        <v>11</v>
      </c>
      <c r="B14" s="9" t="inlineStr">
        <is>
          <t>Q3 2023-24</t>
        </is>
      </c>
      <c r="C14" s="9" t="inlineStr">
        <is>
          <t>TATASTEEL</t>
        </is>
      </c>
      <c r="D14" s="3" t="inlineStr">
        <is>
          <t>Tata Steel Ltd</t>
        </is>
      </c>
      <c r="E14" s="3" t="inlineStr">
        <is>
          <t>Metals &amp; Mining</t>
        </is>
      </c>
      <c r="F14" s="9" t="inlineStr">
        <is>
          <t>FUTURE SHORT</t>
        </is>
      </c>
      <c r="G14" s="9" t="inlineStr">
        <is>
          <t>2023-10-31</t>
        </is>
      </c>
      <c r="H14" s="9" t="inlineStr">
        <is>
          <t>2023-11-02</t>
        </is>
      </c>
      <c r="I14" s="26" t="n">
        <v>119.45</v>
      </c>
      <c r="J14" s="26" t="n">
        <v>118.92</v>
      </c>
      <c r="K14" s="27" t="n">
        <v>0.004437002930096284</v>
      </c>
      <c r="L14" s="9" t="n">
        <v>5500</v>
      </c>
      <c r="M14" s="28" t="n">
        <v>2915</v>
      </c>
      <c r="N14" s="26" t="n">
        <v>2.94</v>
      </c>
      <c r="O14" s="26" t="n">
        <v>1.67</v>
      </c>
      <c r="P14" s="26" t="n">
        <v>16164.5</v>
      </c>
      <c r="Q14" s="29" t="n">
        <v>-6954.2</v>
      </c>
      <c r="R14" s="13" t="n">
        <v>-0.4302143586253828</v>
      </c>
      <c r="S14" s="3" t="inlineStr">
        <is>
          <t>Post-earnings IV crush (~1.5%) eroded option time premium faster than small stock move (+0.44%)</t>
        </is>
      </c>
    </row>
    <row r="15" ht="21" customHeight="1">
      <c r="A15" s="15" t="n">
        <v>12</v>
      </c>
      <c r="B15" s="15" t="inlineStr">
        <is>
          <t>Q3 2023-24</t>
        </is>
      </c>
      <c r="C15" s="15" t="inlineStr">
        <is>
          <t>ADANIPORTS</t>
        </is>
      </c>
      <c r="D15" s="30" t="inlineStr">
        <is>
          <t>Adani Ports &amp; SEZ Ltd</t>
        </is>
      </c>
      <c r="E15" s="30" t="inlineStr">
        <is>
          <t>Services &amp; Logistics</t>
        </is>
      </c>
      <c r="F15" s="15" t="inlineStr">
        <is>
          <t>FUTURE LONG</t>
        </is>
      </c>
      <c r="G15" s="15" t="inlineStr">
        <is>
          <t>2023-11-03</t>
        </is>
      </c>
      <c r="H15" s="15" t="inlineStr">
        <is>
          <t>2023-11-21</t>
        </is>
      </c>
      <c r="I15" s="31" t="n">
        <v>799.55</v>
      </c>
      <c r="J15" s="31" t="n">
        <v>804.73</v>
      </c>
      <c r="K15" s="32" t="n">
        <v>0.006478644237383608</v>
      </c>
      <c r="L15" s="15" t="n">
        <v>800</v>
      </c>
      <c r="M15" s="28" t="n">
        <v>4144</v>
      </c>
      <c r="N15" s="31" t="n">
        <v>25.54</v>
      </c>
      <c r="O15" s="31" t="n">
        <v>18.75</v>
      </c>
      <c r="P15" s="31" t="n">
        <v>20432.8</v>
      </c>
      <c r="Q15" s="29" t="n">
        <v>-5429.88</v>
      </c>
      <c r="R15" s="13" t="n">
        <v>-0.2657433146705298</v>
      </c>
      <c r="S15" s="30" t="inlineStr">
        <is>
          <t>Post-earnings IV crush (~1.5%) eroded option time premium faster than small stock move (+0.65%)</t>
        </is>
      </c>
    </row>
    <row r="16" ht="21" customHeight="1">
      <c r="A16" s="9" t="n">
        <v>13</v>
      </c>
      <c r="B16" s="9" t="inlineStr">
        <is>
          <t>Q3 2023-24</t>
        </is>
      </c>
      <c r="C16" s="9" t="inlineStr">
        <is>
          <t>M&amp;M</t>
        </is>
      </c>
      <c r="D16" s="3" t="inlineStr">
        <is>
          <t>Mahindra &amp; Mahindra Ltd</t>
        </is>
      </c>
      <c r="E16" s="3" t="inlineStr">
        <is>
          <t>Automobile &amp; Auto</t>
        </is>
      </c>
      <c r="F16" s="9" t="inlineStr">
        <is>
          <t>FUTURE LONG</t>
        </is>
      </c>
      <c r="G16" s="9" t="inlineStr">
        <is>
          <t>2023-11-09</t>
        </is>
      </c>
      <c r="H16" s="9" t="inlineStr">
        <is>
          <t>2023-11-16</t>
        </is>
      </c>
      <c r="I16" s="26" t="n">
        <v>1547</v>
      </c>
      <c r="J16" s="26" t="n">
        <v>1562.85</v>
      </c>
      <c r="K16" s="27" t="n">
        <v>0.01024563671622489</v>
      </c>
      <c r="L16" s="9" t="n">
        <v>350</v>
      </c>
      <c r="M16" s="28" t="n">
        <v>5547.5</v>
      </c>
      <c r="N16" s="26" t="n">
        <v>37.94</v>
      </c>
      <c r="O16" s="26" t="n">
        <v>30.66</v>
      </c>
      <c r="P16" s="26" t="n">
        <v>13279</v>
      </c>
      <c r="Q16" s="29" t="n">
        <v>-2546.51</v>
      </c>
      <c r="R16" s="13" t="n">
        <v>-0.1917697115746668</v>
      </c>
      <c r="S16" s="3" t="inlineStr">
        <is>
          <t>Post-earnings IV crush (~1.5%) eroded option time premium faster than small stock move (+1.02%)</t>
        </is>
      </c>
    </row>
    <row r="17" ht="21" customHeight="1">
      <c r="A17" s="15" t="n">
        <v>14</v>
      </c>
      <c r="B17" s="15" t="inlineStr">
        <is>
          <t>Q4 2023-24</t>
        </is>
      </c>
      <c r="C17" s="15" t="inlineStr">
        <is>
          <t>BEL</t>
        </is>
      </c>
      <c r="D17" s="30" t="inlineStr">
        <is>
          <t>Bharat Electronics Ltd</t>
        </is>
      </c>
      <c r="E17" s="30" t="inlineStr">
        <is>
          <t>Capital Goods / Defense</t>
        </is>
      </c>
      <c r="F17" s="15" t="inlineStr">
        <is>
          <t>FUTURE SHORT</t>
        </is>
      </c>
      <c r="G17" s="15" t="inlineStr">
        <is>
          <t>2024-01-18</t>
        </is>
      </c>
      <c r="H17" s="15" t="inlineStr">
        <is>
          <t>2024-01-30</t>
        </is>
      </c>
      <c r="I17" s="31" t="n">
        <v>189.55</v>
      </c>
      <c r="J17" s="31" t="n">
        <v>189.44</v>
      </c>
      <c r="K17" s="32" t="n">
        <v>0.0005803218148246565</v>
      </c>
      <c r="L17" s="15" t="n">
        <v>1500</v>
      </c>
      <c r="M17" s="28" t="n">
        <v>165</v>
      </c>
      <c r="N17" s="31" t="n">
        <v>4.24</v>
      </c>
      <c r="O17" s="31" t="n">
        <v>1.51</v>
      </c>
      <c r="P17" s="31" t="n">
        <v>6361.5</v>
      </c>
      <c r="Q17" s="29" t="n">
        <v>-4100.7</v>
      </c>
      <c r="R17" s="13" t="n">
        <v>-0.64461211978307</v>
      </c>
      <c r="S17" s="30" t="inlineStr">
        <is>
          <t>Post-earnings IV crush (~1.5%) eroded option time premium faster than small stock move (+0.06%)</t>
        </is>
      </c>
    </row>
    <row r="18" ht="21" customHeight="1">
      <c r="A18" s="9" t="n">
        <v>15</v>
      </c>
      <c r="B18" s="9" t="inlineStr">
        <is>
          <t>Q4 2023-24</t>
        </is>
      </c>
      <c r="C18" s="9" t="inlineStr">
        <is>
          <t>EICHERMOT</t>
        </is>
      </c>
      <c r="D18" s="3" t="inlineStr">
        <is>
          <t>Hero MotoCorp Ltd</t>
        </is>
      </c>
      <c r="E18" s="3" t="inlineStr">
        <is>
          <t>Automobile &amp; Auto</t>
        </is>
      </c>
      <c r="F18" s="9" t="inlineStr">
        <is>
          <t>FUTURE SHORT</t>
        </is>
      </c>
      <c r="G18" s="9" t="inlineStr">
        <is>
          <t>2024-02-01</t>
        </is>
      </c>
      <c r="H18" s="9" t="inlineStr">
        <is>
          <t>2024-02-23</t>
        </is>
      </c>
      <c r="I18" s="26" t="n">
        <v>3943.15</v>
      </c>
      <c r="J18" s="26" t="n">
        <v>3940.93</v>
      </c>
      <c r="K18" s="27" t="n">
        <v>0.0005630016611085692</v>
      </c>
      <c r="L18" s="9" t="n">
        <v>175</v>
      </c>
      <c r="M18" s="28" t="n">
        <v>388.5</v>
      </c>
      <c r="N18" s="26" t="n">
        <v>115.71</v>
      </c>
      <c r="O18" s="26" t="n">
        <v>58.77</v>
      </c>
      <c r="P18" s="26" t="n">
        <v>20249.77</v>
      </c>
      <c r="Q18" s="29" t="n">
        <v>-9964.209999999999</v>
      </c>
      <c r="R18" s="13" t="n">
        <v>-0.4920653419767236</v>
      </c>
      <c r="S18" s="3" t="inlineStr">
        <is>
          <t>Post-earnings IV crush (~1.5%) eroded option time premium faster than small stock move (+0.06%)</t>
        </is>
      </c>
    </row>
    <row r="19" ht="21" customHeight="1">
      <c r="A19" s="15" t="n">
        <v>16</v>
      </c>
      <c r="B19" s="15" t="inlineStr">
        <is>
          <t>Q4 2023-24</t>
        </is>
      </c>
      <c r="C19" s="15" t="inlineStr">
        <is>
          <t>NESTLEIND</t>
        </is>
      </c>
      <c r="D19" s="30" t="inlineStr">
        <is>
          <t>Nestle India Ltd</t>
        </is>
      </c>
      <c r="E19" s="30" t="inlineStr">
        <is>
          <t>Consumer Goods (FMCG)</t>
        </is>
      </c>
      <c r="F19" s="15" t="inlineStr">
        <is>
          <t>FUTURE SHORT</t>
        </is>
      </c>
      <c r="G19" s="15" t="inlineStr">
        <is>
          <t>2024-02-06</t>
        </is>
      </c>
      <c r="H19" s="15" t="inlineStr">
        <is>
          <t>2024-02-15</t>
        </is>
      </c>
      <c r="I19" s="31" t="n">
        <v>1228.32</v>
      </c>
      <c r="J19" s="31" t="n">
        <v>1228</v>
      </c>
      <c r="K19" s="32" t="n">
        <v>0.0002605184316789895</v>
      </c>
      <c r="L19" s="15" t="n">
        <v>250</v>
      </c>
      <c r="M19" s="28" t="n">
        <v>80</v>
      </c>
      <c r="N19" s="31" t="n">
        <v>36.25</v>
      </c>
      <c r="O19" s="31" t="n">
        <v>18.14</v>
      </c>
      <c r="P19" s="31" t="n">
        <v>9061.6</v>
      </c>
      <c r="Q19" s="29" t="n">
        <v>-4526.6</v>
      </c>
      <c r="R19" s="13" t="n">
        <v>-0.4995365056943586</v>
      </c>
      <c r="S19" s="30" t="inlineStr">
        <is>
          <t>Post-earnings IV crush (~1.5%) eroded option time premium faster than small stock move (+0.03%)</t>
        </is>
      </c>
    </row>
    <row r="20" ht="21" customHeight="1">
      <c r="A20" s="9" t="n">
        <v>17</v>
      </c>
      <c r="B20" s="9" t="inlineStr">
        <is>
          <t>Q4 2023-24</t>
        </is>
      </c>
      <c r="C20" s="9" t="inlineStr">
        <is>
          <t>GRASIM</t>
        </is>
      </c>
      <c r="D20" s="3" t="inlineStr">
        <is>
          <t>Grasim Industries Ltd</t>
        </is>
      </c>
      <c r="E20" s="3" t="inlineStr">
        <is>
          <t>Construction Materials</t>
        </is>
      </c>
      <c r="F20" s="9" t="inlineStr">
        <is>
          <t>FUTURE LONG</t>
        </is>
      </c>
      <c r="G20" s="9" t="inlineStr">
        <is>
          <t>2024-02-08</t>
        </is>
      </c>
      <c r="H20" s="9" t="inlineStr">
        <is>
          <t>2024-02-14</t>
        </is>
      </c>
      <c r="I20" s="26" t="n">
        <v>2080</v>
      </c>
      <c r="J20" s="26" t="n">
        <v>2100.67</v>
      </c>
      <c r="K20" s="27" t="n">
        <v>0.009937500000000035</v>
      </c>
      <c r="L20" s="9" t="n">
        <v>475</v>
      </c>
      <c r="M20" s="28" t="n">
        <v>9818.25</v>
      </c>
      <c r="N20" s="26" t="n">
        <v>61.6</v>
      </c>
      <c r="O20" s="26" t="n">
        <v>51.17</v>
      </c>
      <c r="P20" s="26" t="n">
        <v>29260</v>
      </c>
      <c r="Q20" s="29" t="n">
        <v>-4952.66</v>
      </c>
      <c r="R20" s="13" t="n">
        <v>-0.1692638414217361</v>
      </c>
      <c r="S20" s="3" t="inlineStr">
        <is>
          <t>Post-earnings IV crush (~1.5%) eroded option time premium faster than small stock move (+0.99%)</t>
        </is>
      </c>
    </row>
    <row r="21" ht="21" customHeight="1">
      <c r="A21" s="15" t="n">
        <v>18</v>
      </c>
      <c r="B21" s="15" t="inlineStr">
        <is>
          <t>Q1 2024-25</t>
        </is>
      </c>
      <c r="C21" s="15" t="inlineStr">
        <is>
          <t>RELIANCE</t>
        </is>
      </c>
      <c r="D21" s="30" t="inlineStr">
        <is>
          <t>Reliance Industries Ltd</t>
        </is>
      </c>
      <c r="E21" s="30" t="inlineStr">
        <is>
          <t>Energy</t>
        </is>
      </c>
      <c r="F21" s="15" t="inlineStr">
        <is>
          <t>FUTURE SHORT</t>
        </is>
      </c>
      <c r="G21" s="15" t="inlineStr">
        <is>
          <t>2024-04-15</t>
        </is>
      </c>
      <c r="H21" s="15" t="inlineStr">
        <is>
          <t>2024-04-16</t>
        </is>
      </c>
      <c r="I21" s="31" t="n">
        <v>1464.82</v>
      </c>
      <c r="J21" s="31" t="n">
        <v>1457.73</v>
      </c>
      <c r="K21" s="32" t="n">
        <v>0.004840185142201717</v>
      </c>
      <c r="L21" s="15" t="n">
        <v>250</v>
      </c>
      <c r="M21" s="28" t="n">
        <v>1772.5</v>
      </c>
      <c r="N21" s="31" t="n">
        <v>44.48</v>
      </c>
      <c r="O21" s="31" t="n">
        <v>29.56</v>
      </c>
      <c r="P21" s="31" t="n">
        <v>11119.1</v>
      </c>
      <c r="Q21" s="29" t="n">
        <v>-3729.44</v>
      </c>
      <c r="R21" s="13" t="n">
        <v>-0.3354084413306833</v>
      </c>
      <c r="S21" s="30" t="inlineStr">
        <is>
          <t>Post-earnings IV crush (~1.5%) eroded option time premium faster than small stock move (+0.48%)</t>
        </is>
      </c>
    </row>
    <row r="22" ht="21" customHeight="1">
      <c r="A22" s="9" t="n">
        <v>19</v>
      </c>
      <c r="B22" s="9" t="inlineStr">
        <is>
          <t>Q1 2024-25</t>
        </is>
      </c>
      <c r="C22" s="9" t="inlineStr">
        <is>
          <t>INFY</t>
        </is>
      </c>
      <c r="D22" s="3" t="inlineStr">
        <is>
          <t>Infosys Ltd</t>
        </is>
      </c>
      <c r="E22" s="3" t="inlineStr">
        <is>
          <t>Information Technology</t>
        </is>
      </c>
      <c r="F22" s="9" t="inlineStr">
        <is>
          <t>FUTURE SHORT</t>
        </is>
      </c>
      <c r="G22" s="9" t="inlineStr">
        <is>
          <t>2024-04-18</t>
        </is>
      </c>
      <c r="H22" s="9" t="inlineStr">
        <is>
          <t>2024-05-02</t>
        </is>
      </c>
      <c r="I22" s="26" t="n">
        <v>1433.95</v>
      </c>
      <c r="J22" s="26" t="n">
        <v>1430.53</v>
      </c>
      <c r="K22" s="27" t="n">
        <v>0.002385020398200825</v>
      </c>
      <c r="L22" s="9" t="n">
        <v>400</v>
      </c>
      <c r="M22" s="28" t="n">
        <v>1368</v>
      </c>
      <c r="N22" s="26" t="n">
        <v>34.73</v>
      </c>
      <c r="O22" s="26" t="n">
        <v>16.62</v>
      </c>
      <c r="P22" s="26" t="n">
        <v>13891.6</v>
      </c>
      <c r="Q22" s="29" t="n">
        <v>-7242.54</v>
      </c>
      <c r="R22" s="13" t="n">
        <v>-0.5213611103112672</v>
      </c>
      <c r="S22" s="3" t="inlineStr">
        <is>
          <t>Post-earnings IV crush (~1.5%) eroded option time premium faster than small stock move (+0.24%)</t>
        </is>
      </c>
    </row>
    <row r="23" ht="21" customHeight="1">
      <c r="A23" s="15" t="n">
        <v>20</v>
      </c>
      <c r="B23" s="15" t="inlineStr">
        <is>
          <t>Q1 2024-25</t>
        </is>
      </c>
      <c r="C23" s="15" t="inlineStr">
        <is>
          <t>HINDUNILVR</t>
        </is>
      </c>
      <c r="D23" s="30" t="inlineStr">
        <is>
          <t>Hindustan Unilever Ltd</t>
        </is>
      </c>
      <c r="E23" s="30" t="inlineStr">
        <is>
          <t>Consumer Goods (FMCG)</t>
        </is>
      </c>
      <c r="F23" s="15" t="inlineStr">
        <is>
          <t>FUTURE SHORT</t>
        </is>
      </c>
      <c r="G23" s="15" t="inlineStr">
        <is>
          <t>2024-04-22</t>
        </is>
      </c>
      <c r="H23" s="15" t="inlineStr">
        <is>
          <t>2024-04-25</t>
        </is>
      </c>
      <c r="I23" s="31" t="n">
        <v>2249</v>
      </c>
      <c r="J23" s="31" t="n">
        <v>2240.56</v>
      </c>
      <c r="K23" s="32" t="n">
        <v>0.003752779012894644</v>
      </c>
      <c r="L23" s="15" t="n">
        <v>300</v>
      </c>
      <c r="M23" s="28" t="n">
        <v>2532</v>
      </c>
      <c r="N23" s="31" t="n">
        <v>75.98</v>
      </c>
      <c r="O23" s="31" t="n">
        <v>50.64</v>
      </c>
      <c r="P23" s="31" t="n">
        <v>22794</v>
      </c>
      <c r="Q23" s="29" t="n">
        <v>-7601.16</v>
      </c>
      <c r="R23" s="13" t="n">
        <v>-0.3334719663069229</v>
      </c>
      <c r="S23" s="30" t="inlineStr">
        <is>
          <t>Post-earnings IV crush (~1.5%) eroded option time premium faster than small stock move (+0.38%)</t>
        </is>
      </c>
    </row>
    <row r="24" ht="21" customHeight="1">
      <c r="A24" s="9" t="n">
        <v>21</v>
      </c>
      <c r="B24" s="9" t="inlineStr">
        <is>
          <t>Q1 2024-25</t>
        </is>
      </c>
      <c r="C24" s="9" t="inlineStr">
        <is>
          <t>ICICIBANK</t>
        </is>
      </c>
      <c r="D24" s="3" t="inlineStr">
        <is>
          <t>ICICI Bank Ltd</t>
        </is>
      </c>
      <c r="E24" s="3" t="inlineStr">
        <is>
          <t>Financial Services</t>
        </is>
      </c>
      <c r="F24" s="9" t="inlineStr">
        <is>
          <t>FUTURE SHORT</t>
        </is>
      </c>
      <c r="G24" s="9" t="inlineStr">
        <is>
          <t>2024-04-23</t>
        </is>
      </c>
      <c r="H24" s="9" t="inlineStr">
        <is>
          <t>2024-04-24</t>
        </is>
      </c>
      <c r="I24" s="26" t="n">
        <v>1086.85</v>
      </c>
      <c r="J24" s="26" t="n">
        <v>1074.27</v>
      </c>
      <c r="K24" s="27" t="n">
        <v>0.01157473432396368</v>
      </c>
      <c r="L24" s="9" t="n">
        <v>700</v>
      </c>
      <c r="M24" s="28" t="n">
        <v>8806</v>
      </c>
      <c r="N24" s="26" t="n">
        <v>34.89</v>
      </c>
      <c r="O24" s="26" t="n">
        <v>31.1</v>
      </c>
      <c r="P24" s="26" t="n">
        <v>24420.9</v>
      </c>
      <c r="Q24" s="29" t="n">
        <v>-2649.96</v>
      </c>
      <c r="R24" s="13" t="n">
        <v>-0.1085119713032689</v>
      </c>
      <c r="S24" s="3" t="inlineStr">
        <is>
          <t>Post-earnings IV crush (~1.5%) eroded option time premium faster than small stock move (+1.16%)</t>
        </is>
      </c>
    </row>
    <row r="25" ht="21" customHeight="1">
      <c r="A25" s="15" t="n">
        <v>22</v>
      </c>
      <c r="B25" s="15" t="inlineStr">
        <is>
          <t>Q1 2024-25</t>
        </is>
      </c>
      <c r="C25" s="15" t="inlineStr">
        <is>
          <t>NESTLEIND</t>
        </is>
      </c>
      <c r="D25" s="30" t="inlineStr">
        <is>
          <t>Nestle India Ltd</t>
        </is>
      </c>
      <c r="E25" s="30" t="inlineStr">
        <is>
          <t>Consumer Goods (FMCG)</t>
        </is>
      </c>
      <c r="F25" s="15" t="inlineStr">
        <is>
          <t>FUTURE LONG</t>
        </is>
      </c>
      <c r="G25" s="15" t="inlineStr">
        <is>
          <t>2024-04-24</t>
        </is>
      </c>
      <c r="H25" s="15" t="inlineStr">
        <is>
          <t>2024-04-25</t>
        </is>
      </c>
      <c r="I25" s="31" t="n">
        <v>1250.07</v>
      </c>
      <c r="J25" s="31" t="n">
        <v>1250.52</v>
      </c>
      <c r="K25" s="32" t="n">
        <v>0.0003599798411289332</v>
      </c>
      <c r="L25" s="15" t="n">
        <v>250</v>
      </c>
      <c r="M25" s="28" t="n">
        <v>112.5</v>
      </c>
      <c r="N25" s="31" t="n">
        <v>35.07</v>
      </c>
      <c r="O25" s="31" t="n">
        <v>16.77</v>
      </c>
      <c r="P25" s="31" t="n">
        <v>8767.85</v>
      </c>
      <c r="Q25" s="29" t="n">
        <v>-4574.7</v>
      </c>
      <c r="R25" s="13" t="n">
        <v>-0.5217584698643338</v>
      </c>
      <c r="S25" s="30" t="inlineStr">
        <is>
          <t>Post-earnings IV crush (~1.5%) eroded option time premium faster than small stock move (+0.04%)</t>
        </is>
      </c>
    </row>
    <row r="26" ht="21" customHeight="1">
      <c r="A26" s="9" t="n">
        <v>23</v>
      </c>
      <c r="B26" s="9" t="inlineStr">
        <is>
          <t>Q1 2024-25</t>
        </is>
      </c>
      <c r="C26" s="9" t="inlineStr">
        <is>
          <t>SHRIRAMFIN</t>
        </is>
      </c>
      <c r="D26" s="3" t="inlineStr">
        <is>
          <t>Shriram Finance Ltd</t>
        </is>
      </c>
      <c r="E26" s="3" t="inlineStr">
        <is>
          <t>Financial Services</t>
        </is>
      </c>
      <c r="F26" s="9" t="inlineStr">
        <is>
          <t>FUTURE SHORT</t>
        </is>
      </c>
      <c r="G26" s="9" t="inlineStr">
        <is>
          <t>2024-04-24</t>
        </is>
      </c>
      <c r="H26" s="9" t="inlineStr">
        <is>
          <t>2024-04-25</t>
        </is>
      </c>
      <c r="I26" s="26" t="n">
        <v>492.21</v>
      </c>
      <c r="J26" s="26" t="n">
        <v>485.88</v>
      </c>
      <c r="K26" s="27" t="n">
        <v>0.01286036447857619</v>
      </c>
      <c r="L26" s="9" t="n">
        <v>300</v>
      </c>
      <c r="M26" s="28" t="n">
        <v>1899</v>
      </c>
      <c r="N26" s="26" t="n">
        <v>12.63</v>
      </c>
      <c r="O26" s="26" t="n">
        <v>11.55</v>
      </c>
      <c r="P26" s="26" t="n">
        <v>3790.26</v>
      </c>
      <c r="Q26" s="29" t="n">
        <v>-325.44</v>
      </c>
      <c r="R26" s="13" t="n">
        <v>-0.08586218359690363</v>
      </c>
      <c r="S26" s="3" t="inlineStr">
        <is>
          <t>Post-earnings IV crush (~1.5%) eroded option time premium faster than small stock move (+1.29%)</t>
        </is>
      </c>
    </row>
    <row r="27" ht="21" customHeight="1">
      <c r="A27" s="15" t="n">
        <v>24</v>
      </c>
      <c r="B27" s="15" t="inlineStr">
        <is>
          <t>Q1 2024-25</t>
        </is>
      </c>
      <c r="C27" s="15" t="inlineStr">
        <is>
          <t>ASIANPAINT</t>
        </is>
      </c>
      <c r="D27" s="30" t="inlineStr">
        <is>
          <t>Asian Paints Ltd</t>
        </is>
      </c>
      <c r="E27" s="30" t="inlineStr">
        <is>
          <t>Consumer Durables</t>
        </is>
      </c>
      <c r="F27" s="15" t="inlineStr">
        <is>
          <t>FUTURE SHORT</t>
        </is>
      </c>
      <c r="G27" s="15" t="inlineStr">
        <is>
          <t>2024-05-03</t>
        </is>
      </c>
      <c r="H27" s="15" t="inlineStr">
        <is>
          <t>2024-05-06</t>
        </is>
      </c>
      <c r="I27" s="31" t="n">
        <v>2936.8</v>
      </c>
      <c r="J27" s="31" t="n">
        <v>2936.74</v>
      </c>
      <c r="K27" s="32" t="n">
        <v>2.043040043598481e-05</v>
      </c>
      <c r="L27" s="15" t="n">
        <v>200</v>
      </c>
      <c r="M27" s="28" t="n">
        <v>12</v>
      </c>
      <c r="N27" s="31" t="n">
        <v>81.94</v>
      </c>
      <c r="O27" s="31" t="n">
        <v>37.94</v>
      </c>
      <c r="P27" s="31" t="n">
        <v>16387.2</v>
      </c>
      <c r="Q27" s="29" t="n">
        <v>-8798.459999999999</v>
      </c>
      <c r="R27" s="13" t="n">
        <v>-0.5369105155243116</v>
      </c>
      <c r="S27" s="30" t="inlineStr">
        <is>
          <t>Post-earnings IV crush (~1.5%) eroded option time premium faster than small stock move (+0.00%)</t>
        </is>
      </c>
    </row>
    <row r="28" ht="21" customHeight="1">
      <c r="A28" s="9" t="n">
        <v>25</v>
      </c>
      <c r="B28" s="9" t="inlineStr">
        <is>
          <t>Q1 2024-25</t>
        </is>
      </c>
      <c r="C28" s="9" t="inlineStr">
        <is>
          <t>CIPLA</t>
        </is>
      </c>
      <c r="D28" s="3" t="inlineStr">
        <is>
          <t>Cipla Ltd</t>
        </is>
      </c>
      <c r="E28" s="3" t="inlineStr">
        <is>
          <t>Healthcare &amp; Pharma</t>
        </is>
      </c>
      <c r="F28" s="9" t="inlineStr">
        <is>
          <t>FUTURE LONG</t>
        </is>
      </c>
      <c r="G28" s="9" t="inlineStr">
        <is>
          <t>2024-05-08</t>
        </is>
      </c>
      <c r="H28" s="9" t="inlineStr">
        <is>
          <t>2024-05-09</t>
        </is>
      </c>
      <c r="I28" s="26" t="n">
        <v>1394.1</v>
      </c>
      <c r="J28" s="26" t="n">
        <v>1405.75</v>
      </c>
      <c r="K28" s="27" t="n">
        <v>0.008356645864715653</v>
      </c>
      <c r="L28" s="9" t="n">
        <v>650</v>
      </c>
      <c r="M28" s="28" t="n">
        <v>7572.5</v>
      </c>
      <c r="N28" s="26" t="n">
        <v>41.98</v>
      </c>
      <c r="O28" s="26" t="n">
        <v>32.78</v>
      </c>
      <c r="P28" s="26" t="n">
        <v>27288.3</v>
      </c>
      <c r="Q28" s="29" t="n">
        <v>-5982.11</v>
      </c>
      <c r="R28" s="13" t="n">
        <v>-0.2192188593646361</v>
      </c>
      <c r="S28" s="3" t="inlineStr">
        <is>
          <t>Post-earnings IV crush (~1.5%) eroded option time premium faster than small stock move (+0.84%)</t>
        </is>
      </c>
    </row>
    <row r="29" ht="21" customHeight="1">
      <c r="A29" s="15" t="n">
        <v>26</v>
      </c>
      <c r="B29" s="15" t="inlineStr">
        <is>
          <t>Q1 2024-25</t>
        </is>
      </c>
      <c r="C29" s="15" t="inlineStr">
        <is>
          <t>BEL</t>
        </is>
      </c>
      <c r="D29" s="30" t="inlineStr">
        <is>
          <t>Bharat Electronics Ltd</t>
        </is>
      </c>
      <c r="E29" s="30" t="inlineStr">
        <is>
          <t>Capital Goods / Defense</t>
        </is>
      </c>
      <c r="F29" s="15" t="inlineStr">
        <is>
          <t>FUTURE SHORT</t>
        </is>
      </c>
      <c r="G29" s="15" t="inlineStr">
        <is>
          <t>2024-05-13</t>
        </is>
      </c>
      <c r="H29" s="15" t="inlineStr">
        <is>
          <t>2024-05-14</t>
        </is>
      </c>
      <c r="I29" s="31" t="n">
        <v>226.2</v>
      </c>
      <c r="J29" s="31" t="n">
        <v>223.25</v>
      </c>
      <c r="K29" s="32" t="n">
        <v>0.01304155614500437</v>
      </c>
      <c r="L29" s="15" t="n">
        <v>1500</v>
      </c>
      <c r="M29" s="28" t="n">
        <v>4425</v>
      </c>
      <c r="N29" s="31" t="n">
        <v>8.32</v>
      </c>
      <c r="O29" s="31" t="n">
        <v>7.87</v>
      </c>
      <c r="P29" s="31" t="n">
        <v>12486</v>
      </c>
      <c r="Q29" s="29" t="n">
        <v>-686.63</v>
      </c>
      <c r="R29" s="13" t="n">
        <v>-0.05499199102995355</v>
      </c>
      <c r="S29" s="30" t="inlineStr">
        <is>
          <t>Post-earnings IV crush (~1.5%) eroded option time premium faster than small stock move (+1.30%)</t>
        </is>
      </c>
    </row>
    <row r="30" ht="21" customHeight="1">
      <c r="A30" s="9" t="n">
        <v>27</v>
      </c>
      <c r="B30" s="9" t="inlineStr">
        <is>
          <t>Q1 2024-25</t>
        </is>
      </c>
      <c r="C30" s="9" t="inlineStr">
        <is>
          <t>ONGC</t>
        </is>
      </c>
      <c r="D30" s="3" t="inlineStr">
        <is>
          <t>Oil &amp; Natural Gas Corporation Ltd</t>
        </is>
      </c>
      <c r="E30" s="3" t="inlineStr">
        <is>
          <t>Energy</t>
        </is>
      </c>
      <c r="F30" s="9" t="inlineStr">
        <is>
          <t>FUTURE SHORT</t>
        </is>
      </c>
      <c r="G30" s="9" t="inlineStr">
        <is>
          <t>2024-05-16</t>
        </is>
      </c>
      <c r="H30" s="9" t="inlineStr">
        <is>
          <t>2024-05-17</t>
        </is>
      </c>
      <c r="I30" s="26" t="n">
        <v>277.9</v>
      </c>
      <c r="J30" s="26" t="n">
        <v>275.17</v>
      </c>
      <c r="K30" s="27" t="n">
        <v>0.009823677581863841</v>
      </c>
      <c r="L30" s="9" t="n">
        <v>1925</v>
      </c>
      <c r="M30" s="28" t="n">
        <v>5255.25</v>
      </c>
      <c r="N30" s="26" t="n">
        <v>7.66</v>
      </c>
      <c r="O30" s="26" t="n">
        <v>6.21</v>
      </c>
      <c r="P30" s="26" t="n">
        <v>14741.65</v>
      </c>
      <c r="Q30" s="29" t="n">
        <v>-2795.39</v>
      </c>
      <c r="R30" s="13" t="n">
        <v>-0.1896253133129602</v>
      </c>
      <c r="S30" s="3" t="inlineStr">
        <is>
          <t>Post-earnings IV crush (~1.5%) eroded option time premium faster than small stock move (+0.98%)</t>
        </is>
      </c>
    </row>
    <row r="31" ht="21" customHeight="1">
      <c r="A31" s="15" t="n">
        <v>28</v>
      </c>
      <c r="B31" s="15" t="inlineStr">
        <is>
          <t>Q1 2024-25</t>
        </is>
      </c>
      <c r="C31" s="15" t="inlineStr">
        <is>
          <t>ITC</t>
        </is>
      </c>
      <c r="D31" s="30" t="inlineStr">
        <is>
          <t>ITC Ltd</t>
        </is>
      </c>
      <c r="E31" s="30" t="inlineStr">
        <is>
          <t>Consumer Goods (FMCG)</t>
        </is>
      </c>
      <c r="F31" s="15" t="inlineStr">
        <is>
          <t>FUTURE SHORT</t>
        </is>
      </c>
      <c r="G31" s="15" t="inlineStr">
        <is>
          <t>2024-05-22</t>
        </is>
      </c>
      <c r="H31" s="15" t="inlineStr">
        <is>
          <t>2024-05-23</t>
        </is>
      </c>
      <c r="I31" s="31" t="n">
        <v>441.1</v>
      </c>
      <c r="J31" s="31" t="n">
        <v>436.47</v>
      </c>
      <c r="K31" s="32" t="n">
        <v>0.0104964860575833</v>
      </c>
      <c r="L31" s="15" t="n">
        <v>1600</v>
      </c>
      <c r="M31" s="28" t="n">
        <v>7408</v>
      </c>
      <c r="N31" s="31" t="n">
        <v>12.72</v>
      </c>
      <c r="O31" s="31" t="n">
        <v>10.71</v>
      </c>
      <c r="P31" s="31" t="n">
        <v>20355.2</v>
      </c>
      <c r="Q31" s="29" t="n">
        <v>-3215.44</v>
      </c>
      <c r="R31" s="13" t="n">
        <v>-0.1579665146989467</v>
      </c>
      <c r="S31" s="30" t="inlineStr">
        <is>
          <t>Post-earnings IV crush (~1.5%) eroded option time premium faster than small stock move (+1.05%)</t>
        </is>
      </c>
    </row>
    <row r="32" ht="21" customHeight="1">
      <c r="A32" s="9" t="n">
        <v>29</v>
      </c>
      <c r="B32" s="9" t="inlineStr">
        <is>
          <t>Q2 2024-25</t>
        </is>
      </c>
      <c r="C32" s="9" t="inlineStr">
        <is>
          <t>HDFCBANK</t>
        </is>
      </c>
      <c r="D32" s="3" t="inlineStr">
        <is>
          <t>HDFC Bank Ltd</t>
        </is>
      </c>
      <c r="E32" s="3" t="inlineStr">
        <is>
          <t>Financial Services</t>
        </is>
      </c>
      <c r="F32" s="9" t="inlineStr">
        <is>
          <t>FUTURE SHORT</t>
        </is>
      </c>
      <c r="G32" s="9" t="inlineStr">
        <is>
          <t>2024-07-10</t>
        </is>
      </c>
      <c r="H32" s="9" t="inlineStr">
        <is>
          <t>2024-07-11</t>
        </is>
      </c>
      <c r="I32" s="26" t="n">
        <v>813.05</v>
      </c>
      <c r="J32" s="26" t="n">
        <v>806.13</v>
      </c>
      <c r="K32" s="27" t="n">
        <v>0.008511161675173679</v>
      </c>
      <c r="L32" s="9" t="n">
        <v>550</v>
      </c>
      <c r="M32" s="28" t="n">
        <v>3806</v>
      </c>
      <c r="N32" s="26" t="n">
        <v>23.21</v>
      </c>
      <c r="O32" s="26" t="n">
        <v>17.9</v>
      </c>
      <c r="P32" s="26" t="n">
        <v>12766.05</v>
      </c>
      <c r="Q32" s="29" t="n">
        <v>-2920.69</v>
      </c>
      <c r="R32" s="13" t="n">
        <v>-0.2287857246368297</v>
      </c>
      <c r="S32" s="3" t="inlineStr">
        <is>
          <t>Post-earnings IV crush (~1.5%) eroded option time premium faster than small stock move (+0.85%)</t>
        </is>
      </c>
    </row>
    <row r="33" ht="21" customHeight="1">
      <c r="A33" s="15" t="n">
        <v>30</v>
      </c>
      <c r="B33" s="15" t="inlineStr">
        <is>
          <t>Q2 2024-25</t>
        </is>
      </c>
      <c r="C33" s="15" t="inlineStr">
        <is>
          <t>LT</t>
        </is>
      </c>
      <c r="D33" s="30" t="inlineStr">
        <is>
          <t>Larsen &amp; Toubro Ltd</t>
        </is>
      </c>
      <c r="E33" s="30" t="inlineStr">
        <is>
          <t>Construction</t>
        </is>
      </c>
      <c r="F33" s="15" t="inlineStr">
        <is>
          <t>FUTURE SHORT</t>
        </is>
      </c>
      <c r="G33" s="15" t="inlineStr">
        <is>
          <t>2024-07-12</t>
        </is>
      </c>
      <c r="H33" s="15" t="inlineStr">
        <is>
          <t>2024-07-15</t>
        </is>
      </c>
      <c r="I33" s="31" t="n">
        <v>3660</v>
      </c>
      <c r="J33" s="31" t="n">
        <v>3641.56</v>
      </c>
      <c r="K33" s="32" t="n">
        <v>0.005038251366120234</v>
      </c>
      <c r="L33" s="15" t="n">
        <v>300</v>
      </c>
      <c r="M33" s="28" t="n">
        <v>5532</v>
      </c>
      <c r="N33" s="31" t="n">
        <v>113.2</v>
      </c>
      <c r="O33" s="31" t="n">
        <v>76.65000000000001</v>
      </c>
      <c r="P33" s="31" t="n">
        <v>33960</v>
      </c>
      <c r="Q33" s="29" t="n">
        <v>-10965.66</v>
      </c>
      <c r="R33" s="13" t="n">
        <v>-0.3228992932862191</v>
      </c>
      <c r="S33" s="30" t="inlineStr">
        <is>
          <t>Post-earnings IV crush (~1.5%) eroded option time premium faster than small stock move (+0.50%)</t>
        </is>
      </c>
    </row>
    <row r="34" ht="21" customHeight="1">
      <c r="A34" s="9" t="n">
        <v>31</v>
      </c>
      <c r="B34" s="9" t="inlineStr">
        <is>
          <t>Q2 2024-25</t>
        </is>
      </c>
      <c r="C34" s="9" t="inlineStr">
        <is>
          <t>INDIGO</t>
        </is>
      </c>
      <c r="D34" s="3" t="inlineStr">
        <is>
          <t>InterGlobe Aviation Ltd</t>
        </is>
      </c>
      <c r="E34" s="3" t="inlineStr">
        <is>
          <t>Aviation / Transport</t>
        </is>
      </c>
      <c r="F34" s="9" t="inlineStr">
        <is>
          <t>FUTURE LONG</t>
        </is>
      </c>
      <c r="G34" s="9" t="inlineStr">
        <is>
          <t>2024-07-18</t>
        </is>
      </c>
      <c r="H34" s="9" t="inlineStr">
        <is>
          <t>2024-07-29</t>
        </is>
      </c>
      <c r="I34" s="26" t="n">
        <v>4414.4</v>
      </c>
      <c r="J34" s="26" t="n">
        <v>4432.02</v>
      </c>
      <c r="K34" s="27" t="n">
        <v>0.003991482421167271</v>
      </c>
      <c r="L34" s="9" t="n">
        <v>300</v>
      </c>
      <c r="M34" s="28" t="n">
        <v>5286</v>
      </c>
      <c r="N34" s="26" t="n">
        <v>122.69</v>
      </c>
      <c r="O34" s="26" t="n">
        <v>74.18000000000001</v>
      </c>
      <c r="P34" s="26" t="n">
        <v>36806.4</v>
      </c>
      <c r="Q34" s="29" t="n">
        <v>-14552.37</v>
      </c>
      <c r="R34" s="13" t="n">
        <v>-0.3953760758998435</v>
      </c>
      <c r="S34" s="3" t="inlineStr">
        <is>
          <t>Post-earnings IV crush (~1.5%) eroded option time premium faster than small stock move (+0.40%)</t>
        </is>
      </c>
    </row>
    <row r="35" ht="21" customHeight="1">
      <c r="A35" s="15" t="n">
        <v>32</v>
      </c>
      <c r="B35" s="15" t="inlineStr">
        <is>
          <t>Q2 2024-25</t>
        </is>
      </c>
      <c r="C35" s="15" t="inlineStr">
        <is>
          <t>BAJFINANCE</t>
        </is>
      </c>
      <c r="D35" s="30" t="inlineStr">
        <is>
          <t>Bajaj Finance Ltd</t>
        </is>
      </c>
      <c r="E35" s="30" t="inlineStr">
        <is>
          <t>Financial Services</t>
        </is>
      </c>
      <c r="F35" s="15" t="inlineStr">
        <is>
          <t>FUTURE SHORT</t>
        </is>
      </c>
      <c r="G35" s="15" t="inlineStr">
        <is>
          <t>2024-07-22</t>
        </is>
      </c>
      <c r="H35" s="15" t="inlineStr">
        <is>
          <t>2024-07-29</t>
        </is>
      </c>
      <c r="I35" s="31" t="n">
        <v>688.42</v>
      </c>
      <c r="J35" s="31" t="n">
        <v>681.9299999999999</v>
      </c>
      <c r="K35" s="32" t="n">
        <v>0.009427384445541979</v>
      </c>
      <c r="L35" s="15" t="n">
        <v>125</v>
      </c>
      <c r="M35" s="28" t="n">
        <v>811.25</v>
      </c>
      <c r="N35" s="31" t="n">
        <v>25.35</v>
      </c>
      <c r="O35" s="31" t="n">
        <v>21.48</v>
      </c>
      <c r="P35" s="31" t="n">
        <v>3168.55</v>
      </c>
      <c r="Q35" s="29" t="n">
        <v>-483.59</v>
      </c>
      <c r="R35" s="13" t="n">
        <v>-0.1526218617348629</v>
      </c>
      <c r="S35" s="30" t="inlineStr">
        <is>
          <t>Post-earnings IV crush (~1.5%) eroded option time premium faster than small stock move (+0.94%)</t>
        </is>
      </c>
    </row>
    <row r="36" ht="21" customHeight="1">
      <c r="A36" s="9" t="n">
        <v>33</v>
      </c>
      <c r="B36" s="9" t="inlineStr">
        <is>
          <t>Q2 2024-25</t>
        </is>
      </c>
      <c r="C36" s="9" t="inlineStr">
        <is>
          <t>BAJAJFINSV</t>
        </is>
      </c>
      <c r="D36" s="3" t="inlineStr">
        <is>
          <t>Bajaj Finserv Ltd</t>
        </is>
      </c>
      <c r="E36" s="3" t="inlineStr">
        <is>
          <t>Financial Services</t>
        </is>
      </c>
      <c r="F36" s="9" t="inlineStr">
        <is>
          <t>FUTURE SHORT</t>
        </is>
      </c>
      <c r="G36" s="9" t="inlineStr">
        <is>
          <t>2024-07-23</t>
        </is>
      </c>
      <c r="H36" s="9" t="inlineStr">
        <is>
          <t>2024-07-24</t>
        </is>
      </c>
      <c r="I36" s="26" t="n">
        <v>1613.95</v>
      </c>
      <c r="J36" s="26" t="n">
        <v>1606.95</v>
      </c>
      <c r="K36" s="27" t="n">
        <v>0.004337185166826729</v>
      </c>
      <c r="L36" s="9" t="n">
        <v>500</v>
      </c>
      <c r="M36" s="28" t="n">
        <v>3500</v>
      </c>
      <c r="N36" s="26" t="n">
        <v>58.33</v>
      </c>
      <c r="O36" s="26" t="n">
        <v>41.08</v>
      </c>
      <c r="P36" s="26" t="n">
        <v>29164.5</v>
      </c>
      <c r="Q36" s="29" t="n">
        <v>-8622.120000000001</v>
      </c>
      <c r="R36" s="13" t="n">
        <v>-0.2956375045003343</v>
      </c>
      <c r="S36" s="3" t="inlineStr">
        <is>
          <t>Post-earnings IV crush (~1.5%) eroded option time premium faster than small stock move (+0.43%)</t>
        </is>
      </c>
    </row>
    <row r="37" ht="21" customHeight="1">
      <c r="A37" s="15" t="n">
        <v>34</v>
      </c>
      <c r="B37" s="15" t="inlineStr">
        <is>
          <t>Q2 2024-25</t>
        </is>
      </c>
      <c r="C37" s="15" t="inlineStr">
        <is>
          <t>MARUTI</t>
        </is>
      </c>
      <c r="D37" s="30" t="inlineStr">
        <is>
          <t>Maruti Suzuki India Ltd</t>
        </is>
      </c>
      <c r="E37" s="30" t="inlineStr">
        <is>
          <t>Automobile &amp; Auto</t>
        </is>
      </c>
      <c r="F37" s="15" t="inlineStr">
        <is>
          <t>FUTURE SHORT</t>
        </is>
      </c>
      <c r="G37" s="15" t="inlineStr">
        <is>
          <t>2024-07-23</t>
        </is>
      </c>
      <c r="H37" s="15" t="inlineStr">
        <is>
          <t>2024-07-24</t>
        </is>
      </c>
      <c r="I37" s="31" t="n">
        <v>12599.95</v>
      </c>
      <c r="J37" s="31" t="n">
        <v>12566.53</v>
      </c>
      <c r="K37" s="32" t="n">
        <v>0.002652391477743965</v>
      </c>
      <c r="L37" s="15" t="n">
        <v>100</v>
      </c>
      <c r="M37" s="28" t="n">
        <v>3342</v>
      </c>
      <c r="N37" s="31" t="n">
        <v>402.05</v>
      </c>
      <c r="O37" s="31" t="n">
        <v>246.3</v>
      </c>
      <c r="P37" s="31" t="n">
        <v>40204.9</v>
      </c>
      <c r="Q37" s="29" t="n">
        <v>-15574.63</v>
      </c>
      <c r="R37" s="13" t="n">
        <v>-0.3873813888356891</v>
      </c>
      <c r="S37" s="30" t="inlineStr">
        <is>
          <t>Post-earnings IV crush (~1.5%) eroded option time premium faster than small stock move (+0.27%)</t>
        </is>
      </c>
    </row>
    <row r="38" ht="21" customHeight="1">
      <c r="A38" s="9" t="n">
        <v>35</v>
      </c>
      <c r="B38" s="9" t="inlineStr">
        <is>
          <t>Q2 2024-25</t>
        </is>
      </c>
      <c r="C38" s="9" t="inlineStr">
        <is>
          <t>DRREDDY</t>
        </is>
      </c>
      <c r="D38" s="3" t="inlineStr">
        <is>
          <t>Dr. Reddy's Laboratories Ltd</t>
        </is>
      </c>
      <c r="E38" s="3" t="inlineStr">
        <is>
          <t>Healthcare &amp; Pharma</t>
        </is>
      </c>
      <c r="F38" s="9" t="inlineStr">
        <is>
          <t>FUTURE LONG</t>
        </is>
      </c>
      <c r="G38" s="9" t="inlineStr">
        <is>
          <t>2024-07-25</t>
        </is>
      </c>
      <c r="H38" s="9" t="inlineStr">
        <is>
          <t>2024-08-01</t>
        </is>
      </c>
      <c r="I38" s="26" t="n">
        <v>1370.64</v>
      </c>
      <c r="J38" s="26" t="n">
        <v>1376.22</v>
      </c>
      <c r="K38" s="27" t="n">
        <v>0.004071090877254368</v>
      </c>
      <c r="L38" s="9" t="n">
        <v>125</v>
      </c>
      <c r="M38" s="28" t="n">
        <v>697.5</v>
      </c>
      <c r="N38" s="26" t="n">
        <v>38.05</v>
      </c>
      <c r="O38" s="26" t="n">
        <v>23.1</v>
      </c>
      <c r="P38" s="26" t="n">
        <v>4756.6</v>
      </c>
      <c r="Q38" s="29" t="n">
        <v>-1868.96</v>
      </c>
      <c r="R38" s="13" t="n">
        <v>-0.3929193121136946</v>
      </c>
      <c r="S38" s="3" t="inlineStr">
        <is>
          <t>Post-earnings IV crush (~1.5%) eroded option time premium faster than small stock move (+0.41%)</t>
        </is>
      </c>
    </row>
    <row r="39" ht="21" customHeight="1">
      <c r="A39" s="15" t="n">
        <v>36</v>
      </c>
      <c r="B39" s="15" t="inlineStr">
        <is>
          <t>Q2 2024-25</t>
        </is>
      </c>
      <c r="C39" s="15" t="inlineStr">
        <is>
          <t>SUNPHARMA</t>
        </is>
      </c>
      <c r="D39" s="30" t="inlineStr">
        <is>
          <t>Sun Pharmaceutical Industries Ltd</t>
        </is>
      </c>
      <c r="E39" s="30" t="inlineStr">
        <is>
          <t>Healthcare &amp; Pharma</t>
        </is>
      </c>
      <c r="F39" s="15" t="inlineStr">
        <is>
          <t>FUTURE LONG</t>
        </is>
      </c>
      <c r="G39" s="15" t="inlineStr">
        <is>
          <t>2024-07-26</t>
        </is>
      </c>
      <c r="H39" s="15" t="inlineStr">
        <is>
          <t>2024-08-13</t>
        </is>
      </c>
      <c r="I39" s="31" t="n">
        <v>1727.5</v>
      </c>
      <c r="J39" s="31" t="n">
        <v>1751.82</v>
      </c>
      <c r="K39" s="32" t="n">
        <v>0.01407814761215626</v>
      </c>
      <c r="L39" s="15" t="n">
        <v>350</v>
      </c>
      <c r="M39" s="28" t="n">
        <v>8512</v>
      </c>
      <c r="N39" s="31" t="n">
        <v>42.05</v>
      </c>
      <c r="O39" s="31" t="n">
        <v>40.58</v>
      </c>
      <c r="P39" s="31" t="n">
        <v>14717.5</v>
      </c>
      <c r="Q39" s="29" t="n">
        <v>-514.8200000000001</v>
      </c>
      <c r="R39" s="13" t="n">
        <v>-0.03498012570069645</v>
      </c>
      <c r="S39" s="30" t="inlineStr">
        <is>
          <t>Post-earnings IV crush (~1.5%) eroded option time premium faster than small stock move (+1.41%)</t>
        </is>
      </c>
    </row>
    <row r="40" ht="21" customHeight="1">
      <c r="A40" s="9" t="n">
        <v>37</v>
      </c>
      <c r="B40" s="9" t="inlineStr">
        <is>
          <t>Q2 2024-25</t>
        </is>
      </c>
      <c r="C40" s="9" t="inlineStr">
        <is>
          <t>TITAN</t>
        </is>
      </c>
      <c r="D40" s="3" t="inlineStr">
        <is>
          <t>Titan Company Ltd</t>
        </is>
      </c>
      <c r="E40" s="3" t="inlineStr">
        <is>
          <t>Consumer Durables</t>
        </is>
      </c>
      <c r="F40" s="9" t="inlineStr">
        <is>
          <t>FUTURE SHORT</t>
        </is>
      </c>
      <c r="G40" s="9" t="inlineStr">
        <is>
          <t>2024-07-31</t>
        </is>
      </c>
      <c r="H40" s="9" t="inlineStr">
        <is>
          <t>2024-08-01</t>
        </is>
      </c>
      <c r="I40" s="26" t="n">
        <v>3486.85</v>
      </c>
      <c r="J40" s="26" t="n">
        <v>3453.79</v>
      </c>
      <c r="K40" s="27" t="n">
        <v>0.009481337023387857</v>
      </c>
      <c r="L40" s="9" t="n">
        <v>175</v>
      </c>
      <c r="M40" s="28" t="n">
        <v>5785.5</v>
      </c>
      <c r="N40" s="26" t="n">
        <v>102.89</v>
      </c>
      <c r="O40" s="26" t="n">
        <v>83.48</v>
      </c>
      <c r="P40" s="26" t="n">
        <v>18005.23</v>
      </c>
      <c r="Q40" s="29" t="n">
        <v>-3396.41</v>
      </c>
      <c r="R40" s="13" t="n">
        <v>-0.1886346356030998</v>
      </c>
      <c r="S40" s="3" t="inlineStr">
        <is>
          <t>Post-earnings IV crush (~1.5%) eroded option time premium faster than small stock move (+0.95%)</t>
        </is>
      </c>
    </row>
    <row r="41" ht="21" customHeight="1">
      <c r="A41" s="15" t="n">
        <v>38</v>
      </c>
      <c r="B41" s="15" t="inlineStr">
        <is>
          <t>Q3 2024-25</t>
        </is>
      </c>
      <c r="C41" s="15" t="inlineStr">
        <is>
          <t>TCS</t>
        </is>
      </c>
      <c r="D41" s="30" t="inlineStr">
        <is>
          <t>Tata Consultancy Services Ltd</t>
        </is>
      </c>
      <c r="E41" s="30" t="inlineStr">
        <is>
          <t>Information Technology</t>
        </is>
      </c>
      <c r="F41" s="15" t="inlineStr">
        <is>
          <t>FUTURE LONG</t>
        </is>
      </c>
      <c r="G41" s="15" t="inlineStr">
        <is>
          <t>2024-09-30</t>
        </is>
      </c>
      <c r="H41" s="15" t="inlineStr">
        <is>
          <t>2024-10-01</t>
        </is>
      </c>
      <c r="I41" s="31" t="n">
        <v>4286.4</v>
      </c>
      <c r="J41" s="31" t="n">
        <v>4308.51</v>
      </c>
      <c r="K41" s="32" t="n">
        <v>0.005158174692049408</v>
      </c>
      <c r="L41" s="15" t="n">
        <v>175</v>
      </c>
      <c r="M41" s="28" t="n">
        <v>3869.25</v>
      </c>
      <c r="N41" s="31" t="n">
        <v>132.13</v>
      </c>
      <c r="O41" s="31" t="n">
        <v>90.05</v>
      </c>
      <c r="P41" s="31" t="n">
        <v>23122.4</v>
      </c>
      <c r="Q41" s="29" t="n">
        <v>-7363.2</v>
      </c>
      <c r="R41" s="13" t="n">
        <v>-0.3184444521329965</v>
      </c>
      <c r="S41" s="30" t="inlineStr">
        <is>
          <t>Post-earnings IV crush (~1.5%) eroded option time premium faster than small stock move (+0.52%)</t>
        </is>
      </c>
    </row>
    <row r="42" ht="21" customHeight="1">
      <c r="A42" s="9" t="n">
        <v>39</v>
      </c>
      <c r="B42" s="9" t="inlineStr">
        <is>
          <t>Q3 2024-25</t>
        </is>
      </c>
      <c r="C42" s="9" t="inlineStr">
        <is>
          <t>HCLTECH</t>
        </is>
      </c>
      <c r="D42" s="3" t="inlineStr">
        <is>
          <t>HCL Technologies Ltd</t>
        </is>
      </c>
      <c r="E42" s="3" t="inlineStr">
        <is>
          <t>Information Technology</t>
        </is>
      </c>
      <c r="F42" s="9" t="inlineStr">
        <is>
          <t>FUTURE LONG</t>
        </is>
      </c>
      <c r="G42" s="9" t="inlineStr">
        <is>
          <t>2024-10-11</t>
        </is>
      </c>
      <c r="H42" s="9" t="inlineStr">
        <is>
          <t>2024-10-23</t>
        </is>
      </c>
      <c r="I42" s="26" t="n">
        <v>1835.4</v>
      </c>
      <c r="J42" s="26" t="n">
        <v>1839.65</v>
      </c>
      <c r="K42" s="27" t="n">
        <v>0.002315571537539501</v>
      </c>
      <c r="L42" s="9" t="n">
        <v>350</v>
      </c>
      <c r="M42" s="28" t="n">
        <v>1487.5</v>
      </c>
      <c r="N42" s="26" t="n">
        <v>52.11</v>
      </c>
      <c r="O42" s="26" t="n">
        <v>28.85</v>
      </c>
      <c r="P42" s="26" t="n">
        <v>18237.8</v>
      </c>
      <c r="Q42" s="29" t="n">
        <v>-8140.91</v>
      </c>
      <c r="R42" s="13" t="n">
        <v>-0.4463756593448771</v>
      </c>
      <c r="S42" s="3" t="inlineStr">
        <is>
          <t>Post-earnings IV crush (~1.5%) eroded option time premium faster than small stock move (+0.23%)</t>
        </is>
      </c>
    </row>
    <row r="43" ht="21" customHeight="1">
      <c r="A43" s="15" t="n">
        <v>40</v>
      </c>
      <c r="B43" s="15" t="inlineStr">
        <is>
          <t>Q3 2024-25</t>
        </is>
      </c>
      <c r="C43" s="15" t="inlineStr">
        <is>
          <t>BAJAJ-AUTO</t>
        </is>
      </c>
      <c r="D43" s="30" t="inlineStr">
        <is>
          <t>Bajaj Auto Ltd</t>
        </is>
      </c>
      <c r="E43" s="30" t="inlineStr">
        <is>
          <t>Automobile &amp; Auto</t>
        </is>
      </c>
      <c r="F43" s="15" t="inlineStr">
        <is>
          <t>FUTURE SHORT</t>
        </is>
      </c>
      <c r="G43" s="15" t="inlineStr">
        <is>
          <t>2024-10-15</t>
        </is>
      </c>
      <c r="H43" s="15" t="inlineStr">
        <is>
          <t>2024-10-16</t>
        </is>
      </c>
      <c r="I43" s="31" t="n">
        <v>11585.6</v>
      </c>
      <c r="J43" s="31" t="n">
        <v>11443.07</v>
      </c>
      <c r="K43" s="32" t="n">
        <v>0.01230234083690104</v>
      </c>
      <c r="L43" s="15" t="n">
        <v>125</v>
      </c>
      <c r="M43" s="28" t="n">
        <v>17816.25</v>
      </c>
      <c r="N43" s="31" t="n">
        <v>346.11</v>
      </c>
      <c r="O43" s="31" t="n">
        <v>314.15</v>
      </c>
      <c r="P43" s="31" t="n">
        <v>43264</v>
      </c>
      <c r="Q43" s="29" t="n">
        <v>-3995.83</v>
      </c>
      <c r="R43" s="13" t="n">
        <v>-0.09235923631656805</v>
      </c>
      <c r="S43" s="30" t="inlineStr">
        <is>
          <t>Post-earnings IV crush (~1.5%) eroded option time premium faster than small stock move (+1.23%)</t>
        </is>
      </c>
    </row>
    <row r="44" ht="21" customHeight="1">
      <c r="A44" s="9" t="n">
        <v>41</v>
      </c>
      <c r="B44" s="9" t="inlineStr">
        <is>
          <t>Q3 2024-25</t>
        </is>
      </c>
      <c r="C44" s="9" t="inlineStr">
        <is>
          <t>INFY</t>
        </is>
      </c>
      <c r="D44" s="3" t="inlineStr">
        <is>
          <t>Infosys Ltd</t>
        </is>
      </c>
      <c r="E44" s="3" t="inlineStr">
        <is>
          <t>Information Technology</t>
        </is>
      </c>
      <c r="F44" s="9" t="inlineStr">
        <is>
          <t>FUTURE SHORT</t>
        </is>
      </c>
      <c r="G44" s="9" t="inlineStr">
        <is>
          <t>2024-10-16</t>
        </is>
      </c>
      <c r="H44" s="9" t="inlineStr">
        <is>
          <t>2024-10-17</t>
        </is>
      </c>
      <c r="I44" s="26" t="n">
        <v>1905.55</v>
      </c>
      <c r="J44" s="26" t="n">
        <v>1889.42</v>
      </c>
      <c r="K44" s="27" t="n">
        <v>0.008464747710634664</v>
      </c>
      <c r="L44" s="9" t="n">
        <v>400</v>
      </c>
      <c r="M44" s="28" t="n">
        <v>6452</v>
      </c>
      <c r="N44" s="26" t="n">
        <v>52.56</v>
      </c>
      <c r="O44" s="26" t="n">
        <v>40.03</v>
      </c>
      <c r="P44" s="26" t="n">
        <v>21024.4</v>
      </c>
      <c r="Q44" s="29" t="n">
        <v>-5013.56</v>
      </c>
      <c r="R44" s="13" t="n">
        <v>-0.2384638800631647</v>
      </c>
      <c r="S44" s="3" t="inlineStr">
        <is>
          <t>Post-earnings IV crush (~1.5%) eroded option time premium faster than small stock move (+0.85%)</t>
        </is>
      </c>
    </row>
    <row r="45" ht="21" customHeight="1">
      <c r="A45" s="15" t="n">
        <v>42</v>
      </c>
      <c r="B45" s="15" t="inlineStr">
        <is>
          <t>Q3 2024-25</t>
        </is>
      </c>
      <c r="C45" s="15" t="inlineStr">
        <is>
          <t>ADANIENT</t>
        </is>
      </c>
      <c r="D45" s="30" t="inlineStr">
        <is>
          <t>Adani Enterprises Ltd</t>
        </is>
      </c>
      <c r="E45" s="30" t="inlineStr">
        <is>
          <t>Diversified</t>
        </is>
      </c>
      <c r="F45" s="15" t="inlineStr">
        <is>
          <t>FUTURE LONG</t>
        </is>
      </c>
      <c r="G45" s="15" t="inlineStr">
        <is>
          <t>2024-10-17</t>
        </is>
      </c>
      <c r="H45" s="15" t="inlineStr">
        <is>
          <t>2024-10-18</t>
        </is>
      </c>
      <c r="I45" s="31" t="n">
        <v>3010</v>
      </c>
      <c r="J45" s="31" t="n">
        <v>3032.71</v>
      </c>
      <c r="K45" s="32" t="n">
        <v>0.007544850498338883</v>
      </c>
      <c r="L45" s="15" t="n">
        <v>300</v>
      </c>
      <c r="M45" s="28" t="n">
        <v>6813</v>
      </c>
      <c r="N45" s="31" t="n">
        <v>90.2</v>
      </c>
      <c r="O45" s="31" t="n">
        <v>67.87</v>
      </c>
      <c r="P45" s="31" t="n">
        <v>27060</v>
      </c>
      <c r="Q45" s="29" t="n">
        <v>-6697.93</v>
      </c>
      <c r="R45" s="13" t="n">
        <v>-0.2475214338507022</v>
      </c>
      <c r="S45" s="30" t="inlineStr">
        <is>
          <t>Post-earnings IV crush (~1.5%) eroded option time premium faster than small stock move (+0.75%)</t>
        </is>
      </c>
    </row>
    <row r="46" ht="21" customHeight="1">
      <c r="A46" s="9" t="n">
        <v>43</v>
      </c>
      <c r="B46" s="9" t="inlineStr">
        <is>
          <t>Q3 2024-25</t>
        </is>
      </c>
      <c r="C46" s="9" t="inlineStr">
        <is>
          <t>BAJAJFINSV</t>
        </is>
      </c>
      <c r="D46" s="3" t="inlineStr">
        <is>
          <t>Bajaj Finserv Ltd</t>
        </is>
      </c>
      <c r="E46" s="3" t="inlineStr">
        <is>
          <t>Financial Services</t>
        </is>
      </c>
      <c r="F46" s="9" t="inlineStr">
        <is>
          <t>FUTURE SHORT</t>
        </is>
      </c>
      <c r="G46" s="9" t="inlineStr">
        <is>
          <t>2024-10-22</t>
        </is>
      </c>
      <c r="H46" s="9" t="inlineStr">
        <is>
          <t>2024-10-25</t>
        </is>
      </c>
      <c r="I46" s="26" t="n">
        <v>1730</v>
      </c>
      <c r="J46" s="26" t="n">
        <v>1716.46</v>
      </c>
      <c r="K46" s="27" t="n">
        <v>0.007826589595375702</v>
      </c>
      <c r="L46" s="9" t="n">
        <v>500</v>
      </c>
      <c r="M46" s="28" t="n">
        <v>6770</v>
      </c>
      <c r="N46" s="26" t="n">
        <v>44.6</v>
      </c>
      <c r="O46" s="26" t="n">
        <v>32.12</v>
      </c>
      <c r="P46" s="26" t="n">
        <v>22300</v>
      </c>
      <c r="Q46" s="29" t="n">
        <v>-6238.85</v>
      </c>
      <c r="R46" s="13" t="n">
        <v>-0.2797690582959642</v>
      </c>
      <c r="S46" s="3" t="inlineStr">
        <is>
          <t>Post-earnings IV crush (~1.5%) eroded option time premium faster than small stock move (+0.78%)</t>
        </is>
      </c>
    </row>
    <row r="47" ht="21" customHeight="1">
      <c r="A47" s="15" t="n">
        <v>44</v>
      </c>
      <c r="B47" s="15" t="inlineStr">
        <is>
          <t>Q3 2024-25</t>
        </is>
      </c>
      <c r="C47" s="15" t="inlineStr">
        <is>
          <t>ICICIBANK</t>
        </is>
      </c>
      <c r="D47" s="30" t="inlineStr">
        <is>
          <t>ICICI Bank Ltd</t>
        </is>
      </c>
      <c r="E47" s="30" t="inlineStr">
        <is>
          <t>Financial Services</t>
        </is>
      </c>
      <c r="F47" s="15" t="inlineStr">
        <is>
          <t>FUTURE SHORT</t>
        </is>
      </c>
      <c r="G47" s="15" t="inlineStr">
        <is>
          <t>2024-10-22</t>
        </is>
      </c>
      <c r="H47" s="15" t="inlineStr">
        <is>
          <t>2024-10-23</t>
        </is>
      </c>
      <c r="I47" s="31" t="n">
        <v>1269.3</v>
      </c>
      <c r="J47" s="31" t="n">
        <v>1259.05</v>
      </c>
      <c r="K47" s="32" t="n">
        <v>0.008075317103915545</v>
      </c>
      <c r="L47" s="15" t="n">
        <v>700</v>
      </c>
      <c r="M47" s="28" t="n">
        <v>7175</v>
      </c>
      <c r="N47" s="31" t="n">
        <v>36.09</v>
      </c>
      <c r="O47" s="31" t="n">
        <v>27.25</v>
      </c>
      <c r="P47" s="31" t="n">
        <v>25260.2</v>
      </c>
      <c r="Q47" s="29" t="n">
        <v>-6188.52</v>
      </c>
      <c r="R47" s="13" t="n">
        <v>-0.2449909343552308</v>
      </c>
      <c r="S47" s="30" t="inlineStr">
        <is>
          <t>Post-earnings IV crush (~1.5%) eroded option time premium faster than small stock move (+0.81%)</t>
        </is>
      </c>
    </row>
    <row r="48" ht="21" customHeight="1">
      <c r="A48" s="9" t="n">
        <v>45</v>
      </c>
      <c r="B48" s="9" t="inlineStr">
        <is>
          <t>Q3 2024-25</t>
        </is>
      </c>
      <c r="C48" s="9" t="inlineStr">
        <is>
          <t>JSWSTEEL</t>
        </is>
      </c>
      <c r="D48" s="3" t="inlineStr">
        <is>
          <t>JSW Steel Ltd</t>
        </is>
      </c>
      <c r="E48" s="3" t="inlineStr">
        <is>
          <t>Metals &amp; Mining</t>
        </is>
      </c>
      <c r="F48" s="9" t="inlineStr">
        <is>
          <t>FUTURE LONG</t>
        </is>
      </c>
      <c r="G48" s="9" t="inlineStr">
        <is>
          <t>2024-10-23</t>
        </is>
      </c>
      <c r="H48" s="9" t="inlineStr">
        <is>
          <t>2024-10-24</t>
        </is>
      </c>
      <c r="I48" s="26" t="n">
        <v>957</v>
      </c>
      <c r="J48" s="26" t="n">
        <v>961.0599999999999</v>
      </c>
      <c r="K48" s="27" t="n">
        <v>0.004242424242424186</v>
      </c>
      <c r="L48" s="9" t="n">
        <v>675</v>
      </c>
      <c r="M48" s="28" t="n">
        <v>2740.5</v>
      </c>
      <c r="N48" s="26" t="n">
        <v>26.14</v>
      </c>
      <c r="O48" s="26" t="n">
        <v>15.87</v>
      </c>
      <c r="P48" s="26" t="n">
        <v>17644.5</v>
      </c>
      <c r="Q48" s="29" t="n">
        <v>-6935.42</v>
      </c>
      <c r="R48" s="13" t="n">
        <v>-0.39306412763184</v>
      </c>
      <c r="S48" s="3" t="inlineStr">
        <is>
          <t>Post-earnings IV crush (~1.5%) eroded option time premium faster than small stock move (+0.42%)</t>
        </is>
      </c>
    </row>
    <row r="49" ht="21" customHeight="1">
      <c r="A49" s="15" t="n">
        <v>46</v>
      </c>
      <c r="B49" s="15" t="inlineStr">
        <is>
          <t>Q3 2024-25</t>
        </is>
      </c>
      <c r="C49" s="15" t="inlineStr">
        <is>
          <t>NTPC</t>
        </is>
      </c>
      <c r="D49" s="30" t="inlineStr">
        <is>
          <t>NTPC Ltd</t>
        </is>
      </c>
      <c r="E49" s="30" t="inlineStr">
        <is>
          <t>Energy</t>
        </is>
      </c>
      <c r="F49" s="15" t="inlineStr">
        <is>
          <t>FUTURE LONG</t>
        </is>
      </c>
      <c r="G49" s="15" t="inlineStr">
        <is>
          <t>2024-10-23</t>
        </is>
      </c>
      <c r="H49" s="15" t="inlineStr">
        <is>
          <t>2024-10-24</t>
        </is>
      </c>
      <c r="I49" s="31" t="n">
        <v>406.5</v>
      </c>
      <c r="J49" s="31" t="n">
        <v>407.5</v>
      </c>
      <c r="K49" s="32" t="n">
        <v>0.002460024600246003</v>
      </c>
      <c r="L49" s="15" t="n">
        <v>1500</v>
      </c>
      <c r="M49" s="28" t="n">
        <v>1500</v>
      </c>
      <c r="N49" s="31" t="n">
        <v>14.63</v>
      </c>
      <c r="O49" s="31" t="n">
        <v>9.539999999999999</v>
      </c>
      <c r="P49" s="31" t="n">
        <v>21945</v>
      </c>
      <c r="Q49" s="29" t="n">
        <v>-7638.75</v>
      </c>
      <c r="R49" s="13" t="n">
        <v>-0.3480861244019139</v>
      </c>
      <c r="S49" s="30" t="inlineStr">
        <is>
          <t>Post-earnings IV crush (~1.5%) eroded option time premium faster than small stock move (+0.25%)</t>
        </is>
      </c>
    </row>
    <row r="50" ht="21" customHeight="1">
      <c r="A50" s="9" t="n">
        <v>47</v>
      </c>
      <c r="B50" s="9" t="inlineStr">
        <is>
          <t>Q3 2024-25</t>
        </is>
      </c>
      <c r="C50" s="9" t="inlineStr">
        <is>
          <t>GRASIM</t>
        </is>
      </c>
      <c r="D50" s="3" t="inlineStr">
        <is>
          <t>Grasim Industries Ltd</t>
        </is>
      </c>
      <c r="E50" s="3" t="inlineStr">
        <is>
          <t>Construction Materials</t>
        </is>
      </c>
      <c r="F50" s="9" t="inlineStr">
        <is>
          <t>FUTURE SHORT</t>
        </is>
      </c>
      <c r="G50" s="9" t="inlineStr">
        <is>
          <t>2024-11-04</t>
        </is>
      </c>
      <c r="H50" s="9" t="inlineStr">
        <is>
          <t>2024-11-28</t>
        </is>
      </c>
      <c r="I50" s="26" t="n">
        <v>2611.45</v>
      </c>
      <c r="J50" s="26" t="n">
        <v>2593.75</v>
      </c>
      <c r="K50" s="27" t="n">
        <v>0.006777843726665194</v>
      </c>
      <c r="L50" s="9" t="n">
        <v>475</v>
      </c>
      <c r="M50" s="28" t="n">
        <v>8407.5</v>
      </c>
      <c r="N50" s="26" t="n">
        <v>80.78</v>
      </c>
      <c r="O50" s="26" t="n">
        <v>59.22</v>
      </c>
      <c r="P50" s="26" t="n">
        <v>38370.03</v>
      </c>
      <c r="Q50" s="29" t="n">
        <v>-10241.12</v>
      </c>
      <c r="R50" s="13" t="n">
        <v>-0.2669041436767186</v>
      </c>
      <c r="S50" s="3" t="inlineStr">
        <is>
          <t>Post-earnings IV crush (~1.5%) eroded option time premium faster than small stock move (+0.68%)</t>
        </is>
      </c>
    </row>
    <row r="51" ht="21" customHeight="1">
      <c r="A51" s="15" t="n">
        <v>48</v>
      </c>
      <c r="B51" s="15" t="inlineStr">
        <is>
          <t>Q4 2024-25</t>
        </is>
      </c>
      <c r="C51" s="15" t="inlineStr">
        <is>
          <t>INFY</t>
        </is>
      </c>
      <c r="D51" s="30" t="inlineStr">
        <is>
          <t>Infosys Ltd</t>
        </is>
      </c>
      <c r="E51" s="30" t="inlineStr">
        <is>
          <t>Information Technology</t>
        </is>
      </c>
      <c r="F51" s="15" t="inlineStr">
        <is>
          <t>FUTURE SHORT</t>
        </is>
      </c>
      <c r="G51" s="15" t="inlineStr">
        <is>
          <t>2025-01-15</t>
        </is>
      </c>
      <c r="H51" s="15" t="inlineStr">
        <is>
          <t>2025-01-16</t>
        </is>
      </c>
      <c r="I51" s="31" t="n">
        <v>1959.4</v>
      </c>
      <c r="J51" s="31" t="n">
        <v>1945.61</v>
      </c>
      <c r="K51" s="32" t="n">
        <v>0.007037868735327238</v>
      </c>
      <c r="L51" s="15" t="n">
        <v>400</v>
      </c>
      <c r="M51" s="28" t="n">
        <v>5516</v>
      </c>
      <c r="N51" s="31" t="n">
        <v>59.79</v>
      </c>
      <c r="O51" s="31" t="n">
        <v>44.12</v>
      </c>
      <c r="P51" s="31" t="n">
        <v>23915.2</v>
      </c>
      <c r="Q51" s="29" t="n">
        <v>-6267.98</v>
      </c>
      <c r="R51" s="13" t="n">
        <v>-0.2620918913494347</v>
      </c>
      <c r="S51" s="30" t="inlineStr">
        <is>
          <t>Post-earnings IV crush (~1.5%) eroded option time premium faster than small stock move (+0.70%)</t>
        </is>
      </c>
    </row>
    <row r="52" ht="21" customHeight="1">
      <c r="A52" s="9" t="n">
        <v>49</v>
      </c>
      <c r="B52" s="9" t="inlineStr">
        <is>
          <t>Q4 2024-25</t>
        </is>
      </c>
      <c r="C52" s="9" t="inlineStr">
        <is>
          <t>HINDUNILVR</t>
        </is>
      </c>
      <c r="D52" s="3" t="inlineStr">
        <is>
          <t>Hindustan Unilever Ltd</t>
        </is>
      </c>
      <c r="E52" s="3" t="inlineStr">
        <is>
          <t>Consumer Goods (FMCG)</t>
        </is>
      </c>
      <c r="F52" s="9" t="inlineStr">
        <is>
          <t>FUTURE SHORT</t>
        </is>
      </c>
      <c r="G52" s="9" t="inlineStr">
        <is>
          <t>2025-01-20</t>
        </is>
      </c>
      <c r="H52" s="9" t="inlineStr">
        <is>
          <t>2025-01-23</t>
        </is>
      </c>
      <c r="I52" s="26" t="n">
        <v>2353.3</v>
      </c>
      <c r="J52" s="26" t="n">
        <v>2332.07</v>
      </c>
      <c r="K52" s="27" t="n">
        <v>0.009021374240428343</v>
      </c>
      <c r="L52" s="9" t="n">
        <v>300</v>
      </c>
      <c r="M52" s="28" t="n">
        <v>6369</v>
      </c>
      <c r="N52" s="26" t="n">
        <v>73.77</v>
      </c>
      <c r="O52" s="26" t="n">
        <v>59.59</v>
      </c>
      <c r="P52" s="26" t="n">
        <v>22129.8</v>
      </c>
      <c r="Q52" s="29" t="n">
        <v>-4252.69</v>
      </c>
      <c r="R52" s="13" t="n">
        <v>-0.1921702862203906</v>
      </c>
      <c r="S52" s="3" t="inlineStr">
        <is>
          <t>Post-earnings IV crush (~1.5%) eroded option time premium faster than small stock move (+0.90%)</t>
        </is>
      </c>
    </row>
    <row r="53" ht="21" customHeight="1">
      <c r="A53" s="15" t="n">
        <v>50</v>
      </c>
      <c r="B53" s="15" t="inlineStr">
        <is>
          <t>Q4 2024-25</t>
        </is>
      </c>
      <c r="C53" s="15" t="inlineStr">
        <is>
          <t>JSWSTEEL</t>
        </is>
      </c>
      <c r="D53" s="30" t="inlineStr">
        <is>
          <t>JSW Steel Ltd</t>
        </is>
      </c>
      <c r="E53" s="30" t="inlineStr">
        <is>
          <t>Metals &amp; Mining</t>
        </is>
      </c>
      <c r="F53" s="15" t="inlineStr">
        <is>
          <t>FUTURE LONG</t>
        </is>
      </c>
      <c r="G53" s="15" t="inlineStr">
        <is>
          <t>2025-01-22</t>
        </is>
      </c>
      <c r="H53" s="15" t="inlineStr">
        <is>
          <t>2025-01-23</t>
        </is>
      </c>
      <c r="I53" s="31" t="n">
        <v>919.6</v>
      </c>
      <c r="J53" s="31" t="n">
        <v>924.03</v>
      </c>
      <c r="K53" s="32" t="n">
        <v>0.004817311874728088</v>
      </c>
      <c r="L53" s="15" t="n">
        <v>675</v>
      </c>
      <c r="M53" s="28" t="n">
        <v>2990.25</v>
      </c>
      <c r="N53" s="31" t="n">
        <v>27.99</v>
      </c>
      <c r="O53" s="31" t="n">
        <v>18.65</v>
      </c>
      <c r="P53" s="31" t="n">
        <v>18894.6</v>
      </c>
      <c r="Q53" s="29" t="n">
        <v>-6305.75</v>
      </c>
      <c r="R53" s="13" t="n">
        <v>-0.3337329183999662</v>
      </c>
      <c r="S53" s="30" t="inlineStr">
        <is>
          <t>Post-earnings IV crush (~1.5%) eroded option time premium faster than small stock move (+0.48%)</t>
        </is>
      </c>
    </row>
    <row r="54" ht="21" customHeight="1">
      <c r="A54" s="9" t="n">
        <v>51</v>
      </c>
      <c r="B54" s="9" t="inlineStr">
        <is>
          <t>Q1 2025-26</t>
        </is>
      </c>
      <c r="C54" s="9" t="inlineStr">
        <is>
          <t>HDFCLIFE</t>
        </is>
      </c>
      <c r="D54" s="3" t="inlineStr">
        <is>
          <t>HDFC Life Insurance Co Ltd</t>
        </is>
      </c>
      <c r="E54" s="3" t="inlineStr">
        <is>
          <t>Financial Services</t>
        </is>
      </c>
      <c r="F54" s="9" t="inlineStr">
        <is>
          <t>FUTURE SHORT</t>
        </is>
      </c>
      <c r="G54" s="9" t="inlineStr">
        <is>
          <t>2025-04-07</t>
        </is>
      </c>
      <c r="H54" s="9" t="inlineStr">
        <is>
          <t>2025-04-08</t>
        </is>
      </c>
      <c r="I54" s="26" t="n">
        <v>669.9</v>
      </c>
      <c r="J54" s="26" t="n">
        <v>661.73</v>
      </c>
      <c r="K54" s="27" t="n">
        <v>0.01219585012688455</v>
      </c>
      <c r="L54" s="9" t="n">
        <v>1100</v>
      </c>
      <c r="M54" s="28" t="n">
        <v>8987</v>
      </c>
      <c r="N54" s="26" t="n">
        <v>23.5</v>
      </c>
      <c r="O54" s="26" t="n">
        <v>21.58</v>
      </c>
      <c r="P54" s="26" t="n">
        <v>25847.8</v>
      </c>
      <c r="Q54" s="29" t="n">
        <v>-2111.29</v>
      </c>
      <c r="R54" s="13" t="n">
        <v>-0.08168161313535388</v>
      </c>
      <c r="S54" s="3" t="inlineStr">
        <is>
          <t>Post-earnings IV crush (~1.5%) eroded option time premium faster than small stock move (+1.22%)</t>
        </is>
      </c>
    </row>
    <row r="55" ht="21" customHeight="1">
      <c r="A55" s="15" t="n">
        <v>52</v>
      </c>
      <c r="B55" s="15" t="inlineStr">
        <is>
          <t>Q1 2025-26</t>
        </is>
      </c>
      <c r="C55" s="15" t="inlineStr">
        <is>
          <t>WIPRO</t>
        </is>
      </c>
      <c r="D55" s="30" t="inlineStr">
        <is>
          <t>Wipro Ltd</t>
        </is>
      </c>
      <c r="E55" s="30" t="inlineStr">
        <is>
          <t>Information Technology</t>
        </is>
      </c>
      <c r="F55" s="15" t="inlineStr">
        <is>
          <t>FUTURE SHORT</t>
        </is>
      </c>
      <c r="G55" s="15" t="inlineStr">
        <is>
          <t>2025-04-07</t>
        </is>
      </c>
      <c r="H55" s="15" t="inlineStr">
        <is>
          <t>2025-04-29</t>
        </is>
      </c>
      <c r="I55" s="31" t="n">
        <v>242.85</v>
      </c>
      <c r="J55" s="31" t="n">
        <v>241.59</v>
      </c>
      <c r="K55" s="32" t="n">
        <v>0.005188387893761544</v>
      </c>
      <c r="L55" s="15" t="n">
        <v>1500</v>
      </c>
      <c r="M55" s="28" t="n">
        <v>1890</v>
      </c>
      <c r="N55" s="31" t="n">
        <v>7.01</v>
      </c>
      <c r="O55" s="31" t="n">
        <v>4.62</v>
      </c>
      <c r="P55" s="31" t="n">
        <v>10510.5</v>
      </c>
      <c r="Q55" s="29" t="n">
        <v>-3583.58</v>
      </c>
      <c r="R55" s="13" t="n">
        <v>-0.340952380952381</v>
      </c>
      <c r="S55" s="30" t="inlineStr">
        <is>
          <t>Post-earnings IV crush (~1.5%) eroded option time premium faster than small stock move (+0.52%)</t>
        </is>
      </c>
    </row>
    <row r="56" ht="21" customHeight="1">
      <c r="A56" s="9" t="n">
        <v>53</v>
      </c>
      <c r="B56" s="9" t="inlineStr">
        <is>
          <t>Q1 2025-26</t>
        </is>
      </c>
      <c r="C56" s="9" t="inlineStr">
        <is>
          <t>AXISBANK</t>
        </is>
      </c>
      <c r="D56" s="3" t="inlineStr">
        <is>
          <t>Axis Bank Ltd</t>
        </is>
      </c>
      <c r="E56" s="3" t="inlineStr">
        <is>
          <t>Financial Services</t>
        </is>
      </c>
      <c r="F56" s="9" t="inlineStr">
        <is>
          <t>FUTURE SHORT</t>
        </is>
      </c>
      <c r="G56" s="9" t="inlineStr">
        <is>
          <t>2025-04-11</t>
        </is>
      </c>
      <c r="H56" s="9" t="inlineStr">
        <is>
          <t>2025-04-15</t>
        </is>
      </c>
      <c r="I56" s="26" t="n">
        <v>1072.75</v>
      </c>
      <c r="J56" s="26" t="n">
        <v>1069.71</v>
      </c>
      <c r="K56" s="27" t="n">
        <v>0.002833838266138395</v>
      </c>
      <c r="L56" s="9" t="n">
        <v>625</v>
      </c>
      <c r="M56" s="28" t="n">
        <v>1900</v>
      </c>
      <c r="N56" s="26" t="n">
        <v>28.71</v>
      </c>
      <c r="O56" s="26" t="n">
        <v>15.64</v>
      </c>
      <c r="P56" s="26" t="n">
        <v>17940.62</v>
      </c>
      <c r="Q56" s="29" t="n">
        <v>-8166.53</v>
      </c>
      <c r="R56" s="13" t="n">
        <v>-0.4551977579370167</v>
      </c>
      <c r="S56" s="3" t="inlineStr">
        <is>
          <t>Post-earnings IV crush (~1.5%) eroded option time premium faster than small stock move (+0.28%)</t>
        </is>
      </c>
    </row>
    <row r="57" ht="21" customHeight="1">
      <c r="A57" s="15" t="n">
        <v>54</v>
      </c>
      <c r="B57" s="15" t="inlineStr">
        <is>
          <t>Q1 2025-26</t>
        </is>
      </c>
      <c r="C57" s="15" t="inlineStr">
        <is>
          <t>SHRIRAMFIN</t>
        </is>
      </c>
      <c r="D57" s="30" t="inlineStr">
        <is>
          <t>Shriram Finance Ltd</t>
        </is>
      </c>
      <c r="E57" s="30" t="inlineStr">
        <is>
          <t>Financial Services</t>
        </is>
      </c>
      <c r="F57" s="15" t="inlineStr">
        <is>
          <t>FUTURE SHORT</t>
        </is>
      </c>
      <c r="G57" s="15" t="inlineStr">
        <is>
          <t>2025-04-11</t>
        </is>
      </c>
      <c r="H57" s="15" t="inlineStr">
        <is>
          <t>2025-04-15</t>
        </is>
      </c>
      <c r="I57" s="31" t="n">
        <v>640.6</v>
      </c>
      <c r="J57" s="31" t="n">
        <v>634.74</v>
      </c>
      <c r="K57" s="32" t="n">
        <v>0.009147674055572921</v>
      </c>
      <c r="L57" s="15" t="n">
        <v>300</v>
      </c>
      <c r="M57" s="28" t="n">
        <v>1758</v>
      </c>
      <c r="N57" s="31" t="n">
        <v>22.21</v>
      </c>
      <c r="O57" s="31" t="n">
        <v>18.43</v>
      </c>
      <c r="P57" s="31" t="n">
        <v>6663.6</v>
      </c>
      <c r="Q57" s="29" t="n">
        <v>-1133.49</v>
      </c>
      <c r="R57" s="13" t="n">
        <v>-0.1701017468035296</v>
      </c>
      <c r="S57" s="30" t="inlineStr">
        <is>
          <t>Post-earnings IV crush (~1.5%) eroded option time premium faster than small stock move (+0.91%)</t>
        </is>
      </c>
    </row>
    <row r="58" ht="21" customHeight="1">
      <c r="A58" s="9" t="n">
        <v>55</v>
      </c>
      <c r="B58" s="9" t="inlineStr">
        <is>
          <t>Q1 2025-26</t>
        </is>
      </c>
      <c r="C58" s="9" t="inlineStr">
        <is>
          <t>TRENT</t>
        </is>
      </c>
      <c r="D58" s="3" t="inlineStr">
        <is>
          <t>Trent Ltd</t>
        </is>
      </c>
      <c r="E58" s="3" t="inlineStr">
        <is>
          <t>Retail &amp; Services</t>
        </is>
      </c>
      <c r="F58" s="9" t="inlineStr">
        <is>
          <t>FUTURE LONG</t>
        </is>
      </c>
      <c r="G58" s="9" t="inlineStr">
        <is>
          <t>2025-04-25</t>
        </is>
      </c>
      <c r="H58" s="9" t="inlineStr">
        <is>
          <t>2025-04-28</t>
        </is>
      </c>
      <c r="I58" s="26" t="n">
        <v>5142</v>
      </c>
      <c r="J58" s="26" t="n">
        <v>5195.13</v>
      </c>
      <c r="K58" s="27" t="n">
        <v>0.01033255542590434</v>
      </c>
      <c r="L58" s="9" t="n">
        <v>200</v>
      </c>
      <c r="M58" s="28" t="n">
        <v>10626</v>
      </c>
      <c r="N58" s="26" t="n">
        <v>144.84</v>
      </c>
      <c r="O58" s="26" t="n">
        <v>121.11</v>
      </c>
      <c r="P58" s="26" t="n">
        <v>28968</v>
      </c>
      <c r="Q58" s="29" t="n">
        <v>-4746.87</v>
      </c>
      <c r="R58" s="13" t="n">
        <v>-0.163865990057995</v>
      </c>
      <c r="S58" s="3" t="inlineStr">
        <is>
          <t>Post-earnings IV crush (~1.5%) eroded option time premium faster than small stock move (+1.03%)</t>
        </is>
      </c>
    </row>
    <row r="59" ht="21" customHeight="1">
      <c r="A59" s="15" t="n">
        <v>56</v>
      </c>
      <c r="B59" s="15" t="inlineStr">
        <is>
          <t>Q1 2025-26</t>
        </is>
      </c>
      <c r="C59" s="15" t="inlineStr">
        <is>
          <t>ASIANPAINT</t>
        </is>
      </c>
      <c r="D59" s="30" t="inlineStr">
        <is>
          <t>Asian Paints Ltd</t>
        </is>
      </c>
      <c r="E59" s="30" t="inlineStr">
        <is>
          <t>Consumer Durables</t>
        </is>
      </c>
      <c r="F59" s="15" t="inlineStr">
        <is>
          <t>FUTURE SHORT</t>
        </is>
      </c>
      <c r="G59" s="15" t="inlineStr">
        <is>
          <t>2025-05-02</t>
        </is>
      </c>
      <c r="H59" s="15" t="inlineStr">
        <is>
          <t>2025-05-05</t>
        </is>
      </c>
      <c r="I59" s="31" t="n">
        <v>2413.2</v>
      </c>
      <c r="J59" s="31" t="n">
        <v>2390.09</v>
      </c>
      <c r="K59" s="32" t="n">
        <v>0.009576495939002019</v>
      </c>
      <c r="L59" s="15" t="n">
        <v>200</v>
      </c>
      <c r="M59" s="28" t="n">
        <v>4622</v>
      </c>
      <c r="N59" s="31" t="n">
        <v>75.06</v>
      </c>
      <c r="O59" s="31" t="n">
        <v>61.86</v>
      </c>
      <c r="P59" s="31" t="n">
        <v>15012.8</v>
      </c>
      <c r="Q59" s="29" t="n">
        <v>-2640.71</v>
      </c>
      <c r="R59" s="13" t="n">
        <v>-0.1758972343600128</v>
      </c>
      <c r="S59" s="30" t="inlineStr">
        <is>
          <t>Post-earnings IV crush (~1.5%) eroded option time premium faster than small stock move (+0.96%)</t>
        </is>
      </c>
    </row>
    <row r="60" ht="21" customHeight="1">
      <c r="A60" s="9" t="n">
        <v>57</v>
      </c>
      <c r="B60" s="9" t="inlineStr">
        <is>
          <t>Q1 2025-26</t>
        </is>
      </c>
      <c r="C60" s="9" t="inlineStr">
        <is>
          <t>EICHERMOT</t>
        </is>
      </c>
      <c r="D60" s="3" t="inlineStr">
        <is>
          <t>Hero MotoCorp Ltd</t>
        </is>
      </c>
      <c r="E60" s="3" t="inlineStr">
        <is>
          <t>Automobile &amp; Auto</t>
        </is>
      </c>
      <c r="F60" s="9" t="inlineStr">
        <is>
          <t>FUTURE SHORT</t>
        </is>
      </c>
      <c r="G60" s="9" t="inlineStr">
        <is>
          <t>2025-05-02</t>
        </is>
      </c>
      <c r="H60" s="9" t="inlineStr">
        <is>
          <t>2025-05-05</t>
        </is>
      </c>
      <c r="I60" s="26" t="n">
        <v>5455</v>
      </c>
      <c r="J60" s="26" t="n">
        <v>5415.78</v>
      </c>
      <c r="K60" s="27" t="n">
        <v>0.007189734188817645</v>
      </c>
      <c r="L60" s="9" t="n">
        <v>175</v>
      </c>
      <c r="M60" s="28" t="n">
        <v>6863.5</v>
      </c>
      <c r="N60" s="26" t="n">
        <v>154.1</v>
      </c>
      <c r="O60" s="26" t="n">
        <v>111.3</v>
      </c>
      <c r="P60" s="26" t="n">
        <v>26967.5</v>
      </c>
      <c r="Q60" s="29" t="n">
        <v>-7490.19</v>
      </c>
      <c r="R60" s="13" t="n">
        <v>-0.2777487716696023</v>
      </c>
      <c r="S60" s="3" t="inlineStr">
        <is>
          <t>Post-earnings IV crush (~1.5%) eroded option time premium faster than small stock move (+0.72%)</t>
        </is>
      </c>
    </row>
    <row r="61" ht="21" customHeight="1">
      <c r="A61" s="15" t="n">
        <v>58</v>
      </c>
      <c r="B61" s="15" t="inlineStr">
        <is>
          <t>Q1 2025-26</t>
        </is>
      </c>
      <c r="C61" s="15" t="inlineStr">
        <is>
          <t>TITAN</t>
        </is>
      </c>
      <c r="D61" s="30" t="inlineStr">
        <is>
          <t>Titan Company Ltd</t>
        </is>
      </c>
      <c r="E61" s="30" t="inlineStr">
        <is>
          <t>Consumer Durables</t>
        </is>
      </c>
      <c r="F61" s="15" t="inlineStr">
        <is>
          <t>FUTURE SHORT</t>
        </is>
      </c>
      <c r="G61" s="15" t="inlineStr">
        <is>
          <t>2025-05-06</t>
        </is>
      </c>
      <c r="H61" s="15" t="inlineStr">
        <is>
          <t>2025-05-07</t>
        </is>
      </c>
      <c r="I61" s="31" t="n">
        <v>3302</v>
      </c>
      <c r="J61" s="31" t="n">
        <v>3285.39</v>
      </c>
      <c r="K61" s="32" t="n">
        <v>0.005030284675954006</v>
      </c>
      <c r="L61" s="15" t="n">
        <v>175</v>
      </c>
      <c r="M61" s="28" t="n">
        <v>2906.75</v>
      </c>
      <c r="N61" s="31" t="n">
        <v>104.04</v>
      </c>
      <c r="O61" s="31" t="n">
        <v>71.04000000000001</v>
      </c>
      <c r="P61" s="31" t="n">
        <v>18207</v>
      </c>
      <c r="Q61" s="29" t="n">
        <v>-5775.53</v>
      </c>
      <c r="R61" s="13" t="n">
        <v>-0.3172148074916241</v>
      </c>
      <c r="S61" s="30" t="inlineStr">
        <is>
          <t>Post-earnings IV crush (~1.5%) eroded option time premium faster than small stock move (+0.50%)</t>
        </is>
      </c>
    </row>
    <row r="62" ht="21" customHeight="1">
      <c r="A62" s="9" t="n">
        <v>59</v>
      </c>
      <c r="B62" s="9" t="inlineStr">
        <is>
          <t>Q1 2025-26</t>
        </is>
      </c>
      <c r="C62" s="9" t="inlineStr">
        <is>
          <t>TMPV</t>
        </is>
      </c>
      <c r="D62" s="3" t="inlineStr">
        <is>
          <t>Tata Motors Passenger Vehicles Ltd</t>
        </is>
      </c>
      <c r="E62" s="3" t="inlineStr">
        <is>
          <t>Automobile &amp; Auto</t>
        </is>
      </c>
      <c r="F62" s="9" t="inlineStr">
        <is>
          <t>FUTURE SHORT</t>
        </is>
      </c>
      <c r="G62" s="9" t="inlineStr">
        <is>
          <t>2025-05-07</t>
        </is>
      </c>
      <c r="H62" s="9" t="inlineStr">
        <is>
          <t>2025-05-08</t>
        </is>
      </c>
      <c r="I62" s="26" t="n">
        <v>680.3</v>
      </c>
      <c r="J62" s="26" t="n">
        <v>674.87</v>
      </c>
      <c r="K62" s="27" t="n">
        <v>0.007981772747317288</v>
      </c>
      <c r="L62" s="9" t="n">
        <v>1425</v>
      </c>
      <c r="M62" s="28" t="n">
        <v>7737.75</v>
      </c>
      <c r="N62" s="26" t="n">
        <v>23.31</v>
      </c>
      <c r="O62" s="26" t="n">
        <v>18.5</v>
      </c>
      <c r="P62" s="26" t="n">
        <v>33211.05</v>
      </c>
      <c r="Q62" s="29" t="n">
        <v>-6842.35</v>
      </c>
      <c r="R62" s="13" t="n">
        <v>-0.2060263075090971</v>
      </c>
      <c r="S62" s="3" t="inlineStr">
        <is>
          <t>Post-earnings IV crush (~1.5%) eroded option time premium faster than small stock move (+0.80%)</t>
        </is>
      </c>
    </row>
    <row r="63" ht="21" customHeight="1">
      <c r="A63" s="15" t="n">
        <v>60</v>
      </c>
      <c r="B63" s="15" t="inlineStr">
        <is>
          <t>Q1 2025-26</t>
        </is>
      </c>
      <c r="C63" s="15" t="inlineStr">
        <is>
          <t>ITC</t>
        </is>
      </c>
      <c r="D63" s="30" t="inlineStr">
        <is>
          <t>ITC Ltd</t>
        </is>
      </c>
      <c r="E63" s="30" t="inlineStr">
        <is>
          <t>Consumer Goods (FMCG)</t>
        </is>
      </c>
      <c r="F63" s="15" t="inlineStr">
        <is>
          <t>FUTURE SHORT</t>
        </is>
      </c>
      <c r="G63" s="15" t="inlineStr">
        <is>
          <t>2025-05-21</t>
        </is>
      </c>
      <c r="H63" s="15" t="inlineStr">
        <is>
          <t>2025-05-22</t>
        </is>
      </c>
      <c r="I63" s="31" t="n">
        <v>431.25</v>
      </c>
      <c r="J63" s="31" t="n">
        <v>427.99</v>
      </c>
      <c r="K63" s="32" t="n">
        <v>0.007559420289855051</v>
      </c>
      <c r="L63" s="15" t="n">
        <v>1600</v>
      </c>
      <c r="M63" s="28" t="n">
        <v>5216</v>
      </c>
      <c r="N63" s="31" t="n">
        <v>12.38</v>
      </c>
      <c r="O63" s="31" t="n">
        <v>9.15</v>
      </c>
      <c r="P63" s="31" t="n">
        <v>19800</v>
      </c>
      <c r="Q63" s="29" t="n">
        <v>-5160.08</v>
      </c>
      <c r="R63" s="13" t="n">
        <v>-0.260610101010101</v>
      </c>
      <c r="S63" s="30" t="inlineStr">
        <is>
          <t>Post-earnings IV crush (~1.5%) eroded option time premium faster than small stock move (+0.76%)</t>
        </is>
      </c>
    </row>
    <row r="64" ht="21" customHeight="1">
      <c r="A64" s="9" t="n">
        <v>61</v>
      </c>
      <c r="B64" s="9" t="inlineStr">
        <is>
          <t>Q2 2025-26</t>
        </is>
      </c>
      <c r="C64" s="9" t="inlineStr">
        <is>
          <t>INDIGO</t>
        </is>
      </c>
      <c r="D64" s="3" t="inlineStr">
        <is>
          <t>InterGlobe Aviation Ltd</t>
        </is>
      </c>
      <c r="E64" s="3" t="inlineStr">
        <is>
          <t>Aviation / Transport</t>
        </is>
      </c>
      <c r="F64" s="9" t="inlineStr">
        <is>
          <t>FUTURE LONG</t>
        </is>
      </c>
      <c r="G64" s="9" t="inlineStr">
        <is>
          <t>2023-10-30</t>
        </is>
      </c>
      <c r="H64" s="9" t="inlineStr">
        <is>
          <t>2023-11-10</t>
        </is>
      </c>
      <c r="I64" s="26" t="n">
        <v>2507.2</v>
      </c>
      <c r="J64" s="26" t="n">
        <v>2511.43</v>
      </c>
      <c r="K64" s="27" t="n">
        <v>0.001687141033822598</v>
      </c>
      <c r="L64" s="9" t="n">
        <v>300</v>
      </c>
      <c r="M64" s="28" t="n">
        <v>1269</v>
      </c>
      <c r="N64" s="26" t="n">
        <v>77.34</v>
      </c>
      <c r="O64" s="26" t="n">
        <v>43.99</v>
      </c>
      <c r="P64" s="26" t="n">
        <v>23203.2</v>
      </c>
      <c r="Q64" s="29" t="n">
        <v>-10007.05</v>
      </c>
      <c r="R64" s="13" t="n">
        <v>-0.431278875327541</v>
      </c>
      <c r="S64" s="3" t="inlineStr">
        <is>
          <t>Post-earnings IV crush (~1.5%) eroded option time premium faster than small stock move (+0.17%)</t>
        </is>
      </c>
    </row>
    <row r="65" ht="21" customHeight="1">
      <c r="A65" s="15" t="n">
        <v>62</v>
      </c>
      <c r="B65" s="15" t="inlineStr">
        <is>
          <t>Q2 2025-26</t>
        </is>
      </c>
      <c r="C65" s="15" t="inlineStr">
        <is>
          <t>TCS</t>
        </is>
      </c>
      <c r="D65" s="30" t="inlineStr">
        <is>
          <t>Tata Consultancy Services Ltd</t>
        </is>
      </c>
      <c r="E65" s="30" t="inlineStr">
        <is>
          <t>Information Technology</t>
        </is>
      </c>
      <c r="F65" s="15" t="inlineStr">
        <is>
          <t>FUTURE LONG</t>
        </is>
      </c>
      <c r="G65" s="15" t="inlineStr">
        <is>
          <t>2025-07-01</t>
        </is>
      </c>
      <c r="H65" s="15" t="inlineStr">
        <is>
          <t>2025-07-02</t>
        </is>
      </c>
      <c r="I65" s="31" t="n">
        <v>3433.5</v>
      </c>
      <c r="J65" s="31" t="n">
        <v>3445.56</v>
      </c>
      <c r="K65" s="32" t="n">
        <v>0.003512450851900377</v>
      </c>
      <c r="L65" s="15" t="n">
        <v>175</v>
      </c>
      <c r="M65" s="28" t="n">
        <v>2110.5</v>
      </c>
      <c r="N65" s="31" t="n">
        <v>102.17</v>
      </c>
      <c r="O65" s="31" t="n">
        <v>62.79</v>
      </c>
      <c r="P65" s="31" t="n">
        <v>17879.75</v>
      </c>
      <c r="Q65" s="29" t="n">
        <v>-6891.89</v>
      </c>
      <c r="R65" s="13" t="n">
        <v>-0.3854578503614424</v>
      </c>
      <c r="S65" s="30" t="inlineStr">
        <is>
          <t>Post-earnings IV crush (~1.5%) eroded option time premium faster than small stock move (+0.35%)</t>
        </is>
      </c>
    </row>
    <row r="66" ht="21" customHeight="1">
      <c r="A66" s="9" t="n">
        <v>63</v>
      </c>
      <c r="B66" s="9" t="inlineStr">
        <is>
          <t>Q2 2025-26</t>
        </is>
      </c>
      <c r="C66" s="9" t="inlineStr">
        <is>
          <t>WIPRO</t>
        </is>
      </c>
      <c r="D66" s="3" t="inlineStr">
        <is>
          <t>Wipro Ltd</t>
        </is>
      </c>
      <c r="E66" s="3" t="inlineStr">
        <is>
          <t>Information Technology</t>
        </is>
      </c>
      <c r="F66" s="9" t="inlineStr">
        <is>
          <t>FUTURE SHORT</t>
        </is>
      </c>
      <c r="G66" s="9" t="inlineStr">
        <is>
          <t>2025-07-10</t>
        </is>
      </c>
      <c r="H66" s="9" t="inlineStr">
        <is>
          <t>2025-07-16</t>
        </is>
      </c>
      <c r="I66" s="26" t="n">
        <v>261.8</v>
      </c>
      <c r="J66" s="26" t="n">
        <v>259.96</v>
      </c>
      <c r="K66" s="27" t="n">
        <v>0.007028265851795385</v>
      </c>
      <c r="L66" s="9" t="n">
        <v>1500</v>
      </c>
      <c r="M66" s="28" t="n">
        <v>2760</v>
      </c>
      <c r="N66" s="26" t="n">
        <v>8.44</v>
      </c>
      <c r="O66" s="26" t="n">
        <v>6.34</v>
      </c>
      <c r="P66" s="26" t="n">
        <v>12654</v>
      </c>
      <c r="Q66" s="29" t="n">
        <v>-3144.3</v>
      </c>
      <c r="R66" s="13" t="n">
        <v>-0.2484826932195353</v>
      </c>
      <c r="S66" s="3" t="inlineStr">
        <is>
          <t>Post-earnings IV crush (~1.5%) eroded option time premium faster than small stock move (+0.70%)</t>
        </is>
      </c>
    </row>
    <row r="67" ht="21" customHeight="1">
      <c r="A67" s="15" t="n">
        <v>64</v>
      </c>
      <c r="B67" s="15" t="inlineStr">
        <is>
          <t>Q2 2025-26</t>
        </is>
      </c>
      <c r="C67" s="15" t="inlineStr">
        <is>
          <t>HDFCBANK</t>
        </is>
      </c>
      <c r="D67" s="30" t="inlineStr">
        <is>
          <t>HDFC Bank Ltd</t>
        </is>
      </c>
      <c r="E67" s="30" t="inlineStr">
        <is>
          <t>Financial Services</t>
        </is>
      </c>
      <c r="F67" s="15" t="inlineStr">
        <is>
          <t>FUTURE LONG</t>
        </is>
      </c>
      <c r="G67" s="15" t="inlineStr">
        <is>
          <t>2025-07-15</t>
        </is>
      </c>
      <c r="H67" s="15" t="inlineStr">
        <is>
          <t>2025-07-21</t>
        </is>
      </c>
      <c r="I67" s="31" t="n">
        <v>997.75</v>
      </c>
      <c r="J67" s="31" t="n">
        <v>999.25</v>
      </c>
      <c r="K67" s="32" t="n">
        <v>0.001503382610874467</v>
      </c>
      <c r="L67" s="15" t="n">
        <v>550</v>
      </c>
      <c r="M67" s="28" t="n">
        <v>825</v>
      </c>
      <c r="N67" s="31" t="n">
        <v>27.71</v>
      </c>
      <c r="O67" s="31" t="n">
        <v>14.25</v>
      </c>
      <c r="P67" s="31" t="n">
        <v>15237.75</v>
      </c>
      <c r="Q67" s="29" t="n">
        <v>-7402.31</v>
      </c>
      <c r="R67" s="13" t="n">
        <v>-0.4857875998753097</v>
      </c>
      <c r="S67" s="30" t="inlineStr">
        <is>
          <t>Post-earnings IV crush (~1.5%) eroded option time premium faster than small stock move (+0.15%)</t>
        </is>
      </c>
    </row>
    <row r="68" ht="21" customHeight="1">
      <c r="A68" s="9" t="n">
        <v>65</v>
      </c>
      <c r="B68" s="9" t="inlineStr">
        <is>
          <t>Q2 2025-26</t>
        </is>
      </c>
      <c r="C68" s="9" t="inlineStr">
        <is>
          <t>NESTLEIND</t>
        </is>
      </c>
      <c r="D68" s="3" t="inlineStr">
        <is>
          <t>Nestle India Ltd</t>
        </is>
      </c>
      <c r="E68" s="3" t="inlineStr">
        <is>
          <t>Consumer Goods (FMCG)</t>
        </is>
      </c>
      <c r="F68" s="9" t="inlineStr">
        <is>
          <t>FUTURE SHORT</t>
        </is>
      </c>
      <c r="G68" s="9" t="inlineStr">
        <is>
          <t>2025-07-15</t>
        </is>
      </c>
      <c r="H68" s="9" t="inlineStr">
        <is>
          <t>2025-07-16</t>
        </is>
      </c>
      <c r="I68" s="26" t="n">
        <v>1208.15</v>
      </c>
      <c r="J68" s="26" t="n">
        <v>1206.32</v>
      </c>
      <c r="K68" s="27" t="n">
        <v>0.001514712577080788</v>
      </c>
      <c r="L68" s="9" t="n">
        <v>250</v>
      </c>
      <c r="M68" s="28" t="n">
        <v>457.5</v>
      </c>
      <c r="N68" s="26" t="n">
        <v>36.01</v>
      </c>
      <c r="O68" s="26" t="n">
        <v>19.71</v>
      </c>
      <c r="P68" s="26" t="n">
        <v>9003.25</v>
      </c>
      <c r="Q68" s="29" t="n">
        <v>-4075.35</v>
      </c>
      <c r="R68" s="13" t="n">
        <v>-0.4526532085635743</v>
      </c>
      <c r="S68" s="3" t="inlineStr">
        <is>
          <t>Post-earnings IV crush (~1.5%) eroded option time premium faster than small stock move (+0.15%)</t>
        </is>
      </c>
    </row>
    <row r="69" ht="21" customHeight="1">
      <c r="A69" s="15" t="n">
        <v>66</v>
      </c>
      <c r="B69" s="15" t="inlineStr">
        <is>
          <t>Q2 2025-26</t>
        </is>
      </c>
      <c r="C69" s="15" t="inlineStr">
        <is>
          <t>SBILIFE</t>
        </is>
      </c>
      <c r="D69" s="30" t="inlineStr">
        <is>
          <t>SBI Life Insurance Co Ltd</t>
        </is>
      </c>
      <c r="E69" s="30" t="inlineStr">
        <is>
          <t>Financial Services</t>
        </is>
      </c>
      <c r="F69" s="15" t="inlineStr">
        <is>
          <t>FUTURE SHORT</t>
        </is>
      </c>
      <c r="G69" s="15" t="inlineStr">
        <is>
          <t>2025-07-21</t>
        </is>
      </c>
      <c r="H69" s="15" t="inlineStr">
        <is>
          <t>2025-07-22</t>
        </is>
      </c>
      <c r="I69" s="31" t="n">
        <v>1805.2</v>
      </c>
      <c r="J69" s="31" t="n">
        <v>1798.6</v>
      </c>
      <c r="K69" s="32" t="n">
        <v>0.003656104586749466</v>
      </c>
      <c r="L69" s="15" t="n">
        <v>750</v>
      </c>
      <c r="M69" s="28" t="n">
        <v>4950</v>
      </c>
      <c r="N69" s="31" t="n">
        <v>50.9</v>
      </c>
      <c r="O69" s="31" t="n">
        <v>30.39</v>
      </c>
      <c r="P69" s="31" t="n">
        <v>38178</v>
      </c>
      <c r="Q69" s="29" t="n">
        <v>-15383.25</v>
      </c>
      <c r="R69" s="13" t="n">
        <v>-0.4029349363507779</v>
      </c>
      <c r="S69" s="30" t="inlineStr">
        <is>
          <t>Post-earnings IV crush (~1.5%) eroded option time premium faster than small stock move (+0.37%)</t>
        </is>
      </c>
    </row>
    <row r="70" ht="21" customHeight="1">
      <c r="A70" s="9" t="n">
        <v>67</v>
      </c>
      <c r="B70" s="9" t="inlineStr">
        <is>
          <t>Q2 2025-26</t>
        </is>
      </c>
      <c r="C70" s="9" t="inlineStr">
        <is>
          <t>TATACONSUM</t>
        </is>
      </c>
      <c r="D70" s="3" t="inlineStr">
        <is>
          <t>Tata Consumer Products Ltd</t>
        </is>
      </c>
      <c r="E70" s="3" t="inlineStr">
        <is>
          <t>Consumer Goods (FMCG)</t>
        </is>
      </c>
      <c r="F70" s="9" t="inlineStr">
        <is>
          <t>FUTURE SHORT</t>
        </is>
      </c>
      <c r="G70" s="9" t="inlineStr">
        <is>
          <t>2025-07-22</t>
        </is>
      </c>
      <c r="H70" s="9" t="inlineStr">
        <is>
          <t>2025-08-01</t>
        </is>
      </c>
      <c r="I70" s="26" t="n">
        <v>1083.2</v>
      </c>
      <c r="J70" s="26" t="n">
        <v>1069.9</v>
      </c>
      <c r="K70" s="27" t="n">
        <v>0.01227843426883304</v>
      </c>
      <c r="L70" s="9" t="n">
        <v>900</v>
      </c>
      <c r="M70" s="28" t="n">
        <v>11970</v>
      </c>
      <c r="N70" s="26" t="n">
        <v>38.46</v>
      </c>
      <c r="O70" s="26" t="n">
        <v>35.45</v>
      </c>
      <c r="P70" s="26" t="n">
        <v>34617.6</v>
      </c>
      <c r="Q70" s="29" t="n">
        <v>-2713.05</v>
      </c>
      <c r="R70" s="13" t="n">
        <v>-0.07837198419301165</v>
      </c>
      <c r="S70" s="3" t="inlineStr">
        <is>
          <t>Post-earnings IV crush (~1.5%) eroded option time premium faster than small stock move (+1.23%)</t>
        </is>
      </c>
    </row>
    <row r="71" ht="21" customHeight="1">
      <c r="A71" s="15" t="n">
        <v>68</v>
      </c>
      <c r="B71" s="15" t="inlineStr">
        <is>
          <t>Q2 2025-26</t>
        </is>
      </c>
      <c r="C71" s="15" t="inlineStr">
        <is>
          <t>CIPLA</t>
        </is>
      </c>
      <c r="D71" s="30" t="inlineStr">
        <is>
          <t>Cipla Ltd</t>
        </is>
      </c>
      <c r="E71" s="30" t="inlineStr">
        <is>
          <t>Healthcare &amp; Pharma</t>
        </is>
      </c>
      <c r="F71" s="15" t="inlineStr">
        <is>
          <t>FUTURE LONG</t>
        </is>
      </c>
      <c r="G71" s="15" t="inlineStr">
        <is>
          <t>2025-07-23</t>
        </is>
      </c>
      <c r="H71" s="15" t="inlineStr">
        <is>
          <t>2025-07-24</t>
        </is>
      </c>
      <c r="I71" s="31" t="n">
        <v>1472.8</v>
      </c>
      <c r="J71" s="31" t="n">
        <v>1476.64</v>
      </c>
      <c r="K71" s="32" t="n">
        <v>0.002607278652906128</v>
      </c>
      <c r="L71" s="15" t="n">
        <v>650</v>
      </c>
      <c r="M71" s="28" t="n">
        <v>2496</v>
      </c>
      <c r="N71" s="31" t="n">
        <v>42.26</v>
      </c>
      <c r="O71" s="31" t="n">
        <v>24.02</v>
      </c>
      <c r="P71" s="31" t="n">
        <v>27466.4</v>
      </c>
      <c r="Q71" s="29" t="n">
        <v>-11851.32</v>
      </c>
      <c r="R71" s="13" t="n">
        <v>-0.4314842862552064</v>
      </c>
      <c r="S71" s="30" t="inlineStr">
        <is>
          <t>Post-earnings IV crush (~1.5%) eroded option time premium faster than small stock move (+0.26%)</t>
        </is>
      </c>
    </row>
    <row r="72" ht="21" customHeight="1">
      <c r="A72" s="9" t="n">
        <v>69</v>
      </c>
      <c r="B72" s="9" t="inlineStr">
        <is>
          <t>Q2 2025-26</t>
        </is>
      </c>
      <c r="C72" s="9" t="inlineStr">
        <is>
          <t>MARUTI</t>
        </is>
      </c>
      <c r="D72" s="3" t="inlineStr">
        <is>
          <t>Maruti Suzuki India Ltd</t>
        </is>
      </c>
      <c r="E72" s="3" t="inlineStr">
        <is>
          <t>Automobile &amp; Auto</t>
        </is>
      </c>
      <c r="F72" s="9" t="inlineStr">
        <is>
          <t>FUTURE SHORT</t>
        </is>
      </c>
      <c r="G72" s="9" t="inlineStr">
        <is>
          <t>2025-07-23</t>
        </is>
      </c>
      <c r="H72" s="9" t="inlineStr">
        <is>
          <t>2025-07-24</t>
        </is>
      </c>
      <c r="I72" s="26" t="n">
        <v>12669</v>
      </c>
      <c r="J72" s="26" t="n">
        <v>12625.29</v>
      </c>
      <c r="K72" s="27" t="n">
        <v>0.00345015391901485</v>
      </c>
      <c r="L72" s="9" t="n">
        <v>100</v>
      </c>
      <c r="M72" s="28" t="n">
        <v>4371</v>
      </c>
      <c r="N72" s="26" t="n">
        <v>384.38</v>
      </c>
      <c r="O72" s="26" t="n">
        <v>237.84</v>
      </c>
      <c r="P72" s="26" t="n">
        <v>38438</v>
      </c>
      <c r="Q72" s="29" t="n">
        <v>-14654.36</v>
      </c>
      <c r="R72" s="13" t="n">
        <v>-0.3812466829699777</v>
      </c>
      <c r="S72" s="3" t="inlineStr">
        <is>
          <t>Post-earnings IV crush (~1.5%) eroded option time premium faster than small stock move (+0.35%)</t>
        </is>
      </c>
    </row>
    <row r="73" ht="21" customHeight="1">
      <c r="A73" s="15" t="n">
        <v>70</v>
      </c>
      <c r="B73" s="15" t="inlineStr">
        <is>
          <t>Q2 2025-26</t>
        </is>
      </c>
      <c r="C73" s="15" t="inlineStr">
        <is>
          <t>POWERGRID</t>
        </is>
      </c>
      <c r="D73" s="30" t="inlineStr">
        <is>
          <t>Power Grid Corp of India Ltd</t>
        </is>
      </c>
      <c r="E73" s="30" t="inlineStr">
        <is>
          <t>Energy</t>
        </is>
      </c>
      <c r="F73" s="15" t="inlineStr">
        <is>
          <t>FUTURE SHORT</t>
        </is>
      </c>
      <c r="G73" s="15" t="inlineStr">
        <is>
          <t>2025-07-25</t>
        </is>
      </c>
      <c r="H73" s="15" t="inlineStr">
        <is>
          <t>2025-07-31</t>
        </is>
      </c>
      <c r="I73" s="31" t="n">
        <v>291.45</v>
      </c>
      <c r="J73" s="31" t="n">
        <v>290.64</v>
      </c>
      <c r="K73" s="32" t="n">
        <v>0.002779207411219771</v>
      </c>
      <c r="L73" s="15" t="n">
        <v>1800</v>
      </c>
      <c r="M73" s="28" t="n">
        <v>1458</v>
      </c>
      <c r="N73" s="31" t="n">
        <v>9.380000000000001</v>
      </c>
      <c r="O73" s="31" t="n">
        <v>5.81</v>
      </c>
      <c r="P73" s="31" t="n">
        <v>16882.2</v>
      </c>
      <c r="Q73" s="29" t="n">
        <v>-6418.44</v>
      </c>
      <c r="R73" s="13" t="n">
        <v>-0.3801897856914383</v>
      </c>
      <c r="S73" s="30" t="inlineStr">
        <is>
          <t>Post-earnings IV crush (~1.5%) eroded option time premium faster than small stock move (+0.28%)</t>
        </is>
      </c>
    </row>
    <row r="74" ht="21" customHeight="1">
      <c r="A74" s="9" t="n">
        <v>71</v>
      </c>
      <c r="B74" s="9" t="inlineStr">
        <is>
          <t>Q2 2025-26</t>
        </is>
      </c>
      <c r="C74" s="9" t="inlineStr">
        <is>
          <t>ADANIPORTS</t>
        </is>
      </c>
      <c r="D74" s="3" t="inlineStr">
        <is>
          <t>Adani Ports &amp; SEZ Ltd</t>
        </is>
      </c>
      <c r="E74" s="3" t="inlineStr">
        <is>
          <t>Services &amp; Logistics</t>
        </is>
      </c>
      <c r="F74" s="9" t="inlineStr">
        <is>
          <t>FUTURE LONG</t>
        </is>
      </c>
      <c r="G74" s="9" t="inlineStr">
        <is>
          <t>2025-07-28</t>
        </is>
      </c>
      <c r="H74" s="9" t="inlineStr">
        <is>
          <t>2025-07-29</t>
        </is>
      </c>
      <c r="I74" s="26" t="n">
        <v>1378.6</v>
      </c>
      <c r="J74" s="26" t="n">
        <v>1388.98</v>
      </c>
      <c r="K74" s="27" t="n">
        <v>0.007529377629479262</v>
      </c>
      <c r="L74" s="9" t="n">
        <v>800</v>
      </c>
      <c r="M74" s="28" t="n">
        <v>8304</v>
      </c>
      <c r="N74" s="26" t="n">
        <v>46.17</v>
      </c>
      <c r="O74" s="26" t="n">
        <v>35.92</v>
      </c>
      <c r="P74" s="26" t="n">
        <v>36937.6</v>
      </c>
      <c r="Q74" s="29" t="n">
        <v>-8197.68</v>
      </c>
      <c r="R74" s="13" t="n">
        <v>-0.2219332062721996</v>
      </c>
      <c r="S74" s="3" t="inlineStr">
        <is>
          <t>Post-earnings IV crush (~1.5%) eroded option time premium faster than small stock move (+0.75%)</t>
        </is>
      </c>
    </row>
    <row r="75" ht="21" customHeight="1">
      <c r="A75" s="15" t="n">
        <v>72</v>
      </c>
      <c r="B75" s="15" t="inlineStr">
        <is>
          <t>Q2 2025-26</t>
        </is>
      </c>
      <c r="C75" s="15" t="inlineStr">
        <is>
          <t>NTPC</t>
        </is>
      </c>
      <c r="D75" s="30" t="inlineStr">
        <is>
          <t>NTPC Ltd</t>
        </is>
      </c>
      <c r="E75" s="30" t="inlineStr">
        <is>
          <t>Energy</t>
        </is>
      </c>
      <c r="F75" s="15" t="inlineStr">
        <is>
          <t>FUTURE LONG</t>
        </is>
      </c>
      <c r="G75" s="15" t="inlineStr">
        <is>
          <t>2025-07-28</t>
        </is>
      </c>
      <c r="H75" s="15" t="inlineStr">
        <is>
          <t>2025-07-29</t>
        </is>
      </c>
      <c r="I75" s="31" t="n">
        <v>333.5</v>
      </c>
      <c r="J75" s="31" t="n">
        <v>336.13</v>
      </c>
      <c r="K75" s="32" t="n">
        <v>0.007886056971514229</v>
      </c>
      <c r="L75" s="15" t="n">
        <v>1500</v>
      </c>
      <c r="M75" s="28" t="n">
        <v>3945</v>
      </c>
      <c r="N75" s="31" t="n">
        <v>10.17</v>
      </c>
      <c r="O75" s="31" t="n">
        <v>7.81</v>
      </c>
      <c r="P75" s="31" t="n">
        <v>15255</v>
      </c>
      <c r="Q75" s="29" t="n">
        <v>-3539.03</v>
      </c>
      <c r="R75" s="13" t="n">
        <v>-0.2319914782038676</v>
      </c>
      <c r="S75" s="30" t="inlineStr">
        <is>
          <t>Post-earnings IV crush (~1.5%) eroded option time premium faster than small stock move (+0.79%)</t>
        </is>
      </c>
    </row>
    <row r="76" ht="21" customHeight="1">
      <c r="A76" s="9" t="n">
        <v>73</v>
      </c>
      <c r="B76" s="9" t="inlineStr">
        <is>
          <t>Q3 2025-26</t>
        </is>
      </c>
      <c r="C76" s="9" t="inlineStr">
        <is>
          <t>HDFCLIFE</t>
        </is>
      </c>
      <c r="D76" s="3" t="inlineStr">
        <is>
          <t>HDFC Life Insurance Co Ltd</t>
        </is>
      </c>
      <c r="E76" s="3" t="inlineStr">
        <is>
          <t>Financial Services</t>
        </is>
      </c>
      <c r="F76" s="9" t="inlineStr">
        <is>
          <t>FUTURE SHORT</t>
        </is>
      </c>
      <c r="G76" s="9" t="inlineStr">
        <is>
          <t>2025-10-07</t>
        </is>
      </c>
      <c r="H76" s="9" t="inlineStr">
        <is>
          <t>2025-10-28</t>
        </is>
      </c>
      <c r="I76" s="26" t="n">
        <v>760</v>
      </c>
      <c r="J76" s="26" t="n">
        <v>752.11</v>
      </c>
      <c r="K76" s="27" t="n">
        <v>0.0103815789473684</v>
      </c>
      <c r="L76" s="9" t="n">
        <v>1100</v>
      </c>
      <c r="M76" s="28" t="n">
        <v>8679</v>
      </c>
      <c r="N76" s="26" t="n">
        <v>25.2</v>
      </c>
      <c r="O76" s="26" t="n">
        <v>21.65</v>
      </c>
      <c r="P76" s="26" t="n">
        <v>27720</v>
      </c>
      <c r="Q76" s="29" t="n">
        <v>-3904.4</v>
      </c>
      <c r="R76" s="13" t="n">
        <v>-0.1408513708513709</v>
      </c>
      <c r="S76" s="3" t="inlineStr">
        <is>
          <t>Post-earnings IV crush (~1.5%) eroded option time premium faster than small stock move (+1.04%)</t>
        </is>
      </c>
    </row>
    <row r="77" ht="21" customHeight="1">
      <c r="A77" s="15" t="n">
        <v>74</v>
      </c>
      <c r="B77" s="15" t="inlineStr">
        <is>
          <t>Q3 2025-26</t>
        </is>
      </c>
      <c r="C77" s="15" t="inlineStr">
        <is>
          <t>TECHM</t>
        </is>
      </c>
      <c r="D77" s="30" t="inlineStr">
        <is>
          <t>Tech Mahindra Ltd</t>
        </is>
      </c>
      <c r="E77" s="30" t="inlineStr">
        <is>
          <t>Information Technology</t>
        </is>
      </c>
      <c r="F77" s="15" t="inlineStr">
        <is>
          <t>FUTURE LONG</t>
        </is>
      </c>
      <c r="G77" s="15" t="inlineStr">
        <is>
          <t>2025-10-10</t>
        </is>
      </c>
      <c r="H77" s="15" t="inlineStr">
        <is>
          <t>2025-10-13</t>
        </is>
      </c>
      <c r="I77" s="31" t="n">
        <v>1453.5</v>
      </c>
      <c r="J77" s="31" t="n">
        <v>1465.98</v>
      </c>
      <c r="K77" s="32" t="n">
        <v>0.008586171310629527</v>
      </c>
      <c r="L77" s="15" t="n">
        <v>600</v>
      </c>
      <c r="M77" s="28" t="n">
        <v>7488</v>
      </c>
      <c r="N77" s="31" t="n">
        <v>42.57</v>
      </c>
      <c r="O77" s="31" t="n">
        <v>33.31</v>
      </c>
      <c r="P77" s="31" t="n">
        <v>25542</v>
      </c>
      <c r="Q77" s="29" t="n">
        <v>-5556.06</v>
      </c>
      <c r="R77" s="13" t="n">
        <v>-0.2175264270613108</v>
      </c>
      <c r="S77" s="30" t="inlineStr">
        <is>
          <t>Post-earnings IV crush (~1.5%) eroded option time premium faster than small stock move (+0.86%)</t>
        </is>
      </c>
    </row>
    <row r="78" ht="21" customHeight="1">
      <c r="A78" s="9" t="n">
        <v>75</v>
      </c>
      <c r="B78" s="9" t="inlineStr">
        <is>
          <t>Q3 2025-26</t>
        </is>
      </c>
      <c r="C78" s="9" t="inlineStr">
        <is>
          <t>HINDUNILVR</t>
        </is>
      </c>
      <c r="D78" s="3" t="inlineStr">
        <is>
          <t>Hindustan Unilever Ltd</t>
        </is>
      </c>
      <c r="E78" s="3" t="inlineStr">
        <is>
          <t>Consumer Goods (FMCG)</t>
        </is>
      </c>
      <c r="F78" s="9" t="inlineStr">
        <is>
          <t>FUTURE SHORT</t>
        </is>
      </c>
      <c r="G78" s="9" t="inlineStr">
        <is>
          <t>2025-10-20</t>
        </is>
      </c>
      <c r="H78" s="9" t="inlineStr">
        <is>
          <t>2025-10-21</t>
        </is>
      </c>
      <c r="I78" s="26" t="n">
        <v>2601.8</v>
      </c>
      <c r="J78" s="26" t="n">
        <v>2576.26</v>
      </c>
      <c r="K78" s="27" t="n">
        <v>0.009816281036205689</v>
      </c>
      <c r="L78" s="9" t="n">
        <v>300</v>
      </c>
      <c r="M78" s="28" t="n">
        <v>7662</v>
      </c>
      <c r="N78" s="26" t="n">
        <v>70.23999999999999</v>
      </c>
      <c r="O78" s="26" t="n">
        <v>56.62</v>
      </c>
      <c r="P78" s="26" t="n">
        <v>21070.8</v>
      </c>
      <c r="Q78" s="29" t="n">
        <v>-4084.41</v>
      </c>
      <c r="R78" s="13" t="n">
        <v>-0.1938421891907284</v>
      </c>
      <c r="S78" s="3" t="inlineStr">
        <is>
          <t>Post-earnings IV crush (~1.5%) eroded option time premium faster than small stock move (+0.98%)</t>
        </is>
      </c>
    </row>
    <row r="79" ht="21" customHeight="1">
      <c r="A79" s="15" t="n">
        <v>76</v>
      </c>
      <c r="B79" s="15" t="inlineStr">
        <is>
          <t>Q3 2025-26</t>
        </is>
      </c>
      <c r="C79" s="15" t="inlineStr">
        <is>
          <t>SBILIFE</t>
        </is>
      </c>
      <c r="D79" s="30" t="inlineStr">
        <is>
          <t>SBI Life Insurance Co Ltd</t>
        </is>
      </c>
      <c r="E79" s="30" t="inlineStr">
        <is>
          <t>Financial Services</t>
        </is>
      </c>
      <c r="F79" s="15" t="inlineStr">
        <is>
          <t>FUTURE SHORT</t>
        </is>
      </c>
      <c r="G79" s="15" t="inlineStr">
        <is>
          <t>2025-10-20</t>
        </is>
      </c>
      <c r="H79" s="15" t="inlineStr">
        <is>
          <t>2025-10-21</t>
        </is>
      </c>
      <c r="I79" s="31" t="n">
        <v>1841</v>
      </c>
      <c r="J79" s="31" t="n">
        <v>1834.64</v>
      </c>
      <c r="K79" s="32" t="n">
        <v>0.003454644215100435</v>
      </c>
      <c r="L79" s="15" t="n">
        <v>750</v>
      </c>
      <c r="M79" s="28" t="n">
        <v>4770</v>
      </c>
      <c r="N79" s="31" t="n">
        <v>55.82</v>
      </c>
      <c r="O79" s="31" t="n">
        <v>34.53</v>
      </c>
      <c r="P79" s="31" t="n">
        <v>41865</v>
      </c>
      <c r="Q79" s="29" t="n">
        <v>-15965.1</v>
      </c>
      <c r="R79" s="13" t="n">
        <v>-0.381347187388033</v>
      </c>
      <c r="S79" s="30" t="inlineStr">
        <is>
          <t>Post-earnings IV crush (~1.5%) eroded option time premium faster than small stock move (+0.35%)</t>
        </is>
      </c>
    </row>
    <row r="80" ht="21" customHeight="1">
      <c r="A80" s="9" t="n">
        <v>77</v>
      </c>
      <c r="B80" s="9" t="inlineStr">
        <is>
          <t>Q3 2025-26</t>
        </is>
      </c>
      <c r="C80" s="9" t="inlineStr">
        <is>
          <t>COALINDIA</t>
        </is>
      </c>
      <c r="D80" s="3" t="inlineStr">
        <is>
          <t>Coal India Ltd</t>
        </is>
      </c>
      <c r="E80" s="3" t="inlineStr">
        <is>
          <t>Energy</t>
        </is>
      </c>
      <c r="F80" s="9" t="inlineStr">
        <is>
          <t>FUTURE SHORT</t>
        </is>
      </c>
      <c r="G80" s="9" t="inlineStr">
        <is>
          <t>2025-10-21</t>
        </is>
      </c>
      <c r="H80" s="9" t="inlineStr">
        <is>
          <t>2025-10-23</t>
        </is>
      </c>
      <c r="I80" s="26" t="n">
        <v>390.4</v>
      </c>
      <c r="J80" s="26" t="n">
        <v>389.75</v>
      </c>
      <c r="K80" s="27" t="n">
        <v>0.001664959016393384</v>
      </c>
      <c r="L80" s="9" t="n">
        <v>2100</v>
      </c>
      <c r="M80" s="28" t="n">
        <v>1365</v>
      </c>
      <c r="N80" s="26" t="n">
        <v>12.41</v>
      </c>
      <c r="O80" s="26" t="n">
        <v>7.2</v>
      </c>
      <c r="P80" s="26" t="n">
        <v>26056.8</v>
      </c>
      <c r="Q80" s="29" t="n">
        <v>-10939.43</v>
      </c>
      <c r="R80" s="13" t="n">
        <v>-0.4198301403088637</v>
      </c>
      <c r="S80" s="3" t="inlineStr">
        <is>
          <t>Post-earnings IV crush (~1.5%) eroded option time premium faster than small stock move (+0.17%)</t>
        </is>
      </c>
    </row>
    <row r="81" ht="21" customHeight="1">
      <c r="A81" s="15" t="n">
        <v>78</v>
      </c>
      <c r="B81" s="15" t="inlineStr">
        <is>
          <t>Q3 2025-26</t>
        </is>
      </c>
      <c r="C81" s="15" t="inlineStr">
        <is>
          <t>DRREDDY</t>
        </is>
      </c>
      <c r="D81" s="30" t="inlineStr">
        <is>
          <t>Dr. Reddy's Laboratories Ltd</t>
        </is>
      </c>
      <c r="E81" s="30" t="inlineStr">
        <is>
          <t>Healthcare &amp; Pharma</t>
        </is>
      </c>
      <c r="F81" s="15" t="inlineStr">
        <is>
          <t>FUTURE SHORT</t>
        </is>
      </c>
      <c r="G81" s="15" t="inlineStr">
        <is>
          <t>2025-10-21</t>
        </is>
      </c>
      <c r="H81" s="15" t="inlineStr">
        <is>
          <t>2025-10-23</t>
        </is>
      </c>
      <c r="I81" s="31" t="n">
        <v>1290</v>
      </c>
      <c r="J81" s="31" t="n">
        <v>1279.11</v>
      </c>
      <c r="K81" s="32" t="n">
        <v>0.008441860465116356</v>
      </c>
      <c r="L81" s="15" t="n">
        <v>125</v>
      </c>
      <c r="M81" s="28" t="n">
        <v>1361.25</v>
      </c>
      <c r="N81" s="31" t="n">
        <v>35.8</v>
      </c>
      <c r="O81" s="31" t="n">
        <v>27.29</v>
      </c>
      <c r="P81" s="31" t="n">
        <v>4475</v>
      </c>
      <c r="Q81" s="29" t="n">
        <v>-1064.31</v>
      </c>
      <c r="R81" s="13" t="n">
        <v>-0.2378346368715084</v>
      </c>
      <c r="S81" s="30" t="inlineStr">
        <is>
          <t>Post-earnings IV crush (~1.5%) eroded option time premium faster than small stock move (+0.84%)</t>
        </is>
      </c>
    </row>
    <row r="82" ht="21" customHeight="1">
      <c r="A82" s="9" t="n">
        <v>79</v>
      </c>
      <c r="B82" s="9" t="inlineStr">
        <is>
          <t>Q3 2025-26</t>
        </is>
      </c>
      <c r="C82" s="9" t="inlineStr">
        <is>
          <t>BEL</t>
        </is>
      </c>
      <c r="D82" s="3" t="inlineStr">
        <is>
          <t>Bharat Electronics Ltd</t>
        </is>
      </c>
      <c r="E82" s="3" t="inlineStr">
        <is>
          <t>Capital Goods / Defense</t>
        </is>
      </c>
      <c r="F82" s="9" t="inlineStr">
        <is>
          <t>FUTURE LONG</t>
        </is>
      </c>
      <c r="G82" s="9" t="inlineStr">
        <is>
          <t>2025-10-29</t>
        </is>
      </c>
      <c r="H82" s="9" t="inlineStr">
        <is>
          <t>2025-11-06</t>
        </is>
      </c>
      <c r="I82" s="26" t="n">
        <v>410.35</v>
      </c>
      <c r="J82" s="26" t="n">
        <v>411.55</v>
      </c>
      <c r="K82" s="27" t="n">
        <v>0.002924332886560225</v>
      </c>
      <c r="L82" s="9" t="n">
        <v>1500</v>
      </c>
      <c r="M82" s="28" t="n">
        <v>1800</v>
      </c>
      <c r="N82" s="26" t="n">
        <v>13.56</v>
      </c>
      <c r="O82" s="26" t="n">
        <v>8.609999999999999</v>
      </c>
      <c r="P82" s="26" t="n">
        <v>20335.5</v>
      </c>
      <c r="Q82" s="29" t="n">
        <v>-7423.88</v>
      </c>
      <c r="R82" s="13" t="n">
        <v>-0.3650699515625384</v>
      </c>
      <c r="S82" s="3" t="inlineStr">
        <is>
          <t>Post-earnings IV crush (~1.5%) eroded option time premium faster than small stock move (+0.29%)</t>
        </is>
      </c>
    </row>
    <row r="83" ht="21" customHeight="1">
      <c r="A83" s="15" t="n">
        <v>80</v>
      </c>
      <c r="B83" s="15" t="inlineStr">
        <is>
          <t>Q3 2025-26</t>
        </is>
      </c>
      <c r="C83" s="15" t="inlineStr">
        <is>
          <t>POWERGRID</t>
        </is>
      </c>
      <c r="D83" s="30" t="inlineStr">
        <is>
          <t>Power Grid Corp of India Ltd</t>
        </is>
      </c>
      <c r="E83" s="30" t="inlineStr">
        <is>
          <t>Energy</t>
        </is>
      </c>
      <c r="F83" s="15" t="inlineStr">
        <is>
          <t>FUTURE SHORT</t>
        </is>
      </c>
      <c r="G83" s="15" t="inlineStr">
        <is>
          <t>2025-10-29</t>
        </is>
      </c>
      <c r="H83" s="15" t="inlineStr">
        <is>
          <t>2025-10-30</t>
        </is>
      </c>
      <c r="I83" s="31" t="n">
        <v>294</v>
      </c>
      <c r="J83" s="31" t="n">
        <v>289.67</v>
      </c>
      <c r="K83" s="32" t="n">
        <v>0.01472789115646253</v>
      </c>
      <c r="L83" s="15" t="n">
        <v>1800</v>
      </c>
      <c r="M83" s="28" t="n">
        <v>7794</v>
      </c>
      <c r="N83" s="31" t="n">
        <v>6.88</v>
      </c>
      <c r="O83" s="31" t="n">
        <v>6.78</v>
      </c>
      <c r="P83" s="31" t="n">
        <v>12384</v>
      </c>
      <c r="Q83" s="29" t="n">
        <v>-182.97</v>
      </c>
      <c r="R83" s="13" t="n">
        <v>-0.01477470930232558</v>
      </c>
      <c r="S83" s="30" t="inlineStr">
        <is>
          <t>Post-earnings IV crush (~1.5%) eroded option time premium faster than small stock move (+1.47%)</t>
        </is>
      </c>
    </row>
    <row r="84" ht="21" customHeight="1">
      <c r="A84" s="9" t="n">
        <v>81</v>
      </c>
      <c r="B84" s="9" t="inlineStr">
        <is>
          <t>Q4 2025-26</t>
        </is>
      </c>
      <c r="C84" s="9" t="inlineStr">
        <is>
          <t>HDFCLIFE</t>
        </is>
      </c>
      <c r="D84" s="3" t="inlineStr">
        <is>
          <t>HDFC Life Insurance Co Ltd</t>
        </is>
      </c>
      <c r="E84" s="3" t="inlineStr">
        <is>
          <t>Financial Services</t>
        </is>
      </c>
      <c r="F84" s="9" t="inlineStr">
        <is>
          <t>FUTURE SHORT</t>
        </is>
      </c>
      <c r="G84" s="9" t="inlineStr">
        <is>
          <t>2026-01-07</t>
        </is>
      </c>
      <c r="H84" s="9" t="inlineStr">
        <is>
          <t>2026-01-08</t>
        </is>
      </c>
      <c r="I84" s="26" t="n">
        <v>775.5</v>
      </c>
      <c r="J84" s="26" t="n">
        <v>771.04</v>
      </c>
      <c r="K84" s="27" t="n">
        <v>0.00575112830431984</v>
      </c>
      <c r="L84" s="9" t="n">
        <v>1100</v>
      </c>
      <c r="M84" s="28" t="n">
        <v>4906</v>
      </c>
      <c r="N84" s="26" t="n">
        <v>20.01</v>
      </c>
      <c r="O84" s="26" t="n">
        <v>12.82</v>
      </c>
      <c r="P84" s="26" t="n">
        <v>22011</v>
      </c>
      <c r="Q84" s="29" t="n">
        <v>-7914.28</v>
      </c>
      <c r="R84" s="13" t="n">
        <v>-0.359560219890055</v>
      </c>
      <c r="S84" s="3" t="inlineStr">
        <is>
          <t>Post-earnings IV crush (~1.5%) eroded option time premium faster than small stock move (+0.58%)</t>
        </is>
      </c>
    </row>
    <row r="85" ht="21" customHeight="1">
      <c r="A85" s="15" t="n">
        <v>82</v>
      </c>
      <c r="B85" s="15" t="inlineStr">
        <is>
          <t>Q4 2025-26</t>
        </is>
      </c>
      <c r="C85" s="15" t="inlineStr">
        <is>
          <t>HCLTECH</t>
        </is>
      </c>
      <c r="D85" s="30" t="inlineStr">
        <is>
          <t>HCL Technologies Ltd</t>
        </is>
      </c>
      <c r="E85" s="30" t="inlineStr">
        <is>
          <t>Information Technology</t>
        </is>
      </c>
      <c r="F85" s="15" t="inlineStr">
        <is>
          <t>FUTURE LONG</t>
        </is>
      </c>
      <c r="G85" s="15" t="inlineStr">
        <is>
          <t>2026-01-09</t>
        </is>
      </c>
      <c r="H85" s="15" t="inlineStr">
        <is>
          <t>2026-01-21</t>
        </is>
      </c>
      <c r="I85" s="31" t="n">
        <v>1654.9</v>
      </c>
      <c r="J85" s="31" t="n">
        <v>1674.26</v>
      </c>
      <c r="K85" s="32" t="n">
        <v>0.01169859205994314</v>
      </c>
      <c r="L85" s="15" t="n">
        <v>350</v>
      </c>
      <c r="M85" s="28" t="n">
        <v>6776</v>
      </c>
      <c r="N85" s="31" t="n">
        <v>48</v>
      </c>
      <c r="O85" s="31" t="n">
        <v>42.63</v>
      </c>
      <c r="P85" s="31" t="n">
        <v>16799.3</v>
      </c>
      <c r="Q85" s="29" t="n">
        <v>-1878.35</v>
      </c>
      <c r="R85" s="13" t="n">
        <v>-0.1118112064193151</v>
      </c>
      <c r="S85" s="30" t="inlineStr">
        <is>
          <t>Post-earnings IV crush (~1.5%) eroded option time premium faster than small stock move (+1.17%)</t>
        </is>
      </c>
    </row>
    <row r="86" ht="21" customHeight="1">
      <c r="A86" s="9" t="n">
        <v>83</v>
      </c>
      <c r="B86" s="9" t="inlineStr">
        <is>
          <t>Q4 2025-26</t>
        </is>
      </c>
      <c r="C86" s="9" t="inlineStr">
        <is>
          <t>WIPRO</t>
        </is>
      </c>
      <c r="D86" s="3" t="inlineStr">
        <is>
          <t>Wipro Ltd</t>
        </is>
      </c>
      <c r="E86" s="3" t="inlineStr">
        <is>
          <t>Information Technology</t>
        </is>
      </c>
      <c r="F86" s="9" t="inlineStr">
        <is>
          <t>FUTURE SHORT</t>
        </is>
      </c>
      <c r="G86" s="9" t="inlineStr">
        <is>
          <t>2026-01-09</t>
        </is>
      </c>
      <c r="H86" s="9" t="inlineStr">
        <is>
          <t>2026-01-12</t>
        </is>
      </c>
      <c r="I86" s="26" t="n">
        <v>260.3</v>
      </c>
      <c r="J86" s="26" t="n">
        <v>258.89</v>
      </c>
      <c r="K86" s="27" t="n">
        <v>0.00541682673837889</v>
      </c>
      <c r="L86" s="9" t="n">
        <v>1500</v>
      </c>
      <c r="M86" s="28" t="n">
        <v>2115</v>
      </c>
      <c r="N86" s="26" t="n">
        <v>9.91</v>
      </c>
      <c r="O86" s="26" t="n">
        <v>7.4</v>
      </c>
      <c r="P86" s="26" t="n">
        <v>14859</v>
      </c>
      <c r="Q86" s="29" t="n">
        <v>-3752.32</v>
      </c>
      <c r="R86" s="13" t="n">
        <v>-0.2525284339457568</v>
      </c>
      <c r="S86" s="3" t="inlineStr">
        <is>
          <t>Post-earnings IV crush (~1.5%) eroded option time premium faster than small stock move (+0.54%)</t>
        </is>
      </c>
    </row>
    <row r="87" ht="21" customHeight="1">
      <c r="A87" s="15" t="n">
        <v>84</v>
      </c>
      <c r="B87" s="15" t="inlineStr">
        <is>
          <t>Q4 2025-26</t>
        </is>
      </c>
      <c r="C87" s="15" t="inlineStr">
        <is>
          <t>NTPC</t>
        </is>
      </c>
      <c r="D87" s="30" t="inlineStr">
        <is>
          <t>NTPC Ltd</t>
        </is>
      </c>
      <c r="E87" s="30" t="inlineStr">
        <is>
          <t>Energy</t>
        </is>
      </c>
      <c r="F87" s="15" t="inlineStr">
        <is>
          <t>FUTURE LONG</t>
        </is>
      </c>
      <c r="G87" s="15" t="inlineStr">
        <is>
          <t>2026-01-29</t>
        </is>
      </c>
      <c r="H87" s="15" t="inlineStr">
        <is>
          <t>2026-02-09</t>
        </is>
      </c>
      <c r="I87" s="31" t="n">
        <v>357.55</v>
      </c>
      <c r="J87" s="31" t="n">
        <v>360.94</v>
      </c>
      <c r="K87" s="32" t="n">
        <v>0.009481191441756359</v>
      </c>
      <c r="L87" s="15" t="n">
        <v>1500</v>
      </c>
      <c r="M87" s="28" t="n">
        <v>5085</v>
      </c>
      <c r="N87" s="31" t="n">
        <v>9.699999999999999</v>
      </c>
      <c r="O87" s="31" t="n">
        <v>7.74</v>
      </c>
      <c r="P87" s="31" t="n">
        <v>14551.5</v>
      </c>
      <c r="Q87" s="29" t="n">
        <v>-2934.45</v>
      </c>
      <c r="R87" s="13" t="n">
        <v>-0.2016596227193073</v>
      </c>
      <c r="S87" s="30" t="inlineStr">
        <is>
          <t>Post-earnings IV crush (~1.5%) eroded option time premium faster than small stock move (+0.95%)</t>
        </is>
      </c>
    </row>
    <row r="88" ht="21" customHeight="1">
      <c r="A88" s="9" t="n">
        <v>85</v>
      </c>
      <c r="B88" s="9" t="inlineStr">
        <is>
          <t>Q4 2025-26</t>
        </is>
      </c>
      <c r="C88" s="9" t="inlineStr">
        <is>
          <t>M&amp;M</t>
        </is>
      </c>
      <c r="D88" s="3" t="inlineStr">
        <is>
          <t>Mahindra &amp; Mahindra Ltd</t>
        </is>
      </c>
      <c r="E88" s="3" t="inlineStr">
        <is>
          <t>Automobile &amp; Auto</t>
        </is>
      </c>
      <c r="F88" s="9" t="inlineStr">
        <is>
          <t>FUTURE LONG</t>
        </is>
      </c>
      <c r="G88" s="9" t="inlineStr">
        <is>
          <t>2026-02-03</t>
        </is>
      </c>
      <c r="H88" s="9" t="inlineStr">
        <is>
          <t>2026-02-04</t>
        </is>
      </c>
      <c r="I88" s="26" t="n">
        <v>3538.9</v>
      </c>
      <c r="J88" s="26" t="n">
        <v>3564.96</v>
      </c>
      <c r="K88" s="27" t="n">
        <v>0.007363870129136156</v>
      </c>
      <c r="L88" s="9" t="n">
        <v>350</v>
      </c>
      <c r="M88" s="28" t="n">
        <v>9121</v>
      </c>
      <c r="N88" s="26" t="n">
        <v>109.68</v>
      </c>
      <c r="O88" s="26" t="n">
        <v>82.78</v>
      </c>
      <c r="P88" s="26" t="n">
        <v>38387.3</v>
      </c>
      <c r="Q88" s="29" t="n">
        <v>-9412.620000000001</v>
      </c>
      <c r="R88" s="13" t="n">
        <v>-0.245201407757253</v>
      </c>
      <c r="S88" s="3" t="inlineStr">
        <is>
          <t>Post-earnings IV crush (~1.5%) eroded option time premium faster than small stock move (+0.74%)</t>
        </is>
      </c>
    </row>
    <row r="89" ht="21" customHeight="1">
      <c r="A89" s="15" t="n">
        <v>86</v>
      </c>
      <c r="B89" s="15" t="inlineStr">
        <is>
          <t>Q4 2025-26</t>
        </is>
      </c>
      <c r="C89" s="15" t="inlineStr">
        <is>
          <t>GRASIM</t>
        </is>
      </c>
      <c r="D89" s="30" t="inlineStr">
        <is>
          <t>Grasim Industries Ltd</t>
        </is>
      </c>
      <c r="E89" s="30" t="inlineStr">
        <is>
          <t>Construction Materials</t>
        </is>
      </c>
      <c r="F89" s="15" t="inlineStr">
        <is>
          <t>FUTURE SHORT</t>
        </is>
      </c>
      <c r="G89" s="15" t="inlineStr">
        <is>
          <t>2026-02-04</t>
        </is>
      </c>
      <c r="H89" s="15" t="inlineStr">
        <is>
          <t>2026-02-05</t>
        </is>
      </c>
      <c r="I89" s="31" t="n">
        <v>2854.5</v>
      </c>
      <c r="J89" s="31" t="n">
        <v>2841.73</v>
      </c>
      <c r="K89" s="32" t="n">
        <v>0.004473638115256606</v>
      </c>
      <c r="L89" s="15" t="n">
        <v>475</v>
      </c>
      <c r="M89" s="28" t="n">
        <v>6065.75</v>
      </c>
      <c r="N89" s="31" t="n">
        <v>82.59</v>
      </c>
      <c r="O89" s="31" t="n">
        <v>52.48</v>
      </c>
      <c r="P89" s="31" t="n">
        <v>39230.25</v>
      </c>
      <c r="Q89" s="29" t="n">
        <v>-14302.89</v>
      </c>
      <c r="R89" s="13" t="n">
        <v>-0.364588296021565</v>
      </c>
      <c r="S89" s="30" t="inlineStr">
        <is>
          <t>Post-earnings IV crush (~1.5%) eroded option time premium faster than small stock move (+0.45%)</t>
        </is>
      </c>
    </row>
    <row r="90" ht="21" customHeight="1">
      <c r="A90" s="9" t="n">
        <v>87</v>
      </c>
      <c r="B90" s="9" t="inlineStr">
        <is>
          <t>Q1 2026-27</t>
        </is>
      </c>
      <c r="C90" s="9" t="inlineStr">
        <is>
          <t>SHRIRAMFIN</t>
        </is>
      </c>
      <c r="D90" s="3" t="inlineStr">
        <is>
          <t>Shriram Finance Ltd</t>
        </is>
      </c>
      <c r="E90" s="3" t="inlineStr">
        <is>
          <t>Financial Services</t>
        </is>
      </c>
      <c r="F90" s="9" t="inlineStr">
        <is>
          <t>FUTURE SHORT</t>
        </is>
      </c>
      <c r="G90" s="9" t="inlineStr">
        <is>
          <t>2026-04-13</t>
        </is>
      </c>
      <c r="H90" s="9" t="inlineStr">
        <is>
          <t>2026-04-15</t>
        </is>
      </c>
      <c r="I90" s="26" t="n">
        <v>1010.1</v>
      </c>
      <c r="J90" s="26" t="n">
        <v>1004.77</v>
      </c>
      <c r="K90" s="27" t="n">
        <v>0.005276705276705317</v>
      </c>
      <c r="L90" s="9" t="n">
        <v>300</v>
      </c>
      <c r="M90" s="28" t="n">
        <v>1599</v>
      </c>
      <c r="N90" s="26" t="n">
        <v>30.1</v>
      </c>
      <c r="O90" s="26" t="n">
        <v>20.25</v>
      </c>
      <c r="P90" s="26" t="n">
        <v>9030.6</v>
      </c>
      <c r="Q90" s="29" t="n">
        <v>-2954.44</v>
      </c>
      <c r="R90" s="13" t="n">
        <v>-0.3271587712887294</v>
      </c>
      <c r="S90" s="3" t="inlineStr">
        <is>
          <t>Post-earnings IV crush (~1.5%) eroded option time premium faster than small stock move (+0.53%)</t>
        </is>
      </c>
    </row>
    <row r="91" ht="21" customHeight="1">
      <c r="A91" s="15" t="n">
        <v>88</v>
      </c>
      <c r="B91" s="15" t="inlineStr">
        <is>
          <t>Q1 2026-27</t>
        </is>
      </c>
      <c r="C91" s="15" t="inlineStr">
        <is>
          <t>NESTLEIND</t>
        </is>
      </c>
      <c r="D91" s="30" t="inlineStr">
        <is>
          <t>Nestle India Ltd</t>
        </is>
      </c>
      <c r="E91" s="30" t="inlineStr">
        <is>
          <t>Consumer Goods (FMCG)</t>
        </is>
      </c>
      <c r="F91" s="15" t="inlineStr">
        <is>
          <t>FUTURE SHORT</t>
        </is>
      </c>
      <c r="G91" s="15" t="inlineStr">
        <is>
          <t>2026-04-15</t>
        </is>
      </c>
      <c r="H91" s="15" t="inlineStr">
        <is>
          <t>2026-04-16</t>
        </is>
      </c>
      <c r="I91" s="31" t="n">
        <v>1258.2</v>
      </c>
      <c r="J91" s="31" t="n">
        <v>1255.83</v>
      </c>
      <c r="K91" s="32" t="n">
        <v>0.001883643299952407</v>
      </c>
      <c r="L91" s="15" t="n">
        <v>250</v>
      </c>
      <c r="M91" s="28" t="n">
        <v>592.5</v>
      </c>
      <c r="N91" s="31" t="n">
        <v>46.96</v>
      </c>
      <c r="O91" s="31" t="n">
        <v>30.45</v>
      </c>
      <c r="P91" s="31" t="n">
        <v>11741</v>
      </c>
      <c r="Q91" s="29" t="n">
        <v>-4128.71</v>
      </c>
      <c r="R91" s="13" t="n">
        <v>-0.3516489225789967</v>
      </c>
      <c r="S91" s="30" t="inlineStr">
        <is>
          <t>Post-earnings IV crush (~1.5%) eroded option time premium faster than small stock move (+0.19%)</t>
        </is>
      </c>
    </row>
    <row r="92" ht="21" customHeight="1">
      <c r="A92" s="9" t="n">
        <v>89</v>
      </c>
      <c r="B92" s="9" t="inlineStr">
        <is>
          <t>Q1 2026-27</t>
        </is>
      </c>
      <c r="C92" s="9" t="inlineStr">
        <is>
          <t>SBILIFE</t>
        </is>
      </c>
      <c r="D92" s="3" t="inlineStr">
        <is>
          <t>SBI Life Insurance Co Ltd</t>
        </is>
      </c>
      <c r="E92" s="3" t="inlineStr">
        <is>
          <t>Financial Services</t>
        </is>
      </c>
      <c r="F92" s="9" t="inlineStr">
        <is>
          <t>FUTURE SHORT</t>
        </is>
      </c>
      <c r="G92" s="9" t="inlineStr">
        <is>
          <t>2026-04-15</t>
        </is>
      </c>
      <c r="H92" s="9" t="inlineStr">
        <is>
          <t>2026-04-16</t>
        </is>
      </c>
      <c r="I92" s="26" t="n">
        <v>1971.5</v>
      </c>
      <c r="J92" s="26" t="n">
        <v>1962.43</v>
      </c>
      <c r="K92" s="27" t="n">
        <v>0.004600557950798852</v>
      </c>
      <c r="L92" s="9" t="n">
        <v>750</v>
      </c>
      <c r="M92" s="28" t="n">
        <v>6802.5</v>
      </c>
      <c r="N92" s="26" t="n">
        <v>67.93000000000001</v>
      </c>
      <c r="O92" s="26" t="n">
        <v>47.38</v>
      </c>
      <c r="P92" s="26" t="n">
        <v>50947.5</v>
      </c>
      <c r="Q92" s="29" t="n">
        <v>-15410.89</v>
      </c>
      <c r="R92" s="13" t="n">
        <v>-0.3024856960596692</v>
      </c>
      <c r="S92" s="3" t="inlineStr">
        <is>
          <t>Post-earnings IV crush (~1.5%) eroded option time premium faster than small stock move (+0.46%)</t>
        </is>
      </c>
    </row>
    <row r="93" ht="21" customHeight="1">
      <c r="A93" s="15" t="n">
        <v>90</v>
      </c>
      <c r="B93" s="15" t="inlineStr">
        <is>
          <t>Q1 2026-27</t>
        </is>
      </c>
      <c r="C93" s="15" t="inlineStr">
        <is>
          <t>MARUTI</t>
        </is>
      </c>
      <c r="D93" s="30" t="inlineStr">
        <is>
          <t>Maruti Suzuki India Ltd</t>
        </is>
      </c>
      <c r="E93" s="30" t="inlineStr">
        <is>
          <t>Automobile &amp; Auto</t>
        </is>
      </c>
      <c r="F93" s="15" t="inlineStr">
        <is>
          <t>FUTURE SHORT</t>
        </is>
      </c>
      <c r="G93" s="15" t="inlineStr">
        <is>
          <t>2026-04-20</t>
        </is>
      </c>
      <c r="H93" s="15" t="inlineStr">
        <is>
          <t>2026-05-01</t>
        </is>
      </c>
      <c r="I93" s="31" t="n">
        <v>13439</v>
      </c>
      <c r="J93" s="31" t="n">
        <v>13316.55</v>
      </c>
      <c r="K93" s="32" t="n">
        <v>0.009111541037279614</v>
      </c>
      <c r="L93" s="15" t="n">
        <v>100</v>
      </c>
      <c r="M93" s="28" t="n">
        <v>12245</v>
      </c>
      <c r="N93" s="31" t="n">
        <v>379.78</v>
      </c>
      <c r="O93" s="31" t="n">
        <v>300.03</v>
      </c>
      <c r="P93" s="31" t="n">
        <v>37978</v>
      </c>
      <c r="Q93" s="29" t="n">
        <v>-7974.72</v>
      </c>
      <c r="R93" s="13" t="n">
        <v>-0.2099826215177208</v>
      </c>
      <c r="S93" s="30" t="inlineStr">
        <is>
          <t>Post-earnings IV crush (~1.5%) eroded option time premium faster than small stock move (+0.91%)</t>
        </is>
      </c>
    </row>
    <row r="94" ht="21" customHeight="1">
      <c r="A94" s="9" t="n">
        <v>91</v>
      </c>
      <c r="B94" s="9" t="inlineStr">
        <is>
          <t>Q1 2026-27</t>
        </is>
      </c>
      <c r="C94" s="9" t="inlineStr">
        <is>
          <t>LT</t>
        </is>
      </c>
      <c r="D94" s="3" t="inlineStr">
        <is>
          <t>Larsen &amp; Toubro Ltd</t>
        </is>
      </c>
      <c r="E94" s="3" t="inlineStr">
        <is>
          <t>Construction</t>
        </is>
      </c>
      <c r="F94" s="9" t="inlineStr">
        <is>
          <t>FUTURE SHORT</t>
        </is>
      </c>
      <c r="G94" s="9" t="inlineStr">
        <is>
          <t>2026-04-24</t>
        </is>
      </c>
      <c r="H94" s="9" t="inlineStr">
        <is>
          <t>2026-04-27</t>
        </is>
      </c>
      <c r="I94" s="26" t="n">
        <v>4022</v>
      </c>
      <c r="J94" s="26" t="n">
        <v>3963.8</v>
      </c>
      <c r="K94" s="27" t="n">
        <v>0.01447041272998504</v>
      </c>
      <c r="L94" s="9" t="n">
        <v>300</v>
      </c>
      <c r="M94" s="28" t="n">
        <v>17460</v>
      </c>
      <c r="N94" s="26" t="n">
        <v>118.44</v>
      </c>
      <c r="O94" s="26" t="n">
        <v>116.02</v>
      </c>
      <c r="P94" s="26" t="n">
        <v>35532</v>
      </c>
      <c r="Q94" s="29" t="n">
        <v>-726.3</v>
      </c>
      <c r="R94" s="13" t="n">
        <v>-0.02044072948328267</v>
      </c>
      <c r="S94" s="3" t="inlineStr">
        <is>
          <t>Post-earnings IV crush (~1.5%) eroded option time premium faster than small stock move (+1.45%)</t>
        </is>
      </c>
    </row>
    <row r="95" ht="21" customHeight="1">
      <c r="A95" s="15" t="n">
        <v>92</v>
      </c>
      <c r="B95" s="15" t="inlineStr">
        <is>
          <t>Q1 2026-27</t>
        </is>
      </c>
      <c r="C95" s="15" t="inlineStr">
        <is>
          <t>HINDUNILVR</t>
        </is>
      </c>
      <c r="D95" s="30" t="inlineStr">
        <is>
          <t>Hindustan Unilever Ltd</t>
        </is>
      </c>
      <c r="E95" s="30" t="inlineStr">
        <is>
          <t>Consumer Goods (FMCG)</t>
        </is>
      </c>
      <c r="F95" s="15" t="inlineStr">
        <is>
          <t>FUTURE SHORT</t>
        </is>
      </c>
      <c r="G95" s="15" t="inlineStr">
        <is>
          <t>2026-04-28</t>
        </is>
      </c>
      <c r="H95" s="15" t="inlineStr">
        <is>
          <t>2026-04-29</t>
        </is>
      </c>
      <c r="I95" s="31" t="n">
        <v>2282</v>
      </c>
      <c r="J95" s="31" t="n">
        <v>2260.36</v>
      </c>
      <c r="K95" s="32" t="n">
        <v>0.009482909728308446</v>
      </c>
      <c r="L95" s="15" t="n">
        <v>300</v>
      </c>
      <c r="M95" s="28" t="n">
        <v>6492</v>
      </c>
      <c r="N95" s="31" t="n">
        <v>63.64</v>
      </c>
      <c r="O95" s="31" t="n">
        <v>50.94</v>
      </c>
      <c r="P95" s="31" t="n">
        <v>19092</v>
      </c>
      <c r="Q95" s="29" t="n">
        <v>-3809.46</v>
      </c>
      <c r="R95" s="13" t="n">
        <v>-0.199531741043369</v>
      </c>
      <c r="S95" s="30" t="inlineStr">
        <is>
          <t>Post-earnings IV crush (~1.5%) eroded option time premium faster than small stock move (+0.95%)</t>
        </is>
      </c>
    </row>
    <row r="96" ht="21" customHeight="1">
      <c r="A96" s="9" t="n">
        <v>93</v>
      </c>
      <c r="B96" s="9" t="inlineStr">
        <is>
          <t>Q1 2026-27</t>
        </is>
      </c>
      <c r="C96" s="9" t="inlineStr">
        <is>
          <t>TMPV</t>
        </is>
      </c>
      <c r="D96" s="3" t="inlineStr">
        <is>
          <t>Tata Motors Passenger Vehicles Ltd</t>
        </is>
      </c>
      <c r="E96" s="3" t="inlineStr">
        <is>
          <t>Automobile &amp; Auto</t>
        </is>
      </c>
      <c r="F96" s="9" t="inlineStr">
        <is>
          <t>FUTURE LONG</t>
        </is>
      </c>
      <c r="G96" s="9" t="inlineStr">
        <is>
          <t>2026-05-05</t>
        </is>
      </c>
      <c r="H96" s="9" t="inlineStr">
        <is>
          <t>2026-05-12</t>
        </is>
      </c>
      <c r="I96" s="26" t="n">
        <v>341.3</v>
      </c>
      <c r="J96" s="26" t="n">
        <v>342.68</v>
      </c>
      <c r="K96" s="27" t="n">
        <v>0.004043363609727499</v>
      </c>
      <c r="L96" s="9" t="n">
        <v>1425</v>
      </c>
      <c r="M96" s="28" t="n">
        <v>1966.5</v>
      </c>
      <c r="N96" s="26" t="n">
        <v>8.130000000000001</v>
      </c>
      <c r="O96" s="26" t="n">
        <v>4.39</v>
      </c>
      <c r="P96" s="26" t="n">
        <v>11579.55</v>
      </c>
      <c r="Q96" s="29" t="n">
        <v>-5318.96</v>
      </c>
      <c r="R96" s="13" t="n">
        <v>-0.4593408206709242</v>
      </c>
      <c r="S96" s="3" t="inlineStr">
        <is>
          <t>Post-earnings IV crush (~1.5%) eroded option time premium faster than small stock move (+0.40%)</t>
        </is>
      </c>
    </row>
    <row r="97" ht="21" customHeight="1">
      <c r="A97" s="15" t="n">
        <v>94</v>
      </c>
      <c r="B97" s="15" t="inlineStr">
        <is>
          <t>Q1 2026-27</t>
        </is>
      </c>
      <c r="C97" s="15" t="inlineStr">
        <is>
          <t>TITAN</t>
        </is>
      </c>
      <c r="D97" s="30" t="inlineStr">
        <is>
          <t>Titan Company Ltd</t>
        </is>
      </c>
      <c r="E97" s="30" t="inlineStr">
        <is>
          <t>Consumer Durables</t>
        </is>
      </c>
      <c r="F97" s="15" t="inlineStr">
        <is>
          <t>FUTURE SHORT</t>
        </is>
      </c>
      <c r="G97" s="15" t="inlineStr">
        <is>
          <t>2026-05-06</t>
        </is>
      </c>
      <c r="H97" s="15" t="inlineStr">
        <is>
          <t>2026-05-07</t>
        </is>
      </c>
      <c r="I97" s="31" t="n">
        <v>4366</v>
      </c>
      <c r="J97" s="31" t="n">
        <v>4342.74</v>
      </c>
      <c r="K97" s="32" t="n">
        <v>0.00532753092075131</v>
      </c>
      <c r="L97" s="15" t="n">
        <v>175</v>
      </c>
      <c r="M97" s="28" t="n">
        <v>4070.5</v>
      </c>
      <c r="N97" s="31" t="n">
        <v>121.32</v>
      </c>
      <c r="O97" s="31" t="n">
        <v>78.97</v>
      </c>
      <c r="P97" s="31" t="n">
        <v>21231</v>
      </c>
      <c r="Q97" s="29" t="n">
        <v>-7410.6</v>
      </c>
      <c r="R97" s="13" t="n">
        <v>-0.3490462060194998</v>
      </c>
      <c r="S97" s="30" t="inlineStr">
        <is>
          <t>Post-earnings IV crush (~1.5%) eroded option time premium faster than small stock move (+0.53%)</t>
        </is>
      </c>
    </row>
    <row r="98" ht="21" customHeight="1">
      <c r="A98" s="9" t="n">
        <v>95</v>
      </c>
      <c r="B98" s="9" t="inlineStr">
        <is>
          <t>Q1 2026-27</t>
        </is>
      </c>
      <c r="C98" s="9" t="inlineStr">
        <is>
          <t>TATACONSUM</t>
        </is>
      </c>
      <c r="D98" s="3" t="inlineStr">
        <is>
          <t>Tata Consumer Products Ltd</t>
        </is>
      </c>
      <c r="E98" s="3" t="inlineStr">
        <is>
          <t>Consumer Goods (FMCG)</t>
        </is>
      </c>
      <c r="F98" s="9" t="inlineStr">
        <is>
          <t>FUTURE SHORT</t>
        </is>
      </c>
      <c r="G98" s="9" t="inlineStr">
        <is>
          <t>2026-05-07</t>
        </is>
      </c>
      <c r="H98" s="9" t="inlineStr">
        <is>
          <t>2026-05-08</t>
        </is>
      </c>
      <c r="I98" s="26" t="n">
        <v>1159.7</v>
      </c>
      <c r="J98" s="26" t="n">
        <v>1147.27</v>
      </c>
      <c r="K98" s="27" t="n">
        <v>0.01071828921272748</v>
      </c>
      <c r="L98" s="9" t="n">
        <v>900</v>
      </c>
      <c r="M98" s="28" t="n">
        <v>11187</v>
      </c>
      <c r="N98" s="26" t="n">
        <v>43.49</v>
      </c>
      <c r="O98" s="26" t="n">
        <v>38.47</v>
      </c>
      <c r="P98" s="26" t="n">
        <v>39144.6</v>
      </c>
      <c r="Q98" s="29" t="n">
        <v>-4524.88</v>
      </c>
      <c r="R98" s="13" t="n">
        <v>-0.1155939772024749</v>
      </c>
      <c r="S98" s="3" t="inlineStr">
        <is>
          <t>Post-earnings IV crush (~1.5%) eroded option time premium faster than small stock move (+1.07%)</t>
        </is>
      </c>
    </row>
    <row r="99" ht="21" customHeight="1">
      <c r="A99" s="15" t="n">
        <v>96</v>
      </c>
      <c r="B99" s="15" t="inlineStr">
        <is>
          <t>Q1 2026-27</t>
        </is>
      </c>
      <c r="C99" s="15" t="inlineStr">
        <is>
          <t>BEL</t>
        </is>
      </c>
      <c r="D99" s="30" t="inlineStr">
        <is>
          <t>Bharat Electronics Ltd</t>
        </is>
      </c>
      <c r="E99" s="30" t="inlineStr">
        <is>
          <t>Capital Goods / Defense</t>
        </is>
      </c>
      <c r="F99" s="15" t="inlineStr">
        <is>
          <t>FUTURE LONG</t>
        </is>
      </c>
      <c r="G99" s="15" t="inlineStr">
        <is>
          <t>2026-05-15</t>
        </is>
      </c>
      <c r="H99" s="15" t="inlineStr">
        <is>
          <t>2026-05-18</t>
        </is>
      </c>
      <c r="I99" s="31" t="n">
        <v>425.7</v>
      </c>
      <c r="J99" s="31" t="n">
        <v>430.8</v>
      </c>
      <c r="K99" s="32" t="n">
        <v>0.01198026779422134</v>
      </c>
      <c r="L99" s="15" t="n">
        <v>1500</v>
      </c>
      <c r="M99" s="28" t="n">
        <v>7650</v>
      </c>
      <c r="N99" s="31" t="n">
        <v>14.21</v>
      </c>
      <c r="O99" s="31" t="n">
        <v>12.95</v>
      </c>
      <c r="P99" s="31" t="n">
        <v>21321</v>
      </c>
      <c r="Q99" s="29" t="n">
        <v>-1890</v>
      </c>
      <c r="R99" s="13" t="n">
        <v>-0.08864499788940482</v>
      </c>
      <c r="S99" s="30" t="inlineStr">
        <is>
          <t>Post-earnings IV crush (~1.5%) eroded option time premium faster than small stock move (+1.20%)</t>
        </is>
      </c>
    </row>
    <row r="100" ht="21" customHeight="1">
      <c r="A100" s="9" t="n">
        <v>97</v>
      </c>
      <c r="B100" s="9" t="inlineStr">
        <is>
          <t>Q1 2026-27</t>
        </is>
      </c>
      <c r="C100" s="9" t="inlineStr">
        <is>
          <t>INDIGO</t>
        </is>
      </c>
      <c r="D100" s="3" t="inlineStr">
        <is>
          <t>InterGlobe Aviation Ltd</t>
        </is>
      </c>
      <c r="E100" s="3" t="inlineStr">
        <is>
          <t>Aviation / Transport</t>
        </is>
      </c>
      <c r="F100" s="9" t="inlineStr">
        <is>
          <t>FUTURE SHORT</t>
        </is>
      </c>
      <c r="G100" s="9" t="inlineStr">
        <is>
          <t>2026-05-28</t>
        </is>
      </c>
      <c r="H100" s="9" t="inlineStr">
        <is>
          <t>2026-05-29</t>
        </is>
      </c>
      <c r="I100" s="26" t="n">
        <v>4570</v>
      </c>
      <c r="J100" s="26" t="n">
        <v>4514.71</v>
      </c>
      <c r="K100" s="27" t="n">
        <v>0.01209846827133478</v>
      </c>
      <c r="L100" s="9" t="n">
        <v>300</v>
      </c>
      <c r="M100" s="28" t="n">
        <v>16587</v>
      </c>
      <c r="N100" s="26" t="n">
        <v>141.4</v>
      </c>
      <c r="O100" s="26" t="n">
        <v>127.86</v>
      </c>
      <c r="P100" s="26" t="n">
        <v>42420</v>
      </c>
      <c r="Q100" s="29" t="n">
        <v>-4060.94</v>
      </c>
      <c r="R100" s="13" t="n">
        <v>-0.09573173031588873</v>
      </c>
      <c r="S100" s="3" t="inlineStr">
        <is>
          <t>Post-earnings IV crush (~1.5%) eroded option time premium faster than small stock move (+1.21%)</t>
        </is>
      </c>
    </row>
    <row r="101" ht="21" customHeight="1">
      <c r="A101" s="15" t="n">
        <v>98</v>
      </c>
      <c r="B101" s="15" t="inlineStr">
        <is>
          <t>Q2 2026-27</t>
        </is>
      </c>
      <c r="C101" s="15" t="inlineStr">
        <is>
          <t>RELIANCE</t>
        </is>
      </c>
      <c r="D101" s="30" t="inlineStr">
        <is>
          <t>Reliance Industries Ltd</t>
        </is>
      </c>
      <c r="E101" s="30" t="inlineStr">
        <is>
          <t>Energy</t>
        </is>
      </c>
      <c r="F101" s="15" t="inlineStr">
        <is>
          <t>FUTURE LONG</t>
        </is>
      </c>
      <c r="G101" s="15" t="inlineStr">
        <is>
          <t>2026-07-07</t>
        </is>
      </c>
      <c r="H101" s="15" t="inlineStr">
        <is>
          <t>2026-07-20</t>
        </is>
      </c>
      <c r="I101" s="31" t="n">
        <v>1310.8</v>
      </c>
      <c r="J101" s="31" t="n">
        <v>1324.22</v>
      </c>
      <c r="K101" s="32" t="n">
        <v>0.01023802258162959</v>
      </c>
      <c r="L101" s="15" t="n">
        <v>250</v>
      </c>
      <c r="M101" s="28" t="n">
        <v>3355</v>
      </c>
      <c r="N101" s="31" t="n">
        <v>37.02</v>
      </c>
      <c r="O101" s="31" t="n">
        <v>30.84</v>
      </c>
      <c r="P101" s="31" t="n">
        <v>9254</v>
      </c>
      <c r="Q101" s="29" t="n">
        <v>-1543.72</v>
      </c>
      <c r="R101" s="13" t="n">
        <v>-0.1668165117786903</v>
      </c>
      <c r="S101" s="30" t="inlineStr">
        <is>
          <t>Post-earnings IV crush (~1.5%) eroded option time premium faster than small stock move (+1.02%)</t>
        </is>
      </c>
    </row>
    <row r="102" ht="21" customHeight="1">
      <c r="A102" s="9" t="n">
        <v>99</v>
      </c>
      <c r="B102" s="9" t="inlineStr">
        <is>
          <t>Q2 2026-27</t>
        </is>
      </c>
      <c r="C102" s="9" t="inlineStr">
        <is>
          <t>WIPRO</t>
        </is>
      </c>
      <c r="D102" s="3" t="inlineStr">
        <is>
          <t>Wipro Ltd</t>
        </is>
      </c>
      <c r="E102" s="3" t="inlineStr">
        <is>
          <t>Information Technology</t>
        </is>
      </c>
      <c r="F102" s="9" t="inlineStr">
        <is>
          <t>FUTURE LONG</t>
        </is>
      </c>
      <c r="G102" s="9" t="inlineStr">
        <is>
          <t>2026-07-07</t>
        </is>
      </c>
      <c r="H102" s="9" t="inlineStr">
        <is>
          <t>2026-07-22</t>
        </is>
      </c>
      <c r="I102" s="26" t="n">
        <v>172.69</v>
      </c>
      <c r="J102" s="26" t="n">
        <v>173.95</v>
      </c>
      <c r="K102" s="27" t="n">
        <v>0.007296311309282477</v>
      </c>
      <c r="L102" s="9" t="n">
        <v>1500</v>
      </c>
      <c r="M102" s="28" t="n">
        <v>1890</v>
      </c>
      <c r="N102" s="26" t="n">
        <v>6.14</v>
      </c>
      <c r="O102" s="26" t="n">
        <v>4.82</v>
      </c>
      <c r="P102" s="26" t="n">
        <v>9215.700000000001</v>
      </c>
      <c r="Q102" s="29" t="n">
        <v>-1986.08</v>
      </c>
      <c r="R102" s="13" t="n">
        <v>-0.2155104875375717</v>
      </c>
      <c r="S102" s="3" t="inlineStr">
        <is>
          <t>Post-earnings IV crush (~1.5%) eroded option time premium faster than small stock move (+0.73%)</t>
        </is>
      </c>
    </row>
    <row r="103" ht="21" customHeight="1">
      <c r="A103" s="15" t="n">
        <v>100</v>
      </c>
      <c r="B103" s="15" t="inlineStr">
        <is>
          <t>Q2 2026-27</t>
        </is>
      </c>
      <c r="C103" s="15" t="inlineStr">
        <is>
          <t>HDFCLIFE</t>
        </is>
      </c>
      <c r="D103" s="30" t="inlineStr">
        <is>
          <t>HDFC Life Insurance Co Ltd</t>
        </is>
      </c>
      <c r="E103" s="30" t="inlineStr">
        <is>
          <t>Financial Services</t>
        </is>
      </c>
      <c r="F103" s="15" t="inlineStr">
        <is>
          <t>FUTURE SHORT</t>
        </is>
      </c>
      <c r="G103" s="15" t="inlineStr">
        <is>
          <t>2026-07-08</t>
        </is>
      </c>
      <c r="H103" s="15" t="inlineStr">
        <is>
          <t>2026-07-27</t>
        </is>
      </c>
      <c r="I103" s="31" t="n">
        <v>557.3</v>
      </c>
      <c r="J103" s="31" t="n">
        <v>555</v>
      </c>
      <c r="K103" s="32" t="n">
        <v>0.004127041090974259</v>
      </c>
      <c r="L103" s="15" t="n">
        <v>1100</v>
      </c>
      <c r="M103" s="28" t="n">
        <v>2530</v>
      </c>
      <c r="N103" s="31" t="n">
        <v>13.85</v>
      </c>
      <c r="O103" s="31" t="n">
        <v>7.78</v>
      </c>
      <c r="P103" s="31" t="n">
        <v>15230.6</v>
      </c>
      <c r="Q103" s="29" t="n">
        <v>-6678.1</v>
      </c>
      <c r="R103" s="13" t="n">
        <v>-0.4384659829553662</v>
      </c>
      <c r="S103" s="30" t="inlineStr">
        <is>
          <t>Post-earnings IV crush (~1.5%) eroded option time premium faster than small stock move (+0.41%)</t>
        </is>
      </c>
    </row>
    <row r="104" ht="21" customHeight="1">
      <c r="A104" s="9" t="n">
        <v>101</v>
      </c>
      <c r="B104" s="9" t="inlineStr">
        <is>
          <t>Q2 2026-27</t>
        </is>
      </c>
      <c r="C104" s="9" t="inlineStr">
        <is>
          <t>JIOFIN</t>
        </is>
      </c>
      <c r="D104" s="3" t="inlineStr">
        <is>
          <t>Jio Financial Services Ltd</t>
        </is>
      </c>
      <c r="E104" s="3" t="inlineStr">
        <is>
          <t>Financial Services</t>
        </is>
      </c>
      <c r="F104" s="9" t="inlineStr">
        <is>
          <t>FUTURE LONG</t>
        </is>
      </c>
      <c r="G104" s="9" t="inlineStr">
        <is>
          <t>2026-07-13</t>
        </is>
      </c>
      <c r="H104" s="9" t="inlineStr">
        <is>
          <t>2026-07-17</t>
        </is>
      </c>
      <c r="I104" s="26" t="n">
        <v>242.07</v>
      </c>
      <c r="J104" s="26" t="n">
        <v>243.4</v>
      </c>
      <c r="K104" s="27" t="n">
        <v>0.005494278514479335</v>
      </c>
      <c r="L104" s="9" t="n">
        <v>2000</v>
      </c>
      <c r="M104" s="28" t="n">
        <v>2660</v>
      </c>
      <c r="N104" s="26" t="n">
        <v>6.91</v>
      </c>
      <c r="O104" s="26" t="n">
        <v>4.62</v>
      </c>
      <c r="P104" s="26" t="n">
        <v>13822.8</v>
      </c>
      <c r="Q104" s="29" t="n">
        <v>-4588.8</v>
      </c>
      <c r="R104" s="13" t="n">
        <v>-0.3319732615678445</v>
      </c>
      <c r="S104" s="3" t="inlineStr">
        <is>
          <t>Post-earnings IV crush (~1.5%) eroded option time premium faster than small stock move (+0.55%)</t>
        </is>
      </c>
    </row>
    <row r="105" ht="21" customHeight="1">
      <c r="A105" s="15" t="n">
        <v>102</v>
      </c>
      <c r="B105" s="15" t="inlineStr">
        <is>
          <t>Q2 2026-27</t>
        </is>
      </c>
      <c r="C105" s="15" t="inlineStr">
        <is>
          <t>JSWSTEEL</t>
        </is>
      </c>
      <c r="D105" s="30" t="inlineStr">
        <is>
          <t>JSW Steel Ltd</t>
        </is>
      </c>
      <c r="E105" s="30" t="inlineStr">
        <is>
          <t>Metals &amp; Mining</t>
        </is>
      </c>
      <c r="F105" s="15" t="inlineStr">
        <is>
          <t>FUTURE LONG</t>
        </is>
      </c>
      <c r="G105" s="15" t="inlineStr">
        <is>
          <t>2026-07-13</t>
        </is>
      </c>
      <c r="H105" s="15" t="inlineStr">
        <is>
          <t>2026-07-28</t>
        </is>
      </c>
      <c r="I105" s="31" t="n">
        <v>1242.9</v>
      </c>
      <c r="J105" s="31" t="n">
        <v>1251.2</v>
      </c>
      <c r="K105" s="32" t="n">
        <v>0.006677930646069639</v>
      </c>
      <c r="L105" s="15" t="n">
        <v>675</v>
      </c>
      <c r="M105" s="28" t="n">
        <v>5602.5</v>
      </c>
      <c r="N105" s="31" t="n">
        <v>27.76</v>
      </c>
      <c r="O105" s="31" t="n">
        <v>17.46</v>
      </c>
      <c r="P105" s="31" t="n">
        <v>18736.65</v>
      </c>
      <c r="Q105" s="29" t="n">
        <v>-6953.85</v>
      </c>
      <c r="R105" s="13" t="n">
        <v>-0.3711362490092946</v>
      </c>
      <c r="S105" s="30" t="inlineStr">
        <is>
          <t>Post-earnings IV crush (~1.5%) eroded option time premium faster than small stock move (+0.67%)</t>
        </is>
      </c>
    </row>
    <row r="106" ht="21" customHeight="1">
      <c r="A106" s="9" t="n">
        <v>103</v>
      </c>
      <c r="B106" s="9" t="inlineStr">
        <is>
          <t>Q2 2026-27</t>
        </is>
      </c>
      <c r="C106" s="9" t="inlineStr">
        <is>
          <t>INDIGO</t>
        </is>
      </c>
      <c r="D106" s="3" t="inlineStr">
        <is>
          <t>InterGlobe Aviation Ltd</t>
        </is>
      </c>
      <c r="E106" s="3" t="inlineStr">
        <is>
          <t>Aviation / Transport</t>
        </is>
      </c>
      <c r="F106" s="9" t="inlineStr">
        <is>
          <t>FUTURE LONG</t>
        </is>
      </c>
      <c r="G106" s="9" t="inlineStr">
        <is>
          <t>2026-07-15</t>
        </is>
      </c>
      <c r="H106" s="9" t="inlineStr">
        <is>
          <t>2026-07-30</t>
        </is>
      </c>
      <c r="I106" s="26" t="n">
        <v>5171</v>
      </c>
      <c r="J106" s="26" t="n">
        <v>5225.33</v>
      </c>
      <c r="K106" s="27" t="n">
        <v>0.01050667182363178</v>
      </c>
      <c r="L106" s="9" t="n">
        <v>300</v>
      </c>
      <c r="M106" s="28" t="n">
        <v>16299</v>
      </c>
      <c r="N106" s="26" t="n">
        <v>174.42</v>
      </c>
      <c r="O106" s="26" t="n">
        <v>151.46</v>
      </c>
      <c r="P106" s="26" t="n">
        <v>52326</v>
      </c>
      <c r="Q106" s="29" t="n">
        <v>-6889.01</v>
      </c>
      <c r="R106" s="13" t="n">
        <v>-0.1316555823108971</v>
      </c>
      <c r="S106" s="3" t="inlineStr">
        <is>
          <t>Post-earnings IV crush (~1.5%) eroded option time premium faster than small stock move (+1.05%)</t>
        </is>
      </c>
    </row>
    <row r="107" ht="21" customHeight="1">
      <c r="A107" s="15" t="n">
        <v>104</v>
      </c>
      <c r="B107" s="15" t="inlineStr">
        <is>
          <t>Q2 2026-27</t>
        </is>
      </c>
      <c r="C107" s="15" t="inlineStr">
        <is>
          <t>ADANIENT</t>
        </is>
      </c>
      <c r="D107" s="30" t="inlineStr">
        <is>
          <t>Adani Enterprises Ltd</t>
        </is>
      </c>
      <c r="E107" s="30" t="inlineStr">
        <is>
          <t>Diversified</t>
        </is>
      </c>
      <c r="F107" s="15" t="inlineStr">
        <is>
          <t>FUTURE SHORT</t>
        </is>
      </c>
      <c r="G107" s="15" t="inlineStr">
        <is>
          <t>2026-07-24</t>
        </is>
      </c>
      <c r="H107" s="15" t="inlineStr">
        <is>
          <t>2026-07-31</t>
        </is>
      </c>
      <c r="I107" s="31" t="n">
        <v>3034.2</v>
      </c>
      <c r="J107" s="31" t="n">
        <v>3020.29</v>
      </c>
      <c r="K107" s="32" t="n">
        <v>0.004584404455869704</v>
      </c>
      <c r="L107" s="15" t="n">
        <v>300</v>
      </c>
      <c r="M107" s="28" t="n">
        <v>4173</v>
      </c>
      <c r="N107" s="31" t="n">
        <v>86.48</v>
      </c>
      <c r="O107" s="31" t="n">
        <v>54.81</v>
      </c>
      <c r="P107" s="31" t="n">
        <v>25945.2</v>
      </c>
      <c r="Q107" s="29" t="n">
        <v>-9501.77</v>
      </c>
      <c r="R107" s="13" t="n">
        <v>-0.3662245810400382</v>
      </c>
      <c r="S107" s="30" t="inlineStr">
        <is>
          <t>Post-earnings IV crush (~1.5%) eroded option time premium faster than small stock move (+0.46%)</t>
        </is>
      </c>
    </row>
    <row r="108" ht="21" customHeight="1">
      <c r="A108" s="9" t="n">
        <v>105</v>
      </c>
      <c r="B108" s="9" t="inlineStr">
        <is>
          <t>Q2 2026-27</t>
        </is>
      </c>
      <c r="C108" s="9" t="inlineStr">
        <is>
          <t>HINDUNILVR</t>
        </is>
      </c>
      <c r="D108" s="3" t="inlineStr">
        <is>
          <t>Hindustan Unilever Ltd</t>
        </is>
      </c>
      <c r="E108" s="3" t="inlineStr">
        <is>
          <t>Consumer Goods (FMCG)</t>
        </is>
      </c>
      <c r="F108" s="9" t="inlineStr">
        <is>
          <t>FUTURE SHORT</t>
        </is>
      </c>
      <c r="G108" s="9" t="inlineStr">
        <is>
          <t>2026-07-24</t>
        </is>
      </c>
      <c r="H108" s="9" t="inlineStr">
        <is>
          <t>2026-07-29</t>
        </is>
      </c>
      <c r="I108" s="26" t="n">
        <v>2149.2</v>
      </c>
      <c r="J108" s="26" t="n">
        <v>2124.1</v>
      </c>
      <c r="K108" s="27" t="n">
        <v>0.01167876419132696</v>
      </c>
      <c r="L108" s="9" t="n">
        <v>300</v>
      </c>
      <c r="M108" s="28" t="n">
        <v>7530</v>
      </c>
      <c r="N108" s="26" t="n">
        <v>73.78</v>
      </c>
      <c r="O108" s="26" t="n">
        <v>66.52</v>
      </c>
      <c r="P108" s="26" t="n">
        <v>22135.2</v>
      </c>
      <c r="Q108" s="29" t="n">
        <v>-2179.05</v>
      </c>
      <c r="R108" s="13" t="n">
        <v>-0.0984427518161119</v>
      </c>
      <c r="S108" s="3" t="inlineStr">
        <is>
          <t>Post-earnings IV crush (~1.5%) eroded option time premium faster than small stock move (+1.17%)</t>
        </is>
      </c>
    </row>
    <row r="109" ht="21" customHeight="1">
      <c r="A109" s="15" t="n">
        <v>106</v>
      </c>
      <c r="B109" s="15" t="inlineStr">
        <is>
          <t>Q2 2026-27</t>
        </is>
      </c>
      <c r="C109" s="15" t="inlineStr">
        <is>
          <t>ONGC</t>
        </is>
      </c>
      <c r="D109" s="30" t="inlineStr">
        <is>
          <t>Oil &amp; Natural Gas Corporation Ltd</t>
        </is>
      </c>
      <c r="E109" s="30" t="inlineStr">
        <is>
          <t>Energy</t>
        </is>
      </c>
      <c r="F109" s="15" t="inlineStr">
        <is>
          <t>FUTURE SHORT</t>
        </is>
      </c>
      <c r="G109" s="15" t="inlineStr">
        <is>
          <t>2026-07-31</t>
        </is>
      </c>
      <c r="H109" s="15" t="inlineStr">
        <is>
          <t>2026-08-18</t>
        </is>
      </c>
      <c r="I109" s="31" t="n">
        <v>241.66</v>
      </c>
      <c r="J109" s="31" t="n">
        <v>238.88</v>
      </c>
      <c r="K109" s="32" t="n">
        <v>0.01150376562112059</v>
      </c>
      <c r="L109" s="15" t="n">
        <v>1925</v>
      </c>
      <c r="M109" s="28" t="n">
        <v>5351.5</v>
      </c>
      <c r="N109" s="31" t="n">
        <v>8.17</v>
      </c>
      <c r="O109" s="31" t="n">
        <v>7.31</v>
      </c>
      <c r="P109" s="31" t="n">
        <v>15733.41</v>
      </c>
      <c r="Q109" s="29" t="n">
        <v>-1653.19</v>
      </c>
      <c r="R109" s="13" t="n">
        <v>-0.1050751235746097</v>
      </c>
      <c r="S109" s="30" t="inlineStr">
        <is>
          <t>Post-earnings IV crush (~1.5%) eroded option time premium faster than small stock move (+1.15%)</t>
        </is>
      </c>
    </row>
    <row r="110" ht="25" customHeight="1">
      <c r="A110" s="19" t="inlineStr">
        <is>
          <t>TOTAL / SUMMARY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22" t="n">
        <v>546806.75</v>
      </c>
      <c r="N110" s="33" t="n"/>
      <c r="O110" s="33" t="n"/>
      <c r="P110" s="33" t="n"/>
      <c r="Q110" s="34" t="n">
        <v>-595219.63</v>
      </c>
      <c r="R110" s="33" t="n"/>
      <c r="S110" s="33" t="n"/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2026-08-27T10:26:26Z</dcterms:created>
  <dcterms:modified xmlns:dcterms="http://purl.org/dc/terms/" xmlns:xsi="http://www.w3.org/2001/XMLSchema-instance" xsi:type="dcterms:W3CDTF">2026-08-27T10:26:27Z</dcterms:modified>
</cp:coreProperties>
</file>