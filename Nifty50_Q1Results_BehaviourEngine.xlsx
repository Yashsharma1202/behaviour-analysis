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20" windowWidth="27795" windowHeight="11835"/>
  </bookViews>
  <sheets>
    <sheet name="FY26-27Q1_Result Behaviour" sheetId="1" r:id="rId1"/>
  </sheets>
  <calcPr calcId="124519"/>
</workbook>
</file>

<file path=xl/calcChain.xml><?xml version="1.0" encoding="utf-8"?>
<calcChain xmlns="http://schemas.openxmlformats.org/spreadsheetml/2006/main">
  <c r="M52" i="1"/>
  <c r="M51"/>
  <c r="M28"/>
  <c r="M19"/>
  <c r="M18"/>
  <c r="M17"/>
  <c r="M15"/>
  <c r="M14"/>
  <c r="M12"/>
  <c r="K50"/>
  <c r="K49"/>
  <c r="K48"/>
  <c r="K45"/>
  <c r="K44"/>
  <c r="K43"/>
  <c r="K42"/>
  <c r="K41"/>
  <c r="K40"/>
  <c r="K38"/>
  <c r="K37"/>
  <c r="K36"/>
  <c r="K34"/>
  <c r="K32"/>
  <c r="K31"/>
  <c r="K28"/>
  <c r="K24"/>
  <c r="K22"/>
  <c r="K20"/>
  <c r="K18"/>
  <c r="K17"/>
  <c r="K15"/>
  <c r="K13"/>
  <c r="H7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6"/>
  <c r="H5"/>
  <c r="H4"/>
  <c r="H3"/>
</calcChain>
</file>

<file path=xl/sharedStrings.xml><?xml version="1.0" encoding="utf-8"?>
<sst xmlns="http://schemas.openxmlformats.org/spreadsheetml/2006/main" count="116" uniqueCount="116">
  <si>
    <t>FY26-27 Q1 Result | Performance Review</t>
  </si>
  <si>
    <t>Company Name</t>
  </si>
  <si>
    <t xml:space="preserve">SYMBOL </t>
  </si>
  <si>
    <t>LTP</t>
  </si>
  <si>
    <t>FY26-27Q1 Result Date</t>
  </si>
  <si>
    <t>Win Rate</t>
  </si>
  <si>
    <t>Holding days</t>
  </si>
  <si>
    <t>Expected Return</t>
  </si>
  <si>
    <t>Entry Date</t>
  </si>
  <si>
    <t>Buy Price</t>
  </si>
  <si>
    <t>Exit Date</t>
  </si>
  <si>
    <t>Sell Price</t>
  </si>
  <si>
    <t>Realised Return</t>
  </si>
  <si>
    <t>Adani Enterprises Ltd.</t>
  </si>
  <si>
    <t>ADANIENT</t>
  </si>
  <si>
    <t>Adani Ports and Special Economic Zone Ltd.</t>
  </si>
  <si>
    <t>ADANIPORTS</t>
  </si>
  <si>
    <t>Apollo Hospitals Enterprise Ltd.</t>
  </si>
  <si>
    <t>APOLLOHOSP</t>
  </si>
  <si>
    <t>Asian Paints Ltd.</t>
  </si>
  <si>
    <t>ASIANPAINT</t>
  </si>
  <si>
    <t>Axis Bank Ltd.</t>
  </si>
  <si>
    <t>AXISBANK</t>
  </si>
  <si>
    <t>Bajaj Auto Ltd.</t>
  </si>
  <si>
    <t>BAJAJ-AUTO</t>
  </si>
  <si>
    <t>Bajaj Finserv Ltd.</t>
  </si>
  <si>
    <t>BAJAJFINSV</t>
  </si>
  <si>
    <t>Bajaj Finance Ltd.</t>
  </si>
  <si>
    <t>BAJFINANCE</t>
  </si>
  <si>
    <t>Bharat Electronics Ltd.</t>
  </si>
  <si>
    <t>BEL</t>
  </si>
  <si>
    <t>Bharti Airtel Ltd.</t>
  </si>
  <si>
    <t>BHARTIARTL</t>
  </si>
  <si>
    <t>Cipla Ltd.</t>
  </si>
  <si>
    <t>CIPLA</t>
  </si>
  <si>
    <t>Coal India Ltd.</t>
  </si>
  <si>
    <t>COALINDIA</t>
  </si>
  <si>
    <t>Dr. Reddy's Laboratories Ltd.</t>
  </si>
  <si>
    <t>DRREDDY</t>
  </si>
  <si>
    <t>Eicher Motors Ltd.</t>
  </si>
  <si>
    <t>EICHERMOT</t>
  </si>
  <si>
    <t>Eternal Ltd.</t>
  </si>
  <si>
    <t>ETERNAL</t>
  </si>
  <si>
    <t>Grasim Industries Ltd.</t>
  </si>
  <si>
    <t>GRASIM</t>
  </si>
  <si>
    <t>HCL Technologies Ltd.</t>
  </si>
  <si>
    <t>HCLTECH</t>
  </si>
  <si>
    <t>HDFC Bank Ltd.</t>
  </si>
  <si>
    <t>HDFCBANK</t>
  </si>
  <si>
    <t>HDFC Life Insurance Company Ltd.</t>
  </si>
  <si>
    <t>HDFCLIFE</t>
  </si>
  <si>
    <t>Hindalco Industries Ltd.</t>
  </si>
  <si>
    <t>HINDALCO</t>
  </si>
  <si>
    <t>Hindustan Unilever Ltd.</t>
  </si>
  <si>
    <t>HINDUNILVR</t>
  </si>
  <si>
    <t>ICICI Bank Ltd.</t>
  </si>
  <si>
    <t>ICICIBANK</t>
  </si>
  <si>
    <t>InterGlobe Aviation Ltd.</t>
  </si>
  <si>
    <t>INDIGO</t>
  </si>
  <si>
    <t>Infosys Ltd.</t>
  </si>
  <si>
    <t>INFY</t>
  </si>
  <si>
    <t>ITC Ltd.</t>
  </si>
  <si>
    <t>ITC</t>
  </si>
  <si>
    <t>Jio Financial Services Ltd.</t>
  </si>
  <si>
    <t>JIOFIN</t>
  </si>
  <si>
    <t>JSW Steel Ltd.</t>
  </si>
  <si>
    <t>JSWSTEEL</t>
  </si>
  <si>
    <t>Kotak Mahindra Bank Ltd.</t>
  </si>
  <si>
    <t>KOTAKBANK</t>
  </si>
  <si>
    <t>Larsen &amp; Toubro Ltd.</t>
  </si>
  <si>
    <t>LT</t>
  </si>
  <si>
    <t>Mahindra &amp; Mahindra Ltd.</t>
  </si>
  <si>
    <t>M&amp;M</t>
  </si>
  <si>
    <t>Maruti Suzuki India Ltd.</t>
  </si>
  <si>
    <t>MARUTI</t>
  </si>
  <si>
    <t>Max Healthcare Institute Ltd.</t>
  </si>
  <si>
    <t>MAXHEALTH</t>
  </si>
  <si>
    <t>Nestle India Ltd.</t>
  </si>
  <si>
    <t>NESTLEIND</t>
  </si>
  <si>
    <t>NTPC Ltd.</t>
  </si>
  <si>
    <t>NTPC</t>
  </si>
  <si>
    <t>Oil &amp; Natural Gas Corporation Ltd.</t>
  </si>
  <si>
    <t>ONGC</t>
  </si>
  <si>
    <t>Power Grid Corporation of India Ltd.</t>
  </si>
  <si>
    <t>POWERGRID</t>
  </si>
  <si>
    <t>Reliance Industries Ltd.</t>
  </si>
  <si>
    <t>RELIANCE</t>
  </si>
  <si>
    <t>SBI Life Insurance Company Ltd.</t>
  </si>
  <si>
    <t>SBILIFE</t>
  </si>
  <si>
    <t>State Bank of India</t>
  </si>
  <si>
    <t>SBIN</t>
  </si>
  <si>
    <t>Shriram Finance Ltd.</t>
  </si>
  <si>
    <t>SHRIRAMFIN</t>
  </si>
  <si>
    <t>Sun Pharmaceutical Industries Ltd.</t>
  </si>
  <si>
    <t>SUNPHARMA</t>
  </si>
  <si>
    <t>Tata Consumer Products Ltd.</t>
  </si>
  <si>
    <t>TATACONSUM</t>
  </si>
  <si>
    <t>Tata Steel Ltd.</t>
  </si>
  <si>
    <t>TATASTEEL</t>
  </si>
  <si>
    <t>Tata Consultancy Services Ltd.</t>
  </si>
  <si>
    <t>TCS</t>
  </si>
  <si>
    <t>Tech Mahindra Ltd.</t>
  </si>
  <si>
    <t>TECHM</t>
  </si>
  <si>
    <t>Titan Company Ltd.</t>
  </si>
  <si>
    <t>TITAN</t>
  </si>
  <si>
    <t>Tata Motors Passenger Vehicles Ltd.</t>
  </si>
  <si>
    <t>TMPV</t>
  </si>
  <si>
    <t>Trent Ltd.</t>
  </si>
  <si>
    <t>TRENT</t>
  </si>
  <si>
    <t>UltraTech Cement Ltd.</t>
  </si>
  <si>
    <t>ULTRACEMCO</t>
  </si>
  <si>
    <t>Wipro Ltd.</t>
  </si>
  <si>
    <t>WIPRO</t>
  </si>
  <si>
    <t>NIFTY 50 Stocks | Quarterly Results | Behaviour Analysis Engine</t>
  </si>
  <si>
    <t>Buy Before(Candles)</t>
  </si>
  <si>
    <t>Sell After(Candles)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</si>
</sst>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1" xfId="0" applyFont="1" applyBorder="1"/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/>
    <xf numFmtId="0" fontId="4" fillId="0" borderId="1" xfId="0" applyFont="1" applyFill="1" applyBorder="1"/>
    <xf numFmtId="0" fontId="0" fillId="0" borderId="4" xfId="0" applyBorder="1"/>
    <xf numFmtId="0" fontId="0" fillId="0" borderId="5" xfId="0" applyFill="1" applyBorder="1"/>
    <xf numFmtId="2" fontId="1" fillId="0" borderId="5" xfId="0" applyNumberFormat="1" applyFont="1" applyFill="1" applyBorder="1"/>
    <xf numFmtId="15" fontId="5" fillId="0" borderId="5" xfId="0" applyNumberFormat="1" applyFont="1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Fill="1" applyBorder="1"/>
    <xf numFmtId="2" fontId="1" fillId="0" borderId="8" xfId="0" applyNumberFormat="1" applyFont="1" applyFill="1" applyBorder="1"/>
    <xf numFmtId="15" fontId="5" fillId="0" borderId="8" xfId="0" applyNumberFormat="1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Fill="1" applyBorder="1"/>
    <xf numFmtId="2" fontId="1" fillId="0" borderId="11" xfId="0" applyNumberFormat="1" applyFont="1" applyFill="1" applyBorder="1"/>
    <xf numFmtId="15" fontId="5" fillId="0" borderId="11" xfId="0" applyNumberFormat="1" applyFont="1" applyFill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5" fillId="0" borderId="5" xfId="0" applyNumberFormat="1" applyFont="1" applyFill="1" applyBorder="1" applyAlignment="1">
      <alignment horizontal="center"/>
    </xf>
    <xf numFmtId="0" fontId="5" fillId="0" borderId="8" xfId="0" applyNumberFormat="1" applyFont="1" applyFill="1" applyBorder="1" applyAlignment="1">
      <alignment horizontal="center"/>
    </xf>
    <xf numFmtId="0" fontId="5" fillId="0" borderId="11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5" fontId="0" fillId="0" borderId="4" xfId="0" applyNumberForma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5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workbookViewId="0">
      <selection activeCell="H2" sqref="H1:H1048576"/>
    </sheetView>
  </sheetViews>
  <sheetFormatPr defaultRowHeight="15"/>
  <cols>
    <col min="1" max="1" width="40" bestFit="1" customWidth="1"/>
    <col min="2" max="2" width="13.7109375" bestFit="1" customWidth="1"/>
    <col min="3" max="3" width="8.5703125" bestFit="1" customWidth="1"/>
    <col min="4" max="4" width="23.28515625" bestFit="1" customWidth="1"/>
    <col min="5" max="5" width="20.85546875" style="35" bestFit="1" customWidth="1"/>
    <col min="6" max="6" width="19.140625" style="35" bestFit="1" customWidth="1"/>
    <col min="7" max="7" width="10" style="29" bestFit="1" customWidth="1"/>
    <col min="8" max="8" width="13.7109375" style="29" bestFit="1" customWidth="1"/>
    <col min="9" max="9" width="17.42578125" style="29" bestFit="1" customWidth="1"/>
    <col min="10" max="10" width="2.7109375" customWidth="1"/>
    <col min="11" max="11" width="11.42578125" bestFit="1" customWidth="1"/>
    <col min="12" max="12" width="10.140625" bestFit="1" customWidth="1"/>
    <col min="13" max="14" width="9.85546875" bestFit="1" customWidth="1"/>
    <col min="15" max="15" width="16.42578125" bestFit="1" customWidth="1"/>
  </cols>
  <sheetData>
    <row r="1" spans="1:15" ht="21.75" thickBot="1">
      <c r="A1" s="41" t="s">
        <v>113</v>
      </c>
      <c r="B1" s="42"/>
      <c r="C1" s="42"/>
      <c r="D1" s="42"/>
      <c r="E1" s="42"/>
      <c r="F1" s="42"/>
      <c r="G1" s="42"/>
      <c r="H1" s="42"/>
      <c r="I1" s="43"/>
      <c r="K1" s="44" t="s">
        <v>0</v>
      </c>
      <c r="L1" s="45"/>
      <c r="M1" s="45"/>
      <c r="N1" s="45"/>
      <c r="O1" s="46"/>
    </row>
    <row r="2" spans="1:15" ht="16.5" thickBot="1">
      <c r="A2" s="1" t="s">
        <v>1</v>
      </c>
      <c r="B2" s="2" t="s">
        <v>2</v>
      </c>
      <c r="C2" s="3" t="s">
        <v>3</v>
      </c>
      <c r="D2" s="4" t="s">
        <v>4</v>
      </c>
      <c r="E2" s="31" t="s">
        <v>114</v>
      </c>
      <c r="F2" s="31" t="s">
        <v>115</v>
      </c>
      <c r="G2" s="30" t="s">
        <v>5</v>
      </c>
      <c r="H2" s="26" t="s">
        <v>6</v>
      </c>
      <c r="I2" s="36" t="s">
        <v>7</v>
      </c>
      <c r="K2" s="6" t="s">
        <v>8</v>
      </c>
      <c r="L2" s="3" t="s">
        <v>9</v>
      </c>
      <c r="M2" s="3" t="s">
        <v>10</v>
      </c>
      <c r="N2" s="3" t="s">
        <v>11</v>
      </c>
      <c r="O2" s="5" t="s">
        <v>12</v>
      </c>
    </row>
    <row r="3" spans="1:15">
      <c r="A3" s="7" t="s">
        <v>13</v>
      </c>
      <c r="B3" s="8" t="s">
        <v>14</v>
      </c>
      <c r="C3" s="9">
        <v>3050</v>
      </c>
      <c r="D3" s="10">
        <v>46232</v>
      </c>
      <c r="E3" s="32">
        <v>7</v>
      </c>
      <c r="F3" s="32">
        <v>3</v>
      </c>
      <c r="G3" s="25">
        <v>65</v>
      </c>
      <c r="H3" s="25">
        <f>SUM(E3:F3)+1</f>
        <v>11</v>
      </c>
      <c r="I3" s="37">
        <v>3.52</v>
      </c>
      <c r="K3" s="40">
        <v>46223</v>
      </c>
      <c r="L3" s="11"/>
      <c r="M3" s="47">
        <v>46237</v>
      </c>
      <c r="N3" s="11"/>
      <c r="O3" s="12"/>
    </row>
    <row r="4" spans="1:15">
      <c r="A4" s="13" t="s">
        <v>15</v>
      </c>
      <c r="B4" s="14" t="s">
        <v>16</v>
      </c>
      <c r="C4" s="15">
        <v>1661.5</v>
      </c>
      <c r="D4" s="16">
        <v>46232</v>
      </c>
      <c r="E4" s="33">
        <v>2</v>
      </c>
      <c r="F4" s="33">
        <v>5</v>
      </c>
      <c r="G4" s="27">
        <v>66</v>
      </c>
      <c r="H4" s="25">
        <f t="shared" ref="H4:H52" si="0">SUM(E4:F4)+1</f>
        <v>8</v>
      </c>
      <c r="I4" s="38">
        <v>1.1499999999999999</v>
      </c>
      <c r="K4" s="40">
        <v>46230</v>
      </c>
      <c r="L4" s="17"/>
      <c r="M4" s="47">
        <v>46239</v>
      </c>
      <c r="N4" s="17"/>
      <c r="O4" s="18"/>
    </row>
    <row r="5" spans="1:15">
      <c r="A5" s="13" t="s">
        <v>17</v>
      </c>
      <c r="B5" s="14" t="s">
        <v>18</v>
      </c>
      <c r="C5" s="15">
        <v>8959</v>
      </c>
      <c r="D5" s="16"/>
      <c r="E5" s="33">
        <v>2</v>
      </c>
      <c r="F5" s="33">
        <v>4</v>
      </c>
      <c r="G5" s="27">
        <v>74</v>
      </c>
      <c r="H5" s="25">
        <f t="shared" si="0"/>
        <v>7</v>
      </c>
      <c r="I5" s="38">
        <v>3.02</v>
      </c>
      <c r="K5" s="40"/>
      <c r="L5" s="17"/>
      <c r="M5" s="47"/>
      <c r="N5" s="17"/>
      <c r="O5" s="18"/>
    </row>
    <row r="6" spans="1:15">
      <c r="A6" s="13" t="s">
        <v>19</v>
      </c>
      <c r="B6" s="14" t="s">
        <v>20</v>
      </c>
      <c r="C6" s="15">
        <v>2750</v>
      </c>
      <c r="D6" s="16">
        <v>46232</v>
      </c>
      <c r="E6" s="33">
        <v>8</v>
      </c>
      <c r="F6" s="33">
        <v>8</v>
      </c>
      <c r="G6" s="27">
        <v>58</v>
      </c>
      <c r="H6" s="25">
        <f t="shared" si="0"/>
        <v>17</v>
      </c>
      <c r="I6" s="38">
        <v>1.66</v>
      </c>
      <c r="K6" s="40">
        <v>46222</v>
      </c>
      <c r="L6" s="17"/>
      <c r="M6" s="47">
        <v>46242</v>
      </c>
      <c r="N6" s="17"/>
      <c r="O6" s="18"/>
    </row>
    <row r="7" spans="1:15">
      <c r="A7" s="13" t="s">
        <v>21</v>
      </c>
      <c r="B7" s="14" t="s">
        <v>22</v>
      </c>
      <c r="C7" s="15">
        <v>1230.8</v>
      </c>
      <c r="D7" s="16">
        <v>46221</v>
      </c>
      <c r="E7" s="33">
        <v>7</v>
      </c>
      <c r="F7" s="33">
        <v>8</v>
      </c>
      <c r="G7" s="27">
        <v>64</v>
      </c>
      <c r="H7" s="25">
        <f>SUM(E7:F7)+2</f>
        <v>17</v>
      </c>
      <c r="I7" s="38">
        <v>2.59</v>
      </c>
      <c r="K7" s="40">
        <v>46212</v>
      </c>
      <c r="L7" s="17"/>
      <c r="M7" s="47">
        <v>46232</v>
      </c>
      <c r="N7" s="17"/>
      <c r="O7" s="18"/>
    </row>
    <row r="8" spans="1:15">
      <c r="A8" s="13" t="s">
        <v>23</v>
      </c>
      <c r="B8" s="14" t="s">
        <v>24</v>
      </c>
      <c r="C8" s="15">
        <v>11445</v>
      </c>
      <c r="D8" s="16">
        <v>46224</v>
      </c>
      <c r="E8" s="33">
        <v>8</v>
      </c>
      <c r="F8" s="33">
        <v>4</v>
      </c>
      <c r="G8" s="27">
        <v>68</v>
      </c>
      <c r="H8" s="25">
        <f t="shared" si="0"/>
        <v>13</v>
      </c>
      <c r="I8" s="38">
        <v>2.7</v>
      </c>
      <c r="K8" s="40">
        <v>46212</v>
      </c>
      <c r="L8" s="17"/>
      <c r="M8" s="47">
        <v>46228</v>
      </c>
      <c r="N8" s="17"/>
      <c r="O8" s="18"/>
    </row>
    <row r="9" spans="1:15">
      <c r="A9" s="13" t="s">
        <v>25</v>
      </c>
      <c r="B9" s="14" t="s">
        <v>26</v>
      </c>
      <c r="C9" s="15">
        <v>1909</v>
      </c>
      <c r="D9" s="16">
        <v>46234</v>
      </c>
      <c r="E9" s="33">
        <v>3</v>
      </c>
      <c r="F9" s="33">
        <v>1</v>
      </c>
      <c r="G9" s="27">
        <v>62</v>
      </c>
      <c r="H9" s="25">
        <f t="shared" si="0"/>
        <v>5</v>
      </c>
      <c r="I9" s="38">
        <v>1.48</v>
      </c>
      <c r="K9" s="40">
        <v>46231</v>
      </c>
      <c r="L9" s="17"/>
      <c r="M9" s="47">
        <v>46237</v>
      </c>
      <c r="N9" s="17"/>
      <c r="O9" s="18"/>
    </row>
    <row r="10" spans="1:15">
      <c r="A10" s="13" t="s">
        <v>27</v>
      </c>
      <c r="B10" s="14" t="s">
        <v>28</v>
      </c>
      <c r="C10" s="15">
        <v>1058</v>
      </c>
      <c r="D10" s="16">
        <v>46233</v>
      </c>
      <c r="E10" s="33">
        <v>3</v>
      </c>
      <c r="F10" s="33">
        <v>5</v>
      </c>
      <c r="G10" s="27">
        <v>61</v>
      </c>
      <c r="H10" s="25">
        <f t="shared" si="0"/>
        <v>9</v>
      </c>
      <c r="I10" s="38">
        <v>3.24</v>
      </c>
      <c r="K10" s="40">
        <v>46230</v>
      </c>
      <c r="L10" s="17"/>
      <c r="M10" s="47">
        <v>46240</v>
      </c>
      <c r="N10" s="17"/>
      <c r="O10" s="18"/>
    </row>
    <row r="11" spans="1:15">
      <c r="A11" s="13" t="s">
        <v>29</v>
      </c>
      <c r="B11" s="14" t="s">
        <v>30</v>
      </c>
      <c r="C11" s="15">
        <v>384.75</v>
      </c>
      <c r="D11" s="16">
        <v>46230</v>
      </c>
      <c r="E11" s="33">
        <v>1</v>
      </c>
      <c r="F11" s="33">
        <v>8</v>
      </c>
      <c r="G11" s="27">
        <v>56</v>
      </c>
      <c r="H11" s="25">
        <f t="shared" si="0"/>
        <v>10</v>
      </c>
      <c r="I11" s="38">
        <v>0.97</v>
      </c>
      <c r="K11" s="40">
        <v>46229</v>
      </c>
      <c r="L11" s="17"/>
      <c r="M11" s="47">
        <v>46240</v>
      </c>
      <c r="N11" s="17"/>
      <c r="O11" s="18"/>
    </row>
    <row r="12" spans="1:15">
      <c r="A12" s="13" t="s">
        <v>31</v>
      </c>
      <c r="B12" s="14" t="s">
        <v>32</v>
      </c>
      <c r="C12" s="15">
        <v>1946.6</v>
      </c>
      <c r="D12" s="16"/>
      <c r="E12" s="33">
        <v>7</v>
      </c>
      <c r="F12" s="33">
        <v>1</v>
      </c>
      <c r="G12" s="27">
        <v>52</v>
      </c>
      <c r="H12" s="25">
        <f t="shared" si="0"/>
        <v>9</v>
      </c>
      <c r="I12" s="38">
        <v>0.34</v>
      </c>
      <c r="K12" s="40"/>
      <c r="L12" s="17"/>
      <c r="M12" s="47">
        <f t="shared" ref="M4:M52" si="1">D12+F12</f>
        <v>1</v>
      </c>
      <c r="N12" s="17"/>
      <c r="O12" s="18"/>
    </row>
    <row r="13" spans="1:15">
      <c r="A13" s="13" t="s">
        <v>33</v>
      </c>
      <c r="B13" s="14" t="s">
        <v>34</v>
      </c>
      <c r="C13" s="15">
        <v>1468</v>
      </c>
      <c r="D13" s="16">
        <v>46226</v>
      </c>
      <c r="E13" s="33">
        <v>2</v>
      </c>
      <c r="F13" s="33">
        <v>8</v>
      </c>
      <c r="G13" s="27">
        <v>56</v>
      </c>
      <c r="H13" s="25">
        <f t="shared" si="0"/>
        <v>11</v>
      </c>
      <c r="I13" s="38">
        <v>0.57999999999999996</v>
      </c>
      <c r="K13" s="40">
        <f>D13-E13</f>
        <v>46224</v>
      </c>
      <c r="L13" s="17"/>
      <c r="M13" s="47">
        <v>46238</v>
      </c>
      <c r="N13" s="17"/>
      <c r="O13" s="18"/>
    </row>
    <row r="14" spans="1:15">
      <c r="A14" s="13" t="s">
        <v>35</v>
      </c>
      <c r="B14" s="14" t="s">
        <v>36</v>
      </c>
      <c r="C14" s="15">
        <v>417.4</v>
      </c>
      <c r="D14" s="16">
        <v>46230</v>
      </c>
      <c r="E14" s="33">
        <v>8</v>
      </c>
      <c r="F14" s="33">
        <v>3</v>
      </c>
      <c r="G14" s="27">
        <v>58</v>
      </c>
      <c r="H14" s="25">
        <f t="shared" si="0"/>
        <v>12</v>
      </c>
      <c r="I14" s="38">
        <v>0.84</v>
      </c>
      <c r="K14" s="40">
        <v>46218</v>
      </c>
      <c r="L14" s="17"/>
      <c r="M14" s="47">
        <f t="shared" si="1"/>
        <v>46233</v>
      </c>
      <c r="N14" s="17"/>
      <c r="O14" s="18"/>
    </row>
    <row r="15" spans="1:15">
      <c r="A15" s="13" t="s">
        <v>37</v>
      </c>
      <c r="B15" s="14" t="s">
        <v>38</v>
      </c>
      <c r="C15" s="15">
        <v>1144.3</v>
      </c>
      <c r="D15" s="16">
        <v>46225</v>
      </c>
      <c r="E15" s="33">
        <v>1</v>
      </c>
      <c r="F15" s="33">
        <v>1</v>
      </c>
      <c r="G15" s="27">
        <v>53</v>
      </c>
      <c r="H15" s="25">
        <f t="shared" si="0"/>
        <v>3</v>
      </c>
      <c r="I15" s="38">
        <v>-0.24</v>
      </c>
      <c r="K15" s="40">
        <f t="shared" ref="K14:K52" si="2">D15-E15</f>
        <v>46224</v>
      </c>
      <c r="L15" s="17"/>
      <c r="M15" s="47">
        <f t="shared" si="1"/>
        <v>46226</v>
      </c>
      <c r="N15" s="17"/>
      <c r="O15" s="18"/>
    </row>
    <row r="16" spans="1:15">
      <c r="A16" s="13" t="s">
        <v>39</v>
      </c>
      <c r="B16" s="14" t="s">
        <v>40</v>
      </c>
      <c r="C16" s="15">
        <v>7909</v>
      </c>
      <c r="D16" s="16">
        <v>46232</v>
      </c>
      <c r="E16" s="33">
        <v>7</v>
      </c>
      <c r="F16" s="33">
        <v>6</v>
      </c>
      <c r="G16" s="27">
        <v>67</v>
      </c>
      <c r="H16" s="25">
        <f t="shared" si="0"/>
        <v>14</v>
      </c>
      <c r="I16" s="38">
        <v>3.96</v>
      </c>
      <c r="K16" s="40">
        <v>46223</v>
      </c>
      <c r="L16" s="17"/>
      <c r="M16" s="47">
        <v>46240</v>
      </c>
      <c r="N16" s="17"/>
      <c r="O16" s="18"/>
    </row>
    <row r="17" spans="1:15">
      <c r="A17" s="13" t="s">
        <v>41</v>
      </c>
      <c r="B17" s="14" t="s">
        <v>42</v>
      </c>
      <c r="C17" s="15">
        <v>310.05</v>
      </c>
      <c r="D17" s="16">
        <v>46225</v>
      </c>
      <c r="E17" s="33">
        <v>2</v>
      </c>
      <c r="F17" s="33">
        <v>1</v>
      </c>
      <c r="G17" s="27">
        <v>77</v>
      </c>
      <c r="H17" s="25">
        <f t="shared" si="0"/>
        <v>4</v>
      </c>
      <c r="I17" s="38">
        <v>5.54</v>
      </c>
      <c r="K17" s="40">
        <f t="shared" si="2"/>
        <v>46223</v>
      </c>
      <c r="L17" s="17"/>
      <c r="M17" s="47">
        <f t="shared" si="1"/>
        <v>46226</v>
      </c>
      <c r="N17" s="17"/>
      <c r="O17" s="18"/>
    </row>
    <row r="18" spans="1:15">
      <c r="A18" s="13" t="s">
        <v>43</v>
      </c>
      <c r="B18" s="14" t="s">
        <v>44</v>
      </c>
      <c r="C18" s="15">
        <v>3100.1</v>
      </c>
      <c r="D18" s="16"/>
      <c r="E18" s="33">
        <v>1</v>
      </c>
      <c r="F18" s="33">
        <v>3</v>
      </c>
      <c r="G18" s="27">
        <v>61</v>
      </c>
      <c r="H18" s="25">
        <f t="shared" si="0"/>
        <v>5</v>
      </c>
      <c r="I18" s="38">
        <v>0.41</v>
      </c>
      <c r="K18" s="40">
        <f t="shared" si="2"/>
        <v>-1</v>
      </c>
      <c r="L18" s="17"/>
      <c r="M18" s="47">
        <f t="shared" si="1"/>
        <v>3</v>
      </c>
      <c r="N18" s="17"/>
      <c r="O18" s="18"/>
    </row>
    <row r="19" spans="1:15">
      <c r="A19" s="13" t="s">
        <v>45</v>
      </c>
      <c r="B19" s="14" t="s">
        <v>46</v>
      </c>
      <c r="C19" s="15">
        <v>1351.5</v>
      </c>
      <c r="D19" s="16">
        <v>46216</v>
      </c>
      <c r="E19" s="33">
        <v>6</v>
      </c>
      <c r="F19" s="33">
        <v>3</v>
      </c>
      <c r="G19" s="27">
        <v>68</v>
      </c>
      <c r="H19" s="25">
        <f t="shared" si="0"/>
        <v>10</v>
      </c>
      <c r="I19" s="38">
        <v>1.87</v>
      </c>
      <c r="K19" s="40">
        <v>46206</v>
      </c>
      <c r="L19" s="17"/>
      <c r="M19" s="47">
        <f t="shared" si="1"/>
        <v>46219</v>
      </c>
      <c r="N19" s="17"/>
      <c r="O19" s="18"/>
    </row>
    <row r="20" spans="1:15">
      <c r="A20" s="13" t="s">
        <v>47</v>
      </c>
      <c r="B20" s="14" t="s">
        <v>48</v>
      </c>
      <c r="C20" s="15">
        <v>753.4</v>
      </c>
      <c r="D20" s="16">
        <v>46221</v>
      </c>
      <c r="E20" s="33">
        <v>5</v>
      </c>
      <c r="F20" s="33">
        <v>3</v>
      </c>
      <c r="G20" s="27">
        <v>65</v>
      </c>
      <c r="H20" s="25">
        <f t="shared" si="0"/>
        <v>9</v>
      </c>
      <c r="I20" s="38">
        <v>0.56000000000000005</v>
      </c>
      <c r="K20" s="40">
        <f t="shared" si="2"/>
        <v>46216</v>
      </c>
      <c r="L20" s="17"/>
      <c r="M20" s="47">
        <v>46225</v>
      </c>
      <c r="N20" s="17"/>
      <c r="O20" s="18"/>
    </row>
    <row r="21" spans="1:15">
      <c r="A21" s="13" t="s">
        <v>49</v>
      </c>
      <c r="B21" s="14" t="s">
        <v>50</v>
      </c>
      <c r="C21" s="15">
        <v>545.04999999999995</v>
      </c>
      <c r="D21" s="16">
        <v>46218</v>
      </c>
      <c r="E21" s="33">
        <v>8</v>
      </c>
      <c r="F21" s="33">
        <v>5</v>
      </c>
      <c r="G21" s="27">
        <v>50</v>
      </c>
      <c r="H21" s="25">
        <f t="shared" si="0"/>
        <v>14</v>
      </c>
      <c r="I21" s="38">
        <v>6.7000000000000004E-2</v>
      </c>
      <c r="K21" s="40">
        <v>46206</v>
      </c>
      <c r="L21" s="17"/>
      <c r="M21" s="47">
        <v>46225</v>
      </c>
      <c r="N21" s="17"/>
      <c r="O21" s="18"/>
    </row>
    <row r="22" spans="1:15">
      <c r="A22" s="13" t="s">
        <v>51</v>
      </c>
      <c r="B22" s="14" t="s">
        <v>52</v>
      </c>
      <c r="C22" s="15">
        <v>969.5</v>
      </c>
      <c r="D22" s="16"/>
      <c r="E22" s="33">
        <v>3</v>
      </c>
      <c r="F22" s="33">
        <v>3</v>
      </c>
      <c r="G22" s="27">
        <v>53</v>
      </c>
      <c r="H22" s="25">
        <f t="shared" si="0"/>
        <v>7</v>
      </c>
      <c r="I22" s="38">
        <v>0.13</v>
      </c>
      <c r="K22" s="40">
        <f t="shared" si="2"/>
        <v>-3</v>
      </c>
      <c r="L22" s="17"/>
      <c r="M22" s="47"/>
      <c r="N22" s="17"/>
      <c r="O22" s="18"/>
    </row>
    <row r="23" spans="1:15">
      <c r="A23" s="13" t="s">
        <v>53</v>
      </c>
      <c r="B23" s="14" t="s">
        <v>54</v>
      </c>
      <c r="C23" s="15">
        <v>2107</v>
      </c>
      <c r="D23" s="16">
        <v>46231</v>
      </c>
      <c r="E23" s="33">
        <v>6</v>
      </c>
      <c r="F23" s="33">
        <v>7</v>
      </c>
      <c r="G23" s="27">
        <v>53</v>
      </c>
      <c r="H23" s="25">
        <f t="shared" si="0"/>
        <v>14</v>
      </c>
      <c r="I23" s="38">
        <v>0.56999999999999995</v>
      </c>
      <c r="K23" s="40">
        <v>46223</v>
      </c>
      <c r="L23" s="17"/>
      <c r="M23" s="47">
        <v>46240</v>
      </c>
      <c r="N23" s="17"/>
      <c r="O23" s="18"/>
    </row>
    <row r="24" spans="1:15">
      <c r="A24" s="13" t="s">
        <v>55</v>
      </c>
      <c r="B24" s="14" t="s">
        <v>56</v>
      </c>
      <c r="C24" s="15">
        <v>1430</v>
      </c>
      <c r="D24" s="16"/>
      <c r="E24" s="33">
        <v>3</v>
      </c>
      <c r="F24" s="33">
        <v>6</v>
      </c>
      <c r="G24" s="27">
        <v>62</v>
      </c>
      <c r="H24" s="25">
        <f t="shared" si="0"/>
        <v>10</v>
      </c>
      <c r="I24" s="38">
        <v>1.58</v>
      </c>
      <c r="K24" s="40">
        <f t="shared" si="2"/>
        <v>-3</v>
      </c>
      <c r="L24" s="17"/>
      <c r="M24" s="47"/>
      <c r="N24" s="17"/>
      <c r="O24" s="18"/>
    </row>
    <row r="25" spans="1:15">
      <c r="A25" s="13" t="s">
        <v>57</v>
      </c>
      <c r="B25" s="14" t="s">
        <v>58</v>
      </c>
      <c r="C25" s="15">
        <v>5218</v>
      </c>
      <c r="D25" s="16">
        <v>46226</v>
      </c>
      <c r="E25" s="33">
        <v>6</v>
      </c>
      <c r="F25" s="33">
        <v>5</v>
      </c>
      <c r="G25" s="27">
        <v>69</v>
      </c>
      <c r="H25" s="25">
        <f t="shared" si="0"/>
        <v>12</v>
      </c>
      <c r="I25" s="38">
        <v>0.36</v>
      </c>
      <c r="K25" s="40">
        <v>46218</v>
      </c>
      <c r="L25" s="17"/>
      <c r="M25" s="47">
        <v>46233</v>
      </c>
      <c r="N25" s="17"/>
      <c r="O25" s="18"/>
    </row>
    <row r="26" spans="1:15">
      <c r="A26" s="13" t="s">
        <v>59</v>
      </c>
      <c r="B26" s="14" t="s">
        <v>60</v>
      </c>
      <c r="C26" s="15">
        <v>1155</v>
      </c>
      <c r="D26" s="16">
        <v>46226</v>
      </c>
      <c r="E26" s="33">
        <v>8</v>
      </c>
      <c r="F26" s="33">
        <v>7</v>
      </c>
      <c r="G26" s="27">
        <v>58</v>
      </c>
      <c r="H26" s="25">
        <f t="shared" si="0"/>
        <v>16</v>
      </c>
      <c r="I26" s="38">
        <v>0.65</v>
      </c>
      <c r="K26" s="40">
        <v>46216</v>
      </c>
      <c r="L26" s="17"/>
      <c r="M26" s="47">
        <v>46237</v>
      </c>
      <c r="N26" s="17"/>
      <c r="O26" s="18"/>
    </row>
    <row r="27" spans="1:15">
      <c r="A27" s="13" t="s">
        <v>61</v>
      </c>
      <c r="B27" s="14" t="s">
        <v>62</v>
      </c>
      <c r="C27" s="15">
        <v>285.55</v>
      </c>
      <c r="D27" s="16">
        <v>46234</v>
      </c>
      <c r="E27" s="33">
        <v>8</v>
      </c>
      <c r="F27" s="33">
        <v>8</v>
      </c>
      <c r="G27" s="27">
        <v>57</v>
      </c>
      <c r="H27" s="25">
        <f t="shared" si="0"/>
        <v>17</v>
      </c>
      <c r="I27" s="38">
        <v>0.91</v>
      </c>
      <c r="K27" s="40">
        <v>46224</v>
      </c>
      <c r="L27" s="17"/>
      <c r="M27" s="47">
        <v>46246</v>
      </c>
      <c r="N27" s="17"/>
      <c r="O27" s="18"/>
    </row>
    <row r="28" spans="1:15">
      <c r="A28" s="13" t="s">
        <v>63</v>
      </c>
      <c r="B28" s="14" t="s">
        <v>64</v>
      </c>
      <c r="C28" s="15">
        <v>246.67</v>
      </c>
      <c r="D28" s="16">
        <v>46219</v>
      </c>
      <c r="E28" s="33">
        <v>3</v>
      </c>
      <c r="F28" s="33">
        <v>1</v>
      </c>
      <c r="G28" s="27">
        <v>50</v>
      </c>
      <c r="H28" s="25">
        <f t="shared" si="0"/>
        <v>5</v>
      </c>
      <c r="I28" s="38">
        <v>0.73</v>
      </c>
      <c r="K28" s="40">
        <f t="shared" si="2"/>
        <v>46216</v>
      </c>
      <c r="L28" s="17"/>
      <c r="M28" s="47">
        <f t="shared" si="1"/>
        <v>46220</v>
      </c>
      <c r="N28" s="17"/>
      <c r="O28" s="18"/>
    </row>
    <row r="29" spans="1:15">
      <c r="A29" s="13" t="s">
        <v>65</v>
      </c>
      <c r="B29" s="14" t="s">
        <v>66</v>
      </c>
      <c r="C29" s="15">
        <v>1268.5</v>
      </c>
      <c r="D29" s="16">
        <v>46220</v>
      </c>
      <c r="E29" s="33">
        <v>4</v>
      </c>
      <c r="F29" s="33">
        <v>7</v>
      </c>
      <c r="G29" s="27">
        <v>67</v>
      </c>
      <c r="H29" s="25">
        <f t="shared" si="0"/>
        <v>12</v>
      </c>
      <c r="I29" s="38">
        <v>2.69</v>
      </c>
      <c r="K29" s="40">
        <v>46216</v>
      </c>
      <c r="L29" s="17"/>
      <c r="M29" s="47">
        <v>46231</v>
      </c>
      <c r="N29" s="17"/>
      <c r="O29" s="18"/>
    </row>
    <row r="30" spans="1:15">
      <c r="A30" s="13" t="s">
        <v>67</v>
      </c>
      <c r="B30" s="14" t="s">
        <v>68</v>
      </c>
      <c r="C30" s="15">
        <v>387.6</v>
      </c>
      <c r="D30" s="16">
        <v>46221</v>
      </c>
      <c r="E30" s="33">
        <v>6</v>
      </c>
      <c r="F30" s="33">
        <v>8</v>
      </c>
      <c r="G30" s="27">
        <v>57</v>
      </c>
      <c r="H30" s="25">
        <f t="shared" si="0"/>
        <v>15</v>
      </c>
      <c r="I30" s="38">
        <v>0.92</v>
      </c>
      <c r="K30" s="40">
        <v>46213</v>
      </c>
      <c r="L30" s="17"/>
      <c r="M30" s="47">
        <v>46232</v>
      </c>
      <c r="N30" s="17"/>
      <c r="O30" s="18"/>
    </row>
    <row r="31" spans="1:15">
      <c r="A31" s="13" t="s">
        <v>69</v>
      </c>
      <c r="B31" s="14" t="s">
        <v>70</v>
      </c>
      <c r="C31" s="15">
        <v>3940.5</v>
      </c>
      <c r="D31" s="16">
        <v>46231</v>
      </c>
      <c r="E31" s="33">
        <v>1</v>
      </c>
      <c r="F31" s="33">
        <v>4</v>
      </c>
      <c r="G31" s="27">
        <v>61</v>
      </c>
      <c r="H31" s="25">
        <f t="shared" si="0"/>
        <v>6</v>
      </c>
      <c r="I31" s="38">
        <v>0.84</v>
      </c>
      <c r="K31" s="40">
        <f t="shared" si="2"/>
        <v>46230</v>
      </c>
      <c r="L31" s="17"/>
      <c r="M31" s="47">
        <v>46237</v>
      </c>
      <c r="N31" s="17"/>
      <c r="O31" s="18"/>
    </row>
    <row r="32" spans="1:15">
      <c r="A32" s="13" t="s">
        <v>71</v>
      </c>
      <c r="B32" s="14" t="s">
        <v>72</v>
      </c>
      <c r="C32" s="15">
        <v>3294.6</v>
      </c>
      <c r="D32" s="16">
        <v>46233</v>
      </c>
      <c r="E32" s="33">
        <v>3</v>
      </c>
      <c r="F32" s="33">
        <v>3</v>
      </c>
      <c r="G32" s="27">
        <v>65</v>
      </c>
      <c r="H32" s="25">
        <f t="shared" si="0"/>
        <v>7</v>
      </c>
      <c r="I32" s="38">
        <v>1.54</v>
      </c>
      <c r="K32" s="40">
        <f t="shared" si="2"/>
        <v>46230</v>
      </c>
      <c r="L32" s="17"/>
      <c r="M32" s="47">
        <v>46238</v>
      </c>
      <c r="N32" s="17"/>
      <c r="O32" s="18"/>
    </row>
    <row r="33" spans="1:15">
      <c r="A33" s="13" t="s">
        <v>73</v>
      </c>
      <c r="B33" s="14" t="s">
        <v>74</v>
      </c>
      <c r="C33" s="15">
        <v>14180</v>
      </c>
      <c r="D33" s="16">
        <v>46234</v>
      </c>
      <c r="E33" s="33">
        <v>6</v>
      </c>
      <c r="F33" s="33">
        <v>4</v>
      </c>
      <c r="G33" s="27">
        <v>61</v>
      </c>
      <c r="H33" s="25">
        <f t="shared" si="0"/>
        <v>11</v>
      </c>
      <c r="I33" s="38">
        <v>1.43</v>
      </c>
      <c r="K33" s="40">
        <v>46226</v>
      </c>
      <c r="L33" s="17"/>
      <c r="M33" s="47">
        <v>46240</v>
      </c>
      <c r="N33" s="17"/>
      <c r="O33" s="18"/>
    </row>
    <row r="34" spans="1:15">
      <c r="A34" s="13" t="s">
        <v>75</v>
      </c>
      <c r="B34" s="14" t="s">
        <v>76</v>
      </c>
      <c r="C34" s="15">
        <v>1124</v>
      </c>
      <c r="D34" s="16"/>
      <c r="E34" s="33">
        <v>8</v>
      </c>
      <c r="F34" s="33">
        <v>3</v>
      </c>
      <c r="G34" s="27">
        <v>88</v>
      </c>
      <c r="H34" s="25">
        <f t="shared" si="0"/>
        <v>12</v>
      </c>
      <c r="I34" s="38">
        <v>6.39</v>
      </c>
      <c r="K34" s="40">
        <f t="shared" si="2"/>
        <v>-8</v>
      </c>
      <c r="L34" s="17"/>
      <c r="M34" s="47"/>
      <c r="N34" s="17"/>
      <c r="O34" s="18"/>
    </row>
    <row r="35" spans="1:15">
      <c r="A35" s="13" t="s">
        <v>77</v>
      </c>
      <c r="B35" s="14" t="s">
        <v>78</v>
      </c>
      <c r="C35" s="15">
        <v>1519</v>
      </c>
      <c r="D35" s="16">
        <v>46225</v>
      </c>
      <c r="E35" s="33">
        <v>6</v>
      </c>
      <c r="F35" s="33">
        <v>7</v>
      </c>
      <c r="G35" s="27">
        <v>71</v>
      </c>
      <c r="H35" s="25">
        <f t="shared" si="0"/>
        <v>14</v>
      </c>
      <c r="I35" s="38">
        <v>0.05</v>
      </c>
      <c r="K35" s="40">
        <v>46217</v>
      </c>
      <c r="L35" s="17"/>
      <c r="M35" s="47">
        <v>46234</v>
      </c>
      <c r="N35" s="17"/>
      <c r="O35" s="18"/>
    </row>
    <row r="36" spans="1:15">
      <c r="A36" s="13" t="s">
        <v>79</v>
      </c>
      <c r="B36" s="14" t="s">
        <v>80</v>
      </c>
      <c r="C36" s="15">
        <v>345.15</v>
      </c>
      <c r="D36" s="16">
        <v>46227</v>
      </c>
      <c r="E36" s="33">
        <v>1</v>
      </c>
      <c r="F36" s="33">
        <v>4</v>
      </c>
      <c r="G36" s="27">
        <v>58</v>
      </c>
      <c r="H36" s="25">
        <f t="shared" si="0"/>
        <v>6</v>
      </c>
      <c r="I36" s="38">
        <v>0.57999999999999996</v>
      </c>
      <c r="K36" s="40">
        <f t="shared" si="2"/>
        <v>46226</v>
      </c>
      <c r="L36" s="17"/>
      <c r="M36" s="47">
        <v>46233</v>
      </c>
      <c r="N36" s="17"/>
      <c r="O36" s="18"/>
    </row>
    <row r="37" spans="1:15">
      <c r="A37" s="13" t="s">
        <v>81</v>
      </c>
      <c r="B37" s="14" t="s">
        <v>82</v>
      </c>
      <c r="C37" s="15">
        <v>241.3</v>
      </c>
      <c r="D37" s="16"/>
      <c r="E37" s="33">
        <v>1</v>
      </c>
      <c r="F37" s="33">
        <v>7</v>
      </c>
      <c r="G37" s="27">
        <v>50</v>
      </c>
      <c r="H37" s="25">
        <f t="shared" si="0"/>
        <v>9</v>
      </c>
      <c r="I37" s="38">
        <v>0.26</v>
      </c>
      <c r="K37" s="40">
        <f t="shared" si="2"/>
        <v>-1</v>
      </c>
      <c r="L37" s="17"/>
      <c r="M37" s="47"/>
      <c r="N37" s="17"/>
      <c r="O37" s="18"/>
    </row>
    <row r="38" spans="1:15">
      <c r="A38" s="13" t="s">
        <v>83</v>
      </c>
      <c r="B38" s="14" t="s">
        <v>84</v>
      </c>
      <c r="C38" s="15">
        <v>285.35000000000002</v>
      </c>
      <c r="D38" s="16"/>
      <c r="E38" s="33">
        <v>4</v>
      </c>
      <c r="F38" s="33">
        <v>8</v>
      </c>
      <c r="G38" s="27">
        <v>60</v>
      </c>
      <c r="H38" s="25">
        <f t="shared" si="0"/>
        <v>13</v>
      </c>
      <c r="I38" s="38">
        <v>0.3</v>
      </c>
      <c r="K38" s="40">
        <f t="shared" si="2"/>
        <v>-4</v>
      </c>
      <c r="L38" s="17"/>
      <c r="M38" s="47"/>
      <c r="N38" s="17"/>
      <c r="O38" s="18"/>
    </row>
    <row r="39" spans="1:15">
      <c r="A39" s="13" t="s">
        <v>85</v>
      </c>
      <c r="B39" s="14" t="s">
        <v>86</v>
      </c>
      <c r="C39" s="15">
        <v>1289.4000000000001</v>
      </c>
      <c r="D39" s="16">
        <v>46220</v>
      </c>
      <c r="E39" s="33">
        <v>8</v>
      </c>
      <c r="F39" s="33">
        <v>1</v>
      </c>
      <c r="G39" s="27">
        <v>59</v>
      </c>
      <c r="H39" s="25">
        <f t="shared" si="0"/>
        <v>10</v>
      </c>
      <c r="I39" s="38">
        <v>0.75</v>
      </c>
      <c r="K39" s="40">
        <v>46210</v>
      </c>
      <c r="L39" s="17"/>
      <c r="M39" s="47">
        <v>46223</v>
      </c>
      <c r="N39" s="17"/>
      <c r="O39" s="18"/>
    </row>
    <row r="40" spans="1:15">
      <c r="A40" s="13" t="s">
        <v>87</v>
      </c>
      <c r="B40" s="14" t="s">
        <v>88</v>
      </c>
      <c r="C40" s="15">
        <v>1867.1</v>
      </c>
      <c r="D40" s="16">
        <v>46227</v>
      </c>
      <c r="E40" s="33">
        <v>1</v>
      </c>
      <c r="F40" s="33">
        <v>7</v>
      </c>
      <c r="G40" s="27">
        <v>64</v>
      </c>
      <c r="H40" s="25">
        <f t="shared" si="0"/>
        <v>9</v>
      </c>
      <c r="I40" s="38">
        <v>1.78</v>
      </c>
      <c r="K40" s="40">
        <f t="shared" si="2"/>
        <v>46226</v>
      </c>
      <c r="L40" s="17"/>
      <c r="M40" s="47">
        <v>46238</v>
      </c>
      <c r="N40" s="17"/>
      <c r="O40" s="18"/>
    </row>
    <row r="41" spans="1:15">
      <c r="A41" s="13" t="s">
        <v>89</v>
      </c>
      <c r="B41" s="14" t="s">
        <v>90</v>
      </c>
      <c r="C41" s="15">
        <v>1024</v>
      </c>
      <c r="D41" s="16"/>
      <c r="E41" s="33">
        <v>7</v>
      </c>
      <c r="F41" s="33">
        <v>2</v>
      </c>
      <c r="G41" s="27">
        <v>61</v>
      </c>
      <c r="H41" s="25">
        <f t="shared" si="0"/>
        <v>10</v>
      </c>
      <c r="I41" s="38">
        <v>1.93</v>
      </c>
      <c r="K41" s="40">
        <f t="shared" si="2"/>
        <v>-7</v>
      </c>
      <c r="L41" s="17"/>
      <c r="M41" s="47"/>
      <c r="N41" s="17"/>
      <c r="O41" s="18"/>
    </row>
    <row r="42" spans="1:15">
      <c r="A42" s="13" t="s">
        <v>91</v>
      </c>
      <c r="B42" s="14" t="s">
        <v>92</v>
      </c>
      <c r="C42" s="15">
        <v>1029</v>
      </c>
      <c r="D42" s="16">
        <v>46227</v>
      </c>
      <c r="E42" s="33">
        <v>3</v>
      </c>
      <c r="F42" s="33">
        <v>5</v>
      </c>
      <c r="G42" s="27">
        <v>63</v>
      </c>
      <c r="H42" s="25">
        <f t="shared" si="0"/>
        <v>9</v>
      </c>
      <c r="I42" s="38">
        <v>2.56</v>
      </c>
      <c r="K42" s="40">
        <f t="shared" si="2"/>
        <v>46224</v>
      </c>
      <c r="L42" s="17"/>
      <c r="M42" s="47">
        <v>46234</v>
      </c>
      <c r="N42" s="17"/>
      <c r="O42" s="18"/>
    </row>
    <row r="43" spans="1:15">
      <c r="A43" s="13" t="s">
        <v>93</v>
      </c>
      <c r="B43" s="14" t="s">
        <v>94</v>
      </c>
      <c r="C43" s="15">
        <v>2005</v>
      </c>
      <c r="D43" s="16">
        <v>46234</v>
      </c>
      <c r="E43" s="33">
        <v>3</v>
      </c>
      <c r="F43" s="33">
        <v>8</v>
      </c>
      <c r="G43" s="27">
        <v>68</v>
      </c>
      <c r="H43" s="25">
        <f t="shared" si="0"/>
        <v>12</v>
      </c>
      <c r="I43" s="38">
        <v>1.24</v>
      </c>
      <c r="K43" s="40">
        <f t="shared" si="2"/>
        <v>46231</v>
      </c>
      <c r="L43" s="17"/>
      <c r="M43" s="47">
        <v>46246</v>
      </c>
      <c r="N43" s="17"/>
      <c r="O43" s="18"/>
    </row>
    <row r="44" spans="1:15">
      <c r="A44" s="13" t="s">
        <v>95</v>
      </c>
      <c r="B44" s="14" t="s">
        <v>96</v>
      </c>
      <c r="C44" s="15">
        <v>1095</v>
      </c>
      <c r="D44" s="16">
        <v>46227</v>
      </c>
      <c r="E44" s="33">
        <v>2</v>
      </c>
      <c r="F44" s="33">
        <v>8</v>
      </c>
      <c r="G44" s="27">
        <v>55</v>
      </c>
      <c r="H44" s="25">
        <f t="shared" si="0"/>
        <v>11</v>
      </c>
      <c r="I44" s="38">
        <v>1.05</v>
      </c>
      <c r="K44" s="40">
        <f t="shared" si="2"/>
        <v>46225</v>
      </c>
      <c r="L44" s="17"/>
      <c r="M44" s="47">
        <v>46239</v>
      </c>
      <c r="N44" s="17"/>
      <c r="O44" s="18"/>
    </row>
    <row r="45" spans="1:15">
      <c r="A45" s="13" t="s">
        <v>97</v>
      </c>
      <c r="B45" s="14" t="s">
        <v>98</v>
      </c>
      <c r="C45" s="15">
        <v>186.99</v>
      </c>
      <c r="D45" s="16">
        <v>46233</v>
      </c>
      <c r="E45" s="33">
        <v>1</v>
      </c>
      <c r="F45" s="33">
        <v>4</v>
      </c>
      <c r="G45" s="27">
        <v>57</v>
      </c>
      <c r="H45" s="25">
        <f t="shared" si="0"/>
        <v>6</v>
      </c>
      <c r="I45" s="38">
        <v>0.61</v>
      </c>
      <c r="K45" s="40">
        <f t="shared" si="2"/>
        <v>46232</v>
      </c>
      <c r="L45" s="17"/>
      <c r="M45" s="47">
        <v>46239</v>
      </c>
      <c r="N45" s="17"/>
      <c r="O45" s="18"/>
    </row>
    <row r="46" spans="1:15">
      <c r="A46" s="13" t="s">
        <v>99</v>
      </c>
      <c r="B46" s="14" t="s">
        <v>100</v>
      </c>
      <c r="C46" s="15">
        <v>2434</v>
      </c>
      <c r="D46" s="16">
        <v>46212</v>
      </c>
      <c r="E46" s="33">
        <v>8</v>
      </c>
      <c r="F46" s="33">
        <v>6</v>
      </c>
      <c r="G46" s="27">
        <v>61</v>
      </c>
      <c r="H46" s="25">
        <f t="shared" si="0"/>
        <v>15</v>
      </c>
      <c r="I46" s="38">
        <v>1.9</v>
      </c>
      <c r="K46" s="40">
        <v>46202</v>
      </c>
      <c r="L46" s="17"/>
      <c r="M46" s="47">
        <v>46220</v>
      </c>
      <c r="N46" s="17"/>
      <c r="O46" s="18"/>
    </row>
    <row r="47" spans="1:15">
      <c r="A47" s="13" t="s">
        <v>101</v>
      </c>
      <c r="B47" s="14" t="s">
        <v>102</v>
      </c>
      <c r="C47" s="15">
        <v>1661.4</v>
      </c>
      <c r="D47" s="16">
        <v>46219</v>
      </c>
      <c r="E47" s="33">
        <v>7</v>
      </c>
      <c r="F47" s="33">
        <v>8</v>
      </c>
      <c r="G47" s="27">
        <v>58</v>
      </c>
      <c r="H47" s="25">
        <f t="shared" si="0"/>
        <v>16</v>
      </c>
      <c r="I47" s="38">
        <v>0.5</v>
      </c>
      <c r="K47" s="40">
        <v>46210</v>
      </c>
      <c r="L47" s="17"/>
      <c r="M47" s="47">
        <v>46231</v>
      </c>
      <c r="N47" s="17"/>
      <c r="O47" s="18"/>
    </row>
    <row r="48" spans="1:15">
      <c r="A48" s="13" t="s">
        <v>103</v>
      </c>
      <c r="B48" s="14" t="s">
        <v>104</v>
      </c>
      <c r="C48" s="15">
        <v>4843.8999999999996</v>
      </c>
      <c r="D48" s="16"/>
      <c r="E48" s="33">
        <v>5</v>
      </c>
      <c r="F48" s="33">
        <v>2</v>
      </c>
      <c r="G48" s="27">
        <v>61</v>
      </c>
      <c r="H48" s="25">
        <f t="shared" si="0"/>
        <v>8</v>
      </c>
      <c r="I48" s="38">
        <v>0.88</v>
      </c>
      <c r="K48" s="40">
        <f t="shared" si="2"/>
        <v>-5</v>
      </c>
      <c r="L48" s="17"/>
      <c r="M48" s="47"/>
      <c r="N48" s="17"/>
      <c r="O48" s="18"/>
    </row>
    <row r="49" spans="1:15">
      <c r="A49" s="13" t="s">
        <v>105</v>
      </c>
      <c r="B49" s="14" t="s">
        <v>106</v>
      </c>
      <c r="C49" s="15">
        <v>334.9</v>
      </c>
      <c r="D49" s="16"/>
      <c r="E49" s="33">
        <v>1</v>
      </c>
      <c r="F49" s="33">
        <v>2</v>
      </c>
      <c r="G49" s="27">
        <v>86</v>
      </c>
      <c r="H49" s="25">
        <f t="shared" si="0"/>
        <v>4</v>
      </c>
      <c r="I49" s="38">
        <v>6.14</v>
      </c>
      <c r="K49" s="40">
        <f t="shared" si="2"/>
        <v>-1</v>
      </c>
      <c r="L49" s="17"/>
      <c r="M49" s="47"/>
      <c r="N49" s="17"/>
      <c r="O49" s="18"/>
    </row>
    <row r="50" spans="1:15">
      <c r="A50" s="13" t="s">
        <v>107</v>
      </c>
      <c r="B50" s="14" t="s">
        <v>108</v>
      </c>
      <c r="C50" s="15">
        <v>3003.9</v>
      </c>
      <c r="D50" s="16"/>
      <c r="E50" s="33">
        <v>3</v>
      </c>
      <c r="F50" s="33">
        <v>3</v>
      </c>
      <c r="G50" s="27">
        <v>57</v>
      </c>
      <c r="H50" s="25">
        <f t="shared" si="0"/>
        <v>7</v>
      </c>
      <c r="I50" s="38">
        <v>1.07</v>
      </c>
      <c r="K50" s="40">
        <f t="shared" si="2"/>
        <v>-3</v>
      </c>
      <c r="L50" s="17"/>
      <c r="M50" s="47"/>
      <c r="N50" s="17"/>
      <c r="O50" s="18"/>
    </row>
    <row r="51" spans="1:15">
      <c r="A51" s="13" t="s">
        <v>109</v>
      </c>
      <c r="B51" s="14" t="s">
        <v>110</v>
      </c>
      <c r="C51" s="15">
        <v>11850</v>
      </c>
      <c r="D51" s="16">
        <v>46223</v>
      </c>
      <c r="E51" s="33">
        <v>8</v>
      </c>
      <c r="F51" s="33">
        <v>8</v>
      </c>
      <c r="G51" s="27">
        <v>54</v>
      </c>
      <c r="H51" s="25">
        <f t="shared" si="0"/>
        <v>17</v>
      </c>
      <c r="I51" s="38">
        <v>0.13</v>
      </c>
      <c r="K51" s="40">
        <v>46211</v>
      </c>
      <c r="L51" s="17"/>
      <c r="M51" s="47">
        <f t="shared" si="1"/>
        <v>46231</v>
      </c>
      <c r="N51" s="17"/>
      <c r="O51" s="18"/>
    </row>
    <row r="52" spans="1:15" ht="15.75" thickBot="1">
      <c r="A52" s="19" t="s">
        <v>111</v>
      </c>
      <c r="B52" s="20" t="s">
        <v>112</v>
      </c>
      <c r="C52" s="21">
        <v>186.41</v>
      </c>
      <c r="D52" s="22">
        <v>46219</v>
      </c>
      <c r="E52" s="34">
        <v>7</v>
      </c>
      <c r="F52" s="34">
        <v>4</v>
      </c>
      <c r="G52" s="28">
        <v>59</v>
      </c>
      <c r="H52" s="25">
        <f t="shared" si="0"/>
        <v>12</v>
      </c>
      <c r="I52" s="39">
        <v>1.24</v>
      </c>
      <c r="K52" s="40">
        <v>46210</v>
      </c>
      <c r="L52" s="23"/>
      <c r="M52" s="47">
        <f t="shared" si="1"/>
        <v>46223</v>
      </c>
      <c r="N52" s="23"/>
      <c r="O52" s="24"/>
    </row>
  </sheetData>
  <mergeCells count="2">
    <mergeCell ref="A1:I1"/>
    <mergeCell ref="K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FY26-27Q1_Result Behaviour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PC2551</cp:lastModifiedBy>
  <dcterms:created xsi:type="dcterms:W3CDTF">2026-07-31T04:21:02Z</dcterms:created>
  <dcterms:modified xsi:type="dcterms:W3CDTF">2026-07-31T08:07:11Z</dcterms:modified>
</cp:coreProperties>
</file>