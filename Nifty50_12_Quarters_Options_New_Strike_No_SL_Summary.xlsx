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ptions_New_Strike_No_SL_Su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6">
    <numFmt numFmtId="164" formatCode="0.0%"/>
    <numFmt numFmtId="165" formatCode="₹#,##0.00"/>
    <numFmt numFmtId="166" formatCode="+0.00%;-0.00%"/>
    <numFmt numFmtId="167" formatCode="-₹#,##0.00"/>
    <numFmt numFmtId="168" formatCode="-0.00%"/>
    <numFmt numFmtId="169" formatCode="+0.00%"/>
  </numFmts>
  <fonts count="11">
    <font>
      <name val="Calibri"/>
      <family val="2"/>
      <color theme="1"/>
      <sz val="11"/>
      <scheme val="minor"/>
    </font>
    <font>
      <name val="Segoe UI"/>
      <b val="1"/>
      <color rgb="00FFFFFF"/>
      <sz val="14"/>
    </font>
    <font>
      <name val="Segoe UI"/>
      <b val="1"/>
      <color rgb="00FFFFFF"/>
      <sz val="9"/>
    </font>
    <font>
      <name val="Segoe UI"/>
      <b val="1"/>
      <color rgb="00334155"/>
      <sz val="16"/>
    </font>
    <font>
      <name val="Segoe UI"/>
      <b val="1"/>
      <color rgb="0015803D"/>
      <sz val="16"/>
    </font>
    <font>
      <name val="Segoe UI"/>
      <b val="1"/>
      <color rgb="00FFFFFF"/>
      <sz val="11"/>
    </font>
    <font>
      <name val="Segoe UI"/>
      <b val="1"/>
      <color rgb="00FFFFFF"/>
      <sz val="10"/>
    </font>
    <font>
      <name val="Segoe UI"/>
      <b val="1"/>
      <color rgb="0015803D"/>
      <sz val="10"/>
    </font>
    <font>
      <name val="Segoe UI"/>
      <b val="1"/>
      <color rgb="00B91C1C"/>
      <sz val="10"/>
    </font>
    <font>
      <name val="Segoe UI"/>
      <b val="1"/>
      <color rgb="00B45309"/>
      <sz val="10"/>
    </font>
    <font>
      <name val="Segoe UI"/>
      <b val="1"/>
      <color rgb="00334155"/>
      <sz val="10"/>
    </font>
  </fonts>
  <fills count="11">
    <fill>
      <patternFill/>
    </fill>
    <fill>
      <patternFill patternType="gray125"/>
    </fill>
    <fill>
      <patternFill patternType="solid">
        <fgColor rgb="001E3A8A"/>
        <bgColor rgb="001E3A8A"/>
      </patternFill>
    </fill>
    <fill>
      <patternFill patternType="solid">
        <fgColor rgb="003B82F6"/>
        <bgColor rgb="003B82F6"/>
      </patternFill>
    </fill>
    <fill>
      <patternFill patternType="solid">
        <fgColor rgb="00F1F5F9"/>
        <bgColor rgb="00F1F5F9"/>
      </patternFill>
    </fill>
    <fill>
      <patternFill patternType="solid">
        <fgColor rgb="00DCFCE7"/>
        <bgColor rgb="00DCFCE7"/>
      </patternFill>
    </fill>
    <fill>
      <patternFill patternType="solid">
        <fgColor rgb="001E293B"/>
        <bgColor rgb="001E293B"/>
      </patternFill>
    </fill>
    <fill>
      <patternFill patternType="solid">
        <fgColor rgb="000F172A"/>
        <bgColor rgb="000F172A"/>
      </patternFill>
    </fill>
    <fill>
      <patternFill patternType="solid">
        <fgColor rgb="00FEE2E2"/>
        <bgColor rgb="00FEE2E2"/>
      </patternFill>
    </fill>
    <fill>
      <patternFill patternType="solid">
        <fgColor rgb="00FEF3C7"/>
        <bgColor rgb="00FEF3C7"/>
      </patternFill>
    </fill>
    <fill>
      <patternFill patternType="solid">
        <fgColor rgb="00F8FAFC"/>
        <bgColor rgb="00F8FAFC"/>
      </patternFill>
    </fill>
  </fills>
  <borders count="3">
    <border>
      <left/>
      <right/>
      <top/>
      <bottom/>
      <diagonal/>
    </border>
    <border>
      <left style="thin">
        <color rgb="00CBD5E0"/>
      </left>
      <right style="thin">
        <color rgb="00CBD5E0"/>
      </right>
      <top style="thin">
        <color rgb="00CBD5E0"/>
      </top>
      <bottom style="thin">
        <color rgb="00CBD5E0"/>
      </bottom>
    </border>
    <border>
      <left style="thin">
        <color rgb="00CBD5E0"/>
      </left>
      <right style="thin">
        <color rgb="00CBD5E0"/>
      </right>
      <top style="thin">
        <color rgb="001E293B"/>
      </top>
      <bottom style="double">
        <color rgb="001E293B"/>
      </bottom>
    </border>
  </borders>
  <cellStyleXfs count="1">
    <xf numFmtId="0" fontId="0" fillId="0" borderId="0"/>
  </cellStyleXfs>
  <cellXfs count="3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0" fillId="0" borderId="1" pivotButton="0" quotePrefix="0" xfId="0"/>
    <xf numFmtId="0" fontId="3" fillId="4" borderId="1" applyAlignment="1" pivotButton="0" quotePrefix="0" xfId="0">
      <alignment horizontal="center" vertical="center"/>
    </xf>
    <xf numFmtId="164" fontId="4" fillId="5" borderId="1" applyAlignment="1" pivotButton="0" quotePrefix="0" xfId="0">
      <alignment horizontal="center" vertical="center"/>
    </xf>
    <xf numFmtId="165" fontId="4" fillId="5" borderId="1" applyAlignment="1" pivotButton="0" quotePrefix="0" xfId="0">
      <alignment horizontal="center" vertical="center"/>
    </xf>
    <xf numFmtId="0" fontId="5" fillId="6" borderId="0" applyAlignment="1" pivotButton="0" quotePrefix="0" xfId="0">
      <alignment horizontal="left" vertical="center"/>
    </xf>
    <xf numFmtId="0" fontId="6" fillId="7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/>
    </xf>
    <xf numFmtId="165" fontId="0" fillId="0" borderId="1" pivotButton="0" quotePrefix="0" xfId="0"/>
    <xf numFmtId="165" fontId="7" fillId="5" borderId="1" pivotButton="0" quotePrefix="0" xfId="0"/>
    <xf numFmtId="166" fontId="0" fillId="0" borderId="1" pivotButton="0" quotePrefix="0" xfId="0"/>
    <xf numFmtId="167" fontId="8" fillId="8" borderId="1" pivotButton="0" quotePrefix="0" xfId="0"/>
    <xf numFmtId="168" fontId="8" fillId="8" borderId="1" applyAlignment="1" pivotButton="0" quotePrefix="0" xfId="0">
      <alignment horizontal="center"/>
    </xf>
    <xf numFmtId="10" fontId="9" fillId="9" borderId="1" applyAlignment="1" pivotButton="0" quotePrefix="0" xfId="0">
      <alignment horizontal="center"/>
    </xf>
    <xf numFmtId="0" fontId="0" fillId="10" borderId="1" applyAlignment="1" pivotButton="0" quotePrefix="0" xfId="0">
      <alignment horizontal="center"/>
    </xf>
    <xf numFmtId="165" fontId="0" fillId="10" borderId="1" pivotButton="0" quotePrefix="0" xfId="0"/>
    <xf numFmtId="166" fontId="0" fillId="10" borderId="1" pivotButton="0" quotePrefix="0" xfId="0"/>
    <xf numFmtId="10" fontId="7" fillId="5" borderId="1" applyAlignment="1" pivotButton="0" quotePrefix="0" xfId="0">
      <alignment horizontal="center"/>
    </xf>
    <xf numFmtId="10" fontId="8" fillId="8" borderId="1" applyAlignment="1" pivotButton="0" quotePrefix="0" xfId="0">
      <alignment horizontal="center"/>
    </xf>
    <xf numFmtId="165" fontId="8" fillId="8" borderId="1" pivotButton="0" quotePrefix="0" xfId="0"/>
    <xf numFmtId="0" fontId="10" fillId="0" borderId="1" pivotButton="0" quotePrefix="0" xfId="0"/>
    <xf numFmtId="0" fontId="10" fillId="0" borderId="2" pivotButton="0" quotePrefix="0" xfId="0"/>
    <xf numFmtId="165" fontId="0" fillId="0" borderId="2" pivotButton="0" quotePrefix="0" xfId="0"/>
    <xf numFmtId="0" fontId="0" fillId="0" borderId="2" applyAlignment="1" pivotButton="0" quotePrefix="0" xfId="0">
      <alignment horizontal="center"/>
    </xf>
    <xf numFmtId="165" fontId="7" fillId="5" borderId="2" pivotButton="0" quotePrefix="0" xfId="0"/>
    <xf numFmtId="169" fontId="0" fillId="0" borderId="2" pivotButton="0" quotePrefix="0" xfId="0"/>
    <xf numFmtId="167" fontId="8" fillId="8" borderId="2" pivotButton="0" quotePrefix="0" xfId="0"/>
    <xf numFmtId="168" fontId="8" fillId="8" borderId="2" applyAlignment="1" pivotButton="0" quotePrefix="0" xfId="0">
      <alignment horizontal="center"/>
    </xf>
    <xf numFmtId="10" fontId="7" fillId="5" borderId="2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Consolidated 12-Quarter Net Option Buying P&amp;L (New Strike Selection - No SL) (₹)</a:t>
            </a:r>
          </a:p>
        </rich>
      </tx>
    </title>
    <plotArea>
      <lineChart>
        <grouping val="standard"/>
        <ser>
          <idx val="0"/>
          <order val="0"/>
          <tx>
            <strRef>
              <f>'Options_New_Strike_No_SL_Sum'!D7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'Options_New_Strike_No_SL_Sum'!$A$8:$A$19</f>
            </numRef>
          </cat>
          <val>
            <numRef>
              <f>'Options_New_Strike_No_SL_Sum'!$D$8:$D$19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Quarter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Profit (₹)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10</col>
      <colOff>0</colOff>
      <row>2</row>
      <rowOff>0</rowOff>
    </from>
    <ext cx="5760000" cy="396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1"/>
  <sheetViews>
    <sheetView showGridLines="1" workbookViewId="0">
      <selection activeCell="A1" sqref="A1"/>
    </sheetView>
  </sheetViews>
  <sheetFormatPr baseColWidth="8" defaultRowHeight="15"/>
  <cols>
    <col width="99" customWidth="1" min="1" max="1"/>
    <col width="32" customWidth="1" min="2" max="2"/>
    <col width="28" customWidth="1" min="3" max="3"/>
    <col width="32" customWidth="1" min="4" max="4"/>
    <col width="31" customWidth="1" min="5" max="5"/>
    <col width="47" customWidth="1" min="6" max="6"/>
    <col width="28" customWidth="1" min="7" max="7"/>
    <col width="32" customWidth="1" min="8" max="8"/>
    <col width="18" customWidth="1" min="9" max="9"/>
  </cols>
  <sheetData>
    <row r="1" ht="40" customHeight="1">
      <c r="A1" s="1" t="inlineStr">
        <is>
          <t>NIFTY 50 OPTIONS STRATEGY — NEW STRIKE SELECTION MODEL (NO STOP-LOSS) SUMMARY DASHBOARD</t>
        </is>
      </c>
    </row>
    <row r="2"/>
    <row r="3" ht="20" customHeight="1">
      <c r="A3" s="2" t="inlineStr">
        <is>
          <t>TOTAL TRADES ANALYZED</t>
        </is>
      </c>
      <c r="B3" s="3" t="n"/>
      <c r="C3" s="2" t="inlineStr">
        <is>
          <t>GLOBAL WIN RATE</t>
        </is>
      </c>
      <c r="D3" s="3" t="n"/>
      <c r="E3" s="3" t="n"/>
      <c r="F3" s="2" t="inlineStr">
        <is>
          <t>TOTAL 12-QUARTER NET OPTION PROFIT (NO SL)</t>
        </is>
      </c>
      <c r="G3" s="3" t="n"/>
      <c r="H3" s="3" t="n"/>
      <c r="I3" s="3" t="n"/>
    </row>
    <row r="4" ht="28" customHeight="1">
      <c r="A4" s="4" t="n">
        <v>600</v>
      </c>
      <c r="B4" s="3" t="n"/>
      <c r="C4" s="5" t="n">
        <v>0.445</v>
      </c>
      <c r="D4" s="3" t="n"/>
      <c r="E4" s="3" t="n"/>
      <c r="F4" s="6" t="n">
        <v>3479228.4</v>
      </c>
      <c r="G4" s="3" t="n"/>
      <c r="H4" s="3" t="n"/>
      <c r="I4" s="3" t="n"/>
    </row>
    <row r="5"/>
    <row r="6" ht="24" customHeight="1">
      <c r="A6" s="7" t="inlineStr">
        <is>
          <t>CONSOLIDATED 12-QUARTER PERFORMANCE SCORECARD (CALL: 1 STRIKE ITM | PUT: 1 STRIKE OTM | NO SL)</t>
        </is>
      </c>
    </row>
    <row r="7" ht="26" customHeight="1">
      <c r="A7" s="8" t="inlineStr">
        <is>
          <t>Quarter</t>
        </is>
      </c>
      <c r="B7" s="8" t="inlineStr">
        <is>
          <t>Peak Concurrent Capital (₹)</t>
        </is>
      </c>
      <c r="C7" s="8" t="inlineStr">
        <is>
          <t>Peak Date (Open Trades)</t>
        </is>
      </c>
      <c r="D7" s="8" t="inlineStr">
        <is>
          <t>Net Option Realised P&amp;L (₹)</t>
        </is>
      </c>
      <c r="E7" s="8" t="inlineStr">
        <is>
          <t>Return on Peak Capital (%)</t>
        </is>
      </c>
      <c r="F7" s="8" t="inlineStr">
        <is>
          <t>Max Realised Drawdown (₹)</t>
        </is>
      </c>
      <c r="G7" s="8" t="inlineStr">
        <is>
          <t>DD % on Initial Capital</t>
        </is>
      </c>
      <c r="H7" s="8" t="inlineStr">
        <is>
          <t>True DD % on Peak Portfolio</t>
        </is>
      </c>
      <c r="I7" s="8" t="inlineStr">
        <is>
          <t>Win Rate (%)</t>
        </is>
      </c>
    </row>
    <row r="8" ht="21" customHeight="1">
      <c r="A8" s="9" t="inlineStr">
        <is>
          <t>Q3 2023-24</t>
        </is>
      </c>
      <c r="B8" s="10" t="n">
        <v>383273.94</v>
      </c>
      <c r="C8" s="9" t="inlineStr">
        <is>
          <t>2023-10-31 (24 Trades)</t>
        </is>
      </c>
      <c r="D8" s="11" t="n">
        <v>202019.31</v>
      </c>
      <c r="E8" s="12" t="n">
        <v>0.5270885622956781</v>
      </c>
      <c r="F8" s="13" t="n">
        <v>-79520.24000000001</v>
      </c>
      <c r="G8" s="14" t="n">
        <v>-0.2075</v>
      </c>
      <c r="H8" s="14" t="n">
        <v>-0.1196</v>
      </c>
      <c r="I8" s="15" t="n">
        <v>0.6</v>
      </c>
    </row>
    <row r="9" ht="21" customHeight="1">
      <c r="A9" s="16" t="inlineStr">
        <is>
          <t>Q4 2023-24</t>
        </is>
      </c>
      <c r="B9" s="17" t="n">
        <v>530856.42</v>
      </c>
      <c r="C9" s="16" t="inlineStr">
        <is>
          <t>2024-01-29 (27 Trades)</t>
        </is>
      </c>
      <c r="D9" s="11" t="n">
        <v>1170575.82</v>
      </c>
      <c r="E9" s="18" t="n">
        <v>2.205070478379069</v>
      </c>
      <c r="F9" s="13" t="n">
        <v>-56834.77</v>
      </c>
      <c r="G9" s="14" t="n">
        <v>-0.1071</v>
      </c>
      <c r="H9" s="14" t="n">
        <v>-0.0323</v>
      </c>
      <c r="I9" s="19" t="n">
        <v>0.76</v>
      </c>
    </row>
    <row r="10" ht="21" customHeight="1">
      <c r="A10" s="9" t="inlineStr">
        <is>
          <t>Q1 2024-25</t>
        </is>
      </c>
      <c r="B10" s="10" t="n">
        <v>297711.33</v>
      </c>
      <c r="C10" s="9" t="inlineStr">
        <is>
          <t>2024-04-25 (17 Trades)</t>
        </is>
      </c>
      <c r="D10" s="11" t="n">
        <v>68325.12</v>
      </c>
      <c r="E10" s="12" t="n">
        <v>0.2295012420252867</v>
      </c>
      <c r="F10" s="13" t="n">
        <v>-97093.74000000001</v>
      </c>
      <c r="G10" s="14" t="n">
        <v>-0.3261</v>
      </c>
      <c r="H10" s="14" t="n">
        <v>-0.2362</v>
      </c>
      <c r="I10" s="20" t="n">
        <v>0.38</v>
      </c>
    </row>
    <row r="11" ht="21" customHeight="1">
      <c r="A11" s="16" t="inlineStr">
        <is>
          <t>Q2 2024-25</t>
        </is>
      </c>
      <c r="B11" s="17" t="n">
        <v>382560.29</v>
      </c>
      <c r="C11" s="16" t="inlineStr">
        <is>
          <t>2024-07-30 (14 Trades)</t>
        </is>
      </c>
      <c r="D11" s="11" t="n">
        <v>220208.09</v>
      </c>
      <c r="E11" s="18" t="n">
        <v>0.5756166956063318</v>
      </c>
      <c r="F11" s="13" t="n">
        <v>-182040.07</v>
      </c>
      <c r="G11" s="14" t="n">
        <v>-0.4758</v>
      </c>
      <c r="H11" s="14" t="n">
        <v>-0.3976</v>
      </c>
      <c r="I11" s="20" t="n">
        <v>0.36</v>
      </c>
    </row>
    <row r="12" ht="21" customHeight="1">
      <c r="A12" s="9" t="inlineStr">
        <is>
          <t>Q3 2024-25</t>
        </is>
      </c>
      <c r="B12" s="10" t="n">
        <v>271397.18</v>
      </c>
      <c r="C12" s="9" t="inlineStr">
        <is>
          <t>2024-10-22 (15 Trades)</t>
        </is>
      </c>
      <c r="D12" s="11" t="n">
        <v>2367.93</v>
      </c>
      <c r="E12" s="12" t="n">
        <v>0.008724961696359555</v>
      </c>
      <c r="F12" s="13" t="n">
        <v>-111547.85</v>
      </c>
      <c r="G12" s="14" t="n">
        <v>-0.411</v>
      </c>
      <c r="H12" s="14" t="n">
        <v>-0.411</v>
      </c>
      <c r="I12" s="20" t="n">
        <v>0.34</v>
      </c>
    </row>
    <row r="13" ht="21" customHeight="1">
      <c r="A13" s="16" t="inlineStr">
        <is>
          <t>Q4 2024-25</t>
        </is>
      </c>
      <c r="B13" s="17" t="n">
        <v>254077.87</v>
      </c>
      <c r="C13" s="16" t="inlineStr">
        <is>
          <t>2025-01-23 (15 Trades)</t>
        </is>
      </c>
      <c r="D13" s="11" t="n">
        <v>199030.66</v>
      </c>
      <c r="E13" s="18" t="n">
        <v>0.7833451217140636</v>
      </c>
      <c r="F13" s="13" t="n">
        <v>-93887.44</v>
      </c>
      <c r="G13" s="14" t="n">
        <v>-0.3695</v>
      </c>
      <c r="H13" s="14" t="n">
        <v>-0.2257</v>
      </c>
      <c r="I13" s="20" t="n">
        <v>0.44</v>
      </c>
    </row>
    <row r="14" ht="21" customHeight="1">
      <c r="A14" s="9" t="inlineStr">
        <is>
          <t>Q1 2025-26</t>
        </is>
      </c>
      <c r="B14" s="10" t="n">
        <v>279858.6</v>
      </c>
      <c r="C14" s="9" t="inlineStr">
        <is>
          <t>2025-04-28 (14 Trades)</t>
        </is>
      </c>
      <c r="D14" s="11" t="n">
        <v>315539.82</v>
      </c>
      <c r="E14" s="12" t="n">
        <v>1.12749731471536</v>
      </c>
      <c r="F14" s="13" t="n">
        <v>-81569.03999999999</v>
      </c>
      <c r="G14" s="14" t="n">
        <v>-0.2915</v>
      </c>
      <c r="H14" s="14" t="n">
        <v>-0.2797</v>
      </c>
      <c r="I14" s="20" t="n">
        <v>0.42</v>
      </c>
    </row>
    <row r="15" ht="21" customHeight="1">
      <c r="A15" s="16" t="inlineStr">
        <is>
          <t>Q2 2025-26</t>
        </is>
      </c>
      <c r="B15" s="17" t="n">
        <v>363263.11</v>
      </c>
      <c r="C15" s="16" t="inlineStr">
        <is>
          <t>2025-07-28 (19 Trades)</t>
        </is>
      </c>
      <c r="D15" s="21" t="n">
        <v>-357800.71</v>
      </c>
      <c r="E15" s="18" t="n">
        <v>-0.9849629652732974</v>
      </c>
      <c r="F15" s="13" t="n">
        <v>-419157.06</v>
      </c>
      <c r="G15" s="14" t="n">
        <v>-1.1539</v>
      </c>
      <c r="H15" s="14" t="n">
        <v>-1.1377</v>
      </c>
      <c r="I15" s="20" t="n">
        <v>0.22</v>
      </c>
    </row>
    <row r="16" ht="21" customHeight="1">
      <c r="A16" s="9" t="inlineStr">
        <is>
          <t>Q3 2025-26</t>
        </is>
      </c>
      <c r="B16" s="10" t="n">
        <v>302790.4</v>
      </c>
      <c r="C16" s="9" t="inlineStr">
        <is>
          <t>2025-10-29 (12 Trades)</t>
        </is>
      </c>
      <c r="D16" s="11" t="n">
        <v>145148.34</v>
      </c>
      <c r="E16" s="12" t="n">
        <v>0.4793690288727779</v>
      </c>
      <c r="F16" s="13" t="n">
        <v>-124946.1</v>
      </c>
      <c r="G16" s="14" t="n">
        <v>-0.4126</v>
      </c>
      <c r="H16" s="14" t="n">
        <v>-0.3637</v>
      </c>
      <c r="I16" s="20" t="n">
        <v>0.38</v>
      </c>
    </row>
    <row r="17" ht="21" customHeight="1">
      <c r="A17" s="16" t="inlineStr">
        <is>
          <t>Q4 2025-26</t>
        </is>
      </c>
      <c r="B17" s="17" t="n">
        <v>362081</v>
      </c>
      <c r="C17" s="16" t="inlineStr">
        <is>
          <t>2026-02-03 (16 Trades)</t>
        </is>
      </c>
      <c r="D17" s="11" t="n">
        <v>645624.89</v>
      </c>
      <c r="E17" s="18" t="n">
        <v>1.783095191407448</v>
      </c>
      <c r="F17" s="13" t="n">
        <v>-61134.38</v>
      </c>
      <c r="G17" s="14" t="n">
        <v>-0.1688</v>
      </c>
      <c r="H17" s="14" t="n">
        <v>-0.0591</v>
      </c>
      <c r="I17" s="20" t="n">
        <v>0.48</v>
      </c>
    </row>
    <row r="18" ht="21" customHeight="1">
      <c r="A18" s="9" t="inlineStr">
        <is>
          <t>Q1 2026-27</t>
        </is>
      </c>
      <c r="B18" s="10" t="n">
        <v>233967.8</v>
      </c>
      <c r="C18" s="9" t="inlineStr">
        <is>
          <t>2026-05-21 (8 Trades)</t>
        </is>
      </c>
      <c r="D18" s="11" t="n">
        <v>92050.72</v>
      </c>
      <c r="E18" s="12" t="n">
        <v>0.3934332844092222</v>
      </c>
      <c r="F18" s="13" t="n">
        <v>-159427.16</v>
      </c>
      <c r="G18" s="14" t="n">
        <v>-0.6814</v>
      </c>
      <c r="H18" s="14" t="n">
        <v>-0.581</v>
      </c>
      <c r="I18" s="20" t="n">
        <v>0.32</v>
      </c>
    </row>
    <row r="19" ht="21" customHeight="1">
      <c r="A19" s="16" t="inlineStr">
        <is>
          <t>Q2 2026-27</t>
        </is>
      </c>
      <c r="B19" s="17" t="n">
        <v>650046.35</v>
      </c>
      <c r="C19" s="16" t="inlineStr">
        <is>
          <t>2026-07-27 (28 Trades)</t>
        </is>
      </c>
      <c r="D19" s="11" t="n">
        <v>776138.41</v>
      </c>
      <c r="E19" s="18" t="n">
        <v>1.193973952780444</v>
      </c>
      <c r="F19" s="13" t="n">
        <v>-43937.8</v>
      </c>
      <c r="G19" s="14" t="n">
        <v>-0.06759999999999999</v>
      </c>
      <c r="H19" s="14" t="n">
        <v>-0.032</v>
      </c>
      <c r="I19" s="15" t="n">
        <v>0.64</v>
      </c>
    </row>
    <row r="20" ht="24" customHeight="1">
      <c r="A20" s="22" t="inlineStr">
        <is>
          <t>12-QUARTER TOTAL</t>
        </is>
      </c>
      <c r="B20" s="9" t="inlineStr">
        <is>
          <t>—</t>
        </is>
      </c>
      <c r="C20" s="9" t="inlineStr">
        <is>
          <t>—</t>
        </is>
      </c>
      <c r="D20" s="11" t="n">
        <v>3479228.4</v>
      </c>
      <c r="E20" s="9" t="inlineStr">
        <is>
          <t>—</t>
        </is>
      </c>
      <c r="F20" s="13" t="n">
        <v>-419157.06</v>
      </c>
      <c r="G20" s="14" t="n">
        <v>-1.1539</v>
      </c>
      <c r="H20" s="14" t="n">
        <v>-1.1377</v>
      </c>
      <c r="I20" s="19" t="n">
        <v>0.445</v>
      </c>
    </row>
    <row r="21" ht="24" customHeight="1">
      <c r="A21" s="23" t="inlineStr">
        <is>
          <t>QUARTERLY AVERAGE</t>
        </is>
      </c>
      <c r="B21" s="24" t="n">
        <v>359323.6908333334</v>
      </c>
      <c r="C21" s="25" t="inlineStr">
        <is>
          <t>Avg ~17 Trades</t>
        </is>
      </c>
      <c r="D21" s="26" t="n">
        <v>289935.7</v>
      </c>
      <c r="E21" s="27" t="n">
        <v>0.693479405719062</v>
      </c>
      <c r="F21" s="28" t="n">
        <v>-125924.6375</v>
      </c>
      <c r="G21" s="29" t="n">
        <v>-0.3894</v>
      </c>
      <c r="H21" s="29" t="n">
        <v>-0.3229666666666667</v>
      </c>
      <c r="I21" s="30" t="n">
        <v>0.445</v>
      </c>
    </row>
  </sheetData>
  <mergeCells count="8">
    <mergeCell ref="A4:B4"/>
    <mergeCell ref="F3:I3"/>
    <mergeCell ref="F4:I4"/>
    <mergeCell ref="A1:I1"/>
    <mergeCell ref="C4:E4"/>
    <mergeCell ref="C3:E3"/>
    <mergeCell ref="A6:I6"/>
    <mergeCell ref="A3:B3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2026-08-27T08:49:52Z</dcterms:created>
  <dcterms:modified xmlns:dcterms="http://purl.org/dc/terms/" xmlns:xsi="http://www.w3.org/2001/XMLSchema-instance" xsi:type="dcterms:W3CDTF">2026-08-27T08:49:52Z</dcterms:modified>
</cp:coreProperties>
</file>