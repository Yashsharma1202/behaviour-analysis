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4" borderId="0" applyAlignment="1" pivotButton="0" quotePrefix="0" xfId="0">
      <alignment horizontal="center"/>
    </xf>
    <xf numFmtId="164" fontId="0" fillId="0" borderId="1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5" customHeight="1">
      <c r="A1" s="1" t="inlineStr">
        <is>
          <t>NIFTY 211 STOCKS - Q2 2026-27 FUTURES PERFORMANCE SUMMARY</t>
        </is>
      </c>
    </row>
    <row r="2"/>
    <row r="3" ht="24" customHeight="1">
      <c r="A3" s="2" t="inlineStr">
        <is>
          <t>TOTAL NET REALISED P&amp;L
₹-3,316,308.03</t>
        </is>
      </c>
      <c r="C3" s="2" t="inlineStr">
        <is>
          <t>GLOBAL WIN RATE
41.23%</t>
        </is>
      </c>
      <c r="E3" s="2" t="inlineStr">
        <is>
          <t>COMBINED TURNOVER
₹408,570,936.96</t>
        </is>
      </c>
      <c r="G3" s="2" t="inlineStr">
        <is>
          <t>TRANSACTION COSTS (0.05%)
₹204,285.41</t>
        </is>
      </c>
    </row>
    <row r="4" ht="24" customHeight="1"/>
    <row r="5"/>
    <row r="6"/>
    <row r="7">
      <c r="A7" s="3" t="inlineStr">
        <is>
          <t>PORTFOLIO PERFORMANCE METRIC</t>
        </is>
      </c>
      <c r="B7" s="3" t="inlineStr">
        <is>
          <t>VALUE</t>
        </is>
      </c>
      <c r="D7" s="3" t="inlineStr">
        <is>
          <t>TOP HIGH WIN-RATE STOCKS (WIN RATE &gt;= 70%)</t>
        </is>
      </c>
    </row>
    <row r="8">
      <c r="A8" s="4" t="inlineStr">
        <is>
          <t>Total Portfolio Trades Analyzed</t>
        </is>
      </c>
      <c r="B8" s="5" t="n">
        <v>211</v>
      </c>
      <c r="D8" s="6" t="inlineStr">
        <is>
          <t>Stock Symbol</t>
        </is>
      </c>
      <c r="E8" s="6" t="inlineStr">
        <is>
          <t>Window</t>
        </is>
      </c>
      <c r="F8" s="6" t="inlineStr">
        <is>
          <t>Historical Win Rate %</t>
        </is>
      </c>
      <c r="G8" s="6" t="inlineStr">
        <is>
          <t>Net Realised P&amp;L (₹)</t>
        </is>
      </c>
      <c r="H8" s="6" t="inlineStr">
        <is>
          <t>Return on Margin %</t>
        </is>
      </c>
    </row>
    <row r="9">
      <c r="A9" s="4" t="inlineStr">
        <is>
          <t>Winning Trades (Net P&amp;L &gt; 0)</t>
        </is>
      </c>
      <c r="B9" s="5" t="n">
        <v>87</v>
      </c>
      <c r="D9" s="4" t="inlineStr">
        <is>
          <t>ASHOKLEY</t>
        </is>
      </c>
      <c r="E9" s="4" t="inlineStr">
        <is>
          <t>T-8 to T+1</t>
        </is>
      </c>
      <c r="F9" s="5" t="inlineStr">
        <is>
          <t>80.0%</t>
        </is>
      </c>
      <c r="G9" s="7" t="n">
        <v>25210.32</v>
      </c>
      <c r="H9" s="5" t="inlineStr">
        <is>
          <t>25.46%</t>
        </is>
      </c>
    </row>
    <row r="10">
      <c r="A10" s="4" t="inlineStr">
        <is>
          <t>Losing Trades (Net P&amp;L &lt;= 0)</t>
        </is>
      </c>
      <c r="B10" s="5" t="n">
        <v>124</v>
      </c>
      <c r="D10" s="4" t="inlineStr">
        <is>
          <t>BEL</t>
        </is>
      </c>
      <c r="E10" s="4" t="inlineStr">
        <is>
          <t>T-8 to T+1</t>
        </is>
      </c>
      <c r="F10" s="5" t="inlineStr">
        <is>
          <t>80.0%</t>
        </is>
      </c>
      <c r="G10" s="7" t="n">
        <v>9028.790000000001</v>
      </c>
      <c r="H10" s="5" t="inlineStr">
        <is>
          <t>4.52%</t>
        </is>
      </c>
    </row>
    <row r="11">
      <c r="A11" s="4" t="inlineStr">
        <is>
          <t>Global Win Rate (%)</t>
        </is>
      </c>
      <c r="B11" s="5" t="inlineStr">
        <is>
          <t>41.23%</t>
        </is>
      </c>
      <c r="D11" s="4" t="inlineStr">
        <is>
          <t>INDIGO</t>
        </is>
      </c>
      <c r="E11" s="4" t="inlineStr">
        <is>
          <t>T-8 to T+1</t>
        </is>
      </c>
      <c r="F11" s="5" t="inlineStr">
        <is>
          <t>80.0%</t>
        </is>
      </c>
      <c r="G11" s="7" t="n">
        <v>44091.59</v>
      </c>
      <c r="H11" s="5" t="inlineStr">
        <is>
          <t>22.11%</t>
        </is>
      </c>
    </row>
    <row r="12">
      <c r="A12" s="4" t="inlineStr">
        <is>
          <t>Profit Factor (Gross Profit / Gross Loss)</t>
        </is>
      </c>
      <c r="B12" s="5" t="n">
        <v>0.58</v>
      </c>
      <c r="D12" s="4" t="inlineStr">
        <is>
          <t>DIVISLAB</t>
        </is>
      </c>
      <c r="E12" s="4" t="inlineStr">
        <is>
          <t>T-8 to T+1</t>
        </is>
      </c>
      <c r="F12" s="5" t="inlineStr">
        <is>
          <t>80.0%</t>
        </is>
      </c>
      <c r="G12" s="7" t="n">
        <v>47452.59</v>
      </c>
      <c r="H12" s="5" t="inlineStr">
        <is>
          <t>20.45%</t>
        </is>
      </c>
    </row>
    <row r="13">
      <c r="A13" s="4" t="inlineStr">
        <is>
          <t>Average Profit per Winning Trade (₹)</t>
        </is>
      </c>
      <c r="B13" s="5" t="inlineStr">
        <is>
          <t>₹52,934.79</t>
        </is>
      </c>
      <c r="D13" s="4" t="inlineStr">
        <is>
          <t>CONCOR</t>
        </is>
      </c>
      <c r="E13" s="4" t="inlineStr">
        <is>
          <t>T-8 to T+1</t>
        </is>
      </c>
      <c r="F13" s="5" t="inlineStr">
        <is>
          <t>80.0%</t>
        </is>
      </c>
      <c r="G13" s="7" t="n">
        <v>-933.8200000000001</v>
      </c>
      <c r="H13" s="5" t="inlineStr">
        <is>
          <t>-0.47%</t>
        </is>
      </c>
    </row>
    <row r="14">
      <c r="A14" s="4" t="inlineStr">
        <is>
          <t>Average Loss per Losing Trade (₹)</t>
        </is>
      </c>
      <c r="B14" s="5" t="inlineStr">
        <is>
          <t>₹-63,884.15</t>
        </is>
      </c>
      <c r="D14" s="4" t="inlineStr">
        <is>
          <t>HYUNDAI</t>
        </is>
      </c>
      <c r="E14" s="4" t="inlineStr">
        <is>
          <t>T-8 to T+1</t>
        </is>
      </c>
      <c r="F14" s="5" t="inlineStr">
        <is>
          <t>80.0%</t>
        </is>
      </c>
      <c r="G14" s="7" t="n">
        <v>-93078.49000000001</v>
      </c>
      <c r="H14" s="5" t="inlineStr">
        <is>
          <t>-46.59%</t>
        </is>
      </c>
    </row>
    <row r="15">
      <c r="A15" s="4" t="inlineStr">
        <is>
          <t>Average Booked Return on Margin (%)</t>
        </is>
      </c>
      <c r="B15" s="5" t="inlineStr">
        <is>
          <t>-7.06%</t>
        </is>
      </c>
      <c r="D15" s="4" t="inlineStr">
        <is>
          <t>CIPLA</t>
        </is>
      </c>
      <c r="E15" s="4" t="inlineStr">
        <is>
          <t>T-8 to T+1</t>
        </is>
      </c>
      <c r="F15" s="5" t="inlineStr">
        <is>
          <t>80.0%</t>
        </is>
      </c>
      <c r="G15" s="7" t="n">
        <v>20699.52</v>
      </c>
      <c r="H15" s="5" t="inlineStr">
        <is>
          <t>11.24%</t>
        </is>
      </c>
    </row>
    <row r="16">
      <c r="A16" s="4" t="inlineStr">
        <is>
          <t>Peak Margin Required per Trade (₹)</t>
        </is>
      </c>
      <c r="B16" s="5" t="inlineStr">
        <is>
          <t>₹926,432.00</t>
        </is>
      </c>
      <c r="D16" s="4" t="inlineStr">
        <is>
          <t>OIL</t>
        </is>
      </c>
      <c r="E16" s="4" t="inlineStr">
        <is>
          <t>T-8 to T+1</t>
        </is>
      </c>
      <c r="F16" s="5" t="inlineStr">
        <is>
          <t>80.0%</t>
        </is>
      </c>
      <c r="G16" s="7" t="n">
        <v>-6640.35</v>
      </c>
      <c r="H16" s="5" t="inlineStr">
        <is>
          <t>-3.32%</t>
        </is>
      </c>
    </row>
    <row r="17">
      <c r="A17" s="4" t="inlineStr">
        <is>
          <t>Total Transaction Costs Paid (0.05% ₹)</t>
        </is>
      </c>
      <c r="B17" s="5" t="inlineStr">
        <is>
          <t>₹204,285.41</t>
        </is>
      </c>
      <c r="D17" s="4" t="inlineStr">
        <is>
          <t>NMDC</t>
        </is>
      </c>
      <c r="E17" s="4" t="inlineStr">
        <is>
          <t>T-8 to T+1</t>
        </is>
      </c>
      <c r="F17" s="5" t="inlineStr">
        <is>
          <t>80.0%</t>
        </is>
      </c>
      <c r="G17" s="7" t="n">
        <v>42332.41</v>
      </c>
      <c r="H17" s="5" t="inlineStr">
        <is>
          <t>21.17%</t>
        </is>
      </c>
    </row>
    <row r="18">
      <c r="A18" s="4" t="inlineStr">
        <is>
          <t>Maximum Portfolio Drawdown (₹)</t>
        </is>
      </c>
      <c r="B18" s="5" t="inlineStr">
        <is>
          <t>₹-3,982,625.54</t>
        </is>
      </c>
      <c r="D18" s="4" t="inlineStr">
        <is>
          <t>NESTLEIND</t>
        </is>
      </c>
      <c r="E18" s="4" t="inlineStr">
        <is>
          <t>T-8 to T+1</t>
        </is>
      </c>
      <c r="F18" s="5" t="inlineStr">
        <is>
          <t>80.0%</t>
        </is>
      </c>
      <c r="G18" s="7" t="n">
        <v>10483.85</v>
      </c>
      <c r="H18" s="5" t="inlineStr">
        <is>
          <t>24.24%</t>
        </is>
      </c>
    </row>
    <row r="19">
      <c r="D19" s="4" t="inlineStr">
        <is>
          <t>MAXHEALTH</t>
        </is>
      </c>
      <c r="E19" s="4" t="inlineStr">
        <is>
          <t>T-8 to T+1</t>
        </is>
      </c>
      <c r="F19" s="5" t="inlineStr">
        <is>
          <t>80.0%</t>
        </is>
      </c>
      <c r="G19" s="7" t="n">
        <v>-4422.11</v>
      </c>
      <c r="H19" s="5" t="inlineStr">
        <is>
          <t>-2.21%</t>
        </is>
      </c>
    </row>
    <row r="20">
      <c r="D20" s="4" t="inlineStr">
        <is>
          <t>MPHASIS</t>
        </is>
      </c>
      <c r="E20" s="4" t="inlineStr">
        <is>
          <t>T-8 to T+1</t>
        </is>
      </c>
      <c r="F20" s="5" t="inlineStr">
        <is>
          <t>80.0%</t>
        </is>
      </c>
      <c r="G20" s="7" t="n">
        <v>55284.4</v>
      </c>
      <c r="H20" s="5" t="inlineStr">
        <is>
          <t>27.69%</t>
        </is>
      </c>
    </row>
  </sheetData>
  <mergeCells count="6">
    <mergeCell ref="E3:F4"/>
    <mergeCell ref="D7:H7"/>
    <mergeCell ref="A1:H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5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13" customWidth="1" min="3" max="3"/>
    <col width="14" customWidth="1" min="4" max="4"/>
    <col width="25" customWidth="1" min="5" max="5"/>
    <col width="24" customWidth="1" min="6" max="6"/>
    <col width="13" customWidth="1" min="7" max="7"/>
    <col width="13" customWidth="1" min="8" max="8"/>
    <col width="14" customWidth="1" min="9" max="9"/>
    <col width="12" customWidth="1" min="10" max="10"/>
    <col width="21" customWidth="1" min="11" max="11"/>
    <col width="21" customWidth="1" min="12" max="12"/>
    <col width="19" customWidth="1" min="13" max="13"/>
    <col width="20" customWidth="1" min="14" max="14"/>
    <col width="24" customWidth="1" min="15" max="15"/>
    <col width="27" customWidth="1" min="16" max="16"/>
    <col width="16" customWidth="1" min="17" max="17"/>
    <col width="23" customWidth="1" min="18" max="18"/>
    <col width="29" customWidth="1" min="19" max="19"/>
    <col width="26" customWidth="1" min="20" max="20"/>
    <col width="29" customWidth="1" min="21" max="21"/>
    <col width="21" customWidth="1" min="22" max="22"/>
    <col width="19" customWidth="1" min="23" max="23"/>
    <col width="15" customWidth="1" min="24" max="24"/>
  </cols>
  <sheetData>
    <row r="1" ht="35" customHeight="1">
      <c r="A1" s="1" t="inlineStr">
        <is>
          <t>NIFTY 211 STOCKS - RECENT QUARTER (Q2 2026-27) FUTURES MASTER</t>
        </is>
      </c>
    </row>
    <row r="2"/>
    <row r="3" ht="28" customHeight="1">
      <c r="A3" s="8" t="inlineStr">
        <is>
          <t>Sr. No.</t>
        </is>
      </c>
      <c r="B3" s="8" t="inlineStr">
        <is>
          <t>Stock Symbol</t>
        </is>
      </c>
      <c r="C3" s="8" t="inlineStr">
        <is>
          <t>Quarter</t>
        </is>
      </c>
      <c r="D3" s="8" t="inlineStr">
        <is>
          <t>Strategy</t>
        </is>
      </c>
      <c r="E3" s="8" t="inlineStr">
        <is>
          <t>Position Taking Window</t>
        </is>
      </c>
      <c r="F3" s="8" t="inlineStr">
        <is>
          <t>Historical Win Rate %</t>
        </is>
      </c>
      <c r="G3" s="8" t="inlineStr">
        <is>
          <t>Entry Date</t>
        </is>
      </c>
      <c r="H3" s="8" t="inlineStr">
        <is>
          <t>Exit Date</t>
        </is>
      </c>
      <c r="I3" s="8" t="inlineStr">
        <is>
          <t>Result Date</t>
        </is>
      </c>
      <c r="J3" s="8" t="inlineStr">
        <is>
          <t>Lot Size</t>
        </is>
      </c>
      <c r="K3" s="8" t="inlineStr">
        <is>
          <t>Buy Price (₹)</t>
        </is>
      </c>
      <c r="L3" s="8" t="inlineStr">
        <is>
          <t>Sell Price (₹)</t>
        </is>
      </c>
      <c r="M3" s="8" t="inlineStr">
        <is>
          <t>Turnover Buy (₹)</t>
        </is>
      </c>
      <c r="N3" s="8" t="inlineStr">
        <is>
          <t>Turnover Sell (₹)</t>
        </is>
      </c>
      <c r="O3" s="8" t="inlineStr">
        <is>
          <t>Combined Turnover (₹)</t>
        </is>
      </c>
      <c r="P3" s="8" t="inlineStr">
        <is>
          <t>Transaction Cost (0.05%)</t>
        </is>
      </c>
      <c r="Q3" s="8" t="inlineStr">
        <is>
          <t>Gross P&amp;L (₹)</t>
        </is>
      </c>
      <c r="R3" s="8" t="inlineStr">
        <is>
          <t>Net Realised P&amp;L (₹)</t>
        </is>
      </c>
      <c r="S3" s="8" t="inlineStr">
        <is>
          <t>P&amp;L %</t>
        </is>
      </c>
      <c r="T3" s="8" t="inlineStr">
        <is>
          <t>Margin Required (20% ₹)</t>
        </is>
      </c>
      <c r="U3" s="8" t="inlineStr">
        <is>
          <t>Booked Return on Margin %</t>
        </is>
      </c>
      <c r="V3" s="8" t="inlineStr">
        <is>
          <t>Cumulative P&amp;L (₹)</t>
        </is>
      </c>
      <c r="W3" s="8" t="inlineStr">
        <is>
          <t>Peak Equity (₹)</t>
        </is>
      </c>
      <c r="X3" s="8" t="inlineStr">
        <is>
          <t>Drawdown (₹)</t>
        </is>
      </c>
    </row>
    <row r="4">
      <c r="A4" s="9" t="n">
        <v>1</v>
      </c>
      <c r="B4" s="10" t="inlineStr">
        <is>
          <t>360ONE</t>
        </is>
      </c>
      <c r="C4" s="9" t="inlineStr">
        <is>
          <t>Q2 2026-27</t>
        </is>
      </c>
      <c r="D4" s="9" t="inlineStr">
        <is>
          <t>FUTURE LONG</t>
        </is>
      </c>
      <c r="E4" s="9" t="inlineStr">
        <is>
          <t>T-8 to T+1</t>
        </is>
      </c>
      <c r="F4" s="9" t="inlineStr">
        <is>
          <t>75.0%</t>
        </is>
      </c>
      <c r="G4" s="9" t="inlineStr">
        <is>
          <t>2026-07-20</t>
        </is>
      </c>
      <c r="H4" s="9" t="inlineStr">
        <is>
          <t>2026-07-30</t>
        </is>
      </c>
      <c r="I4" s="9" t="inlineStr">
        <is>
          <t>2026-08-11</t>
        </is>
      </c>
      <c r="J4" s="5" t="n">
        <v>887</v>
      </c>
      <c r="K4" s="11" t="n">
        <v>1126.5</v>
      </c>
      <c r="L4" s="11" t="n">
        <v>1142.900024414062</v>
      </c>
      <c r="M4" s="12">
        <f>J4*K4</f>
        <v/>
      </c>
      <c r="N4" s="12">
        <f>J4*L4</f>
        <v/>
      </c>
      <c r="O4" s="12">
        <f>M4+N4</f>
        <v/>
      </c>
      <c r="P4" s="12">
        <f>ROUND(O4*0.0005, 2)</f>
        <v/>
      </c>
      <c r="Q4" s="12">
        <f>N4-M4</f>
        <v/>
      </c>
      <c r="R4" s="12">
        <f>Q4-P4</f>
        <v/>
      </c>
      <c r="S4" s="13">
        <f>ROUND((R4/M4)*100, 2)</f>
        <v/>
      </c>
      <c r="T4" s="12">
        <f>ROUND(0.20*M4, 2)</f>
        <v/>
      </c>
      <c r="U4" s="13">
        <f>ROUND((R4/T4)*100, 2)</f>
        <v/>
      </c>
      <c r="V4" s="12">
        <f>R4</f>
        <v/>
      </c>
      <c r="W4" s="12">
        <f>MAX(0, V4)</f>
        <v/>
      </c>
      <c r="X4" s="12">
        <f>V4-W4</f>
        <v/>
      </c>
    </row>
    <row r="5">
      <c r="A5" s="9" t="n">
        <v>2</v>
      </c>
      <c r="B5" s="10" t="inlineStr">
        <is>
          <t>ABB</t>
        </is>
      </c>
      <c r="C5" s="9" t="inlineStr">
        <is>
          <t>Q2 2026-27</t>
        </is>
      </c>
      <c r="D5" s="9" t="inlineStr">
        <is>
          <t>FUTURE LONG</t>
        </is>
      </c>
      <c r="E5" s="9" t="inlineStr">
        <is>
          <t>T-8 to T+1</t>
        </is>
      </c>
      <c r="F5" s="9" t="inlineStr">
        <is>
          <t>70.0%</t>
        </is>
      </c>
      <c r="G5" s="9" t="inlineStr">
        <is>
          <t>2026-07-20</t>
        </is>
      </c>
      <c r="H5" s="9" t="inlineStr">
        <is>
          <t>2026-07-30</t>
        </is>
      </c>
      <c r="I5" s="9" t="inlineStr">
        <is>
          <t>2026-07-31</t>
        </is>
      </c>
      <c r="J5" s="5" t="n">
        <v>133</v>
      </c>
      <c r="K5" s="11" t="n">
        <v>7517</v>
      </c>
      <c r="L5" s="11" t="n">
        <v>7291.5</v>
      </c>
      <c r="M5" s="12">
        <f>J5*K5</f>
        <v/>
      </c>
      <c r="N5" s="12">
        <f>J5*L5</f>
        <v/>
      </c>
      <c r="O5" s="12">
        <f>M5+N5</f>
        <v/>
      </c>
      <c r="P5" s="12">
        <f>ROUND(O5*0.0005, 2)</f>
        <v/>
      </c>
      <c r="Q5" s="12">
        <f>N5-M5</f>
        <v/>
      </c>
      <c r="R5" s="12">
        <f>Q5-P5</f>
        <v/>
      </c>
      <c r="S5" s="13">
        <f>ROUND((R5/M5)*100, 2)</f>
        <v/>
      </c>
      <c r="T5" s="12">
        <f>ROUND(0.20*M5, 2)</f>
        <v/>
      </c>
      <c r="U5" s="13">
        <f>ROUND((R5/T5)*100, 2)</f>
        <v/>
      </c>
      <c r="V5" s="12">
        <f>V4+R5</f>
        <v/>
      </c>
      <c r="W5" s="12">
        <f>MAX(W4, V5)</f>
        <v/>
      </c>
      <c r="X5" s="12">
        <f>V5-W5</f>
        <v/>
      </c>
    </row>
    <row r="6">
      <c r="A6" s="9" t="n">
        <v>3</v>
      </c>
      <c r="B6" s="10" t="inlineStr">
        <is>
          <t>ABCAPITAL</t>
        </is>
      </c>
      <c r="C6" s="9" t="inlineStr">
        <is>
          <t>Q2 2026-27</t>
        </is>
      </c>
      <c r="D6" s="9" t="inlineStr">
        <is>
          <t>FUTURE LONG</t>
        </is>
      </c>
      <c r="E6" s="9" t="inlineStr">
        <is>
          <t>T-8 to T+1</t>
        </is>
      </c>
      <c r="F6" s="9" t="inlineStr">
        <is>
          <t>75.0%</t>
        </is>
      </c>
      <c r="G6" s="9" t="inlineStr">
        <is>
          <t>2026-07-20</t>
        </is>
      </c>
      <c r="H6" s="9" t="inlineStr">
        <is>
          <t>2026-07-30</t>
        </is>
      </c>
      <c r="I6" s="9" t="inlineStr">
        <is>
          <t>2026-08-14</t>
        </is>
      </c>
      <c r="J6" s="5" t="n">
        <v>2492</v>
      </c>
      <c r="K6" s="11" t="n">
        <v>401.1499938964844</v>
      </c>
      <c r="L6" s="11" t="n">
        <v>394.0499877929688</v>
      </c>
      <c r="M6" s="12">
        <f>J6*K6</f>
        <v/>
      </c>
      <c r="N6" s="12">
        <f>J6*L6</f>
        <v/>
      </c>
      <c r="O6" s="12">
        <f>M6+N6</f>
        <v/>
      </c>
      <c r="P6" s="12">
        <f>ROUND(O6*0.0005, 2)</f>
        <v/>
      </c>
      <c r="Q6" s="12">
        <f>N6-M6</f>
        <v/>
      </c>
      <c r="R6" s="12">
        <f>Q6-P6</f>
        <v/>
      </c>
      <c r="S6" s="13">
        <f>ROUND((R6/M6)*100, 2)</f>
        <v/>
      </c>
      <c r="T6" s="12">
        <f>ROUND(0.20*M6, 2)</f>
        <v/>
      </c>
      <c r="U6" s="13">
        <f>ROUND((R6/T6)*100, 2)</f>
        <v/>
      </c>
      <c r="V6" s="12">
        <f>V5+R6</f>
        <v/>
      </c>
      <c r="W6" s="12">
        <f>MAX(W5, V6)</f>
        <v/>
      </c>
      <c r="X6" s="12">
        <f>V6-W6</f>
        <v/>
      </c>
    </row>
    <row r="7">
      <c r="A7" s="9" t="n">
        <v>4</v>
      </c>
      <c r="B7" s="10" t="inlineStr">
        <is>
          <t>ADANIENSOL</t>
        </is>
      </c>
      <c r="C7" s="9" t="inlineStr">
        <is>
          <t>Q2 2026-27</t>
        </is>
      </c>
      <c r="D7" s="9" t="inlineStr">
        <is>
          <t>FUTURE LONG</t>
        </is>
      </c>
      <c r="E7" s="9" t="inlineStr">
        <is>
          <t>T-8 to T+1</t>
        </is>
      </c>
      <c r="F7" s="9" t="inlineStr">
        <is>
          <t>75.0%</t>
        </is>
      </c>
      <c r="G7" s="9" t="inlineStr">
        <is>
          <t>2026-07-17</t>
        </is>
      </c>
      <c r="H7" s="9" t="inlineStr">
        <is>
          <t>2026-07-30</t>
        </is>
      </c>
      <c r="I7" s="9" t="inlineStr">
        <is>
          <t>2026-07-28</t>
        </is>
      </c>
      <c r="J7" s="5" t="n">
        <v>580</v>
      </c>
      <c r="K7" s="11" t="n">
        <v>1722.599975585938</v>
      </c>
      <c r="L7" s="11" t="n">
        <v>1659</v>
      </c>
      <c r="M7" s="12">
        <f>J7*K7</f>
        <v/>
      </c>
      <c r="N7" s="12">
        <f>J7*L7</f>
        <v/>
      </c>
      <c r="O7" s="12">
        <f>M7+N7</f>
        <v/>
      </c>
      <c r="P7" s="12">
        <f>ROUND(O7*0.0005, 2)</f>
        <v/>
      </c>
      <c r="Q7" s="12">
        <f>N7-M7</f>
        <v/>
      </c>
      <c r="R7" s="12">
        <f>Q7-P7</f>
        <v/>
      </c>
      <c r="S7" s="13">
        <f>ROUND((R7/M7)*100, 2)</f>
        <v/>
      </c>
      <c r="T7" s="12">
        <f>ROUND(0.20*M7, 2)</f>
        <v/>
      </c>
      <c r="U7" s="13">
        <f>ROUND((R7/T7)*100, 2)</f>
        <v/>
      </c>
      <c r="V7" s="12">
        <f>V6+R7</f>
        <v/>
      </c>
      <c r="W7" s="12">
        <f>MAX(W6, V7)</f>
        <v/>
      </c>
      <c r="X7" s="12">
        <f>V7-W7</f>
        <v/>
      </c>
    </row>
    <row r="8">
      <c r="A8" s="9" t="n">
        <v>5</v>
      </c>
      <c r="B8" s="10" t="inlineStr">
        <is>
          <t>ADANIENT</t>
        </is>
      </c>
      <c r="C8" s="9" t="inlineStr">
        <is>
          <t>Q2 2026-27</t>
        </is>
      </c>
      <c r="D8" s="9" t="inlineStr">
        <is>
          <t>FUTURE LONG</t>
        </is>
      </c>
      <c r="E8" s="9" t="inlineStr">
        <is>
          <t>T-8 to T+1</t>
        </is>
      </c>
      <c r="F8" s="9" t="inlineStr">
        <is>
          <t>70.0%</t>
        </is>
      </c>
      <c r="G8" s="9" t="inlineStr">
        <is>
          <t>2025-01-22</t>
        </is>
      </c>
      <c r="H8" s="9" t="inlineStr">
        <is>
          <t>2025-02-03</t>
        </is>
      </c>
      <c r="I8" s="9" t="inlineStr">
        <is>
          <t>2025-01-31</t>
        </is>
      </c>
      <c r="J8" s="5" t="n">
        <v>300</v>
      </c>
      <c r="K8" s="11" t="n">
        <v>2374.31103515625</v>
      </c>
      <c r="L8" s="11" t="n">
        <v>2259.718994140625</v>
      </c>
      <c r="M8" s="12">
        <f>J8*K8</f>
        <v/>
      </c>
      <c r="N8" s="12">
        <f>J8*L8</f>
        <v/>
      </c>
      <c r="O8" s="12">
        <f>M8+N8</f>
        <v/>
      </c>
      <c r="P8" s="12">
        <f>ROUND(O8*0.0005, 2)</f>
        <v/>
      </c>
      <c r="Q8" s="12">
        <f>N8-M8</f>
        <v/>
      </c>
      <c r="R8" s="12">
        <f>Q8-P8</f>
        <v/>
      </c>
      <c r="S8" s="13">
        <f>ROUND((R8/M8)*100, 2)</f>
        <v/>
      </c>
      <c r="T8" s="12">
        <f>ROUND(0.20*M8, 2)</f>
        <v/>
      </c>
      <c r="U8" s="13">
        <f>ROUND((R8/T8)*100, 2)</f>
        <v/>
      </c>
      <c r="V8" s="12">
        <f>V7+R8</f>
        <v/>
      </c>
      <c r="W8" s="12">
        <f>MAX(W7, V8)</f>
        <v/>
      </c>
      <c r="X8" s="12">
        <f>V8-W8</f>
        <v/>
      </c>
    </row>
    <row r="9">
      <c r="A9" s="9" t="n">
        <v>6</v>
      </c>
      <c r="B9" s="10" t="inlineStr">
        <is>
          <t>ADANIGREEN</t>
        </is>
      </c>
      <c r="C9" s="9" t="inlineStr">
        <is>
          <t>Q2 2026-27</t>
        </is>
      </c>
      <c r="D9" s="9" t="inlineStr">
        <is>
          <t>FUTURE LONG</t>
        </is>
      </c>
      <c r="E9" s="9" t="inlineStr">
        <is>
          <t>T-8 to T+1</t>
        </is>
      </c>
      <c r="F9" s="9" t="inlineStr">
        <is>
          <t>70.0%</t>
        </is>
      </c>
      <c r="G9" s="9" t="inlineStr">
        <is>
          <t>2026-07-20</t>
        </is>
      </c>
      <c r="H9" s="9" t="inlineStr">
        <is>
          <t>2026-07-30</t>
        </is>
      </c>
      <c r="I9" s="9" t="inlineStr">
        <is>
          <t>2026-08-10</t>
        </is>
      </c>
      <c r="J9" s="5" t="n">
        <v>500</v>
      </c>
      <c r="K9" s="11" t="n">
        <v>1530</v>
      </c>
      <c r="L9" s="11" t="n">
        <v>1358.699951171875</v>
      </c>
      <c r="M9" s="12">
        <f>J9*K9</f>
        <v/>
      </c>
      <c r="N9" s="12">
        <f>J9*L9</f>
        <v/>
      </c>
      <c r="O9" s="12">
        <f>M9+N9</f>
        <v/>
      </c>
      <c r="P9" s="12">
        <f>ROUND(O9*0.0005, 2)</f>
        <v/>
      </c>
      <c r="Q9" s="12">
        <f>N9-M9</f>
        <v/>
      </c>
      <c r="R9" s="12">
        <f>Q9-P9</f>
        <v/>
      </c>
      <c r="S9" s="13">
        <f>ROUND((R9/M9)*100, 2)</f>
        <v/>
      </c>
      <c r="T9" s="12">
        <f>ROUND(0.20*M9, 2)</f>
        <v/>
      </c>
      <c r="U9" s="13">
        <f>ROUND((R9/T9)*100, 2)</f>
        <v/>
      </c>
      <c r="V9" s="12">
        <f>V8+R9</f>
        <v/>
      </c>
      <c r="W9" s="12">
        <f>MAX(W8, V9)</f>
        <v/>
      </c>
      <c r="X9" s="12">
        <f>V9-W9</f>
        <v/>
      </c>
    </row>
    <row r="10">
      <c r="A10" s="9" t="n">
        <v>7</v>
      </c>
      <c r="B10" s="10" t="inlineStr">
        <is>
          <t>ADANIPORTS</t>
        </is>
      </c>
      <c r="C10" s="9" t="inlineStr">
        <is>
          <t>Q2 2026-27</t>
        </is>
      </c>
      <c r="D10" s="9" t="inlineStr">
        <is>
          <t>FUTURE LONG</t>
        </is>
      </c>
      <c r="E10" s="9" t="inlineStr">
        <is>
          <t>T-8 to T+1</t>
        </is>
      </c>
      <c r="F10" s="9" t="inlineStr">
        <is>
          <t>75.0%</t>
        </is>
      </c>
      <c r="G10" s="9" t="inlineStr">
        <is>
          <t>2025-01-21</t>
        </is>
      </c>
      <c r="H10" s="9" t="inlineStr">
        <is>
          <t>2025-02-01</t>
        </is>
      </c>
      <c r="I10" s="9" t="inlineStr">
        <is>
          <t>2025-01-30</t>
        </is>
      </c>
      <c r="J10" s="5" t="n">
        <v>625</v>
      </c>
      <c r="K10" s="11" t="n">
        <v>1096.22412109375</v>
      </c>
      <c r="L10" s="11" t="n">
        <v>1074.323486328125</v>
      </c>
      <c r="M10" s="12">
        <f>J10*K10</f>
        <v/>
      </c>
      <c r="N10" s="12">
        <f>J10*L10</f>
        <v/>
      </c>
      <c r="O10" s="12">
        <f>M10+N10</f>
        <v/>
      </c>
      <c r="P10" s="12">
        <f>ROUND(O10*0.0005, 2)</f>
        <v/>
      </c>
      <c r="Q10" s="12">
        <f>N10-M10</f>
        <v/>
      </c>
      <c r="R10" s="12">
        <f>Q10-P10</f>
        <v/>
      </c>
      <c r="S10" s="13">
        <f>ROUND((R10/M10)*100, 2)</f>
        <v/>
      </c>
      <c r="T10" s="12">
        <f>ROUND(0.20*M10, 2)</f>
        <v/>
      </c>
      <c r="U10" s="13">
        <f>ROUND((R10/T10)*100, 2)</f>
        <v/>
      </c>
      <c r="V10" s="12">
        <f>V9+R10</f>
        <v/>
      </c>
      <c r="W10" s="12">
        <f>MAX(W9, V10)</f>
        <v/>
      </c>
      <c r="X10" s="12">
        <f>V10-W10</f>
        <v/>
      </c>
    </row>
    <row r="11">
      <c r="A11" s="9" t="n">
        <v>8</v>
      </c>
      <c r="B11" s="10" t="inlineStr">
        <is>
          <t>ADANIPOWER</t>
        </is>
      </c>
      <c r="C11" s="9" t="inlineStr">
        <is>
          <t>Q2 2026-27</t>
        </is>
      </c>
      <c r="D11" s="9" t="inlineStr">
        <is>
          <t>FUTURE LONG</t>
        </is>
      </c>
      <c r="E11" s="9" t="inlineStr">
        <is>
          <t>T-8 to T+1</t>
        </is>
      </c>
      <c r="F11" s="9" t="inlineStr">
        <is>
          <t>65.0%</t>
        </is>
      </c>
      <c r="G11" s="9" t="inlineStr">
        <is>
          <t>2026-07-20</t>
        </is>
      </c>
      <c r="H11" s="9" t="inlineStr">
        <is>
          <t>2026-07-30</t>
        </is>
      </c>
      <c r="I11" s="9" t="inlineStr">
        <is>
          <t>2026-08-14</t>
        </is>
      </c>
      <c r="J11" s="5" t="n">
        <v>4546</v>
      </c>
      <c r="K11" s="11" t="n">
        <v>219.9700012207031</v>
      </c>
      <c r="L11" s="11" t="n">
        <v>208.9700012207031</v>
      </c>
      <c r="M11" s="12">
        <f>J11*K11</f>
        <v/>
      </c>
      <c r="N11" s="12">
        <f>J11*L11</f>
        <v/>
      </c>
      <c r="O11" s="12">
        <f>M11+N11</f>
        <v/>
      </c>
      <c r="P11" s="12">
        <f>ROUND(O11*0.0005, 2)</f>
        <v/>
      </c>
      <c r="Q11" s="12">
        <f>N11-M11</f>
        <v/>
      </c>
      <c r="R11" s="12">
        <f>Q11-P11</f>
        <v/>
      </c>
      <c r="S11" s="13">
        <f>ROUND((R11/M11)*100, 2)</f>
        <v/>
      </c>
      <c r="T11" s="12">
        <f>ROUND(0.20*M11, 2)</f>
        <v/>
      </c>
      <c r="U11" s="13">
        <f>ROUND((R11/T11)*100, 2)</f>
        <v/>
      </c>
      <c r="V11" s="12">
        <f>V10+R11</f>
        <v/>
      </c>
      <c r="W11" s="12">
        <f>MAX(W10, V11)</f>
        <v/>
      </c>
      <c r="X11" s="12">
        <f>V11-W11</f>
        <v/>
      </c>
    </row>
    <row r="12">
      <c r="A12" s="9" t="n">
        <v>9</v>
      </c>
      <c r="B12" s="10" t="inlineStr">
        <is>
          <t>ALKEM</t>
        </is>
      </c>
      <c r="C12" s="9" t="inlineStr">
        <is>
          <t>Q2 2026-27</t>
        </is>
      </c>
      <c r="D12" s="9" t="inlineStr">
        <is>
          <t>FUTURE LONG</t>
        </is>
      </c>
      <c r="E12" s="9" t="inlineStr">
        <is>
          <t>T-8 to T+1</t>
        </is>
      </c>
      <c r="F12" s="9" t="inlineStr">
        <is>
          <t>75.0%</t>
        </is>
      </c>
      <c r="G12" s="9" t="inlineStr">
        <is>
          <t>2026-07-20</t>
        </is>
      </c>
      <c r="H12" s="9" t="inlineStr">
        <is>
          <t>2026-07-30</t>
        </is>
      </c>
      <c r="I12" s="9" t="inlineStr">
        <is>
          <t>2026-08-27</t>
        </is>
      </c>
      <c r="J12" s="5" t="n">
        <v>176</v>
      </c>
      <c r="K12" s="11" t="n">
        <v>5653.5</v>
      </c>
      <c r="L12" s="11" t="n">
        <v>5816.5</v>
      </c>
      <c r="M12" s="12">
        <f>J12*K12</f>
        <v/>
      </c>
      <c r="N12" s="12">
        <f>J12*L12</f>
        <v/>
      </c>
      <c r="O12" s="12">
        <f>M12+N12</f>
        <v/>
      </c>
      <c r="P12" s="12">
        <f>ROUND(O12*0.0005, 2)</f>
        <v/>
      </c>
      <c r="Q12" s="12">
        <f>N12-M12</f>
        <v/>
      </c>
      <c r="R12" s="12">
        <f>Q12-P12</f>
        <v/>
      </c>
      <c r="S12" s="13">
        <f>ROUND((R12/M12)*100, 2)</f>
        <v/>
      </c>
      <c r="T12" s="12">
        <f>ROUND(0.20*M12, 2)</f>
        <v/>
      </c>
      <c r="U12" s="13">
        <f>ROUND((R12/T12)*100, 2)</f>
        <v/>
      </c>
      <c r="V12" s="12">
        <f>V11+R12</f>
        <v/>
      </c>
      <c r="W12" s="12">
        <f>MAX(W11, V12)</f>
        <v/>
      </c>
      <c r="X12" s="12">
        <f>V12-W12</f>
        <v/>
      </c>
    </row>
    <row r="13">
      <c r="A13" s="9" t="n">
        <v>10</v>
      </c>
      <c r="B13" s="10" t="inlineStr">
        <is>
          <t>AMBER</t>
        </is>
      </c>
      <c r="C13" s="9" t="inlineStr">
        <is>
          <t>Q2 2026-27</t>
        </is>
      </c>
      <c r="D13" s="9" t="inlineStr">
        <is>
          <t>FUTURE LONG</t>
        </is>
      </c>
      <c r="E13" s="9" t="inlineStr">
        <is>
          <t>T-8 to T+1</t>
        </is>
      </c>
      <c r="F13" s="9" t="inlineStr">
        <is>
          <t>60.0%</t>
        </is>
      </c>
      <c r="G13" s="9" t="inlineStr">
        <is>
          <t>2026-07-20</t>
        </is>
      </c>
      <c r="H13" s="9" t="inlineStr">
        <is>
          <t>2026-07-30</t>
        </is>
      </c>
      <c r="I13" s="9" t="inlineStr">
        <is>
          <t>2026-08-25</t>
        </is>
      </c>
      <c r="J13" s="5" t="n">
        <v>127</v>
      </c>
      <c r="K13" s="11" t="n">
        <v>7859</v>
      </c>
      <c r="L13" s="11" t="n">
        <v>7401</v>
      </c>
      <c r="M13" s="12">
        <f>J13*K13</f>
        <v/>
      </c>
      <c r="N13" s="12">
        <f>J13*L13</f>
        <v/>
      </c>
      <c r="O13" s="12">
        <f>M13+N13</f>
        <v/>
      </c>
      <c r="P13" s="12">
        <f>ROUND(O13*0.0005, 2)</f>
        <v/>
      </c>
      <c r="Q13" s="12">
        <f>N13-M13</f>
        <v/>
      </c>
      <c r="R13" s="12">
        <f>Q13-P13</f>
        <v/>
      </c>
      <c r="S13" s="13">
        <f>ROUND((R13/M13)*100, 2)</f>
        <v/>
      </c>
      <c r="T13" s="12">
        <f>ROUND(0.20*M13, 2)</f>
        <v/>
      </c>
      <c r="U13" s="13">
        <f>ROUND((R13/T13)*100, 2)</f>
        <v/>
      </c>
      <c r="V13" s="12">
        <f>V12+R13</f>
        <v/>
      </c>
      <c r="W13" s="12">
        <f>MAX(W12, V13)</f>
        <v/>
      </c>
      <c r="X13" s="12">
        <f>V13-W13</f>
        <v/>
      </c>
    </row>
    <row r="14">
      <c r="A14" s="9" t="n">
        <v>11</v>
      </c>
      <c r="B14" s="10" t="inlineStr">
        <is>
          <t>AMBUJACEM</t>
        </is>
      </c>
      <c r="C14" s="9" t="inlineStr">
        <is>
          <t>Q2 2026-27</t>
        </is>
      </c>
      <c r="D14" s="9" t="inlineStr">
        <is>
          <t>FUTURE LONG</t>
        </is>
      </c>
      <c r="E14" s="9" t="inlineStr">
        <is>
          <t>T-8 to T+1</t>
        </is>
      </c>
      <c r="F14" s="9" t="inlineStr">
        <is>
          <t>75.0%</t>
        </is>
      </c>
      <c r="G14" s="9" t="inlineStr">
        <is>
          <t>2026-07-20</t>
        </is>
      </c>
      <c r="H14" s="9" t="inlineStr">
        <is>
          <t>2026-07-30</t>
        </is>
      </c>
      <c r="I14" s="9" t="inlineStr">
        <is>
          <t>2026-08-27</t>
        </is>
      </c>
      <c r="J14" s="5" t="n">
        <v>2284</v>
      </c>
      <c r="K14" s="11" t="n">
        <v>437.7999877929688</v>
      </c>
      <c r="L14" s="11" t="n">
        <v>434.2000122070313</v>
      </c>
      <c r="M14" s="12">
        <f>J14*K14</f>
        <v/>
      </c>
      <c r="N14" s="12">
        <f>J14*L14</f>
        <v/>
      </c>
      <c r="O14" s="12">
        <f>M14+N14</f>
        <v/>
      </c>
      <c r="P14" s="12">
        <f>ROUND(O14*0.0005, 2)</f>
        <v/>
      </c>
      <c r="Q14" s="12">
        <f>N14-M14</f>
        <v/>
      </c>
      <c r="R14" s="12">
        <f>Q14-P14</f>
        <v/>
      </c>
      <c r="S14" s="13">
        <f>ROUND((R14/M14)*100, 2)</f>
        <v/>
      </c>
      <c r="T14" s="12">
        <f>ROUND(0.20*M14, 2)</f>
        <v/>
      </c>
      <c r="U14" s="13">
        <f>ROUND((R14/T14)*100, 2)</f>
        <v/>
      </c>
      <c r="V14" s="12">
        <f>V13+R14</f>
        <v/>
      </c>
      <c r="W14" s="12">
        <f>MAX(W13, V14)</f>
        <v/>
      </c>
      <c r="X14" s="12">
        <f>V14-W14</f>
        <v/>
      </c>
    </row>
    <row r="15">
      <c r="A15" s="9" t="n">
        <v>12</v>
      </c>
      <c r="B15" s="10" t="inlineStr">
        <is>
          <t>ANGELONE</t>
        </is>
      </c>
      <c r="C15" s="9" t="inlineStr">
        <is>
          <t>Q2 2026-27</t>
        </is>
      </c>
      <c r="D15" s="9" t="inlineStr">
        <is>
          <t>FUTURE LONG</t>
        </is>
      </c>
      <c r="E15" s="9" t="inlineStr">
        <is>
          <t>T-8 to T+1</t>
        </is>
      </c>
      <c r="F15" s="9" t="inlineStr">
        <is>
          <t>65.0%</t>
        </is>
      </c>
      <c r="G15" s="9" t="inlineStr">
        <is>
          <t>2026-07-07</t>
        </is>
      </c>
      <c r="H15" s="9" t="inlineStr">
        <is>
          <t>2026-07-20</t>
        </is>
      </c>
      <c r="I15" s="9" t="inlineStr">
        <is>
          <t>2026-07-16</t>
        </is>
      </c>
      <c r="J15" s="5" t="n">
        <v>2987</v>
      </c>
      <c r="K15" s="11" t="n">
        <v>334.7646789550781</v>
      </c>
      <c r="L15" s="11" t="n">
        <v>323.3500061035156</v>
      </c>
      <c r="M15" s="12">
        <f>J15*K15</f>
        <v/>
      </c>
      <c r="N15" s="12">
        <f>J15*L15</f>
        <v/>
      </c>
      <c r="O15" s="12">
        <f>M15+N15</f>
        <v/>
      </c>
      <c r="P15" s="12">
        <f>ROUND(O15*0.0005, 2)</f>
        <v/>
      </c>
      <c r="Q15" s="12">
        <f>N15-M15</f>
        <v/>
      </c>
      <c r="R15" s="12">
        <f>Q15-P15</f>
        <v/>
      </c>
      <c r="S15" s="13">
        <f>ROUND((R15/M15)*100, 2)</f>
        <v/>
      </c>
      <c r="T15" s="12">
        <f>ROUND(0.20*M15, 2)</f>
        <v/>
      </c>
      <c r="U15" s="13">
        <f>ROUND((R15/T15)*100, 2)</f>
        <v/>
      </c>
      <c r="V15" s="12">
        <f>V14+R15</f>
        <v/>
      </c>
      <c r="W15" s="12">
        <f>MAX(W14, V15)</f>
        <v/>
      </c>
      <c r="X15" s="12">
        <f>V15-W15</f>
        <v/>
      </c>
    </row>
    <row r="16">
      <c r="A16" s="9" t="n">
        <v>13</v>
      </c>
      <c r="B16" s="10" t="inlineStr">
        <is>
          <t>APLAPOLLO</t>
        </is>
      </c>
      <c r="C16" s="9" t="inlineStr">
        <is>
          <t>Q2 2026-27</t>
        </is>
      </c>
      <c r="D16" s="9" t="inlineStr">
        <is>
          <t>FUTURE LONG</t>
        </is>
      </c>
      <c r="E16" s="9" t="inlineStr">
        <is>
          <t>T-8 to T+1</t>
        </is>
      </c>
      <c r="F16" s="9" t="inlineStr">
        <is>
          <t>70.0%</t>
        </is>
      </c>
      <c r="G16" s="9" t="inlineStr">
        <is>
          <t>2026-07-20</t>
        </is>
      </c>
      <c r="H16" s="9" t="inlineStr">
        <is>
          <t>2026-07-30</t>
        </is>
      </c>
      <c r="I16" s="9" t="inlineStr">
        <is>
          <t>2026-08-21</t>
        </is>
      </c>
      <c r="J16" s="5" t="n">
        <v>551</v>
      </c>
      <c r="K16" s="11" t="n">
        <v>1814.300048828125</v>
      </c>
      <c r="L16" s="11" t="n">
        <v>1893.099975585937</v>
      </c>
      <c r="M16" s="12">
        <f>J16*K16</f>
        <v/>
      </c>
      <c r="N16" s="12">
        <f>J16*L16</f>
        <v/>
      </c>
      <c r="O16" s="12">
        <f>M16+N16</f>
        <v/>
      </c>
      <c r="P16" s="12">
        <f>ROUND(O16*0.0005, 2)</f>
        <v/>
      </c>
      <c r="Q16" s="12">
        <f>N16-M16</f>
        <v/>
      </c>
      <c r="R16" s="12">
        <f>Q16-P16</f>
        <v/>
      </c>
      <c r="S16" s="13">
        <f>ROUND((R16/M16)*100, 2)</f>
        <v/>
      </c>
      <c r="T16" s="12">
        <f>ROUND(0.20*M16, 2)</f>
        <v/>
      </c>
      <c r="U16" s="13">
        <f>ROUND((R16/T16)*100, 2)</f>
        <v/>
      </c>
      <c r="V16" s="12">
        <f>V15+R16</f>
        <v/>
      </c>
      <c r="W16" s="12">
        <f>MAX(W15, V16)</f>
        <v/>
      </c>
      <c r="X16" s="12">
        <f>V16-W16</f>
        <v/>
      </c>
    </row>
    <row r="17">
      <c r="A17" s="9" t="n">
        <v>14</v>
      </c>
      <c r="B17" s="10" t="inlineStr">
        <is>
          <t>APOLLOHOSP</t>
        </is>
      </c>
      <c r="C17" s="9" t="inlineStr">
        <is>
          <t>Q2 2026-27</t>
        </is>
      </c>
      <c r="D17" s="9" t="inlineStr">
        <is>
          <t>FUTURE LONG</t>
        </is>
      </c>
      <c r="E17" s="9" t="inlineStr">
        <is>
          <t>T-8 to T+1</t>
        </is>
      </c>
      <c r="F17" s="9" t="inlineStr">
        <is>
          <t>70.0%</t>
        </is>
      </c>
      <c r="G17" s="9" t="inlineStr">
        <is>
          <t>2025-02-01</t>
        </is>
      </c>
      <c r="H17" s="9" t="inlineStr">
        <is>
          <t>2025-02-13</t>
        </is>
      </c>
      <c r="I17" s="9" t="inlineStr">
        <is>
          <t>2025-02-11</t>
        </is>
      </c>
      <c r="J17" s="5" t="n">
        <v>125</v>
      </c>
      <c r="K17" s="11" t="n">
        <v>6813.6591796875</v>
      </c>
      <c r="L17" s="11" t="n">
        <v>6346.6396484375</v>
      </c>
      <c r="M17" s="12">
        <f>J17*K17</f>
        <v/>
      </c>
      <c r="N17" s="12">
        <f>J17*L17</f>
        <v/>
      </c>
      <c r="O17" s="12">
        <f>M17+N17</f>
        <v/>
      </c>
      <c r="P17" s="12">
        <f>ROUND(O17*0.0005, 2)</f>
        <v/>
      </c>
      <c r="Q17" s="12">
        <f>N17-M17</f>
        <v/>
      </c>
      <c r="R17" s="12">
        <f>Q17-P17</f>
        <v/>
      </c>
      <c r="S17" s="13">
        <f>ROUND((R17/M17)*100, 2)</f>
        <v/>
      </c>
      <c r="T17" s="12">
        <f>ROUND(0.20*M17, 2)</f>
        <v/>
      </c>
      <c r="U17" s="13">
        <f>ROUND((R17/T17)*100, 2)</f>
        <v/>
      </c>
      <c r="V17" s="12">
        <f>V16+R17</f>
        <v/>
      </c>
      <c r="W17" s="12">
        <f>MAX(W16, V17)</f>
        <v/>
      </c>
      <c r="X17" s="12">
        <f>V17-W17</f>
        <v/>
      </c>
    </row>
    <row r="18">
      <c r="A18" s="9" t="n">
        <v>15</v>
      </c>
      <c r="B18" s="10" t="inlineStr">
        <is>
          <t>ASHOKLEY</t>
        </is>
      </c>
      <c r="C18" s="9" t="inlineStr">
        <is>
          <t>Q2 2026-27</t>
        </is>
      </c>
      <c r="D18" s="9" t="inlineStr">
        <is>
          <t>FUTURE LONG</t>
        </is>
      </c>
      <c r="E18" s="9" t="inlineStr">
        <is>
          <t>T-8 to T+1</t>
        </is>
      </c>
      <c r="F18" s="9" t="inlineStr">
        <is>
          <t>80.0%</t>
        </is>
      </c>
      <c r="G18" s="9" t="inlineStr">
        <is>
          <t>2025-02-01</t>
        </is>
      </c>
      <c r="H18" s="9" t="inlineStr">
        <is>
          <t>2025-02-13</t>
        </is>
      </c>
      <c r="I18" s="9" t="inlineStr">
        <is>
          <t>2025-02-12</t>
        </is>
      </c>
      <c r="J18" s="5" t="n">
        <v>5000</v>
      </c>
      <c r="K18" s="11" t="n">
        <v>99.01042175292967</v>
      </c>
      <c r="L18" s="11" t="n">
        <v>104.1540679931641</v>
      </c>
      <c r="M18" s="12">
        <f>J18*K18</f>
        <v/>
      </c>
      <c r="N18" s="12">
        <f>J18*L18</f>
        <v/>
      </c>
      <c r="O18" s="12">
        <f>M18+N18</f>
        <v/>
      </c>
      <c r="P18" s="12">
        <f>ROUND(O18*0.0005, 2)</f>
        <v/>
      </c>
      <c r="Q18" s="12">
        <f>N18-M18</f>
        <v/>
      </c>
      <c r="R18" s="12">
        <f>Q18-P18</f>
        <v/>
      </c>
      <c r="S18" s="13">
        <f>ROUND((R18/M18)*100, 2)</f>
        <v/>
      </c>
      <c r="T18" s="12">
        <f>ROUND(0.20*M18, 2)</f>
        <v/>
      </c>
      <c r="U18" s="13">
        <f>ROUND((R18/T18)*100, 2)</f>
        <v/>
      </c>
      <c r="V18" s="12">
        <f>V17+R18</f>
        <v/>
      </c>
      <c r="W18" s="12">
        <f>MAX(W17, V18)</f>
        <v/>
      </c>
      <c r="X18" s="12">
        <f>V18-W18</f>
        <v/>
      </c>
    </row>
    <row r="19">
      <c r="A19" s="9" t="n">
        <v>16</v>
      </c>
      <c r="B19" s="10" t="inlineStr">
        <is>
          <t>ASIANPAINT</t>
        </is>
      </c>
      <c r="C19" s="9" t="inlineStr">
        <is>
          <t>Q2 2026-27</t>
        </is>
      </c>
      <c r="D19" s="9" t="inlineStr">
        <is>
          <t>FUTURE LONG</t>
        </is>
      </c>
      <c r="E19" s="9" t="inlineStr">
        <is>
          <t>T-8 to T+1</t>
        </is>
      </c>
      <c r="F19" s="9" t="inlineStr">
        <is>
          <t>70.0%</t>
        </is>
      </c>
      <c r="G19" s="9" t="inlineStr">
        <is>
          <t>2025-01-27</t>
        </is>
      </c>
      <c r="H19" s="9" t="inlineStr">
        <is>
          <t>2025-02-06</t>
        </is>
      </c>
      <c r="I19" s="9" t="inlineStr">
        <is>
          <t>2025-02-04</t>
        </is>
      </c>
      <c r="J19" s="5" t="n">
        <v>200</v>
      </c>
      <c r="K19" s="11" t="n">
        <v>2208.28173828125</v>
      </c>
      <c r="L19" s="11" t="n">
        <v>2219.953369140625</v>
      </c>
      <c r="M19" s="12">
        <f>J19*K19</f>
        <v/>
      </c>
      <c r="N19" s="12">
        <f>J19*L19</f>
        <v/>
      </c>
      <c r="O19" s="12">
        <f>M19+N19</f>
        <v/>
      </c>
      <c r="P19" s="12">
        <f>ROUND(O19*0.0005, 2)</f>
        <v/>
      </c>
      <c r="Q19" s="12">
        <f>N19-M19</f>
        <v/>
      </c>
      <c r="R19" s="12">
        <f>Q19-P19</f>
        <v/>
      </c>
      <c r="S19" s="13">
        <f>ROUND((R19/M19)*100, 2)</f>
        <v/>
      </c>
      <c r="T19" s="12">
        <f>ROUND(0.20*M19, 2)</f>
        <v/>
      </c>
      <c r="U19" s="13">
        <f>ROUND((R19/T19)*100, 2)</f>
        <v/>
      </c>
      <c r="V19" s="12">
        <f>V18+R19</f>
        <v/>
      </c>
      <c r="W19" s="12">
        <f>MAX(W18, V19)</f>
        <v/>
      </c>
      <c r="X19" s="12">
        <f>V19-W19</f>
        <v/>
      </c>
    </row>
    <row r="20">
      <c r="A20" s="9" t="n">
        <v>17</v>
      </c>
      <c r="B20" s="10" t="inlineStr">
        <is>
          <t>ASTRAL</t>
        </is>
      </c>
      <c r="C20" s="9" t="inlineStr">
        <is>
          <t>Q2 2026-27</t>
        </is>
      </c>
      <c r="D20" s="9" t="inlineStr">
        <is>
          <t>FUTURE LONG</t>
        </is>
      </c>
      <c r="E20" s="9" t="inlineStr">
        <is>
          <t>T-8 to T+1</t>
        </is>
      </c>
      <c r="F20" s="9" t="inlineStr">
        <is>
          <t>65.0%</t>
        </is>
      </c>
      <c r="G20" s="9" t="inlineStr">
        <is>
          <t>2025-01-20</t>
        </is>
      </c>
      <c r="H20" s="9" t="inlineStr">
        <is>
          <t>2025-01-31</t>
        </is>
      </c>
      <c r="I20" s="9" t="inlineStr">
        <is>
          <t>2025-01-30</t>
        </is>
      </c>
      <c r="J20" s="5" t="n">
        <v>675</v>
      </c>
      <c r="K20" s="11" t="n">
        <v>1479.450439453125</v>
      </c>
      <c r="L20" s="11" t="n">
        <v>1503.236206054688</v>
      </c>
      <c r="M20" s="12">
        <f>J20*K20</f>
        <v/>
      </c>
      <c r="N20" s="12">
        <f>J20*L20</f>
        <v/>
      </c>
      <c r="O20" s="12">
        <f>M20+N20</f>
        <v/>
      </c>
      <c r="P20" s="12">
        <f>ROUND(O20*0.0005, 2)</f>
        <v/>
      </c>
      <c r="Q20" s="12">
        <f>N20-M20</f>
        <v/>
      </c>
      <c r="R20" s="12">
        <f>Q20-P20</f>
        <v/>
      </c>
      <c r="S20" s="13">
        <f>ROUND((R20/M20)*100, 2)</f>
        <v/>
      </c>
      <c r="T20" s="12">
        <f>ROUND(0.20*M20, 2)</f>
        <v/>
      </c>
      <c r="U20" s="13">
        <f>ROUND((R20/T20)*100, 2)</f>
        <v/>
      </c>
      <c r="V20" s="12">
        <f>V19+R20</f>
        <v/>
      </c>
      <c r="W20" s="12">
        <f>MAX(W19, V20)</f>
        <v/>
      </c>
      <c r="X20" s="12">
        <f>V20-W20</f>
        <v/>
      </c>
    </row>
    <row r="21">
      <c r="A21" s="9" t="n">
        <v>18</v>
      </c>
      <c r="B21" s="10" t="inlineStr">
        <is>
          <t>ATHERENERG</t>
        </is>
      </c>
      <c r="C21" s="9" t="inlineStr">
        <is>
          <t>Q2 2026-27</t>
        </is>
      </c>
      <c r="D21" s="9" t="inlineStr">
        <is>
          <t>FUTURE LONG</t>
        </is>
      </c>
      <c r="E21" s="9" t="inlineStr">
        <is>
          <t>T-8 to T+1</t>
        </is>
      </c>
      <c r="F21" s="9" t="inlineStr">
        <is>
          <t>65.0%</t>
        </is>
      </c>
      <c r="G21" s="9" t="inlineStr">
        <is>
          <t>2026-08-03</t>
        </is>
      </c>
      <c r="H21" s="9" t="inlineStr">
        <is>
          <t>2026-08-06</t>
        </is>
      </c>
      <c r="I21" s="9" t="inlineStr">
        <is>
          <t>2026-08-03</t>
        </is>
      </c>
      <c r="J21" s="5" t="n">
        <v>781</v>
      </c>
      <c r="K21" s="11" t="n">
        <v>1280</v>
      </c>
      <c r="L21" s="11" t="n">
        <v>1445</v>
      </c>
      <c r="M21" s="12">
        <f>J21*K21</f>
        <v/>
      </c>
      <c r="N21" s="12">
        <f>J21*L21</f>
        <v/>
      </c>
      <c r="O21" s="12">
        <f>M21+N21</f>
        <v/>
      </c>
      <c r="P21" s="12">
        <f>ROUND(O21*0.0005, 2)</f>
        <v/>
      </c>
      <c r="Q21" s="12">
        <f>N21-M21</f>
        <v/>
      </c>
      <c r="R21" s="12">
        <f>Q21-P21</f>
        <v/>
      </c>
      <c r="S21" s="13">
        <f>ROUND((R21/M21)*100, 2)</f>
        <v/>
      </c>
      <c r="T21" s="12">
        <f>ROUND(0.20*M21, 2)</f>
        <v/>
      </c>
      <c r="U21" s="13">
        <f>ROUND((R21/T21)*100, 2)</f>
        <v/>
      </c>
      <c r="V21" s="12">
        <f>V20+R21</f>
        <v/>
      </c>
      <c r="W21" s="12">
        <f>MAX(W20, V21)</f>
        <v/>
      </c>
      <c r="X21" s="12">
        <f>V21-W21</f>
        <v/>
      </c>
    </row>
    <row r="22">
      <c r="A22" s="9" t="n">
        <v>19</v>
      </c>
      <c r="B22" s="10" t="inlineStr">
        <is>
          <t>AUBANK</t>
        </is>
      </c>
      <c r="C22" s="9" t="inlineStr">
        <is>
          <t>Q2 2026-27</t>
        </is>
      </c>
      <c r="D22" s="9" t="inlineStr">
        <is>
          <t>FUTURE LONG</t>
        </is>
      </c>
      <c r="E22" s="9" t="inlineStr">
        <is>
          <t>T-8 to T+1</t>
        </is>
      </c>
      <c r="F22" s="9" t="inlineStr">
        <is>
          <t>60.0%</t>
        </is>
      </c>
      <c r="G22" s="9" t="inlineStr">
        <is>
          <t>2025-01-14</t>
        </is>
      </c>
      <c r="H22" s="9" t="inlineStr">
        <is>
          <t>2025-01-27</t>
        </is>
      </c>
      <c r="I22" s="9" t="inlineStr">
        <is>
          <t>2025-01-24</t>
        </is>
      </c>
      <c r="J22" s="5" t="n">
        <v>1740</v>
      </c>
      <c r="K22" s="11" t="n">
        <v>574.3916015625</v>
      </c>
      <c r="L22" s="11" t="n">
        <v>562.7559814453125</v>
      </c>
      <c r="M22" s="12">
        <f>J22*K22</f>
        <v/>
      </c>
      <c r="N22" s="12">
        <f>J22*L22</f>
        <v/>
      </c>
      <c r="O22" s="12">
        <f>M22+N22</f>
        <v/>
      </c>
      <c r="P22" s="12">
        <f>ROUND(O22*0.0005, 2)</f>
        <v/>
      </c>
      <c r="Q22" s="12">
        <f>N22-M22</f>
        <v/>
      </c>
      <c r="R22" s="12">
        <f>Q22-P22</f>
        <v/>
      </c>
      <c r="S22" s="13">
        <f>ROUND((R22/M22)*100, 2)</f>
        <v/>
      </c>
      <c r="T22" s="12">
        <f>ROUND(0.20*M22, 2)</f>
        <v/>
      </c>
      <c r="U22" s="13">
        <f>ROUND((R22/T22)*100, 2)</f>
        <v/>
      </c>
      <c r="V22" s="12">
        <f>V21+R22</f>
        <v/>
      </c>
      <c r="W22" s="12">
        <f>MAX(W21, V22)</f>
        <v/>
      </c>
      <c r="X22" s="12">
        <f>V22-W22</f>
        <v/>
      </c>
    </row>
    <row r="23">
      <c r="A23" s="9" t="n">
        <v>20</v>
      </c>
      <c r="B23" s="10" t="inlineStr">
        <is>
          <t>AUROPHARMA</t>
        </is>
      </c>
      <c r="C23" s="9" t="inlineStr">
        <is>
          <t>Q2 2026-27</t>
        </is>
      </c>
      <c r="D23" s="9" t="inlineStr">
        <is>
          <t>FUTURE LONG</t>
        </is>
      </c>
      <c r="E23" s="9" t="inlineStr">
        <is>
          <t>T-8 to T+1</t>
        </is>
      </c>
      <c r="F23" s="9" t="inlineStr">
        <is>
          <t>60.0%</t>
        </is>
      </c>
      <c r="G23" s="9" t="inlineStr">
        <is>
          <t>2025-01-28</t>
        </is>
      </c>
      <c r="H23" s="9" t="inlineStr">
        <is>
          <t>2025-02-07</t>
        </is>
      </c>
      <c r="I23" s="9" t="inlineStr">
        <is>
          <t>2025-02-06</t>
        </is>
      </c>
      <c r="J23" s="5" t="n">
        <v>881</v>
      </c>
      <c r="K23" s="11" t="n">
        <v>1134.341918945312</v>
      </c>
      <c r="L23" s="11" t="n">
        <v>1187.243286132812</v>
      </c>
      <c r="M23" s="12">
        <f>J23*K23</f>
        <v/>
      </c>
      <c r="N23" s="12">
        <f>J23*L23</f>
        <v/>
      </c>
      <c r="O23" s="12">
        <f>M23+N23</f>
        <v/>
      </c>
      <c r="P23" s="12">
        <f>ROUND(O23*0.0005, 2)</f>
        <v/>
      </c>
      <c r="Q23" s="12">
        <f>N23-M23</f>
        <v/>
      </c>
      <c r="R23" s="12">
        <f>Q23-P23</f>
        <v/>
      </c>
      <c r="S23" s="13">
        <f>ROUND((R23/M23)*100, 2)</f>
        <v/>
      </c>
      <c r="T23" s="12">
        <f>ROUND(0.20*M23, 2)</f>
        <v/>
      </c>
      <c r="U23" s="13">
        <f>ROUND((R23/T23)*100, 2)</f>
        <v/>
      </c>
      <c r="V23" s="12">
        <f>V22+R23</f>
        <v/>
      </c>
      <c r="W23" s="12">
        <f>MAX(W22, V23)</f>
        <v/>
      </c>
      <c r="X23" s="12">
        <f>V23-W23</f>
        <v/>
      </c>
    </row>
    <row r="24">
      <c r="A24" s="9" t="n">
        <v>21</v>
      </c>
      <c r="B24" s="10" t="inlineStr">
        <is>
          <t>AXISBANK</t>
        </is>
      </c>
      <c r="C24" s="9" t="inlineStr">
        <is>
          <t>Q2 2026-27</t>
        </is>
      </c>
      <c r="D24" s="9" t="inlineStr">
        <is>
          <t>FUTURE LONG</t>
        </is>
      </c>
      <c r="E24" s="9" t="inlineStr">
        <is>
          <t>T-8 to T+1</t>
        </is>
      </c>
      <c r="F24" s="9" t="inlineStr">
        <is>
          <t>65.0%</t>
        </is>
      </c>
      <c r="G24" s="9" t="inlineStr">
        <is>
          <t>2025-01-07</t>
        </is>
      </c>
      <c r="H24" s="9" t="inlineStr">
        <is>
          <t>2025-01-20</t>
        </is>
      </c>
      <c r="I24" s="9" t="inlineStr">
        <is>
          <t>2025-01-16</t>
        </is>
      </c>
      <c r="J24" s="5" t="n">
        <v>625</v>
      </c>
      <c r="K24" s="11" t="n">
        <v>1065.7666015625</v>
      </c>
      <c r="L24" s="11" t="n">
        <v>986.445556640625</v>
      </c>
      <c r="M24" s="12">
        <f>J24*K24</f>
        <v/>
      </c>
      <c r="N24" s="12">
        <f>J24*L24</f>
        <v/>
      </c>
      <c r="O24" s="12">
        <f>M24+N24</f>
        <v/>
      </c>
      <c r="P24" s="12">
        <f>ROUND(O24*0.0005, 2)</f>
        <v/>
      </c>
      <c r="Q24" s="12">
        <f>N24-M24</f>
        <v/>
      </c>
      <c r="R24" s="12">
        <f>Q24-P24</f>
        <v/>
      </c>
      <c r="S24" s="13">
        <f>ROUND((R24/M24)*100, 2)</f>
        <v/>
      </c>
      <c r="T24" s="12">
        <f>ROUND(0.20*M24, 2)</f>
        <v/>
      </c>
      <c r="U24" s="13">
        <f>ROUND((R24/T24)*100, 2)</f>
        <v/>
      </c>
      <c r="V24" s="12">
        <f>V23+R24</f>
        <v/>
      </c>
      <c r="W24" s="12">
        <f>MAX(W23, V24)</f>
        <v/>
      </c>
      <c r="X24" s="12">
        <f>V24-W24</f>
        <v/>
      </c>
    </row>
    <row r="25">
      <c r="A25" s="9" t="n">
        <v>22</v>
      </c>
      <c r="B25" s="10" t="inlineStr">
        <is>
          <t>BAJAJ-AUTO</t>
        </is>
      </c>
      <c r="C25" s="9" t="inlineStr">
        <is>
          <t>Q2 2026-27</t>
        </is>
      </c>
      <c r="D25" s="9" t="inlineStr">
        <is>
          <t>FUTURE LONG</t>
        </is>
      </c>
      <c r="E25" s="9" t="inlineStr">
        <is>
          <t>T-8 to T+1</t>
        </is>
      </c>
      <c r="F25" s="9" t="inlineStr">
        <is>
          <t>70.0%</t>
        </is>
      </c>
      <c r="G25" s="9" t="inlineStr">
        <is>
          <t>2025-01-20</t>
        </is>
      </c>
      <c r="H25" s="9" t="inlineStr">
        <is>
          <t>2025-01-31</t>
        </is>
      </c>
      <c r="I25" s="9" t="inlineStr">
        <is>
          <t>2025-01-29</t>
        </is>
      </c>
      <c r="J25" s="5" t="n">
        <v>125</v>
      </c>
      <c r="K25" s="11" t="n">
        <v>8217.5556640625</v>
      </c>
      <c r="L25" s="11" t="n">
        <v>8509.349609375</v>
      </c>
      <c r="M25" s="12">
        <f>J25*K25</f>
        <v/>
      </c>
      <c r="N25" s="12">
        <f>J25*L25</f>
        <v/>
      </c>
      <c r="O25" s="12">
        <f>M25+N25</f>
        <v/>
      </c>
      <c r="P25" s="12">
        <f>ROUND(O25*0.0005, 2)</f>
        <v/>
      </c>
      <c r="Q25" s="12">
        <f>N25-M25</f>
        <v/>
      </c>
      <c r="R25" s="12">
        <f>Q25-P25</f>
        <v/>
      </c>
      <c r="S25" s="13">
        <f>ROUND((R25/M25)*100, 2)</f>
        <v/>
      </c>
      <c r="T25" s="12">
        <f>ROUND(0.20*M25, 2)</f>
        <v/>
      </c>
      <c r="U25" s="13">
        <f>ROUND((R25/T25)*100, 2)</f>
        <v/>
      </c>
      <c r="V25" s="12">
        <f>V24+R25</f>
        <v/>
      </c>
      <c r="W25" s="12">
        <f>MAX(W24, V25)</f>
        <v/>
      </c>
      <c r="X25" s="12">
        <f>V25-W25</f>
        <v/>
      </c>
    </row>
    <row r="26">
      <c r="A26" s="9" t="n">
        <v>23</v>
      </c>
      <c r="B26" s="10" t="inlineStr">
        <is>
          <t>BAJAJFINSV</t>
        </is>
      </c>
      <c r="C26" s="9" t="inlineStr">
        <is>
          <t>Q2 2026-27</t>
        </is>
      </c>
      <c r="D26" s="9" t="inlineStr">
        <is>
          <t>FUTURE LONG</t>
        </is>
      </c>
      <c r="E26" s="9" t="inlineStr">
        <is>
          <t>T-8 to T+1</t>
        </is>
      </c>
      <c r="F26" s="9" t="inlineStr">
        <is>
          <t>65.0%</t>
        </is>
      </c>
      <c r="G26" s="9" t="inlineStr">
        <is>
          <t>2025-01-21</t>
        </is>
      </c>
      <c r="H26" s="9" t="inlineStr">
        <is>
          <t>2025-02-01</t>
        </is>
      </c>
      <c r="I26" s="9" t="inlineStr">
        <is>
          <t>2025-01-30</t>
        </is>
      </c>
      <c r="J26" s="5" t="n">
        <v>500</v>
      </c>
      <c r="K26" s="11" t="n">
        <v>1714.70068359375</v>
      </c>
      <c r="L26" s="11" t="n">
        <v>1751.651123046875</v>
      </c>
      <c r="M26" s="12">
        <f>J26*K26</f>
        <v/>
      </c>
      <c r="N26" s="12">
        <f>J26*L26</f>
        <v/>
      </c>
      <c r="O26" s="12">
        <f>M26+N26</f>
        <v/>
      </c>
      <c r="P26" s="12">
        <f>ROUND(O26*0.0005, 2)</f>
        <v/>
      </c>
      <c r="Q26" s="12">
        <f>N26-M26</f>
        <v/>
      </c>
      <c r="R26" s="12">
        <f>Q26-P26</f>
        <v/>
      </c>
      <c r="S26" s="13">
        <f>ROUND((R26/M26)*100, 2)</f>
        <v/>
      </c>
      <c r="T26" s="12">
        <f>ROUND(0.20*M26, 2)</f>
        <v/>
      </c>
      <c r="U26" s="13">
        <f>ROUND((R26/T26)*100, 2)</f>
        <v/>
      </c>
      <c r="V26" s="12">
        <f>V25+R26</f>
        <v/>
      </c>
      <c r="W26" s="12">
        <f>MAX(W25, V26)</f>
        <v/>
      </c>
      <c r="X26" s="12">
        <f>V26-W26</f>
        <v/>
      </c>
    </row>
    <row r="27">
      <c r="A27" s="9" t="n">
        <v>24</v>
      </c>
      <c r="B27" s="10" t="inlineStr">
        <is>
          <t>BAJAJHLDNG</t>
        </is>
      </c>
      <c r="C27" s="9" t="inlineStr">
        <is>
          <t>Q2 2026-27</t>
        </is>
      </c>
      <c r="D27" s="9" t="inlineStr">
        <is>
          <t>FUTURE LONG</t>
        </is>
      </c>
      <c r="E27" s="9" t="inlineStr">
        <is>
          <t>T-8 to T+1</t>
        </is>
      </c>
      <c r="F27" s="9" t="inlineStr">
        <is>
          <t>65.0%</t>
        </is>
      </c>
      <c r="G27" s="9" t="inlineStr">
        <is>
          <t>2025-01-20</t>
        </is>
      </c>
      <c r="H27" s="9" t="inlineStr">
        <is>
          <t>2025-01-31</t>
        </is>
      </c>
      <c r="I27" s="9" t="inlineStr">
        <is>
          <t>2025-01-30</t>
        </is>
      </c>
      <c r="J27" s="5" t="n">
        <v>100</v>
      </c>
      <c r="K27" s="11" t="n">
        <v>10654.1298828125</v>
      </c>
      <c r="L27" s="11" t="n">
        <v>11338.6884765625</v>
      </c>
      <c r="M27" s="12">
        <f>J27*K27</f>
        <v/>
      </c>
      <c r="N27" s="12">
        <f>J27*L27</f>
        <v/>
      </c>
      <c r="O27" s="12">
        <f>M27+N27</f>
        <v/>
      </c>
      <c r="P27" s="12">
        <f>ROUND(O27*0.0005, 2)</f>
        <v/>
      </c>
      <c r="Q27" s="12">
        <f>N27-M27</f>
        <v/>
      </c>
      <c r="R27" s="12">
        <f>Q27-P27</f>
        <v/>
      </c>
      <c r="S27" s="13">
        <f>ROUND((R27/M27)*100, 2)</f>
        <v/>
      </c>
      <c r="T27" s="12">
        <f>ROUND(0.20*M27, 2)</f>
        <v/>
      </c>
      <c r="U27" s="13">
        <f>ROUND((R27/T27)*100, 2)</f>
        <v/>
      </c>
      <c r="V27" s="12">
        <f>V26+R27</f>
        <v/>
      </c>
      <c r="W27" s="12">
        <f>MAX(W26, V27)</f>
        <v/>
      </c>
      <c r="X27" s="12">
        <f>V27-W27</f>
        <v/>
      </c>
    </row>
    <row r="28">
      <c r="A28" s="9" t="n">
        <v>25</v>
      </c>
      <c r="B28" s="10" t="inlineStr">
        <is>
          <t>BAJFINANCE</t>
        </is>
      </c>
      <c r="C28" s="9" t="inlineStr">
        <is>
          <t>Q2 2026-27</t>
        </is>
      </c>
      <c r="D28" s="9" t="inlineStr">
        <is>
          <t>FUTURE LONG</t>
        </is>
      </c>
      <c r="E28" s="9" t="inlineStr">
        <is>
          <t>T-8 to T+1</t>
        </is>
      </c>
      <c r="F28" s="9" t="inlineStr">
        <is>
          <t>60.0%</t>
        </is>
      </c>
      <c r="G28" s="9" t="inlineStr">
        <is>
          <t>2025-01-20</t>
        </is>
      </c>
      <c r="H28" s="9" t="inlineStr">
        <is>
          <t>2025-01-31</t>
        </is>
      </c>
      <c r="I28" s="9" t="inlineStr">
        <is>
          <t>2025-01-29</t>
        </is>
      </c>
      <c r="J28" s="5" t="n">
        <v>125</v>
      </c>
      <c r="K28" s="11" t="n">
        <v>734.929443359375</v>
      </c>
      <c r="L28" s="11" t="n">
        <v>778.8864135742188</v>
      </c>
      <c r="M28" s="12">
        <f>J28*K28</f>
        <v/>
      </c>
      <c r="N28" s="12">
        <f>J28*L28</f>
        <v/>
      </c>
      <c r="O28" s="12">
        <f>M28+N28</f>
        <v/>
      </c>
      <c r="P28" s="12">
        <f>ROUND(O28*0.0005, 2)</f>
        <v/>
      </c>
      <c r="Q28" s="12">
        <f>N28-M28</f>
        <v/>
      </c>
      <c r="R28" s="12">
        <f>Q28-P28</f>
        <v/>
      </c>
      <c r="S28" s="13">
        <f>ROUND((R28/M28)*100, 2)</f>
        <v/>
      </c>
      <c r="T28" s="12">
        <f>ROUND(0.20*M28, 2)</f>
        <v/>
      </c>
      <c r="U28" s="13">
        <f>ROUND((R28/T28)*100, 2)</f>
        <v/>
      </c>
      <c r="V28" s="12">
        <f>V27+R28</f>
        <v/>
      </c>
      <c r="W28" s="12">
        <f>MAX(W27, V28)</f>
        <v/>
      </c>
      <c r="X28" s="12">
        <f>V28-W28</f>
        <v/>
      </c>
    </row>
    <row r="29">
      <c r="A29" s="9" t="n">
        <v>26</v>
      </c>
      <c r="B29" s="10" t="inlineStr">
        <is>
          <t>BANDHANBNK</t>
        </is>
      </c>
      <c r="C29" s="9" t="inlineStr">
        <is>
          <t>Q2 2026-27</t>
        </is>
      </c>
      <c r="D29" s="9" t="inlineStr">
        <is>
          <t>FUTURE LONG</t>
        </is>
      </c>
      <c r="E29" s="9" t="inlineStr">
        <is>
          <t>T-8 to T+1</t>
        </is>
      </c>
      <c r="F29" s="9" t="inlineStr">
        <is>
          <t>65.0%</t>
        </is>
      </c>
      <c r="G29" s="9" t="inlineStr">
        <is>
          <t>2025-01-21</t>
        </is>
      </c>
      <c r="H29" s="9" t="inlineStr">
        <is>
          <t>2025-02-01</t>
        </is>
      </c>
      <c r="I29" s="9" t="inlineStr">
        <is>
          <t>2025-01-31</t>
        </is>
      </c>
      <c r="J29" s="5" t="n">
        <v>6773</v>
      </c>
      <c r="K29" s="11" t="n">
        <v>147.6398468017578</v>
      </c>
      <c r="L29" s="11" t="n">
        <v>148.7303466796875</v>
      </c>
      <c r="M29" s="12">
        <f>J29*K29</f>
        <v/>
      </c>
      <c r="N29" s="12">
        <f>J29*L29</f>
        <v/>
      </c>
      <c r="O29" s="12">
        <f>M29+N29</f>
        <v/>
      </c>
      <c r="P29" s="12">
        <f>ROUND(O29*0.0005, 2)</f>
        <v/>
      </c>
      <c r="Q29" s="12">
        <f>N29-M29</f>
        <v/>
      </c>
      <c r="R29" s="12">
        <f>Q29-P29</f>
        <v/>
      </c>
      <c r="S29" s="13">
        <f>ROUND((R29/M29)*100, 2)</f>
        <v/>
      </c>
      <c r="T29" s="12">
        <f>ROUND(0.20*M29, 2)</f>
        <v/>
      </c>
      <c r="U29" s="13">
        <f>ROUND((R29/T29)*100, 2)</f>
        <v/>
      </c>
      <c r="V29" s="12">
        <f>V28+R29</f>
        <v/>
      </c>
      <c r="W29" s="12">
        <f>MAX(W28, V29)</f>
        <v/>
      </c>
      <c r="X29" s="12">
        <f>V29-W29</f>
        <v/>
      </c>
    </row>
    <row r="30">
      <c r="A30" s="9" t="n">
        <v>27</v>
      </c>
      <c r="B30" s="10" t="inlineStr">
        <is>
          <t>BANKBARODA</t>
        </is>
      </c>
      <c r="C30" s="9" t="inlineStr">
        <is>
          <t>Q2 2026-27</t>
        </is>
      </c>
      <c r="D30" s="9" t="inlineStr">
        <is>
          <t>FUTURE LONG</t>
        </is>
      </c>
      <c r="E30" s="9" t="inlineStr">
        <is>
          <t>T-8 to T+1</t>
        </is>
      </c>
      <c r="F30" s="9" t="inlineStr">
        <is>
          <t>70.0%</t>
        </is>
      </c>
      <c r="G30" s="9" t="inlineStr">
        <is>
          <t>2025-01-20</t>
        </is>
      </c>
      <c r="H30" s="9" t="inlineStr">
        <is>
          <t>2025-01-31</t>
        </is>
      </c>
      <c r="I30" s="9" t="inlineStr">
        <is>
          <t>2025-01-30</t>
        </is>
      </c>
      <c r="J30" s="5" t="n">
        <v>4600</v>
      </c>
      <c r="K30" s="11" t="n">
        <v>217.3568115234375</v>
      </c>
      <c r="L30" s="11" t="n">
        <v>199.8180541992188</v>
      </c>
      <c r="M30" s="12">
        <f>J30*K30</f>
        <v/>
      </c>
      <c r="N30" s="12">
        <f>J30*L30</f>
        <v/>
      </c>
      <c r="O30" s="12">
        <f>M30+N30</f>
        <v/>
      </c>
      <c r="P30" s="12">
        <f>ROUND(O30*0.0005, 2)</f>
        <v/>
      </c>
      <c r="Q30" s="12">
        <f>N30-M30</f>
        <v/>
      </c>
      <c r="R30" s="12">
        <f>Q30-P30</f>
        <v/>
      </c>
      <c r="S30" s="13">
        <f>ROUND((R30/M30)*100, 2)</f>
        <v/>
      </c>
      <c r="T30" s="12">
        <f>ROUND(0.20*M30, 2)</f>
        <v/>
      </c>
      <c r="U30" s="13">
        <f>ROUND((R30/T30)*100, 2)</f>
        <v/>
      </c>
      <c r="V30" s="12">
        <f>V29+R30</f>
        <v/>
      </c>
      <c r="W30" s="12">
        <f>MAX(W29, V30)</f>
        <v/>
      </c>
      <c r="X30" s="12">
        <f>V30-W30</f>
        <v/>
      </c>
    </row>
    <row r="31">
      <c r="A31" s="9" t="n">
        <v>28</v>
      </c>
      <c r="B31" s="10" t="inlineStr">
        <is>
          <t>BANKINDIA</t>
        </is>
      </c>
      <c r="C31" s="9" t="inlineStr">
        <is>
          <t>Q2 2026-27</t>
        </is>
      </c>
      <c r="D31" s="9" t="inlineStr">
        <is>
          <t>FUTURE LONG</t>
        </is>
      </c>
      <c r="E31" s="9" t="inlineStr">
        <is>
          <t>T-8 to T+1</t>
        </is>
      </c>
      <c r="F31" s="9" t="inlineStr">
        <is>
          <t>65.0%</t>
        </is>
      </c>
      <c r="G31" s="9" t="inlineStr">
        <is>
          <t>2025-01-14</t>
        </is>
      </c>
      <c r="H31" s="9" t="inlineStr">
        <is>
          <t>2025-01-27</t>
        </is>
      </c>
      <c r="I31" s="9" t="inlineStr">
        <is>
          <t>2025-01-24</t>
        </is>
      </c>
      <c r="J31" s="5" t="n">
        <v>11309</v>
      </c>
      <c r="K31" s="11" t="n">
        <v>88.41902923583984</v>
      </c>
      <c r="L31" s="11" t="n">
        <v>97.45529174804688</v>
      </c>
      <c r="M31" s="12">
        <f>J31*K31</f>
        <v/>
      </c>
      <c r="N31" s="12">
        <f>J31*L31</f>
        <v/>
      </c>
      <c r="O31" s="12">
        <f>M31+N31</f>
        <v/>
      </c>
      <c r="P31" s="12">
        <f>ROUND(O31*0.0005, 2)</f>
        <v/>
      </c>
      <c r="Q31" s="12">
        <f>N31-M31</f>
        <v/>
      </c>
      <c r="R31" s="12">
        <f>Q31-P31</f>
        <v/>
      </c>
      <c r="S31" s="13">
        <f>ROUND((R31/M31)*100, 2)</f>
        <v/>
      </c>
      <c r="T31" s="12">
        <f>ROUND(0.20*M31, 2)</f>
        <v/>
      </c>
      <c r="U31" s="13">
        <f>ROUND((R31/T31)*100, 2)</f>
        <v/>
      </c>
      <c r="V31" s="12">
        <f>V30+R31</f>
        <v/>
      </c>
      <c r="W31" s="12">
        <f>MAX(W30, V31)</f>
        <v/>
      </c>
      <c r="X31" s="12">
        <f>V31-W31</f>
        <v/>
      </c>
    </row>
    <row r="32">
      <c r="A32" s="9" t="n">
        <v>29</v>
      </c>
      <c r="B32" s="10" t="inlineStr">
        <is>
          <t>BDL</t>
        </is>
      </c>
      <c r="C32" s="9" t="inlineStr">
        <is>
          <t>Q2 2026-27</t>
        </is>
      </c>
      <c r="D32" s="9" t="inlineStr">
        <is>
          <t>FUTURE LONG</t>
        </is>
      </c>
      <c r="E32" s="9" t="inlineStr">
        <is>
          <t>T-8 to T+1</t>
        </is>
      </c>
      <c r="F32" s="9" t="inlineStr">
        <is>
          <t>70.0%</t>
        </is>
      </c>
      <c r="G32" s="9" t="inlineStr">
        <is>
          <t>2025-02-24</t>
        </is>
      </c>
      <c r="H32" s="9" t="inlineStr">
        <is>
          <t>2025-03-10</t>
        </is>
      </c>
      <c r="I32" s="9" t="inlineStr">
        <is>
          <t>2025-03-07</t>
        </is>
      </c>
      <c r="J32" s="5" t="n">
        <v>992</v>
      </c>
      <c r="K32" s="11" t="n">
        <v>1007.554260253906</v>
      </c>
      <c r="L32" s="11" t="n">
        <v>1138.883544921875</v>
      </c>
      <c r="M32" s="12">
        <f>J32*K32</f>
        <v/>
      </c>
      <c r="N32" s="12">
        <f>J32*L32</f>
        <v/>
      </c>
      <c r="O32" s="12">
        <f>M32+N32</f>
        <v/>
      </c>
      <c r="P32" s="12">
        <f>ROUND(O32*0.0005, 2)</f>
        <v/>
      </c>
      <c r="Q32" s="12">
        <f>N32-M32</f>
        <v/>
      </c>
      <c r="R32" s="12">
        <f>Q32-P32</f>
        <v/>
      </c>
      <c r="S32" s="13">
        <f>ROUND((R32/M32)*100, 2)</f>
        <v/>
      </c>
      <c r="T32" s="12">
        <f>ROUND(0.20*M32, 2)</f>
        <v/>
      </c>
      <c r="U32" s="13">
        <f>ROUND((R32/T32)*100, 2)</f>
        <v/>
      </c>
      <c r="V32" s="12">
        <f>V31+R32</f>
        <v/>
      </c>
      <c r="W32" s="12">
        <f>MAX(W31, V32)</f>
        <v/>
      </c>
      <c r="X32" s="12">
        <f>V32-W32</f>
        <v/>
      </c>
    </row>
    <row r="33">
      <c r="A33" s="9" t="n">
        <v>30</v>
      </c>
      <c r="B33" s="10" t="inlineStr">
        <is>
          <t>BEL</t>
        </is>
      </c>
      <c r="C33" s="9" t="inlineStr">
        <is>
          <t>Q2 2026-27</t>
        </is>
      </c>
      <c r="D33" s="9" t="inlineStr">
        <is>
          <t>FUTURE LONG</t>
        </is>
      </c>
      <c r="E33" s="9" t="inlineStr">
        <is>
          <t>T-8 to T+1</t>
        </is>
      </c>
      <c r="F33" s="9" t="inlineStr">
        <is>
          <t>80.0%</t>
        </is>
      </c>
      <c r="G33" s="9" t="inlineStr">
        <is>
          <t>2025-01-21</t>
        </is>
      </c>
      <c r="H33" s="9" t="inlineStr">
        <is>
          <t>2025-02-01</t>
        </is>
      </c>
      <c r="I33" s="9" t="inlineStr">
        <is>
          <t>2025-01-30</t>
        </is>
      </c>
      <c r="J33" s="5" t="n">
        <v>3627</v>
      </c>
      <c r="K33" s="11" t="n">
        <v>275.6475830078125</v>
      </c>
      <c r="L33" s="11" t="n">
        <v>278.4139404296875</v>
      </c>
      <c r="M33" s="12">
        <f>J33*K33</f>
        <v/>
      </c>
      <c r="N33" s="12">
        <f>J33*L33</f>
        <v/>
      </c>
      <c r="O33" s="12">
        <f>M33+N33</f>
        <v/>
      </c>
      <c r="P33" s="12">
        <f>ROUND(O33*0.0005, 2)</f>
        <v/>
      </c>
      <c r="Q33" s="12">
        <f>N33-M33</f>
        <v/>
      </c>
      <c r="R33" s="12">
        <f>Q33-P33</f>
        <v/>
      </c>
      <c r="S33" s="13">
        <f>ROUND((R33/M33)*100, 2)</f>
        <v/>
      </c>
      <c r="T33" s="12">
        <f>ROUND(0.20*M33, 2)</f>
        <v/>
      </c>
      <c r="U33" s="13">
        <f>ROUND((R33/T33)*100, 2)</f>
        <v/>
      </c>
      <c r="V33" s="12">
        <f>V32+R33</f>
        <v/>
      </c>
      <c r="W33" s="12">
        <f>MAX(W32, V33)</f>
        <v/>
      </c>
      <c r="X33" s="12">
        <f>V33-W33</f>
        <v/>
      </c>
    </row>
    <row r="34">
      <c r="A34" s="9" t="n">
        <v>31</v>
      </c>
      <c r="B34" s="10" t="inlineStr">
        <is>
          <t>BHARATFORG</t>
        </is>
      </c>
      <c r="C34" s="9" t="inlineStr">
        <is>
          <t>Q2 2026-27</t>
        </is>
      </c>
      <c r="D34" s="9" t="inlineStr">
        <is>
          <t>FUTURE LONG</t>
        </is>
      </c>
      <c r="E34" s="9" t="inlineStr">
        <is>
          <t>T-8 to T+1</t>
        </is>
      </c>
      <c r="F34" s="9" t="inlineStr">
        <is>
          <t>60.0%</t>
        </is>
      </c>
      <c r="G34" s="9" t="inlineStr">
        <is>
          <t>2025-02-03</t>
        </is>
      </c>
      <c r="H34" s="9" t="inlineStr">
        <is>
          <t>2025-02-14</t>
        </is>
      </c>
      <c r="I34" s="9" t="inlineStr">
        <is>
          <t>2025-02-13</t>
        </is>
      </c>
      <c r="J34" s="5" t="n">
        <v>887</v>
      </c>
      <c r="K34" s="11" t="n">
        <v>1126.50927734375</v>
      </c>
      <c r="L34" s="11" t="n">
        <v>1066.430786132812</v>
      </c>
      <c r="M34" s="12">
        <f>J34*K34</f>
        <v/>
      </c>
      <c r="N34" s="12">
        <f>J34*L34</f>
        <v/>
      </c>
      <c r="O34" s="12">
        <f>M34+N34</f>
        <v/>
      </c>
      <c r="P34" s="12">
        <f>ROUND(O34*0.0005, 2)</f>
        <v/>
      </c>
      <c r="Q34" s="12">
        <f>N34-M34</f>
        <v/>
      </c>
      <c r="R34" s="12">
        <f>Q34-P34</f>
        <v/>
      </c>
      <c r="S34" s="13">
        <f>ROUND((R34/M34)*100, 2)</f>
        <v/>
      </c>
      <c r="T34" s="12">
        <f>ROUND(0.20*M34, 2)</f>
        <v/>
      </c>
      <c r="U34" s="13">
        <f>ROUND((R34/T34)*100, 2)</f>
        <v/>
      </c>
      <c r="V34" s="12">
        <f>V33+R34</f>
        <v/>
      </c>
      <c r="W34" s="12">
        <f>MAX(W33, V34)</f>
        <v/>
      </c>
      <c r="X34" s="12">
        <f>V34-W34</f>
        <v/>
      </c>
    </row>
    <row r="35">
      <c r="A35" s="9" t="n">
        <v>32</v>
      </c>
      <c r="B35" s="10" t="inlineStr">
        <is>
          <t>BHARTIARTL</t>
        </is>
      </c>
      <c r="C35" s="9" t="inlineStr">
        <is>
          <t>Q2 2026-27</t>
        </is>
      </c>
      <c r="D35" s="9" t="inlineStr">
        <is>
          <t>FUTURE LONG</t>
        </is>
      </c>
      <c r="E35" s="9" t="inlineStr">
        <is>
          <t>T-8 to T+1</t>
        </is>
      </c>
      <c r="F35" s="9" t="inlineStr">
        <is>
          <t>65.0%</t>
        </is>
      </c>
      <c r="G35" s="9" t="inlineStr">
        <is>
          <t>2025-01-29</t>
        </is>
      </c>
      <c r="H35" s="9" t="inlineStr">
        <is>
          <t>2025-02-10</t>
        </is>
      </c>
      <c r="I35" s="9" t="inlineStr">
        <is>
          <t>2025-02-06</t>
        </is>
      </c>
      <c r="J35" s="5" t="n">
        <v>950</v>
      </c>
      <c r="K35" s="11" t="n">
        <v>1587.181274414062</v>
      </c>
      <c r="L35" s="11" t="n">
        <v>1679.013671875</v>
      </c>
      <c r="M35" s="12">
        <f>J35*K35</f>
        <v/>
      </c>
      <c r="N35" s="12">
        <f>J35*L35</f>
        <v/>
      </c>
      <c r="O35" s="12">
        <f>M35+N35</f>
        <v/>
      </c>
      <c r="P35" s="12">
        <f>ROUND(O35*0.0005, 2)</f>
        <v/>
      </c>
      <c r="Q35" s="12">
        <f>N35-M35</f>
        <v/>
      </c>
      <c r="R35" s="12">
        <f>Q35-P35</f>
        <v/>
      </c>
      <c r="S35" s="13">
        <f>ROUND((R35/M35)*100, 2)</f>
        <v/>
      </c>
      <c r="T35" s="12">
        <f>ROUND(0.20*M35, 2)</f>
        <v/>
      </c>
      <c r="U35" s="13">
        <f>ROUND((R35/T35)*100, 2)</f>
        <v/>
      </c>
      <c r="V35" s="12">
        <f>V34+R35</f>
        <v/>
      </c>
      <c r="W35" s="12">
        <f>MAX(W34, V35)</f>
        <v/>
      </c>
      <c r="X35" s="12">
        <f>V35-W35</f>
        <v/>
      </c>
    </row>
    <row r="36">
      <c r="A36" s="9" t="n">
        <v>33</v>
      </c>
      <c r="B36" s="10" t="inlineStr">
        <is>
          <t>BHEL</t>
        </is>
      </c>
      <c r="C36" s="9" t="inlineStr">
        <is>
          <t>Q2 2026-27</t>
        </is>
      </c>
      <c r="D36" s="9" t="inlineStr">
        <is>
          <t>FUTURE LONG</t>
        </is>
      </c>
      <c r="E36" s="9" t="inlineStr">
        <is>
          <t>T-8 to T+1</t>
        </is>
      </c>
      <c r="F36" s="9" t="inlineStr">
        <is>
          <t>75.0%</t>
        </is>
      </c>
      <c r="G36" s="9" t="inlineStr">
        <is>
          <t>2025-01-16</t>
        </is>
      </c>
      <c r="H36" s="9" t="inlineStr">
        <is>
          <t>2025-01-29</t>
        </is>
      </c>
      <c r="I36" s="9" t="inlineStr">
        <is>
          <t>2025-01-28</t>
        </is>
      </c>
      <c r="J36" s="5" t="n">
        <v>4773</v>
      </c>
      <c r="K36" s="11" t="n">
        <v>209.4726867675781</v>
      </c>
      <c r="L36" s="11" t="n">
        <v>198.7996215820312</v>
      </c>
      <c r="M36" s="12">
        <f>J36*K36</f>
        <v/>
      </c>
      <c r="N36" s="12">
        <f>J36*L36</f>
        <v/>
      </c>
      <c r="O36" s="12">
        <f>M36+N36</f>
        <v/>
      </c>
      <c r="P36" s="12">
        <f>ROUND(O36*0.0005, 2)</f>
        <v/>
      </c>
      <c r="Q36" s="12">
        <f>N36-M36</f>
        <v/>
      </c>
      <c r="R36" s="12">
        <f>Q36-P36</f>
        <v/>
      </c>
      <c r="S36" s="13">
        <f>ROUND((R36/M36)*100, 2)</f>
        <v/>
      </c>
      <c r="T36" s="12">
        <f>ROUND(0.20*M36, 2)</f>
        <v/>
      </c>
      <c r="U36" s="13">
        <f>ROUND((R36/T36)*100, 2)</f>
        <v/>
      </c>
      <c r="V36" s="12">
        <f>V35+R36</f>
        <v/>
      </c>
      <c r="W36" s="12">
        <f>MAX(W35, V36)</f>
        <v/>
      </c>
      <c r="X36" s="12">
        <f>V36-W36</f>
        <v/>
      </c>
    </row>
    <row r="37">
      <c r="A37" s="9" t="n">
        <v>34</v>
      </c>
      <c r="B37" s="10" t="inlineStr">
        <is>
          <t>BIOCON</t>
        </is>
      </c>
      <c r="C37" s="9" t="inlineStr">
        <is>
          <t>Q2 2026-27</t>
        </is>
      </c>
      <c r="D37" s="9" t="inlineStr">
        <is>
          <t>FUTURE LONG</t>
        </is>
      </c>
      <c r="E37" s="9" t="inlineStr">
        <is>
          <t>T-8 to T+1</t>
        </is>
      </c>
      <c r="F37" s="9" t="inlineStr">
        <is>
          <t>65.0%</t>
        </is>
      </c>
      <c r="G37" s="9" t="inlineStr">
        <is>
          <t>2025-01-21</t>
        </is>
      </c>
      <c r="H37" s="9" t="inlineStr">
        <is>
          <t>2025-02-01</t>
        </is>
      </c>
      <c r="I37" s="9" t="inlineStr">
        <is>
          <t>2025-01-31</t>
        </is>
      </c>
      <c r="J37" s="5" t="n">
        <v>2566</v>
      </c>
      <c r="K37" s="11" t="n">
        <v>389.5626220703125</v>
      </c>
      <c r="L37" s="11" t="n">
        <v>369.5134582519531</v>
      </c>
      <c r="M37" s="12">
        <f>J37*K37</f>
        <v/>
      </c>
      <c r="N37" s="12">
        <f>J37*L37</f>
        <v/>
      </c>
      <c r="O37" s="12">
        <f>M37+N37</f>
        <v/>
      </c>
      <c r="P37" s="12">
        <f>ROUND(O37*0.0005, 2)</f>
        <v/>
      </c>
      <c r="Q37" s="12">
        <f>N37-M37</f>
        <v/>
      </c>
      <c r="R37" s="12">
        <f>Q37-P37</f>
        <v/>
      </c>
      <c r="S37" s="13">
        <f>ROUND((R37/M37)*100, 2)</f>
        <v/>
      </c>
      <c r="T37" s="12">
        <f>ROUND(0.20*M37, 2)</f>
        <v/>
      </c>
      <c r="U37" s="13">
        <f>ROUND((R37/T37)*100, 2)</f>
        <v/>
      </c>
      <c r="V37" s="12">
        <f>V36+R37</f>
        <v/>
      </c>
      <c r="W37" s="12">
        <f>MAX(W36, V37)</f>
        <v/>
      </c>
      <c r="X37" s="12">
        <f>V37-W37</f>
        <v/>
      </c>
    </row>
    <row r="38">
      <c r="A38" s="9" t="n">
        <v>35</v>
      </c>
      <c r="B38" s="10" t="inlineStr">
        <is>
          <t>BLUESTARCO</t>
        </is>
      </c>
      <c r="C38" s="9" t="inlineStr">
        <is>
          <t>Q2 2026-27</t>
        </is>
      </c>
      <c r="D38" s="9" t="inlineStr">
        <is>
          <t>FUTURE LONG</t>
        </is>
      </c>
      <c r="E38" s="9" t="inlineStr">
        <is>
          <t>T-8 to T+1</t>
        </is>
      </c>
      <c r="F38" s="9" t="inlineStr">
        <is>
          <t>60.0%</t>
        </is>
      </c>
      <c r="G38" s="9" t="inlineStr">
        <is>
          <t>2025-01-17</t>
        </is>
      </c>
      <c r="H38" s="9" t="inlineStr">
        <is>
          <t>2025-01-30</t>
        </is>
      </c>
      <c r="I38" s="9" t="inlineStr">
        <is>
          <t>2025-01-29</t>
        </is>
      </c>
      <c r="J38" s="5" t="n">
        <v>524</v>
      </c>
      <c r="K38" s="11" t="n">
        <v>1904.8134765625</v>
      </c>
      <c r="L38" s="11" t="n">
        <v>1780.671630859375</v>
      </c>
      <c r="M38" s="12">
        <f>J38*K38</f>
        <v/>
      </c>
      <c r="N38" s="12">
        <f>J38*L38</f>
        <v/>
      </c>
      <c r="O38" s="12">
        <f>M38+N38</f>
        <v/>
      </c>
      <c r="P38" s="12">
        <f>ROUND(O38*0.0005, 2)</f>
        <v/>
      </c>
      <c r="Q38" s="12">
        <f>N38-M38</f>
        <v/>
      </c>
      <c r="R38" s="12">
        <f>Q38-P38</f>
        <v/>
      </c>
      <c r="S38" s="13">
        <f>ROUND((R38/M38)*100, 2)</f>
        <v/>
      </c>
      <c r="T38" s="12">
        <f>ROUND(0.20*M38, 2)</f>
        <v/>
      </c>
      <c r="U38" s="13">
        <f>ROUND((R38/T38)*100, 2)</f>
        <v/>
      </c>
      <c r="V38" s="12">
        <f>V37+R38</f>
        <v/>
      </c>
      <c r="W38" s="12">
        <f>MAX(W37, V38)</f>
        <v/>
      </c>
      <c r="X38" s="12">
        <f>V38-W38</f>
        <v/>
      </c>
    </row>
    <row r="39">
      <c r="A39" s="9" t="n">
        <v>36</v>
      </c>
      <c r="B39" s="10" t="inlineStr">
        <is>
          <t>BOSCHLTD</t>
        </is>
      </c>
      <c r="C39" s="9" t="inlineStr">
        <is>
          <t>Q2 2026-27</t>
        </is>
      </c>
      <c r="D39" s="9" t="inlineStr">
        <is>
          <t>FUTURE LONG</t>
        </is>
      </c>
      <c r="E39" s="9" t="inlineStr">
        <is>
          <t>T-8 to T+1</t>
        </is>
      </c>
      <c r="F39" s="9" t="inlineStr">
        <is>
          <t>65.0%</t>
        </is>
      </c>
      <c r="G39" s="9" t="inlineStr">
        <is>
          <t>2025-01-16</t>
        </is>
      </c>
      <c r="H39" s="9" t="inlineStr">
        <is>
          <t>2025-01-29</t>
        </is>
      </c>
      <c r="I39" s="9" t="inlineStr">
        <is>
          <t>2025-01-28</t>
        </is>
      </c>
      <c r="J39" s="5" t="n">
        <v>100</v>
      </c>
      <c r="K39" s="11" t="n">
        <v>30934.486328125</v>
      </c>
      <c r="L39" s="11" t="n">
        <v>27778.669921875</v>
      </c>
      <c r="M39" s="12">
        <f>J39*K39</f>
        <v/>
      </c>
      <c r="N39" s="12">
        <f>J39*L39</f>
        <v/>
      </c>
      <c r="O39" s="12">
        <f>M39+N39</f>
        <v/>
      </c>
      <c r="P39" s="12">
        <f>ROUND(O39*0.0005, 2)</f>
        <v/>
      </c>
      <c r="Q39" s="12">
        <f>N39-M39</f>
        <v/>
      </c>
      <c r="R39" s="12">
        <f>Q39-P39</f>
        <v/>
      </c>
      <c r="S39" s="13">
        <f>ROUND((R39/M39)*100, 2)</f>
        <v/>
      </c>
      <c r="T39" s="12">
        <f>ROUND(0.20*M39, 2)</f>
        <v/>
      </c>
      <c r="U39" s="13">
        <f>ROUND((R39/T39)*100, 2)</f>
        <v/>
      </c>
      <c r="V39" s="12">
        <f>V38+R39</f>
        <v/>
      </c>
      <c r="W39" s="12">
        <f>MAX(W38, V39)</f>
        <v/>
      </c>
      <c r="X39" s="12">
        <f>V39-W39</f>
        <v/>
      </c>
    </row>
    <row r="40">
      <c r="A40" s="9" t="n">
        <v>37</v>
      </c>
      <c r="B40" s="10" t="inlineStr">
        <is>
          <t>BPCL</t>
        </is>
      </c>
      <c r="C40" s="9" t="inlineStr">
        <is>
          <t>Q2 2026-27</t>
        </is>
      </c>
      <c r="D40" s="9" t="inlineStr">
        <is>
          <t>FUTURE LONG</t>
        </is>
      </c>
      <c r="E40" s="9" t="inlineStr">
        <is>
          <t>T-8 to T+1</t>
        </is>
      </c>
      <c r="F40" s="9" t="inlineStr">
        <is>
          <t>65.0%</t>
        </is>
      </c>
      <c r="G40" s="9" t="inlineStr">
        <is>
          <t>2025-01-14</t>
        </is>
      </c>
      <c r="H40" s="9" t="inlineStr">
        <is>
          <t>2025-01-27</t>
        </is>
      </c>
      <c r="I40" s="9" t="inlineStr">
        <is>
          <t>2025-01-23</t>
        </is>
      </c>
      <c r="J40" s="5" t="n">
        <v>1800</v>
      </c>
      <c r="K40" s="11" t="n">
        <v>248.6977996826172</v>
      </c>
      <c r="L40" s="11" t="n">
        <v>240.5060119628907</v>
      </c>
      <c r="M40" s="12">
        <f>J40*K40</f>
        <v/>
      </c>
      <c r="N40" s="12">
        <f>J40*L40</f>
        <v/>
      </c>
      <c r="O40" s="12">
        <f>M40+N40</f>
        <v/>
      </c>
      <c r="P40" s="12">
        <f>ROUND(O40*0.0005, 2)</f>
        <v/>
      </c>
      <c r="Q40" s="12">
        <f>N40-M40</f>
        <v/>
      </c>
      <c r="R40" s="12">
        <f>Q40-P40</f>
        <v/>
      </c>
      <c r="S40" s="13">
        <f>ROUND((R40/M40)*100, 2)</f>
        <v/>
      </c>
      <c r="T40" s="12">
        <f>ROUND(0.20*M40, 2)</f>
        <v/>
      </c>
      <c r="U40" s="13">
        <f>ROUND((R40/T40)*100, 2)</f>
        <v/>
      </c>
      <c r="V40" s="12">
        <f>V39+R40</f>
        <v/>
      </c>
      <c r="W40" s="12">
        <f>MAX(W39, V40)</f>
        <v/>
      </c>
      <c r="X40" s="12">
        <f>V40-W40</f>
        <v/>
      </c>
    </row>
    <row r="41">
      <c r="A41" s="9" t="n">
        <v>38</v>
      </c>
      <c r="B41" s="10" t="inlineStr">
        <is>
          <t>BRITANNIA</t>
        </is>
      </c>
      <c r="C41" s="9" t="inlineStr">
        <is>
          <t>Q2 2026-27</t>
        </is>
      </c>
      <c r="D41" s="9" t="inlineStr">
        <is>
          <t>FUTURE LONG</t>
        </is>
      </c>
      <c r="E41" s="9" t="inlineStr">
        <is>
          <t>T-8 to T+1</t>
        </is>
      </c>
      <c r="F41" s="9" t="inlineStr">
        <is>
          <t>65.0%</t>
        </is>
      </c>
      <c r="G41" s="9" t="inlineStr">
        <is>
          <t>2025-01-29</t>
        </is>
      </c>
      <c r="H41" s="9" t="inlineStr">
        <is>
          <t>2025-02-10</t>
        </is>
      </c>
      <c r="I41" s="9" t="inlineStr">
        <is>
          <t>2025-02-06</t>
        </is>
      </c>
      <c r="J41" s="5" t="n">
        <v>200</v>
      </c>
      <c r="K41" s="11" t="n">
        <v>4971.89306640625</v>
      </c>
      <c r="L41" s="11" t="n">
        <v>4846.14111328125</v>
      </c>
      <c r="M41" s="12">
        <f>J41*K41</f>
        <v/>
      </c>
      <c r="N41" s="12">
        <f>J41*L41</f>
        <v/>
      </c>
      <c r="O41" s="12">
        <f>M41+N41</f>
        <v/>
      </c>
      <c r="P41" s="12">
        <f>ROUND(O41*0.0005, 2)</f>
        <v/>
      </c>
      <c r="Q41" s="12">
        <f>N41-M41</f>
        <v/>
      </c>
      <c r="R41" s="12">
        <f>Q41-P41</f>
        <v/>
      </c>
      <c r="S41" s="13">
        <f>ROUND((R41/M41)*100, 2)</f>
        <v/>
      </c>
      <c r="T41" s="12">
        <f>ROUND(0.20*M41, 2)</f>
        <v/>
      </c>
      <c r="U41" s="13">
        <f>ROUND((R41/T41)*100, 2)</f>
        <v/>
      </c>
      <c r="V41" s="12">
        <f>V40+R41</f>
        <v/>
      </c>
      <c r="W41" s="12">
        <f>MAX(W40, V41)</f>
        <v/>
      </c>
      <c r="X41" s="12">
        <f>V41-W41</f>
        <v/>
      </c>
    </row>
    <row r="42">
      <c r="A42" s="9" t="n">
        <v>39</v>
      </c>
      <c r="B42" s="10" t="inlineStr">
        <is>
          <t>BSE</t>
        </is>
      </c>
      <c r="C42" s="9" t="inlineStr">
        <is>
          <t>Q2 2026-27</t>
        </is>
      </c>
      <c r="D42" s="9" t="inlineStr">
        <is>
          <t>FUTURE LONG</t>
        </is>
      </c>
      <c r="E42" s="9" t="inlineStr">
        <is>
          <t>T-8 to T+1</t>
        </is>
      </c>
      <c r="F42" s="9" t="inlineStr">
        <is>
          <t>70.0%</t>
        </is>
      </c>
      <c r="G42" s="9" t="inlineStr">
        <is>
          <t>2025-01-28</t>
        </is>
      </c>
      <c r="H42" s="9" t="inlineStr">
        <is>
          <t>2025-02-07</t>
        </is>
      </c>
      <c r="I42" s="9" t="inlineStr">
        <is>
          <t>2025-02-06</t>
        </is>
      </c>
      <c r="J42" s="5" t="n">
        <v>585</v>
      </c>
      <c r="K42" s="11" t="n">
        <v>1709.009887695312</v>
      </c>
      <c r="L42" s="11" t="n">
        <v>1897.699462890625</v>
      </c>
      <c r="M42" s="12">
        <f>J42*K42</f>
        <v/>
      </c>
      <c r="N42" s="12">
        <f>J42*L42</f>
        <v/>
      </c>
      <c r="O42" s="12">
        <f>M42+N42</f>
        <v/>
      </c>
      <c r="P42" s="12">
        <f>ROUND(O42*0.0005, 2)</f>
        <v/>
      </c>
      <c r="Q42" s="12">
        <f>N42-M42</f>
        <v/>
      </c>
      <c r="R42" s="12">
        <f>Q42-P42</f>
        <v/>
      </c>
      <c r="S42" s="13">
        <f>ROUND((R42/M42)*100, 2)</f>
        <v/>
      </c>
      <c r="T42" s="12">
        <f>ROUND(0.20*M42, 2)</f>
        <v/>
      </c>
      <c r="U42" s="13">
        <f>ROUND((R42/T42)*100, 2)</f>
        <v/>
      </c>
      <c r="V42" s="12">
        <f>V41+R42</f>
        <v/>
      </c>
      <c r="W42" s="12">
        <f>MAX(W41, V42)</f>
        <v/>
      </c>
      <c r="X42" s="12">
        <f>V42-W42</f>
        <v/>
      </c>
    </row>
    <row r="43">
      <c r="A43" s="9" t="n">
        <v>40</v>
      </c>
      <c r="B43" s="10" t="inlineStr">
        <is>
          <t>CAMS</t>
        </is>
      </c>
      <c r="C43" s="9" t="inlineStr">
        <is>
          <t>Q2 2026-27</t>
        </is>
      </c>
      <c r="D43" s="9" t="inlineStr">
        <is>
          <t>FUTURE LONG</t>
        </is>
      </c>
      <c r="E43" s="9" t="inlineStr">
        <is>
          <t>T-8 to T+1</t>
        </is>
      </c>
      <c r="F43" s="9" t="inlineStr">
        <is>
          <t>75.0%</t>
        </is>
      </c>
      <c r="G43" s="9" t="inlineStr">
        <is>
          <t>2025-01-17</t>
        </is>
      </c>
      <c r="H43" s="9" t="inlineStr">
        <is>
          <t>2025-01-30</t>
        </is>
      </c>
      <c r="I43" s="9" t="inlineStr">
        <is>
          <t>2025-01-29</t>
        </is>
      </c>
      <c r="J43" s="5" t="n">
        <v>1161</v>
      </c>
      <c r="K43" s="11" t="n">
        <v>860.8004760742188</v>
      </c>
      <c r="L43" s="11" t="n">
        <v>708.65380859375</v>
      </c>
      <c r="M43" s="12">
        <f>J43*K43</f>
        <v/>
      </c>
      <c r="N43" s="12">
        <f>J43*L43</f>
        <v/>
      </c>
      <c r="O43" s="12">
        <f>M43+N43</f>
        <v/>
      </c>
      <c r="P43" s="12">
        <f>ROUND(O43*0.0005, 2)</f>
        <v/>
      </c>
      <c r="Q43" s="12">
        <f>N43-M43</f>
        <v/>
      </c>
      <c r="R43" s="12">
        <f>Q43-P43</f>
        <v/>
      </c>
      <c r="S43" s="13">
        <f>ROUND((R43/M43)*100, 2)</f>
        <v/>
      </c>
      <c r="T43" s="12">
        <f>ROUND(0.20*M43, 2)</f>
        <v/>
      </c>
      <c r="U43" s="13">
        <f>ROUND((R43/T43)*100, 2)</f>
        <v/>
      </c>
      <c r="V43" s="12">
        <f>V42+R43</f>
        <v/>
      </c>
      <c r="W43" s="12">
        <f>MAX(W42, V43)</f>
        <v/>
      </c>
      <c r="X43" s="12">
        <f>V43-W43</f>
        <v/>
      </c>
    </row>
    <row r="44">
      <c r="A44" s="9" t="n">
        <v>41</v>
      </c>
      <c r="B44" s="10" t="inlineStr">
        <is>
          <t>CANBK</t>
        </is>
      </c>
      <c r="C44" s="9" t="inlineStr">
        <is>
          <t>Q2 2026-27</t>
        </is>
      </c>
      <c r="D44" s="9" t="inlineStr">
        <is>
          <t>FUTURE LONG</t>
        </is>
      </c>
      <c r="E44" s="9" t="inlineStr">
        <is>
          <t>T-8 to T+1</t>
        </is>
      </c>
      <c r="F44" s="9" t="inlineStr">
        <is>
          <t>65.0%</t>
        </is>
      </c>
      <c r="G44" s="9" t="inlineStr">
        <is>
          <t>2025-01-15</t>
        </is>
      </c>
      <c r="H44" s="9" t="inlineStr">
        <is>
          <t>2025-01-28</t>
        </is>
      </c>
      <c r="I44" s="9" t="inlineStr">
        <is>
          <t>2025-01-27</t>
        </is>
      </c>
      <c r="J44" s="5" t="n">
        <v>11300</v>
      </c>
      <c r="K44" s="11" t="n">
        <v>88.49539947509766</v>
      </c>
      <c r="L44" s="11" t="n">
        <v>85.81314849853516</v>
      </c>
      <c r="M44" s="12">
        <f>J44*K44</f>
        <v/>
      </c>
      <c r="N44" s="12">
        <f>J44*L44</f>
        <v/>
      </c>
      <c r="O44" s="12">
        <f>M44+N44</f>
        <v/>
      </c>
      <c r="P44" s="12">
        <f>ROUND(O44*0.0005, 2)</f>
        <v/>
      </c>
      <c r="Q44" s="12">
        <f>N44-M44</f>
        <v/>
      </c>
      <c r="R44" s="12">
        <f>Q44-P44</f>
        <v/>
      </c>
      <c r="S44" s="13">
        <f>ROUND((R44/M44)*100, 2)</f>
        <v/>
      </c>
      <c r="T44" s="12">
        <f>ROUND(0.20*M44, 2)</f>
        <v/>
      </c>
      <c r="U44" s="13">
        <f>ROUND((R44/T44)*100, 2)</f>
        <v/>
      </c>
      <c r="V44" s="12">
        <f>V43+R44</f>
        <v/>
      </c>
      <c r="W44" s="12">
        <f>MAX(W43, V44)</f>
        <v/>
      </c>
      <c r="X44" s="12">
        <f>V44-W44</f>
        <v/>
      </c>
    </row>
    <row r="45">
      <c r="A45" s="9" t="n">
        <v>42</v>
      </c>
      <c r="B45" s="10" t="inlineStr">
        <is>
          <t>CDSL</t>
        </is>
      </c>
      <c r="C45" s="9" t="inlineStr">
        <is>
          <t>Q2 2026-27</t>
        </is>
      </c>
      <c r="D45" s="9" t="inlineStr">
        <is>
          <t>FUTURE LONG</t>
        </is>
      </c>
      <c r="E45" s="9" t="inlineStr">
        <is>
          <t>T-8 to T+1</t>
        </is>
      </c>
      <c r="F45" s="9" t="inlineStr">
        <is>
          <t>65.0%</t>
        </is>
      </c>
      <c r="G45" s="9" t="inlineStr">
        <is>
          <t>2025-01-14</t>
        </is>
      </c>
      <c r="H45" s="9" t="inlineStr">
        <is>
          <t>2025-01-27</t>
        </is>
      </c>
      <c r="I45" s="9" t="inlineStr">
        <is>
          <t>2025-01-25</t>
        </is>
      </c>
      <c r="J45" s="5" t="n">
        <v>646</v>
      </c>
      <c r="K45" s="11" t="n">
        <v>1545.68310546875</v>
      </c>
      <c r="L45" s="11" t="n">
        <v>1321.129028320312</v>
      </c>
      <c r="M45" s="12">
        <f>J45*K45</f>
        <v/>
      </c>
      <c r="N45" s="12">
        <f>J45*L45</f>
        <v/>
      </c>
      <c r="O45" s="12">
        <f>M45+N45</f>
        <v/>
      </c>
      <c r="P45" s="12">
        <f>ROUND(O45*0.0005, 2)</f>
        <v/>
      </c>
      <c r="Q45" s="12">
        <f>N45-M45</f>
        <v/>
      </c>
      <c r="R45" s="12">
        <f>Q45-P45</f>
        <v/>
      </c>
      <c r="S45" s="13">
        <f>ROUND((R45/M45)*100, 2)</f>
        <v/>
      </c>
      <c r="T45" s="12">
        <f>ROUND(0.20*M45, 2)</f>
        <v/>
      </c>
      <c r="U45" s="13">
        <f>ROUND((R45/T45)*100, 2)</f>
        <v/>
      </c>
      <c r="V45" s="12">
        <f>V44+R45</f>
        <v/>
      </c>
      <c r="W45" s="12">
        <f>MAX(W44, V45)</f>
        <v/>
      </c>
      <c r="X45" s="12">
        <f>V45-W45</f>
        <v/>
      </c>
    </row>
    <row r="46">
      <c r="A46" s="9" t="n">
        <v>43</v>
      </c>
      <c r="B46" s="10" t="inlineStr">
        <is>
          <t>CGPOWER</t>
        </is>
      </c>
      <c r="C46" s="9" t="inlineStr">
        <is>
          <t>Q2 2026-27</t>
        </is>
      </c>
      <c r="D46" s="9" t="inlineStr">
        <is>
          <t>FUTURE LONG</t>
        </is>
      </c>
      <c r="E46" s="9" t="inlineStr">
        <is>
          <t>T-8 to T+1</t>
        </is>
      </c>
      <c r="F46" s="9" t="inlineStr">
        <is>
          <t>70.0%</t>
        </is>
      </c>
      <c r="G46" s="9" t="inlineStr">
        <is>
          <t>2025-01-17</t>
        </is>
      </c>
      <c r="H46" s="9" t="inlineStr">
        <is>
          <t>2025-01-30</t>
        </is>
      </c>
      <c r="I46" s="9" t="inlineStr">
        <is>
          <t>2025-01-29</t>
        </is>
      </c>
      <c r="J46" s="5" t="n">
        <v>1546</v>
      </c>
      <c r="K46" s="11" t="n">
        <v>646.4340209960938</v>
      </c>
      <c r="L46" s="11" t="n">
        <v>618.00341796875</v>
      </c>
      <c r="M46" s="12">
        <f>J46*K46</f>
        <v/>
      </c>
      <c r="N46" s="12">
        <f>J46*L46</f>
        <v/>
      </c>
      <c r="O46" s="12">
        <f>M46+N46</f>
        <v/>
      </c>
      <c r="P46" s="12">
        <f>ROUND(O46*0.0005, 2)</f>
        <v/>
      </c>
      <c r="Q46" s="12">
        <f>N46-M46</f>
        <v/>
      </c>
      <c r="R46" s="12">
        <f>Q46-P46</f>
        <v/>
      </c>
      <c r="S46" s="13">
        <f>ROUND((R46/M46)*100, 2)</f>
        <v/>
      </c>
      <c r="T46" s="12">
        <f>ROUND(0.20*M46, 2)</f>
        <v/>
      </c>
      <c r="U46" s="13">
        <f>ROUND((R46/T46)*100, 2)</f>
        <v/>
      </c>
      <c r="V46" s="12">
        <f>V45+R46</f>
        <v/>
      </c>
      <c r="W46" s="12">
        <f>MAX(W45, V46)</f>
        <v/>
      </c>
      <c r="X46" s="12">
        <f>V46-W46</f>
        <v/>
      </c>
    </row>
    <row r="47">
      <c r="A47" s="9" t="n">
        <v>44</v>
      </c>
      <c r="B47" s="10" t="inlineStr">
        <is>
          <t>CHOLAFIN</t>
        </is>
      </c>
      <c r="C47" s="9" t="inlineStr">
        <is>
          <t>Q2 2026-27</t>
        </is>
      </c>
      <c r="D47" s="9" t="inlineStr">
        <is>
          <t>FUTURE LONG</t>
        </is>
      </c>
      <c r="E47" s="9" t="inlineStr">
        <is>
          <t>T-8 to T+1</t>
        </is>
      </c>
      <c r="F47" s="9" t="inlineStr">
        <is>
          <t>75.0%</t>
        </is>
      </c>
      <c r="G47" s="9" t="inlineStr">
        <is>
          <t>2024-10-15</t>
        </is>
      </c>
      <c r="H47" s="9" t="inlineStr">
        <is>
          <t>2024-10-28</t>
        </is>
      </c>
      <c r="I47" s="9" t="inlineStr">
        <is>
          <t>2024-10-26</t>
        </is>
      </c>
      <c r="J47" s="5" t="n">
        <v>667</v>
      </c>
      <c r="K47" s="11" t="n">
        <v>1499.250122070312</v>
      </c>
      <c r="L47" s="11" t="n">
        <v>1277.113037109375</v>
      </c>
      <c r="M47" s="12">
        <f>J47*K47</f>
        <v/>
      </c>
      <c r="N47" s="12">
        <f>J47*L47</f>
        <v/>
      </c>
      <c r="O47" s="12">
        <f>M47+N47</f>
        <v/>
      </c>
      <c r="P47" s="12">
        <f>ROUND(O47*0.0005, 2)</f>
        <v/>
      </c>
      <c r="Q47" s="12">
        <f>N47-M47</f>
        <v/>
      </c>
      <c r="R47" s="12">
        <f>Q47-P47</f>
        <v/>
      </c>
      <c r="S47" s="13">
        <f>ROUND((R47/M47)*100, 2)</f>
        <v/>
      </c>
      <c r="T47" s="12">
        <f>ROUND(0.20*M47, 2)</f>
        <v/>
      </c>
      <c r="U47" s="13">
        <f>ROUND((R47/T47)*100, 2)</f>
        <v/>
      </c>
      <c r="V47" s="12">
        <f>V46+R47</f>
        <v/>
      </c>
      <c r="W47" s="12">
        <f>MAX(W46, V47)</f>
        <v/>
      </c>
      <c r="X47" s="12">
        <f>V47-W47</f>
        <v/>
      </c>
    </row>
    <row r="48">
      <c r="A48" s="9" t="n">
        <v>45</v>
      </c>
      <c r="B48" s="10" t="inlineStr">
        <is>
          <t>CIPLA</t>
        </is>
      </c>
      <c r="C48" s="9" t="inlineStr">
        <is>
          <t>Q2 2026-27</t>
        </is>
      </c>
      <c r="D48" s="9" t="inlineStr">
        <is>
          <t>FUTURE LONG</t>
        </is>
      </c>
      <c r="E48" s="9" t="inlineStr">
        <is>
          <t>T-8 to T+1</t>
        </is>
      </c>
      <c r="F48" s="9" t="inlineStr">
        <is>
          <t>80.0%</t>
        </is>
      </c>
      <c r="G48" s="9" t="inlineStr">
        <is>
          <t>2025-01-20</t>
        </is>
      </c>
      <c r="H48" s="9" t="inlineStr">
        <is>
          <t>2025-01-31</t>
        </is>
      </c>
      <c r="I48" s="9" t="inlineStr">
        <is>
          <t>2025-01-29</t>
        </is>
      </c>
      <c r="J48" s="5" t="n">
        <v>650</v>
      </c>
      <c r="K48" s="11" t="n">
        <v>1416.8798828125</v>
      </c>
      <c r="L48" s="11" t="n">
        <v>1450.158813476562</v>
      </c>
      <c r="M48" s="12">
        <f>J48*K48</f>
        <v/>
      </c>
      <c r="N48" s="12">
        <f>J48*L48</f>
        <v/>
      </c>
      <c r="O48" s="12">
        <f>M48+N48</f>
        <v/>
      </c>
      <c r="P48" s="12">
        <f>ROUND(O48*0.0005, 2)</f>
        <v/>
      </c>
      <c r="Q48" s="12">
        <f>N48-M48</f>
        <v/>
      </c>
      <c r="R48" s="12">
        <f>Q48-P48</f>
        <v/>
      </c>
      <c r="S48" s="13">
        <f>ROUND((R48/M48)*100, 2)</f>
        <v/>
      </c>
      <c r="T48" s="12">
        <f>ROUND(0.20*M48, 2)</f>
        <v/>
      </c>
      <c r="U48" s="13">
        <f>ROUND((R48/T48)*100, 2)</f>
        <v/>
      </c>
      <c r="V48" s="12">
        <f>V47+R48</f>
        <v/>
      </c>
      <c r="W48" s="12">
        <f>MAX(W47, V48)</f>
        <v/>
      </c>
      <c r="X48" s="12">
        <f>V48-W48</f>
        <v/>
      </c>
    </row>
    <row r="49">
      <c r="A49" s="9" t="n">
        <v>46</v>
      </c>
      <c r="B49" s="10" t="inlineStr">
        <is>
          <t>COALINDIA</t>
        </is>
      </c>
      <c r="C49" s="9" t="inlineStr">
        <is>
          <t>Q2 2026-27</t>
        </is>
      </c>
      <c r="D49" s="9" t="inlineStr">
        <is>
          <t>FUTURE LONG</t>
        </is>
      </c>
      <c r="E49" s="9" t="inlineStr">
        <is>
          <t>T-8 to T+1</t>
        </is>
      </c>
      <c r="F49" s="9" t="inlineStr">
        <is>
          <t>75.0%</t>
        </is>
      </c>
      <c r="G49" s="9" t="inlineStr">
        <is>
          <t>2025-01-16</t>
        </is>
      </c>
      <c r="H49" s="9" t="inlineStr">
        <is>
          <t>2025-01-29</t>
        </is>
      </c>
      <c r="I49" s="9" t="inlineStr">
        <is>
          <t>2025-01-27</t>
        </is>
      </c>
      <c r="J49" s="5" t="n">
        <v>2100</v>
      </c>
      <c r="K49" s="11" t="n">
        <v>348.816650390625</v>
      </c>
      <c r="L49" s="11" t="n">
        <v>349.3691101074219</v>
      </c>
      <c r="M49" s="12">
        <f>J49*K49</f>
        <v/>
      </c>
      <c r="N49" s="12">
        <f>J49*L49</f>
        <v/>
      </c>
      <c r="O49" s="12">
        <f>M49+N49</f>
        <v/>
      </c>
      <c r="P49" s="12">
        <f>ROUND(O49*0.0005, 2)</f>
        <v/>
      </c>
      <c r="Q49" s="12">
        <f>N49-M49</f>
        <v/>
      </c>
      <c r="R49" s="12">
        <f>Q49-P49</f>
        <v/>
      </c>
      <c r="S49" s="13">
        <f>ROUND((R49/M49)*100, 2)</f>
        <v/>
      </c>
      <c r="T49" s="12">
        <f>ROUND(0.20*M49, 2)</f>
        <v/>
      </c>
      <c r="U49" s="13">
        <f>ROUND((R49/T49)*100, 2)</f>
        <v/>
      </c>
      <c r="V49" s="12">
        <f>V48+R49</f>
        <v/>
      </c>
      <c r="W49" s="12">
        <f>MAX(W48, V49)</f>
        <v/>
      </c>
      <c r="X49" s="12">
        <f>V49-W49</f>
        <v/>
      </c>
    </row>
    <row r="50">
      <c r="A50" s="9" t="n">
        <v>47</v>
      </c>
      <c r="B50" s="10" t="inlineStr">
        <is>
          <t>COCHINSHIP</t>
        </is>
      </c>
      <c r="C50" s="9" t="inlineStr">
        <is>
          <t>Q2 2026-27</t>
        </is>
      </c>
      <c r="D50" s="9" t="inlineStr">
        <is>
          <t>FUTURE LONG</t>
        </is>
      </c>
      <c r="E50" s="9" t="inlineStr">
        <is>
          <t>T-8 to T+1</t>
        </is>
      </c>
      <c r="F50" s="9" t="inlineStr">
        <is>
          <t>60.0%</t>
        </is>
      </c>
      <c r="G50" s="9" t="inlineStr">
        <is>
          <t>2025-01-29</t>
        </is>
      </c>
      <c r="H50" s="9" t="inlineStr">
        <is>
          <t>2025-02-10</t>
        </is>
      </c>
      <c r="I50" s="9" t="inlineStr">
        <is>
          <t>2025-02-07</t>
        </is>
      </c>
      <c r="J50" s="5" t="n">
        <v>702</v>
      </c>
      <c r="K50" s="11" t="n">
        <v>1422.889770507812</v>
      </c>
      <c r="L50" s="11" t="n">
        <v>1358.994995117188</v>
      </c>
      <c r="M50" s="12">
        <f>J50*K50</f>
        <v/>
      </c>
      <c r="N50" s="12">
        <f>J50*L50</f>
        <v/>
      </c>
      <c r="O50" s="12">
        <f>M50+N50</f>
        <v/>
      </c>
      <c r="P50" s="12">
        <f>ROUND(O50*0.0005, 2)</f>
        <v/>
      </c>
      <c r="Q50" s="12">
        <f>N50-M50</f>
        <v/>
      </c>
      <c r="R50" s="12">
        <f>Q50-P50</f>
        <v/>
      </c>
      <c r="S50" s="13">
        <f>ROUND((R50/M50)*100, 2)</f>
        <v/>
      </c>
      <c r="T50" s="12">
        <f>ROUND(0.20*M50, 2)</f>
        <v/>
      </c>
      <c r="U50" s="13">
        <f>ROUND((R50/T50)*100, 2)</f>
        <v/>
      </c>
      <c r="V50" s="12">
        <f>V49+R50</f>
        <v/>
      </c>
      <c r="W50" s="12">
        <f>MAX(W49, V50)</f>
        <v/>
      </c>
      <c r="X50" s="12">
        <f>V50-W50</f>
        <v/>
      </c>
    </row>
    <row r="51">
      <c r="A51" s="9" t="n">
        <v>48</v>
      </c>
      <c r="B51" s="10" t="inlineStr">
        <is>
          <t>COFORGE</t>
        </is>
      </c>
      <c r="C51" s="9" t="inlineStr">
        <is>
          <t>Q2 2026-27</t>
        </is>
      </c>
      <c r="D51" s="9" t="inlineStr">
        <is>
          <t>FUTURE LONG</t>
        </is>
      </c>
      <c r="E51" s="9" t="inlineStr">
        <is>
          <t>T-8 to T+1</t>
        </is>
      </c>
      <c r="F51" s="9" t="inlineStr">
        <is>
          <t>70.0%</t>
        </is>
      </c>
      <c r="G51" s="9" t="inlineStr">
        <is>
          <t>2025-01-13</t>
        </is>
      </c>
      <c r="H51" s="9" t="inlineStr">
        <is>
          <t>2025-01-24</t>
        </is>
      </c>
      <c r="I51" s="9" t="inlineStr">
        <is>
          <t>2025-01-23</t>
        </is>
      </c>
      <c r="J51" s="5" t="n">
        <v>581</v>
      </c>
      <c r="K51" s="11" t="n">
        <v>1721.170043945312</v>
      </c>
      <c r="L51" s="11" t="n">
        <v>1825.768310546875</v>
      </c>
      <c r="M51" s="12">
        <f>J51*K51</f>
        <v/>
      </c>
      <c r="N51" s="12">
        <f>J51*L51</f>
        <v/>
      </c>
      <c r="O51" s="12">
        <f>M51+N51</f>
        <v/>
      </c>
      <c r="P51" s="12">
        <f>ROUND(O51*0.0005, 2)</f>
        <v/>
      </c>
      <c r="Q51" s="12">
        <f>N51-M51</f>
        <v/>
      </c>
      <c r="R51" s="12">
        <f>Q51-P51</f>
        <v/>
      </c>
      <c r="S51" s="13">
        <f>ROUND((R51/M51)*100, 2)</f>
        <v/>
      </c>
      <c r="T51" s="12">
        <f>ROUND(0.20*M51, 2)</f>
        <v/>
      </c>
      <c r="U51" s="13">
        <f>ROUND((R51/T51)*100, 2)</f>
        <v/>
      </c>
      <c r="V51" s="12">
        <f>V50+R51</f>
        <v/>
      </c>
      <c r="W51" s="12">
        <f>MAX(W50, V51)</f>
        <v/>
      </c>
      <c r="X51" s="12">
        <f>V51-W51</f>
        <v/>
      </c>
    </row>
    <row r="52">
      <c r="A52" s="9" t="n">
        <v>49</v>
      </c>
      <c r="B52" s="10" t="inlineStr">
        <is>
          <t>COLPAL</t>
        </is>
      </c>
      <c r="C52" s="9" t="inlineStr">
        <is>
          <t>Q2 2026-27</t>
        </is>
      </c>
      <c r="D52" s="9" t="inlineStr">
        <is>
          <t>FUTURE LONG</t>
        </is>
      </c>
      <c r="E52" s="9" t="inlineStr">
        <is>
          <t>T-8 to T+1</t>
        </is>
      </c>
      <c r="F52" s="9" t="inlineStr">
        <is>
          <t>70.0%</t>
        </is>
      </c>
      <c r="G52" s="9" t="inlineStr">
        <is>
          <t>2025-01-16</t>
        </is>
      </c>
      <c r="H52" s="9" t="inlineStr">
        <is>
          <t>2025-01-29</t>
        </is>
      </c>
      <c r="I52" s="9" t="inlineStr">
        <is>
          <t>2025-01-28</t>
        </is>
      </c>
      <c r="J52" s="5" t="n">
        <v>389</v>
      </c>
      <c r="K52" s="11" t="n">
        <v>2565.72900390625</v>
      </c>
      <c r="L52" s="11" t="n">
        <v>2642.4814453125</v>
      </c>
      <c r="M52" s="12">
        <f>J52*K52</f>
        <v/>
      </c>
      <c r="N52" s="12">
        <f>J52*L52</f>
        <v/>
      </c>
      <c r="O52" s="12">
        <f>M52+N52</f>
        <v/>
      </c>
      <c r="P52" s="12">
        <f>ROUND(O52*0.0005, 2)</f>
        <v/>
      </c>
      <c r="Q52" s="12">
        <f>N52-M52</f>
        <v/>
      </c>
      <c r="R52" s="12">
        <f>Q52-P52</f>
        <v/>
      </c>
      <c r="S52" s="13">
        <f>ROUND((R52/M52)*100, 2)</f>
        <v/>
      </c>
      <c r="T52" s="12">
        <f>ROUND(0.20*M52, 2)</f>
        <v/>
      </c>
      <c r="U52" s="13">
        <f>ROUND((R52/T52)*100, 2)</f>
        <v/>
      </c>
      <c r="V52" s="12">
        <f>V51+R52</f>
        <v/>
      </c>
      <c r="W52" s="12">
        <f>MAX(W51, V52)</f>
        <v/>
      </c>
      <c r="X52" s="12">
        <f>V52-W52</f>
        <v/>
      </c>
    </row>
    <row r="53">
      <c r="A53" s="9" t="n">
        <v>50</v>
      </c>
      <c r="B53" s="10" t="inlineStr">
        <is>
          <t>CONCOR</t>
        </is>
      </c>
      <c r="C53" s="9" t="inlineStr">
        <is>
          <t>Q2 2026-27</t>
        </is>
      </c>
      <c r="D53" s="9" t="inlineStr">
        <is>
          <t>FUTURE LONG</t>
        </is>
      </c>
      <c r="E53" s="9" t="inlineStr">
        <is>
          <t>T-8 to T+1</t>
        </is>
      </c>
      <c r="F53" s="9" t="inlineStr">
        <is>
          <t>80.0%</t>
        </is>
      </c>
      <c r="G53" s="9" t="inlineStr">
        <is>
          <t>2025-01-21</t>
        </is>
      </c>
      <c r="H53" s="9" t="inlineStr">
        <is>
          <t>2025-02-01</t>
        </is>
      </c>
      <c r="I53" s="9" t="inlineStr">
        <is>
          <t>2025-01-31</t>
        </is>
      </c>
      <c r="J53" s="5" t="n">
        <v>1692</v>
      </c>
      <c r="K53" s="11" t="n">
        <v>591.0067138671875</v>
      </c>
      <c r="L53" s="11" t="n">
        <v>591.0458374023438</v>
      </c>
      <c r="M53" s="12">
        <f>J53*K53</f>
        <v/>
      </c>
      <c r="N53" s="12">
        <f>J53*L53</f>
        <v/>
      </c>
      <c r="O53" s="12">
        <f>M53+N53</f>
        <v/>
      </c>
      <c r="P53" s="12">
        <f>ROUND(O53*0.0005, 2)</f>
        <v/>
      </c>
      <c r="Q53" s="12">
        <f>N53-M53</f>
        <v/>
      </c>
      <c r="R53" s="12">
        <f>Q53-P53</f>
        <v/>
      </c>
      <c r="S53" s="13">
        <f>ROUND((R53/M53)*100, 2)</f>
        <v/>
      </c>
      <c r="T53" s="12">
        <f>ROUND(0.20*M53, 2)</f>
        <v/>
      </c>
      <c r="U53" s="13">
        <f>ROUND((R53/T53)*100, 2)</f>
        <v/>
      </c>
      <c r="V53" s="12">
        <f>V52+R53</f>
        <v/>
      </c>
      <c r="W53" s="12">
        <f>MAX(W52, V53)</f>
        <v/>
      </c>
      <c r="X53" s="12">
        <f>V53-W53</f>
        <v/>
      </c>
    </row>
    <row r="54">
      <c r="A54" s="9" t="n">
        <v>51</v>
      </c>
      <c r="B54" s="10" t="inlineStr">
        <is>
          <t>CROMPTON</t>
        </is>
      </c>
      <c r="C54" s="9" t="inlineStr">
        <is>
          <t>Q2 2026-27</t>
        </is>
      </c>
      <c r="D54" s="9" t="inlineStr">
        <is>
          <t>FUTURE LONG</t>
        </is>
      </c>
      <c r="E54" s="9" t="inlineStr">
        <is>
          <t>T-8 to T+1</t>
        </is>
      </c>
      <c r="F54" s="9" t="inlineStr">
        <is>
          <t>65.0%</t>
        </is>
      </c>
      <c r="G54" s="9" t="inlineStr">
        <is>
          <t>2025-02-01</t>
        </is>
      </c>
      <c r="H54" s="9" t="inlineStr">
        <is>
          <t>2025-02-13</t>
        </is>
      </c>
      <c r="I54" s="9" t="inlineStr">
        <is>
          <t>2025-02-12</t>
        </is>
      </c>
      <c r="J54" s="5" t="n">
        <v>2759</v>
      </c>
      <c r="K54" s="11" t="n">
        <v>362.377197265625</v>
      </c>
      <c r="L54" s="11" t="n">
        <v>335.1989135742188</v>
      </c>
      <c r="M54" s="12">
        <f>J54*K54</f>
        <v/>
      </c>
      <c r="N54" s="12">
        <f>J54*L54</f>
        <v/>
      </c>
      <c r="O54" s="12">
        <f>M54+N54</f>
        <v/>
      </c>
      <c r="P54" s="12">
        <f>ROUND(O54*0.0005, 2)</f>
        <v/>
      </c>
      <c r="Q54" s="12">
        <f>N54-M54</f>
        <v/>
      </c>
      <c r="R54" s="12">
        <f>Q54-P54</f>
        <v/>
      </c>
      <c r="S54" s="13">
        <f>ROUND((R54/M54)*100, 2)</f>
        <v/>
      </c>
      <c r="T54" s="12">
        <f>ROUND(0.20*M54, 2)</f>
        <v/>
      </c>
      <c r="U54" s="13">
        <f>ROUND((R54/T54)*100, 2)</f>
        <v/>
      </c>
      <c r="V54" s="12">
        <f>V53+R54</f>
        <v/>
      </c>
      <c r="W54" s="12">
        <f>MAX(W53, V54)</f>
        <v/>
      </c>
      <c r="X54" s="12">
        <f>V54-W54</f>
        <v/>
      </c>
    </row>
    <row r="55">
      <c r="A55" s="9" t="n">
        <v>52</v>
      </c>
      <c r="B55" s="10" t="inlineStr">
        <is>
          <t>CUMMINSIND</t>
        </is>
      </c>
      <c r="C55" s="9" t="inlineStr">
        <is>
          <t>Q2 2026-27</t>
        </is>
      </c>
      <c r="D55" s="9" t="inlineStr">
        <is>
          <t>FUTURE LONG</t>
        </is>
      </c>
      <c r="E55" s="9" t="inlineStr">
        <is>
          <t>T-8 to T+1</t>
        </is>
      </c>
      <c r="F55" s="9" t="inlineStr">
        <is>
          <t>65.0%</t>
        </is>
      </c>
      <c r="G55" s="9" t="inlineStr">
        <is>
          <t>2025-01-28</t>
        </is>
      </c>
      <c r="H55" s="9" t="inlineStr">
        <is>
          <t>2025-02-07</t>
        </is>
      </c>
      <c r="I55" s="9" t="inlineStr">
        <is>
          <t>2025-02-06</t>
        </is>
      </c>
      <c r="J55" s="5" t="n">
        <v>375</v>
      </c>
      <c r="K55" s="11" t="n">
        <v>2662.271728515625</v>
      </c>
      <c r="L55" s="11" t="n">
        <v>2790.83740234375</v>
      </c>
      <c r="M55" s="12">
        <f>J55*K55</f>
        <v/>
      </c>
      <c r="N55" s="12">
        <f>J55*L55</f>
        <v/>
      </c>
      <c r="O55" s="12">
        <f>M55+N55</f>
        <v/>
      </c>
      <c r="P55" s="12">
        <f>ROUND(O55*0.0005, 2)</f>
        <v/>
      </c>
      <c r="Q55" s="12">
        <f>N55-M55</f>
        <v/>
      </c>
      <c r="R55" s="12">
        <f>Q55-P55</f>
        <v/>
      </c>
      <c r="S55" s="13">
        <f>ROUND((R55/M55)*100, 2)</f>
        <v/>
      </c>
      <c r="T55" s="12">
        <f>ROUND(0.20*M55, 2)</f>
        <v/>
      </c>
      <c r="U55" s="13">
        <f>ROUND((R55/T55)*100, 2)</f>
        <v/>
      </c>
      <c r="V55" s="12">
        <f>V54+R55</f>
        <v/>
      </c>
      <c r="W55" s="12">
        <f>MAX(W54, V55)</f>
        <v/>
      </c>
      <c r="X55" s="12">
        <f>V55-W55</f>
        <v/>
      </c>
    </row>
    <row r="56">
      <c r="A56" s="9" t="n">
        <v>53</v>
      </c>
      <c r="B56" s="10" t="inlineStr">
        <is>
          <t>DABUR</t>
        </is>
      </c>
      <c r="C56" s="9" t="inlineStr">
        <is>
          <t>Q2 2026-27</t>
        </is>
      </c>
      <c r="D56" s="9" t="inlineStr">
        <is>
          <t>FUTURE LONG</t>
        </is>
      </c>
      <c r="E56" s="9" t="inlineStr">
        <is>
          <t>T-8 to T+1</t>
        </is>
      </c>
      <c r="F56" s="9" t="inlineStr">
        <is>
          <t>75.0%</t>
        </is>
      </c>
      <c r="G56" s="9" t="inlineStr">
        <is>
          <t>2025-01-20</t>
        </is>
      </c>
      <c r="H56" s="9" t="inlineStr">
        <is>
          <t>2025-01-31</t>
        </is>
      </c>
      <c r="I56" s="9" t="inlineStr">
        <is>
          <t>2025-01-30</t>
        </is>
      </c>
      <c r="J56" s="5" t="n">
        <v>1971</v>
      </c>
      <c r="K56" s="11" t="n">
        <v>507.1295776367188</v>
      </c>
      <c r="L56" s="11" t="n">
        <v>515.1507568359375</v>
      </c>
      <c r="M56" s="12">
        <f>J56*K56</f>
        <v/>
      </c>
      <c r="N56" s="12">
        <f>J56*L56</f>
        <v/>
      </c>
      <c r="O56" s="12">
        <f>M56+N56</f>
        <v/>
      </c>
      <c r="P56" s="12">
        <f>ROUND(O56*0.0005, 2)</f>
        <v/>
      </c>
      <c r="Q56" s="12">
        <f>N56-M56</f>
        <v/>
      </c>
      <c r="R56" s="12">
        <f>Q56-P56</f>
        <v/>
      </c>
      <c r="S56" s="13">
        <f>ROUND((R56/M56)*100, 2)</f>
        <v/>
      </c>
      <c r="T56" s="12">
        <f>ROUND(0.20*M56, 2)</f>
        <v/>
      </c>
      <c r="U56" s="13">
        <f>ROUND((R56/T56)*100, 2)</f>
        <v/>
      </c>
      <c r="V56" s="12">
        <f>V55+R56</f>
        <v/>
      </c>
      <c r="W56" s="12">
        <f>MAX(W55, V56)</f>
        <v/>
      </c>
      <c r="X56" s="12">
        <f>V56-W56</f>
        <v/>
      </c>
    </row>
    <row r="57">
      <c r="A57" s="9" t="n">
        <v>54</v>
      </c>
      <c r="B57" s="10" t="inlineStr">
        <is>
          <t>DELHIVERY</t>
        </is>
      </c>
      <c r="C57" s="9" t="inlineStr">
        <is>
          <t>Q2 2026-27</t>
        </is>
      </c>
      <c r="D57" s="9" t="inlineStr">
        <is>
          <t>FUTURE LONG</t>
        </is>
      </c>
      <c r="E57" s="9" t="inlineStr">
        <is>
          <t>T-8 to T+1</t>
        </is>
      </c>
      <c r="F57" s="9" t="inlineStr">
        <is>
          <t>75.0%</t>
        </is>
      </c>
      <c r="G57" s="9" t="inlineStr">
        <is>
          <t>2025-01-29</t>
        </is>
      </c>
      <c r="H57" s="9" t="inlineStr">
        <is>
          <t>2025-02-10</t>
        </is>
      </c>
      <c r="I57" s="9" t="inlineStr">
        <is>
          <t>2025-02-07</t>
        </is>
      </c>
      <c r="J57" s="5" t="n">
        <v>3091</v>
      </c>
      <c r="K57" s="11" t="n">
        <v>323.4500122070312</v>
      </c>
      <c r="L57" s="11" t="n">
        <v>297.25</v>
      </c>
      <c r="M57" s="12">
        <f>J57*K57</f>
        <v/>
      </c>
      <c r="N57" s="12">
        <f>J57*L57</f>
        <v/>
      </c>
      <c r="O57" s="12">
        <f>M57+N57</f>
        <v/>
      </c>
      <c r="P57" s="12">
        <f>ROUND(O57*0.0005, 2)</f>
        <v/>
      </c>
      <c r="Q57" s="12">
        <f>N57-M57</f>
        <v/>
      </c>
      <c r="R57" s="12">
        <f>Q57-P57</f>
        <v/>
      </c>
      <c r="S57" s="13">
        <f>ROUND((R57/M57)*100, 2)</f>
        <v/>
      </c>
      <c r="T57" s="12">
        <f>ROUND(0.20*M57, 2)</f>
        <v/>
      </c>
      <c r="U57" s="13">
        <f>ROUND((R57/T57)*100, 2)</f>
        <v/>
      </c>
      <c r="V57" s="12">
        <f>V56+R57</f>
        <v/>
      </c>
      <c r="W57" s="12">
        <f>MAX(W56, V57)</f>
        <v/>
      </c>
      <c r="X57" s="12">
        <f>V57-W57</f>
        <v/>
      </c>
    </row>
    <row r="58">
      <c r="A58" s="9" t="n">
        <v>55</v>
      </c>
      <c r="B58" s="10" t="inlineStr">
        <is>
          <t>DIVISLAB</t>
        </is>
      </c>
      <c r="C58" s="9" t="inlineStr">
        <is>
          <t>Q2 2026-27</t>
        </is>
      </c>
      <c r="D58" s="9" t="inlineStr">
        <is>
          <t>FUTURE LONG</t>
        </is>
      </c>
      <c r="E58" s="9" t="inlineStr">
        <is>
          <t>T-8 to T+1</t>
        </is>
      </c>
      <c r="F58" s="9" t="inlineStr">
        <is>
          <t>80.0%</t>
        </is>
      </c>
      <c r="G58" s="9" t="inlineStr">
        <is>
          <t>2025-01-23</t>
        </is>
      </c>
      <c r="H58" s="9" t="inlineStr">
        <is>
          <t>2025-02-04</t>
        </is>
      </c>
      <c r="I58" s="9" t="inlineStr">
        <is>
          <t>2025-02-03</t>
        </is>
      </c>
      <c r="J58" s="5" t="n">
        <v>200</v>
      </c>
      <c r="K58" s="11" t="n">
        <v>5800.509765625</v>
      </c>
      <c r="L58" s="11" t="n">
        <v>6043.69482421875</v>
      </c>
      <c r="M58" s="12">
        <f>J58*K58</f>
        <v/>
      </c>
      <c r="N58" s="12">
        <f>J58*L58</f>
        <v/>
      </c>
      <c r="O58" s="12">
        <f>M58+N58</f>
        <v/>
      </c>
      <c r="P58" s="12">
        <f>ROUND(O58*0.0005, 2)</f>
        <v/>
      </c>
      <c r="Q58" s="12">
        <f>N58-M58</f>
        <v/>
      </c>
      <c r="R58" s="12">
        <f>Q58-P58</f>
        <v/>
      </c>
      <c r="S58" s="13">
        <f>ROUND((R58/M58)*100, 2)</f>
        <v/>
      </c>
      <c r="T58" s="12">
        <f>ROUND(0.20*M58, 2)</f>
        <v/>
      </c>
      <c r="U58" s="13">
        <f>ROUND((R58/T58)*100, 2)</f>
        <v/>
      </c>
      <c r="V58" s="12">
        <f>V57+R58</f>
        <v/>
      </c>
      <c r="W58" s="12">
        <f>MAX(W57, V58)</f>
        <v/>
      </c>
      <c r="X58" s="12">
        <f>V58-W58</f>
        <v/>
      </c>
    </row>
    <row r="59">
      <c r="A59" s="9" t="n">
        <v>56</v>
      </c>
      <c r="B59" s="10" t="inlineStr">
        <is>
          <t>DIXON</t>
        </is>
      </c>
      <c r="C59" s="9" t="inlineStr">
        <is>
          <t>Q2 2026-27</t>
        </is>
      </c>
      <c r="D59" s="9" t="inlineStr">
        <is>
          <t>FUTURE LONG</t>
        </is>
      </c>
      <c r="E59" s="9" t="inlineStr">
        <is>
          <t>T-8 to T+1</t>
        </is>
      </c>
      <c r="F59" s="9" t="inlineStr">
        <is>
          <t>60.0%</t>
        </is>
      </c>
      <c r="G59" s="9" t="inlineStr">
        <is>
          <t>2025-01-08</t>
        </is>
      </c>
      <c r="H59" s="9" t="inlineStr">
        <is>
          <t>2025-01-21</t>
        </is>
      </c>
      <c r="I59" s="9" t="inlineStr">
        <is>
          <t>2025-01-20</t>
        </is>
      </c>
      <c r="J59" s="5" t="n">
        <v>100</v>
      </c>
      <c r="K59" s="11" t="n">
        <v>16898.330078125</v>
      </c>
      <c r="L59" s="11" t="n">
        <v>15137.61328125</v>
      </c>
      <c r="M59" s="12">
        <f>J59*K59</f>
        <v/>
      </c>
      <c r="N59" s="12">
        <f>J59*L59</f>
        <v/>
      </c>
      <c r="O59" s="12">
        <f>M59+N59</f>
        <v/>
      </c>
      <c r="P59" s="12">
        <f>ROUND(O59*0.0005, 2)</f>
        <v/>
      </c>
      <c r="Q59" s="12">
        <f>N59-M59</f>
        <v/>
      </c>
      <c r="R59" s="12">
        <f>Q59-P59</f>
        <v/>
      </c>
      <c r="S59" s="13">
        <f>ROUND((R59/M59)*100, 2)</f>
        <v/>
      </c>
      <c r="T59" s="12">
        <f>ROUND(0.20*M59, 2)</f>
        <v/>
      </c>
      <c r="U59" s="13">
        <f>ROUND((R59/T59)*100, 2)</f>
        <v/>
      </c>
      <c r="V59" s="12">
        <f>V58+R59</f>
        <v/>
      </c>
      <c r="W59" s="12">
        <f>MAX(W58, V59)</f>
        <v/>
      </c>
      <c r="X59" s="12">
        <f>V59-W59</f>
        <v/>
      </c>
    </row>
    <row r="60">
      <c r="A60" s="9" t="n">
        <v>57</v>
      </c>
      <c r="B60" s="10" t="inlineStr">
        <is>
          <t>DLF</t>
        </is>
      </c>
      <c r="C60" s="9" t="inlineStr">
        <is>
          <t>Q2 2026-27</t>
        </is>
      </c>
      <c r="D60" s="9" t="inlineStr">
        <is>
          <t>FUTURE LONG</t>
        </is>
      </c>
      <c r="E60" s="9" t="inlineStr">
        <is>
          <t>T-8 to T+1</t>
        </is>
      </c>
      <c r="F60" s="9" t="inlineStr">
        <is>
          <t>65.0%</t>
        </is>
      </c>
      <c r="G60" s="9" t="inlineStr">
        <is>
          <t>2025-01-14</t>
        </is>
      </c>
      <c r="H60" s="9" t="inlineStr">
        <is>
          <t>2025-01-27</t>
        </is>
      </c>
      <c r="I60" s="9" t="inlineStr">
        <is>
          <t>2025-01-24</t>
        </is>
      </c>
      <c r="J60" s="5" t="n">
        <v>1410</v>
      </c>
      <c r="K60" s="11" t="n">
        <v>709.0956420898438</v>
      </c>
      <c r="L60" s="11" t="n">
        <v>690.1243286132812</v>
      </c>
      <c r="M60" s="12">
        <f>J60*K60</f>
        <v/>
      </c>
      <c r="N60" s="12">
        <f>J60*L60</f>
        <v/>
      </c>
      <c r="O60" s="12">
        <f>M60+N60</f>
        <v/>
      </c>
      <c r="P60" s="12">
        <f>ROUND(O60*0.0005, 2)</f>
        <v/>
      </c>
      <c r="Q60" s="12">
        <f>N60-M60</f>
        <v/>
      </c>
      <c r="R60" s="12">
        <f>Q60-P60</f>
        <v/>
      </c>
      <c r="S60" s="13">
        <f>ROUND((R60/M60)*100, 2)</f>
        <v/>
      </c>
      <c r="T60" s="12">
        <f>ROUND(0.20*M60, 2)</f>
        <v/>
      </c>
      <c r="U60" s="13">
        <f>ROUND((R60/T60)*100, 2)</f>
        <v/>
      </c>
      <c r="V60" s="12">
        <f>V59+R60</f>
        <v/>
      </c>
      <c r="W60" s="12">
        <f>MAX(W59, V60)</f>
        <v/>
      </c>
      <c r="X60" s="12">
        <f>V60-W60</f>
        <v/>
      </c>
    </row>
    <row r="61">
      <c r="A61" s="9" t="n">
        <v>58</v>
      </c>
      <c r="B61" s="10" t="inlineStr">
        <is>
          <t>DMART</t>
        </is>
      </c>
      <c r="C61" s="9" t="inlineStr">
        <is>
          <t>Q2 2026-27</t>
        </is>
      </c>
      <c r="D61" s="9" t="inlineStr">
        <is>
          <t>FUTURE LONG</t>
        </is>
      </c>
      <c r="E61" s="9" t="inlineStr">
        <is>
          <t>T-8 to T+1</t>
        </is>
      </c>
      <c r="F61" s="9" t="inlineStr">
        <is>
          <t>60.0%</t>
        </is>
      </c>
      <c r="G61" s="9" t="inlineStr">
        <is>
          <t>2024-12-31</t>
        </is>
      </c>
      <c r="H61" s="9" t="inlineStr">
        <is>
          <t>2025-01-13</t>
        </is>
      </c>
      <c r="I61" s="9" t="inlineStr">
        <is>
          <t>2025-01-11</t>
        </is>
      </c>
      <c r="J61" s="5" t="n">
        <v>280</v>
      </c>
      <c r="K61" s="11" t="n">
        <v>3561.85009765625</v>
      </c>
      <c r="L61" s="11" t="n">
        <v>3507.449951171875</v>
      </c>
      <c r="M61" s="12">
        <f>J61*K61</f>
        <v/>
      </c>
      <c r="N61" s="12">
        <f>J61*L61</f>
        <v/>
      </c>
      <c r="O61" s="12">
        <f>M61+N61</f>
        <v/>
      </c>
      <c r="P61" s="12">
        <f>ROUND(O61*0.0005, 2)</f>
        <v/>
      </c>
      <c r="Q61" s="12">
        <f>N61-M61</f>
        <v/>
      </c>
      <c r="R61" s="12">
        <f>Q61-P61</f>
        <v/>
      </c>
      <c r="S61" s="13">
        <f>ROUND((R61/M61)*100, 2)</f>
        <v/>
      </c>
      <c r="T61" s="12">
        <f>ROUND(0.20*M61, 2)</f>
        <v/>
      </c>
      <c r="U61" s="13">
        <f>ROUND((R61/T61)*100, 2)</f>
        <v/>
      </c>
      <c r="V61" s="12">
        <f>V60+R61</f>
        <v/>
      </c>
      <c r="W61" s="12">
        <f>MAX(W60, V61)</f>
        <v/>
      </c>
      <c r="X61" s="12">
        <f>V61-W61</f>
        <v/>
      </c>
    </row>
    <row r="62">
      <c r="A62" s="9" t="n">
        <v>59</v>
      </c>
      <c r="B62" s="10" t="inlineStr">
        <is>
          <t>DRREDDY</t>
        </is>
      </c>
      <c r="C62" s="9" t="inlineStr">
        <is>
          <t>Q2 2026-27</t>
        </is>
      </c>
      <c r="D62" s="9" t="inlineStr">
        <is>
          <t>FUTURE LONG</t>
        </is>
      </c>
      <c r="E62" s="9" t="inlineStr">
        <is>
          <t>T-8 to T+1</t>
        </is>
      </c>
      <c r="F62" s="9" t="inlineStr">
        <is>
          <t>60.0%</t>
        </is>
      </c>
      <c r="G62" s="9" t="inlineStr">
        <is>
          <t>2025-01-14</t>
        </is>
      </c>
      <c r="H62" s="9" t="inlineStr">
        <is>
          <t>2025-01-27</t>
        </is>
      </c>
      <c r="I62" s="9" t="inlineStr">
        <is>
          <t>2025-01-24</t>
        </is>
      </c>
      <c r="J62" s="5" t="n">
        <v>125</v>
      </c>
      <c r="K62" s="11" t="n">
        <v>1320.744873046875</v>
      </c>
      <c r="L62" s="11" t="n">
        <v>1182.6025390625</v>
      </c>
      <c r="M62" s="12">
        <f>J62*K62</f>
        <v/>
      </c>
      <c r="N62" s="12">
        <f>J62*L62</f>
        <v/>
      </c>
      <c r="O62" s="12">
        <f>M62+N62</f>
        <v/>
      </c>
      <c r="P62" s="12">
        <f>ROUND(O62*0.0005, 2)</f>
        <v/>
      </c>
      <c r="Q62" s="12">
        <f>N62-M62</f>
        <v/>
      </c>
      <c r="R62" s="12">
        <f>Q62-P62</f>
        <v/>
      </c>
      <c r="S62" s="13">
        <f>ROUND((R62/M62)*100, 2)</f>
        <v/>
      </c>
      <c r="T62" s="12">
        <f>ROUND(0.20*M62, 2)</f>
        <v/>
      </c>
      <c r="U62" s="13">
        <f>ROUND((R62/T62)*100, 2)</f>
        <v/>
      </c>
      <c r="V62" s="12">
        <f>V61+R62</f>
        <v/>
      </c>
      <c r="W62" s="12">
        <f>MAX(W61, V62)</f>
        <v/>
      </c>
      <c r="X62" s="12">
        <f>V62-W62</f>
        <v/>
      </c>
    </row>
    <row r="63">
      <c r="A63" s="9" t="n">
        <v>60</v>
      </c>
      <c r="B63" s="10" t="inlineStr">
        <is>
          <t>EICHERMOT</t>
        </is>
      </c>
      <c r="C63" s="9" t="inlineStr">
        <is>
          <t>Q2 2026-27</t>
        </is>
      </c>
      <c r="D63" s="9" t="inlineStr">
        <is>
          <t>FUTURE LONG</t>
        </is>
      </c>
      <c r="E63" s="9" t="inlineStr">
        <is>
          <t>T-8 to T+1</t>
        </is>
      </c>
      <c r="F63" s="9" t="inlineStr">
        <is>
          <t>70.0%</t>
        </is>
      </c>
      <c r="G63" s="9" t="inlineStr">
        <is>
          <t>2025-02-01</t>
        </is>
      </c>
      <c r="H63" s="9" t="inlineStr">
        <is>
          <t>2025-02-13</t>
        </is>
      </c>
      <c r="I63" s="9" t="inlineStr">
        <is>
          <t>2025-02-11</t>
        </is>
      </c>
      <c r="J63" s="5" t="n">
        <v>175</v>
      </c>
      <c r="K63" s="11" t="n">
        <v>5321.15283203125</v>
      </c>
      <c r="L63" s="11" t="n">
        <v>4758.69580078125</v>
      </c>
      <c r="M63" s="12">
        <f>J63*K63</f>
        <v/>
      </c>
      <c r="N63" s="12">
        <f>J63*L63</f>
        <v/>
      </c>
      <c r="O63" s="12">
        <f>M63+N63</f>
        <v/>
      </c>
      <c r="P63" s="12">
        <f>ROUND(O63*0.0005, 2)</f>
        <v/>
      </c>
      <c r="Q63" s="12">
        <f>N63-M63</f>
        <v/>
      </c>
      <c r="R63" s="12">
        <f>Q63-P63</f>
        <v/>
      </c>
      <c r="S63" s="13">
        <f>ROUND((R63/M63)*100, 2)</f>
        <v/>
      </c>
      <c r="T63" s="12">
        <f>ROUND(0.20*M63, 2)</f>
        <v/>
      </c>
      <c r="U63" s="13">
        <f>ROUND((R63/T63)*100, 2)</f>
        <v/>
      </c>
      <c r="V63" s="12">
        <f>V62+R63</f>
        <v/>
      </c>
      <c r="W63" s="12">
        <f>MAX(W62, V63)</f>
        <v/>
      </c>
      <c r="X63" s="12">
        <f>V63-W63</f>
        <v/>
      </c>
    </row>
    <row r="64">
      <c r="A64" s="9" t="n">
        <v>61</v>
      </c>
      <c r="B64" s="10" t="inlineStr">
        <is>
          <t>ETERNAL</t>
        </is>
      </c>
      <c r="C64" s="9" t="inlineStr">
        <is>
          <t>Q2 2026-27</t>
        </is>
      </c>
      <c r="D64" s="9" t="inlineStr">
        <is>
          <t>FUTURE LONG</t>
        </is>
      </c>
      <c r="E64" s="9" t="inlineStr">
        <is>
          <t>T-8 to T+1</t>
        </is>
      </c>
      <c r="F64" s="9" t="inlineStr">
        <is>
          <t>65.0%</t>
        </is>
      </c>
      <c r="G64" s="9" t="inlineStr">
        <is>
          <t>2025-01-08</t>
        </is>
      </c>
      <c r="H64" s="9" t="inlineStr">
        <is>
          <t>2025-01-21</t>
        </is>
      </c>
      <c r="I64" s="9" t="inlineStr">
        <is>
          <t>2025-01-20</t>
        </is>
      </c>
      <c r="J64" s="5" t="n">
        <v>3999</v>
      </c>
      <c r="K64" s="11" t="n">
        <v>250.0500030517578</v>
      </c>
      <c r="L64" s="11" t="n">
        <v>214.5500030517578</v>
      </c>
      <c r="M64" s="12">
        <f>J64*K64</f>
        <v/>
      </c>
      <c r="N64" s="12">
        <f>J64*L64</f>
        <v/>
      </c>
      <c r="O64" s="12">
        <f>M64+N64</f>
        <v/>
      </c>
      <c r="P64" s="12">
        <f>ROUND(O64*0.0005, 2)</f>
        <v/>
      </c>
      <c r="Q64" s="12">
        <f>N64-M64</f>
        <v/>
      </c>
      <c r="R64" s="12">
        <f>Q64-P64</f>
        <v/>
      </c>
      <c r="S64" s="13">
        <f>ROUND((R64/M64)*100, 2)</f>
        <v/>
      </c>
      <c r="T64" s="12">
        <f>ROUND(0.20*M64, 2)</f>
        <v/>
      </c>
      <c r="U64" s="13">
        <f>ROUND((R64/T64)*100, 2)</f>
        <v/>
      </c>
      <c r="V64" s="12">
        <f>V63+R64</f>
        <v/>
      </c>
      <c r="W64" s="12">
        <f>MAX(W63, V64)</f>
        <v/>
      </c>
      <c r="X64" s="12">
        <f>V64-W64</f>
        <v/>
      </c>
    </row>
    <row r="65">
      <c r="A65" s="9" t="n">
        <v>62</v>
      </c>
      <c r="B65" s="10" t="inlineStr">
        <is>
          <t>FEDERALBNK</t>
        </is>
      </c>
      <c r="C65" s="9" t="inlineStr">
        <is>
          <t>Q2 2026-27</t>
        </is>
      </c>
      <c r="D65" s="9" t="inlineStr">
        <is>
          <t>FUTURE LONG</t>
        </is>
      </c>
      <c r="E65" s="9" t="inlineStr">
        <is>
          <t>T-8 to T+1</t>
        </is>
      </c>
      <c r="F65" s="9" t="inlineStr">
        <is>
          <t>70.0%</t>
        </is>
      </c>
      <c r="G65" s="9" t="inlineStr">
        <is>
          <t>2025-01-16</t>
        </is>
      </c>
      <c r="H65" s="9" t="inlineStr">
        <is>
          <t>2025-01-29</t>
        </is>
      </c>
      <c r="I65" s="9" t="inlineStr">
        <is>
          <t>2025-01-28</t>
        </is>
      </c>
      <c r="J65" s="5" t="n">
        <v>5148</v>
      </c>
      <c r="K65" s="11" t="n">
        <v>194.2441253662109</v>
      </c>
      <c r="L65" s="11" t="n">
        <v>185.0597229003907</v>
      </c>
      <c r="M65" s="12">
        <f>J65*K65</f>
        <v/>
      </c>
      <c r="N65" s="12">
        <f>J65*L65</f>
        <v/>
      </c>
      <c r="O65" s="12">
        <f>M65+N65</f>
        <v/>
      </c>
      <c r="P65" s="12">
        <f>ROUND(O65*0.0005, 2)</f>
        <v/>
      </c>
      <c r="Q65" s="12">
        <f>N65-M65</f>
        <v/>
      </c>
      <c r="R65" s="12">
        <f>Q65-P65</f>
        <v/>
      </c>
      <c r="S65" s="13">
        <f>ROUND((R65/M65)*100, 2)</f>
        <v/>
      </c>
      <c r="T65" s="12">
        <f>ROUND(0.20*M65, 2)</f>
        <v/>
      </c>
      <c r="U65" s="13">
        <f>ROUND((R65/T65)*100, 2)</f>
        <v/>
      </c>
      <c r="V65" s="12">
        <f>V64+R65</f>
        <v/>
      </c>
      <c r="W65" s="12">
        <f>MAX(W64, V65)</f>
        <v/>
      </c>
      <c r="X65" s="12">
        <f>V65-W65</f>
        <v/>
      </c>
    </row>
    <row r="66">
      <c r="A66" s="9" t="n">
        <v>63</v>
      </c>
      <c r="B66" s="10" t="inlineStr">
        <is>
          <t>FORCEMOT</t>
        </is>
      </c>
      <c r="C66" s="9" t="inlineStr">
        <is>
          <t>Q2 2026-27</t>
        </is>
      </c>
      <c r="D66" s="9" t="inlineStr">
        <is>
          <t>FUTURE LONG</t>
        </is>
      </c>
      <c r="E66" s="9" t="inlineStr">
        <is>
          <t>T-8 to T+1</t>
        </is>
      </c>
      <c r="F66" s="9" t="inlineStr">
        <is>
          <t>65.0%</t>
        </is>
      </c>
      <c r="G66" s="9" t="inlineStr">
        <is>
          <t>2026-07-20</t>
        </is>
      </c>
      <c r="H66" s="9" t="inlineStr">
        <is>
          <t>2026-07-30</t>
        </is>
      </c>
      <c r="I66" s="9" t="inlineStr">
        <is>
          <t>2026-07-29</t>
        </is>
      </c>
      <c r="J66" s="5" t="n">
        <v>100</v>
      </c>
      <c r="K66" s="11" t="n">
        <v>17910</v>
      </c>
      <c r="L66" s="11" t="n">
        <v>17618</v>
      </c>
      <c r="M66" s="12">
        <f>J66*K66</f>
        <v/>
      </c>
      <c r="N66" s="12">
        <f>J66*L66</f>
        <v/>
      </c>
      <c r="O66" s="12">
        <f>M66+N66</f>
        <v/>
      </c>
      <c r="P66" s="12">
        <f>ROUND(O66*0.0005, 2)</f>
        <v/>
      </c>
      <c r="Q66" s="12">
        <f>N66-M66</f>
        <v/>
      </c>
      <c r="R66" s="12">
        <f>Q66-P66</f>
        <v/>
      </c>
      <c r="S66" s="13">
        <f>ROUND((R66/M66)*100, 2)</f>
        <v/>
      </c>
      <c r="T66" s="12">
        <f>ROUND(0.20*M66, 2)</f>
        <v/>
      </c>
      <c r="U66" s="13">
        <f>ROUND((R66/T66)*100, 2)</f>
        <v/>
      </c>
      <c r="V66" s="12">
        <f>V65+R66</f>
        <v/>
      </c>
      <c r="W66" s="12">
        <f>MAX(W65, V66)</f>
        <v/>
      </c>
      <c r="X66" s="12">
        <f>V66-W66</f>
        <v/>
      </c>
    </row>
    <row r="67">
      <c r="A67" s="9" t="n">
        <v>64</v>
      </c>
      <c r="B67" s="10" t="inlineStr">
        <is>
          <t>FORTIS</t>
        </is>
      </c>
      <c r="C67" s="9" t="inlineStr">
        <is>
          <t>Q2 2026-27</t>
        </is>
      </c>
      <c r="D67" s="9" t="inlineStr">
        <is>
          <t>FUTURE LONG</t>
        </is>
      </c>
      <c r="E67" s="9" t="inlineStr">
        <is>
          <t>T-8 to T+1</t>
        </is>
      </c>
      <c r="F67" s="9" t="inlineStr">
        <is>
          <t>70.0%</t>
        </is>
      </c>
      <c r="G67" s="9" t="inlineStr">
        <is>
          <t>2025-01-29</t>
        </is>
      </c>
      <c r="H67" s="9" t="inlineStr">
        <is>
          <t>2025-02-10</t>
        </is>
      </c>
      <c r="I67" s="9" t="inlineStr">
        <is>
          <t>2025-02-07</t>
        </is>
      </c>
      <c r="J67" s="5" t="n">
        <v>1594</v>
      </c>
      <c r="K67" s="11" t="n">
        <v>627.1422119140625</v>
      </c>
      <c r="L67" s="11" t="n">
        <v>625.6455688476562</v>
      </c>
      <c r="M67" s="12">
        <f>J67*K67</f>
        <v/>
      </c>
      <c r="N67" s="12">
        <f>J67*L67</f>
        <v/>
      </c>
      <c r="O67" s="12">
        <f>M67+N67</f>
        <v/>
      </c>
      <c r="P67" s="12">
        <f>ROUND(O67*0.0005, 2)</f>
        <v/>
      </c>
      <c r="Q67" s="12">
        <f>N67-M67</f>
        <v/>
      </c>
      <c r="R67" s="12">
        <f>Q67-P67</f>
        <v/>
      </c>
      <c r="S67" s="13">
        <f>ROUND((R67/M67)*100, 2)</f>
        <v/>
      </c>
      <c r="T67" s="12">
        <f>ROUND(0.20*M67, 2)</f>
        <v/>
      </c>
      <c r="U67" s="13">
        <f>ROUND((R67/T67)*100, 2)</f>
        <v/>
      </c>
      <c r="V67" s="12">
        <f>V66+R67</f>
        <v/>
      </c>
      <c r="W67" s="12">
        <f>MAX(W66, V67)</f>
        <v/>
      </c>
      <c r="X67" s="12">
        <f>V67-W67</f>
        <v/>
      </c>
    </row>
    <row r="68">
      <c r="A68" s="9" t="n">
        <v>65</v>
      </c>
      <c r="B68" s="10" t="inlineStr">
        <is>
          <t>GAIL</t>
        </is>
      </c>
      <c r="C68" s="9" t="inlineStr">
        <is>
          <t>Q2 2026-27</t>
        </is>
      </c>
      <c r="D68" s="9" t="inlineStr">
        <is>
          <t>FUTURE LONG</t>
        </is>
      </c>
      <c r="E68" s="9" t="inlineStr">
        <is>
          <t>T-8 to T+1</t>
        </is>
      </c>
      <c r="F68" s="9" t="inlineStr">
        <is>
          <t>65.0%</t>
        </is>
      </c>
      <c r="G68" s="9" t="inlineStr">
        <is>
          <t>2025-01-21</t>
        </is>
      </c>
      <c r="H68" s="9" t="inlineStr">
        <is>
          <t>2025-02-01</t>
        </is>
      </c>
      <c r="I68" s="9" t="inlineStr">
        <is>
          <t>2025-01-31</t>
        </is>
      </c>
      <c r="J68" s="5" t="n">
        <v>5982</v>
      </c>
      <c r="K68" s="11" t="n">
        <v>167.1511688232422</v>
      </c>
      <c r="L68" s="11" t="n">
        <v>163.1468353271484</v>
      </c>
      <c r="M68" s="12">
        <f>J68*K68</f>
        <v/>
      </c>
      <c r="N68" s="12">
        <f>J68*L68</f>
        <v/>
      </c>
      <c r="O68" s="12">
        <f>M68+N68</f>
        <v/>
      </c>
      <c r="P68" s="12">
        <f>ROUND(O68*0.0005, 2)</f>
        <v/>
      </c>
      <c r="Q68" s="12">
        <f>N68-M68</f>
        <v/>
      </c>
      <c r="R68" s="12">
        <f>Q68-P68</f>
        <v/>
      </c>
      <c r="S68" s="13">
        <f>ROUND((R68/M68)*100, 2)</f>
        <v/>
      </c>
      <c r="T68" s="12">
        <f>ROUND(0.20*M68, 2)</f>
        <v/>
      </c>
      <c r="U68" s="13">
        <f>ROUND((R68/T68)*100, 2)</f>
        <v/>
      </c>
      <c r="V68" s="12">
        <f>V67+R68</f>
        <v/>
      </c>
      <c r="W68" s="12">
        <f>MAX(W67, V68)</f>
        <v/>
      </c>
      <c r="X68" s="12">
        <f>V68-W68</f>
        <v/>
      </c>
    </row>
    <row r="69">
      <c r="A69" s="9" t="n">
        <v>66</v>
      </c>
      <c r="B69" s="10" t="inlineStr">
        <is>
          <t>GLENMARK</t>
        </is>
      </c>
      <c r="C69" s="9" t="inlineStr">
        <is>
          <t>Q2 2026-27</t>
        </is>
      </c>
      <c r="D69" s="9" t="inlineStr">
        <is>
          <t>FUTURE LONG</t>
        </is>
      </c>
      <c r="E69" s="9" t="inlineStr">
        <is>
          <t>T-8 to T+1</t>
        </is>
      </c>
      <c r="F69" s="9" t="inlineStr">
        <is>
          <t>65.0%</t>
        </is>
      </c>
      <c r="G69" s="9" t="inlineStr">
        <is>
          <t>2025-02-04</t>
        </is>
      </c>
      <c r="H69" s="9" t="inlineStr">
        <is>
          <t>2025-02-17</t>
        </is>
      </c>
      <c r="I69" s="9" t="inlineStr">
        <is>
          <t>2025-02-14</t>
        </is>
      </c>
      <c r="J69" s="5" t="n">
        <v>690</v>
      </c>
      <c r="K69" s="11" t="n">
        <v>1447.998413085938</v>
      </c>
      <c r="L69" s="11" t="n">
        <v>1370.438598632812</v>
      </c>
      <c r="M69" s="12">
        <f>J69*K69</f>
        <v/>
      </c>
      <c r="N69" s="12">
        <f>J69*L69</f>
        <v/>
      </c>
      <c r="O69" s="12">
        <f>M69+N69</f>
        <v/>
      </c>
      <c r="P69" s="12">
        <f>ROUND(O69*0.0005, 2)</f>
        <v/>
      </c>
      <c r="Q69" s="12">
        <f>N69-M69</f>
        <v/>
      </c>
      <c r="R69" s="12">
        <f>Q69-P69</f>
        <v/>
      </c>
      <c r="S69" s="13">
        <f>ROUND((R69/M69)*100, 2)</f>
        <v/>
      </c>
      <c r="T69" s="12">
        <f>ROUND(0.20*M69, 2)</f>
        <v/>
      </c>
      <c r="U69" s="13">
        <f>ROUND((R69/T69)*100, 2)</f>
        <v/>
      </c>
      <c r="V69" s="12">
        <f>V68+R69</f>
        <v/>
      </c>
      <c r="W69" s="12">
        <f>MAX(W68, V69)</f>
        <v/>
      </c>
      <c r="X69" s="12">
        <f>V69-W69</f>
        <v/>
      </c>
    </row>
    <row r="70">
      <c r="A70" s="9" t="n">
        <v>67</v>
      </c>
      <c r="B70" s="10" t="inlineStr">
        <is>
          <t>GMRAIRPORT</t>
        </is>
      </c>
      <c r="C70" s="9" t="inlineStr">
        <is>
          <t>Q2 2026-27</t>
        </is>
      </c>
      <c r="D70" s="9" t="inlineStr">
        <is>
          <t>FUTURE LONG</t>
        </is>
      </c>
      <c r="E70" s="9" t="inlineStr">
        <is>
          <t>T-8 to T+1</t>
        </is>
      </c>
      <c r="F70" s="9" t="inlineStr">
        <is>
          <t>75.0%</t>
        </is>
      </c>
      <c r="G70" s="9" t="inlineStr">
        <is>
          <t>2025-01-17</t>
        </is>
      </c>
      <c r="H70" s="9" t="inlineStr">
        <is>
          <t>2025-01-30</t>
        </is>
      </c>
      <c r="I70" s="9" t="inlineStr">
        <is>
          <t>2025-01-29</t>
        </is>
      </c>
      <c r="J70" s="5" t="n">
        <v>13145</v>
      </c>
      <c r="K70" s="11" t="n">
        <v>76.06999969482422</v>
      </c>
      <c r="L70" s="11" t="n">
        <v>71.19999694824219</v>
      </c>
      <c r="M70" s="12">
        <f>J70*K70</f>
        <v/>
      </c>
      <c r="N70" s="12">
        <f>J70*L70</f>
        <v/>
      </c>
      <c r="O70" s="12">
        <f>M70+N70</f>
        <v/>
      </c>
      <c r="P70" s="12">
        <f>ROUND(O70*0.0005, 2)</f>
        <v/>
      </c>
      <c r="Q70" s="12">
        <f>N70-M70</f>
        <v/>
      </c>
      <c r="R70" s="12">
        <f>Q70-P70</f>
        <v/>
      </c>
      <c r="S70" s="13">
        <f>ROUND((R70/M70)*100, 2)</f>
        <v/>
      </c>
      <c r="T70" s="12">
        <f>ROUND(0.20*M70, 2)</f>
        <v/>
      </c>
      <c r="U70" s="13">
        <f>ROUND((R70/T70)*100, 2)</f>
        <v/>
      </c>
      <c r="V70" s="12">
        <f>V69+R70</f>
        <v/>
      </c>
      <c r="W70" s="12">
        <f>MAX(W69, V70)</f>
        <v/>
      </c>
      <c r="X70" s="12">
        <f>V70-W70</f>
        <v/>
      </c>
    </row>
    <row r="71">
      <c r="A71" s="9" t="n">
        <v>68</v>
      </c>
      <c r="B71" s="10" t="inlineStr">
        <is>
          <t>GODFRYPHLP</t>
        </is>
      </c>
      <c r="C71" s="9" t="inlineStr">
        <is>
          <t>Q2 2026-27</t>
        </is>
      </c>
      <c r="D71" s="9" t="inlineStr">
        <is>
          <t>FUTURE LONG</t>
        </is>
      </c>
      <c r="E71" s="9" t="inlineStr">
        <is>
          <t>T-8 to T+1</t>
        </is>
      </c>
      <c r="F71" s="9" t="inlineStr">
        <is>
          <t>70.0%</t>
        </is>
      </c>
      <c r="G71" s="9" t="inlineStr">
        <is>
          <t>2025-02-03</t>
        </is>
      </c>
      <c r="H71" s="9" t="inlineStr">
        <is>
          <t>2025-02-14</t>
        </is>
      </c>
      <c r="I71" s="9" t="inlineStr">
        <is>
          <t>2025-02-13</t>
        </is>
      </c>
      <c r="J71" s="5" t="n">
        <v>627</v>
      </c>
      <c r="K71" s="11" t="n">
        <v>1592.610107421875</v>
      </c>
      <c r="L71" s="11" t="n">
        <v>1977.905151367188</v>
      </c>
      <c r="M71" s="12">
        <f>J71*K71</f>
        <v/>
      </c>
      <c r="N71" s="12">
        <f>J71*L71</f>
        <v/>
      </c>
      <c r="O71" s="12">
        <f>M71+N71</f>
        <v/>
      </c>
      <c r="P71" s="12">
        <f>ROUND(O71*0.0005, 2)</f>
        <v/>
      </c>
      <c r="Q71" s="12">
        <f>N71-M71</f>
        <v/>
      </c>
      <c r="R71" s="12">
        <f>Q71-P71</f>
        <v/>
      </c>
      <c r="S71" s="13">
        <f>ROUND((R71/M71)*100, 2)</f>
        <v/>
      </c>
      <c r="T71" s="12">
        <f>ROUND(0.20*M71, 2)</f>
        <v/>
      </c>
      <c r="U71" s="13">
        <f>ROUND((R71/T71)*100, 2)</f>
        <v/>
      </c>
      <c r="V71" s="12">
        <f>V70+R71</f>
        <v/>
      </c>
      <c r="W71" s="12">
        <f>MAX(W70, V71)</f>
        <v/>
      </c>
      <c r="X71" s="12">
        <f>V71-W71</f>
        <v/>
      </c>
    </row>
    <row r="72">
      <c r="A72" s="9" t="n">
        <v>69</v>
      </c>
      <c r="B72" s="10" t="inlineStr">
        <is>
          <t>GODREJCP</t>
        </is>
      </c>
      <c r="C72" s="9" t="inlineStr">
        <is>
          <t>Q2 2026-27</t>
        </is>
      </c>
      <c r="D72" s="9" t="inlineStr">
        <is>
          <t>FUTURE LONG</t>
        </is>
      </c>
      <c r="E72" s="9" t="inlineStr">
        <is>
          <t>T-8 to T+1</t>
        </is>
      </c>
      <c r="F72" s="9" t="inlineStr">
        <is>
          <t>70.0%</t>
        </is>
      </c>
      <c r="G72" s="9" t="inlineStr">
        <is>
          <t>2025-01-14</t>
        </is>
      </c>
      <c r="H72" s="9" t="inlineStr">
        <is>
          <t>2025-01-27</t>
        </is>
      </c>
      <c r="I72" s="9" t="inlineStr">
        <is>
          <t>2025-01-24</t>
        </is>
      </c>
      <c r="J72" s="5" t="n">
        <v>899</v>
      </c>
      <c r="K72" s="11" t="n">
        <v>1111.256713867188</v>
      </c>
      <c r="L72" s="11" t="n">
        <v>1097.809936523438</v>
      </c>
      <c r="M72" s="12">
        <f>J72*K72</f>
        <v/>
      </c>
      <c r="N72" s="12">
        <f>J72*L72</f>
        <v/>
      </c>
      <c r="O72" s="12">
        <f>M72+N72</f>
        <v/>
      </c>
      <c r="P72" s="12">
        <f>ROUND(O72*0.0005, 2)</f>
        <v/>
      </c>
      <c r="Q72" s="12">
        <f>N72-M72</f>
        <v/>
      </c>
      <c r="R72" s="12">
        <f>Q72-P72</f>
        <v/>
      </c>
      <c r="S72" s="13">
        <f>ROUND((R72/M72)*100, 2)</f>
        <v/>
      </c>
      <c r="T72" s="12">
        <f>ROUND(0.20*M72, 2)</f>
        <v/>
      </c>
      <c r="U72" s="13">
        <f>ROUND((R72/T72)*100, 2)</f>
        <v/>
      </c>
      <c r="V72" s="12">
        <f>V71+R72</f>
        <v/>
      </c>
      <c r="W72" s="12">
        <f>MAX(W71, V72)</f>
        <v/>
      </c>
      <c r="X72" s="12">
        <f>V72-W72</f>
        <v/>
      </c>
    </row>
    <row r="73">
      <c r="A73" s="9" t="n">
        <v>70</v>
      </c>
      <c r="B73" s="10" t="inlineStr">
        <is>
          <t>GODREJPROP</t>
        </is>
      </c>
      <c r="C73" s="9" t="inlineStr">
        <is>
          <t>Q2 2026-27</t>
        </is>
      </c>
      <c r="D73" s="9" t="inlineStr">
        <is>
          <t>FUTURE LONG</t>
        </is>
      </c>
      <c r="E73" s="9" t="inlineStr">
        <is>
          <t>T-8 to T+1</t>
        </is>
      </c>
      <c r="F73" s="9" t="inlineStr">
        <is>
          <t>65.0%</t>
        </is>
      </c>
      <c r="G73" s="9" t="inlineStr">
        <is>
          <t>2025-01-24</t>
        </is>
      </c>
      <c r="H73" s="9" t="inlineStr">
        <is>
          <t>2025-02-05</t>
        </is>
      </c>
      <c r="I73" s="9" t="inlineStr">
        <is>
          <t>2025-02-04</t>
        </is>
      </c>
      <c r="J73" s="5" t="n">
        <v>466</v>
      </c>
      <c r="K73" s="11" t="n">
        <v>2144.633544921875</v>
      </c>
      <c r="L73" s="11" t="n">
        <v>2290.279541015625</v>
      </c>
      <c r="M73" s="12">
        <f>J73*K73</f>
        <v/>
      </c>
      <c r="N73" s="12">
        <f>J73*L73</f>
        <v/>
      </c>
      <c r="O73" s="12">
        <f>M73+N73</f>
        <v/>
      </c>
      <c r="P73" s="12">
        <f>ROUND(O73*0.0005, 2)</f>
        <v/>
      </c>
      <c r="Q73" s="12">
        <f>N73-M73</f>
        <v/>
      </c>
      <c r="R73" s="12">
        <f>Q73-P73</f>
        <v/>
      </c>
      <c r="S73" s="13">
        <f>ROUND((R73/M73)*100, 2)</f>
        <v/>
      </c>
      <c r="T73" s="12">
        <f>ROUND(0.20*M73, 2)</f>
        <v/>
      </c>
      <c r="U73" s="13">
        <f>ROUND((R73/T73)*100, 2)</f>
        <v/>
      </c>
      <c r="V73" s="12">
        <f>V72+R73</f>
        <v/>
      </c>
      <c r="W73" s="12">
        <f>MAX(W72, V73)</f>
        <v/>
      </c>
      <c r="X73" s="12">
        <f>V73-W73</f>
        <v/>
      </c>
    </row>
    <row r="74">
      <c r="A74" s="9" t="n">
        <v>71</v>
      </c>
      <c r="B74" s="10" t="inlineStr">
        <is>
          <t>GRASIM</t>
        </is>
      </c>
      <c r="C74" s="9" t="inlineStr">
        <is>
          <t>Q2 2026-27</t>
        </is>
      </c>
      <c r="D74" s="9" t="inlineStr">
        <is>
          <t>FUTURE LONG</t>
        </is>
      </c>
      <c r="E74" s="9" t="inlineStr">
        <is>
          <t>T-8 to T+1</t>
        </is>
      </c>
      <c r="F74" s="9" t="inlineStr">
        <is>
          <t>65.0%</t>
        </is>
      </c>
      <c r="G74" s="9" t="inlineStr">
        <is>
          <t>2025-01-31</t>
        </is>
      </c>
      <c r="H74" s="9" t="inlineStr">
        <is>
          <t>2025-02-12</t>
        </is>
      </c>
      <c r="I74" s="9" t="inlineStr">
        <is>
          <t>2025-02-10</t>
        </is>
      </c>
      <c r="J74" s="5" t="n">
        <v>250</v>
      </c>
      <c r="K74" s="11" t="n">
        <v>2499.756591796875</v>
      </c>
      <c r="L74" s="11" t="n">
        <v>2475.94287109375</v>
      </c>
      <c r="M74" s="12">
        <f>J74*K74</f>
        <v/>
      </c>
      <c r="N74" s="12">
        <f>J74*L74</f>
        <v/>
      </c>
      <c r="O74" s="12">
        <f>M74+N74</f>
        <v/>
      </c>
      <c r="P74" s="12">
        <f>ROUND(O74*0.0005, 2)</f>
        <v/>
      </c>
      <c r="Q74" s="12">
        <f>N74-M74</f>
        <v/>
      </c>
      <c r="R74" s="12">
        <f>Q74-P74</f>
        <v/>
      </c>
      <c r="S74" s="13">
        <f>ROUND((R74/M74)*100, 2)</f>
        <v/>
      </c>
      <c r="T74" s="12">
        <f>ROUND(0.20*M74, 2)</f>
        <v/>
      </c>
      <c r="U74" s="13">
        <f>ROUND((R74/T74)*100, 2)</f>
        <v/>
      </c>
      <c r="V74" s="12">
        <f>V73+R74</f>
        <v/>
      </c>
      <c r="W74" s="12">
        <f>MAX(W73, V74)</f>
        <v/>
      </c>
      <c r="X74" s="12">
        <f>V74-W74</f>
        <v/>
      </c>
    </row>
    <row r="75">
      <c r="A75" s="9" t="n">
        <v>72</v>
      </c>
      <c r="B75" s="10" t="inlineStr">
        <is>
          <t>GVT&amp;D</t>
        </is>
      </c>
      <c r="C75" s="9" t="inlineStr">
        <is>
          <t>Q2 2026-27</t>
        </is>
      </c>
      <c r="D75" s="9" t="inlineStr">
        <is>
          <t>FUTURE LONG</t>
        </is>
      </c>
      <c r="E75" s="9" t="inlineStr">
        <is>
          <t>T-8 to T+1</t>
        </is>
      </c>
      <c r="F75" s="9" t="inlineStr">
        <is>
          <t>70.0%</t>
        </is>
      </c>
      <c r="G75" s="9" t="inlineStr">
        <is>
          <t>2025-01-27</t>
        </is>
      </c>
      <c r="H75" s="9" t="inlineStr">
        <is>
          <t>2025-02-06</t>
        </is>
      </c>
      <c r="I75" s="9" t="inlineStr">
        <is>
          <t>2025-02-05</t>
        </is>
      </c>
      <c r="J75" s="5" t="n">
        <v>598</v>
      </c>
      <c r="K75" s="11" t="n">
        <v>1672.13623046875</v>
      </c>
      <c r="L75" s="11" t="n">
        <v>1716.804443359375</v>
      </c>
      <c r="M75" s="12">
        <f>J75*K75</f>
        <v/>
      </c>
      <c r="N75" s="12">
        <f>J75*L75</f>
        <v/>
      </c>
      <c r="O75" s="12">
        <f>M75+N75</f>
        <v/>
      </c>
      <c r="P75" s="12">
        <f>ROUND(O75*0.0005, 2)</f>
        <v/>
      </c>
      <c r="Q75" s="12">
        <f>N75-M75</f>
        <v/>
      </c>
      <c r="R75" s="12">
        <f>Q75-P75</f>
        <v/>
      </c>
      <c r="S75" s="13">
        <f>ROUND((R75/M75)*100, 2)</f>
        <v/>
      </c>
      <c r="T75" s="12">
        <f>ROUND(0.20*M75, 2)</f>
        <v/>
      </c>
      <c r="U75" s="13">
        <f>ROUND((R75/T75)*100, 2)</f>
        <v/>
      </c>
      <c r="V75" s="12">
        <f>V74+R75</f>
        <v/>
      </c>
      <c r="W75" s="12">
        <f>MAX(W74, V75)</f>
        <v/>
      </c>
      <c r="X75" s="12">
        <f>V75-W75</f>
        <v/>
      </c>
    </row>
    <row r="76">
      <c r="A76" s="9" t="n">
        <v>73</v>
      </c>
      <c r="B76" s="10" t="inlineStr">
        <is>
          <t>HAL</t>
        </is>
      </c>
      <c r="C76" s="9" t="inlineStr">
        <is>
          <t>Q2 2026-27</t>
        </is>
      </c>
      <c r="D76" s="9" t="inlineStr">
        <is>
          <t>FUTURE LONG</t>
        </is>
      </c>
      <c r="E76" s="9" t="inlineStr">
        <is>
          <t>T-8 to T+1</t>
        </is>
      </c>
      <c r="F76" s="9" t="inlineStr">
        <is>
          <t>75.0%</t>
        </is>
      </c>
      <c r="G76" s="9" t="inlineStr">
        <is>
          <t>2025-02-01</t>
        </is>
      </c>
      <c r="H76" s="9" t="inlineStr">
        <is>
          <t>2025-02-13</t>
        </is>
      </c>
      <c r="I76" s="9" t="inlineStr">
        <is>
          <t>2025-02-12</t>
        </is>
      </c>
      <c r="J76" s="5" t="n">
        <v>269</v>
      </c>
      <c r="K76" s="11" t="n">
        <v>3704.438232421875</v>
      </c>
      <c r="L76" s="11" t="n">
        <v>3591.93017578125</v>
      </c>
      <c r="M76" s="12">
        <f>J76*K76</f>
        <v/>
      </c>
      <c r="N76" s="12">
        <f>J76*L76</f>
        <v/>
      </c>
      <c r="O76" s="12">
        <f>M76+N76</f>
        <v/>
      </c>
      <c r="P76" s="12">
        <f>ROUND(O76*0.0005, 2)</f>
        <v/>
      </c>
      <c r="Q76" s="12">
        <f>N76-M76</f>
        <v/>
      </c>
      <c r="R76" s="12">
        <f>Q76-P76</f>
        <v/>
      </c>
      <c r="S76" s="13">
        <f>ROUND((R76/M76)*100, 2)</f>
        <v/>
      </c>
      <c r="T76" s="12">
        <f>ROUND(0.20*M76, 2)</f>
        <v/>
      </c>
      <c r="U76" s="13">
        <f>ROUND((R76/T76)*100, 2)</f>
        <v/>
      </c>
      <c r="V76" s="12">
        <f>V75+R76</f>
        <v/>
      </c>
      <c r="W76" s="12">
        <f>MAX(W75, V76)</f>
        <v/>
      </c>
      <c r="X76" s="12">
        <f>V76-W76</f>
        <v/>
      </c>
    </row>
    <row r="77">
      <c r="A77" s="9" t="n">
        <v>74</v>
      </c>
      <c r="B77" s="10" t="inlineStr">
        <is>
          <t>HAVELLS</t>
        </is>
      </c>
      <c r="C77" s="9" t="inlineStr">
        <is>
          <t>Q2 2026-27</t>
        </is>
      </c>
      <c r="D77" s="9" t="inlineStr">
        <is>
          <t>FUTURE LONG</t>
        </is>
      </c>
      <c r="E77" s="9" t="inlineStr">
        <is>
          <t>T-8 to T+1</t>
        </is>
      </c>
      <c r="F77" s="9" t="inlineStr">
        <is>
          <t>60.0%</t>
        </is>
      </c>
      <c r="G77" s="9" t="inlineStr">
        <is>
          <t>2025-01-06</t>
        </is>
      </c>
      <c r="H77" s="9" t="inlineStr">
        <is>
          <t>2025-01-17</t>
        </is>
      </c>
      <c r="I77" s="9" t="inlineStr">
        <is>
          <t>2025-01-16</t>
        </is>
      </c>
      <c r="J77" s="5" t="n">
        <v>616</v>
      </c>
      <c r="K77" s="11" t="n">
        <v>1622.608276367188</v>
      </c>
      <c r="L77" s="11" t="n">
        <v>1551.687133789062</v>
      </c>
      <c r="M77" s="12">
        <f>J77*K77</f>
        <v/>
      </c>
      <c r="N77" s="12">
        <f>J77*L77</f>
        <v/>
      </c>
      <c r="O77" s="12">
        <f>M77+N77</f>
        <v/>
      </c>
      <c r="P77" s="12">
        <f>ROUND(O77*0.0005, 2)</f>
        <v/>
      </c>
      <c r="Q77" s="12">
        <f>N77-M77</f>
        <v/>
      </c>
      <c r="R77" s="12">
        <f>Q77-P77</f>
        <v/>
      </c>
      <c r="S77" s="13">
        <f>ROUND((R77/M77)*100, 2)</f>
        <v/>
      </c>
      <c r="T77" s="12">
        <f>ROUND(0.20*M77, 2)</f>
        <v/>
      </c>
      <c r="U77" s="13">
        <f>ROUND((R77/T77)*100, 2)</f>
        <v/>
      </c>
      <c r="V77" s="12">
        <f>V76+R77</f>
        <v/>
      </c>
      <c r="W77" s="12">
        <f>MAX(W76, V77)</f>
        <v/>
      </c>
      <c r="X77" s="12">
        <f>V77-W77</f>
        <v/>
      </c>
    </row>
    <row r="78">
      <c r="A78" s="9" t="n">
        <v>75</v>
      </c>
      <c r="B78" s="10" t="inlineStr">
        <is>
          <t>HCLTECH</t>
        </is>
      </c>
      <c r="C78" s="9" t="inlineStr">
        <is>
          <t>Q2 2026-27</t>
        </is>
      </c>
      <c r="D78" s="9" t="inlineStr">
        <is>
          <t>FUTURE LONG</t>
        </is>
      </c>
      <c r="E78" s="9" t="inlineStr">
        <is>
          <t>T-8 to T+1</t>
        </is>
      </c>
      <c r="F78" s="9" t="inlineStr">
        <is>
          <t>70.0%</t>
        </is>
      </c>
      <c r="G78" s="9" t="inlineStr">
        <is>
          <t>2025-01-03</t>
        </is>
      </c>
      <c r="H78" s="9" t="inlineStr">
        <is>
          <t>2025-01-16</t>
        </is>
      </c>
      <c r="I78" s="9" t="inlineStr">
        <is>
          <t>2025-01-14</t>
        </is>
      </c>
      <c r="J78" s="5" t="n">
        <v>350</v>
      </c>
      <c r="K78" s="11" t="n">
        <v>1826.876708984375</v>
      </c>
      <c r="L78" s="11" t="n">
        <v>1681.976684570312</v>
      </c>
      <c r="M78" s="12">
        <f>J78*K78</f>
        <v/>
      </c>
      <c r="N78" s="12">
        <f>J78*L78</f>
        <v/>
      </c>
      <c r="O78" s="12">
        <f>M78+N78</f>
        <v/>
      </c>
      <c r="P78" s="12">
        <f>ROUND(O78*0.0005, 2)</f>
        <v/>
      </c>
      <c r="Q78" s="12">
        <f>N78-M78</f>
        <v/>
      </c>
      <c r="R78" s="12">
        <f>Q78-P78</f>
        <v/>
      </c>
      <c r="S78" s="13">
        <f>ROUND((R78/M78)*100, 2)</f>
        <v/>
      </c>
      <c r="T78" s="12">
        <f>ROUND(0.20*M78, 2)</f>
        <v/>
      </c>
      <c r="U78" s="13">
        <f>ROUND((R78/T78)*100, 2)</f>
        <v/>
      </c>
      <c r="V78" s="12">
        <f>V77+R78</f>
        <v/>
      </c>
      <c r="W78" s="12">
        <f>MAX(W77, V78)</f>
        <v/>
      </c>
      <c r="X78" s="12">
        <f>V78-W78</f>
        <v/>
      </c>
    </row>
    <row r="79">
      <c r="A79" s="9" t="n">
        <v>76</v>
      </c>
      <c r="B79" s="10" t="inlineStr">
        <is>
          <t>HDFCAMC</t>
        </is>
      </c>
      <c r="C79" s="9" t="inlineStr">
        <is>
          <t>Q2 2026-27</t>
        </is>
      </c>
      <c r="D79" s="9" t="inlineStr">
        <is>
          <t>FUTURE LONG</t>
        </is>
      </c>
      <c r="E79" s="9" t="inlineStr">
        <is>
          <t>T-8 to T+1</t>
        </is>
      </c>
      <c r="F79" s="9" t="inlineStr">
        <is>
          <t>65.0%</t>
        </is>
      </c>
      <c r="G79" s="9" t="inlineStr">
        <is>
          <t>2025-01-02</t>
        </is>
      </c>
      <c r="H79" s="9" t="inlineStr">
        <is>
          <t>2025-01-15</t>
        </is>
      </c>
      <c r="I79" s="9" t="inlineStr">
        <is>
          <t>2025-01-14</t>
        </is>
      </c>
      <c r="J79" s="5" t="n">
        <v>486</v>
      </c>
      <c r="K79" s="11" t="n">
        <v>2056.555419921875</v>
      </c>
      <c r="L79" s="11" t="n">
        <v>1943.95263671875</v>
      </c>
      <c r="M79" s="12">
        <f>J79*K79</f>
        <v/>
      </c>
      <c r="N79" s="12">
        <f>J79*L79</f>
        <v/>
      </c>
      <c r="O79" s="12">
        <f>M79+N79</f>
        <v/>
      </c>
      <c r="P79" s="12">
        <f>ROUND(O79*0.0005, 2)</f>
        <v/>
      </c>
      <c r="Q79" s="12">
        <f>N79-M79</f>
        <v/>
      </c>
      <c r="R79" s="12">
        <f>Q79-P79</f>
        <v/>
      </c>
      <c r="S79" s="13">
        <f>ROUND((R79/M79)*100, 2)</f>
        <v/>
      </c>
      <c r="T79" s="12">
        <f>ROUND(0.20*M79, 2)</f>
        <v/>
      </c>
      <c r="U79" s="13">
        <f>ROUND((R79/T79)*100, 2)</f>
        <v/>
      </c>
      <c r="V79" s="12">
        <f>V78+R79</f>
        <v/>
      </c>
      <c r="W79" s="12">
        <f>MAX(W78, V79)</f>
        <v/>
      </c>
      <c r="X79" s="12">
        <f>V79-W79</f>
        <v/>
      </c>
    </row>
    <row r="80">
      <c r="A80" s="9" t="n">
        <v>77</v>
      </c>
      <c r="B80" s="10" t="inlineStr">
        <is>
          <t>HDFCBANK</t>
        </is>
      </c>
      <c r="C80" s="9" t="inlineStr">
        <is>
          <t>Q2 2026-27</t>
        </is>
      </c>
      <c r="D80" s="9" t="inlineStr">
        <is>
          <t>FUTURE LONG</t>
        </is>
      </c>
      <c r="E80" s="9" t="inlineStr">
        <is>
          <t>T-8 to T+1</t>
        </is>
      </c>
      <c r="F80" s="9" t="inlineStr">
        <is>
          <t>75.0%</t>
        </is>
      </c>
      <c r="G80" s="9" t="inlineStr">
        <is>
          <t>2025-01-14</t>
        </is>
      </c>
      <c r="H80" s="9" t="inlineStr">
        <is>
          <t>2025-01-27</t>
        </is>
      </c>
      <c r="I80" s="9" t="inlineStr">
        <is>
          <t>2025-01-23</t>
        </is>
      </c>
      <c r="J80" s="5" t="n">
        <v>550</v>
      </c>
      <c r="K80" s="11" t="n">
        <v>799.1031494140625</v>
      </c>
      <c r="L80" s="11" t="n">
        <v>790.9500732421875</v>
      </c>
      <c r="M80" s="12">
        <f>J80*K80</f>
        <v/>
      </c>
      <c r="N80" s="12">
        <f>J80*L80</f>
        <v/>
      </c>
      <c r="O80" s="12">
        <f>M80+N80</f>
        <v/>
      </c>
      <c r="P80" s="12">
        <f>ROUND(O80*0.0005, 2)</f>
        <v/>
      </c>
      <c r="Q80" s="12">
        <f>N80-M80</f>
        <v/>
      </c>
      <c r="R80" s="12">
        <f>Q80-P80</f>
        <v/>
      </c>
      <c r="S80" s="13">
        <f>ROUND((R80/M80)*100, 2)</f>
        <v/>
      </c>
      <c r="T80" s="12">
        <f>ROUND(0.20*M80, 2)</f>
        <v/>
      </c>
      <c r="U80" s="13">
        <f>ROUND((R80/T80)*100, 2)</f>
        <v/>
      </c>
      <c r="V80" s="12">
        <f>V79+R80</f>
        <v/>
      </c>
      <c r="W80" s="12">
        <f>MAX(W79, V80)</f>
        <v/>
      </c>
      <c r="X80" s="12">
        <f>V80-W80</f>
        <v/>
      </c>
    </row>
    <row r="81">
      <c r="A81" s="9" t="n">
        <v>78</v>
      </c>
      <c r="B81" s="10" t="inlineStr">
        <is>
          <t>HDFCLIFE</t>
        </is>
      </c>
      <c r="C81" s="9" t="inlineStr">
        <is>
          <t>Q2 2026-27</t>
        </is>
      </c>
      <c r="D81" s="9" t="inlineStr">
        <is>
          <t>FUTURE LONG</t>
        </is>
      </c>
      <c r="E81" s="9" t="inlineStr">
        <is>
          <t>T-8 to T+1</t>
        </is>
      </c>
      <c r="F81" s="9" t="inlineStr">
        <is>
          <t>65.0%</t>
        </is>
      </c>
      <c r="G81" s="9" t="inlineStr">
        <is>
          <t>2025-01-03</t>
        </is>
      </c>
      <c r="H81" s="9" t="inlineStr">
        <is>
          <t>2025-01-16</t>
        </is>
      </c>
      <c r="I81" s="9" t="inlineStr">
        <is>
          <t>2025-01-15</t>
        </is>
      </c>
      <c r="J81" s="5" t="n">
        <v>1100</v>
      </c>
      <c r="K81" s="11" t="n">
        <v>619.0762329101562</v>
      </c>
      <c r="L81" s="11" t="n">
        <v>637.3603515625</v>
      </c>
      <c r="M81" s="12">
        <f>J81*K81</f>
        <v/>
      </c>
      <c r="N81" s="12">
        <f>J81*L81</f>
        <v/>
      </c>
      <c r="O81" s="12">
        <f>M81+N81</f>
        <v/>
      </c>
      <c r="P81" s="12">
        <f>ROUND(O81*0.0005, 2)</f>
        <v/>
      </c>
      <c r="Q81" s="12">
        <f>N81-M81</f>
        <v/>
      </c>
      <c r="R81" s="12">
        <f>Q81-P81</f>
        <v/>
      </c>
      <c r="S81" s="13">
        <f>ROUND((R81/M81)*100, 2)</f>
        <v/>
      </c>
      <c r="T81" s="12">
        <f>ROUND(0.20*M81, 2)</f>
        <v/>
      </c>
      <c r="U81" s="13">
        <f>ROUND((R81/T81)*100, 2)</f>
        <v/>
      </c>
      <c r="V81" s="12">
        <f>V80+R81</f>
        <v/>
      </c>
      <c r="W81" s="12">
        <f>MAX(W80, V81)</f>
        <v/>
      </c>
      <c r="X81" s="12">
        <f>V81-W81</f>
        <v/>
      </c>
    </row>
    <row r="82">
      <c r="A82" s="9" t="n">
        <v>79</v>
      </c>
      <c r="B82" s="10" t="inlineStr">
        <is>
          <t>HEROMOTOCO</t>
        </is>
      </c>
      <c r="C82" s="9" t="inlineStr">
        <is>
          <t>Q2 2026-27</t>
        </is>
      </c>
      <c r="D82" s="9" t="inlineStr">
        <is>
          <t>FUTURE LONG</t>
        </is>
      </c>
      <c r="E82" s="9" t="inlineStr">
        <is>
          <t>T-8 to T+1</t>
        </is>
      </c>
      <c r="F82" s="9" t="inlineStr">
        <is>
          <t>65.0%</t>
        </is>
      </c>
      <c r="G82" s="9" t="inlineStr">
        <is>
          <t>2025-01-29</t>
        </is>
      </c>
      <c r="H82" s="9" t="inlineStr">
        <is>
          <t>2025-02-10</t>
        </is>
      </c>
      <c r="I82" s="9" t="inlineStr">
        <is>
          <t>2025-02-06</t>
        </is>
      </c>
      <c r="J82" s="5" t="n">
        <v>150</v>
      </c>
      <c r="K82" s="11" t="n">
        <v>3838.7705078125</v>
      </c>
      <c r="L82" s="11" t="n">
        <v>3955.655517578125</v>
      </c>
      <c r="M82" s="12">
        <f>J82*K82</f>
        <v/>
      </c>
      <c r="N82" s="12">
        <f>J82*L82</f>
        <v/>
      </c>
      <c r="O82" s="12">
        <f>M82+N82</f>
        <v/>
      </c>
      <c r="P82" s="12">
        <f>ROUND(O82*0.0005, 2)</f>
        <v/>
      </c>
      <c r="Q82" s="12">
        <f>N82-M82</f>
        <v/>
      </c>
      <c r="R82" s="12">
        <f>Q82-P82</f>
        <v/>
      </c>
      <c r="S82" s="13">
        <f>ROUND((R82/M82)*100, 2)</f>
        <v/>
      </c>
      <c r="T82" s="12">
        <f>ROUND(0.20*M82, 2)</f>
        <v/>
      </c>
      <c r="U82" s="13">
        <f>ROUND((R82/T82)*100, 2)</f>
        <v/>
      </c>
      <c r="V82" s="12">
        <f>V81+R82</f>
        <v/>
      </c>
      <c r="W82" s="12">
        <f>MAX(W81, V82)</f>
        <v/>
      </c>
      <c r="X82" s="12">
        <f>V82-W82</f>
        <v/>
      </c>
    </row>
    <row r="83">
      <c r="A83" s="9" t="n">
        <v>80</v>
      </c>
      <c r="B83" s="10" t="inlineStr">
        <is>
          <t>HINDALCO</t>
        </is>
      </c>
      <c r="C83" s="9" t="inlineStr">
        <is>
          <t>Q2 2026-27</t>
        </is>
      </c>
      <c r="D83" s="9" t="inlineStr">
        <is>
          <t>FUTURE LONG</t>
        </is>
      </c>
      <c r="E83" s="9" t="inlineStr">
        <is>
          <t>T-8 to T+1</t>
        </is>
      </c>
      <c r="F83" s="9" t="inlineStr">
        <is>
          <t>70.0%</t>
        </is>
      </c>
      <c r="G83" s="9" t="inlineStr">
        <is>
          <t>2025-02-04</t>
        </is>
      </c>
      <c r="H83" s="9" t="inlineStr">
        <is>
          <t>2025-02-17</t>
        </is>
      </c>
      <c r="I83" s="9" t="inlineStr">
        <is>
          <t>2025-02-13</t>
        </is>
      </c>
      <c r="J83" s="5" t="n">
        <v>1400</v>
      </c>
      <c r="K83" s="11" t="n">
        <v>576.6903686523438</v>
      </c>
      <c r="L83" s="11" t="n">
        <v>603.255859375</v>
      </c>
      <c r="M83" s="12">
        <f>J83*K83</f>
        <v/>
      </c>
      <c r="N83" s="12">
        <f>J83*L83</f>
        <v/>
      </c>
      <c r="O83" s="12">
        <f>M83+N83</f>
        <v/>
      </c>
      <c r="P83" s="12">
        <f>ROUND(O83*0.0005, 2)</f>
        <v/>
      </c>
      <c r="Q83" s="12">
        <f>N83-M83</f>
        <v/>
      </c>
      <c r="R83" s="12">
        <f>Q83-P83</f>
        <v/>
      </c>
      <c r="S83" s="13">
        <f>ROUND((R83/M83)*100, 2)</f>
        <v/>
      </c>
      <c r="T83" s="12">
        <f>ROUND(0.20*M83, 2)</f>
        <v/>
      </c>
      <c r="U83" s="13">
        <f>ROUND((R83/T83)*100, 2)</f>
        <v/>
      </c>
      <c r="V83" s="12">
        <f>V82+R83</f>
        <v/>
      </c>
      <c r="W83" s="12">
        <f>MAX(W82, V83)</f>
        <v/>
      </c>
      <c r="X83" s="12">
        <f>V83-W83</f>
        <v/>
      </c>
    </row>
    <row r="84">
      <c r="A84" s="9" t="n">
        <v>81</v>
      </c>
      <c r="B84" s="10" t="inlineStr">
        <is>
          <t>HINDPETRO</t>
        </is>
      </c>
      <c r="C84" s="9" t="inlineStr">
        <is>
          <t>Q2 2026-27</t>
        </is>
      </c>
      <c r="D84" s="9" t="inlineStr">
        <is>
          <t>FUTURE LONG</t>
        </is>
      </c>
      <c r="E84" s="9" t="inlineStr">
        <is>
          <t>T-8 to T+1</t>
        </is>
      </c>
      <c r="F84" s="9" t="inlineStr">
        <is>
          <t>70.0%</t>
        </is>
      </c>
      <c r="G84" s="9" t="inlineStr">
        <is>
          <t>2025-01-13</t>
        </is>
      </c>
      <c r="H84" s="9" t="inlineStr">
        <is>
          <t>2025-01-24</t>
        </is>
      </c>
      <c r="I84" s="9" t="inlineStr">
        <is>
          <t>2025-01-23</t>
        </is>
      </c>
      <c r="J84" s="5" t="n">
        <v>2845</v>
      </c>
      <c r="K84" s="11" t="n">
        <v>351.430908203125</v>
      </c>
      <c r="L84" s="11" t="n">
        <v>340.2919921875</v>
      </c>
      <c r="M84" s="12">
        <f>J84*K84</f>
        <v/>
      </c>
      <c r="N84" s="12">
        <f>J84*L84</f>
        <v/>
      </c>
      <c r="O84" s="12">
        <f>M84+N84</f>
        <v/>
      </c>
      <c r="P84" s="12">
        <f>ROUND(O84*0.0005, 2)</f>
        <v/>
      </c>
      <c r="Q84" s="12">
        <f>N84-M84</f>
        <v/>
      </c>
      <c r="R84" s="12">
        <f>Q84-P84</f>
        <v/>
      </c>
      <c r="S84" s="13">
        <f>ROUND((R84/M84)*100, 2)</f>
        <v/>
      </c>
      <c r="T84" s="12">
        <f>ROUND(0.20*M84, 2)</f>
        <v/>
      </c>
      <c r="U84" s="13">
        <f>ROUND((R84/T84)*100, 2)</f>
        <v/>
      </c>
      <c r="V84" s="12">
        <f>V83+R84</f>
        <v/>
      </c>
      <c r="W84" s="12">
        <f>MAX(W83, V84)</f>
        <v/>
      </c>
      <c r="X84" s="12">
        <f>V84-W84</f>
        <v/>
      </c>
    </row>
    <row r="85">
      <c r="A85" s="9" t="n">
        <v>82</v>
      </c>
      <c r="B85" s="10" t="inlineStr">
        <is>
          <t>HINDUNILVR</t>
        </is>
      </c>
      <c r="C85" s="9" t="inlineStr">
        <is>
          <t>Q2 2026-27</t>
        </is>
      </c>
      <c r="D85" s="9" t="inlineStr">
        <is>
          <t>FUTURE LONG</t>
        </is>
      </c>
      <c r="E85" s="9" t="inlineStr">
        <is>
          <t>T-8 to T+1</t>
        </is>
      </c>
      <c r="F85" s="9" t="inlineStr">
        <is>
          <t>65.0%</t>
        </is>
      </c>
      <c r="G85" s="9" t="inlineStr">
        <is>
          <t>2025-01-13</t>
        </is>
      </c>
      <c r="H85" s="9" t="inlineStr">
        <is>
          <t>2025-01-24</t>
        </is>
      </c>
      <c r="I85" s="9" t="inlineStr">
        <is>
          <t>2025-01-22</t>
        </is>
      </c>
      <c r="J85" s="5" t="n">
        <v>300</v>
      </c>
      <c r="K85" s="11" t="n">
        <v>2382.343017578125</v>
      </c>
      <c r="L85" s="11" t="n">
        <v>2301.764892578125</v>
      </c>
      <c r="M85" s="12">
        <f>J85*K85</f>
        <v/>
      </c>
      <c r="N85" s="12">
        <f>J85*L85</f>
        <v/>
      </c>
      <c r="O85" s="12">
        <f>M85+N85</f>
        <v/>
      </c>
      <c r="P85" s="12">
        <f>ROUND(O85*0.0005, 2)</f>
        <v/>
      </c>
      <c r="Q85" s="12">
        <f>N85-M85</f>
        <v/>
      </c>
      <c r="R85" s="12">
        <f>Q85-P85</f>
        <v/>
      </c>
      <c r="S85" s="13">
        <f>ROUND((R85/M85)*100, 2)</f>
        <v/>
      </c>
      <c r="T85" s="12">
        <f>ROUND(0.20*M85, 2)</f>
        <v/>
      </c>
      <c r="U85" s="13">
        <f>ROUND((R85/T85)*100, 2)</f>
        <v/>
      </c>
      <c r="V85" s="12">
        <f>V84+R85</f>
        <v/>
      </c>
      <c r="W85" s="12">
        <f>MAX(W84, V85)</f>
        <v/>
      </c>
      <c r="X85" s="12">
        <f>V85-W85</f>
        <v/>
      </c>
    </row>
    <row r="86">
      <c r="A86" s="9" t="n">
        <v>83</v>
      </c>
      <c r="B86" s="10" t="inlineStr">
        <is>
          <t>HINDZINC</t>
        </is>
      </c>
      <c r="C86" s="9" t="inlineStr">
        <is>
          <t>Q2 2026-27</t>
        </is>
      </c>
      <c r="D86" s="9" t="inlineStr">
        <is>
          <t>FUTURE LONG</t>
        </is>
      </c>
      <c r="E86" s="9" t="inlineStr">
        <is>
          <t>T-8 to T+1</t>
        </is>
      </c>
      <c r="F86" s="9" t="inlineStr">
        <is>
          <t>65.0%</t>
        </is>
      </c>
      <c r="G86" s="9" t="inlineStr">
        <is>
          <t>2025-01-16</t>
        </is>
      </c>
      <c r="H86" s="9" t="inlineStr">
        <is>
          <t>2025-01-29</t>
        </is>
      </c>
      <c r="I86" s="9" t="inlineStr">
        <is>
          <t>2025-01-28</t>
        </is>
      </c>
      <c r="J86" s="5" t="n">
        <v>2280</v>
      </c>
      <c r="K86" s="11" t="n">
        <v>438.5099487304688</v>
      </c>
      <c r="L86" s="11" t="n">
        <v>422.044189453125</v>
      </c>
      <c r="M86" s="12">
        <f>J86*K86</f>
        <v/>
      </c>
      <c r="N86" s="12">
        <f>J86*L86</f>
        <v/>
      </c>
      <c r="O86" s="12">
        <f>M86+N86</f>
        <v/>
      </c>
      <c r="P86" s="12">
        <f>ROUND(O86*0.0005, 2)</f>
        <v/>
      </c>
      <c r="Q86" s="12">
        <f>N86-M86</f>
        <v/>
      </c>
      <c r="R86" s="12">
        <f>Q86-P86</f>
        <v/>
      </c>
      <c r="S86" s="13">
        <f>ROUND((R86/M86)*100, 2)</f>
        <v/>
      </c>
      <c r="T86" s="12">
        <f>ROUND(0.20*M86, 2)</f>
        <v/>
      </c>
      <c r="U86" s="13">
        <f>ROUND((R86/T86)*100, 2)</f>
        <v/>
      </c>
      <c r="V86" s="12">
        <f>V85+R86</f>
        <v/>
      </c>
      <c r="W86" s="12">
        <f>MAX(W85, V86)</f>
        <v/>
      </c>
      <c r="X86" s="12">
        <f>V86-W86</f>
        <v/>
      </c>
    </row>
    <row r="87">
      <c r="A87" s="9" t="n">
        <v>84</v>
      </c>
      <c r="B87" s="10" t="inlineStr">
        <is>
          <t>HYUNDAI</t>
        </is>
      </c>
      <c r="C87" s="9" t="inlineStr">
        <is>
          <t>Q2 2026-27</t>
        </is>
      </c>
      <c r="D87" s="9" t="inlineStr">
        <is>
          <t>FUTURE LONG</t>
        </is>
      </c>
      <c r="E87" s="9" t="inlineStr">
        <is>
          <t>T-8 to T+1</t>
        </is>
      </c>
      <c r="F87" s="9" t="inlineStr">
        <is>
          <t>80.0%</t>
        </is>
      </c>
      <c r="G87" s="9" t="inlineStr">
        <is>
          <t>2025-01-16</t>
        </is>
      </c>
      <c r="H87" s="9" t="inlineStr">
        <is>
          <t>2025-01-29</t>
        </is>
      </c>
      <c r="I87" s="9" t="inlineStr">
        <is>
          <t>2025-01-28</t>
        </is>
      </c>
      <c r="J87" s="5" t="n">
        <v>555</v>
      </c>
      <c r="K87" s="11" t="n">
        <v>1799.66943359375</v>
      </c>
      <c r="L87" s="11" t="n">
        <v>1633.677124023438</v>
      </c>
      <c r="M87" s="12">
        <f>J87*K87</f>
        <v/>
      </c>
      <c r="N87" s="12">
        <f>J87*L87</f>
        <v/>
      </c>
      <c r="O87" s="12">
        <f>M87+N87</f>
        <v/>
      </c>
      <c r="P87" s="12">
        <f>ROUND(O87*0.0005, 2)</f>
        <v/>
      </c>
      <c r="Q87" s="12">
        <f>N87-M87</f>
        <v/>
      </c>
      <c r="R87" s="12">
        <f>Q87-P87</f>
        <v/>
      </c>
      <c r="S87" s="13">
        <f>ROUND((R87/M87)*100, 2)</f>
        <v/>
      </c>
      <c r="T87" s="12">
        <f>ROUND(0.20*M87, 2)</f>
        <v/>
      </c>
      <c r="U87" s="13">
        <f>ROUND((R87/T87)*100, 2)</f>
        <v/>
      </c>
      <c r="V87" s="12">
        <f>V86+R87</f>
        <v/>
      </c>
      <c r="W87" s="12">
        <f>MAX(W86, V87)</f>
        <v/>
      </c>
      <c r="X87" s="12">
        <f>V87-W87</f>
        <v/>
      </c>
    </row>
    <row r="88">
      <c r="A88" s="9" t="n">
        <v>85</v>
      </c>
      <c r="B88" s="10" t="inlineStr">
        <is>
          <t>ICICIBANK</t>
        </is>
      </c>
      <c r="C88" s="9" t="inlineStr">
        <is>
          <t>Q2 2026-27</t>
        </is>
      </c>
      <c r="D88" s="9" t="inlineStr">
        <is>
          <t>FUTURE LONG</t>
        </is>
      </c>
      <c r="E88" s="9" t="inlineStr">
        <is>
          <t>T-8 to T+1</t>
        </is>
      </c>
      <c r="F88" s="9" t="inlineStr">
        <is>
          <t>65.0%</t>
        </is>
      </c>
      <c r="G88" s="9" t="inlineStr">
        <is>
          <t>2025-01-15</t>
        </is>
      </c>
      <c r="H88" s="9" t="inlineStr">
        <is>
          <t>2025-01-28</t>
        </is>
      </c>
      <c r="I88" s="9" t="inlineStr">
        <is>
          <t>2025-01-25</t>
        </is>
      </c>
      <c r="J88" s="5" t="n">
        <v>700</v>
      </c>
      <c r="K88" s="11" t="n">
        <v>1228.768676757812</v>
      </c>
      <c r="L88" s="11" t="n">
        <v>1237.3525390625</v>
      </c>
      <c r="M88" s="12">
        <f>J88*K88</f>
        <v/>
      </c>
      <c r="N88" s="12">
        <f>J88*L88</f>
        <v/>
      </c>
      <c r="O88" s="12">
        <f>M88+N88</f>
        <v/>
      </c>
      <c r="P88" s="12">
        <f>ROUND(O88*0.0005, 2)</f>
        <v/>
      </c>
      <c r="Q88" s="12">
        <f>N88-M88</f>
        <v/>
      </c>
      <c r="R88" s="12">
        <f>Q88-P88</f>
        <v/>
      </c>
      <c r="S88" s="13">
        <f>ROUND((R88/M88)*100, 2)</f>
        <v/>
      </c>
      <c r="T88" s="12">
        <f>ROUND(0.20*M88, 2)</f>
        <v/>
      </c>
      <c r="U88" s="13">
        <f>ROUND((R88/T88)*100, 2)</f>
        <v/>
      </c>
      <c r="V88" s="12">
        <f>V87+R88</f>
        <v/>
      </c>
      <c r="W88" s="12">
        <f>MAX(W87, V88)</f>
        <v/>
      </c>
      <c r="X88" s="12">
        <f>V88-W88</f>
        <v/>
      </c>
    </row>
    <row r="89">
      <c r="A89" s="9" t="n">
        <v>86</v>
      </c>
      <c r="B89" s="10" t="inlineStr">
        <is>
          <t>ICICIGI</t>
        </is>
      </c>
      <c r="C89" s="9" t="inlineStr">
        <is>
          <t>Q2 2026-27</t>
        </is>
      </c>
      <c r="D89" s="9" t="inlineStr">
        <is>
          <t>FUTURE LONG</t>
        </is>
      </c>
      <c r="E89" s="9" t="inlineStr">
        <is>
          <t>T-8 to T+1</t>
        </is>
      </c>
      <c r="F89" s="9" t="inlineStr">
        <is>
          <t>70.0%</t>
        </is>
      </c>
      <c r="G89" s="9" t="inlineStr">
        <is>
          <t>2026-07-06</t>
        </is>
      </c>
      <c r="H89" s="9" t="inlineStr">
        <is>
          <t>2026-07-17</t>
        </is>
      </c>
      <c r="I89" s="9" t="inlineStr">
        <is>
          <t>2026-07-15</t>
        </is>
      </c>
      <c r="J89" s="5" t="n">
        <v>560</v>
      </c>
      <c r="K89" s="11" t="n">
        <v>1784</v>
      </c>
      <c r="L89" s="11" t="n">
        <v>1610</v>
      </c>
      <c r="M89" s="12">
        <f>J89*K89</f>
        <v/>
      </c>
      <c r="N89" s="12">
        <f>J89*L89</f>
        <v/>
      </c>
      <c r="O89" s="12">
        <f>M89+N89</f>
        <v/>
      </c>
      <c r="P89" s="12">
        <f>ROUND(O89*0.0005, 2)</f>
        <v/>
      </c>
      <c r="Q89" s="12">
        <f>N89-M89</f>
        <v/>
      </c>
      <c r="R89" s="12">
        <f>Q89-P89</f>
        <v/>
      </c>
      <c r="S89" s="13">
        <f>ROUND((R89/M89)*100, 2)</f>
        <v/>
      </c>
      <c r="T89" s="12">
        <f>ROUND(0.20*M89, 2)</f>
        <v/>
      </c>
      <c r="U89" s="13">
        <f>ROUND((R89/T89)*100, 2)</f>
        <v/>
      </c>
      <c r="V89" s="12">
        <f>V88+R89</f>
        <v/>
      </c>
      <c r="W89" s="12">
        <f>MAX(W88, V89)</f>
        <v/>
      </c>
      <c r="X89" s="12">
        <f>V89-W89</f>
        <v/>
      </c>
    </row>
    <row r="90">
      <c r="A90" s="9" t="n">
        <v>87</v>
      </c>
      <c r="B90" s="10" t="inlineStr">
        <is>
          <t>ICICIPRULI</t>
        </is>
      </c>
      <c r="C90" s="9" t="inlineStr">
        <is>
          <t>Q2 2026-27</t>
        </is>
      </c>
      <c r="D90" s="9" t="inlineStr">
        <is>
          <t>FUTURE LONG</t>
        </is>
      </c>
      <c r="E90" s="9" t="inlineStr">
        <is>
          <t>T-8 to T+1</t>
        </is>
      </c>
      <c r="F90" s="9" t="inlineStr">
        <is>
          <t>60.0%</t>
        </is>
      </c>
      <c r="G90" s="9" t="inlineStr">
        <is>
          <t>2026-07-06</t>
        </is>
      </c>
      <c r="H90" s="9" t="inlineStr">
        <is>
          <t>2026-07-17</t>
        </is>
      </c>
      <c r="I90" s="9" t="inlineStr">
        <is>
          <t>2026-07-15</t>
        </is>
      </c>
      <c r="J90" s="5" t="n">
        <v>2061</v>
      </c>
      <c r="K90" s="11" t="n">
        <v>485.1000061035156</v>
      </c>
      <c r="L90" s="11" t="n">
        <v>497.1499938964844</v>
      </c>
      <c r="M90" s="12">
        <f>J90*K90</f>
        <v/>
      </c>
      <c r="N90" s="12">
        <f>J90*L90</f>
        <v/>
      </c>
      <c r="O90" s="12">
        <f>M90+N90</f>
        <v/>
      </c>
      <c r="P90" s="12">
        <f>ROUND(O90*0.0005, 2)</f>
        <v/>
      </c>
      <c r="Q90" s="12">
        <f>N90-M90</f>
        <v/>
      </c>
      <c r="R90" s="12">
        <f>Q90-P90</f>
        <v/>
      </c>
      <c r="S90" s="13">
        <f>ROUND((R90/M90)*100, 2)</f>
        <v/>
      </c>
      <c r="T90" s="12">
        <f>ROUND(0.20*M90, 2)</f>
        <v/>
      </c>
      <c r="U90" s="13">
        <f>ROUND((R90/T90)*100, 2)</f>
        <v/>
      </c>
      <c r="V90" s="12">
        <f>V89+R90</f>
        <v/>
      </c>
      <c r="W90" s="12">
        <f>MAX(W89, V90)</f>
        <v/>
      </c>
      <c r="X90" s="12">
        <f>V90-W90</f>
        <v/>
      </c>
    </row>
    <row r="91">
      <c r="A91" s="9" t="n">
        <v>88</v>
      </c>
      <c r="B91" s="10" t="inlineStr">
        <is>
          <t>IDEA</t>
        </is>
      </c>
      <c r="C91" s="9" t="inlineStr">
        <is>
          <t>Q2 2026-27</t>
        </is>
      </c>
      <c r="D91" s="9" t="inlineStr">
        <is>
          <t>FUTURE LONG</t>
        </is>
      </c>
      <c r="E91" s="9" t="inlineStr">
        <is>
          <t>T-8 to T+1</t>
        </is>
      </c>
      <c r="F91" s="9" t="inlineStr">
        <is>
          <t>65.0%</t>
        </is>
      </c>
      <c r="G91" s="9" t="inlineStr">
        <is>
          <t>2025-01-31</t>
        </is>
      </c>
      <c r="H91" s="9" t="inlineStr">
        <is>
          <t>2025-02-12</t>
        </is>
      </c>
      <c r="I91" s="9" t="inlineStr">
        <is>
          <t>2025-02-11</t>
        </is>
      </c>
      <c r="J91" s="5" t="n">
        <v>110497</v>
      </c>
      <c r="K91" s="11" t="n">
        <v>9.050000190734863</v>
      </c>
      <c r="L91" s="11" t="n">
        <v>8.390000343322754</v>
      </c>
      <c r="M91" s="12">
        <f>J91*K91</f>
        <v/>
      </c>
      <c r="N91" s="12">
        <f>J91*L91</f>
        <v/>
      </c>
      <c r="O91" s="12">
        <f>M91+N91</f>
        <v/>
      </c>
      <c r="P91" s="12">
        <f>ROUND(O91*0.0005, 2)</f>
        <v/>
      </c>
      <c r="Q91" s="12">
        <f>N91-M91</f>
        <v/>
      </c>
      <c r="R91" s="12">
        <f>Q91-P91</f>
        <v/>
      </c>
      <c r="S91" s="13">
        <f>ROUND((R91/M91)*100, 2)</f>
        <v/>
      </c>
      <c r="T91" s="12">
        <f>ROUND(0.20*M91, 2)</f>
        <v/>
      </c>
      <c r="U91" s="13">
        <f>ROUND((R91/T91)*100, 2)</f>
        <v/>
      </c>
      <c r="V91" s="12">
        <f>V90+R91</f>
        <v/>
      </c>
      <c r="W91" s="12">
        <f>MAX(W90, V91)</f>
        <v/>
      </c>
      <c r="X91" s="12">
        <f>V91-W91</f>
        <v/>
      </c>
    </row>
    <row r="92">
      <c r="A92" s="9" t="n">
        <v>89</v>
      </c>
      <c r="B92" s="10" t="inlineStr">
        <is>
          <t>IDFCFIRSTB</t>
        </is>
      </c>
      <c r="C92" s="9" t="inlineStr">
        <is>
          <t>Q2 2026-27</t>
        </is>
      </c>
      <c r="D92" s="9" t="inlineStr">
        <is>
          <t>FUTURE LONG</t>
        </is>
      </c>
      <c r="E92" s="9" t="inlineStr">
        <is>
          <t>T-8 to T+1</t>
        </is>
      </c>
      <c r="F92" s="9" t="inlineStr">
        <is>
          <t>75.0%</t>
        </is>
      </c>
      <c r="G92" s="9" t="inlineStr">
        <is>
          <t>2025-01-14</t>
        </is>
      </c>
      <c r="H92" s="9" t="inlineStr">
        <is>
          <t>2025-01-27</t>
        </is>
      </c>
      <c r="I92" s="9" t="inlineStr">
        <is>
          <t>2025-01-25</t>
        </is>
      </c>
      <c r="J92" s="5" t="n">
        <v>16197</v>
      </c>
      <c r="K92" s="11" t="n">
        <v>61.7379264831543</v>
      </c>
      <c r="L92" s="11" t="n">
        <v>56.544921875</v>
      </c>
      <c r="M92" s="12">
        <f>J92*K92</f>
        <v/>
      </c>
      <c r="N92" s="12">
        <f>J92*L92</f>
        <v/>
      </c>
      <c r="O92" s="12">
        <f>M92+N92</f>
        <v/>
      </c>
      <c r="P92" s="12">
        <f>ROUND(O92*0.0005, 2)</f>
        <v/>
      </c>
      <c r="Q92" s="12">
        <f>N92-M92</f>
        <v/>
      </c>
      <c r="R92" s="12">
        <f>Q92-P92</f>
        <v/>
      </c>
      <c r="S92" s="13">
        <f>ROUND((R92/M92)*100, 2)</f>
        <v/>
      </c>
      <c r="T92" s="12">
        <f>ROUND(0.20*M92, 2)</f>
        <v/>
      </c>
      <c r="U92" s="13">
        <f>ROUND((R92/T92)*100, 2)</f>
        <v/>
      </c>
      <c r="V92" s="12">
        <f>V91+R92</f>
        <v/>
      </c>
      <c r="W92" s="12">
        <f>MAX(W91, V92)</f>
        <v/>
      </c>
      <c r="X92" s="12">
        <f>V92-W92</f>
        <v/>
      </c>
    </row>
    <row r="93">
      <c r="A93" s="9" t="n">
        <v>90</v>
      </c>
      <c r="B93" s="10" t="inlineStr">
        <is>
          <t>IEX</t>
        </is>
      </c>
      <c r="C93" s="9" t="inlineStr">
        <is>
          <t>Q2 2026-27</t>
        </is>
      </c>
      <c r="D93" s="9" t="inlineStr">
        <is>
          <t>FUTURE LONG</t>
        </is>
      </c>
      <c r="E93" s="9" t="inlineStr">
        <is>
          <t>T-8 to T+1</t>
        </is>
      </c>
      <c r="F93" s="9" t="inlineStr">
        <is>
          <t>70.0%</t>
        </is>
      </c>
      <c r="G93" s="9" t="inlineStr">
        <is>
          <t>2025-01-13</t>
        </is>
      </c>
      <c r="H93" s="9" t="inlineStr">
        <is>
          <t>2025-01-24</t>
        </is>
      </c>
      <c r="I93" s="9" t="inlineStr">
        <is>
          <t>2025-01-23</t>
        </is>
      </c>
      <c r="J93" s="5" t="n">
        <v>6494</v>
      </c>
      <c r="K93" s="11" t="n">
        <v>153.9660949707031</v>
      </c>
      <c r="L93" s="11" t="n">
        <v>162.0630493164062</v>
      </c>
      <c r="M93" s="12">
        <f>J93*K93</f>
        <v/>
      </c>
      <c r="N93" s="12">
        <f>J93*L93</f>
        <v/>
      </c>
      <c r="O93" s="12">
        <f>M93+N93</f>
        <v/>
      </c>
      <c r="P93" s="12">
        <f>ROUND(O93*0.0005, 2)</f>
        <v/>
      </c>
      <c r="Q93" s="12">
        <f>N93-M93</f>
        <v/>
      </c>
      <c r="R93" s="12">
        <f>Q93-P93</f>
        <v/>
      </c>
      <c r="S93" s="13">
        <f>ROUND((R93/M93)*100, 2)</f>
        <v/>
      </c>
      <c r="T93" s="12">
        <f>ROUND(0.20*M93, 2)</f>
        <v/>
      </c>
      <c r="U93" s="13">
        <f>ROUND((R93/T93)*100, 2)</f>
        <v/>
      </c>
      <c r="V93" s="12">
        <f>V92+R93</f>
        <v/>
      </c>
      <c r="W93" s="12">
        <f>MAX(W92, V93)</f>
        <v/>
      </c>
      <c r="X93" s="12">
        <f>V93-W93</f>
        <v/>
      </c>
    </row>
    <row r="94">
      <c r="A94" s="9" t="n">
        <v>91</v>
      </c>
      <c r="B94" s="10" t="inlineStr">
        <is>
          <t>INDHOTEL</t>
        </is>
      </c>
      <c r="C94" s="9" t="inlineStr">
        <is>
          <t>Q2 2026-27</t>
        </is>
      </c>
      <c r="D94" s="9" t="inlineStr">
        <is>
          <t>FUTURE LONG</t>
        </is>
      </c>
      <c r="E94" s="9" t="inlineStr">
        <is>
          <t>T-8 to T+1</t>
        </is>
      </c>
      <c r="F94" s="9" t="inlineStr">
        <is>
          <t>65.0%</t>
        </is>
      </c>
      <c r="G94" s="9" t="inlineStr">
        <is>
          <t>2025-01-07</t>
        </is>
      </c>
      <c r="H94" s="9" t="inlineStr">
        <is>
          <t>2025-01-20</t>
        </is>
      </c>
      <c r="I94" s="9" t="inlineStr">
        <is>
          <t>2025-01-17</t>
        </is>
      </c>
      <c r="J94" s="5" t="n">
        <v>1182</v>
      </c>
      <c r="K94" s="11" t="n">
        <v>845.8843994140625</v>
      </c>
      <c r="L94" s="11" t="n">
        <v>787.1692504882812</v>
      </c>
      <c r="M94" s="12">
        <f>J94*K94</f>
        <v/>
      </c>
      <c r="N94" s="12">
        <f>J94*L94</f>
        <v/>
      </c>
      <c r="O94" s="12">
        <f>M94+N94</f>
        <v/>
      </c>
      <c r="P94" s="12">
        <f>ROUND(O94*0.0005, 2)</f>
        <v/>
      </c>
      <c r="Q94" s="12">
        <f>N94-M94</f>
        <v/>
      </c>
      <c r="R94" s="12">
        <f>Q94-P94</f>
        <v/>
      </c>
      <c r="S94" s="13">
        <f>ROUND((R94/M94)*100, 2)</f>
        <v/>
      </c>
      <c r="T94" s="12">
        <f>ROUND(0.20*M94, 2)</f>
        <v/>
      </c>
      <c r="U94" s="13">
        <f>ROUND((R94/T94)*100, 2)</f>
        <v/>
      </c>
      <c r="V94" s="12">
        <f>V93+R94</f>
        <v/>
      </c>
      <c r="W94" s="12">
        <f>MAX(W93, V94)</f>
        <v/>
      </c>
      <c r="X94" s="12">
        <f>V94-W94</f>
        <v/>
      </c>
    </row>
    <row r="95">
      <c r="A95" s="9" t="n">
        <v>92</v>
      </c>
      <c r="B95" s="10" t="inlineStr">
        <is>
          <t>INDIANB</t>
        </is>
      </c>
      <c r="C95" s="9" t="inlineStr">
        <is>
          <t>Q2 2026-27</t>
        </is>
      </c>
      <c r="D95" s="9" t="inlineStr">
        <is>
          <t>FUTURE LONG</t>
        </is>
      </c>
      <c r="E95" s="9" t="inlineStr">
        <is>
          <t>T-8 to T+1</t>
        </is>
      </c>
      <c r="F95" s="9" t="inlineStr">
        <is>
          <t>65.0%</t>
        </is>
      </c>
      <c r="G95" s="9" t="inlineStr">
        <is>
          <t>2025-01-17</t>
        </is>
      </c>
      <c r="H95" s="9" t="inlineStr">
        <is>
          <t>2025-01-30</t>
        </is>
      </c>
      <c r="I95" s="9" t="inlineStr">
        <is>
          <t>2025-01-29</t>
        </is>
      </c>
      <c r="J95" s="5" t="n">
        <v>1997</v>
      </c>
      <c r="K95" s="11" t="n">
        <v>500.7085266113281</v>
      </c>
      <c r="L95" s="11" t="n">
        <v>521.1397094726562</v>
      </c>
      <c r="M95" s="12">
        <f>J95*K95</f>
        <v/>
      </c>
      <c r="N95" s="12">
        <f>J95*L95</f>
        <v/>
      </c>
      <c r="O95" s="12">
        <f>M95+N95</f>
        <v/>
      </c>
      <c r="P95" s="12">
        <f>ROUND(O95*0.0005, 2)</f>
        <v/>
      </c>
      <c r="Q95" s="12">
        <f>N95-M95</f>
        <v/>
      </c>
      <c r="R95" s="12">
        <f>Q95-P95</f>
        <v/>
      </c>
      <c r="S95" s="13">
        <f>ROUND((R95/M95)*100, 2)</f>
        <v/>
      </c>
      <c r="T95" s="12">
        <f>ROUND(0.20*M95, 2)</f>
        <v/>
      </c>
      <c r="U95" s="13">
        <f>ROUND((R95/T95)*100, 2)</f>
        <v/>
      </c>
      <c r="V95" s="12">
        <f>V94+R95</f>
        <v/>
      </c>
      <c r="W95" s="12">
        <f>MAX(W94, V95)</f>
        <v/>
      </c>
      <c r="X95" s="12">
        <f>V95-W95</f>
        <v/>
      </c>
    </row>
    <row r="96">
      <c r="A96" s="9" t="n">
        <v>93</v>
      </c>
      <c r="B96" s="10" t="inlineStr">
        <is>
          <t>INDIGO</t>
        </is>
      </c>
      <c r="C96" s="9" t="inlineStr">
        <is>
          <t>Q2 2026-27</t>
        </is>
      </c>
      <c r="D96" s="9" t="inlineStr">
        <is>
          <t>FUTURE LONG</t>
        </is>
      </c>
      <c r="E96" s="9" t="inlineStr">
        <is>
          <t>T-8 to T+1</t>
        </is>
      </c>
      <c r="F96" s="9" t="inlineStr">
        <is>
          <t>80.0%</t>
        </is>
      </c>
      <c r="G96" s="9" t="inlineStr">
        <is>
          <t>2025-01-14</t>
        </is>
      </c>
      <c r="H96" s="9" t="inlineStr">
        <is>
          <t>2025-01-27</t>
        </is>
      </c>
      <c r="I96" s="9" t="inlineStr">
        <is>
          <t>2025-01-24</t>
        </is>
      </c>
      <c r="J96" s="5" t="n">
        <v>250</v>
      </c>
      <c r="K96" s="11" t="n">
        <v>3988.26025390625</v>
      </c>
      <c r="L96" s="11" t="n">
        <v>4168.705078125</v>
      </c>
      <c r="M96" s="12">
        <f>J96*K96</f>
        <v/>
      </c>
      <c r="N96" s="12">
        <f>J96*L96</f>
        <v/>
      </c>
      <c r="O96" s="12">
        <f>M96+N96</f>
        <v/>
      </c>
      <c r="P96" s="12">
        <f>ROUND(O96*0.0005, 2)</f>
        <v/>
      </c>
      <c r="Q96" s="12">
        <f>N96-M96</f>
        <v/>
      </c>
      <c r="R96" s="12">
        <f>Q96-P96</f>
        <v/>
      </c>
      <c r="S96" s="13">
        <f>ROUND((R96/M96)*100, 2)</f>
        <v/>
      </c>
      <c r="T96" s="12">
        <f>ROUND(0.20*M96, 2)</f>
        <v/>
      </c>
      <c r="U96" s="13">
        <f>ROUND((R96/T96)*100, 2)</f>
        <v/>
      </c>
      <c r="V96" s="12">
        <f>V95+R96</f>
        <v/>
      </c>
      <c r="W96" s="12">
        <f>MAX(W95, V96)</f>
        <v/>
      </c>
      <c r="X96" s="12">
        <f>V96-W96</f>
        <v/>
      </c>
    </row>
    <row r="97">
      <c r="A97" s="9" t="n">
        <v>94</v>
      </c>
      <c r="B97" s="10" t="inlineStr">
        <is>
          <t>INDUSINDBK</t>
        </is>
      </c>
      <c r="C97" s="9" t="inlineStr">
        <is>
          <t>Q2 2026-27</t>
        </is>
      </c>
      <c r="D97" s="9" t="inlineStr">
        <is>
          <t>FUTURE LONG</t>
        </is>
      </c>
      <c r="E97" s="9" t="inlineStr">
        <is>
          <t>T-8 to T+1</t>
        </is>
      </c>
      <c r="F97" s="9" t="inlineStr">
        <is>
          <t>60.0%</t>
        </is>
      </c>
      <c r="G97" s="9" t="inlineStr">
        <is>
          <t>2025-01-22</t>
        </is>
      </c>
      <c r="H97" s="9" t="inlineStr">
        <is>
          <t>2025-02-03</t>
        </is>
      </c>
      <c r="I97" s="9" t="inlineStr">
        <is>
          <t>2025-01-31</t>
        </is>
      </c>
      <c r="J97" s="5" t="n">
        <v>500</v>
      </c>
      <c r="K97" s="11" t="n">
        <v>969.3799438476562</v>
      </c>
      <c r="L97" s="11" t="n">
        <v>1011.062377929688</v>
      </c>
      <c r="M97" s="12">
        <f>J97*K97</f>
        <v/>
      </c>
      <c r="N97" s="12">
        <f>J97*L97</f>
        <v/>
      </c>
      <c r="O97" s="12">
        <f>M97+N97</f>
        <v/>
      </c>
      <c r="P97" s="12">
        <f>ROUND(O97*0.0005, 2)</f>
        <v/>
      </c>
      <c r="Q97" s="12">
        <f>N97-M97</f>
        <v/>
      </c>
      <c r="R97" s="12">
        <f>Q97-P97</f>
        <v/>
      </c>
      <c r="S97" s="13">
        <f>ROUND((R97/M97)*100, 2)</f>
        <v/>
      </c>
      <c r="T97" s="12">
        <f>ROUND(0.20*M97, 2)</f>
        <v/>
      </c>
      <c r="U97" s="13">
        <f>ROUND((R97/T97)*100, 2)</f>
        <v/>
      </c>
      <c r="V97" s="12">
        <f>V96+R97</f>
        <v/>
      </c>
      <c r="W97" s="12">
        <f>MAX(W96, V97)</f>
        <v/>
      </c>
      <c r="X97" s="12">
        <f>V97-W97</f>
        <v/>
      </c>
    </row>
    <row r="98">
      <c r="A98" s="9" t="n">
        <v>95</v>
      </c>
      <c r="B98" s="10" t="inlineStr">
        <is>
          <t>INDUSTOWER</t>
        </is>
      </c>
      <c r="C98" s="9" t="inlineStr">
        <is>
          <t>Q2 2026-27</t>
        </is>
      </c>
      <c r="D98" s="9" t="inlineStr">
        <is>
          <t>FUTURE LONG</t>
        </is>
      </c>
      <c r="E98" s="9" t="inlineStr">
        <is>
          <t>T-8 to T+1</t>
        </is>
      </c>
      <c r="F98" s="9" t="inlineStr">
        <is>
          <t>60.0%</t>
        </is>
      </c>
      <c r="G98" s="9" t="inlineStr">
        <is>
          <t>2025-01-14</t>
        </is>
      </c>
      <c r="H98" s="9" t="inlineStr">
        <is>
          <t>2025-01-27</t>
        </is>
      </c>
      <c r="I98" s="9" t="inlineStr">
        <is>
          <t>2025-01-24</t>
        </is>
      </c>
      <c r="J98" s="5" t="n">
        <v>2938</v>
      </c>
      <c r="K98" s="11" t="n">
        <v>340.2999877929688</v>
      </c>
      <c r="L98" s="11" t="n">
        <v>348.9500122070312</v>
      </c>
      <c r="M98" s="12">
        <f>J98*K98</f>
        <v/>
      </c>
      <c r="N98" s="12">
        <f>J98*L98</f>
        <v/>
      </c>
      <c r="O98" s="12">
        <f>M98+N98</f>
        <v/>
      </c>
      <c r="P98" s="12">
        <f>ROUND(O98*0.0005, 2)</f>
        <v/>
      </c>
      <c r="Q98" s="12">
        <f>N98-M98</f>
        <v/>
      </c>
      <c r="R98" s="12">
        <f>Q98-P98</f>
        <v/>
      </c>
      <c r="S98" s="13">
        <f>ROUND((R98/M98)*100, 2)</f>
        <v/>
      </c>
      <c r="T98" s="12">
        <f>ROUND(0.20*M98, 2)</f>
        <v/>
      </c>
      <c r="U98" s="13">
        <f>ROUND((R98/T98)*100, 2)</f>
        <v/>
      </c>
      <c r="V98" s="12">
        <f>V97+R98</f>
        <v/>
      </c>
      <c r="W98" s="12">
        <f>MAX(W97, V98)</f>
        <v/>
      </c>
      <c r="X98" s="12">
        <f>V98-W98</f>
        <v/>
      </c>
    </row>
    <row r="99">
      <c r="A99" s="9" t="n">
        <v>96</v>
      </c>
      <c r="B99" s="10" t="inlineStr">
        <is>
          <t>INFY</t>
        </is>
      </c>
      <c r="C99" s="9" t="inlineStr">
        <is>
          <t>Q2 2026-27</t>
        </is>
      </c>
      <c r="D99" s="9" t="inlineStr">
        <is>
          <t>FUTURE LONG</t>
        </is>
      </c>
      <c r="E99" s="9" t="inlineStr">
        <is>
          <t>T-8 to T+1</t>
        </is>
      </c>
      <c r="F99" s="9" t="inlineStr">
        <is>
          <t>70.0%</t>
        </is>
      </c>
      <c r="G99" s="9" t="inlineStr">
        <is>
          <t>2025-01-07</t>
        </is>
      </c>
      <c r="H99" s="9" t="inlineStr">
        <is>
          <t>2025-01-20</t>
        </is>
      </c>
      <c r="I99" s="9" t="inlineStr">
        <is>
          <t>2025-01-16</t>
        </is>
      </c>
      <c r="J99" s="5" t="n">
        <v>400</v>
      </c>
      <c r="K99" s="11" t="n">
        <v>1835.628295898437</v>
      </c>
      <c r="L99" s="11" t="n">
        <v>1723.87548828125</v>
      </c>
      <c r="M99" s="12">
        <f>J99*K99</f>
        <v/>
      </c>
      <c r="N99" s="12">
        <f>J99*L99</f>
        <v/>
      </c>
      <c r="O99" s="12">
        <f>M99+N99</f>
        <v/>
      </c>
      <c r="P99" s="12">
        <f>ROUND(O99*0.0005, 2)</f>
        <v/>
      </c>
      <c r="Q99" s="12">
        <f>N99-M99</f>
        <v/>
      </c>
      <c r="R99" s="12">
        <f>Q99-P99</f>
        <v/>
      </c>
      <c r="S99" s="13">
        <f>ROUND((R99/M99)*100, 2)</f>
        <v/>
      </c>
      <c r="T99" s="12">
        <f>ROUND(0.20*M99, 2)</f>
        <v/>
      </c>
      <c r="U99" s="13">
        <f>ROUND((R99/T99)*100, 2)</f>
        <v/>
      </c>
      <c r="V99" s="12">
        <f>V98+R99</f>
        <v/>
      </c>
      <c r="W99" s="12">
        <f>MAX(W98, V99)</f>
        <v/>
      </c>
      <c r="X99" s="12">
        <f>V99-W99</f>
        <v/>
      </c>
    </row>
    <row r="100">
      <c r="A100" s="9" t="n">
        <v>97</v>
      </c>
      <c r="B100" s="10" t="inlineStr">
        <is>
          <t>INOXWIND</t>
        </is>
      </c>
      <c r="C100" s="9" t="inlineStr">
        <is>
          <t>Q2 2026-27</t>
        </is>
      </c>
      <c r="D100" s="9" t="inlineStr">
        <is>
          <t>FUTURE LONG</t>
        </is>
      </c>
      <c r="E100" s="9" t="inlineStr">
        <is>
          <t>T-8 to T+1</t>
        </is>
      </c>
      <c r="F100" s="9" t="inlineStr">
        <is>
          <t>60.0%</t>
        </is>
      </c>
      <c r="G100" s="9" t="inlineStr">
        <is>
          <t>2025-02-25</t>
        </is>
      </c>
      <c r="H100" s="9" t="inlineStr">
        <is>
          <t>2025-03-11</t>
        </is>
      </c>
      <c r="I100" s="9" t="inlineStr">
        <is>
          <t>2025-03-10</t>
        </is>
      </c>
      <c r="J100" s="5" t="n">
        <v>5927</v>
      </c>
      <c r="K100" s="11" t="n">
        <v>168.7100067138672</v>
      </c>
      <c r="L100" s="11" t="n">
        <v>164.5899963378906</v>
      </c>
      <c r="M100" s="12">
        <f>J100*K100</f>
        <v/>
      </c>
      <c r="N100" s="12">
        <f>J100*L100</f>
        <v/>
      </c>
      <c r="O100" s="12">
        <f>M100+N100</f>
        <v/>
      </c>
      <c r="P100" s="12">
        <f>ROUND(O100*0.0005, 2)</f>
        <v/>
      </c>
      <c r="Q100" s="12">
        <f>N100-M100</f>
        <v/>
      </c>
      <c r="R100" s="12">
        <f>Q100-P100</f>
        <v/>
      </c>
      <c r="S100" s="13">
        <f>ROUND((R100/M100)*100, 2)</f>
        <v/>
      </c>
      <c r="T100" s="12">
        <f>ROUND(0.20*M100, 2)</f>
        <v/>
      </c>
      <c r="U100" s="13">
        <f>ROUND((R100/T100)*100, 2)</f>
        <v/>
      </c>
      <c r="V100" s="12">
        <f>V99+R100</f>
        <v/>
      </c>
      <c r="W100" s="12">
        <f>MAX(W99, V100)</f>
        <v/>
      </c>
      <c r="X100" s="12">
        <f>V100-W100</f>
        <v/>
      </c>
    </row>
    <row r="101">
      <c r="A101" s="9" t="n">
        <v>98</v>
      </c>
      <c r="B101" s="10" t="inlineStr">
        <is>
          <t>IOC</t>
        </is>
      </c>
      <c r="C101" s="9" t="inlineStr">
        <is>
          <t>Q2 2026-27</t>
        </is>
      </c>
      <c r="D101" s="9" t="inlineStr">
        <is>
          <t>FUTURE LONG</t>
        </is>
      </c>
      <c r="E101" s="9" t="inlineStr">
        <is>
          <t>T-8 to T+1</t>
        </is>
      </c>
      <c r="F101" s="9" t="inlineStr">
        <is>
          <t>65.0%</t>
        </is>
      </c>
      <c r="G101" s="9" t="inlineStr">
        <is>
          <t>2025-01-15</t>
        </is>
      </c>
      <c r="H101" s="9" t="inlineStr">
        <is>
          <t>2025-01-28</t>
        </is>
      </c>
      <c r="I101" s="9" t="inlineStr">
        <is>
          <t>2025-01-27</t>
        </is>
      </c>
      <c r="J101" s="5" t="n">
        <v>8398</v>
      </c>
      <c r="K101" s="11" t="n">
        <v>119.0657806396484</v>
      </c>
      <c r="L101" s="11" t="n">
        <v>114.9671859741211</v>
      </c>
      <c r="M101" s="12">
        <f>J101*K101</f>
        <v/>
      </c>
      <c r="N101" s="12">
        <f>J101*L101</f>
        <v/>
      </c>
      <c r="O101" s="12">
        <f>M101+N101</f>
        <v/>
      </c>
      <c r="P101" s="12">
        <f>ROUND(O101*0.0005, 2)</f>
        <v/>
      </c>
      <c r="Q101" s="12">
        <f>N101-M101</f>
        <v/>
      </c>
      <c r="R101" s="12">
        <f>Q101-P101</f>
        <v/>
      </c>
      <c r="S101" s="13">
        <f>ROUND((R101/M101)*100, 2)</f>
        <v/>
      </c>
      <c r="T101" s="12">
        <f>ROUND(0.20*M101, 2)</f>
        <v/>
      </c>
      <c r="U101" s="13">
        <f>ROUND((R101/T101)*100, 2)</f>
        <v/>
      </c>
      <c r="V101" s="12">
        <f>V100+R101</f>
        <v/>
      </c>
      <c r="W101" s="12">
        <f>MAX(W100, V101)</f>
        <v/>
      </c>
      <c r="X101" s="12">
        <f>V101-W101</f>
        <v/>
      </c>
    </row>
    <row r="102">
      <c r="A102" s="9" t="n">
        <v>99</v>
      </c>
      <c r="B102" s="10" t="inlineStr">
        <is>
          <t>IREDA</t>
        </is>
      </c>
      <c r="C102" s="9" t="inlineStr">
        <is>
          <t>Q2 2026-27</t>
        </is>
      </c>
      <c r="D102" s="9" t="inlineStr">
        <is>
          <t>FUTURE LONG</t>
        </is>
      </c>
      <c r="E102" s="9" t="inlineStr">
        <is>
          <t>T-8 to T+1</t>
        </is>
      </c>
      <c r="F102" s="9" t="inlineStr">
        <is>
          <t>65.0%</t>
        </is>
      </c>
      <c r="G102" s="9" t="inlineStr">
        <is>
          <t>2024-12-30</t>
        </is>
      </c>
      <c r="H102" s="9" t="inlineStr">
        <is>
          <t>2025-01-10</t>
        </is>
      </c>
      <c r="I102" s="9" t="inlineStr">
        <is>
          <t>2025-01-09</t>
        </is>
      </c>
      <c r="J102" s="5" t="n">
        <v>4601</v>
      </c>
      <c r="K102" s="11" t="n">
        <v>217.3177337646484</v>
      </c>
      <c r="L102" s="11" t="n">
        <v>200.0890808105469</v>
      </c>
      <c r="M102" s="12">
        <f>J102*K102</f>
        <v/>
      </c>
      <c r="N102" s="12">
        <f>J102*L102</f>
        <v/>
      </c>
      <c r="O102" s="12">
        <f>M102+N102</f>
        <v/>
      </c>
      <c r="P102" s="12">
        <f>ROUND(O102*0.0005, 2)</f>
        <v/>
      </c>
      <c r="Q102" s="12">
        <f>N102-M102</f>
        <v/>
      </c>
      <c r="R102" s="12">
        <f>Q102-P102</f>
        <v/>
      </c>
      <c r="S102" s="13">
        <f>ROUND((R102/M102)*100, 2)</f>
        <v/>
      </c>
      <c r="T102" s="12">
        <f>ROUND(0.20*M102, 2)</f>
        <v/>
      </c>
      <c r="U102" s="13">
        <f>ROUND((R102/T102)*100, 2)</f>
        <v/>
      </c>
      <c r="V102" s="12">
        <f>V101+R102</f>
        <v/>
      </c>
      <c r="W102" s="12">
        <f>MAX(W101, V102)</f>
        <v/>
      </c>
      <c r="X102" s="12">
        <f>V102-W102</f>
        <v/>
      </c>
    </row>
    <row r="103">
      <c r="A103" s="9" t="n">
        <v>100</v>
      </c>
      <c r="B103" s="10" t="inlineStr">
        <is>
          <t>IRFC</t>
        </is>
      </c>
      <c r="C103" s="9" t="inlineStr">
        <is>
          <t>Q2 2026-27</t>
        </is>
      </c>
      <c r="D103" s="9" t="inlineStr">
        <is>
          <t>FUTURE LONG</t>
        </is>
      </c>
      <c r="E103" s="9" t="inlineStr">
        <is>
          <t>T-8 to T+1</t>
        </is>
      </c>
      <c r="F103" s="9" t="inlineStr">
        <is>
          <t>70.0%</t>
        </is>
      </c>
      <c r="G103" s="9" t="inlineStr">
        <is>
          <t>2025-01-08</t>
        </is>
      </c>
      <c r="H103" s="9" t="inlineStr">
        <is>
          <t>2025-01-21</t>
        </is>
      </c>
      <c r="I103" s="9" t="inlineStr">
        <is>
          <t>2025-01-20</t>
        </is>
      </c>
      <c r="J103" s="5" t="n">
        <v>6958</v>
      </c>
      <c r="K103" s="11" t="n">
        <v>143.7</v>
      </c>
      <c r="L103" s="11" t="n">
        <v>142.47</v>
      </c>
      <c r="M103" s="12">
        <f>J103*K103</f>
        <v/>
      </c>
      <c r="N103" s="12">
        <f>J103*L103</f>
        <v/>
      </c>
      <c r="O103" s="12">
        <f>M103+N103</f>
        <v/>
      </c>
      <c r="P103" s="12">
        <f>ROUND(O103*0.0005, 2)</f>
        <v/>
      </c>
      <c r="Q103" s="12">
        <f>N103-M103</f>
        <v/>
      </c>
      <c r="R103" s="12">
        <f>Q103-P103</f>
        <v/>
      </c>
      <c r="S103" s="13">
        <f>ROUND((R103/M103)*100, 2)</f>
        <v/>
      </c>
      <c r="T103" s="12">
        <f>ROUND(0.20*M103, 2)</f>
        <v/>
      </c>
      <c r="U103" s="13">
        <f>ROUND((R103/T103)*100, 2)</f>
        <v/>
      </c>
      <c r="V103" s="12">
        <f>V102+R103</f>
        <v/>
      </c>
      <c r="W103" s="12">
        <f>MAX(W102, V103)</f>
        <v/>
      </c>
      <c r="X103" s="12">
        <f>V103-W103</f>
        <v/>
      </c>
    </row>
    <row r="104">
      <c r="A104" s="9" t="n">
        <v>101</v>
      </c>
      <c r="B104" s="10" t="inlineStr">
        <is>
          <t>ITC</t>
        </is>
      </c>
      <c r="C104" s="9" t="inlineStr">
        <is>
          <t>Q2 2026-27</t>
        </is>
      </c>
      <c r="D104" s="9" t="inlineStr">
        <is>
          <t>FUTURE LONG</t>
        </is>
      </c>
      <c r="E104" s="9" t="inlineStr">
        <is>
          <t>T-8 to T+1</t>
        </is>
      </c>
      <c r="F104" s="9" t="inlineStr">
        <is>
          <t>75.0%</t>
        </is>
      </c>
      <c r="G104" s="9" t="inlineStr">
        <is>
          <t>2025-01-29</t>
        </is>
      </c>
      <c r="H104" s="9" t="inlineStr">
        <is>
          <t>2025-02-10</t>
        </is>
      </c>
      <c r="I104" s="9" t="inlineStr">
        <is>
          <t>2025-02-06</t>
        </is>
      </c>
      <c r="J104" s="5" t="n">
        <v>1600</v>
      </c>
      <c r="K104" s="11" t="n">
        <v>399.4175415039063</v>
      </c>
      <c r="L104" s="11" t="n">
        <v>393.7491149902344</v>
      </c>
      <c r="M104" s="12">
        <f>J104*K104</f>
        <v/>
      </c>
      <c r="N104" s="12">
        <f>J104*L104</f>
        <v/>
      </c>
      <c r="O104" s="12">
        <f>M104+N104</f>
        <v/>
      </c>
      <c r="P104" s="12">
        <f>ROUND(O104*0.0005, 2)</f>
        <v/>
      </c>
      <c r="Q104" s="12">
        <f>N104-M104</f>
        <v/>
      </c>
      <c r="R104" s="12">
        <f>Q104-P104</f>
        <v/>
      </c>
      <c r="S104" s="13">
        <f>ROUND((R104/M104)*100, 2)</f>
        <v/>
      </c>
      <c r="T104" s="12">
        <f>ROUND(0.20*M104, 2)</f>
        <v/>
      </c>
      <c r="U104" s="13">
        <f>ROUND((R104/T104)*100, 2)</f>
        <v/>
      </c>
      <c r="V104" s="12">
        <f>V103+R104</f>
        <v/>
      </c>
      <c r="W104" s="12">
        <f>MAX(W103, V104)</f>
        <v/>
      </c>
      <c r="X104" s="12">
        <f>V104-W104</f>
        <v/>
      </c>
    </row>
    <row r="105">
      <c r="A105" s="9" t="n">
        <v>102</v>
      </c>
      <c r="B105" s="10" t="inlineStr">
        <is>
          <t>JINDALSTEL</t>
        </is>
      </c>
      <c r="C105" s="9" t="inlineStr">
        <is>
          <t>Q2 2026-27</t>
        </is>
      </c>
      <c r="D105" s="9" t="inlineStr">
        <is>
          <t>FUTURE LONG</t>
        </is>
      </c>
      <c r="E105" s="9" t="inlineStr">
        <is>
          <t>T-8 to T+1</t>
        </is>
      </c>
      <c r="F105" s="9" t="inlineStr">
        <is>
          <t>70.0%</t>
        </is>
      </c>
      <c r="G105" s="9" t="inlineStr">
        <is>
          <t>2025-01-21</t>
        </is>
      </c>
      <c r="H105" s="9" t="inlineStr">
        <is>
          <t>2025-02-01</t>
        </is>
      </c>
      <c r="I105" s="9" t="inlineStr">
        <is>
          <t>2025-01-31</t>
        </is>
      </c>
      <c r="J105" s="5" t="n">
        <v>1090</v>
      </c>
      <c r="K105" s="11" t="n">
        <v>917.0806884765624</v>
      </c>
      <c r="L105" s="11" t="n">
        <v>774.8128662109375</v>
      </c>
      <c r="M105" s="12">
        <f>J105*K105</f>
        <v/>
      </c>
      <c r="N105" s="12">
        <f>J105*L105</f>
        <v/>
      </c>
      <c r="O105" s="12">
        <f>M105+N105</f>
        <v/>
      </c>
      <c r="P105" s="12">
        <f>ROUND(O105*0.0005, 2)</f>
        <v/>
      </c>
      <c r="Q105" s="12">
        <f>N105-M105</f>
        <v/>
      </c>
      <c r="R105" s="12">
        <f>Q105-P105</f>
        <v/>
      </c>
      <c r="S105" s="13">
        <f>ROUND((R105/M105)*100, 2)</f>
        <v/>
      </c>
      <c r="T105" s="12">
        <f>ROUND(0.20*M105, 2)</f>
        <v/>
      </c>
      <c r="U105" s="13">
        <f>ROUND((R105/T105)*100, 2)</f>
        <v/>
      </c>
      <c r="V105" s="12">
        <f>V104+R105</f>
        <v/>
      </c>
      <c r="W105" s="12">
        <f>MAX(W104, V105)</f>
        <v/>
      </c>
      <c r="X105" s="12">
        <f>V105-W105</f>
        <v/>
      </c>
    </row>
    <row r="106">
      <c r="A106" s="9" t="n">
        <v>103</v>
      </c>
      <c r="B106" s="10" t="inlineStr">
        <is>
          <t>JIOFIN</t>
        </is>
      </c>
      <c r="C106" s="9" t="inlineStr">
        <is>
          <t>Q2 2026-27</t>
        </is>
      </c>
      <c r="D106" s="9" t="inlineStr">
        <is>
          <t>FUTURE LONG</t>
        </is>
      </c>
      <c r="E106" s="9" t="inlineStr">
        <is>
          <t>T-8 to T+1</t>
        </is>
      </c>
      <c r="F106" s="9" t="inlineStr">
        <is>
          <t>65.0%</t>
        </is>
      </c>
      <c r="G106" s="9" t="inlineStr">
        <is>
          <t>2025-01-07</t>
        </is>
      </c>
      <c r="H106" s="9" t="inlineStr">
        <is>
          <t>2025-01-20</t>
        </is>
      </c>
      <c r="I106" s="9" t="inlineStr">
        <is>
          <t>2025-01-17</t>
        </is>
      </c>
      <c r="J106" s="5" t="n">
        <v>3348</v>
      </c>
      <c r="K106" s="11" t="n">
        <v>298.6842346191406</v>
      </c>
      <c r="L106" s="11" t="n">
        <v>275.270751953125</v>
      </c>
      <c r="M106" s="12">
        <f>J106*K106</f>
        <v/>
      </c>
      <c r="N106" s="12">
        <f>J106*L106</f>
        <v/>
      </c>
      <c r="O106" s="12">
        <f>M106+N106</f>
        <v/>
      </c>
      <c r="P106" s="12">
        <f>ROUND(O106*0.0005, 2)</f>
        <v/>
      </c>
      <c r="Q106" s="12">
        <f>N106-M106</f>
        <v/>
      </c>
      <c r="R106" s="12">
        <f>Q106-P106</f>
        <v/>
      </c>
      <c r="S106" s="13">
        <f>ROUND((R106/M106)*100, 2)</f>
        <v/>
      </c>
      <c r="T106" s="12">
        <f>ROUND(0.20*M106, 2)</f>
        <v/>
      </c>
      <c r="U106" s="13">
        <f>ROUND((R106/T106)*100, 2)</f>
        <v/>
      </c>
      <c r="V106" s="12">
        <f>V105+R106</f>
        <v/>
      </c>
      <c r="W106" s="12">
        <f>MAX(W105, V106)</f>
        <v/>
      </c>
      <c r="X106" s="12">
        <f>V106-W106</f>
        <v/>
      </c>
    </row>
    <row r="107">
      <c r="A107" s="9" t="n">
        <v>104</v>
      </c>
      <c r="B107" s="10" t="inlineStr">
        <is>
          <t>JSWENERGY</t>
        </is>
      </c>
      <c r="C107" s="9" t="inlineStr">
        <is>
          <t>Q2 2026-27</t>
        </is>
      </c>
      <c r="D107" s="9" t="inlineStr">
        <is>
          <t>FUTURE LONG</t>
        </is>
      </c>
      <c r="E107" s="9" t="inlineStr">
        <is>
          <t>T-8 to T+1</t>
        </is>
      </c>
      <c r="F107" s="9" t="inlineStr">
        <is>
          <t>65.0%</t>
        </is>
      </c>
      <c r="G107" s="9" t="inlineStr">
        <is>
          <t>2025-01-16</t>
        </is>
      </c>
      <c r="H107" s="9" t="inlineStr">
        <is>
          <t>2025-01-29</t>
        </is>
      </c>
      <c r="I107" s="9" t="inlineStr">
        <is>
          <t>2025-01-28</t>
        </is>
      </c>
      <c r="J107" s="5" t="n">
        <v>1765</v>
      </c>
      <c r="K107" s="11" t="n">
        <v>566.2786254882812</v>
      </c>
      <c r="L107" s="11" t="n">
        <v>471.2784423828125</v>
      </c>
      <c r="M107" s="12">
        <f>J107*K107</f>
        <v/>
      </c>
      <c r="N107" s="12">
        <f>J107*L107</f>
        <v/>
      </c>
      <c r="O107" s="12">
        <f>M107+N107</f>
        <v/>
      </c>
      <c r="P107" s="12">
        <f>ROUND(O107*0.0005, 2)</f>
        <v/>
      </c>
      <c r="Q107" s="12">
        <f>N107-M107</f>
        <v/>
      </c>
      <c r="R107" s="12">
        <f>Q107-P107</f>
        <v/>
      </c>
      <c r="S107" s="13">
        <f>ROUND((R107/M107)*100, 2)</f>
        <v/>
      </c>
      <c r="T107" s="12">
        <f>ROUND(0.20*M107, 2)</f>
        <v/>
      </c>
      <c r="U107" s="13">
        <f>ROUND((R107/T107)*100, 2)</f>
        <v/>
      </c>
      <c r="V107" s="12">
        <f>V106+R107</f>
        <v/>
      </c>
      <c r="W107" s="12">
        <f>MAX(W106, V107)</f>
        <v/>
      </c>
      <c r="X107" s="12">
        <f>V107-W107</f>
        <v/>
      </c>
    </row>
    <row r="108">
      <c r="A108" s="9" t="n">
        <v>105</v>
      </c>
      <c r="B108" s="10" t="inlineStr">
        <is>
          <t>JSWSTEEL</t>
        </is>
      </c>
      <c r="C108" s="9" t="inlineStr">
        <is>
          <t>Q2 2026-27</t>
        </is>
      </c>
      <c r="D108" s="9" t="inlineStr">
        <is>
          <t>FUTURE LONG</t>
        </is>
      </c>
      <c r="E108" s="9" t="inlineStr">
        <is>
          <t>T-8 to T+1</t>
        </is>
      </c>
      <c r="F108" s="9" t="inlineStr">
        <is>
          <t>65.0%</t>
        </is>
      </c>
      <c r="G108" s="9" t="inlineStr">
        <is>
          <t>2025-01-14</t>
        </is>
      </c>
      <c r="H108" s="9" t="inlineStr">
        <is>
          <t>2025-01-27</t>
        </is>
      </c>
      <c r="I108" s="9" t="inlineStr">
        <is>
          <t>2025-01-24</t>
        </is>
      </c>
      <c r="J108" s="5" t="n">
        <v>675</v>
      </c>
      <c r="K108" s="11" t="n">
        <v>898.4560546875</v>
      </c>
      <c r="L108" s="11" t="n">
        <v>911.6445922851562</v>
      </c>
      <c r="M108" s="12">
        <f>J108*K108</f>
        <v/>
      </c>
      <c r="N108" s="12">
        <f>J108*L108</f>
        <v/>
      </c>
      <c r="O108" s="12">
        <f>M108+N108</f>
        <v/>
      </c>
      <c r="P108" s="12">
        <f>ROUND(O108*0.0005, 2)</f>
        <v/>
      </c>
      <c r="Q108" s="12">
        <f>N108-M108</f>
        <v/>
      </c>
      <c r="R108" s="12">
        <f>Q108-P108</f>
        <v/>
      </c>
      <c r="S108" s="13">
        <f>ROUND((R108/M108)*100, 2)</f>
        <v/>
      </c>
      <c r="T108" s="12">
        <f>ROUND(0.20*M108, 2)</f>
        <v/>
      </c>
      <c r="U108" s="13">
        <f>ROUND((R108/T108)*100, 2)</f>
        <v/>
      </c>
      <c r="V108" s="12">
        <f>V107+R108</f>
        <v/>
      </c>
      <c r="W108" s="12">
        <f>MAX(W107, V108)</f>
        <v/>
      </c>
      <c r="X108" s="12">
        <f>V108-W108</f>
        <v/>
      </c>
    </row>
    <row r="109">
      <c r="A109" s="9" t="n">
        <v>106</v>
      </c>
      <c r="B109" s="10" t="inlineStr">
        <is>
          <t>JUBLFOOD</t>
        </is>
      </c>
      <c r="C109" s="9" t="inlineStr">
        <is>
          <t>Q2 2026-27</t>
        </is>
      </c>
      <c r="D109" s="9" t="inlineStr">
        <is>
          <t>FUTURE LONG</t>
        </is>
      </c>
      <c r="E109" s="9" t="inlineStr">
        <is>
          <t>T-8 to T+1</t>
        </is>
      </c>
      <c r="F109" s="9" t="inlineStr">
        <is>
          <t>80.0%</t>
        </is>
      </c>
      <c r="G109" s="9" t="inlineStr">
        <is>
          <t>2025-02-01</t>
        </is>
      </c>
      <c r="H109" s="9" t="inlineStr">
        <is>
          <t>2025-02-13</t>
        </is>
      </c>
      <c r="I109" s="9" t="inlineStr">
        <is>
          <t>2025-02-12</t>
        </is>
      </c>
      <c r="J109" s="5" t="n">
        <v>1357</v>
      </c>
      <c r="K109" s="11" t="n">
        <v>736.4181518554688</v>
      </c>
      <c r="L109" s="11" t="n">
        <v>659.0732421875</v>
      </c>
      <c r="M109" s="12">
        <f>J109*K109</f>
        <v/>
      </c>
      <c r="N109" s="12">
        <f>J109*L109</f>
        <v/>
      </c>
      <c r="O109" s="12">
        <f>M109+N109</f>
        <v/>
      </c>
      <c r="P109" s="12">
        <f>ROUND(O109*0.0005, 2)</f>
        <v/>
      </c>
      <c r="Q109" s="12">
        <f>N109-M109</f>
        <v/>
      </c>
      <c r="R109" s="12">
        <f>Q109-P109</f>
        <v/>
      </c>
      <c r="S109" s="13">
        <f>ROUND((R109/M109)*100, 2)</f>
        <v/>
      </c>
      <c r="T109" s="12">
        <f>ROUND(0.20*M109, 2)</f>
        <v/>
      </c>
      <c r="U109" s="13">
        <f>ROUND((R109/T109)*100, 2)</f>
        <v/>
      </c>
      <c r="V109" s="12">
        <f>V108+R109</f>
        <v/>
      </c>
      <c r="W109" s="12">
        <f>MAX(W108, V109)</f>
        <v/>
      </c>
      <c r="X109" s="12">
        <f>V109-W109</f>
        <v/>
      </c>
    </row>
    <row r="110">
      <c r="A110" s="9" t="n">
        <v>107</v>
      </c>
      <c r="B110" s="10" t="inlineStr">
        <is>
          <t>KALYANKJIL</t>
        </is>
      </c>
      <c r="C110" s="9" t="inlineStr">
        <is>
          <t>Q2 2026-27</t>
        </is>
      </c>
      <c r="D110" s="9" t="inlineStr">
        <is>
          <t>FUTURE LONG</t>
        </is>
      </c>
      <c r="E110" s="9" t="inlineStr">
        <is>
          <t>T-8 to T+1</t>
        </is>
      </c>
      <c r="F110" s="9" t="inlineStr">
        <is>
          <t>65.0%</t>
        </is>
      </c>
      <c r="G110" s="9" t="inlineStr">
        <is>
          <t>2025-01-21</t>
        </is>
      </c>
      <c r="H110" s="9" t="inlineStr">
        <is>
          <t>2025-02-01</t>
        </is>
      </c>
      <c r="I110" s="9" t="inlineStr">
        <is>
          <t>2025-01-31</t>
        </is>
      </c>
      <c r="J110" s="5" t="n">
        <v>2053</v>
      </c>
      <c r="K110" s="11" t="n">
        <v>486.9251403808594</v>
      </c>
      <c r="L110" s="11" t="n">
        <v>503.9752502441406</v>
      </c>
      <c r="M110" s="12">
        <f>J110*K110</f>
        <v/>
      </c>
      <c r="N110" s="12">
        <f>J110*L110</f>
        <v/>
      </c>
      <c r="O110" s="12">
        <f>M110+N110</f>
        <v/>
      </c>
      <c r="P110" s="12">
        <f>ROUND(O110*0.0005, 2)</f>
        <v/>
      </c>
      <c r="Q110" s="12">
        <f>N110-M110</f>
        <v/>
      </c>
      <c r="R110" s="12">
        <f>Q110-P110</f>
        <v/>
      </c>
      <c r="S110" s="13">
        <f>ROUND((R110/M110)*100, 2)</f>
        <v/>
      </c>
      <c r="T110" s="12">
        <f>ROUND(0.20*M110, 2)</f>
        <v/>
      </c>
      <c r="U110" s="13">
        <f>ROUND((R110/T110)*100, 2)</f>
        <v/>
      </c>
      <c r="V110" s="12">
        <f>V109+R110</f>
        <v/>
      </c>
      <c r="W110" s="12">
        <f>MAX(W109, V110)</f>
        <v/>
      </c>
      <c r="X110" s="12">
        <f>V110-W110</f>
        <v/>
      </c>
    </row>
    <row r="111">
      <c r="A111" s="9" t="n">
        <v>108</v>
      </c>
      <c r="B111" s="10" t="inlineStr">
        <is>
          <t>KAYNES</t>
        </is>
      </c>
      <c r="C111" s="9" t="inlineStr">
        <is>
          <t>Q2 2026-27</t>
        </is>
      </c>
      <c r="D111" s="9" t="inlineStr">
        <is>
          <t>FUTURE LONG</t>
        </is>
      </c>
      <c r="E111" s="9" t="inlineStr">
        <is>
          <t>T-8 to T+1</t>
        </is>
      </c>
      <c r="F111" s="9" t="inlineStr">
        <is>
          <t>80.0%</t>
        </is>
      </c>
      <c r="G111" s="9" t="inlineStr">
        <is>
          <t>2025-01-16</t>
        </is>
      </c>
      <c r="H111" s="9" t="inlineStr">
        <is>
          <t>2025-01-29</t>
        </is>
      </c>
      <c r="I111" s="9" t="inlineStr">
        <is>
          <t>2025-01-28</t>
        </is>
      </c>
      <c r="J111" s="5" t="n">
        <v>152</v>
      </c>
      <c r="K111" s="11" t="n">
        <v>6576.35009765625</v>
      </c>
      <c r="L111" s="11" t="n">
        <v>4955.4501953125</v>
      </c>
      <c r="M111" s="12">
        <f>J111*K111</f>
        <v/>
      </c>
      <c r="N111" s="12">
        <f>J111*L111</f>
        <v/>
      </c>
      <c r="O111" s="12">
        <f>M111+N111</f>
        <v/>
      </c>
      <c r="P111" s="12">
        <f>ROUND(O111*0.0005, 2)</f>
        <v/>
      </c>
      <c r="Q111" s="12">
        <f>N111-M111</f>
        <v/>
      </c>
      <c r="R111" s="12">
        <f>Q111-P111</f>
        <v/>
      </c>
      <c r="S111" s="13">
        <f>ROUND((R111/M111)*100, 2)</f>
        <v/>
      </c>
      <c r="T111" s="12">
        <f>ROUND(0.20*M111, 2)</f>
        <v/>
      </c>
      <c r="U111" s="13">
        <f>ROUND((R111/T111)*100, 2)</f>
        <v/>
      </c>
      <c r="V111" s="12">
        <f>V110+R111</f>
        <v/>
      </c>
      <c r="W111" s="12">
        <f>MAX(W110, V111)</f>
        <v/>
      </c>
      <c r="X111" s="12">
        <f>V111-W111</f>
        <v/>
      </c>
    </row>
    <row r="112">
      <c r="A112" s="9" t="n">
        <v>109</v>
      </c>
      <c r="B112" s="10" t="inlineStr">
        <is>
          <t>KEI</t>
        </is>
      </c>
      <c r="C112" s="9" t="inlineStr">
        <is>
          <t>Q2 2026-27</t>
        </is>
      </c>
      <c r="D112" s="9" t="inlineStr">
        <is>
          <t>FUTURE LONG</t>
        </is>
      </c>
      <c r="E112" s="9" t="inlineStr">
        <is>
          <t>T-8 to T+1</t>
        </is>
      </c>
      <c r="F112" s="9" t="inlineStr">
        <is>
          <t>65.0%</t>
        </is>
      </c>
      <c r="G112" s="9" t="inlineStr">
        <is>
          <t>2025-01-09</t>
        </is>
      </c>
      <c r="H112" s="9" t="inlineStr">
        <is>
          <t>2025-01-22</t>
        </is>
      </c>
      <c r="I112" s="9" t="inlineStr">
        <is>
          <t>2025-01-21</t>
        </is>
      </c>
      <c r="J112" s="5" t="n">
        <v>238</v>
      </c>
      <c r="K112" s="11" t="n">
        <v>4194.03173828125</v>
      </c>
      <c r="L112" s="11" t="n">
        <v>4118.79150390625</v>
      </c>
      <c r="M112" s="12">
        <f>J112*K112</f>
        <v/>
      </c>
      <c r="N112" s="12">
        <f>J112*L112</f>
        <v/>
      </c>
      <c r="O112" s="12">
        <f>M112+N112</f>
        <v/>
      </c>
      <c r="P112" s="12">
        <f>ROUND(O112*0.0005, 2)</f>
        <v/>
      </c>
      <c r="Q112" s="12">
        <f>N112-M112</f>
        <v/>
      </c>
      <c r="R112" s="12">
        <f>Q112-P112</f>
        <v/>
      </c>
      <c r="S112" s="13">
        <f>ROUND((R112/M112)*100, 2)</f>
        <v/>
      </c>
      <c r="T112" s="12">
        <f>ROUND(0.20*M112, 2)</f>
        <v/>
      </c>
      <c r="U112" s="13">
        <f>ROUND((R112/T112)*100, 2)</f>
        <v/>
      </c>
      <c r="V112" s="12">
        <f>V111+R112</f>
        <v/>
      </c>
      <c r="W112" s="12">
        <f>MAX(W111, V112)</f>
        <v/>
      </c>
      <c r="X112" s="12">
        <f>V112-W112</f>
        <v/>
      </c>
    </row>
    <row r="113">
      <c r="A113" s="9" t="n">
        <v>110</v>
      </c>
      <c r="B113" s="10" t="inlineStr">
        <is>
          <t>KFINTECH</t>
        </is>
      </c>
      <c r="C113" s="9" t="inlineStr">
        <is>
          <t>Q2 2026-27</t>
        </is>
      </c>
      <c r="D113" s="9" t="inlineStr">
        <is>
          <t>FUTURE LONG</t>
        </is>
      </c>
      <c r="E113" s="9" t="inlineStr">
        <is>
          <t>T-8 to T+1</t>
        </is>
      </c>
      <c r="F113" s="9" t="inlineStr">
        <is>
          <t>60.0%</t>
        </is>
      </c>
      <c r="G113" s="9" t="inlineStr">
        <is>
          <t>2025-01-13</t>
        </is>
      </c>
      <c r="H113" s="9" t="inlineStr">
        <is>
          <t>2025-01-24</t>
        </is>
      </c>
      <c r="I113" s="9" t="inlineStr">
        <is>
          <t>2025-01-23</t>
        </is>
      </c>
      <c r="J113" s="5" t="n">
        <v>812</v>
      </c>
      <c r="K113" s="11" t="n">
        <v>1230.14599609375</v>
      </c>
      <c r="L113" s="11" t="n">
        <v>1141.69384765625</v>
      </c>
      <c r="M113" s="12">
        <f>J113*K113</f>
        <v/>
      </c>
      <c r="N113" s="12">
        <f>J113*L113</f>
        <v/>
      </c>
      <c r="O113" s="12">
        <f>M113+N113</f>
        <v/>
      </c>
      <c r="P113" s="12">
        <f>ROUND(O113*0.0005, 2)</f>
        <v/>
      </c>
      <c r="Q113" s="12">
        <f>N113-M113</f>
        <v/>
      </c>
      <c r="R113" s="12">
        <f>Q113-P113</f>
        <v/>
      </c>
      <c r="S113" s="13">
        <f>ROUND((R113/M113)*100, 2)</f>
        <v/>
      </c>
      <c r="T113" s="12">
        <f>ROUND(0.20*M113, 2)</f>
        <v/>
      </c>
      <c r="U113" s="13">
        <f>ROUND((R113/T113)*100, 2)</f>
        <v/>
      </c>
      <c r="V113" s="12">
        <f>V112+R113</f>
        <v/>
      </c>
      <c r="W113" s="12">
        <f>MAX(W112, V113)</f>
        <v/>
      </c>
      <c r="X113" s="12">
        <f>V113-W113</f>
        <v/>
      </c>
    </row>
    <row r="114">
      <c r="A114" s="9" t="n">
        <v>111</v>
      </c>
      <c r="B114" s="10" t="inlineStr">
        <is>
          <t>KOTAKBANK</t>
        </is>
      </c>
      <c r="C114" s="9" t="inlineStr">
        <is>
          <t>Q2 2026-27</t>
        </is>
      </c>
      <c r="D114" s="9" t="inlineStr">
        <is>
          <t>FUTURE LONG</t>
        </is>
      </c>
      <c r="E114" s="9" t="inlineStr">
        <is>
          <t>T-8 to T+1</t>
        </is>
      </c>
      <c r="F114" s="9" t="inlineStr">
        <is>
          <t>70.0%</t>
        </is>
      </c>
      <c r="G114" s="9" t="inlineStr">
        <is>
          <t>2025-01-20</t>
        </is>
      </c>
      <c r="H114" s="9" t="inlineStr">
        <is>
          <t>2025-01-31</t>
        </is>
      </c>
      <c r="I114" s="9" t="inlineStr">
        <is>
          <t>2025-01-29</t>
        </is>
      </c>
      <c r="J114" s="5" t="n">
        <v>400</v>
      </c>
      <c r="K114" s="11" t="n">
        <v>383.6576538085938</v>
      </c>
      <c r="L114" s="11" t="n">
        <v>379.8220825195313</v>
      </c>
      <c r="M114" s="12">
        <f>J114*K114</f>
        <v/>
      </c>
      <c r="N114" s="12">
        <f>J114*L114</f>
        <v/>
      </c>
      <c r="O114" s="12">
        <f>M114+N114</f>
        <v/>
      </c>
      <c r="P114" s="12">
        <f>ROUND(O114*0.0005, 2)</f>
        <v/>
      </c>
      <c r="Q114" s="12">
        <f>N114-M114</f>
        <v/>
      </c>
      <c r="R114" s="12">
        <f>Q114-P114</f>
        <v/>
      </c>
      <c r="S114" s="13">
        <f>ROUND((R114/M114)*100, 2)</f>
        <v/>
      </c>
      <c r="T114" s="12">
        <f>ROUND(0.20*M114, 2)</f>
        <v/>
      </c>
      <c r="U114" s="13">
        <f>ROUND((R114/T114)*100, 2)</f>
        <v/>
      </c>
      <c r="V114" s="12">
        <f>V113+R114</f>
        <v/>
      </c>
      <c r="W114" s="12">
        <f>MAX(W113, V114)</f>
        <v/>
      </c>
      <c r="X114" s="12">
        <f>V114-W114</f>
        <v/>
      </c>
    </row>
    <row r="115">
      <c r="A115" s="9" t="n">
        <v>112</v>
      </c>
      <c r="B115" s="10" t="inlineStr">
        <is>
          <t>KPITTECH</t>
        </is>
      </c>
      <c r="C115" s="9" t="inlineStr">
        <is>
          <t>Q2 2026-27</t>
        </is>
      </c>
      <c r="D115" s="9" t="inlineStr">
        <is>
          <t>FUTURE LONG</t>
        </is>
      </c>
      <c r="E115" s="9" t="inlineStr">
        <is>
          <t>T-8 to T+1</t>
        </is>
      </c>
      <c r="F115" s="9" t="inlineStr">
        <is>
          <t>70.0%</t>
        </is>
      </c>
      <c r="G115" s="9" t="inlineStr">
        <is>
          <t>2025-01-17</t>
        </is>
      </c>
      <c r="H115" s="9" t="inlineStr">
        <is>
          <t>2025-01-30</t>
        </is>
      </c>
      <c r="I115" s="9" t="inlineStr">
        <is>
          <t>2025-01-29</t>
        </is>
      </c>
      <c r="J115" s="5" t="n">
        <v>767</v>
      </c>
      <c r="K115" s="11" t="n">
        <v>1302.940307617188</v>
      </c>
      <c r="L115" s="11" t="n">
        <v>1420.1865234375</v>
      </c>
      <c r="M115" s="12">
        <f>J115*K115</f>
        <v/>
      </c>
      <c r="N115" s="12">
        <f>J115*L115</f>
        <v/>
      </c>
      <c r="O115" s="12">
        <f>M115+N115</f>
        <v/>
      </c>
      <c r="P115" s="12">
        <f>ROUND(O115*0.0005, 2)</f>
        <v/>
      </c>
      <c r="Q115" s="12">
        <f>N115-M115</f>
        <v/>
      </c>
      <c r="R115" s="12">
        <f>Q115-P115</f>
        <v/>
      </c>
      <c r="S115" s="13">
        <f>ROUND((R115/M115)*100, 2)</f>
        <v/>
      </c>
      <c r="T115" s="12">
        <f>ROUND(0.20*M115, 2)</f>
        <v/>
      </c>
      <c r="U115" s="13">
        <f>ROUND((R115/T115)*100, 2)</f>
        <v/>
      </c>
      <c r="V115" s="12">
        <f>V114+R115</f>
        <v/>
      </c>
      <c r="W115" s="12">
        <f>MAX(W114, V115)</f>
        <v/>
      </c>
      <c r="X115" s="12">
        <f>V115-W115</f>
        <v/>
      </c>
    </row>
    <row r="116">
      <c r="A116" s="9" t="n">
        <v>113</v>
      </c>
      <c r="B116" s="10" t="inlineStr">
        <is>
          <t>LAURUSLABS</t>
        </is>
      </c>
      <c r="C116" s="9" t="inlineStr">
        <is>
          <t>Q2 2026-27</t>
        </is>
      </c>
      <c r="D116" s="9" t="inlineStr">
        <is>
          <t>FUTURE LONG</t>
        </is>
      </c>
      <c r="E116" s="9" t="inlineStr">
        <is>
          <t>T-8 to T+1</t>
        </is>
      </c>
      <c r="F116" s="9" t="inlineStr">
        <is>
          <t>80.0%</t>
        </is>
      </c>
      <c r="G116" s="9" t="inlineStr">
        <is>
          <t>2025-01-14</t>
        </is>
      </c>
      <c r="H116" s="9" t="inlineStr">
        <is>
          <t>2025-01-27</t>
        </is>
      </c>
      <c r="I116" s="9" t="inlineStr">
        <is>
          <t>2025-01-24</t>
        </is>
      </c>
      <c r="J116" s="5" t="n">
        <v>1766</v>
      </c>
      <c r="K116" s="11" t="n">
        <v>566.1942138671875</v>
      </c>
      <c r="L116" s="11" t="n">
        <v>532.9501953125</v>
      </c>
      <c r="M116" s="12">
        <f>J116*K116</f>
        <v/>
      </c>
      <c r="N116" s="12">
        <f>J116*L116</f>
        <v/>
      </c>
      <c r="O116" s="12">
        <f>M116+N116</f>
        <v/>
      </c>
      <c r="P116" s="12">
        <f>ROUND(O116*0.0005, 2)</f>
        <v/>
      </c>
      <c r="Q116" s="12">
        <f>N116-M116</f>
        <v/>
      </c>
      <c r="R116" s="12">
        <f>Q116-P116</f>
        <v/>
      </c>
      <c r="S116" s="13">
        <f>ROUND((R116/M116)*100, 2)</f>
        <v/>
      </c>
      <c r="T116" s="12">
        <f>ROUND(0.20*M116, 2)</f>
        <v/>
      </c>
      <c r="U116" s="13">
        <f>ROUND((R116/T116)*100, 2)</f>
        <v/>
      </c>
      <c r="V116" s="12">
        <f>V115+R116</f>
        <v/>
      </c>
      <c r="W116" s="12">
        <f>MAX(W115, V116)</f>
        <v/>
      </c>
      <c r="X116" s="12">
        <f>V116-W116</f>
        <v/>
      </c>
    </row>
    <row r="117">
      <c r="A117" s="9" t="n">
        <v>114</v>
      </c>
      <c r="B117" s="10" t="inlineStr">
        <is>
          <t>LICHSGFIN</t>
        </is>
      </c>
      <c r="C117" s="9" t="inlineStr">
        <is>
          <t>Q2 2026-27</t>
        </is>
      </c>
      <c r="D117" s="9" t="inlineStr">
        <is>
          <t>FUTURE LONG</t>
        </is>
      </c>
      <c r="E117" s="9" t="inlineStr">
        <is>
          <t>T-8 to T+1</t>
        </is>
      </c>
      <c r="F117" s="9" t="inlineStr">
        <is>
          <t>80.0%</t>
        </is>
      </c>
      <c r="G117" s="9" t="inlineStr">
        <is>
          <t>2025-01-21</t>
        </is>
      </c>
      <c r="H117" s="9" t="inlineStr">
        <is>
          <t>2025-02-01</t>
        </is>
      </c>
      <c r="I117" s="9" t="inlineStr">
        <is>
          <t>2025-01-31</t>
        </is>
      </c>
      <c r="J117" s="5" t="n">
        <v>1815</v>
      </c>
      <c r="K117" s="11" t="n">
        <v>550.7019653320312</v>
      </c>
      <c r="L117" s="11" t="n">
        <v>574.5814819335938</v>
      </c>
      <c r="M117" s="12">
        <f>J117*K117</f>
        <v/>
      </c>
      <c r="N117" s="12">
        <f>J117*L117</f>
        <v/>
      </c>
      <c r="O117" s="12">
        <f>M117+N117</f>
        <v/>
      </c>
      <c r="P117" s="12">
        <f>ROUND(O117*0.0005, 2)</f>
        <v/>
      </c>
      <c r="Q117" s="12">
        <f>N117-M117</f>
        <v/>
      </c>
      <c r="R117" s="12">
        <f>Q117-P117</f>
        <v/>
      </c>
      <c r="S117" s="13">
        <f>ROUND((R117/M117)*100, 2)</f>
        <v/>
      </c>
      <c r="T117" s="12">
        <f>ROUND(0.20*M117, 2)</f>
        <v/>
      </c>
      <c r="U117" s="13">
        <f>ROUND((R117/T117)*100, 2)</f>
        <v/>
      </c>
      <c r="V117" s="12">
        <f>V116+R117</f>
        <v/>
      </c>
      <c r="W117" s="12">
        <f>MAX(W116, V117)</f>
        <v/>
      </c>
      <c r="X117" s="12">
        <f>V117-W117</f>
        <v/>
      </c>
    </row>
    <row r="118">
      <c r="A118" s="9" t="n">
        <v>115</v>
      </c>
      <c r="B118" s="10" t="inlineStr">
        <is>
          <t>LICI</t>
        </is>
      </c>
      <c r="C118" s="9" t="inlineStr">
        <is>
          <t>Q2 2026-27</t>
        </is>
      </c>
      <c r="D118" s="9" t="inlineStr">
        <is>
          <t>FUTURE LONG</t>
        </is>
      </c>
      <c r="E118" s="9" t="inlineStr">
        <is>
          <t>T-8 to T+1</t>
        </is>
      </c>
      <c r="F118" s="9" t="inlineStr">
        <is>
          <t>70.0%</t>
        </is>
      </c>
      <c r="G118" s="9" t="inlineStr">
        <is>
          <t>2026-07-20</t>
        </is>
      </c>
      <c r="H118" s="9" t="inlineStr">
        <is>
          <t>2026-07-30</t>
        </is>
      </c>
      <c r="I118" s="9" t="inlineStr">
        <is>
          <t>2026-08-06</t>
        </is>
      </c>
      <c r="J118" s="5" t="n">
        <v>2309</v>
      </c>
      <c r="K118" s="11" t="n">
        <v>433</v>
      </c>
      <c r="L118" s="11" t="n">
        <v>422.8500061035156</v>
      </c>
      <c r="M118" s="12">
        <f>J118*K118</f>
        <v/>
      </c>
      <c r="N118" s="12">
        <f>J118*L118</f>
        <v/>
      </c>
      <c r="O118" s="12">
        <f>M118+N118</f>
        <v/>
      </c>
      <c r="P118" s="12">
        <f>ROUND(O118*0.0005, 2)</f>
        <v/>
      </c>
      <c r="Q118" s="12">
        <f>N118-M118</f>
        <v/>
      </c>
      <c r="R118" s="12">
        <f>Q118-P118</f>
        <v/>
      </c>
      <c r="S118" s="13">
        <f>ROUND((R118/M118)*100, 2)</f>
        <v/>
      </c>
      <c r="T118" s="12">
        <f>ROUND(0.20*M118, 2)</f>
        <v/>
      </c>
      <c r="U118" s="13">
        <f>ROUND((R118/T118)*100, 2)</f>
        <v/>
      </c>
      <c r="V118" s="12">
        <f>V117+R118</f>
        <v/>
      </c>
      <c r="W118" s="12">
        <f>MAX(W117, V118)</f>
        <v/>
      </c>
      <c r="X118" s="12">
        <f>V118-W118</f>
        <v/>
      </c>
    </row>
    <row r="119">
      <c r="A119" s="9" t="n">
        <v>116</v>
      </c>
      <c r="B119" s="10" t="inlineStr">
        <is>
          <t>LODHA</t>
        </is>
      </c>
      <c r="C119" s="9" t="inlineStr">
        <is>
          <t>Q2 2026-27</t>
        </is>
      </c>
      <c r="D119" s="9" t="inlineStr">
        <is>
          <t>FUTURE LONG</t>
        </is>
      </c>
      <c r="E119" s="9" t="inlineStr">
        <is>
          <t>T-8 to T+1</t>
        </is>
      </c>
      <c r="F119" s="9" t="inlineStr">
        <is>
          <t>70.0%</t>
        </is>
      </c>
      <c r="G119" s="9" t="inlineStr">
        <is>
          <t>2025-02-27</t>
        </is>
      </c>
      <c r="H119" s="9" t="inlineStr">
        <is>
          <t>2025-03-12</t>
        </is>
      </c>
      <c r="I119" s="9" t="inlineStr">
        <is>
          <t>2025-03-11</t>
        </is>
      </c>
      <c r="J119" s="5" t="n">
        <v>839</v>
      </c>
      <c r="K119" s="11" t="n">
        <v>1191.024047851562</v>
      </c>
      <c r="L119" s="11" t="n">
        <v>1078.146118164062</v>
      </c>
      <c r="M119" s="12">
        <f>J119*K119</f>
        <v/>
      </c>
      <c r="N119" s="12">
        <f>J119*L119</f>
        <v/>
      </c>
      <c r="O119" s="12">
        <f>M119+N119</f>
        <v/>
      </c>
      <c r="P119" s="12">
        <f>ROUND(O119*0.0005, 2)</f>
        <v/>
      </c>
      <c r="Q119" s="12">
        <f>N119-M119</f>
        <v/>
      </c>
      <c r="R119" s="12">
        <f>Q119-P119</f>
        <v/>
      </c>
      <c r="S119" s="13">
        <f>ROUND((R119/M119)*100, 2)</f>
        <v/>
      </c>
      <c r="T119" s="12">
        <f>ROUND(0.20*M119, 2)</f>
        <v/>
      </c>
      <c r="U119" s="13">
        <f>ROUND((R119/T119)*100, 2)</f>
        <v/>
      </c>
      <c r="V119" s="12">
        <f>V118+R119</f>
        <v/>
      </c>
      <c r="W119" s="12">
        <f>MAX(W118, V119)</f>
        <v/>
      </c>
      <c r="X119" s="12">
        <f>V119-W119</f>
        <v/>
      </c>
    </row>
    <row r="120">
      <c r="A120" s="9" t="n">
        <v>117</v>
      </c>
      <c r="B120" s="10" t="inlineStr">
        <is>
          <t>LT</t>
        </is>
      </c>
      <c r="C120" s="9" t="inlineStr">
        <is>
          <t>Q2 2026-27</t>
        </is>
      </c>
      <c r="D120" s="9" t="inlineStr">
        <is>
          <t>FUTURE LONG</t>
        </is>
      </c>
      <c r="E120" s="9" t="inlineStr">
        <is>
          <t>T-8 to T+1</t>
        </is>
      </c>
      <c r="F120" s="9" t="inlineStr">
        <is>
          <t>60.0%</t>
        </is>
      </c>
      <c r="G120" s="9" t="inlineStr">
        <is>
          <t>2025-01-22</t>
        </is>
      </c>
      <c r="H120" s="9" t="inlineStr">
        <is>
          <t>2025-02-03</t>
        </is>
      </c>
      <c r="I120" s="9" t="inlineStr">
        <is>
          <t>2025-01-31</t>
        </is>
      </c>
      <c r="J120" s="5" t="n">
        <v>300</v>
      </c>
      <c r="K120" s="11" t="n">
        <v>3451.974609375</v>
      </c>
      <c r="L120" s="11" t="n">
        <v>3227.285400390625</v>
      </c>
      <c r="M120" s="12">
        <f>J120*K120</f>
        <v/>
      </c>
      <c r="N120" s="12">
        <f>J120*L120</f>
        <v/>
      </c>
      <c r="O120" s="12">
        <f>M120+N120</f>
        <v/>
      </c>
      <c r="P120" s="12">
        <f>ROUND(O120*0.0005, 2)</f>
        <v/>
      </c>
      <c r="Q120" s="12">
        <f>N120-M120</f>
        <v/>
      </c>
      <c r="R120" s="12">
        <f>Q120-P120</f>
        <v/>
      </c>
      <c r="S120" s="13">
        <f>ROUND((R120/M120)*100, 2)</f>
        <v/>
      </c>
      <c r="T120" s="12">
        <f>ROUND(0.20*M120, 2)</f>
        <v/>
      </c>
      <c r="U120" s="13">
        <f>ROUND((R120/T120)*100, 2)</f>
        <v/>
      </c>
      <c r="V120" s="12">
        <f>V119+R120</f>
        <v/>
      </c>
      <c r="W120" s="12">
        <f>MAX(W119, V120)</f>
        <v/>
      </c>
      <c r="X120" s="12">
        <f>V120-W120</f>
        <v/>
      </c>
    </row>
    <row r="121">
      <c r="A121" s="9" t="n">
        <v>118</v>
      </c>
      <c r="B121" s="10" t="inlineStr">
        <is>
          <t>LTF</t>
        </is>
      </c>
      <c r="C121" s="9" t="inlineStr">
        <is>
          <t>Q2 2026-27</t>
        </is>
      </c>
      <c r="D121" s="9" t="inlineStr">
        <is>
          <t>FUTURE LONG</t>
        </is>
      </c>
      <c r="E121" s="9" t="inlineStr">
        <is>
          <t>T-8 to T+1</t>
        </is>
      </c>
      <c r="F121" s="9" t="inlineStr">
        <is>
          <t>70.0%</t>
        </is>
      </c>
      <c r="G121" s="9" t="inlineStr">
        <is>
          <t>2025-01-08</t>
        </is>
      </c>
      <c r="H121" s="9" t="inlineStr">
        <is>
          <t>2025-01-21</t>
        </is>
      </c>
      <c r="I121" s="9" t="inlineStr">
        <is>
          <t>2025-01-20</t>
        </is>
      </c>
      <c r="J121" s="5" t="n">
        <v>7158</v>
      </c>
      <c r="K121" s="11" t="n">
        <v>139.6990814208984</v>
      </c>
      <c r="L121" s="11" t="n">
        <v>142.3001861572266</v>
      </c>
      <c r="M121" s="12">
        <f>J121*K121</f>
        <v/>
      </c>
      <c r="N121" s="12">
        <f>J121*L121</f>
        <v/>
      </c>
      <c r="O121" s="12">
        <f>M121+N121</f>
        <v/>
      </c>
      <c r="P121" s="12">
        <f>ROUND(O121*0.0005, 2)</f>
        <v/>
      </c>
      <c r="Q121" s="12">
        <f>N121-M121</f>
        <v/>
      </c>
      <c r="R121" s="12">
        <f>Q121-P121</f>
        <v/>
      </c>
      <c r="S121" s="13">
        <f>ROUND((R121/M121)*100, 2)</f>
        <v/>
      </c>
      <c r="T121" s="12">
        <f>ROUND(0.20*M121, 2)</f>
        <v/>
      </c>
      <c r="U121" s="13">
        <f>ROUND((R121/T121)*100, 2)</f>
        <v/>
      </c>
      <c r="V121" s="12">
        <f>V120+R121</f>
        <v/>
      </c>
      <c r="W121" s="12">
        <f>MAX(W120, V121)</f>
        <v/>
      </c>
      <c r="X121" s="12">
        <f>V121-W121</f>
        <v/>
      </c>
    </row>
    <row r="122">
      <c r="A122" s="9" t="n">
        <v>119</v>
      </c>
      <c r="B122" s="10" t="inlineStr">
        <is>
          <t>LTM</t>
        </is>
      </c>
      <c r="C122" s="9" t="inlineStr">
        <is>
          <t>Q2 2026-27</t>
        </is>
      </c>
      <c r="D122" s="9" t="inlineStr">
        <is>
          <t>FUTURE LONG</t>
        </is>
      </c>
      <c r="E122" s="9" t="inlineStr">
        <is>
          <t>T-8 to T+1</t>
        </is>
      </c>
      <c r="F122" s="9" t="inlineStr">
        <is>
          <t>75.0%</t>
        </is>
      </c>
      <c r="G122" s="9" t="inlineStr">
        <is>
          <t>2025-01-06</t>
        </is>
      </c>
      <c r="H122" s="9" t="inlineStr">
        <is>
          <t>2025-01-17</t>
        </is>
      </c>
      <c r="I122" s="9" t="inlineStr">
        <is>
          <t>2025-01-16</t>
        </is>
      </c>
      <c r="J122" s="5" t="n">
        <v>179</v>
      </c>
      <c r="K122" s="11" t="n">
        <v>5582.93994140625</v>
      </c>
      <c r="L122" s="11" t="n">
        <v>5737.7734375</v>
      </c>
      <c r="M122" s="12">
        <f>J122*K122</f>
        <v/>
      </c>
      <c r="N122" s="12">
        <f>J122*L122</f>
        <v/>
      </c>
      <c r="O122" s="12">
        <f>M122+N122</f>
        <v/>
      </c>
      <c r="P122" s="12">
        <f>ROUND(O122*0.0005, 2)</f>
        <v/>
      </c>
      <c r="Q122" s="12">
        <f>N122-M122</f>
        <v/>
      </c>
      <c r="R122" s="12">
        <f>Q122-P122</f>
        <v/>
      </c>
      <c r="S122" s="13">
        <f>ROUND((R122/M122)*100, 2)</f>
        <v/>
      </c>
      <c r="T122" s="12">
        <f>ROUND(0.20*M122, 2)</f>
        <v/>
      </c>
      <c r="U122" s="13">
        <f>ROUND((R122/T122)*100, 2)</f>
        <v/>
      </c>
      <c r="V122" s="12">
        <f>V121+R122</f>
        <v/>
      </c>
      <c r="W122" s="12">
        <f>MAX(W121, V122)</f>
        <v/>
      </c>
      <c r="X122" s="12">
        <f>V122-W122</f>
        <v/>
      </c>
    </row>
    <row r="123">
      <c r="A123" s="9" t="n">
        <v>120</v>
      </c>
      <c r="B123" s="10" t="inlineStr">
        <is>
          <t>LUPIN</t>
        </is>
      </c>
      <c r="C123" s="9" t="inlineStr">
        <is>
          <t>Q2 2026-27</t>
        </is>
      </c>
      <c r="D123" s="9" t="inlineStr">
        <is>
          <t>FUTURE LONG</t>
        </is>
      </c>
      <c r="E123" s="9" t="inlineStr">
        <is>
          <t>T-8 to T+1</t>
        </is>
      </c>
      <c r="F123" s="9" t="inlineStr">
        <is>
          <t>70.0%</t>
        </is>
      </c>
      <c r="G123" s="9" t="inlineStr">
        <is>
          <t>2025-02-01</t>
        </is>
      </c>
      <c r="H123" s="9" t="inlineStr">
        <is>
          <t>2025-02-13</t>
        </is>
      </c>
      <c r="I123" s="9" t="inlineStr">
        <is>
          <t>2025-02-12</t>
        </is>
      </c>
      <c r="J123" s="5" t="n">
        <v>492</v>
      </c>
      <c r="K123" s="11" t="n">
        <v>2028.829467773437</v>
      </c>
      <c r="L123" s="11" t="n">
        <v>2027.8427734375</v>
      </c>
      <c r="M123" s="12">
        <f>J123*K123</f>
        <v/>
      </c>
      <c r="N123" s="12">
        <f>J123*L123</f>
        <v/>
      </c>
      <c r="O123" s="12">
        <f>M123+N123</f>
        <v/>
      </c>
      <c r="P123" s="12">
        <f>ROUND(O123*0.0005, 2)</f>
        <v/>
      </c>
      <c r="Q123" s="12">
        <f>N123-M123</f>
        <v/>
      </c>
      <c r="R123" s="12">
        <f>Q123-P123</f>
        <v/>
      </c>
      <c r="S123" s="13">
        <f>ROUND((R123/M123)*100, 2)</f>
        <v/>
      </c>
      <c r="T123" s="12">
        <f>ROUND(0.20*M123, 2)</f>
        <v/>
      </c>
      <c r="U123" s="13">
        <f>ROUND((R123/T123)*100, 2)</f>
        <v/>
      </c>
      <c r="V123" s="12">
        <f>V122+R123</f>
        <v/>
      </c>
      <c r="W123" s="12">
        <f>MAX(W122, V123)</f>
        <v/>
      </c>
      <c r="X123" s="12">
        <f>V123-W123</f>
        <v/>
      </c>
    </row>
    <row r="124">
      <c r="A124" s="9" t="n">
        <v>121</v>
      </c>
      <c r="B124" s="10" t="inlineStr">
        <is>
          <t>M&amp;M</t>
        </is>
      </c>
      <c r="C124" s="9" t="inlineStr">
        <is>
          <t>Q2 2026-27</t>
        </is>
      </c>
      <c r="D124" s="9" t="inlineStr">
        <is>
          <t>FUTURE LONG</t>
        </is>
      </c>
      <c r="E124" s="9" t="inlineStr">
        <is>
          <t>T-8 to T+1</t>
        </is>
      </c>
      <c r="F124" s="9" t="inlineStr">
        <is>
          <t>75.0%</t>
        </is>
      </c>
      <c r="G124" s="9" t="inlineStr">
        <is>
          <t>2025-01-29</t>
        </is>
      </c>
      <c r="H124" s="9" t="inlineStr">
        <is>
          <t>2025-02-10</t>
        </is>
      </c>
      <c r="I124" s="9" t="inlineStr">
        <is>
          <t>2025-02-07</t>
        </is>
      </c>
      <c r="J124" s="5" t="n">
        <v>350</v>
      </c>
      <c r="K124" s="11" t="n">
        <v>2870.894287109375</v>
      </c>
      <c r="L124" s="11" t="n">
        <v>3079.902587890625</v>
      </c>
      <c r="M124" s="12">
        <f>J124*K124</f>
        <v/>
      </c>
      <c r="N124" s="12">
        <f>J124*L124</f>
        <v/>
      </c>
      <c r="O124" s="12">
        <f>M124+N124</f>
        <v/>
      </c>
      <c r="P124" s="12">
        <f>ROUND(O124*0.0005, 2)</f>
        <v/>
      </c>
      <c r="Q124" s="12">
        <f>N124-M124</f>
        <v/>
      </c>
      <c r="R124" s="12">
        <f>Q124-P124</f>
        <v/>
      </c>
      <c r="S124" s="13">
        <f>ROUND((R124/M124)*100, 2)</f>
        <v/>
      </c>
      <c r="T124" s="12">
        <f>ROUND(0.20*M124, 2)</f>
        <v/>
      </c>
      <c r="U124" s="13">
        <f>ROUND((R124/T124)*100, 2)</f>
        <v/>
      </c>
      <c r="V124" s="12">
        <f>V123+R124</f>
        <v/>
      </c>
      <c r="W124" s="12">
        <f>MAX(W123, V124)</f>
        <v/>
      </c>
      <c r="X124" s="12">
        <f>V124-W124</f>
        <v/>
      </c>
    </row>
    <row r="125">
      <c r="A125" s="9" t="n">
        <v>122</v>
      </c>
      <c r="B125" s="10" t="inlineStr">
        <is>
          <t>MAHABANK</t>
        </is>
      </c>
      <c r="C125" s="9" t="inlineStr">
        <is>
          <t>Q2 2026-27</t>
        </is>
      </c>
      <c r="D125" s="9" t="inlineStr">
        <is>
          <t>FUTURE LONG</t>
        </is>
      </c>
      <c r="E125" s="9" t="inlineStr">
        <is>
          <t>T-8 to T+1</t>
        </is>
      </c>
      <c r="F125" s="9" t="inlineStr">
        <is>
          <t>80.0%</t>
        </is>
      </c>
      <c r="G125" s="9" t="inlineStr">
        <is>
          <t>2025-01-03</t>
        </is>
      </c>
      <c r="H125" s="9" t="inlineStr">
        <is>
          <t>2025-01-16</t>
        </is>
      </c>
      <c r="I125" s="9" t="inlineStr">
        <is>
          <t>2025-01-15</t>
        </is>
      </c>
      <c r="J125" s="5" t="n">
        <v>19269</v>
      </c>
      <c r="K125" s="11" t="n">
        <v>51.89650344848633</v>
      </c>
      <c r="L125" s="11" t="n">
        <v>48.93125915527344</v>
      </c>
      <c r="M125" s="12">
        <f>J125*K125</f>
        <v/>
      </c>
      <c r="N125" s="12">
        <f>J125*L125</f>
        <v/>
      </c>
      <c r="O125" s="12">
        <f>M125+N125</f>
        <v/>
      </c>
      <c r="P125" s="12">
        <f>ROUND(O125*0.0005, 2)</f>
        <v/>
      </c>
      <c r="Q125" s="12">
        <f>N125-M125</f>
        <v/>
      </c>
      <c r="R125" s="12">
        <f>Q125-P125</f>
        <v/>
      </c>
      <c r="S125" s="13">
        <f>ROUND((R125/M125)*100, 2)</f>
        <v/>
      </c>
      <c r="T125" s="12">
        <f>ROUND(0.20*M125, 2)</f>
        <v/>
      </c>
      <c r="U125" s="13">
        <f>ROUND((R125/T125)*100, 2)</f>
        <v/>
      </c>
      <c r="V125" s="12">
        <f>V124+R125</f>
        <v/>
      </c>
      <c r="W125" s="12">
        <f>MAX(W124, V125)</f>
        <v/>
      </c>
      <c r="X125" s="12">
        <f>V125-W125</f>
        <v/>
      </c>
    </row>
    <row r="126">
      <c r="A126" s="9" t="n">
        <v>123</v>
      </c>
      <c r="B126" s="10" t="inlineStr">
        <is>
          <t>MANAPPURAM</t>
        </is>
      </c>
      <c r="C126" s="9" t="inlineStr">
        <is>
          <t>Q2 2026-27</t>
        </is>
      </c>
      <c r="D126" s="9" t="inlineStr">
        <is>
          <t>FUTURE LONG</t>
        </is>
      </c>
      <c r="E126" s="9" t="inlineStr">
        <is>
          <t>T-8 to T+1</t>
        </is>
      </c>
      <c r="F126" s="9" t="inlineStr">
        <is>
          <t>80.0%</t>
        </is>
      </c>
      <c r="G126" s="9" t="inlineStr">
        <is>
          <t>2025-02-04</t>
        </is>
      </c>
      <c r="H126" s="9" t="inlineStr">
        <is>
          <t>2025-02-17</t>
        </is>
      </c>
      <c r="I126" s="9" t="inlineStr">
        <is>
          <t>2025-02-14</t>
        </is>
      </c>
      <c r="J126" s="5" t="n">
        <v>4934</v>
      </c>
      <c r="K126" s="11" t="n">
        <v>202.6637573242188</v>
      </c>
      <c r="L126" s="11" t="n">
        <v>190.5851745605469</v>
      </c>
      <c r="M126" s="12">
        <f>J126*K126</f>
        <v/>
      </c>
      <c r="N126" s="12">
        <f>J126*L126</f>
        <v/>
      </c>
      <c r="O126" s="12">
        <f>M126+N126</f>
        <v/>
      </c>
      <c r="P126" s="12">
        <f>ROUND(O126*0.0005, 2)</f>
        <v/>
      </c>
      <c r="Q126" s="12">
        <f>N126-M126</f>
        <v/>
      </c>
      <c r="R126" s="12">
        <f>Q126-P126</f>
        <v/>
      </c>
      <c r="S126" s="13">
        <f>ROUND((R126/M126)*100, 2)</f>
        <v/>
      </c>
      <c r="T126" s="12">
        <f>ROUND(0.20*M126, 2)</f>
        <v/>
      </c>
      <c r="U126" s="13">
        <f>ROUND((R126/T126)*100, 2)</f>
        <v/>
      </c>
      <c r="V126" s="12">
        <f>V125+R126</f>
        <v/>
      </c>
      <c r="W126" s="12">
        <f>MAX(W125, V126)</f>
        <v/>
      </c>
      <c r="X126" s="12">
        <f>V126-W126</f>
        <v/>
      </c>
    </row>
    <row r="127">
      <c r="A127" s="9" t="n">
        <v>124</v>
      </c>
      <c r="B127" s="10" t="inlineStr">
        <is>
          <t>MANKIND</t>
        </is>
      </c>
      <c r="C127" s="9" t="inlineStr">
        <is>
          <t>Q2 2026-27</t>
        </is>
      </c>
      <c r="D127" s="9" t="inlineStr">
        <is>
          <t>FUTURE LONG</t>
        </is>
      </c>
      <c r="E127" s="9" t="inlineStr">
        <is>
          <t>T-8 to T+1</t>
        </is>
      </c>
      <c r="F127" s="9" t="inlineStr">
        <is>
          <t>60.0%</t>
        </is>
      </c>
      <c r="G127" s="9" t="inlineStr">
        <is>
          <t>2025-01-14</t>
        </is>
      </c>
      <c r="H127" s="9" t="inlineStr">
        <is>
          <t>2025-01-27</t>
        </is>
      </c>
      <c r="I127" s="9" t="inlineStr">
        <is>
          <t>2025-01-24</t>
        </is>
      </c>
      <c r="J127" s="5" t="n">
        <v>375</v>
      </c>
      <c r="K127" s="11" t="n">
        <v>2664.799560546875</v>
      </c>
      <c r="L127" s="11" t="n">
        <v>2452.98291015625</v>
      </c>
      <c r="M127" s="12">
        <f>J127*K127</f>
        <v/>
      </c>
      <c r="N127" s="12">
        <f>J127*L127</f>
        <v/>
      </c>
      <c r="O127" s="12">
        <f>M127+N127</f>
        <v/>
      </c>
      <c r="P127" s="12">
        <f>ROUND(O127*0.0005, 2)</f>
        <v/>
      </c>
      <c r="Q127" s="12">
        <f>N127-M127</f>
        <v/>
      </c>
      <c r="R127" s="12">
        <f>Q127-P127</f>
        <v/>
      </c>
      <c r="S127" s="13">
        <f>ROUND((R127/M127)*100, 2)</f>
        <v/>
      </c>
      <c r="T127" s="12">
        <f>ROUND(0.20*M127, 2)</f>
        <v/>
      </c>
      <c r="U127" s="13">
        <f>ROUND((R127/T127)*100, 2)</f>
        <v/>
      </c>
      <c r="V127" s="12">
        <f>V126+R127</f>
        <v/>
      </c>
      <c r="W127" s="12">
        <f>MAX(W126, V127)</f>
        <v/>
      </c>
      <c r="X127" s="12">
        <f>V127-W127</f>
        <v/>
      </c>
    </row>
    <row r="128">
      <c r="A128" s="9" t="n">
        <v>125</v>
      </c>
      <c r="B128" s="10" t="inlineStr">
        <is>
          <t>MARICO</t>
        </is>
      </c>
      <c r="C128" s="9" t="inlineStr">
        <is>
          <t>Q2 2026-27</t>
        </is>
      </c>
      <c r="D128" s="9" t="inlineStr">
        <is>
          <t>FUTURE LONG</t>
        </is>
      </c>
      <c r="E128" s="9" t="inlineStr">
        <is>
          <t>T-8 to T+1</t>
        </is>
      </c>
      <c r="F128" s="9" t="inlineStr">
        <is>
          <t>70.0%</t>
        </is>
      </c>
      <c r="G128" s="9" t="inlineStr">
        <is>
          <t>2025-01-21</t>
        </is>
      </c>
      <c r="H128" s="9" t="inlineStr">
        <is>
          <t>2025-02-01</t>
        </is>
      </c>
      <c r="I128" s="9" t="inlineStr">
        <is>
          <t>2025-01-31</t>
        </is>
      </c>
      <c r="J128" s="5" t="n">
        <v>1530</v>
      </c>
      <c r="K128" s="11" t="n">
        <v>653.3493041992188</v>
      </c>
      <c r="L128" s="11" t="n">
        <v>680.6048583984375</v>
      </c>
      <c r="M128" s="12">
        <f>J128*K128</f>
        <v/>
      </c>
      <c r="N128" s="12">
        <f>J128*L128</f>
        <v/>
      </c>
      <c r="O128" s="12">
        <f>M128+N128</f>
        <v/>
      </c>
      <c r="P128" s="12">
        <f>ROUND(O128*0.0005, 2)</f>
        <v/>
      </c>
      <c r="Q128" s="12">
        <f>N128-M128</f>
        <v/>
      </c>
      <c r="R128" s="12">
        <f>Q128-P128</f>
        <v/>
      </c>
      <c r="S128" s="13">
        <f>ROUND((R128/M128)*100, 2)</f>
        <v/>
      </c>
      <c r="T128" s="12">
        <f>ROUND(0.20*M128, 2)</f>
        <v/>
      </c>
      <c r="U128" s="13">
        <f>ROUND((R128/T128)*100, 2)</f>
        <v/>
      </c>
      <c r="V128" s="12">
        <f>V127+R128</f>
        <v/>
      </c>
      <c r="W128" s="12">
        <f>MAX(W127, V128)</f>
        <v/>
      </c>
      <c r="X128" s="12">
        <f>V128-W128</f>
        <v/>
      </c>
    </row>
    <row r="129">
      <c r="A129" s="9" t="n">
        <v>126</v>
      </c>
      <c r="B129" s="10" t="inlineStr">
        <is>
          <t>MARUTI</t>
        </is>
      </c>
      <c r="C129" s="9" t="inlineStr">
        <is>
          <t>Q2 2026-27</t>
        </is>
      </c>
      <c r="D129" s="9" t="inlineStr">
        <is>
          <t>FUTURE LONG</t>
        </is>
      </c>
      <c r="E129" s="9" t="inlineStr">
        <is>
          <t>T-8 to T+1</t>
        </is>
      </c>
      <c r="F129" s="9" t="inlineStr">
        <is>
          <t>65.0%</t>
        </is>
      </c>
      <c r="G129" s="9" t="inlineStr">
        <is>
          <t>2025-01-20</t>
        </is>
      </c>
      <c r="H129" s="9" t="inlineStr">
        <is>
          <t>2025-01-31</t>
        </is>
      </c>
      <c r="I129" s="9" t="inlineStr">
        <is>
          <t>2025-01-29</t>
        </is>
      </c>
      <c r="J129" s="5" t="n">
        <v>100</v>
      </c>
      <c r="K129" s="11" t="n">
        <v>11891.3447265625</v>
      </c>
      <c r="L129" s="11" t="n">
        <v>12178.833984375</v>
      </c>
      <c r="M129" s="12">
        <f>J129*K129</f>
        <v/>
      </c>
      <c r="N129" s="12">
        <f>J129*L129</f>
        <v/>
      </c>
      <c r="O129" s="12">
        <f>M129+N129</f>
        <v/>
      </c>
      <c r="P129" s="12">
        <f>ROUND(O129*0.0005, 2)</f>
        <v/>
      </c>
      <c r="Q129" s="12">
        <f>N129-M129</f>
        <v/>
      </c>
      <c r="R129" s="12">
        <f>Q129-P129</f>
        <v/>
      </c>
      <c r="S129" s="13">
        <f>ROUND((R129/M129)*100, 2)</f>
        <v/>
      </c>
      <c r="T129" s="12">
        <f>ROUND(0.20*M129, 2)</f>
        <v/>
      </c>
      <c r="U129" s="13">
        <f>ROUND((R129/T129)*100, 2)</f>
        <v/>
      </c>
      <c r="V129" s="12">
        <f>V128+R129</f>
        <v/>
      </c>
      <c r="W129" s="12">
        <f>MAX(W128, V129)</f>
        <v/>
      </c>
      <c r="X129" s="12">
        <f>V129-W129</f>
        <v/>
      </c>
    </row>
    <row r="130">
      <c r="A130" s="9" t="n">
        <v>127</v>
      </c>
      <c r="B130" s="10" t="inlineStr">
        <is>
          <t>MAXHEALTH</t>
        </is>
      </c>
      <c r="C130" s="9" t="inlineStr">
        <is>
          <t>Q2 2026-27</t>
        </is>
      </c>
      <c r="D130" s="9" t="inlineStr">
        <is>
          <t>FUTURE LONG</t>
        </is>
      </c>
      <c r="E130" s="9" t="inlineStr">
        <is>
          <t>T-8 to T+1</t>
        </is>
      </c>
      <c r="F130" s="9" t="inlineStr">
        <is>
          <t>80.0%</t>
        </is>
      </c>
      <c r="G130" s="9" t="inlineStr">
        <is>
          <t>2025-01-20</t>
        </is>
      </c>
      <c r="H130" s="9" t="inlineStr">
        <is>
          <t>2025-01-31</t>
        </is>
      </c>
      <c r="I130" s="9" t="inlineStr">
        <is>
          <t>2025-01-30</t>
        </is>
      </c>
      <c r="J130" s="5" t="n">
        <v>941</v>
      </c>
      <c r="K130" s="11" t="n">
        <v>1061.78564453125</v>
      </c>
      <c r="L130" s="11" t="n">
        <v>1058.146240234375</v>
      </c>
      <c r="M130" s="12">
        <f>J130*K130</f>
        <v/>
      </c>
      <c r="N130" s="12">
        <f>J130*L130</f>
        <v/>
      </c>
      <c r="O130" s="12">
        <f>M130+N130</f>
        <v/>
      </c>
      <c r="P130" s="12">
        <f>ROUND(O130*0.0005, 2)</f>
        <v/>
      </c>
      <c r="Q130" s="12">
        <f>N130-M130</f>
        <v/>
      </c>
      <c r="R130" s="12">
        <f>Q130-P130</f>
        <v/>
      </c>
      <c r="S130" s="13">
        <f>ROUND((R130/M130)*100, 2)</f>
        <v/>
      </c>
      <c r="T130" s="12">
        <f>ROUND(0.20*M130, 2)</f>
        <v/>
      </c>
      <c r="U130" s="13">
        <f>ROUND((R130/T130)*100, 2)</f>
        <v/>
      </c>
      <c r="V130" s="12">
        <f>V129+R130</f>
        <v/>
      </c>
      <c r="W130" s="12">
        <f>MAX(W129, V130)</f>
        <v/>
      </c>
      <c r="X130" s="12">
        <f>V130-W130</f>
        <v/>
      </c>
    </row>
    <row r="131">
      <c r="A131" s="9" t="n">
        <v>128</v>
      </c>
      <c r="B131" s="10" t="inlineStr">
        <is>
          <t>MAZDOCK</t>
        </is>
      </c>
      <c r="C131" s="9" t="inlineStr">
        <is>
          <t>Q2 2026-27</t>
        </is>
      </c>
      <c r="D131" s="9" t="inlineStr">
        <is>
          <t>FUTURE LONG</t>
        </is>
      </c>
      <c r="E131" s="9" t="inlineStr">
        <is>
          <t>T-8 to T+1</t>
        </is>
      </c>
      <c r="F131" s="9" t="inlineStr">
        <is>
          <t>65.0%</t>
        </is>
      </c>
      <c r="G131" s="9" t="inlineStr">
        <is>
          <t>2025-01-29</t>
        </is>
      </c>
      <c r="H131" s="9" t="inlineStr">
        <is>
          <t>2025-02-10</t>
        </is>
      </c>
      <c r="I131" s="9" t="inlineStr">
        <is>
          <t>2025-02-07</t>
        </is>
      </c>
      <c r="J131" s="5" t="n">
        <v>427</v>
      </c>
      <c r="K131" s="11" t="n">
        <v>2337.845458984375</v>
      </c>
      <c r="L131" s="11" t="n">
        <v>2185.06982421875</v>
      </c>
      <c r="M131" s="12">
        <f>J131*K131</f>
        <v/>
      </c>
      <c r="N131" s="12">
        <f>J131*L131</f>
        <v/>
      </c>
      <c r="O131" s="12">
        <f>M131+N131</f>
        <v/>
      </c>
      <c r="P131" s="12">
        <f>ROUND(O131*0.0005, 2)</f>
        <v/>
      </c>
      <c r="Q131" s="12">
        <f>N131-M131</f>
        <v/>
      </c>
      <c r="R131" s="12">
        <f>Q131-P131</f>
        <v/>
      </c>
      <c r="S131" s="13">
        <f>ROUND((R131/M131)*100, 2)</f>
        <v/>
      </c>
      <c r="T131" s="12">
        <f>ROUND(0.20*M131, 2)</f>
        <v/>
      </c>
      <c r="U131" s="13">
        <f>ROUND((R131/T131)*100, 2)</f>
        <v/>
      </c>
      <c r="V131" s="12">
        <f>V130+R131</f>
        <v/>
      </c>
      <c r="W131" s="12">
        <f>MAX(W130, V131)</f>
        <v/>
      </c>
      <c r="X131" s="12">
        <f>V131-W131</f>
        <v/>
      </c>
    </row>
    <row r="132">
      <c r="A132" s="9" t="n">
        <v>129</v>
      </c>
      <c r="B132" s="10" t="inlineStr">
        <is>
          <t>MCX</t>
        </is>
      </c>
      <c r="C132" s="9" t="inlineStr">
        <is>
          <t>Q2 2026-27</t>
        </is>
      </c>
      <c r="D132" s="9" t="inlineStr">
        <is>
          <t>FUTURE LONG</t>
        </is>
      </c>
      <c r="E132" s="9" t="inlineStr">
        <is>
          <t>T-8 to T+1</t>
        </is>
      </c>
      <c r="F132" s="9" t="inlineStr">
        <is>
          <t>70.0%</t>
        </is>
      </c>
      <c r="G132" s="9" t="inlineStr">
        <is>
          <t>2016-06-21</t>
        </is>
      </c>
      <c r="H132" s="9" t="inlineStr">
        <is>
          <t>2016-07-04</t>
        </is>
      </c>
      <c r="I132" s="9" t="inlineStr">
        <is>
          <t>2016-06-30</t>
        </is>
      </c>
      <c r="J132" s="5" t="n">
        <v>5767</v>
      </c>
      <c r="K132" s="11" t="n">
        <v>173.3859100341797</v>
      </c>
      <c r="L132" s="11" t="n">
        <v>180.1510314941407</v>
      </c>
      <c r="M132" s="12">
        <f>J132*K132</f>
        <v/>
      </c>
      <c r="N132" s="12">
        <f>J132*L132</f>
        <v/>
      </c>
      <c r="O132" s="12">
        <f>M132+N132</f>
        <v/>
      </c>
      <c r="P132" s="12">
        <f>ROUND(O132*0.0005, 2)</f>
        <v/>
      </c>
      <c r="Q132" s="12">
        <f>N132-M132</f>
        <v/>
      </c>
      <c r="R132" s="12">
        <f>Q132-P132</f>
        <v/>
      </c>
      <c r="S132" s="13">
        <f>ROUND((R132/M132)*100, 2)</f>
        <v/>
      </c>
      <c r="T132" s="12">
        <f>ROUND(0.20*M132, 2)</f>
        <v/>
      </c>
      <c r="U132" s="13">
        <f>ROUND((R132/T132)*100, 2)</f>
        <v/>
      </c>
      <c r="V132" s="12">
        <f>V131+R132</f>
        <v/>
      </c>
      <c r="W132" s="12">
        <f>MAX(W131, V132)</f>
        <v/>
      </c>
      <c r="X132" s="12">
        <f>V132-W132</f>
        <v/>
      </c>
    </row>
    <row r="133">
      <c r="A133" s="9" t="n">
        <v>130</v>
      </c>
      <c r="B133" s="10" t="inlineStr">
        <is>
          <t>MFSL</t>
        </is>
      </c>
      <c r="C133" s="9" t="inlineStr">
        <is>
          <t>Q2 2026-27</t>
        </is>
      </c>
      <c r="D133" s="9" t="inlineStr">
        <is>
          <t>FUTURE LONG</t>
        </is>
      </c>
      <c r="E133" s="9" t="inlineStr">
        <is>
          <t>T-8 to T+1</t>
        </is>
      </c>
      <c r="F133" s="9" t="inlineStr">
        <is>
          <t>70.0%</t>
        </is>
      </c>
      <c r="G133" s="9" t="inlineStr">
        <is>
          <t>2025-01-24</t>
        </is>
      </c>
      <c r="H133" s="9" t="inlineStr">
        <is>
          <t>2025-02-05</t>
        </is>
      </c>
      <c r="I133" s="9" t="inlineStr">
        <is>
          <t>2025-02-04</t>
        </is>
      </c>
      <c r="J133" s="5" t="n">
        <v>961</v>
      </c>
      <c r="K133" s="11" t="n">
        <v>1040.300048828125</v>
      </c>
      <c r="L133" s="11" t="n">
        <v>1118.5</v>
      </c>
      <c r="M133" s="12">
        <f>J133*K133</f>
        <v/>
      </c>
      <c r="N133" s="12">
        <f>J133*L133</f>
        <v/>
      </c>
      <c r="O133" s="12">
        <f>M133+N133</f>
        <v/>
      </c>
      <c r="P133" s="12">
        <f>ROUND(O133*0.0005, 2)</f>
        <v/>
      </c>
      <c r="Q133" s="12">
        <f>N133-M133</f>
        <v/>
      </c>
      <c r="R133" s="12">
        <f>Q133-P133</f>
        <v/>
      </c>
      <c r="S133" s="13">
        <f>ROUND((R133/M133)*100, 2)</f>
        <v/>
      </c>
      <c r="T133" s="12">
        <f>ROUND(0.20*M133, 2)</f>
        <v/>
      </c>
      <c r="U133" s="13">
        <f>ROUND((R133/T133)*100, 2)</f>
        <v/>
      </c>
      <c r="V133" s="12">
        <f>V132+R133</f>
        <v/>
      </c>
      <c r="W133" s="12">
        <f>MAX(W132, V133)</f>
        <v/>
      </c>
      <c r="X133" s="12">
        <f>V133-W133</f>
        <v/>
      </c>
    </row>
    <row r="134">
      <c r="A134" s="9" t="n">
        <v>131</v>
      </c>
      <c r="B134" s="10" t="inlineStr">
        <is>
          <t>MOTHERSON</t>
        </is>
      </c>
      <c r="C134" s="9" t="inlineStr">
        <is>
          <t>Q2 2026-27</t>
        </is>
      </c>
      <c r="D134" s="9" t="inlineStr">
        <is>
          <t>FUTURE LONG</t>
        </is>
      </c>
      <c r="E134" s="9" t="inlineStr">
        <is>
          <t>T-8 to T+1</t>
        </is>
      </c>
      <c r="F134" s="9" t="inlineStr">
        <is>
          <t>60.0%</t>
        </is>
      </c>
      <c r="G134" s="9" t="inlineStr">
        <is>
          <t>2025-02-04</t>
        </is>
      </c>
      <c r="H134" s="9" t="inlineStr">
        <is>
          <t>2025-02-17</t>
        </is>
      </c>
      <c r="I134" s="9" t="inlineStr">
        <is>
          <t>2025-02-14</t>
        </is>
      </c>
      <c r="J134" s="5" t="n">
        <v>10995</v>
      </c>
      <c r="K134" s="11" t="n">
        <v>90.94387817382812</v>
      </c>
      <c r="L134" s="11" t="n">
        <v>82.28602600097656</v>
      </c>
      <c r="M134" s="12">
        <f>J134*K134</f>
        <v/>
      </c>
      <c r="N134" s="12">
        <f>J134*L134</f>
        <v/>
      </c>
      <c r="O134" s="12">
        <f>M134+N134</f>
        <v/>
      </c>
      <c r="P134" s="12">
        <f>ROUND(O134*0.0005, 2)</f>
        <v/>
      </c>
      <c r="Q134" s="12">
        <f>N134-M134</f>
        <v/>
      </c>
      <c r="R134" s="12">
        <f>Q134-P134</f>
        <v/>
      </c>
      <c r="S134" s="13">
        <f>ROUND((R134/M134)*100, 2)</f>
        <v/>
      </c>
      <c r="T134" s="12">
        <f>ROUND(0.20*M134, 2)</f>
        <v/>
      </c>
      <c r="U134" s="13">
        <f>ROUND((R134/T134)*100, 2)</f>
        <v/>
      </c>
      <c r="V134" s="12">
        <f>V133+R134</f>
        <v/>
      </c>
      <c r="W134" s="12">
        <f>MAX(W133, V134)</f>
        <v/>
      </c>
      <c r="X134" s="12">
        <f>V134-W134</f>
        <v/>
      </c>
    </row>
    <row r="135">
      <c r="A135" s="9" t="n">
        <v>132</v>
      </c>
      <c r="B135" s="10" t="inlineStr">
        <is>
          <t>MOTILALOFS</t>
        </is>
      </c>
      <c r="C135" s="9" t="inlineStr">
        <is>
          <t>Q2 2026-27</t>
        </is>
      </c>
      <c r="D135" s="9" t="inlineStr">
        <is>
          <t>FUTURE LONG</t>
        </is>
      </c>
      <c r="E135" s="9" t="inlineStr">
        <is>
          <t>T-8 to T+1</t>
        </is>
      </c>
      <c r="F135" s="9" t="inlineStr">
        <is>
          <t>65.0%</t>
        </is>
      </c>
      <c r="G135" s="9" t="inlineStr">
        <is>
          <t>2025-01-17</t>
        </is>
      </c>
      <c r="H135" s="9" t="inlineStr">
        <is>
          <t>2025-01-30</t>
        </is>
      </c>
      <c r="I135" s="9" t="inlineStr">
        <is>
          <t>2025-01-29</t>
        </is>
      </c>
      <c r="J135" s="5" t="n">
        <v>1276</v>
      </c>
      <c r="K135" s="11" t="n">
        <v>783.266845703125</v>
      </c>
      <c r="L135" s="11" t="n">
        <v>635.6691284179688</v>
      </c>
      <c r="M135" s="12">
        <f>J135*K135</f>
        <v/>
      </c>
      <c r="N135" s="12">
        <f>J135*L135</f>
        <v/>
      </c>
      <c r="O135" s="12">
        <f>M135+N135</f>
        <v/>
      </c>
      <c r="P135" s="12">
        <f>ROUND(O135*0.0005, 2)</f>
        <v/>
      </c>
      <c r="Q135" s="12">
        <f>N135-M135</f>
        <v/>
      </c>
      <c r="R135" s="12">
        <f>Q135-P135</f>
        <v/>
      </c>
      <c r="S135" s="13">
        <f>ROUND((R135/M135)*100, 2)</f>
        <v/>
      </c>
      <c r="T135" s="12">
        <f>ROUND(0.20*M135, 2)</f>
        <v/>
      </c>
      <c r="U135" s="13">
        <f>ROUND((R135/T135)*100, 2)</f>
        <v/>
      </c>
      <c r="V135" s="12">
        <f>V134+R135</f>
        <v/>
      </c>
      <c r="W135" s="12">
        <f>MAX(W134, V135)</f>
        <v/>
      </c>
      <c r="X135" s="12">
        <f>V135-W135</f>
        <v/>
      </c>
    </row>
    <row r="136">
      <c r="A136" s="9" t="n">
        <v>133</v>
      </c>
      <c r="B136" s="10" t="inlineStr">
        <is>
          <t>MPHASIS</t>
        </is>
      </c>
      <c r="C136" s="9" t="inlineStr">
        <is>
          <t>Q2 2026-27</t>
        </is>
      </c>
      <c r="D136" s="9" t="inlineStr">
        <is>
          <t>FUTURE LONG</t>
        </is>
      </c>
      <c r="E136" s="9" t="inlineStr">
        <is>
          <t>T-8 to T+1</t>
        </is>
      </c>
      <c r="F136" s="9" t="inlineStr">
        <is>
          <t>80.0%</t>
        </is>
      </c>
      <c r="G136" s="9" t="inlineStr">
        <is>
          <t>2025-01-14</t>
        </is>
      </c>
      <c r="H136" s="9" t="inlineStr">
        <is>
          <t>2025-01-27</t>
        </is>
      </c>
      <c r="I136" s="9" t="inlineStr">
        <is>
          <t>2025-01-24</t>
        </is>
      </c>
      <c r="J136" s="5" t="n">
        <v>376</v>
      </c>
      <c r="K136" s="11" t="n">
        <v>2654.61474609375</v>
      </c>
      <c r="L136" s="11" t="n">
        <v>2804.377197265625</v>
      </c>
      <c r="M136" s="12">
        <f>J136*K136</f>
        <v/>
      </c>
      <c r="N136" s="12">
        <f>J136*L136</f>
        <v/>
      </c>
      <c r="O136" s="12">
        <f>M136+N136</f>
        <v/>
      </c>
      <c r="P136" s="12">
        <f>ROUND(O136*0.0005, 2)</f>
        <v/>
      </c>
      <c r="Q136" s="12">
        <f>N136-M136</f>
        <v/>
      </c>
      <c r="R136" s="12">
        <f>Q136-P136</f>
        <v/>
      </c>
      <c r="S136" s="13">
        <f>ROUND((R136/M136)*100, 2)</f>
        <v/>
      </c>
      <c r="T136" s="12">
        <f>ROUND(0.20*M136, 2)</f>
        <v/>
      </c>
      <c r="U136" s="13">
        <f>ROUND((R136/T136)*100, 2)</f>
        <v/>
      </c>
      <c r="V136" s="12">
        <f>V135+R136</f>
        <v/>
      </c>
      <c r="W136" s="12">
        <f>MAX(W135, V136)</f>
        <v/>
      </c>
      <c r="X136" s="12">
        <f>V136-W136</f>
        <v/>
      </c>
    </row>
    <row r="137">
      <c r="A137" s="9" t="n">
        <v>134</v>
      </c>
      <c r="B137" s="10" t="inlineStr">
        <is>
          <t>MUTHOOTFIN</t>
        </is>
      </c>
      <c r="C137" s="9" t="inlineStr">
        <is>
          <t>Q2 2026-27</t>
        </is>
      </c>
      <c r="D137" s="9" t="inlineStr">
        <is>
          <t>FUTURE LONG</t>
        </is>
      </c>
      <c r="E137" s="9" t="inlineStr">
        <is>
          <t>T-8 to T+1</t>
        </is>
      </c>
      <c r="F137" s="9" t="inlineStr">
        <is>
          <t>70.0%</t>
        </is>
      </c>
      <c r="G137" s="9" t="inlineStr">
        <is>
          <t>2026-07-20</t>
        </is>
      </c>
      <c r="H137" s="9" t="inlineStr">
        <is>
          <t>2026-07-30</t>
        </is>
      </c>
      <c r="I137" s="9" t="inlineStr">
        <is>
          <t>2026-08-03</t>
        </is>
      </c>
      <c r="J137" s="5" t="n">
        <v>335</v>
      </c>
      <c r="K137" s="11" t="n">
        <v>2982.800048828125</v>
      </c>
      <c r="L137" s="11" t="n">
        <v>3008.699951171875</v>
      </c>
      <c r="M137" s="12">
        <f>J137*K137</f>
        <v/>
      </c>
      <c r="N137" s="12">
        <f>J137*L137</f>
        <v/>
      </c>
      <c r="O137" s="12">
        <f>M137+N137</f>
        <v/>
      </c>
      <c r="P137" s="12">
        <f>ROUND(O137*0.0005, 2)</f>
        <v/>
      </c>
      <c r="Q137" s="12">
        <f>N137-M137</f>
        <v/>
      </c>
      <c r="R137" s="12">
        <f>Q137-P137</f>
        <v/>
      </c>
      <c r="S137" s="13">
        <f>ROUND((R137/M137)*100, 2)</f>
        <v/>
      </c>
      <c r="T137" s="12">
        <f>ROUND(0.20*M137, 2)</f>
        <v/>
      </c>
      <c r="U137" s="13">
        <f>ROUND((R137/T137)*100, 2)</f>
        <v/>
      </c>
      <c r="V137" s="12">
        <f>V136+R137</f>
        <v/>
      </c>
      <c r="W137" s="12">
        <f>MAX(W136, V137)</f>
        <v/>
      </c>
      <c r="X137" s="12">
        <f>V137-W137</f>
        <v/>
      </c>
    </row>
    <row r="138">
      <c r="A138" s="9" t="n">
        <v>135</v>
      </c>
      <c r="B138" s="10" t="inlineStr">
        <is>
          <t>NAM-INDIA</t>
        </is>
      </c>
      <c r="C138" s="9" t="inlineStr">
        <is>
          <t>Q2 2026-27</t>
        </is>
      </c>
      <c r="D138" s="9" t="inlineStr">
        <is>
          <t>FUTURE LONG</t>
        </is>
      </c>
      <c r="E138" s="9" t="inlineStr">
        <is>
          <t>T-8 to T+1</t>
        </is>
      </c>
      <c r="F138" s="9" t="inlineStr">
        <is>
          <t>60.0%</t>
        </is>
      </c>
      <c r="G138" s="9" t="inlineStr">
        <is>
          <t>2025-01-13</t>
        </is>
      </c>
      <c r="H138" s="9" t="inlineStr">
        <is>
          <t>2025-01-24</t>
        </is>
      </c>
      <c r="I138" s="9" t="inlineStr">
        <is>
          <t>2025-01-23</t>
        </is>
      </c>
      <c r="J138" s="5" t="n">
        <v>1626</v>
      </c>
      <c r="K138" s="11" t="n">
        <v>614.7643432617188</v>
      </c>
      <c r="L138" s="11" t="n">
        <v>600.4056396484375</v>
      </c>
      <c r="M138" s="12">
        <f>J138*K138</f>
        <v/>
      </c>
      <c r="N138" s="12">
        <f>J138*L138</f>
        <v/>
      </c>
      <c r="O138" s="12">
        <f>M138+N138</f>
        <v/>
      </c>
      <c r="P138" s="12">
        <f>ROUND(O138*0.0005, 2)</f>
        <v/>
      </c>
      <c r="Q138" s="12">
        <f>N138-M138</f>
        <v/>
      </c>
      <c r="R138" s="12">
        <f>Q138-P138</f>
        <v/>
      </c>
      <c r="S138" s="13">
        <f>ROUND((R138/M138)*100, 2)</f>
        <v/>
      </c>
      <c r="T138" s="12">
        <f>ROUND(0.20*M138, 2)</f>
        <v/>
      </c>
      <c r="U138" s="13">
        <f>ROUND((R138/T138)*100, 2)</f>
        <v/>
      </c>
      <c r="V138" s="12">
        <f>V137+R138</f>
        <v/>
      </c>
      <c r="W138" s="12">
        <f>MAX(W137, V138)</f>
        <v/>
      </c>
      <c r="X138" s="12">
        <f>V138-W138</f>
        <v/>
      </c>
    </row>
    <row r="139">
      <c r="A139" s="9" t="n">
        <v>136</v>
      </c>
      <c r="B139" s="10" t="inlineStr">
        <is>
          <t>NATIONALUM</t>
        </is>
      </c>
      <c r="C139" s="9" t="inlineStr">
        <is>
          <t>Q2 2026-27</t>
        </is>
      </c>
      <c r="D139" s="9" t="inlineStr">
        <is>
          <t>FUTURE LONG</t>
        </is>
      </c>
      <c r="E139" s="9" t="inlineStr">
        <is>
          <t>T-8 to T+1</t>
        </is>
      </c>
      <c r="F139" s="9" t="inlineStr">
        <is>
          <t>70.0%</t>
        </is>
      </c>
      <c r="G139" s="9" t="inlineStr">
        <is>
          <t>2025-01-30</t>
        </is>
      </c>
      <c r="H139" s="9" t="inlineStr">
        <is>
          <t>2025-02-11</t>
        </is>
      </c>
      <c r="I139" s="9" t="inlineStr">
        <is>
          <t>2025-02-10</t>
        </is>
      </c>
      <c r="J139" s="5" t="n">
        <v>5527</v>
      </c>
      <c r="K139" s="11" t="n">
        <v>180.9234771728516</v>
      </c>
      <c r="L139" s="11" t="n">
        <v>171.7241363525391</v>
      </c>
      <c r="M139" s="12">
        <f>J139*K139</f>
        <v/>
      </c>
      <c r="N139" s="12">
        <f>J139*L139</f>
        <v/>
      </c>
      <c r="O139" s="12">
        <f>M139+N139</f>
        <v/>
      </c>
      <c r="P139" s="12">
        <f>ROUND(O139*0.0005, 2)</f>
        <v/>
      </c>
      <c r="Q139" s="12">
        <f>N139-M139</f>
        <v/>
      </c>
      <c r="R139" s="12">
        <f>Q139-P139</f>
        <v/>
      </c>
      <c r="S139" s="13">
        <f>ROUND((R139/M139)*100, 2)</f>
        <v/>
      </c>
      <c r="T139" s="12">
        <f>ROUND(0.20*M139, 2)</f>
        <v/>
      </c>
      <c r="U139" s="13">
        <f>ROUND((R139/T139)*100, 2)</f>
        <v/>
      </c>
      <c r="V139" s="12">
        <f>V138+R139</f>
        <v/>
      </c>
      <c r="W139" s="12">
        <f>MAX(W138, V139)</f>
        <v/>
      </c>
      <c r="X139" s="12">
        <f>V139-W139</f>
        <v/>
      </c>
    </row>
    <row r="140">
      <c r="A140" s="9" t="n">
        <v>137</v>
      </c>
      <c r="B140" s="10" t="inlineStr">
        <is>
          <t>NAUKRI</t>
        </is>
      </c>
      <c r="C140" s="9" t="inlineStr">
        <is>
          <t>Q2 2026-27</t>
        </is>
      </c>
      <c r="D140" s="9" t="inlineStr">
        <is>
          <t>FUTURE LONG</t>
        </is>
      </c>
      <c r="E140" s="9" t="inlineStr">
        <is>
          <t>T-8 to T+1</t>
        </is>
      </c>
      <c r="F140" s="9" t="inlineStr">
        <is>
          <t>70.0%</t>
        </is>
      </c>
      <c r="G140" s="9" t="inlineStr">
        <is>
          <t>2025-01-27</t>
        </is>
      </c>
      <c r="H140" s="9" t="inlineStr">
        <is>
          <t>2025-02-06</t>
        </is>
      </c>
      <c r="I140" s="9" t="inlineStr">
        <is>
          <t>2025-02-05</t>
        </is>
      </c>
      <c r="J140" s="5" t="n">
        <v>720</v>
      </c>
      <c r="K140" s="11" t="n">
        <v>1388.64111328125</v>
      </c>
      <c r="L140" s="11" t="n">
        <v>1594.999267578125</v>
      </c>
      <c r="M140" s="12">
        <f>J140*K140</f>
        <v/>
      </c>
      <c r="N140" s="12">
        <f>J140*L140</f>
        <v/>
      </c>
      <c r="O140" s="12">
        <f>M140+N140</f>
        <v/>
      </c>
      <c r="P140" s="12">
        <f>ROUND(O140*0.0005, 2)</f>
        <v/>
      </c>
      <c r="Q140" s="12">
        <f>N140-M140</f>
        <v/>
      </c>
      <c r="R140" s="12">
        <f>Q140-P140</f>
        <v/>
      </c>
      <c r="S140" s="13">
        <f>ROUND((R140/M140)*100, 2)</f>
        <v/>
      </c>
      <c r="T140" s="12">
        <f>ROUND(0.20*M140, 2)</f>
        <v/>
      </c>
      <c r="U140" s="13">
        <f>ROUND((R140/T140)*100, 2)</f>
        <v/>
      </c>
      <c r="V140" s="12">
        <f>V139+R140</f>
        <v/>
      </c>
      <c r="W140" s="12">
        <f>MAX(W139, V140)</f>
        <v/>
      </c>
      <c r="X140" s="12">
        <f>V140-W140</f>
        <v/>
      </c>
    </row>
    <row r="141">
      <c r="A141" s="9" t="n">
        <v>138</v>
      </c>
      <c r="B141" s="10" t="inlineStr">
        <is>
          <t>NBCC</t>
        </is>
      </c>
      <c r="C141" s="9" t="inlineStr">
        <is>
          <t>Q2 2026-27</t>
        </is>
      </c>
      <c r="D141" s="9" t="inlineStr">
        <is>
          <t>FUTURE LONG</t>
        </is>
      </c>
      <c r="E141" s="9" t="inlineStr">
        <is>
          <t>T-8 to T+1</t>
        </is>
      </c>
      <c r="F141" s="9" t="inlineStr">
        <is>
          <t>70.0%</t>
        </is>
      </c>
      <c r="G141" s="9" t="inlineStr">
        <is>
          <t>2025-02-01</t>
        </is>
      </c>
      <c r="H141" s="9" t="inlineStr">
        <is>
          <t>2025-02-13</t>
        </is>
      </c>
      <c r="I141" s="9" t="inlineStr">
        <is>
          <t>2025-02-12</t>
        </is>
      </c>
      <c r="J141" s="5" t="n">
        <v>10626</v>
      </c>
      <c r="K141" s="11" t="n">
        <v>94.10195159912109</v>
      </c>
      <c r="L141" s="11" t="n">
        <v>84.64536285400391</v>
      </c>
      <c r="M141" s="12">
        <f>J141*K141</f>
        <v/>
      </c>
      <c r="N141" s="12">
        <f>J141*L141</f>
        <v/>
      </c>
      <c r="O141" s="12">
        <f>M141+N141</f>
        <v/>
      </c>
      <c r="P141" s="12">
        <f>ROUND(O141*0.0005, 2)</f>
        <v/>
      </c>
      <c r="Q141" s="12">
        <f>N141-M141</f>
        <v/>
      </c>
      <c r="R141" s="12">
        <f>Q141-P141</f>
        <v/>
      </c>
      <c r="S141" s="13">
        <f>ROUND((R141/M141)*100, 2)</f>
        <v/>
      </c>
      <c r="T141" s="12">
        <f>ROUND(0.20*M141, 2)</f>
        <v/>
      </c>
      <c r="U141" s="13">
        <f>ROUND((R141/T141)*100, 2)</f>
        <v/>
      </c>
      <c r="V141" s="12">
        <f>V140+R141</f>
        <v/>
      </c>
      <c r="W141" s="12">
        <f>MAX(W140, V141)</f>
        <v/>
      </c>
      <c r="X141" s="12">
        <f>V141-W141</f>
        <v/>
      </c>
    </row>
    <row r="142">
      <c r="A142" s="9" t="n">
        <v>139</v>
      </c>
      <c r="B142" s="10" t="inlineStr">
        <is>
          <t>NESTLEIND</t>
        </is>
      </c>
      <c r="C142" s="9" t="inlineStr">
        <is>
          <t>Q2 2026-27</t>
        </is>
      </c>
      <c r="D142" s="9" t="inlineStr">
        <is>
          <t>FUTURE LONG</t>
        </is>
      </c>
      <c r="E142" s="9" t="inlineStr">
        <is>
          <t>T-8 to T+1</t>
        </is>
      </c>
      <c r="F142" s="9" t="inlineStr">
        <is>
          <t>80.0%</t>
        </is>
      </c>
      <c r="G142" s="9" t="inlineStr">
        <is>
          <t>2025-01-22</t>
        </is>
      </c>
      <c r="H142" s="9" t="inlineStr">
        <is>
          <t>2025-02-03</t>
        </is>
      </c>
      <c r="I142" s="9" t="inlineStr">
        <is>
          <t>2025-01-31</t>
        </is>
      </c>
      <c r="J142" s="5" t="n">
        <v>200</v>
      </c>
      <c r="K142" s="11" t="n">
        <v>1081.219970703125</v>
      </c>
      <c r="L142" s="11" t="n">
        <v>1134.747192382812</v>
      </c>
      <c r="M142" s="12">
        <f>J142*K142</f>
        <v/>
      </c>
      <c r="N142" s="12">
        <f>J142*L142</f>
        <v/>
      </c>
      <c r="O142" s="12">
        <f>M142+N142</f>
        <v/>
      </c>
      <c r="P142" s="12">
        <f>ROUND(O142*0.0005, 2)</f>
        <v/>
      </c>
      <c r="Q142" s="12">
        <f>N142-M142</f>
        <v/>
      </c>
      <c r="R142" s="12">
        <f>Q142-P142</f>
        <v/>
      </c>
      <c r="S142" s="13">
        <f>ROUND((R142/M142)*100, 2)</f>
        <v/>
      </c>
      <c r="T142" s="12">
        <f>ROUND(0.20*M142, 2)</f>
        <v/>
      </c>
      <c r="U142" s="13">
        <f>ROUND((R142/T142)*100, 2)</f>
        <v/>
      </c>
      <c r="V142" s="12">
        <f>V141+R142</f>
        <v/>
      </c>
      <c r="W142" s="12">
        <f>MAX(W141, V142)</f>
        <v/>
      </c>
      <c r="X142" s="12">
        <f>V142-W142</f>
        <v/>
      </c>
    </row>
    <row r="143">
      <c r="A143" s="9" t="n">
        <v>140</v>
      </c>
      <c r="B143" s="10" t="inlineStr">
        <is>
          <t>NHPC</t>
        </is>
      </c>
      <c r="C143" s="9" t="inlineStr">
        <is>
          <t>Q2 2026-27</t>
        </is>
      </c>
      <c r="D143" s="9" t="inlineStr">
        <is>
          <t>FUTURE LONG</t>
        </is>
      </c>
      <c r="E143" s="9" t="inlineStr">
        <is>
          <t>T-8 to T+1</t>
        </is>
      </c>
      <c r="F143" s="9" t="inlineStr">
        <is>
          <t>60.0%</t>
        </is>
      </c>
      <c r="G143" s="9" t="inlineStr">
        <is>
          <t>2025-01-29</t>
        </is>
      </c>
      <c r="H143" s="9" t="inlineStr">
        <is>
          <t>2025-02-10</t>
        </is>
      </c>
      <c r="I143" s="9" t="inlineStr">
        <is>
          <t>2025-02-07</t>
        </is>
      </c>
      <c r="J143" s="5" t="n">
        <v>13997</v>
      </c>
      <c r="K143" s="11" t="n">
        <v>71.44191741943359</v>
      </c>
      <c r="L143" s="11" t="n">
        <v>72.96500396728516</v>
      </c>
      <c r="M143" s="12">
        <f>J143*K143</f>
        <v/>
      </c>
      <c r="N143" s="12">
        <f>J143*L143</f>
        <v/>
      </c>
      <c r="O143" s="12">
        <f>M143+N143</f>
        <v/>
      </c>
      <c r="P143" s="12">
        <f>ROUND(O143*0.0005, 2)</f>
        <v/>
      </c>
      <c r="Q143" s="12">
        <f>N143-M143</f>
        <v/>
      </c>
      <c r="R143" s="12">
        <f>Q143-P143</f>
        <v/>
      </c>
      <c r="S143" s="13">
        <f>ROUND((R143/M143)*100, 2)</f>
        <v/>
      </c>
      <c r="T143" s="12">
        <f>ROUND(0.20*M143, 2)</f>
        <v/>
      </c>
      <c r="U143" s="13">
        <f>ROUND((R143/T143)*100, 2)</f>
        <v/>
      </c>
      <c r="V143" s="12">
        <f>V142+R143</f>
        <v/>
      </c>
      <c r="W143" s="12">
        <f>MAX(W142, V143)</f>
        <v/>
      </c>
      <c r="X143" s="12">
        <f>V143-W143</f>
        <v/>
      </c>
    </row>
    <row r="144">
      <c r="A144" s="9" t="n">
        <v>141</v>
      </c>
      <c r="B144" s="10" t="inlineStr">
        <is>
          <t>NMDC</t>
        </is>
      </c>
      <c r="C144" s="9" t="inlineStr">
        <is>
          <t>Q2 2026-27</t>
        </is>
      </c>
      <c r="D144" s="9" t="inlineStr">
        <is>
          <t>FUTURE LONG</t>
        </is>
      </c>
      <c r="E144" s="9" t="inlineStr">
        <is>
          <t>T-8 to T+1</t>
        </is>
      </c>
      <c r="F144" s="9" t="inlineStr">
        <is>
          <t>80.0%</t>
        </is>
      </c>
      <c r="G144" s="9" t="inlineStr">
        <is>
          <t>2025-01-28</t>
        </is>
      </c>
      <c r="H144" s="9" t="inlineStr">
        <is>
          <t>2025-02-07</t>
        </is>
      </c>
      <c r="I144" s="9" t="inlineStr">
        <is>
          <t>2025-02-06</t>
        </is>
      </c>
      <c r="J144" s="5" t="n">
        <v>16918</v>
      </c>
      <c r="K144" s="11" t="n">
        <v>59.10623168945312</v>
      </c>
      <c r="L144" s="11" t="n">
        <v>61.66883087158203</v>
      </c>
      <c r="M144" s="12">
        <f>J144*K144</f>
        <v/>
      </c>
      <c r="N144" s="12">
        <f>J144*L144</f>
        <v/>
      </c>
      <c r="O144" s="12">
        <f>M144+N144</f>
        <v/>
      </c>
      <c r="P144" s="12">
        <f>ROUND(O144*0.0005, 2)</f>
        <v/>
      </c>
      <c r="Q144" s="12">
        <f>N144-M144</f>
        <v/>
      </c>
      <c r="R144" s="12">
        <f>Q144-P144</f>
        <v/>
      </c>
      <c r="S144" s="13">
        <f>ROUND((R144/M144)*100, 2)</f>
        <v/>
      </c>
      <c r="T144" s="12">
        <f>ROUND(0.20*M144, 2)</f>
        <v/>
      </c>
      <c r="U144" s="13">
        <f>ROUND((R144/T144)*100, 2)</f>
        <v/>
      </c>
      <c r="V144" s="12">
        <f>V143+R144</f>
        <v/>
      </c>
      <c r="W144" s="12">
        <f>MAX(W143, V144)</f>
        <v/>
      </c>
      <c r="X144" s="12">
        <f>V144-W144</f>
        <v/>
      </c>
    </row>
    <row r="145">
      <c r="A145" s="9" t="n">
        <v>142</v>
      </c>
      <c r="B145" s="10" t="inlineStr">
        <is>
          <t>NTPC</t>
        </is>
      </c>
      <c r="C145" s="9" t="inlineStr">
        <is>
          <t>Q2 2026-27</t>
        </is>
      </c>
      <c r="D145" s="9" t="inlineStr">
        <is>
          <t>FUTURE LONG</t>
        </is>
      </c>
      <c r="E145" s="9" t="inlineStr">
        <is>
          <t>T-8 to T+1</t>
        </is>
      </c>
      <c r="F145" s="9" t="inlineStr">
        <is>
          <t>60.0%</t>
        </is>
      </c>
      <c r="G145" s="9" t="inlineStr">
        <is>
          <t>2025-01-15</t>
        </is>
      </c>
      <c r="H145" s="9" t="inlineStr">
        <is>
          <t>2025-01-28</t>
        </is>
      </c>
      <c r="I145" s="9" t="inlineStr">
        <is>
          <t>2025-01-25</t>
        </is>
      </c>
      <c r="J145" s="5" t="n">
        <v>1500</v>
      </c>
      <c r="K145" s="11" t="n">
        <v>310.6640319824219</v>
      </c>
      <c r="L145" s="11" t="n">
        <v>307.6670837402344</v>
      </c>
      <c r="M145" s="12">
        <f>J145*K145</f>
        <v/>
      </c>
      <c r="N145" s="12">
        <f>J145*L145</f>
        <v/>
      </c>
      <c r="O145" s="12">
        <f>M145+N145</f>
        <v/>
      </c>
      <c r="P145" s="12">
        <f>ROUND(O145*0.0005, 2)</f>
        <v/>
      </c>
      <c r="Q145" s="12">
        <f>N145-M145</f>
        <v/>
      </c>
      <c r="R145" s="12">
        <f>Q145-P145</f>
        <v/>
      </c>
      <c r="S145" s="13">
        <f>ROUND((R145/M145)*100, 2)</f>
        <v/>
      </c>
      <c r="T145" s="12">
        <f>ROUND(0.20*M145, 2)</f>
        <v/>
      </c>
      <c r="U145" s="13">
        <f>ROUND((R145/T145)*100, 2)</f>
        <v/>
      </c>
      <c r="V145" s="12">
        <f>V144+R145</f>
        <v/>
      </c>
      <c r="W145" s="12">
        <f>MAX(W144, V145)</f>
        <v/>
      </c>
      <c r="X145" s="12">
        <f>V145-W145</f>
        <v/>
      </c>
    </row>
    <row r="146">
      <c r="A146" s="9" t="n">
        <v>143</v>
      </c>
      <c r="B146" s="10" t="inlineStr">
        <is>
          <t>NYKAA</t>
        </is>
      </c>
      <c r="C146" s="9" t="inlineStr">
        <is>
          <t>Q2 2026-27</t>
        </is>
      </c>
      <c r="D146" s="9" t="inlineStr">
        <is>
          <t>FUTURE LONG</t>
        </is>
      </c>
      <c r="E146" s="9" t="inlineStr">
        <is>
          <t>T-8 to T+1</t>
        </is>
      </c>
      <c r="F146" s="9" t="inlineStr">
        <is>
          <t>60.0%</t>
        </is>
      </c>
      <c r="G146" s="9" t="inlineStr">
        <is>
          <t>2025-01-31</t>
        </is>
      </c>
      <c r="H146" s="9" t="inlineStr">
        <is>
          <t>2025-02-12</t>
        </is>
      </c>
      <c r="I146" s="9" t="inlineStr">
        <is>
          <t>2025-02-11</t>
        </is>
      </c>
      <c r="J146" s="5" t="n">
        <v>5920</v>
      </c>
      <c r="K146" s="11" t="n">
        <v>168.8999938964844</v>
      </c>
      <c r="L146" s="11" t="n">
        <v>171.9299926757812</v>
      </c>
      <c r="M146" s="12">
        <f>J146*K146</f>
        <v/>
      </c>
      <c r="N146" s="12">
        <f>J146*L146</f>
        <v/>
      </c>
      <c r="O146" s="12">
        <f>M146+N146</f>
        <v/>
      </c>
      <c r="P146" s="12">
        <f>ROUND(O146*0.0005, 2)</f>
        <v/>
      </c>
      <c r="Q146" s="12">
        <f>N146-M146</f>
        <v/>
      </c>
      <c r="R146" s="12">
        <f>Q146-P146</f>
        <v/>
      </c>
      <c r="S146" s="13">
        <f>ROUND((R146/M146)*100, 2)</f>
        <v/>
      </c>
      <c r="T146" s="12">
        <f>ROUND(0.20*M146, 2)</f>
        <v/>
      </c>
      <c r="U146" s="13">
        <f>ROUND((R146/T146)*100, 2)</f>
        <v/>
      </c>
      <c r="V146" s="12">
        <f>V145+R146</f>
        <v/>
      </c>
      <c r="W146" s="12">
        <f>MAX(W145, V146)</f>
        <v/>
      </c>
      <c r="X146" s="12">
        <f>V146-W146</f>
        <v/>
      </c>
    </row>
    <row r="147">
      <c r="A147" s="9" t="n">
        <v>144</v>
      </c>
      <c r="B147" s="10" t="inlineStr">
        <is>
          <t>OBEROIRLTY</t>
        </is>
      </c>
      <c r="C147" s="9" t="inlineStr">
        <is>
          <t>Q2 2026-27</t>
        </is>
      </c>
      <c r="D147" s="9" t="inlineStr">
        <is>
          <t>FUTURE LONG</t>
        </is>
      </c>
      <c r="E147" s="9" t="inlineStr">
        <is>
          <t>T-8 to T+1</t>
        </is>
      </c>
      <c r="F147" s="9" t="inlineStr">
        <is>
          <t>60.0%</t>
        </is>
      </c>
      <c r="G147" s="9" t="inlineStr">
        <is>
          <t>2025-01-09</t>
        </is>
      </c>
      <c r="H147" s="9" t="inlineStr">
        <is>
          <t>2025-01-22</t>
        </is>
      </c>
      <c r="I147" s="9" t="inlineStr">
        <is>
          <t>2025-01-21</t>
        </is>
      </c>
      <c r="J147" s="5" t="n">
        <v>448</v>
      </c>
      <c r="K147" s="11" t="n">
        <v>2227.750732421875</v>
      </c>
      <c r="L147" s="11" t="n">
        <v>1748.512573242188</v>
      </c>
      <c r="M147" s="12">
        <f>J147*K147</f>
        <v/>
      </c>
      <c r="N147" s="12">
        <f>J147*L147</f>
        <v/>
      </c>
      <c r="O147" s="12">
        <f>M147+N147</f>
        <v/>
      </c>
      <c r="P147" s="12">
        <f>ROUND(O147*0.0005, 2)</f>
        <v/>
      </c>
      <c r="Q147" s="12">
        <f>N147-M147</f>
        <v/>
      </c>
      <c r="R147" s="12">
        <f>Q147-P147</f>
        <v/>
      </c>
      <c r="S147" s="13">
        <f>ROUND((R147/M147)*100, 2)</f>
        <v/>
      </c>
      <c r="T147" s="12">
        <f>ROUND(0.20*M147, 2)</f>
        <v/>
      </c>
      <c r="U147" s="13">
        <f>ROUND((R147/T147)*100, 2)</f>
        <v/>
      </c>
      <c r="V147" s="12">
        <f>V146+R147</f>
        <v/>
      </c>
      <c r="W147" s="12">
        <f>MAX(W146, V147)</f>
        <v/>
      </c>
      <c r="X147" s="12">
        <f>V147-W147</f>
        <v/>
      </c>
    </row>
    <row r="148">
      <c r="A148" s="9" t="n">
        <v>145</v>
      </c>
      <c r="B148" s="10" t="inlineStr">
        <is>
          <t>OFSS</t>
        </is>
      </c>
      <c r="C148" s="9" t="inlineStr">
        <is>
          <t>Q2 2026-27</t>
        </is>
      </c>
      <c r="D148" s="9" t="inlineStr">
        <is>
          <t>FUTURE LONG</t>
        </is>
      </c>
      <c r="E148" s="9" t="inlineStr">
        <is>
          <t>T-8 to T+1</t>
        </is>
      </c>
      <c r="F148" s="9" t="inlineStr">
        <is>
          <t>70.0%</t>
        </is>
      </c>
      <c r="G148" s="9" t="inlineStr">
        <is>
          <t>2025-01-03</t>
        </is>
      </c>
      <c r="H148" s="9" t="inlineStr">
        <is>
          <t>2025-01-16</t>
        </is>
      </c>
      <c r="I148" s="9" t="inlineStr">
        <is>
          <t>2025-01-15</t>
        </is>
      </c>
      <c r="J148" s="5" t="n">
        <v>100</v>
      </c>
      <c r="K148" s="11" t="n">
        <v>11611.3916015625</v>
      </c>
      <c r="L148" s="11" t="n">
        <v>9451.8173828125</v>
      </c>
      <c r="M148" s="12">
        <f>J148*K148</f>
        <v/>
      </c>
      <c r="N148" s="12">
        <f>J148*L148</f>
        <v/>
      </c>
      <c r="O148" s="12">
        <f>M148+N148</f>
        <v/>
      </c>
      <c r="P148" s="12">
        <f>ROUND(O148*0.0005, 2)</f>
        <v/>
      </c>
      <c r="Q148" s="12">
        <f>N148-M148</f>
        <v/>
      </c>
      <c r="R148" s="12">
        <f>Q148-P148</f>
        <v/>
      </c>
      <c r="S148" s="13">
        <f>ROUND((R148/M148)*100, 2)</f>
        <v/>
      </c>
      <c r="T148" s="12">
        <f>ROUND(0.20*M148, 2)</f>
        <v/>
      </c>
      <c r="U148" s="13">
        <f>ROUND((R148/T148)*100, 2)</f>
        <v/>
      </c>
      <c r="V148" s="12">
        <f>V147+R148</f>
        <v/>
      </c>
      <c r="W148" s="12">
        <f>MAX(W147, V148)</f>
        <v/>
      </c>
      <c r="X148" s="12">
        <f>V148-W148</f>
        <v/>
      </c>
    </row>
    <row r="149">
      <c r="A149" s="9" t="n">
        <v>146</v>
      </c>
      <c r="B149" s="10" t="inlineStr">
        <is>
          <t>OIL</t>
        </is>
      </c>
      <c r="C149" s="9" t="inlineStr">
        <is>
          <t>Q2 2026-27</t>
        </is>
      </c>
      <c r="D149" s="9" t="inlineStr">
        <is>
          <t>FUTURE LONG</t>
        </is>
      </c>
      <c r="E149" s="9" t="inlineStr">
        <is>
          <t>T-8 to T+1</t>
        </is>
      </c>
      <c r="F149" s="9" t="inlineStr">
        <is>
          <t>80.0%</t>
        </is>
      </c>
      <c r="G149" s="9" t="inlineStr">
        <is>
          <t>2025-01-29</t>
        </is>
      </c>
      <c r="H149" s="9" t="inlineStr">
        <is>
          <t>2025-02-10</t>
        </is>
      </c>
      <c r="I149" s="9" t="inlineStr">
        <is>
          <t>2025-02-08</t>
        </is>
      </c>
      <c r="J149" s="5" t="n">
        <v>2566</v>
      </c>
      <c r="K149" s="11" t="n">
        <v>389.7006530761719</v>
      </c>
      <c r="L149" s="11" t="n">
        <v>387.5014343261719</v>
      </c>
      <c r="M149" s="12">
        <f>J149*K149</f>
        <v/>
      </c>
      <c r="N149" s="12">
        <f>J149*L149</f>
        <v/>
      </c>
      <c r="O149" s="12">
        <f>M149+N149</f>
        <v/>
      </c>
      <c r="P149" s="12">
        <f>ROUND(O149*0.0005, 2)</f>
        <v/>
      </c>
      <c r="Q149" s="12">
        <f>N149-M149</f>
        <v/>
      </c>
      <c r="R149" s="12">
        <f>Q149-P149</f>
        <v/>
      </c>
      <c r="S149" s="13">
        <f>ROUND((R149/M149)*100, 2)</f>
        <v/>
      </c>
      <c r="T149" s="12">
        <f>ROUND(0.20*M149, 2)</f>
        <v/>
      </c>
      <c r="U149" s="13">
        <f>ROUND((R149/T149)*100, 2)</f>
        <v/>
      </c>
      <c r="V149" s="12">
        <f>V148+R149</f>
        <v/>
      </c>
      <c r="W149" s="12">
        <f>MAX(W148, V149)</f>
        <v/>
      </c>
      <c r="X149" s="12">
        <f>V149-W149</f>
        <v/>
      </c>
    </row>
    <row r="150">
      <c r="A150" s="9" t="n">
        <v>147</v>
      </c>
      <c r="B150" s="10" t="inlineStr">
        <is>
          <t>ONGC</t>
        </is>
      </c>
      <c r="C150" s="9" t="inlineStr">
        <is>
          <t>Q2 2026-27</t>
        </is>
      </c>
      <c r="D150" s="9" t="inlineStr">
        <is>
          <t>FUTURE LONG</t>
        </is>
      </c>
      <c r="E150" s="9" t="inlineStr">
        <is>
          <t>T-8 to T+1</t>
        </is>
      </c>
      <c r="F150" s="9" t="inlineStr">
        <is>
          <t>60.0%</t>
        </is>
      </c>
      <c r="G150" s="9" t="inlineStr">
        <is>
          <t>2025-01-22</t>
        </is>
      </c>
      <c r="H150" s="9" t="inlineStr">
        <is>
          <t>2025-02-03</t>
        </is>
      </c>
      <c r="I150" s="9" t="inlineStr">
        <is>
          <t>2025-01-31</t>
        </is>
      </c>
      <c r="J150" s="5" t="n">
        <v>3750</v>
      </c>
      <c r="K150" s="11" t="n">
        <v>245.6026153564453</v>
      </c>
      <c r="L150" s="11" t="n">
        <v>231.6040802001953</v>
      </c>
      <c r="M150" s="12">
        <f>J150*K150</f>
        <v/>
      </c>
      <c r="N150" s="12">
        <f>J150*L150</f>
        <v/>
      </c>
      <c r="O150" s="12">
        <f>M150+N150</f>
        <v/>
      </c>
      <c r="P150" s="12">
        <f>ROUND(O150*0.0005, 2)</f>
        <v/>
      </c>
      <c r="Q150" s="12">
        <f>N150-M150</f>
        <v/>
      </c>
      <c r="R150" s="12">
        <f>Q150-P150</f>
        <v/>
      </c>
      <c r="S150" s="13">
        <f>ROUND((R150/M150)*100, 2)</f>
        <v/>
      </c>
      <c r="T150" s="12">
        <f>ROUND(0.20*M150, 2)</f>
        <v/>
      </c>
      <c r="U150" s="13">
        <f>ROUND((R150/T150)*100, 2)</f>
        <v/>
      </c>
      <c r="V150" s="12">
        <f>V149+R150</f>
        <v/>
      </c>
      <c r="W150" s="12">
        <f>MAX(W149, V150)</f>
        <v/>
      </c>
      <c r="X150" s="12">
        <f>V150-W150</f>
        <v/>
      </c>
    </row>
    <row r="151">
      <c r="A151" s="9" t="n">
        <v>148</v>
      </c>
      <c r="B151" s="10" t="inlineStr">
        <is>
          <t>PAGEIND</t>
        </is>
      </c>
      <c r="C151" s="9" t="inlineStr">
        <is>
          <t>Q2 2026-27</t>
        </is>
      </c>
      <c r="D151" s="9" t="inlineStr">
        <is>
          <t>FUTURE LONG</t>
        </is>
      </c>
      <c r="E151" s="9" t="inlineStr">
        <is>
          <t>T-8 to T+1</t>
        </is>
      </c>
      <c r="F151" s="9" t="inlineStr">
        <is>
          <t>70.0%</t>
        </is>
      </c>
      <c r="G151" s="9" t="inlineStr">
        <is>
          <t>2025-01-24</t>
        </is>
      </c>
      <c r="H151" s="9" t="inlineStr">
        <is>
          <t>2025-02-06</t>
        </is>
      </c>
      <c r="I151" s="9" t="inlineStr">
        <is>
          <t>2025-02-05</t>
        </is>
      </c>
      <c r="J151" s="5" t="n">
        <v>100</v>
      </c>
      <c r="K151" s="11" t="n">
        <v>46321.6</v>
      </c>
      <c r="L151" s="11" t="n">
        <v>43950</v>
      </c>
      <c r="M151" s="12">
        <f>J151*K151</f>
        <v/>
      </c>
      <c r="N151" s="12">
        <f>J151*L151</f>
        <v/>
      </c>
      <c r="O151" s="12">
        <f>M151+N151</f>
        <v/>
      </c>
      <c r="P151" s="12">
        <f>ROUND(O151*0.0005, 2)</f>
        <v/>
      </c>
      <c r="Q151" s="12">
        <f>N151-M151</f>
        <v/>
      </c>
      <c r="R151" s="12">
        <f>Q151-P151</f>
        <v/>
      </c>
      <c r="S151" s="13">
        <f>ROUND((R151/M151)*100, 2)</f>
        <v/>
      </c>
      <c r="T151" s="12">
        <f>ROUND(0.20*M151, 2)</f>
        <v/>
      </c>
      <c r="U151" s="13">
        <f>ROUND((R151/T151)*100, 2)</f>
        <v/>
      </c>
      <c r="V151" s="12">
        <f>V150+R151</f>
        <v/>
      </c>
      <c r="W151" s="12">
        <f>MAX(W150, V151)</f>
        <v/>
      </c>
      <c r="X151" s="12">
        <f>V151-W151</f>
        <v/>
      </c>
    </row>
    <row r="152">
      <c r="A152" s="9" t="n">
        <v>149</v>
      </c>
      <c r="B152" s="10" t="inlineStr">
        <is>
          <t>PATANJALI</t>
        </is>
      </c>
      <c r="C152" s="9" t="inlineStr">
        <is>
          <t>Q2 2026-27</t>
        </is>
      </c>
      <c r="D152" s="9" t="inlineStr">
        <is>
          <t>FUTURE LONG</t>
        </is>
      </c>
      <c r="E152" s="9" t="inlineStr">
        <is>
          <t>T-8 to T+1</t>
        </is>
      </c>
      <c r="F152" s="9" t="inlineStr">
        <is>
          <t>60.0%</t>
        </is>
      </c>
      <c r="G152" s="9" t="inlineStr">
        <is>
          <t>2025-01-30</t>
        </is>
      </c>
      <c r="H152" s="9" t="inlineStr">
        <is>
          <t>2025-02-11</t>
        </is>
      </c>
      <c r="I152" s="9" t="inlineStr">
        <is>
          <t>2025-02-10</t>
        </is>
      </c>
      <c r="J152" s="5" t="n">
        <v>1643</v>
      </c>
      <c r="K152" s="11" t="n">
        <v>608.3381958007812</v>
      </c>
      <c r="L152" s="11" t="n">
        <v>603.7741088867188</v>
      </c>
      <c r="M152" s="12">
        <f>J152*K152</f>
        <v/>
      </c>
      <c r="N152" s="12">
        <f>J152*L152</f>
        <v/>
      </c>
      <c r="O152" s="12">
        <f>M152+N152</f>
        <v/>
      </c>
      <c r="P152" s="12">
        <f>ROUND(O152*0.0005, 2)</f>
        <v/>
      </c>
      <c r="Q152" s="12">
        <f>N152-M152</f>
        <v/>
      </c>
      <c r="R152" s="12">
        <f>Q152-P152</f>
        <v/>
      </c>
      <c r="S152" s="13">
        <f>ROUND((R152/M152)*100, 2)</f>
        <v/>
      </c>
      <c r="T152" s="12">
        <f>ROUND(0.20*M152, 2)</f>
        <v/>
      </c>
      <c r="U152" s="13">
        <f>ROUND((R152/T152)*100, 2)</f>
        <v/>
      </c>
      <c r="V152" s="12">
        <f>V151+R152</f>
        <v/>
      </c>
      <c r="W152" s="12">
        <f>MAX(W151, V152)</f>
        <v/>
      </c>
      <c r="X152" s="12">
        <f>V152-W152</f>
        <v/>
      </c>
    </row>
    <row r="153">
      <c r="A153" s="9" t="n">
        <v>150</v>
      </c>
      <c r="B153" s="10" t="inlineStr">
        <is>
          <t>PAYTM</t>
        </is>
      </c>
      <c r="C153" s="9" t="inlineStr">
        <is>
          <t>Q2 2026-27</t>
        </is>
      </c>
      <c r="D153" s="9" t="inlineStr">
        <is>
          <t>FUTURE LONG</t>
        </is>
      </c>
      <c r="E153" s="9" t="inlineStr">
        <is>
          <t>T-8 to T+1</t>
        </is>
      </c>
      <c r="F153" s="9" t="inlineStr">
        <is>
          <t>75.0%</t>
        </is>
      </c>
      <c r="G153" s="9" t="inlineStr">
        <is>
          <t>2025-01-08</t>
        </is>
      </c>
      <c r="H153" s="9" t="inlineStr">
        <is>
          <t>2025-01-21</t>
        </is>
      </c>
      <c r="I153" s="9" t="inlineStr">
        <is>
          <t>2025-01-20</t>
        </is>
      </c>
      <c r="J153" s="5" t="n">
        <v>1108</v>
      </c>
      <c r="K153" s="11" t="n">
        <v>902.0499877929688</v>
      </c>
      <c r="L153" s="11" t="n">
        <v>854.2999877929688</v>
      </c>
      <c r="M153" s="12">
        <f>J153*K153</f>
        <v/>
      </c>
      <c r="N153" s="12">
        <f>J153*L153</f>
        <v/>
      </c>
      <c r="O153" s="12">
        <f>M153+N153</f>
        <v/>
      </c>
      <c r="P153" s="12">
        <f>ROUND(O153*0.0005, 2)</f>
        <v/>
      </c>
      <c r="Q153" s="12">
        <f>N153-M153</f>
        <v/>
      </c>
      <c r="R153" s="12">
        <f>Q153-P153</f>
        <v/>
      </c>
      <c r="S153" s="13">
        <f>ROUND((R153/M153)*100, 2)</f>
        <v/>
      </c>
      <c r="T153" s="12">
        <f>ROUND(0.20*M153, 2)</f>
        <v/>
      </c>
      <c r="U153" s="13">
        <f>ROUND((R153/T153)*100, 2)</f>
        <v/>
      </c>
      <c r="V153" s="12">
        <f>V152+R153</f>
        <v/>
      </c>
      <c r="W153" s="12">
        <f>MAX(W152, V153)</f>
        <v/>
      </c>
      <c r="X153" s="12">
        <f>V153-W153</f>
        <v/>
      </c>
    </row>
    <row r="154">
      <c r="A154" s="9" t="n">
        <v>151</v>
      </c>
      <c r="B154" s="10" t="inlineStr">
        <is>
          <t>PERSISTENT</t>
        </is>
      </c>
      <c r="C154" s="9" t="inlineStr">
        <is>
          <t>Q2 2026-27</t>
        </is>
      </c>
      <c r="D154" s="9" t="inlineStr">
        <is>
          <t>FUTURE LONG</t>
        </is>
      </c>
      <c r="E154" s="9" t="inlineStr">
        <is>
          <t>T-8 to T+1</t>
        </is>
      </c>
      <c r="F154" s="9" t="inlineStr">
        <is>
          <t>70.0%</t>
        </is>
      </c>
      <c r="G154" s="9" t="inlineStr">
        <is>
          <t>2025-01-10</t>
        </is>
      </c>
      <c r="H154" s="9" t="inlineStr">
        <is>
          <t>2025-01-23</t>
        </is>
      </c>
      <c r="I154" s="9" t="inlineStr">
        <is>
          <t>2025-01-22</t>
        </is>
      </c>
      <c r="J154" s="5" t="n">
        <v>160</v>
      </c>
      <c r="K154" s="11" t="n">
        <v>6237.7265625</v>
      </c>
      <c r="L154" s="11" t="n">
        <v>6206.19189453125</v>
      </c>
      <c r="M154" s="12">
        <f>J154*K154</f>
        <v/>
      </c>
      <c r="N154" s="12">
        <f>J154*L154</f>
        <v/>
      </c>
      <c r="O154" s="12">
        <f>M154+N154</f>
        <v/>
      </c>
      <c r="P154" s="12">
        <f>ROUND(O154*0.0005, 2)</f>
        <v/>
      </c>
      <c r="Q154" s="12">
        <f>N154-M154</f>
        <v/>
      </c>
      <c r="R154" s="12">
        <f>Q154-P154</f>
        <v/>
      </c>
      <c r="S154" s="13">
        <f>ROUND((R154/M154)*100, 2)</f>
        <v/>
      </c>
      <c r="T154" s="12">
        <f>ROUND(0.20*M154, 2)</f>
        <v/>
      </c>
      <c r="U154" s="13">
        <f>ROUND((R154/T154)*100, 2)</f>
        <v/>
      </c>
      <c r="V154" s="12">
        <f>V153+R154</f>
        <v/>
      </c>
      <c r="W154" s="12">
        <f>MAX(W153, V154)</f>
        <v/>
      </c>
      <c r="X154" s="12">
        <f>V154-W154</f>
        <v/>
      </c>
    </row>
    <row r="155">
      <c r="A155" s="9" t="n">
        <v>152</v>
      </c>
      <c r="B155" s="10" t="inlineStr">
        <is>
          <t>PETRONET</t>
        </is>
      </c>
      <c r="C155" s="9" t="inlineStr">
        <is>
          <t>Q2 2026-27</t>
        </is>
      </c>
      <c r="D155" s="9" t="inlineStr">
        <is>
          <t>FUTURE LONG</t>
        </is>
      </c>
      <c r="E155" s="9" t="inlineStr">
        <is>
          <t>T-8 to T+1</t>
        </is>
      </c>
      <c r="F155" s="9" t="inlineStr">
        <is>
          <t>60.0%</t>
        </is>
      </c>
      <c r="G155" s="9" t="inlineStr">
        <is>
          <t>2025-01-16</t>
        </is>
      </c>
      <c r="H155" s="9" t="inlineStr">
        <is>
          <t>2025-01-29</t>
        </is>
      </c>
      <c r="I155" s="9" t="inlineStr">
        <is>
          <t>2025-01-28</t>
        </is>
      </c>
      <c r="J155" s="5" t="n">
        <v>3185</v>
      </c>
      <c r="K155" s="11" t="n">
        <v>313.9232482910156</v>
      </c>
      <c r="L155" s="11" t="n">
        <v>287.5880126953125</v>
      </c>
      <c r="M155" s="12">
        <f>J155*K155</f>
        <v/>
      </c>
      <c r="N155" s="12">
        <f>J155*L155</f>
        <v/>
      </c>
      <c r="O155" s="12">
        <f>M155+N155</f>
        <v/>
      </c>
      <c r="P155" s="12">
        <f>ROUND(O155*0.0005, 2)</f>
        <v/>
      </c>
      <c r="Q155" s="12">
        <f>N155-M155</f>
        <v/>
      </c>
      <c r="R155" s="12">
        <f>Q155-P155</f>
        <v/>
      </c>
      <c r="S155" s="13">
        <f>ROUND((R155/M155)*100, 2)</f>
        <v/>
      </c>
      <c r="T155" s="12">
        <f>ROUND(0.20*M155, 2)</f>
        <v/>
      </c>
      <c r="U155" s="13">
        <f>ROUND((R155/T155)*100, 2)</f>
        <v/>
      </c>
      <c r="V155" s="12">
        <f>V154+R155</f>
        <v/>
      </c>
      <c r="W155" s="12">
        <f>MAX(W154, V155)</f>
        <v/>
      </c>
      <c r="X155" s="12">
        <f>V155-W155</f>
        <v/>
      </c>
    </row>
    <row r="156">
      <c r="A156" s="9" t="n">
        <v>153</v>
      </c>
      <c r="B156" s="10" t="inlineStr">
        <is>
          <t>PFC</t>
        </is>
      </c>
      <c r="C156" s="9" t="inlineStr">
        <is>
          <t>Q2 2026-27</t>
        </is>
      </c>
      <c r="D156" s="9" t="inlineStr">
        <is>
          <t>FUTURE LONG</t>
        </is>
      </c>
      <c r="E156" s="9" t="inlineStr">
        <is>
          <t>T-8 to T+1</t>
        </is>
      </c>
      <c r="F156" s="9" t="inlineStr">
        <is>
          <t>65.0%</t>
        </is>
      </c>
      <c r="G156" s="9" t="inlineStr">
        <is>
          <t>2025-02-01</t>
        </is>
      </c>
      <c r="H156" s="9" t="inlineStr">
        <is>
          <t>2025-02-13</t>
        </is>
      </c>
      <c r="I156" s="9" t="inlineStr">
        <is>
          <t>2025-02-12</t>
        </is>
      </c>
      <c r="J156" s="5" t="n">
        <v>2628</v>
      </c>
      <c r="K156" s="11" t="n">
        <v>380.4982299804688</v>
      </c>
      <c r="L156" s="11" t="n">
        <v>362.0877685546875</v>
      </c>
      <c r="M156" s="12">
        <f>J156*K156</f>
        <v/>
      </c>
      <c r="N156" s="12">
        <f>J156*L156</f>
        <v/>
      </c>
      <c r="O156" s="12">
        <f>M156+N156</f>
        <v/>
      </c>
      <c r="P156" s="12">
        <f>ROUND(O156*0.0005, 2)</f>
        <v/>
      </c>
      <c r="Q156" s="12">
        <f>N156-M156</f>
        <v/>
      </c>
      <c r="R156" s="12">
        <f>Q156-P156</f>
        <v/>
      </c>
      <c r="S156" s="13">
        <f>ROUND((R156/M156)*100, 2)</f>
        <v/>
      </c>
      <c r="T156" s="12">
        <f>ROUND(0.20*M156, 2)</f>
        <v/>
      </c>
      <c r="U156" s="13">
        <f>ROUND((R156/T156)*100, 2)</f>
        <v/>
      </c>
      <c r="V156" s="12">
        <f>V155+R156</f>
        <v/>
      </c>
      <c r="W156" s="12">
        <f>MAX(W155, V156)</f>
        <v/>
      </c>
      <c r="X156" s="12">
        <f>V156-W156</f>
        <v/>
      </c>
    </row>
    <row r="157">
      <c r="A157" s="9" t="n">
        <v>154</v>
      </c>
      <c r="B157" s="10" t="inlineStr">
        <is>
          <t>PGEL</t>
        </is>
      </c>
      <c r="C157" s="9" t="inlineStr">
        <is>
          <t>Q2 2026-27</t>
        </is>
      </c>
      <c r="D157" s="9" t="inlineStr">
        <is>
          <t>FUTURE LONG</t>
        </is>
      </c>
      <c r="E157" s="9" t="inlineStr">
        <is>
          <t>T-8 to T+1</t>
        </is>
      </c>
      <c r="F157" s="9" t="inlineStr">
        <is>
          <t>65.0%</t>
        </is>
      </c>
      <c r="G157" s="9" t="inlineStr">
        <is>
          <t>2025-01-28</t>
        </is>
      </c>
      <c r="H157" s="9" t="inlineStr">
        <is>
          <t>2025-02-07</t>
        </is>
      </c>
      <c r="I157" s="9" t="inlineStr">
        <is>
          <t>2025-02-06</t>
        </is>
      </c>
      <c r="J157" s="5" t="n">
        <v>1555</v>
      </c>
      <c r="K157" s="11" t="n">
        <v>642.8666381835938</v>
      </c>
      <c r="L157" s="11" t="n">
        <v>863.219482421875</v>
      </c>
      <c r="M157" s="12">
        <f>J157*K157</f>
        <v/>
      </c>
      <c r="N157" s="12">
        <f>J157*L157</f>
        <v/>
      </c>
      <c r="O157" s="12">
        <f>M157+N157</f>
        <v/>
      </c>
      <c r="P157" s="12">
        <f>ROUND(O157*0.0005, 2)</f>
        <v/>
      </c>
      <c r="Q157" s="12">
        <f>N157-M157</f>
        <v/>
      </c>
      <c r="R157" s="12">
        <f>Q157-P157</f>
        <v/>
      </c>
      <c r="S157" s="13">
        <f>ROUND((R157/M157)*100, 2)</f>
        <v/>
      </c>
      <c r="T157" s="12">
        <f>ROUND(0.20*M157, 2)</f>
        <v/>
      </c>
      <c r="U157" s="13">
        <f>ROUND((R157/T157)*100, 2)</f>
        <v/>
      </c>
      <c r="V157" s="12">
        <f>V156+R157</f>
        <v/>
      </c>
      <c r="W157" s="12">
        <f>MAX(W156, V157)</f>
        <v/>
      </c>
      <c r="X157" s="12">
        <f>V157-W157</f>
        <v/>
      </c>
    </row>
    <row r="158">
      <c r="A158" s="9" t="n">
        <v>155</v>
      </c>
      <c r="B158" s="10" t="inlineStr">
        <is>
          <t>PHOENIXLTD</t>
        </is>
      </c>
      <c r="C158" s="9" t="inlineStr">
        <is>
          <t>Q2 2026-27</t>
        </is>
      </c>
      <c r="D158" s="9" t="inlineStr">
        <is>
          <t>FUTURE LONG</t>
        </is>
      </c>
      <c r="E158" s="9" t="inlineStr">
        <is>
          <t>T-8 to T+1</t>
        </is>
      </c>
      <c r="F158" s="9" t="inlineStr">
        <is>
          <t>70.0%</t>
        </is>
      </c>
      <c r="G158" s="9" t="inlineStr">
        <is>
          <t>2025-01-21</t>
        </is>
      </c>
      <c r="H158" s="9" t="inlineStr">
        <is>
          <t>2025-02-01</t>
        </is>
      </c>
      <c r="I158" s="9" t="inlineStr">
        <is>
          <t>2025-01-31</t>
        </is>
      </c>
      <c r="J158" s="5" t="n">
        <v>658</v>
      </c>
      <c r="K158" s="11" t="n">
        <v>1517.564208984375</v>
      </c>
      <c r="L158" s="11" t="n">
        <v>1761.572631835938</v>
      </c>
      <c r="M158" s="12">
        <f>J158*K158</f>
        <v/>
      </c>
      <c r="N158" s="12">
        <f>J158*L158</f>
        <v/>
      </c>
      <c r="O158" s="12">
        <f>M158+N158</f>
        <v/>
      </c>
      <c r="P158" s="12">
        <f>ROUND(O158*0.0005, 2)</f>
        <v/>
      </c>
      <c r="Q158" s="12">
        <f>N158-M158</f>
        <v/>
      </c>
      <c r="R158" s="12">
        <f>Q158-P158</f>
        <v/>
      </c>
      <c r="S158" s="13">
        <f>ROUND((R158/M158)*100, 2)</f>
        <v/>
      </c>
      <c r="T158" s="12">
        <f>ROUND(0.20*M158, 2)</f>
        <v/>
      </c>
      <c r="U158" s="13">
        <f>ROUND((R158/T158)*100, 2)</f>
        <v/>
      </c>
      <c r="V158" s="12">
        <f>V157+R158</f>
        <v/>
      </c>
      <c r="W158" s="12">
        <f>MAX(W157, V158)</f>
        <v/>
      </c>
      <c r="X158" s="12">
        <f>V158-W158</f>
        <v/>
      </c>
    </row>
    <row r="159">
      <c r="A159" s="9" t="n">
        <v>156</v>
      </c>
      <c r="B159" s="10" t="inlineStr">
        <is>
          <t>PIDILITIND</t>
        </is>
      </c>
      <c r="C159" s="9" t="inlineStr">
        <is>
          <t>Q2 2026-27</t>
        </is>
      </c>
      <c r="D159" s="9" t="inlineStr">
        <is>
          <t>FUTURE LONG</t>
        </is>
      </c>
      <c r="E159" s="9" t="inlineStr">
        <is>
          <t>T-8 to T+1</t>
        </is>
      </c>
      <c r="F159" s="9" t="inlineStr">
        <is>
          <t>70.0%</t>
        </is>
      </c>
      <c r="G159" s="9" t="inlineStr">
        <is>
          <t>2025-01-13</t>
        </is>
      </c>
      <c r="H159" s="9" t="inlineStr">
        <is>
          <t>2025-01-24</t>
        </is>
      </c>
      <c r="I159" s="9" t="inlineStr">
        <is>
          <t>2025-01-23</t>
        </is>
      </c>
      <c r="J159" s="5" t="n">
        <v>725</v>
      </c>
      <c r="K159" s="11" t="n">
        <v>1378.89013671875</v>
      </c>
      <c r="L159" s="11" t="n">
        <v>1407.41259765625</v>
      </c>
      <c r="M159" s="12">
        <f>J159*K159</f>
        <v/>
      </c>
      <c r="N159" s="12">
        <f>J159*L159</f>
        <v/>
      </c>
      <c r="O159" s="12">
        <f>M159+N159</f>
        <v/>
      </c>
      <c r="P159" s="12">
        <f>ROUND(O159*0.0005, 2)</f>
        <v/>
      </c>
      <c r="Q159" s="12">
        <f>N159-M159</f>
        <v/>
      </c>
      <c r="R159" s="12">
        <f>Q159-P159</f>
        <v/>
      </c>
      <c r="S159" s="13">
        <f>ROUND((R159/M159)*100, 2)</f>
        <v/>
      </c>
      <c r="T159" s="12">
        <f>ROUND(0.20*M159, 2)</f>
        <v/>
      </c>
      <c r="U159" s="13">
        <f>ROUND((R159/T159)*100, 2)</f>
        <v/>
      </c>
      <c r="V159" s="12">
        <f>V158+R159</f>
        <v/>
      </c>
      <c r="W159" s="12">
        <f>MAX(W158, V159)</f>
        <v/>
      </c>
      <c r="X159" s="12">
        <f>V159-W159</f>
        <v/>
      </c>
    </row>
    <row r="160">
      <c r="A160" s="9" t="n">
        <v>157</v>
      </c>
      <c r="B160" s="10" t="inlineStr">
        <is>
          <t>PIIND</t>
        </is>
      </c>
      <c r="C160" s="9" t="inlineStr">
        <is>
          <t>Q2 2026-27</t>
        </is>
      </c>
      <c r="D160" s="9" t="inlineStr">
        <is>
          <t>FUTURE LONG</t>
        </is>
      </c>
      <c r="E160" s="9" t="inlineStr">
        <is>
          <t>T-8 to T+1</t>
        </is>
      </c>
      <c r="F160" s="9" t="inlineStr">
        <is>
          <t>60.0%</t>
        </is>
      </c>
      <c r="G160" s="9" t="inlineStr">
        <is>
          <t>2025-01-29</t>
        </is>
      </c>
      <c r="H160" s="9" t="inlineStr">
        <is>
          <t>2025-02-10</t>
        </is>
      </c>
      <c r="I160" s="9" t="inlineStr">
        <is>
          <t>2025-02-07</t>
        </is>
      </c>
      <c r="J160" s="5" t="n">
        <v>293</v>
      </c>
      <c r="K160" s="11" t="n">
        <v>3404.86669921875</v>
      </c>
      <c r="L160" s="11" t="n">
        <v>3503.279052734375</v>
      </c>
      <c r="M160" s="12">
        <f>J160*K160</f>
        <v/>
      </c>
      <c r="N160" s="12">
        <f>J160*L160</f>
        <v/>
      </c>
      <c r="O160" s="12">
        <f>M160+N160</f>
        <v/>
      </c>
      <c r="P160" s="12">
        <f>ROUND(O160*0.0005, 2)</f>
        <v/>
      </c>
      <c r="Q160" s="12">
        <f>N160-M160</f>
        <v/>
      </c>
      <c r="R160" s="12">
        <f>Q160-P160</f>
        <v/>
      </c>
      <c r="S160" s="13">
        <f>ROUND((R160/M160)*100, 2)</f>
        <v/>
      </c>
      <c r="T160" s="12">
        <f>ROUND(0.20*M160, 2)</f>
        <v/>
      </c>
      <c r="U160" s="13">
        <f>ROUND((R160/T160)*100, 2)</f>
        <v/>
      </c>
      <c r="V160" s="12">
        <f>V159+R160</f>
        <v/>
      </c>
      <c r="W160" s="12">
        <f>MAX(W159, V160)</f>
        <v/>
      </c>
      <c r="X160" s="12">
        <f>V160-W160</f>
        <v/>
      </c>
    </row>
    <row r="161">
      <c r="A161" s="9" t="n">
        <v>158</v>
      </c>
      <c r="B161" s="10" t="inlineStr">
        <is>
          <t>PNB</t>
        </is>
      </c>
      <c r="C161" s="9" t="inlineStr">
        <is>
          <t>Q2 2026-27</t>
        </is>
      </c>
      <c r="D161" s="9" t="inlineStr">
        <is>
          <t>FUTURE LONG</t>
        </is>
      </c>
      <c r="E161" s="9" t="inlineStr">
        <is>
          <t>T-8 to T+1</t>
        </is>
      </c>
      <c r="F161" s="9" t="inlineStr">
        <is>
          <t>75.0%</t>
        </is>
      </c>
      <c r="G161" s="9" t="inlineStr">
        <is>
          <t>2025-01-21</t>
        </is>
      </c>
      <c r="H161" s="9" t="inlineStr">
        <is>
          <t>2025-02-01</t>
        </is>
      </c>
      <c r="I161" s="9" t="inlineStr">
        <is>
          <t>2025-01-31</t>
        </is>
      </c>
      <c r="J161" s="5" t="n">
        <v>10555</v>
      </c>
      <c r="K161" s="11" t="n">
        <v>94.7400360107422</v>
      </c>
      <c r="L161" s="11" t="n">
        <v>93.82398986816406</v>
      </c>
      <c r="M161" s="12">
        <f>J161*K161</f>
        <v/>
      </c>
      <c r="N161" s="12">
        <f>J161*L161</f>
        <v/>
      </c>
      <c r="O161" s="12">
        <f>M161+N161</f>
        <v/>
      </c>
      <c r="P161" s="12">
        <f>ROUND(O161*0.0005, 2)</f>
        <v/>
      </c>
      <c r="Q161" s="12">
        <f>N161-M161</f>
        <v/>
      </c>
      <c r="R161" s="12">
        <f>Q161-P161</f>
        <v/>
      </c>
      <c r="S161" s="13">
        <f>ROUND((R161/M161)*100, 2)</f>
        <v/>
      </c>
      <c r="T161" s="12">
        <f>ROUND(0.20*M161, 2)</f>
        <v/>
      </c>
      <c r="U161" s="13">
        <f>ROUND((R161/T161)*100, 2)</f>
        <v/>
      </c>
      <c r="V161" s="12">
        <f>V160+R161</f>
        <v/>
      </c>
      <c r="W161" s="12">
        <f>MAX(W160, V161)</f>
        <v/>
      </c>
      <c r="X161" s="12">
        <f>V161-W161</f>
        <v/>
      </c>
    </row>
    <row r="162">
      <c r="A162" s="9" t="n">
        <v>159</v>
      </c>
      <c r="B162" s="10" t="inlineStr">
        <is>
          <t>PNBHOUSING</t>
        </is>
      </c>
      <c r="C162" s="9" t="inlineStr">
        <is>
          <t>Q2 2026-27</t>
        </is>
      </c>
      <c r="D162" s="9" t="inlineStr">
        <is>
          <t>FUTURE LONG</t>
        </is>
      </c>
      <c r="E162" s="9" t="inlineStr">
        <is>
          <t>T-8 to T+1</t>
        </is>
      </c>
      <c r="F162" s="9" t="inlineStr">
        <is>
          <t>65.0%</t>
        </is>
      </c>
      <c r="G162" s="9" t="inlineStr">
        <is>
          <t>2025-01-10</t>
        </is>
      </c>
      <c r="H162" s="9" t="inlineStr">
        <is>
          <t>2025-01-23</t>
        </is>
      </c>
      <c r="I162" s="9" t="inlineStr">
        <is>
          <t>2025-01-22</t>
        </is>
      </c>
      <c r="J162" s="5" t="n">
        <v>1175</v>
      </c>
      <c r="K162" s="11" t="n">
        <v>850.963623046875</v>
      </c>
      <c r="L162" s="11" t="n">
        <v>879.2694091796875</v>
      </c>
      <c r="M162" s="12">
        <f>J162*K162</f>
        <v/>
      </c>
      <c r="N162" s="12">
        <f>J162*L162</f>
        <v/>
      </c>
      <c r="O162" s="12">
        <f>M162+N162</f>
        <v/>
      </c>
      <c r="P162" s="12">
        <f>ROUND(O162*0.0005, 2)</f>
        <v/>
      </c>
      <c r="Q162" s="12">
        <f>N162-M162</f>
        <v/>
      </c>
      <c r="R162" s="12">
        <f>Q162-P162</f>
        <v/>
      </c>
      <c r="S162" s="13">
        <f>ROUND((R162/M162)*100, 2)</f>
        <v/>
      </c>
      <c r="T162" s="12">
        <f>ROUND(0.20*M162, 2)</f>
        <v/>
      </c>
      <c r="U162" s="13">
        <f>ROUND((R162/T162)*100, 2)</f>
        <v/>
      </c>
      <c r="V162" s="12">
        <f>V161+R162</f>
        <v/>
      </c>
      <c r="W162" s="12">
        <f>MAX(W161, V162)</f>
        <v/>
      </c>
      <c r="X162" s="12">
        <f>V162-W162</f>
        <v/>
      </c>
    </row>
    <row r="163">
      <c r="A163" s="9" t="n">
        <v>160</v>
      </c>
      <c r="B163" s="10" t="inlineStr">
        <is>
          <t>POLICYBZR</t>
        </is>
      </c>
      <c r="C163" s="9" t="inlineStr">
        <is>
          <t>Q2 2026-27</t>
        </is>
      </c>
      <c r="D163" s="9" t="inlineStr">
        <is>
          <t>FUTURE LONG</t>
        </is>
      </c>
      <c r="E163" s="9" t="inlineStr">
        <is>
          <t>T-8 to T+1</t>
        </is>
      </c>
      <c r="F163" s="9" t="inlineStr">
        <is>
          <t>80.0%</t>
        </is>
      </c>
      <c r="G163" s="9" t="inlineStr">
        <is>
          <t>2025-01-20</t>
        </is>
      </c>
      <c r="H163" s="9" t="inlineStr">
        <is>
          <t>2025-01-31</t>
        </is>
      </c>
      <c r="I163" s="9" t="inlineStr">
        <is>
          <t>2025-01-30</t>
        </is>
      </c>
      <c r="J163" s="5" t="n">
        <v>571</v>
      </c>
      <c r="K163" s="11" t="n">
        <v>1749.800048828125</v>
      </c>
      <c r="L163" s="11" t="n">
        <v>1726.800048828125</v>
      </c>
      <c r="M163" s="12">
        <f>J163*K163</f>
        <v/>
      </c>
      <c r="N163" s="12">
        <f>J163*L163</f>
        <v/>
      </c>
      <c r="O163" s="12">
        <f>M163+N163</f>
        <v/>
      </c>
      <c r="P163" s="12">
        <f>ROUND(O163*0.0005, 2)</f>
        <v/>
      </c>
      <c r="Q163" s="12">
        <f>N163-M163</f>
        <v/>
      </c>
      <c r="R163" s="12">
        <f>Q163-P163</f>
        <v/>
      </c>
      <c r="S163" s="13">
        <f>ROUND((R163/M163)*100, 2)</f>
        <v/>
      </c>
      <c r="T163" s="12">
        <f>ROUND(0.20*M163, 2)</f>
        <v/>
      </c>
      <c r="U163" s="13">
        <f>ROUND((R163/T163)*100, 2)</f>
        <v/>
      </c>
      <c r="V163" s="12">
        <f>V162+R163</f>
        <v/>
      </c>
      <c r="W163" s="12">
        <f>MAX(W162, V163)</f>
        <v/>
      </c>
      <c r="X163" s="12">
        <f>V163-W163</f>
        <v/>
      </c>
    </row>
    <row r="164">
      <c r="A164" s="9" t="n">
        <v>161</v>
      </c>
      <c r="B164" s="10" t="inlineStr">
        <is>
          <t>POLYCAB</t>
        </is>
      </c>
      <c r="C164" s="9" t="inlineStr">
        <is>
          <t>Q2 2026-27</t>
        </is>
      </c>
      <c r="D164" s="9" t="inlineStr">
        <is>
          <t>FUTURE LONG</t>
        </is>
      </c>
      <c r="E164" s="9" t="inlineStr">
        <is>
          <t>T-8 to T+1</t>
        </is>
      </c>
      <c r="F164" s="9" t="inlineStr">
        <is>
          <t>65.0%</t>
        </is>
      </c>
      <c r="G164" s="9" t="inlineStr">
        <is>
          <t>2025-01-10</t>
        </is>
      </c>
      <c r="H164" s="9" t="inlineStr">
        <is>
          <t>2025-01-23</t>
        </is>
      </c>
      <c r="I164" s="9" t="inlineStr">
        <is>
          <t>2025-01-22</t>
        </is>
      </c>
      <c r="J164" s="5" t="n">
        <v>154</v>
      </c>
      <c r="K164" s="11" t="n">
        <v>6471.85400390625</v>
      </c>
      <c r="L164" s="11" t="n">
        <v>6186.759765625</v>
      </c>
      <c r="M164" s="12">
        <f>J164*K164</f>
        <v/>
      </c>
      <c r="N164" s="12">
        <f>J164*L164</f>
        <v/>
      </c>
      <c r="O164" s="12">
        <f>M164+N164</f>
        <v/>
      </c>
      <c r="P164" s="12">
        <f>ROUND(O164*0.0005, 2)</f>
        <v/>
      </c>
      <c r="Q164" s="12">
        <f>N164-M164</f>
        <v/>
      </c>
      <c r="R164" s="12">
        <f>Q164-P164</f>
        <v/>
      </c>
      <c r="S164" s="13">
        <f>ROUND((R164/M164)*100, 2)</f>
        <v/>
      </c>
      <c r="T164" s="12">
        <f>ROUND(0.20*M164, 2)</f>
        <v/>
      </c>
      <c r="U164" s="13">
        <f>ROUND((R164/T164)*100, 2)</f>
        <v/>
      </c>
      <c r="V164" s="12">
        <f>V163+R164</f>
        <v/>
      </c>
      <c r="W164" s="12">
        <f>MAX(W163, V164)</f>
        <v/>
      </c>
      <c r="X164" s="12">
        <f>V164-W164</f>
        <v/>
      </c>
    </row>
    <row r="165">
      <c r="A165" s="9" t="n">
        <v>162</v>
      </c>
      <c r="B165" s="10" t="inlineStr">
        <is>
          <t>POWERGRID</t>
        </is>
      </c>
      <c r="C165" s="9" t="inlineStr">
        <is>
          <t>Q2 2026-27</t>
        </is>
      </c>
      <c r="D165" s="9" t="inlineStr">
        <is>
          <t>FUTURE LONG</t>
        </is>
      </c>
      <c r="E165" s="9" t="inlineStr">
        <is>
          <t>T-8 to T+1</t>
        </is>
      </c>
      <c r="F165" s="9" t="inlineStr">
        <is>
          <t>75.0%</t>
        </is>
      </c>
      <c r="G165" s="9" t="inlineStr">
        <is>
          <t>2025-01-27</t>
        </is>
      </c>
      <c r="H165" s="9" t="inlineStr">
        <is>
          <t>2025-02-06</t>
        </is>
      </c>
      <c r="I165" s="9" t="inlineStr">
        <is>
          <t>2025-02-04</t>
        </is>
      </c>
      <c r="J165" s="5" t="n">
        <v>1800</v>
      </c>
      <c r="K165" s="11" t="n">
        <v>274.7041320800781</v>
      </c>
      <c r="L165" s="11" t="n">
        <v>269.1047668457031</v>
      </c>
      <c r="M165" s="12">
        <f>J165*K165</f>
        <v/>
      </c>
      <c r="N165" s="12">
        <f>J165*L165</f>
        <v/>
      </c>
      <c r="O165" s="12">
        <f>M165+N165</f>
        <v/>
      </c>
      <c r="P165" s="12">
        <f>ROUND(O165*0.0005, 2)</f>
        <v/>
      </c>
      <c r="Q165" s="12">
        <f>N165-M165</f>
        <v/>
      </c>
      <c r="R165" s="12">
        <f>Q165-P165</f>
        <v/>
      </c>
      <c r="S165" s="13">
        <f>ROUND((R165/M165)*100, 2)</f>
        <v/>
      </c>
      <c r="T165" s="12">
        <f>ROUND(0.20*M165, 2)</f>
        <v/>
      </c>
      <c r="U165" s="13">
        <f>ROUND((R165/T165)*100, 2)</f>
        <v/>
      </c>
      <c r="V165" s="12">
        <f>V164+R165</f>
        <v/>
      </c>
      <c r="W165" s="12">
        <f>MAX(W164, V165)</f>
        <v/>
      </c>
      <c r="X165" s="12">
        <f>V165-W165</f>
        <v/>
      </c>
    </row>
    <row r="166">
      <c r="A166" s="9" t="n">
        <v>163</v>
      </c>
      <c r="B166" s="10" t="inlineStr">
        <is>
          <t>POWERINDIA</t>
        </is>
      </c>
      <c r="C166" s="9" t="inlineStr">
        <is>
          <t>Q2 2026-27</t>
        </is>
      </c>
      <c r="D166" s="9" t="inlineStr">
        <is>
          <t>FUTURE LONG</t>
        </is>
      </c>
      <c r="E166" s="9" t="inlineStr">
        <is>
          <t>T-8 to T+1</t>
        </is>
      </c>
      <c r="F166" s="9" t="inlineStr">
        <is>
          <t>60.0%</t>
        </is>
      </c>
      <c r="G166" s="9" t="inlineStr">
        <is>
          <t>2025-10-01</t>
        </is>
      </c>
      <c r="H166" s="9" t="inlineStr">
        <is>
          <t>2025-10-03</t>
        </is>
      </c>
      <c r="I166" s="9" t="inlineStr">
        <is>
          <t>2025-01-29</t>
        </is>
      </c>
      <c r="J166" s="5" t="n">
        <v>100</v>
      </c>
      <c r="K166" s="11" t="n">
        <v>18225</v>
      </c>
      <c r="L166" s="11" t="n">
        <v>18220</v>
      </c>
      <c r="M166" s="12">
        <f>J166*K166</f>
        <v/>
      </c>
      <c r="N166" s="12">
        <f>J166*L166</f>
        <v/>
      </c>
      <c r="O166" s="12">
        <f>M166+N166</f>
        <v/>
      </c>
      <c r="P166" s="12">
        <f>ROUND(O166*0.0005, 2)</f>
        <v/>
      </c>
      <c r="Q166" s="12">
        <f>N166-M166</f>
        <v/>
      </c>
      <c r="R166" s="12">
        <f>Q166-P166</f>
        <v/>
      </c>
      <c r="S166" s="13">
        <f>ROUND((R166/M166)*100, 2)</f>
        <v/>
      </c>
      <c r="T166" s="12">
        <f>ROUND(0.20*M166, 2)</f>
        <v/>
      </c>
      <c r="U166" s="13">
        <f>ROUND((R166/T166)*100, 2)</f>
        <v/>
      </c>
      <c r="V166" s="12">
        <f>V165+R166</f>
        <v/>
      </c>
      <c r="W166" s="12">
        <f>MAX(W165, V166)</f>
        <v/>
      </c>
      <c r="X166" s="12">
        <f>V166-W166</f>
        <v/>
      </c>
    </row>
    <row r="167">
      <c r="A167" s="9" t="n">
        <v>164</v>
      </c>
      <c r="B167" s="10" t="inlineStr">
        <is>
          <t>PREMIERENE</t>
        </is>
      </c>
      <c r="C167" s="9" t="inlineStr">
        <is>
          <t>Q2 2026-27</t>
        </is>
      </c>
      <c r="D167" s="9" t="inlineStr">
        <is>
          <t>FUTURE LONG</t>
        </is>
      </c>
      <c r="E167" s="9" t="inlineStr">
        <is>
          <t>T-8 to T+1</t>
        </is>
      </c>
      <c r="F167" s="9" t="inlineStr">
        <is>
          <t>65.0%</t>
        </is>
      </c>
      <c r="G167" s="9" t="inlineStr">
        <is>
          <t>2025-01-24</t>
        </is>
      </c>
      <c r="H167" s="9" t="inlineStr">
        <is>
          <t>2025-02-05</t>
        </is>
      </c>
      <c r="I167" s="9" t="inlineStr">
        <is>
          <t>2025-02-04</t>
        </is>
      </c>
      <c r="J167" s="5" t="n">
        <v>1002</v>
      </c>
      <c r="K167" s="11" t="n">
        <v>997.3754272460938</v>
      </c>
      <c r="L167" s="11" t="n">
        <v>1018.982727050781</v>
      </c>
      <c r="M167" s="12">
        <f>J167*K167</f>
        <v/>
      </c>
      <c r="N167" s="12">
        <f>J167*L167</f>
        <v/>
      </c>
      <c r="O167" s="12">
        <f>M167+N167</f>
        <v/>
      </c>
      <c r="P167" s="12">
        <f>ROUND(O167*0.0005, 2)</f>
        <v/>
      </c>
      <c r="Q167" s="12">
        <f>N167-M167</f>
        <v/>
      </c>
      <c r="R167" s="12">
        <f>Q167-P167</f>
        <v/>
      </c>
      <c r="S167" s="13">
        <f>ROUND((R167/M167)*100, 2)</f>
        <v/>
      </c>
      <c r="T167" s="12">
        <f>ROUND(0.20*M167, 2)</f>
        <v/>
      </c>
      <c r="U167" s="13">
        <f>ROUND((R167/T167)*100, 2)</f>
        <v/>
      </c>
      <c r="V167" s="12">
        <f>V166+R167</f>
        <v/>
      </c>
      <c r="W167" s="12">
        <f>MAX(W166, V167)</f>
        <v/>
      </c>
      <c r="X167" s="12">
        <f>V167-W167</f>
        <v/>
      </c>
    </row>
    <row r="168">
      <c r="A168" s="9" t="n">
        <v>165</v>
      </c>
      <c r="B168" s="10" t="inlineStr">
        <is>
          <t>PRESTIGE</t>
        </is>
      </c>
      <c r="C168" s="9" t="inlineStr">
        <is>
          <t>Q2 2026-27</t>
        </is>
      </c>
      <c r="D168" s="9" t="inlineStr">
        <is>
          <t>FUTURE LONG</t>
        </is>
      </c>
      <c r="E168" s="9" t="inlineStr">
        <is>
          <t>T-8 to T+1</t>
        </is>
      </c>
      <c r="F168" s="9" t="inlineStr">
        <is>
          <t>70.0%</t>
        </is>
      </c>
      <c r="G168" s="9" t="inlineStr">
        <is>
          <t>2025-01-21</t>
        </is>
      </c>
      <c r="H168" s="9" t="inlineStr">
        <is>
          <t>2025-02-01</t>
        </is>
      </c>
      <c r="I168" s="9" t="inlineStr">
        <is>
          <t>2025-01-31</t>
        </is>
      </c>
      <c r="J168" s="5" t="n">
        <v>720</v>
      </c>
      <c r="K168" s="11" t="n">
        <v>1387.30322265625</v>
      </c>
      <c r="L168" s="11" t="n">
        <v>1430.053955078125</v>
      </c>
      <c r="M168" s="12">
        <f>J168*K168</f>
        <v/>
      </c>
      <c r="N168" s="12">
        <f>J168*L168</f>
        <v/>
      </c>
      <c r="O168" s="12">
        <f>M168+N168</f>
        <v/>
      </c>
      <c r="P168" s="12">
        <f>ROUND(O168*0.0005, 2)</f>
        <v/>
      </c>
      <c r="Q168" s="12">
        <f>N168-M168</f>
        <v/>
      </c>
      <c r="R168" s="12">
        <f>Q168-P168</f>
        <v/>
      </c>
      <c r="S168" s="13">
        <f>ROUND((R168/M168)*100, 2)</f>
        <v/>
      </c>
      <c r="T168" s="12">
        <f>ROUND(0.20*M168, 2)</f>
        <v/>
      </c>
      <c r="U168" s="13">
        <f>ROUND((R168/T168)*100, 2)</f>
        <v/>
      </c>
      <c r="V168" s="12">
        <f>V167+R168</f>
        <v/>
      </c>
      <c r="W168" s="12">
        <f>MAX(W167, V168)</f>
        <v/>
      </c>
      <c r="X168" s="12">
        <f>V168-W168</f>
        <v/>
      </c>
    </row>
    <row r="169">
      <c r="A169" s="9" t="n">
        <v>166</v>
      </c>
      <c r="B169" s="10" t="inlineStr">
        <is>
          <t>RADICO</t>
        </is>
      </c>
      <c r="C169" s="9" t="inlineStr">
        <is>
          <t>Q2 2026-27</t>
        </is>
      </c>
      <c r="D169" s="9" t="inlineStr">
        <is>
          <t>FUTURE LONG</t>
        </is>
      </c>
      <c r="E169" s="9" t="inlineStr">
        <is>
          <t>T-8 to T+1</t>
        </is>
      </c>
      <c r="F169" s="9" t="inlineStr">
        <is>
          <t>70.0%</t>
        </is>
      </c>
      <c r="G169" s="9" t="inlineStr">
        <is>
          <t>2025-01-17</t>
        </is>
      </c>
      <c r="H169" s="9" t="inlineStr">
        <is>
          <t>2025-01-30</t>
        </is>
      </c>
      <c r="I169" s="9" t="inlineStr">
        <is>
          <t>2025-01-29</t>
        </is>
      </c>
      <c r="J169" s="5" t="n">
        <v>439</v>
      </c>
      <c r="K169" s="11" t="n">
        <v>2274.39794921875</v>
      </c>
      <c r="L169" s="11" t="n">
        <v>2190.755126953125</v>
      </c>
      <c r="M169" s="12">
        <f>J169*K169</f>
        <v/>
      </c>
      <c r="N169" s="12">
        <f>J169*L169</f>
        <v/>
      </c>
      <c r="O169" s="12">
        <f>M169+N169</f>
        <v/>
      </c>
      <c r="P169" s="12">
        <f>ROUND(O169*0.0005, 2)</f>
        <v/>
      </c>
      <c r="Q169" s="12">
        <f>N169-M169</f>
        <v/>
      </c>
      <c r="R169" s="12">
        <f>Q169-P169</f>
        <v/>
      </c>
      <c r="S169" s="13">
        <f>ROUND((R169/M169)*100, 2)</f>
        <v/>
      </c>
      <c r="T169" s="12">
        <f>ROUND(0.20*M169, 2)</f>
        <v/>
      </c>
      <c r="U169" s="13">
        <f>ROUND((R169/T169)*100, 2)</f>
        <v/>
      </c>
      <c r="V169" s="12">
        <f>V168+R169</f>
        <v/>
      </c>
      <c r="W169" s="12">
        <f>MAX(W168, V169)</f>
        <v/>
      </c>
      <c r="X169" s="12">
        <f>V169-W169</f>
        <v/>
      </c>
    </row>
    <row r="170">
      <c r="A170" s="9" t="n">
        <v>167</v>
      </c>
      <c r="B170" s="10" t="inlineStr">
        <is>
          <t>RBLBANK</t>
        </is>
      </c>
      <c r="C170" s="9" t="inlineStr">
        <is>
          <t>Q2 2026-27</t>
        </is>
      </c>
      <c r="D170" s="9" t="inlineStr">
        <is>
          <t>FUTURE LONG</t>
        </is>
      </c>
      <c r="E170" s="9" t="inlineStr">
        <is>
          <t>T-8 to T+1</t>
        </is>
      </c>
      <c r="F170" s="9" t="inlineStr">
        <is>
          <t>65.0%</t>
        </is>
      </c>
      <c r="G170" s="9" t="inlineStr">
        <is>
          <t>2025-01-07</t>
        </is>
      </c>
      <c r="H170" s="9" t="inlineStr">
        <is>
          <t>2025-01-20</t>
        </is>
      </c>
      <c r="I170" s="9" t="inlineStr">
        <is>
          <t>2025-01-18</t>
        </is>
      </c>
      <c r="J170" s="5" t="n">
        <v>6045</v>
      </c>
      <c r="K170" s="11" t="n">
        <v>165.4184875488281</v>
      </c>
      <c r="L170" s="11" t="n">
        <v>157.6068725585938</v>
      </c>
      <c r="M170" s="12">
        <f>J170*K170</f>
        <v/>
      </c>
      <c r="N170" s="12">
        <f>J170*L170</f>
        <v/>
      </c>
      <c r="O170" s="12">
        <f>M170+N170</f>
        <v/>
      </c>
      <c r="P170" s="12">
        <f>ROUND(O170*0.0005, 2)</f>
        <v/>
      </c>
      <c r="Q170" s="12">
        <f>N170-M170</f>
        <v/>
      </c>
      <c r="R170" s="12">
        <f>Q170-P170</f>
        <v/>
      </c>
      <c r="S170" s="13">
        <f>ROUND((R170/M170)*100, 2)</f>
        <v/>
      </c>
      <c r="T170" s="12">
        <f>ROUND(0.20*M170, 2)</f>
        <v/>
      </c>
      <c r="U170" s="13">
        <f>ROUND((R170/T170)*100, 2)</f>
        <v/>
      </c>
      <c r="V170" s="12">
        <f>V169+R170</f>
        <v/>
      </c>
      <c r="W170" s="12">
        <f>MAX(W169, V170)</f>
        <v/>
      </c>
      <c r="X170" s="12">
        <f>V170-W170</f>
        <v/>
      </c>
    </row>
    <row r="171">
      <c r="A171" s="9" t="n">
        <v>168</v>
      </c>
      <c r="B171" s="10" t="inlineStr">
        <is>
          <t>RECLTD</t>
        </is>
      </c>
      <c r="C171" s="9" t="inlineStr">
        <is>
          <t>Q2 2026-27</t>
        </is>
      </c>
      <c r="D171" s="9" t="inlineStr">
        <is>
          <t>FUTURE LONG</t>
        </is>
      </c>
      <c r="E171" s="9" t="inlineStr">
        <is>
          <t>T-8 to T+1</t>
        </is>
      </c>
      <c r="F171" s="9" t="inlineStr">
        <is>
          <t>65.0%</t>
        </is>
      </c>
      <c r="G171" s="9" t="inlineStr">
        <is>
          <t>2026-07-14</t>
        </is>
      </c>
      <c r="H171" s="9" t="inlineStr">
        <is>
          <t>2026-07-27</t>
        </is>
      </c>
      <c r="I171" s="9" t="inlineStr">
        <is>
          <t>2026-07-24</t>
        </is>
      </c>
      <c r="J171" s="5" t="n">
        <v>2837</v>
      </c>
      <c r="K171" s="11" t="n">
        <v>352.4500122070312</v>
      </c>
      <c r="L171" s="11" t="n">
        <v>368.1499938964844</v>
      </c>
      <c r="M171" s="12">
        <f>J171*K171</f>
        <v/>
      </c>
      <c r="N171" s="12">
        <f>J171*L171</f>
        <v/>
      </c>
      <c r="O171" s="12">
        <f>M171+N171</f>
        <v/>
      </c>
      <c r="P171" s="12">
        <f>ROUND(O171*0.0005, 2)</f>
        <v/>
      </c>
      <c r="Q171" s="12">
        <f>N171-M171</f>
        <v/>
      </c>
      <c r="R171" s="12">
        <f>Q171-P171</f>
        <v/>
      </c>
      <c r="S171" s="13">
        <f>ROUND((R171/M171)*100, 2)</f>
        <v/>
      </c>
      <c r="T171" s="12">
        <f>ROUND(0.20*M171, 2)</f>
        <v/>
      </c>
      <c r="U171" s="13">
        <f>ROUND((R171/T171)*100, 2)</f>
        <v/>
      </c>
      <c r="V171" s="12">
        <f>V170+R171</f>
        <v/>
      </c>
      <c r="W171" s="12">
        <f>MAX(W170, V171)</f>
        <v/>
      </c>
      <c r="X171" s="12">
        <f>V171-W171</f>
        <v/>
      </c>
    </row>
    <row r="172">
      <c r="A172" s="9" t="n">
        <v>169</v>
      </c>
      <c r="B172" s="10" t="inlineStr">
        <is>
          <t>RELIANCE</t>
        </is>
      </c>
      <c r="C172" s="9" t="inlineStr">
        <is>
          <t>Q2 2026-27</t>
        </is>
      </c>
      <c r="D172" s="9" t="inlineStr">
        <is>
          <t>FUTURE LONG</t>
        </is>
      </c>
      <c r="E172" s="9" t="inlineStr">
        <is>
          <t>T-8 to T+1</t>
        </is>
      </c>
      <c r="F172" s="9" t="inlineStr">
        <is>
          <t>65.0%</t>
        </is>
      </c>
      <c r="G172" s="9" t="inlineStr">
        <is>
          <t>2025-01-07</t>
        </is>
      </c>
      <c r="H172" s="9" t="inlineStr">
        <is>
          <t>2025-01-20</t>
        </is>
      </c>
      <c r="I172" s="9" t="inlineStr">
        <is>
          <t>2025-01-16</t>
        </is>
      </c>
      <c r="J172" s="5" t="n">
        <v>250</v>
      </c>
      <c r="K172" s="11" t="n">
        <v>1230.225708007812</v>
      </c>
      <c r="L172" s="11" t="n">
        <v>1294.272705078125</v>
      </c>
      <c r="M172" s="12">
        <f>J172*K172</f>
        <v/>
      </c>
      <c r="N172" s="12">
        <f>J172*L172</f>
        <v/>
      </c>
      <c r="O172" s="12">
        <f>M172+N172</f>
        <v/>
      </c>
      <c r="P172" s="12">
        <f>ROUND(O172*0.0005, 2)</f>
        <v/>
      </c>
      <c r="Q172" s="12">
        <f>N172-M172</f>
        <v/>
      </c>
      <c r="R172" s="12">
        <f>Q172-P172</f>
        <v/>
      </c>
      <c r="S172" s="13">
        <f>ROUND((R172/M172)*100, 2)</f>
        <v/>
      </c>
      <c r="T172" s="12">
        <f>ROUND(0.20*M172, 2)</f>
        <v/>
      </c>
      <c r="U172" s="13">
        <f>ROUND((R172/T172)*100, 2)</f>
        <v/>
      </c>
      <c r="V172" s="12">
        <f>V171+R172</f>
        <v/>
      </c>
      <c r="W172" s="12">
        <f>MAX(W171, V172)</f>
        <v/>
      </c>
      <c r="X172" s="12">
        <f>V172-W172</f>
        <v/>
      </c>
    </row>
    <row r="173">
      <c r="A173" s="9" t="n">
        <v>170</v>
      </c>
      <c r="B173" s="10" t="inlineStr">
        <is>
          <t>RVNL</t>
        </is>
      </c>
      <c r="C173" s="9" t="inlineStr">
        <is>
          <t>Q2 2026-27</t>
        </is>
      </c>
      <c r="D173" s="9" t="inlineStr">
        <is>
          <t>FUTURE LONG</t>
        </is>
      </c>
      <c r="E173" s="9" t="inlineStr">
        <is>
          <t>T-8 to T+1</t>
        </is>
      </c>
      <c r="F173" s="9" t="inlineStr">
        <is>
          <t>75.0%</t>
        </is>
      </c>
      <c r="G173" s="9" t="inlineStr">
        <is>
          <t>2025-02-04</t>
        </is>
      </c>
      <c r="H173" s="9" t="inlineStr">
        <is>
          <t>2025-02-17</t>
        </is>
      </c>
      <c r="I173" s="9" t="inlineStr">
        <is>
          <t>2025-02-14</t>
        </is>
      </c>
      <c r="J173" s="5" t="n">
        <v>2520</v>
      </c>
      <c r="K173" s="11" t="n">
        <v>396.7737426757813</v>
      </c>
      <c r="L173" s="11" t="n">
        <v>339.60302734375</v>
      </c>
      <c r="M173" s="12">
        <f>J173*K173</f>
        <v/>
      </c>
      <c r="N173" s="12">
        <f>J173*L173</f>
        <v/>
      </c>
      <c r="O173" s="12">
        <f>M173+N173</f>
        <v/>
      </c>
      <c r="P173" s="12">
        <f>ROUND(O173*0.0005, 2)</f>
        <v/>
      </c>
      <c r="Q173" s="12">
        <f>N173-M173</f>
        <v/>
      </c>
      <c r="R173" s="12">
        <f>Q173-P173</f>
        <v/>
      </c>
      <c r="S173" s="13">
        <f>ROUND((R173/M173)*100, 2)</f>
        <v/>
      </c>
      <c r="T173" s="12">
        <f>ROUND(0.20*M173, 2)</f>
        <v/>
      </c>
      <c r="U173" s="13">
        <f>ROUND((R173/T173)*100, 2)</f>
        <v/>
      </c>
      <c r="V173" s="12">
        <f>V172+R173</f>
        <v/>
      </c>
      <c r="W173" s="12">
        <f>MAX(W172, V173)</f>
        <v/>
      </c>
      <c r="X173" s="12">
        <f>V173-W173</f>
        <v/>
      </c>
    </row>
    <row r="174">
      <c r="A174" s="9" t="n">
        <v>171</v>
      </c>
      <c r="B174" s="10" t="inlineStr">
        <is>
          <t>SAGILITY</t>
        </is>
      </c>
      <c r="C174" s="9" t="inlineStr">
        <is>
          <t>Q2 2026-27</t>
        </is>
      </c>
      <c r="D174" s="9" t="inlineStr">
        <is>
          <t>FUTURE LONG</t>
        </is>
      </c>
      <c r="E174" s="9" t="inlineStr">
        <is>
          <t>T-8 to T+1</t>
        </is>
      </c>
      <c r="F174" s="9" t="inlineStr">
        <is>
          <t>65.0%</t>
        </is>
      </c>
      <c r="G174" s="9" t="inlineStr">
        <is>
          <t>2025-01-27</t>
        </is>
      </c>
      <c r="H174" s="9" t="inlineStr">
        <is>
          <t>2025-02-06</t>
        </is>
      </c>
      <c r="I174" s="9" t="inlineStr">
        <is>
          <t>2025-02-05</t>
        </is>
      </c>
      <c r="J174" s="5" t="n">
        <v>21961</v>
      </c>
      <c r="K174" s="11" t="n">
        <v>45.53448486328125</v>
      </c>
      <c r="L174" s="11" t="n">
        <v>52.67734146118164</v>
      </c>
      <c r="M174" s="12">
        <f>J174*K174</f>
        <v/>
      </c>
      <c r="N174" s="12">
        <f>J174*L174</f>
        <v/>
      </c>
      <c r="O174" s="12">
        <f>M174+N174</f>
        <v/>
      </c>
      <c r="P174" s="12">
        <f>ROUND(O174*0.0005, 2)</f>
        <v/>
      </c>
      <c r="Q174" s="12">
        <f>N174-M174</f>
        <v/>
      </c>
      <c r="R174" s="12">
        <f>Q174-P174</f>
        <v/>
      </c>
      <c r="S174" s="13">
        <f>ROUND((R174/M174)*100, 2)</f>
        <v/>
      </c>
      <c r="T174" s="12">
        <f>ROUND(0.20*M174, 2)</f>
        <v/>
      </c>
      <c r="U174" s="13">
        <f>ROUND((R174/T174)*100, 2)</f>
        <v/>
      </c>
      <c r="V174" s="12">
        <f>V173+R174</f>
        <v/>
      </c>
      <c r="W174" s="12">
        <f>MAX(W173, V174)</f>
        <v/>
      </c>
      <c r="X174" s="12">
        <f>V174-W174</f>
        <v/>
      </c>
    </row>
    <row r="175">
      <c r="A175" s="9" t="n">
        <v>172</v>
      </c>
      <c r="B175" s="10" t="inlineStr">
        <is>
          <t>SAIL</t>
        </is>
      </c>
      <c r="C175" s="9" t="inlineStr">
        <is>
          <t>Q2 2026-27</t>
        </is>
      </c>
      <c r="D175" s="9" t="inlineStr">
        <is>
          <t>FUTURE LONG</t>
        </is>
      </c>
      <c r="E175" s="9" t="inlineStr">
        <is>
          <t>T-8 to T+1</t>
        </is>
      </c>
      <c r="F175" s="9" t="inlineStr">
        <is>
          <t>75.0%</t>
        </is>
      </c>
      <c r="G175" s="9" t="inlineStr">
        <is>
          <t>2025-02-01</t>
        </is>
      </c>
      <c r="H175" s="9" t="inlineStr">
        <is>
          <t>2025-02-13</t>
        </is>
      </c>
      <c r="I175" s="9" t="inlineStr">
        <is>
          <t>2025-02-12</t>
        </is>
      </c>
      <c r="J175" s="5" t="n">
        <v>9504</v>
      </c>
      <c r="K175" s="11" t="n">
        <v>105.2113571166992</v>
      </c>
      <c r="L175" s="11" t="n">
        <v>107.9766998291016</v>
      </c>
      <c r="M175" s="12">
        <f>J175*K175</f>
        <v/>
      </c>
      <c r="N175" s="12">
        <f>J175*L175</f>
        <v/>
      </c>
      <c r="O175" s="12">
        <f>M175+N175</f>
        <v/>
      </c>
      <c r="P175" s="12">
        <f>ROUND(O175*0.0005, 2)</f>
        <v/>
      </c>
      <c r="Q175" s="12">
        <f>N175-M175</f>
        <v/>
      </c>
      <c r="R175" s="12">
        <f>Q175-P175</f>
        <v/>
      </c>
      <c r="S175" s="13">
        <f>ROUND((R175/M175)*100, 2)</f>
        <v/>
      </c>
      <c r="T175" s="12">
        <f>ROUND(0.20*M175, 2)</f>
        <v/>
      </c>
      <c r="U175" s="13">
        <f>ROUND((R175/T175)*100, 2)</f>
        <v/>
      </c>
      <c r="V175" s="12">
        <f>V174+R175</f>
        <v/>
      </c>
      <c r="W175" s="12">
        <f>MAX(W174, V175)</f>
        <v/>
      </c>
      <c r="X175" s="12">
        <f>V175-W175</f>
        <v/>
      </c>
    </row>
    <row r="176">
      <c r="A176" s="9" t="n">
        <v>173</v>
      </c>
      <c r="B176" s="10" t="inlineStr">
        <is>
          <t>SBICARD</t>
        </is>
      </c>
      <c r="C176" s="9" t="inlineStr">
        <is>
          <t>Q2 2026-27</t>
        </is>
      </c>
      <c r="D176" s="9" t="inlineStr">
        <is>
          <t>FUTURE LONG</t>
        </is>
      </c>
      <c r="E176" s="9" t="inlineStr">
        <is>
          <t>T-8 to T+1</t>
        </is>
      </c>
      <c r="F176" s="9" t="inlineStr">
        <is>
          <t>65.0%</t>
        </is>
      </c>
      <c r="G176" s="9" t="inlineStr">
        <is>
          <t>2025-01-16</t>
        </is>
      </c>
      <c r="H176" s="9" t="inlineStr">
        <is>
          <t>2025-01-29</t>
        </is>
      </c>
      <c r="I176" s="9" t="inlineStr">
        <is>
          <t>2025-01-28</t>
        </is>
      </c>
      <c r="J176" s="5" t="n">
        <v>1310</v>
      </c>
      <c r="K176" s="11" t="n">
        <v>762.95</v>
      </c>
      <c r="L176" s="11" t="n">
        <v>763</v>
      </c>
      <c r="M176" s="12">
        <f>J176*K176</f>
        <v/>
      </c>
      <c r="N176" s="12">
        <f>J176*L176</f>
        <v/>
      </c>
      <c r="O176" s="12">
        <f>M176+N176</f>
        <v/>
      </c>
      <c r="P176" s="12">
        <f>ROUND(O176*0.0005, 2)</f>
        <v/>
      </c>
      <c r="Q176" s="12">
        <f>N176-M176</f>
        <v/>
      </c>
      <c r="R176" s="12">
        <f>Q176-P176</f>
        <v/>
      </c>
      <c r="S176" s="13">
        <f>ROUND((R176/M176)*100, 2)</f>
        <v/>
      </c>
      <c r="T176" s="12">
        <f>ROUND(0.20*M176, 2)</f>
        <v/>
      </c>
      <c r="U176" s="13">
        <f>ROUND((R176/T176)*100, 2)</f>
        <v/>
      </c>
      <c r="V176" s="12">
        <f>V175+R176</f>
        <v/>
      </c>
      <c r="W176" s="12">
        <f>MAX(W175, V176)</f>
        <v/>
      </c>
      <c r="X176" s="12">
        <f>V176-W176</f>
        <v/>
      </c>
    </row>
    <row r="177">
      <c r="A177" s="9" t="n">
        <v>174</v>
      </c>
      <c r="B177" s="10" t="inlineStr">
        <is>
          <t>SBILIFE</t>
        </is>
      </c>
      <c r="C177" s="9" t="inlineStr">
        <is>
          <t>Q2 2026-27</t>
        </is>
      </c>
      <c r="D177" s="9" t="inlineStr">
        <is>
          <t>FUTURE LONG</t>
        </is>
      </c>
      <c r="E177" s="9" t="inlineStr">
        <is>
          <t>T-8 to T+1</t>
        </is>
      </c>
      <c r="F177" s="9" t="inlineStr">
        <is>
          <t>80.0%</t>
        </is>
      </c>
      <c r="G177" s="9" t="inlineStr">
        <is>
          <t>2025-01-07</t>
        </is>
      </c>
      <c r="H177" s="9" t="inlineStr">
        <is>
          <t>2025-01-20</t>
        </is>
      </c>
      <c r="I177" s="9" t="inlineStr">
        <is>
          <t>2025-01-17</t>
        </is>
      </c>
      <c r="J177" s="5" t="n">
        <v>375</v>
      </c>
      <c r="K177" s="11" t="n">
        <v>1472.895263671875</v>
      </c>
      <c r="L177" s="11" t="n">
        <v>1494.773071289062</v>
      </c>
      <c r="M177" s="12">
        <f>J177*K177</f>
        <v/>
      </c>
      <c r="N177" s="12">
        <f>J177*L177</f>
        <v/>
      </c>
      <c r="O177" s="12">
        <f>M177+N177</f>
        <v/>
      </c>
      <c r="P177" s="12">
        <f>ROUND(O177*0.0005, 2)</f>
        <v/>
      </c>
      <c r="Q177" s="12">
        <f>N177-M177</f>
        <v/>
      </c>
      <c r="R177" s="12">
        <f>Q177-P177</f>
        <v/>
      </c>
      <c r="S177" s="13">
        <f>ROUND((R177/M177)*100, 2)</f>
        <v/>
      </c>
      <c r="T177" s="12">
        <f>ROUND(0.20*M177, 2)</f>
        <v/>
      </c>
      <c r="U177" s="13">
        <f>ROUND((R177/T177)*100, 2)</f>
        <v/>
      </c>
      <c r="V177" s="12">
        <f>V176+R177</f>
        <v/>
      </c>
      <c r="W177" s="12">
        <f>MAX(W176, V177)</f>
        <v/>
      </c>
      <c r="X177" s="12">
        <f>V177-W177</f>
        <v/>
      </c>
    </row>
    <row r="178">
      <c r="A178" s="9" t="n">
        <v>175</v>
      </c>
      <c r="B178" s="10" t="inlineStr">
        <is>
          <t>SBIN</t>
        </is>
      </c>
      <c r="C178" s="9" t="inlineStr">
        <is>
          <t>Q2 2026-27</t>
        </is>
      </c>
      <c r="D178" s="9" t="inlineStr">
        <is>
          <t>FUTURE LONG</t>
        </is>
      </c>
      <c r="E178" s="9" t="inlineStr">
        <is>
          <t>T-8 to T+1</t>
        </is>
      </c>
      <c r="F178" s="9" t="inlineStr">
        <is>
          <t>60.0%</t>
        </is>
      </c>
      <c r="G178" s="9" t="inlineStr">
        <is>
          <t>2025-01-29</t>
        </is>
      </c>
      <c r="H178" s="9" t="inlineStr">
        <is>
          <t>2025-02-10</t>
        </is>
      </c>
      <c r="I178" s="9" t="inlineStr">
        <is>
          <t>2025-02-06</t>
        </is>
      </c>
      <c r="J178" s="5" t="n">
        <v>1500</v>
      </c>
      <c r="K178" s="11" t="n">
        <v>730.355712890625</v>
      </c>
      <c r="L178" s="11" t="n">
        <v>709.5076904296875</v>
      </c>
      <c r="M178" s="12">
        <f>J178*K178</f>
        <v/>
      </c>
      <c r="N178" s="12">
        <f>J178*L178</f>
        <v/>
      </c>
      <c r="O178" s="12">
        <f>M178+N178</f>
        <v/>
      </c>
      <c r="P178" s="12">
        <f>ROUND(O178*0.0005, 2)</f>
        <v/>
      </c>
      <c r="Q178" s="12">
        <f>N178-M178</f>
        <v/>
      </c>
      <c r="R178" s="12">
        <f>Q178-P178</f>
        <v/>
      </c>
      <c r="S178" s="13">
        <f>ROUND((R178/M178)*100, 2)</f>
        <v/>
      </c>
      <c r="T178" s="12">
        <f>ROUND(0.20*M178, 2)</f>
        <v/>
      </c>
      <c r="U178" s="13">
        <f>ROUND((R178/T178)*100, 2)</f>
        <v/>
      </c>
      <c r="V178" s="12">
        <f>V177+R178</f>
        <v/>
      </c>
      <c r="W178" s="12">
        <f>MAX(W177, V178)</f>
        <v/>
      </c>
      <c r="X178" s="12">
        <f>V178-W178</f>
        <v/>
      </c>
    </row>
    <row r="179">
      <c r="A179" s="9" t="n">
        <v>176</v>
      </c>
      <c r="B179" s="10" t="inlineStr">
        <is>
          <t>SHREECEM</t>
        </is>
      </c>
      <c r="C179" s="9" t="inlineStr">
        <is>
          <t>Q2 2026-27</t>
        </is>
      </c>
      <c r="D179" s="9" t="inlineStr">
        <is>
          <t>FUTURE LONG</t>
        </is>
      </c>
      <c r="E179" s="9" t="inlineStr">
        <is>
          <t>T-8 to T+1</t>
        </is>
      </c>
      <c r="F179" s="9" t="inlineStr">
        <is>
          <t>65.0%</t>
        </is>
      </c>
      <c r="G179" s="9" t="inlineStr">
        <is>
          <t>2025-01-20</t>
        </is>
      </c>
      <c r="H179" s="9" t="inlineStr">
        <is>
          <t>2025-01-31</t>
        </is>
      </c>
      <c r="I179" s="9" t="inlineStr">
        <is>
          <t>2025-01-30</t>
        </is>
      </c>
      <c r="J179" s="5" t="n">
        <v>100</v>
      </c>
      <c r="K179" s="11" t="n">
        <v>24916.515625</v>
      </c>
      <c r="L179" s="11" t="n">
        <v>27542.234375</v>
      </c>
      <c r="M179" s="12">
        <f>J179*K179</f>
        <v/>
      </c>
      <c r="N179" s="12">
        <f>J179*L179</f>
        <v/>
      </c>
      <c r="O179" s="12">
        <f>M179+N179</f>
        <v/>
      </c>
      <c r="P179" s="12">
        <f>ROUND(O179*0.0005, 2)</f>
        <v/>
      </c>
      <c r="Q179" s="12">
        <f>N179-M179</f>
        <v/>
      </c>
      <c r="R179" s="12">
        <f>Q179-P179</f>
        <v/>
      </c>
      <c r="S179" s="13">
        <f>ROUND((R179/M179)*100, 2)</f>
        <v/>
      </c>
      <c r="T179" s="12">
        <f>ROUND(0.20*M179, 2)</f>
        <v/>
      </c>
      <c r="U179" s="13">
        <f>ROUND((R179/T179)*100, 2)</f>
        <v/>
      </c>
      <c r="V179" s="12">
        <f>V178+R179</f>
        <v/>
      </c>
      <c r="W179" s="12">
        <f>MAX(W178, V179)</f>
        <v/>
      </c>
      <c r="X179" s="12">
        <f>V179-W179</f>
        <v/>
      </c>
    </row>
    <row r="180">
      <c r="A180" s="9" t="n">
        <v>177</v>
      </c>
      <c r="B180" s="10" t="inlineStr">
        <is>
          <t>SHRIRAMFIN</t>
        </is>
      </c>
      <c r="C180" s="9" t="inlineStr">
        <is>
          <t>Q2 2026-27</t>
        </is>
      </c>
      <c r="D180" s="9" t="inlineStr">
        <is>
          <t>FUTURE LONG</t>
        </is>
      </c>
      <c r="E180" s="9" t="inlineStr">
        <is>
          <t>T-8 to T+1</t>
        </is>
      </c>
      <c r="F180" s="9" t="inlineStr">
        <is>
          <t>70.0%</t>
        </is>
      </c>
      <c r="G180" s="9" t="inlineStr">
        <is>
          <t>2025-01-14</t>
        </is>
      </c>
      <c r="H180" s="9" t="inlineStr">
        <is>
          <t>2025-01-27</t>
        </is>
      </c>
      <c r="I180" s="9" t="inlineStr">
        <is>
          <t>2025-01-24</t>
        </is>
      </c>
      <c r="J180" s="5" t="n">
        <v>1876</v>
      </c>
      <c r="K180" s="11" t="n">
        <v>532.8745727539062</v>
      </c>
      <c r="L180" s="11" t="n">
        <v>501.0940856933594</v>
      </c>
      <c r="M180" s="12">
        <f>J180*K180</f>
        <v/>
      </c>
      <c r="N180" s="12">
        <f>J180*L180</f>
        <v/>
      </c>
      <c r="O180" s="12">
        <f>M180+N180</f>
        <v/>
      </c>
      <c r="P180" s="12">
        <f>ROUND(O180*0.0005, 2)</f>
        <v/>
      </c>
      <c r="Q180" s="12">
        <f>N180-M180</f>
        <v/>
      </c>
      <c r="R180" s="12">
        <f>Q180-P180</f>
        <v/>
      </c>
      <c r="S180" s="13">
        <f>ROUND((R180/M180)*100, 2)</f>
        <v/>
      </c>
      <c r="T180" s="12">
        <f>ROUND(0.20*M180, 2)</f>
        <v/>
      </c>
      <c r="U180" s="13">
        <f>ROUND((R180/T180)*100, 2)</f>
        <v/>
      </c>
      <c r="V180" s="12">
        <f>V179+R180</f>
        <v/>
      </c>
      <c r="W180" s="12">
        <f>MAX(W179, V180)</f>
        <v/>
      </c>
      <c r="X180" s="12">
        <f>V180-W180</f>
        <v/>
      </c>
    </row>
    <row r="181">
      <c r="A181" s="9" t="n">
        <v>178</v>
      </c>
      <c r="B181" s="10" t="inlineStr">
        <is>
          <t>SIEMENS</t>
        </is>
      </c>
      <c r="C181" s="9" t="inlineStr">
        <is>
          <t>Q2 2026-27</t>
        </is>
      </c>
      <c r="D181" s="9" t="inlineStr">
        <is>
          <t>FUTURE LONG</t>
        </is>
      </c>
      <c r="E181" s="9" t="inlineStr">
        <is>
          <t>T-8 to T+1</t>
        </is>
      </c>
      <c r="F181" s="9" t="inlineStr">
        <is>
          <t>60.0%</t>
        </is>
      </c>
      <c r="G181" s="9" t="inlineStr">
        <is>
          <t>2025-02-01</t>
        </is>
      </c>
      <c r="H181" s="9" t="inlineStr">
        <is>
          <t>2025-02-13</t>
        </is>
      </c>
      <c r="I181" s="9" t="inlineStr">
        <is>
          <t>2025-02-12</t>
        </is>
      </c>
      <c r="J181" s="5" t="n">
        <v>297</v>
      </c>
      <c r="K181" s="11" t="n">
        <v>3357.719970703125</v>
      </c>
      <c r="L181" s="11" t="n">
        <v>2982.125</v>
      </c>
      <c r="M181" s="12">
        <f>J181*K181</f>
        <v/>
      </c>
      <c r="N181" s="12">
        <f>J181*L181</f>
        <v/>
      </c>
      <c r="O181" s="12">
        <f>M181+N181</f>
        <v/>
      </c>
      <c r="P181" s="12">
        <f>ROUND(O181*0.0005, 2)</f>
        <v/>
      </c>
      <c r="Q181" s="12">
        <f>N181-M181</f>
        <v/>
      </c>
      <c r="R181" s="12">
        <f>Q181-P181</f>
        <v/>
      </c>
      <c r="S181" s="13">
        <f>ROUND((R181/M181)*100, 2)</f>
        <v/>
      </c>
      <c r="T181" s="12">
        <f>ROUND(0.20*M181, 2)</f>
        <v/>
      </c>
      <c r="U181" s="13">
        <f>ROUND((R181/T181)*100, 2)</f>
        <v/>
      </c>
      <c r="V181" s="12">
        <f>V180+R181</f>
        <v/>
      </c>
      <c r="W181" s="12">
        <f>MAX(W180, V181)</f>
        <v/>
      </c>
      <c r="X181" s="12">
        <f>V181-W181</f>
        <v/>
      </c>
    </row>
    <row r="182">
      <c r="A182" s="9" t="n">
        <v>179</v>
      </c>
      <c r="B182" s="10" t="inlineStr">
        <is>
          <t>SOLARINDS</t>
        </is>
      </c>
      <c r="C182" s="9" t="inlineStr">
        <is>
          <t>Q2 2026-27</t>
        </is>
      </c>
      <c r="D182" s="9" t="inlineStr">
        <is>
          <t>FUTURE LONG</t>
        </is>
      </c>
      <c r="E182" s="9" t="inlineStr">
        <is>
          <t>T-8 to T+1</t>
        </is>
      </c>
      <c r="F182" s="9" t="inlineStr">
        <is>
          <t>70.0%</t>
        </is>
      </c>
      <c r="G182" s="9" t="inlineStr">
        <is>
          <t>2025-01-28</t>
        </is>
      </c>
      <c r="H182" s="9" t="inlineStr">
        <is>
          <t>2025-02-07</t>
        </is>
      </c>
      <c r="I182" s="9" t="inlineStr">
        <is>
          <t>2025-02-06</t>
        </is>
      </c>
      <c r="J182" s="5" t="n">
        <v>108</v>
      </c>
      <c r="K182" s="11" t="n">
        <v>9240.9560546875</v>
      </c>
      <c r="L182" s="11" t="n">
        <v>9075.0029296875</v>
      </c>
      <c r="M182" s="12">
        <f>J182*K182</f>
        <v/>
      </c>
      <c r="N182" s="12">
        <f>J182*L182</f>
        <v/>
      </c>
      <c r="O182" s="12">
        <f>M182+N182</f>
        <v/>
      </c>
      <c r="P182" s="12">
        <f>ROUND(O182*0.0005, 2)</f>
        <v/>
      </c>
      <c r="Q182" s="12">
        <f>N182-M182</f>
        <v/>
      </c>
      <c r="R182" s="12">
        <f>Q182-P182</f>
        <v/>
      </c>
      <c r="S182" s="13">
        <f>ROUND((R182/M182)*100, 2)</f>
        <v/>
      </c>
      <c r="T182" s="12">
        <f>ROUND(0.20*M182, 2)</f>
        <v/>
      </c>
      <c r="U182" s="13">
        <f>ROUND((R182/T182)*100, 2)</f>
        <v/>
      </c>
      <c r="V182" s="12">
        <f>V181+R182</f>
        <v/>
      </c>
      <c r="W182" s="12">
        <f>MAX(W181, V182)</f>
        <v/>
      </c>
      <c r="X182" s="12">
        <f>V182-W182</f>
        <v/>
      </c>
    </row>
    <row r="183">
      <c r="A183" s="9" t="n">
        <v>180</v>
      </c>
      <c r="B183" s="10" t="inlineStr">
        <is>
          <t>SONACOMS</t>
        </is>
      </c>
      <c r="C183" s="9" t="inlineStr">
        <is>
          <t>Q2 2026-27</t>
        </is>
      </c>
      <c r="D183" s="9" t="inlineStr">
        <is>
          <t>FUTURE LONG</t>
        </is>
      </c>
      <c r="E183" s="9" t="inlineStr">
        <is>
          <t>T-8 to T+1</t>
        </is>
      </c>
      <c r="F183" s="9" t="inlineStr">
        <is>
          <t>70.0%</t>
        </is>
      </c>
      <c r="G183" s="9" t="inlineStr">
        <is>
          <t>2025-01-13</t>
        </is>
      </c>
      <c r="H183" s="9" t="inlineStr">
        <is>
          <t>2025-01-24</t>
        </is>
      </c>
      <c r="I183" s="9" t="inlineStr">
        <is>
          <t>2025-01-23</t>
        </is>
      </c>
      <c r="J183" s="5" t="n">
        <v>1802</v>
      </c>
      <c r="K183" s="11" t="n">
        <v>554.8204956054688</v>
      </c>
      <c r="L183" s="11" t="n">
        <v>518.4346923828125</v>
      </c>
      <c r="M183" s="12">
        <f>J183*K183</f>
        <v/>
      </c>
      <c r="N183" s="12">
        <f>J183*L183</f>
        <v/>
      </c>
      <c r="O183" s="12">
        <f>M183+N183</f>
        <v/>
      </c>
      <c r="P183" s="12">
        <f>ROUND(O183*0.0005, 2)</f>
        <v/>
      </c>
      <c r="Q183" s="12">
        <f>N183-M183</f>
        <v/>
      </c>
      <c r="R183" s="12">
        <f>Q183-P183</f>
        <v/>
      </c>
      <c r="S183" s="13">
        <f>ROUND((R183/M183)*100, 2)</f>
        <v/>
      </c>
      <c r="T183" s="12">
        <f>ROUND(0.20*M183, 2)</f>
        <v/>
      </c>
      <c r="U183" s="13">
        <f>ROUND((R183/T183)*100, 2)</f>
        <v/>
      </c>
      <c r="V183" s="12">
        <f>V182+R183</f>
        <v/>
      </c>
      <c r="W183" s="12">
        <f>MAX(W182, V183)</f>
        <v/>
      </c>
      <c r="X183" s="12">
        <f>V183-W183</f>
        <v/>
      </c>
    </row>
    <row r="184">
      <c r="A184" s="9" t="n">
        <v>181</v>
      </c>
      <c r="B184" s="10" t="inlineStr">
        <is>
          <t>SRF</t>
        </is>
      </c>
      <c r="C184" s="9" t="inlineStr">
        <is>
          <t>Q2 2026-27</t>
        </is>
      </c>
      <c r="D184" s="9" t="inlineStr">
        <is>
          <t>FUTURE LONG</t>
        </is>
      </c>
      <c r="E184" s="9" t="inlineStr">
        <is>
          <t>T-8 to T+1</t>
        </is>
      </c>
      <c r="F184" s="9" t="inlineStr">
        <is>
          <t>70.0%</t>
        </is>
      </c>
      <c r="G184" s="9" t="inlineStr">
        <is>
          <t>2025-01-17</t>
        </is>
      </c>
      <c r="H184" s="9" t="inlineStr">
        <is>
          <t>2025-01-30</t>
        </is>
      </c>
      <c r="I184" s="9" t="inlineStr">
        <is>
          <t>2025-01-29</t>
        </is>
      </c>
      <c r="J184" s="5" t="n">
        <v>386</v>
      </c>
      <c r="K184" s="11" t="n">
        <v>2590.142822265625</v>
      </c>
      <c r="L184" s="11" t="n">
        <v>2813.437255859375</v>
      </c>
      <c r="M184" s="12">
        <f>J184*K184</f>
        <v/>
      </c>
      <c r="N184" s="12">
        <f>J184*L184</f>
        <v/>
      </c>
      <c r="O184" s="12">
        <f>M184+N184</f>
        <v/>
      </c>
      <c r="P184" s="12">
        <f>ROUND(O184*0.0005, 2)</f>
        <v/>
      </c>
      <c r="Q184" s="12">
        <f>N184-M184</f>
        <v/>
      </c>
      <c r="R184" s="12">
        <f>Q184-P184</f>
        <v/>
      </c>
      <c r="S184" s="13">
        <f>ROUND((R184/M184)*100, 2)</f>
        <v/>
      </c>
      <c r="T184" s="12">
        <f>ROUND(0.20*M184, 2)</f>
        <v/>
      </c>
      <c r="U184" s="13">
        <f>ROUND((R184/T184)*100, 2)</f>
        <v/>
      </c>
      <c r="V184" s="12">
        <f>V183+R184</f>
        <v/>
      </c>
      <c r="W184" s="12">
        <f>MAX(W183, V184)</f>
        <v/>
      </c>
      <c r="X184" s="12">
        <f>V184-W184</f>
        <v/>
      </c>
    </row>
    <row r="185">
      <c r="A185" s="9" t="n">
        <v>182</v>
      </c>
      <c r="B185" s="10" t="inlineStr">
        <is>
          <t>SUNPHARMA</t>
        </is>
      </c>
      <c r="C185" s="9" t="inlineStr">
        <is>
          <t>Q2 2026-27</t>
        </is>
      </c>
      <c r="D185" s="9" t="inlineStr">
        <is>
          <t>FUTURE LONG</t>
        </is>
      </c>
      <c r="E185" s="9" t="inlineStr">
        <is>
          <t>T-8 to T+1</t>
        </is>
      </c>
      <c r="F185" s="9" t="inlineStr">
        <is>
          <t>70.0%</t>
        </is>
      </c>
      <c r="G185" s="9" t="inlineStr">
        <is>
          <t>2025-01-22</t>
        </is>
      </c>
      <c r="H185" s="9" t="inlineStr">
        <is>
          <t>2025-02-03</t>
        </is>
      </c>
      <c r="I185" s="9" t="inlineStr">
        <is>
          <t>2025-01-31</t>
        </is>
      </c>
      <c r="J185" s="5" t="n">
        <v>350</v>
      </c>
      <c r="K185" s="11" t="n">
        <v>1766.174560546875</v>
      </c>
      <c r="L185" s="11" t="n">
        <v>1708.887573242188</v>
      </c>
      <c r="M185" s="12">
        <f>J185*K185</f>
        <v/>
      </c>
      <c r="N185" s="12">
        <f>J185*L185</f>
        <v/>
      </c>
      <c r="O185" s="12">
        <f>M185+N185</f>
        <v/>
      </c>
      <c r="P185" s="12">
        <f>ROUND(O185*0.0005, 2)</f>
        <v/>
      </c>
      <c r="Q185" s="12">
        <f>N185-M185</f>
        <v/>
      </c>
      <c r="R185" s="12">
        <f>Q185-P185</f>
        <v/>
      </c>
      <c r="S185" s="13">
        <f>ROUND((R185/M185)*100, 2)</f>
        <v/>
      </c>
      <c r="T185" s="12">
        <f>ROUND(0.20*M185, 2)</f>
        <v/>
      </c>
      <c r="U185" s="13">
        <f>ROUND((R185/T185)*100, 2)</f>
        <v/>
      </c>
      <c r="V185" s="12">
        <f>V184+R185</f>
        <v/>
      </c>
      <c r="W185" s="12">
        <f>MAX(W184, V185)</f>
        <v/>
      </c>
      <c r="X185" s="12">
        <f>V185-W185</f>
        <v/>
      </c>
    </row>
    <row r="186">
      <c r="A186" s="9" t="n">
        <v>183</v>
      </c>
      <c r="B186" s="10" t="inlineStr">
        <is>
          <t>SUPREMEIND</t>
        </is>
      </c>
      <c r="C186" s="9" t="inlineStr">
        <is>
          <t>Q2 2026-27</t>
        </is>
      </c>
      <c r="D186" s="9" t="inlineStr">
        <is>
          <t>FUTURE LONG</t>
        </is>
      </c>
      <c r="E186" s="9" t="inlineStr">
        <is>
          <t>T-8 to T+1</t>
        </is>
      </c>
      <c r="F186" s="9" t="inlineStr">
        <is>
          <t>70.0%</t>
        </is>
      </c>
      <c r="G186" s="9" t="inlineStr">
        <is>
          <t>2025-01-08</t>
        </is>
      </c>
      <c r="H186" s="9" t="inlineStr">
        <is>
          <t>2025-01-21</t>
        </is>
      </c>
      <c r="I186" s="9" t="inlineStr">
        <is>
          <t>2025-01-20</t>
        </is>
      </c>
      <c r="J186" s="5" t="n">
        <v>220</v>
      </c>
      <c r="K186" s="11" t="n">
        <v>4536.9013671875</v>
      </c>
      <c r="L186" s="11" t="n">
        <v>3898.72607421875</v>
      </c>
      <c r="M186" s="12">
        <f>J186*K186</f>
        <v/>
      </c>
      <c r="N186" s="12">
        <f>J186*L186</f>
        <v/>
      </c>
      <c r="O186" s="12">
        <f>M186+N186</f>
        <v/>
      </c>
      <c r="P186" s="12">
        <f>ROUND(O186*0.0005, 2)</f>
        <v/>
      </c>
      <c r="Q186" s="12">
        <f>N186-M186</f>
        <v/>
      </c>
      <c r="R186" s="12">
        <f>Q186-P186</f>
        <v/>
      </c>
      <c r="S186" s="13">
        <f>ROUND((R186/M186)*100, 2)</f>
        <v/>
      </c>
      <c r="T186" s="12">
        <f>ROUND(0.20*M186, 2)</f>
        <v/>
      </c>
      <c r="U186" s="13">
        <f>ROUND((R186/T186)*100, 2)</f>
        <v/>
      </c>
      <c r="V186" s="12">
        <f>V185+R186</f>
        <v/>
      </c>
      <c r="W186" s="12">
        <f>MAX(W185, V186)</f>
        <v/>
      </c>
      <c r="X186" s="12">
        <f>V186-W186</f>
        <v/>
      </c>
    </row>
    <row r="187">
      <c r="A187" s="9" t="n">
        <v>184</v>
      </c>
      <c r="B187" s="10" t="inlineStr">
        <is>
          <t>SUZLON</t>
        </is>
      </c>
      <c r="C187" s="9" t="inlineStr">
        <is>
          <t>Q2 2026-27</t>
        </is>
      </c>
      <c r="D187" s="9" t="inlineStr">
        <is>
          <t>FUTURE LONG</t>
        </is>
      </c>
      <c r="E187" s="9" t="inlineStr">
        <is>
          <t>T-8 to T+1</t>
        </is>
      </c>
      <c r="F187" s="9" t="inlineStr">
        <is>
          <t>70.0%</t>
        </is>
      </c>
      <c r="G187" s="9" t="inlineStr">
        <is>
          <t>2025-01-16</t>
        </is>
      </c>
      <c r="H187" s="9" t="inlineStr">
        <is>
          <t>2025-01-29</t>
        </is>
      </c>
      <c r="I187" s="9" t="inlineStr">
        <is>
          <t>2025-01-28</t>
        </is>
      </c>
      <c r="J187" s="5" t="n">
        <v>17583</v>
      </c>
      <c r="K187" s="11" t="n">
        <v>56.86999893188477</v>
      </c>
      <c r="L187" s="11" t="n">
        <v>52.77000045776367</v>
      </c>
      <c r="M187" s="12">
        <f>J187*K187</f>
        <v/>
      </c>
      <c r="N187" s="12">
        <f>J187*L187</f>
        <v/>
      </c>
      <c r="O187" s="12">
        <f>M187+N187</f>
        <v/>
      </c>
      <c r="P187" s="12">
        <f>ROUND(O187*0.0005, 2)</f>
        <v/>
      </c>
      <c r="Q187" s="12">
        <f>N187-M187</f>
        <v/>
      </c>
      <c r="R187" s="12">
        <f>Q187-P187</f>
        <v/>
      </c>
      <c r="S187" s="13">
        <f>ROUND((R187/M187)*100, 2)</f>
        <v/>
      </c>
      <c r="T187" s="12">
        <f>ROUND(0.20*M187, 2)</f>
        <v/>
      </c>
      <c r="U187" s="13">
        <f>ROUND((R187/T187)*100, 2)</f>
        <v/>
      </c>
      <c r="V187" s="12">
        <f>V186+R187</f>
        <v/>
      </c>
      <c r="W187" s="12">
        <f>MAX(W186, V187)</f>
        <v/>
      </c>
      <c r="X187" s="12">
        <f>V187-W187</f>
        <v/>
      </c>
    </row>
    <row r="188">
      <c r="A188" s="9" t="n">
        <v>185</v>
      </c>
      <c r="B188" s="10" t="inlineStr">
        <is>
          <t>SWIGGY</t>
        </is>
      </c>
      <c r="C188" s="9" t="inlineStr">
        <is>
          <t>Q2 2026-27</t>
        </is>
      </c>
      <c r="D188" s="9" t="inlineStr">
        <is>
          <t>FUTURE LONG</t>
        </is>
      </c>
      <c r="E188" s="9" t="inlineStr">
        <is>
          <t>T-8 to T+1</t>
        </is>
      </c>
      <c r="F188" s="9" t="inlineStr">
        <is>
          <t>60.0%</t>
        </is>
      </c>
      <c r="G188" s="9" t="inlineStr">
        <is>
          <t>2025-01-27</t>
        </is>
      </c>
      <c r="H188" s="9" t="inlineStr">
        <is>
          <t>2025-02-06</t>
        </is>
      </c>
      <c r="I188" s="9" t="inlineStr">
        <is>
          <t>2025-02-05</t>
        </is>
      </c>
      <c r="J188" s="5" t="n">
        <v>2438</v>
      </c>
      <c r="K188" s="11" t="n">
        <v>410.0499877929688</v>
      </c>
      <c r="L188" s="11" t="n">
        <v>388.7000122070313</v>
      </c>
      <c r="M188" s="12">
        <f>J188*K188</f>
        <v/>
      </c>
      <c r="N188" s="12">
        <f>J188*L188</f>
        <v/>
      </c>
      <c r="O188" s="12">
        <f>M188+N188</f>
        <v/>
      </c>
      <c r="P188" s="12">
        <f>ROUND(O188*0.0005, 2)</f>
        <v/>
      </c>
      <c r="Q188" s="12">
        <f>N188-M188</f>
        <v/>
      </c>
      <c r="R188" s="12">
        <f>Q188-P188</f>
        <v/>
      </c>
      <c r="S188" s="13">
        <f>ROUND((R188/M188)*100, 2)</f>
        <v/>
      </c>
      <c r="T188" s="12">
        <f>ROUND(0.20*M188, 2)</f>
        <v/>
      </c>
      <c r="U188" s="13">
        <f>ROUND((R188/T188)*100, 2)</f>
        <v/>
      </c>
      <c r="V188" s="12">
        <f>V187+R188</f>
        <v/>
      </c>
      <c r="W188" s="12">
        <f>MAX(W187, V188)</f>
        <v/>
      </c>
      <c r="X188" s="12">
        <f>V188-W188</f>
        <v/>
      </c>
    </row>
    <row r="189">
      <c r="A189" s="9" t="n">
        <v>186</v>
      </c>
      <c r="B189" s="10" t="inlineStr">
        <is>
          <t>TATACONSUM</t>
        </is>
      </c>
      <c r="C189" s="9" t="inlineStr">
        <is>
          <t>Q2 2026-27</t>
        </is>
      </c>
      <c r="D189" s="9" t="inlineStr">
        <is>
          <t>FUTURE LONG</t>
        </is>
      </c>
      <c r="E189" s="9" t="inlineStr">
        <is>
          <t>T-8 to T+1</t>
        </is>
      </c>
      <c r="F189" s="9" t="inlineStr">
        <is>
          <t>80.0%</t>
        </is>
      </c>
      <c r="G189" s="9" t="inlineStr">
        <is>
          <t>2025-01-21</t>
        </is>
      </c>
      <c r="H189" s="9" t="inlineStr">
        <is>
          <t>2025-02-01</t>
        </is>
      </c>
      <c r="I189" s="9" t="inlineStr">
        <is>
          <t>2025-01-30</t>
        </is>
      </c>
      <c r="J189" s="5" t="n">
        <v>450</v>
      </c>
      <c r="K189" s="11" t="n">
        <v>956.851806640625</v>
      </c>
      <c r="L189" s="11" t="n">
        <v>1053.068481445312</v>
      </c>
      <c r="M189" s="12">
        <f>J189*K189</f>
        <v/>
      </c>
      <c r="N189" s="12">
        <f>J189*L189</f>
        <v/>
      </c>
      <c r="O189" s="12">
        <f>M189+N189</f>
        <v/>
      </c>
      <c r="P189" s="12">
        <f>ROUND(O189*0.0005, 2)</f>
        <v/>
      </c>
      <c r="Q189" s="12">
        <f>N189-M189</f>
        <v/>
      </c>
      <c r="R189" s="12">
        <f>Q189-P189</f>
        <v/>
      </c>
      <c r="S189" s="13">
        <f>ROUND((R189/M189)*100, 2)</f>
        <v/>
      </c>
      <c r="T189" s="12">
        <f>ROUND(0.20*M189, 2)</f>
        <v/>
      </c>
      <c r="U189" s="13">
        <f>ROUND((R189/T189)*100, 2)</f>
        <v/>
      </c>
      <c r="V189" s="12">
        <f>V188+R189</f>
        <v/>
      </c>
      <c r="W189" s="12">
        <f>MAX(W188, V189)</f>
        <v/>
      </c>
      <c r="X189" s="12">
        <f>V189-W189</f>
        <v/>
      </c>
    </row>
    <row r="190">
      <c r="A190" s="9" t="n">
        <v>187</v>
      </c>
      <c r="B190" s="10" t="inlineStr">
        <is>
          <t>TATAELXSI</t>
        </is>
      </c>
      <c r="C190" s="9" t="inlineStr">
        <is>
          <t>Q2 2026-27</t>
        </is>
      </c>
      <c r="D190" s="9" t="inlineStr">
        <is>
          <t>FUTURE LONG</t>
        </is>
      </c>
      <c r="E190" s="9" t="inlineStr">
        <is>
          <t>T-8 to T+1</t>
        </is>
      </c>
      <c r="F190" s="9" t="inlineStr">
        <is>
          <t>65.0%</t>
        </is>
      </c>
      <c r="G190" s="9" t="inlineStr">
        <is>
          <t>2024-12-30</t>
        </is>
      </c>
      <c r="H190" s="9" t="inlineStr">
        <is>
          <t>2025-01-10</t>
        </is>
      </c>
      <c r="I190" s="9" t="inlineStr">
        <is>
          <t>2025-01-09</t>
        </is>
      </c>
      <c r="J190" s="5" t="n">
        <v>148</v>
      </c>
      <c r="K190" s="11" t="n">
        <v>6727.4384765625</v>
      </c>
      <c r="L190" s="11" t="n">
        <v>5828.94775390625</v>
      </c>
      <c r="M190" s="12">
        <f>J190*K190</f>
        <v/>
      </c>
      <c r="N190" s="12">
        <f>J190*L190</f>
        <v/>
      </c>
      <c r="O190" s="12">
        <f>M190+N190</f>
        <v/>
      </c>
      <c r="P190" s="12">
        <f>ROUND(O190*0.0005, 2)</f>
        <v/>
      </c>
      <c r="Q190" s="12">
        <f>N190-M190</f>
        <v/>
      </c>
      <c r="R190" s="12">
        <f>Q190-P190</f>
        <v/>
      </c>
      <c r="S190" s="13">
        <f>ROUND((R190/M190)*100, 2)</f>
        <v/>
      </c>
      <c r="T190" s="12">
        <f>ROUND(0.20*M190, 2)</f>
        <v/>
      </c>
      <c r="U190" s="13">
        <f>ROUND((R190/T190)*100, 2)</f>
        <v/>
      </c>
      <c r="V190" s="12">
        <f>V189+R190</f>
        <v/>
      </c>
      <c r="W190" s="12">
        <f>MAX(W189, V190)</f>
        <v/>
      </c>
      <c r="X190" s="12">
        <f>V190-W190</f>
        <v/>
      </c>
    </row>
    <row r="191">
      <c r="A191" s="9" t="n">
        <v>188</v>
      </c>
      <c r="B191" s="10" t="inlineStr">
        <is>
          <t>TATAMOTORS</t>
        </is>
      </c>
      <c r="C191" s="9" t="inlineStr">
        <is>
          <t>Q2 2026-27</t>
        </is>
      </c>
      <c r="D191" s="9" t="inlineStr">
        <is>
          <t>FUTURE LONG</t>
        </is>
      </c>
      <c r="E191" s="9" t="inlineStr">
        <is>
          <t>T-8 to T+1</t>
        </is>
      </c>
      <c r="F191" s="9" t="inlineStr">
        <is>
          <t>70.0%</t>
        </is>
      </c>
      <c r="G191" s="9" t="inlineStr">
        <is>
          <t>2025-01-03</t>
        </is>
      </c>
      <c r="H191" s="9" t="inlineStr">
        <is>
          <t>2025-01-16</t>
        </is>
      </c>
      <c r="I191" s="9" t="inlineStr">
        <is>
          <t>2025-01-15</t>
        </is>
      </c>
      <c r="J191" s="5" t="n">
        <v>1425</v>
      </c>
      <c r="K191" s="11" t="n">
        <v>789</v>
      </c>
      <c r="L191" s="11" t="n">
        <v>775.35</v>
      </c>
      <c r="M191" s="12">
        <f>J191*K191</f>
        <v/>
      </c>
      <c r="N191" s="12">
        <f>J191*L191</f>
        <v/>
      </c>
      <c r="O191" s="12">
        <f>M191+N191</f>
        <v/>
      </c>
      <c r="P191" s="12">
        <f>ROUND(O191*0.0005, 2)</f>
        <v/>
      </c>
      <c r="Q191" s="12">
        <f>N191-M191</f>
        <v/>
      </c>
      <c r="R191" s="12">
        <f>Q191-P191</f>
        <v/>
      </c>
      <c r="S191" s="13">
        <f>ROUND((R191/M191)*100, 2)</f>
        <v/>
      </c>
      <c r="T191" s="12">
        <f>ROUND(0.20*M191, 2)</f>
        <v/>
      </c>
      <c r="U191" s="13">
        <f>ROUND((R191/T191)*100, 2)</f>
        <v/>
      </c>
      <c r="V191" s="12">
        <f>V190+R191</f>
        <v/>
      </c>
      <c r="W191" s="12">
        <f>MAX(W190, V191)</f>
        <v/>
      </c>
      <c r="X191" s="12">
        <f>V191-W191</f>
        <v/>
      </c>
    </row>
    <row r="192">
      <c r="A192" s="9" t="n">
        <v>189</v>
      </c>
      <c r="B192" s="10" t="inlineStr">
        <is>
          <t>TATAPOWER</t>
        </is>
      </c>
      <c r="C192" s="9" t="inlineStr">
        <is>
          <t>Q2 2026-27</t>
        </is>
      </c>
      <c r="D192" s="9" t="inlineStr">
        <is>
          <t>FUTURE LONG</t>
        </is>
      </c>
      <c r="E192" s="9" t="inlineStr">
        <is>
          <t>T-8 to T+1</t>
        </is>
      </c>
      <c r="F192" s="9" t="inlineStr">
        <is>
          <t>65.0%</t>
        </is>
      </c>
      <c r="G192" s="9" t="inlineStr">
        <is>
          <t>2025-01-24</t>
        </is>
      </c>
      <c r="H192" s="9" t="inlineStr">
        <is>
          <t>2025-02-05</t>
        </is>
      </c>
      <c r="I192" s="9" t="inlineStr">
        <is>
          <t>2025-02-04</t>
        </is>
      </c>
      <c r="J192" s="5" t="n">
        <v>2785</v>
      </c>
      <c r="K192" s="11" t="n">
        <v>359.0488586425781</v>
      </c>
      <c r="L192" s="11" t="n">
        <v>361.8153686523438</v>
      </c>
      <c r="M192" s="12">
        <f>J192*K192</f>
        <v/>
      </c>
      <c r="N192" s="12">
        <f>J192*L192</f>
        <v/>
      </c>
      <c r="O192" s="12">
        <f>M192+N192</f>
        <v/>
      </c>
      <c r="P192" s="12">
        <f>ROUND(O192*0.0005, 2)</f>
        <v/>
      </c>
      <c r="Q192" s="12">
        <f>N192-M192</f>
        <v/>
      </c>
      <c r="R192" s="12">
        <f>Q192-P192</f>
        <v/>
      </c>
      <c r="S192" s="13">
        <f>ROUND((R192/M192)*100, 2)</f>
        <v/>
      </c>
      <c r="T192" s="12">
        <f>ROUND(0.20*M192, 2)</f>
        <v/>
      </c>
      <c r="U192" s="13">
        <f>ROUND((R192/T192)*100, 2)</f>
        <v/>
      </c>
      <c r="V192" s="12">
        <f>V191+R192</f>
        <v/>
      </c>
      <c r="W192" s="12">
        <f>MAX(W191, V192)</f>
        <v/>
      </c>
      <c r="X192" s="12">
        <f>V192-W192</f>
        <v/>
      </c>
    </row>
    <row r="193">
      <c r="A193" s="9" t="n">
        <v>190</v>
      </c>
      <c r="B193" s="10" t="inlineStr">
        <is>
          <t>TATASTEEL</t>
        </is>
      </c>
      <c r="C193" s="9" t="inlineStr">
        <is>
          <t>Q2 2026-27</t>
        </is>
      </c>
      <c r="D193" s="9" t="inlineStr">
        <is>
          <t>FUTURE LONG</t>
        </is>
      </c>
      <c r="E193" s="9" t="inlineStr">
        <is>
          <t>T-8 to T+1</t>
        </is>
      </c>
      <c r="F193" s="9" t="inlineStr">
        <is>
          <t>65.0%</t>
        </is>
      </c>
      <c r="G193" s="9" t="inlineStr">
        <is>
          <t>2025-01-16</t>
        </is>
      </c>
      <c r="H193" s="9" t="inlineStr">
        <is>
          <t>2025-01-29</t>
        </is>
      </c>
      <c r="I193" s="9" t="inlineStr">
        <is>
          <t>2025-01-27</t>
        </is>
      </c>
      <c r="J193" s="5" t="n">
        <v>5500</v>
      </c>
      <c r="K193" s="11" t="n">
        <v>122.3736343383789</v>
      </c>
      <c r="L193" s="11" t="n">
        <v>125.236457824707</v>
      </c>
      <c r="M193" s="12">
        <f>J193*K193</f>
        <v/>
      </c>
      <c r="N193" s="12">
        <f>J193*L193</f>
        <v/>
      </c>
      <c r="O193" s="12">
        <f>M193+N193</f>
        <v/>
      </c>
      <c r="P193" s="12">
        <f>ROUND(O193*0.0005, 2)</f>
        <v/>
      </c>
      <c r="Q193" s="12">
        <f>N193-M193</f>
        <v/>
      </c>
      <c r="R193" s="12">
        <f>Q193-P193</f>
        <v/>
      </c>
      <c r="S193" s="13">
        <f>ROUND((R193/M193)*100, 2)</f>
        <v/>
      </c>
      <c r="T193" s="12">
        <f>ROUND(0.20*M193, 2)</f>
        <v/>
      </c>
      <c r="U193" s="13">
        <f>ROUND((R193/T193)*100, 2)</f>
        <v/>
      </c>
      <c r="V193" s="12">
        <f>V192+R193</f>
        <v/>
      </c>
      <c r="W193" s="12">
        <f>MAX(W192, V193)</f>
        <v/>
      </c>
      <c r="X193" s="12">
        <f>V193-W193</f>
        <v/>
      </c>
    </row>
    <row r="194">
      <c r="A194" s="9" t="n">
        <v>191</v>
      </c>
      <c r="B194" s="10" t="inlineStr">
        <is>
          <t>TCS</t>
        </is>
      </c>
      <c r="C194" s="9" t="inlineStr">
        <is>
          <t>Q2 2026-27</t>
        </is>
      </c>
      <c r="D194" s="9" t="inlineStr">
        <is>
          <t>FUTURE LONG</t>
        </is>
      </c>
      <c r="E194" s="9" t="inlineStr">
        <is>
          <t>T-8 to T+1</t>
        </is>
      </c>
      <c r="F194" s="9" t="inlineStr">
        <is>
          <t>75.0%</t>
        </is>
      </c>
      <c r="G194" s="9" t="inlineStr">
        <is>
          <t>2024-12-31</t>
        </is>
      </c>
      <c r="H194" s="9" t="inlineStr">
        <is>
          <t>2025-01-13</t>
        </is>
      </c>
      <c r="I194" s="9" t="inlineStr">
        <is>
          <t>2025-01-09</t>
        </is>
      </c>
      <c r="J194" s="5" t="n">
        <v>175</v>
      </c>
      <c r="K194" s="11" t="n">
        <v>3834.50830078125</v>
      </c>
      <c r="L194" s="11" t="n">
        <v>4018.330322265625</v>
      </c>
      <c r="M194" s="12">
        <f>J194*K194</f>
        <v/>
      </c>
      <c r="N194" s="12">
        <f>J194*L194</f>
        <v/>
      </c>
      <c r="O194" s="12">
        <f>M194+N194</f>
        <v/>
      </c>
      <c r="P194" s="12">
        <f>ROUND(O194*0.0005, 2)</f>
        <v/>
      </c>
      <c r="Q194" s="12">
        <f>N194-M194</f>
        <v/>
      </c>
      <c r="R194" s="12">
        <f>Q194-P194</f>
        <v/>
      </c>
      <c r="S194" s="13">
        <f>ROUND((R194/M194)*100, 2)</f>
        <v/>
      </c>
      <c r="T194" s="12">
        <f>ROUND(0.20*M194, 2)</f>
        <v/>
      </c>
      <c r="U194" s="13">
        <f>ROUND((R194/T194)*100, 2)</f>
        <v/>
      </c>
      <c r="V194" s="12">
        <f>V193+R194</f>
        <v/>
      </c>
      <c r="W194" s="12">
        <f>MAX(W193, V194)</f>
        <v/>
      </c>
      <c r="X194" s="12">
        <f>V194-W194</f>
        <v/>
      </c>
    </row>
    <row r="195">
      <c r="A195" s="9" t="n">
        <v>192</v>
      </c>
      <c r="B195" s="10" t="inlineStr">
        <is>
          <t>TECHM</t>
        </is>
      </c>
      <c r="C195" s="9" t="inlineStr">
        <is>
          <t>Q2 2026-27</t>
        </is>
      </c>
      <c r="D195" s="9" t="inlineStr">
        <is>
          <t>FUTURE LONG</t>
        </is>
      </c>
      <c r="E195" s="9" t="inlineStr">
        <is>
          <t>T-8 to T+1</t>
        </is>
      </c>
      <c r="F195" s="9" t="inlineStr">
        <is>
          <t>80.0%</t>
        </is>
      </c>
      <c r="G195" s="9" t="inlineStr">
        <is>
          <t>2025-01-07</t>
        </is>
      </c>
      <c r="H195" s="9" t="inlineStr">
        <is>
          <t>2025-01-20</t>
        </is>
      </c>
      <c r="I195" s="9" t="inlineStr">
        <is>
          <t>2025-01-17</t>
        </is>
      </c>
      <c r="J195" s="5" t="n">
        <v>600</v>
      </c>
      <c r="K195" s="11" t="n">
        <v>1583.01953125</v>
      </c>
      <c r="L195" s="11" t="n">
        <v>1586.28759765625</v>
      </c>
      <c r="M195" s="12">
        <f>J195*K195</f>
        <v/>
      </c>
      <c r="N195" s="12">
        <f>J195*L195</f>
        <v/>
      </c>
      <c r="O195" s="12">
        <f>M195+N195</f>
        <v/>
      </c>
      <c r="P195" s="12">
        <f>ROUND(O195*0.0005, 2)</f>
        <v/>
      </c>
      <c r="Q195" s="12">
        <f>N195-M195</f>
        <v/>
      </c>
      <c r="R195" s="12">
        <f>Q195-P195</f>
        <v/>
      </c>
      <c r="S195" s="13">
        <f>ROUND((R195/M195)*100, 2)</f>
        <v/>
      </c>
      <c r="T195" s="12">
        <f>ROUND(0.20*M195, 2)</f>
        <v/>
      </c>
      <c r="U195" s="13">
        <f>ROUND((R195/T195)*100, 2)</f>
        <v/>
      </c>
      <c r="V195" s="12">
        <f>V194+R195</f>
        <v/>
      </c>
      <c r="W195" s="12">
        <f>MAX(W194, V195)</f>
        <v/>
      </c>
      <c r="X195" s="12">
        <f>V195-W195</f>
        <v/>
      </c>
    </row>
    <row r="196">
      <c r="A196" s="9" t="n">
        <v>193</v>
      </c>
      <c r="B196" s="10" t="inlineStr">
        <is>
          <t>TIINDIA</t>
        </is>
      </c>
      <c r="C196" s="9" t="inlineStr">
        <is>
          <t>Q2 2026-27</t>
        </is>
      </c>
      <c r="D196" s="9" t="inlineStr">
        <is>
          <t>FUTURE LONG</t>
        </is>
      </c>
      <c r="E196" s="9" t="inlineStr">
        <is>
          <t>T-8 to T+1</t>
        </is>
      </c>
      <c r="F196" s="9" t="inlineStr">
        <is>
          <t>80.0%</t>
        </is>
      </c>
      <c r="G196" s="9" t="inlineStr">
        <is>
          <t>2025-01-23</t>
        </is>
      </c>
      <c r="H196" s="9" t="inlineStr">
        <is>
          <t>2025-02-04</t>
        </is>
      </c>
      <c r="I196" s="9" t="inlineStr">
        <is>
          <t>2025-02-03</t>
        </is>
      </c>
      <c r="J196" s="5" t="n">
        <v>297</v>
      </c>
      <c r="K196" s="11" t="n">
        <v>3356.87060546875</v>
      </c>
      <c r="L196" s="11" t="n">
        <v>3086.3212890625</v>
      </c>
      <c r="M196" s="12">
        <f>J196*K196</f>
        <v/>
      </c>
      <c r="N196" s="12">
        <f>J196*L196</f>
        <v/>
      </c>
      <c r="O196" s="12">
        <f>M196+N196</f>
        <v/>
      </c>
      <c r="P196" s="12">
        <f>ROUND(O196*0.0005, 2)</f>
        <v/>
      </c>
      <c r="Q196" s="12">
        <f>N196-M196</f>
        <v/>
      </c>
      <c r="R196" s="12">
        <f>Q196-P196</f>
        <v/>
      </c>
      <c r="S196" s="13">
        <f>ROUND((R196/M196)*100, 2)</f>
        <v/>
      </c>
      <c r="T196" s="12">
        <f>ROUND(0.20*M196, 2)</f>
        <v/>
      </c>
      <c r="U196" s="13">
        <f>ROUND((R196/T196)*100, 2)</f>
        <v/>
      </c>
      <c r="V196" s="12">
        <f>V195+R196</f>
        <v/>
      </c>
      <c r="W196" s="12">
        <f>MAX(W195, V196)</f>
        <v/>
      </c>
      <c r="X196" s="12">
        <f>V196-W196</f>
        <v/>
      </c>
    </row>
    <row r="197">
      <c r="A197" s="9" t="n">
        <v>194</v>
      </c>
      <c r="B197" s="10" t="inlineStr">
        <is>
          <t>TITAN</t>
        </is>
      </c>
      <c r="C197" s="9" t="inlineStr">
        <is>
          <t>Q2 2026-27</t>
        </is>
      </c>
      <c r="D197" s="9" t="inlineStr">
        <is>
          <t>FUTURE LONG</t>
        </is>
      </c>
      <c r="E197" s="9" t="inlineStr">
        <is>
          <t>T-8 to T+1</t>
        </is>
      </c>
      <c r="F197" s="9" t="inlineStr">
        <is>
          <t>70.0%</t>
        </is>
      </c>
      <c r="G197" s="9" t="inlineStr">
        <is>
          <t>2025-01-27</t>
        </is>
      </c>
      <c r="H197" s="9" t="inlineStr">
        <is>
          <t>2025-02-06</t>
        </is>
      </c>
      <c r="I197" s="9" t="inlineStr">
        <is>
          <t>2025-02-04</t>
        </is>
      </c>
      <c r="J197" s="5" t="n">
        <v>175</v>
      </c>
      <c r="K197" s="11" t="n">
        <v>3298.56689453125</v>
      </c>
      <c r="L197" s="11" t="n">
        <v>3389.394775390625</v>
      </c>
      <c r="M197" s="12">
        <f>J197*K197</f>
        <v/>
      </c>
      <c r="N197" s="12">
        <f>J197*L197</f>
        <v/>
      </c>
      <c r="O197" s="12">
        <f>M197+N197</f>
        <v/>
      </c>
      <c r="P197" s="12">
        <f>ROUND(O197*0.0005, 2)</f>
        <v/>
      </c>
      <c r="Q197" s="12">
        <f>N197-M197</f>
        <v/>
      </c>
      <c r="R197" s="12">
        <f>Q197-P197</f>
        <v/>
      </c>
      <c r="S197" s="13">
        <f>ROUND((R197/M197)*100, 2)</f>
        <v/>
      </c>
      <c r="T197" s="12">
        <f>ROUND(0.20*M197, 2)</f>
        <v/>
      </c>
      <c r="U197" s="13">
        <f>ROUND((R197/T197)*100, 2)</f>
        <v/>
      </c>
      <c r="V197" s="12">
        <f>V196+R197</f>
        <v/>
      </c>
      <c r="W197" s="12">
        <f>MAX(W196, V197)</f>
        <v/>
      </c>
      <c r="X197" s="12">
        <f>V197-W197</f>
        <v/>
      </c>
    </row>
    <row r="198">
      <c r="A198" s="9" t="n">
        <v>195</v>
      </c>
      <c r="B198" s="10" t="inlineStr">
        <is>
          <t>TMPV</t>
        </is>
      </c>
      <c r="C198" s="9" t="inlineStr">
        <is>
          <t>Q2 2026-27</t>
        </is>
      </c>
      <c r="D198" s="9" t="inlineStr">
        <is>
          <t>FUTURE LONG</t>
        </is>
      </c>
      <c r="E198" s="9" t="inlineStr">
        <is>
          <t>T-8 to T+1</t>
        </is>
      </c>
      <c r="F198" s="9" t="inlineStr">
        <is>
          <t>65.0%</t>
        </is>
      </c>
      <c r="G198" s="9" t="inlineStr">
        <is>
          <t>2012-10-29</t>
        </is>
      </c>
      <c r="H198" s="9" t="inlineStr">
        <is>
          <t>2012-11-09</t>
        </is>
      </c>
      <c r="I198" s="9" t="inlineStr">
        <is>
          <t>2012-11-07</t>
        </is>
      </c>
      <c r="J198" s="5" t="n">
        <v>4087</v>
      </c>
      <c r="K198" s="11" t="n">
        <v>244.6609497070312</v>
      </c>
      <c r="L198" s="11" t="n">
        <v>267.3879699707031</v>
      </c>
      <c r="M198" s="12">
        <f>J198*K198</f>
        <v/>
      </c>
      <c r="N198" s="12">
        <f>J198*L198</f>
        <v/>
      </c>
      <c r="O198" s="12">
        <f>M198+N198</f>
        <v/>
      </c>
      <c r="P198" s="12">
        <f>ROUND(O198*0.0005, 2)</f>
        <v/>
      </c>
      <c r="Q198" s="12">
        <f>N198-M198</f>
        <v/>
      </c>
      <c r="R198" s="12">
        <f>Q198-P198</f>
        <v/>
      </c>
      <c r="S198" s="13">
        <f>ROUND((R198/M198)*100, 2)</f>
        <v/>
      </c>
      <c r="T198" s="12">
        <f>ROUND(0.20*M198, 2)</f>
        <v/>
      </c>
      <c r="U198" s="13">
        <f>ROUND((R198/T198)*100, 2)</f>
        <v/>
      </c>
      <c r="V198" s="12">
        <f>V197+R198</f>
        <v/>
      </c>
      <c r="W198" s="12">
        <f>MAX(W197, V198)</f>
        <v/>
      </c>
      <c r="X198" s="12">
        <f>V198-W198</f>
        <v/>
      </c>
    </row>
    <row r="199">
      <c r="A199" s="9" t="n">
        <v>196</v>
      </c>
      <c r="B199" s="10" t="inlineStr">
        <is>
          <t>TORNTPHARM</t>
        </is>
      </c>
      <c r="C199" s="9" t="inlineStr">
        <is>
          <t>Q2 2026-27</t>
        </is>
      </c>
      <c r="D199" s="9" t="inlineStr">
        <is>
          <t>FUTURE LONG</t>
        </is>
      </c>
      <c r="E199" s="9" t="inlineStr">
        <is>
          <t>T-8 to T+1</t>
        </is>
      </c>
      <c r="F199" s="9" t="inlineStr">
        <is>
          <t>80.0%</t>
        </is>
      </c>
      <c r="G199" s="9" t="inlineStr">
        <is>
          <t>2025-01-14</t>
        </is>
      </c>
      <c r="H199" s="9" t="inlineStr">
        <is>
          <t>2025-01-27</t>
        </is>
      </c>
      <c r="I199" s="9" t="inlineStr">
        <is>
          <t>2025-01-24</t>
        </is>
      </c>
      <c r="J199" s="5" t="n">
        <v>313</v>
      </c>
      <c r="K199" s="11" t="n">
        <v>3192.818603515625</v>
      </c>
      <c r="L199" s="11" t="n">
        <v>3276.60546875</v>
      </c>
      <c r="M199" s="12">
        <f>J199*K199</f>
        <v/>
      </c>
      <c r="N199" s="12">
        <f>J199*L199</f>
        <v/>
      </c>
      <c r="O199" s="12">
        <f>M199+N199</f>
        <v/>
      </c>
      <c r="P199" s="12">
        <f>ROUND(O199*0.0005, 2)</f>
        <v/>
      </c>
      <c r="Q199" s="12">
        <f>N199-M199</f>
        <v/>
      </c>
      <c r="R199" s="12">
        <f>Q199-P199</f>
        <v/>
      </c>
      <c r="S199" s="13">
        <f>ROUND((R199/M199)*100, 2)</f>
        <v/>
      </c>
      <c r="T199" s="12">
        <f>ROUND(0.20*M199, 2)</f>
        <v/>
      </c>
      <c r="U199" s="13">
        <f>ROUND((R199/T199)*100, 2)</f>
        <v/>
      </c>
      <c r="V199" s="12">
        <f>V198+R199</f>
        <v/>
      </c>
      <c r="W199" s="12">
        <f>MAX(W198, V199)</f>
        <v/>
      </c>
      <c r="X199" s="12">
        <f>V199-W199</f>
        <v/>
      </c>
    </row>
    <row r="200">
      <c r="A200" s="9" t="n">
        <v>197</v>
      </c>
      <c r="B200" s="10" t="inlineStr">
        <is>
          <t>TRENT</t>
        </is>
      </c>
      <c r="C200" s="9" t="inlineStr">
        <is>
          <t>Q2 2026-27</t>
        </is>
      </c>
      <c r="D200" s="9" t="inlineStr">
        <is>
          <t>FUTURE LONG</t>
        </is>
      </c>
      <c r="E200" s="9" t="inlineStr">
        <is>
          <t>T-8 to T+1</t>
        </is>
      </c>
      <c r="F200" s="9" t="inlineStr">
        <is>
          <t>65.0%</t>
        </is>
      </c>
      <c r="G200" s="9" t="inlineStr">
        <is>
          <t>2025-01-29</t>
        </is>
      </c>
      <c r="H200" s="9" t="inlineStr">
        <is>
          <t>2025-02-10</t>
        </is>
      </c>
      <c r="I200" s="9" t="inlineStr">
        <is>
          <t>2025-02-06</t>
        </is>
      </c>
      <c r="J200" s="5" t="n">
        <v>179</v>
      </c>
      <c r="K200" s="11" t="n">
        <v>5585.666015625</v>
      </c>
      <c r="L200" s="11" t="n">
        <v>5186.087890625</v>
      </c>
      <c r="M200" s="12">
        <f>J200*K200</f>
        <v/>
      </c>
      <c r="N200" s="12">
        <f>J200*L200</f>
        <v/>
      </c>
      <c r="O200" s="12">
        <f>M200+N200</f>
        <v/>
      </c>
      <c r="P200" s="12">
        <f>ROUND(O200*0.0005, 2)</f>
        <v/>
      </c>
      <c r="Q200" s="12">
        <f>N200-M200</f>
        <v/>
      </c>
      <c r="R200" s="12">
        <f>Q200-P200</f>
        <v/>
      </c>
      <c r="S200" s="13">
        <f>ROUND((R200/M200)*100, 2)</f>
        <v/>
      </c>
      <c r="T200" s="12">
        <f>ROUND(0.20*M200, 2)</f>
        <v/>
      </c>
      <c r="U200" s="13">
        <f>ROUND((R200/T200)*100, 2)</f>
        <v/>
      </c>
      <c r="V200" s="12">
        <f>V199+R200</f>
        <v/>
      </c>
      <c r="W200" s="12">
        <f>MAX(W199, V200)</f>
        <v/>
      </c>
      <c r="X200" s="12">
        <f>V200-W200</f>
        <v/>
      </c>
    </row>
    <row r="201">
      <c r="A201" s="9" t="n">
        <v>198</v>
      </c>
      <c r="B201" s="10" t="inlineStr">
        <is>
          <t>TVSMOTOR</t>
        </is>
      </c>
      <c r="C201" s="9" t="inlineStr">
        <is>
          <t>Q2 2026-27</t>
        </is>
      </c>
      <c r="D201" s="9" t="inlineStr">
        <is>
          <t>FUTURE LONG</t>
        </is>
      </c>
      <c r="E201" s="9" t="inlineStr">
        <is>
          <t>T-8 to T+1</t>
        </is>
      </c>
      <c r="F201" s="9" t="inlineStr">
        <is>
          <t>80.0%</t>
        </is>
      </c>
      <c r="G201" s="9" t="inlineStr">
        <is>
          <t>2025-01-16</t>
        </is>
      </c>
      <c r="H201" s="9" t="inlineStr">
        <is>
          <t>2025-01-29</t>
        </is>
      </c>
      <c r="I201" s="9" t="inlineStr">
        <is>
          <t>2025-01-28</t>
        </is>
      </c>
      <c r="J201" s="5" t="n">
        <v>442</v>
      </c>
      <c r="K201" s="11" t="n">
        <v>2260.740478515625</v>
      </c>
      <c r="L201" s="11" t="n">
        <v>2446.02197265625</v>
      </c>
      <c r="M201" s="12">
        <f>J201*K201</f>
        <v/>
      </c>
      <c r="N201" s="12">
        <f>J201*L201</f>
        <v/>
      </c>
      <c r="O201" s="12">
        <f>M201+N201</f>
        <v/>
      </c>
      <c r="P201" s="12">
        <f>ROUND(O201*0.0005, 2)</f>
        <v/>
      </c>
      <c r="Q201" s="12">
        <f>N201-M201</f>
        <v/>
      </c>
      <c r="R201" s="12">
        <f>Q201-P201</f>
        <v/>
      </c>
      <c r="S201" s="13">
        <f>ROUND((R201/M201)*100, 2)</f>
        <v/>
      </c>
      <c r="T201" s="12">
        <f>ROUND(0.20*M201, 2)</f>
        <v/>
      </c>
      <c r="U201" s="13">
        <f>ROUND((R201/T201)*100, 2)</f>
        <v/>
      </c>
      <c r="V201" s="12">
        <f>V200+R201</f>
        <v/>
      </c>
      <c r="W201" s="12">
        <f>MAX(W200, V201)</f>
        <v/>
      </c>
      <c r="X201" s="12">
        <f>V201-W201</f>
        <v/>
      </c>
    </row>
    <row r="202">
      <c r="A202" s="9" t="n">
        <v>199</v>
      </c>
      <c r="B202" s="10" t="inlineStr">
        <is>
          <t>ULTRACEMCO</t>
        </is>
      </c>
      <c r="C202" s="9" t="inlineStr">
        <is>
          <t>Q2 2026-27</t>
        </is>
      </c>
      <c r="D202" s="9" t="inlineStr">
        <is>
          <t>FUTURE LONG</t>
        </is>
      </c>
      <c r="E202" s="9" t="inlineStr">
        <is>
          <t>T-8 to T+1</t>
        </is>
      </c>
      <c r="F202" s="9" t="inlineStr">
        <is>
          <t>60.0%</t>
        </is>
      </c>
      <c r="G202" s="9" t="inlineStr">
        <is>
          <t>2025-01-14</t>
        </is>
      </c>
      <c r="H202" s="9" t="inlineStr">
        <is>
          <t>2025-01-27</t>
        </is>
      </c>
      <c r="I202" s="9" t="inlineStr">
        <is>
          <t>2025-01-23</t>
        </is>
      </c>
      <c r="J202" s="5" t="n">
        <v>100</v>
      </c>
      <c r="K202" s="11" t="n">
        <v>10417.71484375</v>
      </c>
      <c r="L202" s="11" t="n">
        <v>11168.705078125</v>
      </c>
      <c r="M202" s="12">
        <f>J202*K202</f>
        <v/>
      </c>
      <c r="N202" s="12">
        <f>J202*L202</f>
        <v/>
      </c>
      <c r="O202" s="12">
        <f>M202+N202</f>
        <v/>
      </c>
      <c r="P202" s="12">
        <f>ROUND(O202*0.0005, 2)</f>
        <v/>
      </c>
      <c r="Q202" s="12">
        <f>N202-M202</f>
        <v/>
      </c>
      <c r="R202" s="12">
        <f>Q202-P202</f>
        <v/>
      </c>
      <c r="S202" s="13">
        <f>ROUND((R202/M202)*100, 2)</f>
        <v/>
      </c>
      <c r="T202" s="12">
        <f>ROUND(0.20*M202, 2)</f>
        <v/>
      </c>
      <c r="U202" s="13">
        <f>ROUND((R202/T202)*100, 2)</f>
        <v/>
      </c>
      <c r="V202" s="12">
        <f>V201+R202</f>
        <v/>
      </c>
      <c r="W202" s="12">
        <f>MAX(W201, V202)</f>
        <v/>
      </c>
      <c r="X202" s="12">
        <f>V202-W202</f>
        <v/>
      </c>
    </row>
    <row r="203">
      <c r="A203" s="9" t="n">
        <v>200</v>
      </c>
      <c r="B203" s="10" t="inlineStr">
        <is>
          <t>UNIONBANK</t>
        </is>
      </c>
      <c r="C203" s="9" t="inlineStr">
        <is>
          <t>Q2 2026-27</t>
        </is>
      </c>
      <c r="D203" s="9" t="inlineStr">
        <is>
          <t>FUTURE LONG</t>
        </is>
      </c>
      <c r="E203" s="9" t="inlineStr">
        <is>
          <t>T-8 to T+1</t>
        </is>
      </c>
      <c r="F203" s="9" t="inlineStr">
        <is>
          <t>65.0%</t>
        </is>
      </c>
      <c r="G203" s="9" t="inlineStr">
        <is>
          <t>2025-01-16</t>
        </is>
      </c>
      <c r="H203" s="9" t="inlineStr">
        <is>
          <t>2025-01-29</t>
        </is>
      </c>
      <c r="I203" s="9" t="inlineStr">
        <is>
          <t>2025-01-28</t>
        </is>
      </c>
      <c r="J203" s="5" t="n">
        <v>9682</v>
      </c>
      <c r="K203" s="11" t="n">
        <v>103.2788314819336</v>
      </c>
      <c r="L203" s="11" t="n">
        <v>105.7309112548828</v>
      </c>
      <c r="M203" s="12">
        <f>J203*K203</f>
        <v/>
      </c>
      <c r="N203" s="12">
        <f>J203*L203</f>
        <v/>
      </c>
      <c r="O203" s="12">
        <f>M203+N203</f>
        <v/>
      </c>
      <c r="P203" s="12">
        <f>ROUND(O203*0.0005, 2)</f>
        <v/>
      </c>
      <c r="Q203" s="12">
        <f>N203-M203</f>
        <v/>
      </c>
      <c r="R203" s="12">
        <f>Q203-P203</f>
        <v/>
      </c>
      <c r="S203" s="13">
        <f>ROUND((R203/M203)*100, 2)</f>
        <v/>
      </c>
      <c r="T203" s="12">
        <f>ROUND(0.20*M203, 2)</f>
        <v/>
      </c>
      <c r="U203" s="13">
        <f>ROUND((R203/T203)*100, 2)</f>
        <v/>
      </c>
      <c r="V203" s="12">
        <f>V202+R203</f>
        <v/>
      </c>
      <c r="W203" s="12">
        <f>MAX(W202, V203)</f>
        <v/>
      </c>
      <c r="X203" s="12">
        <f>V203-W203</f>
        <v/>
      </c>
    </row>
    <row r="204">
      <c r="A204" s="9" t="n">
        <v>201</v>
      </c>
      <c r="B204" s="10" t="inlineStr">
        <is>
          <t>UNITDSPR</t>
        </is>
      </c>
      <c r="C204" s="9" t="inlineStr">
        <is>
          <t>Q2 2026-27</t>
        </is>
      </c>
      <c r="D204" s="9" t="inlineStr">
        <is>
          <t>FUTURE LONG</t>
        </is>
      </c>
      <c r="E204" s="9" t="inlineStr">
        <is>
          <t>T-8 to T+1</t>
        </is>
      </c>
      <c r="F204" s="9" t="inlineStr">
        <is>
          <t>75.0%</t>
        </is>
      </c>
      <c r="G204" s="9" t="inlineStr">
        <is>
          <t>2025-01-13</t>
        </is>
      </c>
      <c r="H204" s="9" t="inlineStr">
        <is>
          <t>2025-01-24</t>
        </is>
      </c>
      <c r="I204" s="9" t="inlineStr">
        <is>
          <t>2025-01-23</t>
        </is>
      </c>
      <c r="J204" s="5" t="n">
        <v>688</v>
      </c>
      <c r="K204" s="11" t="n">
        <v>1452.775146484375</v>
      </c>
      <c r="L204" s="11" t="n">
        <v>1439.261352539062</v>
      </c>
      <c r="M204" s="12">
        <f>J204*K204</f>
        <v/>
      </c>
      <c r="N204" s="12">
        <f>J204*L204</f>
        <v/>
      </c>
      <c r="O204" s="12">
        <f>M204+N204</f>
        <v/>
      </c>
      <c r="P204" s="12">
        <f>ROUND(O204*0.0005, 2)</f>
        <v/>
      </c>
      <c r="Q204" s="12">
        <f>N204-M204</f>
        <v/>
      </c>
      <c r="R204" s="12">
        <f>Q204-P204</f>
        <v/>
      </c>
      <c r="S204" s="13">
        <f>ROUND((R204/M204)*100, 2)</f>
        <v/>
      </c>
      <c r="T204" s="12">
        <f>ROUND(0.20*M204, 2)</f>
        <v/>
      </c>
      <c r="U204" s="13">
        <f>ROUND((R204/T204)*100, 2)</f>
        <v/>
      </c>
      <c r="V204" s="12">
        <f>V203+R204</f>
        <v/>
      </c>
      <c r="W204" s="12">
        <f>MAX(W203, V204)</f>
        <v/>
      </c>
      <c r="X204" s="12">
        <f>V204-W204</f>
        <v/>
      </c>
    </row>
    <row r="205">
      <c r="A205" s="9" t="n">
        <v>202</v>
      </c>
      <c r="B205" s="10" t="inlineStr">
        <is>
          <t>UNOMINDA</t>
        </is>
      </c>
      <c r="C205" s="9" t="inlineStr">
        <is>
          <t>Q2 2026-27</t>
        </is>
      </c>
      <c r="D205" s="9" t="inlineStr">
        <is>
          <t>FUTURE LONG</t>
        </is>
      </c>
      <c r="E205" s="9" t="inlineStr">
        <is>
          <t>T-8 to T+1</t>
        </is>
      </c>
      <c r="F205" s="9" t="inlineStr">
        <is>
          <t>65.0%</t>
        </is>
      </c>
      <c r="G205" s="9" t="inlineStr">
        <is>
          <t>2025-01-28</t>
        </is>
      </c>
      <c r="H205" s="9" t="inlineStr">
        <is>
          <t>2025-02-07</t>
        </is>
      </c>
      <c r="I205" s="9" t="inlineStr">
        <is>
          <t>2025-02-06</t>
        </is>
      </c>
      <c r="J205" s="5" t="n">
        <v>1130</v>
      </c>
      <c r="K205" s="11" t="n">
        <v>884.4339599609375</v>
      </c>
      <c r="L205" s="11" t="n">
        <v>1047.9912109375</v>
      </c>
      <c r="M205" s="12">
        <f>J205*K205</f>
        <v/>
      </c>
      <c r="N205" s="12">
        <f>J205*L205</f>
        <v/>
      </c>
      <c r="O205" s="12">
        <f>M205+N205</f>
        <v/>
      </c>
      <c r="P205" s="12">
        <f>ROUND(O205*0.0005, 2)</f>
        <v/>
      </c>
      <c r="Q205" s="12">
        <f>N205-M205</f>
        <v/>
      </c>
      <c r="R205" s="12">
        <f>Q205-P205</f>
        <v/>
      </c>
      <c r="S205" s="13">
        <f>ROUND((R205/M205)*100, 2)</f>
        <v/>
      </c>
      <c r="T205" s="12">
        <f>ROUND(0.20*M205, 2)</f>
        <v/>
      </c>
      <c r="U205" s="13">
        <f>ROUND((R205/T205)*100, 2)</f>
        <v/>
      </c>
      <c r="V205" s="12">
        <f>V204+R205</f>
        <v/>
      </c>
      <c r="W205" s="12">
        <f>MAX(W204, V205)</f>
        <v/>
      </c>
      <c r="X205" s="12">
        <f>V205-W205</f>
        <v/>
      </c>
    </row>
    <row r="206">
      <c r="A206" s="9" t="n">
        <v>203</v>
      </c>
      <c r="B206" s="10" t="inlineStr">
        <is>
          <t>UPL</t>
        </is>
      </c>
      <c r="C206" s="9" t="inlineStr">
        <is>
          <t>Q2 2026-27</t>
        </is>
      </c>
      <c r="D206" s="9" t="inlineStr">
        <is>
          <t>FUTURE LONG</t>
        </is>
      </c>
      <c r="E206" s="9" t="inlineStr">
        <is>
          <t>T-8 to T+1</t>
        </is>
      </c>
      <c r="F206" s="9" t="inlineStr">
        <is>
          <t>70.0%</t>
        </is>
      </c>
      <c r="G206" s="9" t="inlineStr">
        <is>
          <t>2025-01-21</t>
        </is>
      </c>
      <c r="H206" s="9" t="inlineStr">
        <is>
          <t>2025-02-01</t>
        </is>
      </c>
      <c r="I206" s="9" t="inlineStr">
        <is>
          <t>2025-01-31</t>
        </is>
      </c>
      <c r="J206" s="5" t="n">
        <v>1872</v>
      </c>
      <c r="K206" s="11" t="n">
        <v>534.1441650390625</v>
      </c>
      <c r="L206" s="11" t="n">
        <v>592.7847290039062</v>
      </c>
      <c r="M206" s="12">
        <f>J206*K206</f>
        <v/>
      </c>
      <c r="N206" s="12">
        <f>J206*L206</f>
        <v/>
      </c>
      <c r="O206" s="12">
        <f>M206+N206</f>
        <v/>
      </c>
      <c r="P206" s="12">
        <f>ROUND(O206*0.0005, 2)</f>
        <v/>
      </c>
      <c r="Q206" s="12">
        <f>N206-M206</f>
        <v/>
      </c>
      <c r="R206" s="12">
        <f>Q206-P206</f>
        <v/>
      </c>
      <c r="S206" s="13">
        <f>ROUND((R206/M206)*100, 2)</f>
        <v/>
      </c>
      <c r="T206" s="12">
        <f>ROUND(0.20*M206, 2)</f>
        <v/>
      </c>
      <c r="U206" s="13">
        <f>ROUND((R206/T206)*100, 2)</f>
        <v/>
      </c>
      <c r="V206" s="12">
        <f>V205+R206</f>
        <v/>
      </c>
      <c r="W206" s="12">
        <f>MAX(W205, V206)</f>
        <v/>
      </c>
      <c r="X206" s="12">
        <f>V206-W206</f>
        <v/>
      </c>
    </row>
    <row r="207">
      <c r="A207" s="9" t="n">
        <v>204</v>
      </c>
      <c r="B207" s="10" t="inlineStr">
        <is>
          <t>VBL</t>
        </is>
      </c>
      <c r="C207" s="9" t="inlineStr">
        <is>
          <t>Q2 2026-27</t>
        </is>
      </c>
      <c r="D207" s="9" t="inlineStr">
        <is>
          <t>FUTURE LONG</t>
        </is>
      </c>
      <c r="E207" s="9" t="inlineStr">
        <is>
          <t>T-8 to T+1</t>
        </is>
      </c>
      <c r="F207" s="9" t="inlineStr">
        <is>
          <t>80.0%</t>
        </is>
      </c>
      <c r="G207" s="9" t="inlineStr">
        <is>
          <t>2025-01-30</t>
        </is>
      </c>
      <c r="H207" s="9" t="inlineStr">
        <is>
          <t>2025-02-11</t>
        </is>
      </c>
      <c r="I207" s="9" t="inlineStr">
        <is>
          <t>2025-02-10</t>
        </is>
      </c>
      <c r="J207" s="5" t="n">
        <v>1859</v>
      </c>
      <c r="K207" s="11" t="n">
        <v>537.8751831054688</v>
      </c>
      <c r="L207" s="11" t="n">
        <v>517.727294921875</v>
      </c>
      <c r="M207" s="12">
        <f>J207*K207</f>
        <v/>
      </c>
      <c r="N207" s="12">
        <f>J207*L207</f>
        <v/>
      </c>
      <c r="O207" s="12">
        <f>M207+N207</f>
        <v/>
      </c>
      <c r="P207" s="12">
        <f>ROUND(O207*0.0005, 2)</f>
        <v/>
      </c>
      <c r="Q207" s="12">
        <f>N207-M207</f>
        <v/>
      </c>
      <c r="R207" s="12">
        <f>Q207-P207</f>
        <v/>
      </c>
      <c r="S207" s="13">
        <f>ROUND((R207/M207)*100, 2)</f>
        <v/>
      </c>
      <c r="T207" s="12">
        <f>ROUND(0.20*M207, 2)</f>
        <v/>
      </c>
      <c r="U207" s="13">
        <f>ROUND((R207/T207)*100, 2)</f>
        <v/>
      </c>
      <c r="V207" s="12">
        <f>V206+R207</f>
        <v/>
      </c>
      <c r="W207" s="12">
        <f>MAX(W206, V207)</f>
        <v/>
      </c>
      <c r="X207" s="12">
        <f>V207-W207</f>
        <v/>
      </c>
    </row>
    <row r="208">
      <c r="A208" s="9" t="n">
        <v>205</v>
      </c>
      <c r="B208" s="10" t="inlineStr">
        <is>
          <t>VEDL</t>
        </is>
      </c>
      <c r="C208" s="9" t="inlineStr">
        <is>
          <t>Q2 2026-27</t>
        </is>
      </c>
      <c r="D208" s="9" t="inlineStr">
        <is>
          <t>FUTURE LONG</t>
        </is>
      </c>
      <c r="E208" s="9" t="inlineStr">
        <is>
          <t>T-8 to T+1</t>
        </is>
      </c>
      <c r="F208" s="9" t="inlineStr">
        <is>
          <t>60.0%</t>
        </is>
      </c>
      <c r="G208" s="9" t="inlineStr">
        <is>
          <t>2025-01-21</t>
        </is>
      </c>
      <c r="H208" s="9" t="inlineStr">
        <is>
          <t>2025-02-01</t>
        </is>
      </c>
      <c r="I208" s="9" t="inlineStr">
        <is>
          <t>2025-01-31</t>
        </is>
      </c>
      <c r="J208" s="5" t="n">
        <v>2359</v>
      </c>
      <c r="K208" s="11" t="n">
        <v>423.880859375</v>
      </c>
      <c r="L208" s="11" t="n">
        <v>410.8067321777344</v>
      </c>
      <c r="M208" s="12">
        <f>J208*K208</f>
        <v/>
      </c>
      <c r="N208" s="12">
        <f>J208*L208</f>
        <v/>
      </c>
      <c r="O208" s="12">
        <f>M208+N208</f>
        <v/>
      </c>
      <c r="P208" s="12">
        <f>ROUND(O208*0.0005, 2)</f>
        <v/>
      </c>
      <c r="Q208" s="12">
        <f>N208-M208</f>
        <v/>
      </c>
      <c r="R208" s="12">
        <f>Q208-P208</f>
        <v/>
      </c>
      <c r="S208" s="13">
        <f>ROUND((R208/M208)*100, 2)</f>
        <v/>
      </c>
      <c r="T208" s="12">
        <f>ROUND(0.20*M208, 2)</f>
        <v/>
      </c>
      <c r="U208" s="13">
        <f>ROUND((R208/T208)*100, 2)</f>
        <v/>
      </c>
      <c r="V208" s="12">
        <f>V207+R208</f>
        <v/>
      </c>
      <c r="W208" s="12">
        <f>MAX(W207, V208)</f>
        <v/>
      </c>
      <c r="X208" s="12">
        <f>V208-W208</f>
        <v/>
      </c>
    </row>
    <row r="209">
      <c r="A209" s="9" t="n">
        <v>206</v>
      </c>
      <c r="B209" s="10" t="inlineStr">
        <is>
          <t>VMM</t>
        </is>
      </c>
      <c r="C209" s="9" t="inlineStr">
        <is>
          <t>Q2 2026-27</t>
        </is>
      </c>
      <c r="D209" s="9" t="inlineStr">
        <is>
          <t>FUTURE LONG</t>
        </is>
      </c>
      <c r="E209" s="9" t="inlineStr">
        <is>
          <t>T-8 to T+1</t>
        </is>
      </c>
      <c r="F209" s="9" t="inlineStr">
        <is>
          <t>80.0%</t>
        </is>
      </c>
      <c r="G209" s="9" t="inlineStr">
        <is>
          <t>2025-01-21</t>
        </is>
      </c>
      <c r="H209" s="9" t="inlineStr">
        <is>
          <t>2025-02-01</t>
        </is>
      </c>
      <c r="I209" s="9" t="inlineStr">
        <is>
          <t>2025-01-31</t>
        </is>
      </c>
      <c r="J209" s="5" t="n">
        <v>9432</v>
      </c>
      <c r="K209" s="11" t="n">
        <v>106.0199966430664</v>
      </c>
      <c r="L209" s="11" t="n">
        <v>115.2600021362305</v>
      </c>
      <c r="M209" s="12">
        <f>J209*K209</f>
        <v/>
      </c>
      <c r="N209" s="12">
        <f>J209*L209</f>
        <v/>
      </c>
      <c r="O209" s="12">
        <f>M209+N209</f>
        <v/>
      </c>
      <c r="P209" s="12">
        <f>ROUND(O209*0.0005, 2)</f>
        <v/>
      </c>
      <c r="Q209" s="12">
        <f>N209-M209</f>
        <v/>
      </c>
      <c r="R209" s="12">
        <f>Q209-P209</f>
        <v/>
      </c>
      <c r="S209" s="13">
        <f>ROUND((R209/M209)*100, 2)</f>
        <v/>
      </c>
      <c r="T209" s="12">
        <f>ROUND(0.20*M209, 2)</f>
        <v/>
      </c>
      <c r="U209" s="13">
        <f>ROUND((R209/T209)*100, 2)</f>
        <v/>
      </c>
      <c r="V209" s="12">
        <f>V208+R209</f>
        <v/>
      </c>
      <c r="W209" s="12">
        <f>MAX(W208, V209)</f>
        <v/>
      </c>
      <c r="X209" s="12">
        <f>V209-W209</f>
        <v/>
      </c>
    </row>
    <row r="210">
      <c r="A210" s="9" t="n">
        <v>207</v>
      </c>
      <c r="B210" s="10" t="inlineStr">
        <is>
          <t>VOLTAS</t>
        </is>
      </c>
      <c r="C210" s="9" t="inlineStr">
        <is>
          <t>Q2 2026-27</t>
        </is>
      </c>
      <c r="D210" s="9" t="inlineStr">
        <is>
          <t>FUTURE LONG</t>
        </is>
      </c>
      <c r="E210" s="9" t="inlineStr">
        <is>
          <t>T-8 to T+1</t>
        </is>
      </c>
      <c r="F210" s="9" t="inlineStr">
        <is>
          <t>70.0%</t>
        </is>
      </c>
      <c r="G210" s="9" t="inlineStr">
        <is>
          <t>2025-01-17</t>
        </is>
      </c>
      <c r="H210" s="9" t="inlineStr">
        <is>
          <t>2025-01-30</t>
        </is>
      </c>
      <c r="I210" s="9" t="inlineStr">
        <is>
          <t>2025-01-29</t>
        </is>
      </c>
      <c r="J210" s="5" t="n">
        <v>631</v>
      </c>
      <c r="K210" s="11" t="n">
        <v>1583.111694335938</v>
      </c>
      <c r="L210" s="11" t="n">
        <v>1258.301025390625</v>
      </c>
      <c r="M210" s="12">
        <f>J210*K210</f>
        <v/>
      </c>
      <c r="N210" s="12">
        <f>J210*L210</f>
        <v/>
      </c>
      <c r="O210" s="12">
        <f>M210+N210</f>
        <v/>
      </c>
      <c r="P210" s="12">
        <f>ROUND(O210*0.0005, 2)</f>
        <v/>
      </c>
      <c r="Q210" s="12">
        <f>N210-M210</f>
        <v/>
      </c>
      <c r="R210" s="12">
        <f>Q210-P210</f>
        <v/>
      </c>
      <c r="S210" s="13">
        <f>ROUND((R210/M210)*100, 2)</f>
        <v/>
      </c>
      <c r="T210" s="12">
        <f>ROUND(0.20*M210, 2)</f>
        <v/>
      </c>
      <c r="U210" s="13">
        <f>ROUND((R210/T210)*100, 2)</f>
        <v/>
      </c>
      <c r="V210" s="12">
        <f>V209+R210</f>
        <v/>
      </c>
      <c r="W210" s="12">
        <f>MAX(W209, V210)</f>
        <v/>
      </c>
      <c r="X210" s="12">
        <f>V210-W210</f>
        <v/>
      </c>
    </row>
    <row r="211">
      <c r="A211" s="9" t="n">
        <v>208</v>
      </c>
      <c r="B211" s="10" t="inlineStr">
        <is>
          <t>WAAREEENER</t>
        </is>
      </c>
      <c r="C211" s="9" t="inlineStr">
        <is>
          <t>Q2 2026-27</t>
        </is>
      </c>
      <c r="D211" s="9" t="inlineStr">
        <is>
          <t>FUTURE LONG</t>
        </is>
      </c>
      <c r="E211" s="9" t="inlineStr">
        <is>
          <t>T-8 to T+1</t>
        </is>
      </c>
      <c r="F211" s="9" t="inlineStr">
        <is>
          <t>65.0%</t>
        </is>
      </c>
      <c r="G211" s="9" t="inlineStr">
        <is>
          <t>2025-01-20</t>
        </is>
      </c>
      <c r="H211" s="9" t="inlineStr">
        <is>
          <t>2025-01-31</t>
        </is>
      </c>
      <c r="I211" s="9" t="inlineStr">
        <is>
          <t>2025-01-30</t>
        </is>
      </c>
      <c r="J211" s="5" t="n">
        <v>379</v>
      </c>
      <c r="K211" s="11" t="n">
        <v>2633.123046875</v>
      </c>
      <c r="L211" s="11" t="n">
        <v>2391.3583984375</v>
      </c>
      <c r="M211" s="12">
        <f>J211*K211</f>
        <v/>
      </c>
      <c r="N211" s="12">
        <f>J211*L211</f>
        <v/>
      </c>
      <c r="O211" s="12">
        <f>M211+N211</f>
        <v/>
      </c>
      <c r="P211" s="12">
        <f>ROUND(O211*0.0005, 2)</f>
        <v/>
      </c>
      <c r="Q211" s="12">
        <f>N211-M211</f>
        <v/>
      </c>
      <c r="R211" s="12">
        <f>Q211-P211</f>
        <v/>
      </c>
      <c r="S211" s="13">
        <f>ROUND((R211/M211)*100, 2)</f>
        <v/>
      </c>
      <c r="T211" s="12">
        <f>ROUND(0.20*M211, 2)</f>
        <v/>
      </c>
      <c r="U211" s="13">
        <f>ROUND((R211/T211)*100, 2)</f>
        <v/>
      </c>
      <c r="V211" s="12">
        <f>V210+R211</f>
        <v/>
      </c>
      <c r="W211" s="12">
        <f>MAX(W210, V211)</f>
        <v/>
      </c>
      <c r="X211" s="12">
        <f>V211-W211</f>
        <v/>
      </c>
    </row>
    <row r="212">
      <c r="A212" s="9" t="n">
        <v>209</v>
      </c>
      <c r="B212" s="10" t="inlineStr">
        <is>
          <t>WIPRO</t>
        </is>
      </c>
      <c r="C212" s="9" t="inlineStr">
        <is>
          <t>Q2 2026-27</t>
        </is>
      </c>
      <c r="D212" s="9" t="inlineStr">
        <is>
          <t>FUTURE LONG</t>
        </is>
      </c>
      <c r="E212" s="9" t="inlineStr">
        <is>
          <t>T-8 to T+1</t>
        </is>
      </c>
      <c r="F212" s="9" t="inlineStr">
        <is>
          <t>80.0%</t>
        </is>
      </c>
      <c r="G212" s="9" t="inlineStr">
        <is>
          <t>2025-01-07</t>
        </is>
      </c>
      <c r="H212" s="9" t="inlineStr">
        <is>
          <t>2025-01-20</t>
        </is>
      </c>
      <c r="I212" s="9" t="inlineStr">
        <is>
          <t>2025-01-17</t>
        </is>
      </c>
      <c r="J212" s="5" t="n">
        <v>1500</v>
      </c>
      <c r="K212" s="11" t="n">
        <v>275.6426391601562</v>
      </c>
      <c r="L212" s="11" t="n">
        <v>281.4545288085937</v>
      </c>
      <c r="M212" s="12">
        <f>J212*K212</f>
        <v/>
      </c>
      <c r="N212" s="12">
        <f>J212*L212</f>
        <v/>
      </c>
      <c r="O212" s="12">
        <f>M212+N212</f>
        <v/>
      </c>
      <c r="P212" s="12">
        <f>ROUND(O212*0.0005, 2)</f>
        <v/>
      </c>
      <c r="Q212" s="12">
        <f>N212-M212</f>
        <v/>
      </c>
      <c r="R212" s="12">
        <f>Q212-P212</f>
        <v/>
      </c>
      <c r="S212" s="13">
        <f>ROUND((R212/M212)*100, 2)</f>
        <v/>
      </c>
      <c r="T212" s="12">
        <f>ROUND(0.20*M212, 2)</f>
        <v/>
      </c>
      <c r="U212" s="13">
        <f>ROUND((R212/T212)*100, 2)</f>
        <v/>
      </c>
      <c r="V212" s="12">
        <f>V211+R212</f>
        <v/>
      </c>
      <c r="W212" s="12">
        <f>MAX(W211, V212)</f>
        <v/>
      </c>
      <c r="X212" s="12">
        <f>V212-W212</f>
        <v/>
      </c>
    </row>
    <row r="213">
      <c r="A213" s="9" t="n">
        <v>210</v>
      </c>
      <c r="B213" s="10" t="inlineStr">
        <is>
          <t>YESBANK</t>
        </is>
      </c>
      <c r="C213" s="9" t="inlineStr">
        <is>
          <t>Q2 2026-27</t>
        </is>
      </c>
      <c r="D213" s="9" t="inlineStr">
        <is>
          <t>FUTURE LONG</t>
        </is>
      </c>
      <c r="E213" s="9" t="inlineStr">
        <is>
          <t>T-8 to T+1</t>
        </is>
      </c>
      <c r="F213" s="9" t="inlineStr">
        <is>
          <t>70.0%</t>
        </is>
      </c>
      <c r="G213" s="9" t="inlineStr">
        <is>
          <t>2025-01-14</t>
        </is>
      </c>
      <c r="H213" s="9" t="inlineStr">
        <is>
          <t>2025-01-27</t>
        </is>
      </c>
      <c r="I213" s="9" t="inlineStr">
        <is>
          <t>2025-01-25</t>
        </is>
      </c>
      <c r="J213" s="5" t="n">
        <v>55493</v>
      </c>
      <c r="K213" s="11" t="n">
        <v>18.02000045776367</v>
      </c>
      <c r="L213" s="11" t="n">
        <v>18.48999977111816</v>
      </c>
      <c r="M213" s="12">
        <f>J213*K213</f>
        <v/>
      </c>
      <c r="N213" s="12">
        <f>J213*L213</f>
        <v/>
      </c>
      <c r="O213" s="12">
        <f>M213+N213</f>
        <v/>
      </c>
      <c r="P213" s="12">
        <f>ROUND(O213*0.0005, 2)</f>
        <v/>
      </c>
      <c r="Q213" s="12">
        <f>N213-M213</f>
        <v/>
      </c>
      <c r="R213" s="12">
        <f>Q213-P213</f>
        <v/>
      </c>
      <c r="S213" s="13">
        <f>ROUND((R213/M213)*100, 2)</f>
        <v/>
      </c>
      <c r="T213" s="12">
        <f>ROUND(0.20*M213, 2)</f>
        <v/>
      </c>
      <c r="U213" s="13">
        <f>ROUND((R213/T213)*100, 2)</f>
        <v/>
      </c>
      <c r="V213" s="12">
        <f>V212+R213</f>
        <v/>
      </c>
      <c r="W213" s="12">
        <f>MAX(W212, V213)</f>
        <v/>
      </c>
      <c r="X213" s="12">
        <f>V213-W213</f>
        <v/>
      </c>
    </row>
    <row r="214">
      <c r="A214" s="9" t="n">
        <v>211</v>
      </c>
      <c r="B214" s="10" t="inlineStr">
        <is>
          <t>ZYDUSLIFE</t>
        </is>
      </c>
      <c r="C214" s="9" t="inlineStr">
        <is>
          <t>Q2 2026-27</t>
        </is>
      </c>
      <c r="D214" s="9" t="inlineStr">
        <is>
          <t>FUTURE LONG</t>
        </is>
      </c>
      <c r="E214" s="9" t="inlineStr">
        <is>
          <t>T-8 to T+1</t>
        </is>
      </c>
      <c r="F214" s="9" t="inlineStr">
        <is>
          <t>70.0%</t>
        </is>
      </c>
      <c r="G214" s="9" t="inlineStr">
        <is>
          <t>2025-01-27</t>
        </is>
      </c>
      <c r="H214" s="9" t="inlineStr">
        <is>
          <t>2025-02-06</t>
        </is>
      </c>
      <c r="I214" s="9" t="inlineStr">
        <is>
          <t>2025-02-05</t>
        </is>
      </c>
      <c r="J214" s="5" t="n">
        <v>1097</v>
      </c>
      <c r="K214" s="11" t="n">
        <v>911.33203125</v>
      </c>
      <c r="L214" s="11" t="n">
        <v>995.8865966796876</v>
      </c>
      <c r="M214" s="12">
        <f>J214*K214</f>
        <v/>
      </c>
      <c r="N214" s="12">
        <f>J214*L214</f>
        <v/>
      </c>
      <c r="O214" s="12">
        <f>M214+N214</f>
        <v/>
      </c>
      <c r="P214" s="12">
        <f>ROUND(O214*0.0005, 2)</f>
        <v/>
      </c>
      <c r="Q214" s="12">
        <f>N214-M214</f>
        <v/>
      </c>
      <c r="R214" s="12">
        <f>Q214-P214</f>
        <v/>
      </c>
      <c r="S214" s="13">
        <f>ROUND((R214/M214)*100, 2)</f>
        <v/>
      </c>
      <c r="T214" s="12">
        <f>ROUND(0.20*M214, 2)</f>
        <v/>
      </c>
      <c r="U214" s="13">
        <f>ROUND((R214/T214)*100, 2)</f>
        <v/>
      </c>
      <c r="V214" s="12">
        <f>V213+R214</f>
        <v/>
      </c>
      <c r="W214" s="12">
        <f>MAX(W213, V214)</f>
        <v/>
      </c>
      <c r="X214" s="12">
        <f>V214-W214</f>
        <v/>
      </c>
    </row>
    <row r="215">
      <c r="A215" t="inlineStr">
        <is>
          <t>TOTAL / SUMMARY</t>
        </is>
      </c>
      <c r="R215" s="14">
        <f>SUM(R4:R214)</f>
        <v/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2026-09-01T07:00:14Z</dcterms:created>
  <dcterms:modified xmlns:dcterms="http://purl.org/dc/terms/" xmlns:xsi="http://www.w3.org/2001/XMLSchema-instance" xsi:type="dcterms:W3CDTF">2026-09-01T07:00:14Z</dcterms:modified>
</cp:coreProperties>
</file>