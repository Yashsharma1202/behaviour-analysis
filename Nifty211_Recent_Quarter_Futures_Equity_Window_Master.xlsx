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6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4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5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15" customWidth="1" min="2" max="2"/>
    <col width="13" customWidth="1" min="3" max="3"/>
    <col width="14" customWidth="1" min="4" max="4"/>
    <col width="25" customWidth="1" min="5" max="5"/>
    <col width="13" customWidth="1" min="6" max="6"/>
    <col width="13" customWidth="1" min="7" max="7"/>
    <col width="14" customWidth="1" min="8" max="8"/>
    <col width="12" customWidth="1" min="9" max="9"/>
    <col width="21" customWidth="1" min="10" max="10"/>
    <col width="21" customWidth="1" min="11" max="11"/>
    <col width="19" customWidth="1" min="12" max="12"/>
    <col width="20" customWidth="1" min="13" max="13"/>
    <col width="24" customWidth="1" min="14" max="14"/>
    <col width="27" customWidth="1" min="15" max="15"/>
    <col width="16" customWidth="1" min="16" max="16"/>
    <col width="23" customWidth="1" min="17" max="17"/>
    <col width="29" customWidth="1" min="18" max="18"/>
    <col width="26" customWidth="1" min="19" max="19"/>
    <col width="29" customWidth="1" min="20" max="20"/>
    <col width="21" customWidth="1" min="21" max="21"/>
    <col width="19" customWidth="1" min="22" max="22"/>
    <col width="15" customWidth="1" min="23" max="23"/>
  </cols>
  <sheetData>
    <row r="1" ht="35" customHeight="1">
      <c r="A1" s="1" t="inlineStr">
        <is>
          <t>NIFTY 211 STOCKS - RECENT QUARTER (Q2 2026-27) FUTURES EQUITY WINDOW MASTER</t>
        </is>
      </c>
    </row>
    <row r="2"/>
    <row r="3" ht="28" customHeight="1">
      <c r="A3" s="2" t="inlineStr">
        <is>
          <t>Sr. No.</t>
        </is>
      </c>
      <c r="B3" s="2" t="inlineStr">
        <is>
          <t>Stock Symbol</t>
        </is>
      </c>
      <c r="C3" s="2" t="inlineStr">
        <is>
          <t>Quarter</t>
        </is>
      </c>
      <c r="D3" s="2" t="inlineStr">
        <is>
          <t>Strategy</t>
        </is>
      </c>
      <c r="E3" s="2" t="inlineStr">
        <is>
          <t>Position Taking Window</t>
        </is>
      </c>
      <c r="F3" s="2" t="inlineStr">
        <is>
          <t>Entry Date</t>
        </is>
      </c>
      <c r="G3" s="2" t="inlineStr">
        <is>
          <t>Exit Date</t>
        </is>
      </c>
      <c r="H3" s="2" t="inlineStr">
        <is>
          <t>Result Date</t>
        </is>
      </c>
      <c r="I3" s="2" t="inlineStr">
        <is>
          <t>Lot Size</t>
        </is>
      </c>
      <c r="J3" s="2" t="inlineStr">
        <is>
          <t>Buy Price (₹)</t>
        </is>
      </c>
      <c r="K3" s="2" t="inlineStr">
        <is>
          <t>Sell Price (₹)</t>
        </is>
      </c>
      <c r="L3" s="2" t="inlineStr">
        <is>
          <t>Turnover Buy (₹)</t>
        </is>
      </c>
      <c r="M3" s="2" t="inlineStr">
        <is>
          <t>Turnover Sell (₹)</t>
        </is>
      </c>
      <c r="N3" s="2" t="inlineStr">
        <is>
          <t>Combined Turnover (₹)</t>
        </is>
      </c>
      <c r="O3" s="2" t="inlineStr">
        <is>
          <t>Transaction Cost (0.05%)</t>
        </is>
      </c>
      <c r="P3" s="2" t="inlineStr">
        <is>
          <t>Gross P&amp;L (₹)</t>
        </is>
      </c>
      <c r="Q3" s="2" t="inlineStr">
        <is>
          <t>Net Realised P&amp;L (₹)</t>
        </is>
      </c>
      <c r="R3" s="2" t="inlineStr">
        <is>
          <t>P&amp;L %</t>
        </is>
      </c>
      <c r="S3" s="2" t="inlineStr">
        <is>
          <t>Margin Required (20% ₹)</t>
        </is>
      </c>
      <c r="T3" s="2" t="inlineStr">
        <is>
          <t>Booked Return on Margin %</t>
        </is>
      </c>
      <c r="U3" s="2" t="inlineStr">
        <is>
          <t>Cumulative P&amp;L (₹)</t>
        </is>
      </c>
      <c r="V3" s="2" t="inlineStr">
        <is>
          <t>Peak Equity (₹)</t>
        </is>
      </c>
      <c r="W3" s="2" t="inlineStr">
        <is>
          <t>Drawdown (₹)</t>
        </is>
      </c>
    </row>
    <row r="4">
      <c r="A4" s="3" t="n">
        <v>1</v>
      </c>
      <c r="B4" s="4" t="inlineStr">
        <is>
          <t>360ONE</t>
        </is>
      </c>
      <c r="C4" s="3" t="inlineStr">
        <is>
          <t>Q2 2026-27</t>
        </is>
      </c>
      <c r="D4" s="3" t="inlineStr">
        <is>
          <t>FUTURE LONG</t>
        </is>
      </c>
      <c r="E4" s="3" t="inlineStr">
        <is>
          <t>T-8 to T+1</t>
        </is>
      </c>
      <c r="F4" s="3" t="inlineStr">
        <is>
          <t>2026-07-20</t>
        </is>
      </c>
      <c r="G4" s="3" t="inlineStr">
        <is>
          <t>2026-07-30</t>
        </is>
      </c>
      <c r="H4" s="3" t="inlineStr">
        <is>
          <t>2026-08-11</t>
        </is>
      </c>
      <c r="I4" s="5" t="n">
        <v>887</v>
      </c>
      <c r="J4" s="6" t="n">
        <v>1126.5</v>
      </c>
      <c r="K4" s="6" t="n">
        <v>1142.900024414062</v>
      </c>
      <c r="L4" s="7">
        <f>I4*J4</f>
        <v/>
      </c>
      <c r="M4" s="7">
        <f>I4*K4</f>
        <v/>
      </c>
      <c r="N4" s="7">
        <f>L4+M4</f>
        <v/>
      </c>
      <c r="O4" s="7">
        <f>ROUND(N4*0.0005, 2)</f>
        <v/>
      </c>
      <c r="P4" s="7">
        <f>M4-L4</f>
        <v/>
      </c>
      <c r="Q4" s="7">
        <f>P4-O4</f>
        <v/>
      </c>
      <c r="R4" s="8">
        <f>ROUND((Q4/L4)*100, 2)</f>
        <v/>
      </c>
      <c r="S4" s="7">
        <f>ROUND(0.20*L4, 2)</f>
        <v/>
      </c>
      <c r="T4" s="8">
        <f>ROUND((Q4/S4)*100, 2)</f>
        <v/>
      </c>
      <c r="U4" s="7">
        <f>Q4</f>
        <v/>
      </c>
      <c r="V4" s="7">
        <f>MAX(0, U4)</f>
        <v/>
      </c>
      <c r="W4" s="7">
        <f>U4-V4</f>
        <v/>
      </c>
    </row>
    <row r="5">
      <c r="A5" s="3" t="n">
        <v>2</v>
      </c>
      <c r="B5" s="4" t="inlineStr">
        <is>
          <t>ABB</t>
        </is>
      </c>
      <c r="C5" s="3" t="inlineStr">
        <is>
          <t>Q2 2026-27</t>
        </is>
      </c>
      <c r="D5" s="3" t="inlineStr">
        <is>
          <t>FUTURE LONG</t>
        </is>
      </c>
      <c r="E5" s="3" t="inlineStr">
        <is>
          <t>T-8 to T+1</t>
        </is>
      </c>
      <c r="F5" s="3" t="inlineStr">
        <is>
          <t>2026-07-20</t>
        </is>
      </c>
      <c r="G5" s="3" t="inlineStr">
        <is>
          <t>2026-07-30</t>
        </is>
      </c>
      <c r="H5" s="3" t="inlineStr">
        <is>
          <t>2026-07-31</t>
        </is>
      </c>
      <c r="I5" s="5" t="n">
        <v>133</v>
      </c>
      <c r="J5" s="6" t="n">
        <v>7517</v>
      </c>
      <c r="K5" s="6" t="n">
        <v>7291.5</v>
      </c>
      <c r="L5" s="7">
        <f>I5*J5</f>
        <v/>
      </c>
      <c r="M5" s="7">
        <f>I5*K5</f>
        <v/>
      </c>
      <c r="N5" s="7">
        <f>L5+M5</f>
        <v/>
      </c>
      <c r="O5" s="7">
        <f>ROUND(N5*0.0005, 2)</f>
        <v/>
      </c>
      <c r="P5" s="7">
        <f>M5-L5</f>
        <v/>
      </c>
      <c r="Q5" s="7">
        <f>P5-O5</f>
        <v/>
      </c>
      <c r="R5" s="8">
        <f>ROUND((Q5/L5)*100, 2)</f>
        <v/>
      </c>
      <c r="S5" s="7">
        <f>ROUND(0.20*L5, 2)</f>
        <v/>
      </c>
      <c r="T5" s="8">
        <f>ROUND((Q5/S5)*100, 2)</f>
        <v/>
      </c>
      <c r="U5" s="7">
        <f>U4+Q5</f>
        <v/>
      </c>
      <c r="V5" s="7">
        <f>MAX(V4, U5)</f>
        <v/>
      </c>
      <c r="W5" s="7">
        <f>U5-V5</f>
        <v/>
      </c>
    </row>
    <row r="6">
      <c r="A6" s="3" t="n">
        <v>3</v>
      </c>
      <c r="B6" s="4" t="inlineStr">
        <is>
          <t>ABCAPITAL</t>
        </is>
      </c>
      <c r="C6" s="3" t="inlineStr">
        <is>
          <t>Q2 2026-27</t>
        </is>
      </c>
      <c r="D6" s="3" t="inlineStr">
        <is>
          <t>FUTURE LONG</t>
        </is>
      </c>
      <c r="E6" s="3" t="inlineStr">
        <is>
          <t>T-8 to T+1</t>
        </is>
      </c>
      <c r="F6" s="3" t="inlineStr">
        <is>
          <t>2026-07-20</t>
        </is>
      </c>
      <c r="G6" s="3" t="inlineStr">
        <is>
          <t>2026-07-30</t>
        </is>
      </c>
      <c r="H6" s="3" t="inlineStr">
        <is>
          <t>2026-08-14</t>
        </is>
      </c>
      <c r="I6" s="5" t="n">
        <v>2492</v>
      </c>
      <c r="J6" s="6" t="n">
        <v>401.1499938964844</v>
      </c>
      <c r="K6" s="6" t="n">
        <v>394.0499877929688</v>
      </c>
      <c r="L6" s="7">
        <f>I6*J6</f>
        <v/>
      </c>
      <c r="M6" s="7">
        <f>I6*K6</f>
        <v/>
      </c>
      <c r="N6" s="7">
        <f>L6+M6</f>
        <v/>
      </c>
      <c r="O6" s="7">
        <f>ROUND(N6*0.0005, 2)</f>
        <v/>
      </c>
      <c r="P6" s="7">
        <f>M6-L6</f>
        <v/>
      </c>
      <c r="Q6" s="7">
        <f>P6-O6</f>
        <v/>
      </c>
      <c r="R6" s="8">
        <f>ROUND((Q6/L6)*100, 2)</f>
        <v/>
      </c>
      <c r="S6" s="7">
        <f>ROUND(0.20*L6, 2)</f>
        <v/>
      </c>
      <c r="T6" s="8">
        <f>ROUND((Q6/S6)*100, 2)</f>
        <v/>
      </c>
      <c r="U6" s="7">
        <f>U5+Q6</f>
        <v/>
      </c>
      <c r="V6" s="7">
        <f>MAX(V5, U6)</f>
        <v/>
      </c>
      <c r="W6" s="7">
        <f>U6-V6</f>
        <v/>
      </c>
    </row>
    <row r="7">
      <c r="A7" s="3" t="n">
        <v>4</v>
      </c>
      <c r="B7" s="4" t="inlineStr">
        <is>
          <t>ADANIENSOL</t>
        </is>
      </c>
      <c r="C7" s="3" t="inlineStr">
        <is>
          <t>Q2 2026-27</t>
        </is>
      </c>
      <c r="D7" s="3" t="inlineStr">
        <is>
          <t>FUTURE LONG</t>
        </is>
      </c>
      <c r="E7" s="3" t="inlineStr">
        <is>
          <t>T-8 to T+1</t>
        </is>
      </c>
      <c r="F7" s="3" t="inlineStr">
        <is>
          <t>2026-07-17</t>
        </is>
      </c>
      <c r="G7" s="3" t="inlineStr">
        <is>
          <t>2026-07-30</t>
        </is>
      </c>
      <c r="H7" s="3" t="inlineStr">
        <is>
          <t>2026-07-28</t>
        </is>
      </c>
      <c r="I7" s="5" t="n">
        <v>580</v>
      </c>
      <c r="J7" s="6" t="n">
        <v>1722.599975585938</v>
      </c>
      <c r="K7" s="6" t="n">
        <v>1659</v>
      </c>
      <c r="L7" s="7">
        <f>I7*J7</f>
        <v/>
      </c>
      <c r="M7" s="7">
        <f>I7*K7</f>
        <v/>
      </c>
      <c r="N7" s="7">
        <f>L7+M7</f>
        <v/>
      </c>
      <c r="O7" s="7">
        <f>ROUND(N7*0.0005, 2)</f>
        <v/>
      </c>
      <c r="P7" s="7">
        <f>M7-L7</f>
        <v/>
      </c>
      <c r="Q7" s="7">
        <f>P7-O7</f>
        <v/>
      </c>
      <c r="R7" s="8">
        <f>ROUND((Q7/L7)*100, 2)</f>
        <v/>
      </c>
      <c r="S7" s="7">
        <f>ROUND(0.20*L7, 2)</f>
        <v/>
      </c>
      <c r="T7" s="8">
        <f>ROUND((Q7/S7)*100, 2)</f>
        <v/>
      </c>
      <c r="U7" s="7">
        <f>U6+Q7</f>
        <v/>
      </c>
      <c r="V7" s="7">
        <f>MAX(V6, U7)</f>
        <v/>
      </c>
      <c r="W7" s="7">
        <f>U7-V7</f>
        <v/>
      </c>
    </row>
    <row r="8">
      <c r="A8" s="3" t="n">
        <v>5</v>
      </c>
      <c r="B8" s="4" t="inlineStr">
        <is>
          <t>ADANIENT</t>
        </is>
      </c>
      <c r="C8" s="3" t="inlineStr">
        <is>
          <t>Q2 2026-27</t>
        </is>
      </c>
      <c r="D8" s="3" t="inlineStr">
        <is>
          <t>FUTURE LONG</t>
        </is>
      </c>
      <c r="E8" s="3" t="inlineStr">
        <is>
          <t>T-8 to T+1</t>
        </is>
      </c>
      <c r="F8" s="3" t="inlineStr">
        <is>
          <t>2025-01-22</t>
        </is>
      </c>
      <c r="G8" s="3" t="inlineStr">
        <is>
          <t>2025-02-03</t>
        </is>
      </c>
      <c r="H8" s="3" t="inlineStr">
        <is>
          <t>2025-01-31</t>
        </is>
      </c>
      <c r="I8" s="5" t="n">
        <v>300</v>
      </c>
      <c r="J8" s="6" t="n">
        <v>2374.31103515625</v>
      </c>
      <c r="K8" s="6" t="n">
        <v>2259.718994140625</v>
      </c>
      <c r="L8" s="7">
        <f>I8*J8</f>
        <v/>
      </c>
      <c r="M8" s="7">
        <f>I8*K8</f>
        <v/>
      </c>
      <c r="N8" s="7">
        <f>L8+M8</f>
        <v/>
      </c>
      <c r="O8" s="7">
        <f>ROUND(N8*0.0005, 2)</f>
        <v/>
      </c>
      <c r="P8" s="7">
        <f>M8-L8</f>
        <v/>
      </c>
      <c r="Q8" s="7">
        <f>P8-O8</f>
        <v/>
      </c>
      <c r="R8" s="8">
        <f>ROUND((Q8/L8)*100, 2)</f>
        <v/>
      </c>
      <c r="S8" s="7">
        <f>ROUND(0.20*L8, 2)</f>
        <v/>
      </c>
      <c r="T8" s="8">
        <f>ROUND((Q8/S8)*100, 2)</f>
        <v/>
      </c>
      <c r="U8" s="7">
        <f>U7+Q8</f>
        <v/>
      </c>
      <c r="V8" s="7">
        <f>MAX(V7, U8)</f>
        <v/>
      </c>
      <c r="W8" s="7">
        <f>U8-V8</f>
        <v/>
      </c>
    </row>
    <row r="9">
      <c r="A9" s="3" t="n">
        <v>6</v>
      </c>
      <c r="B9" s="4" t="inlineStr">
        <is>
          <t>ADANIGREEN</t>
        </is>
      </c>
      <c r="C9" s="3" t="inlineStr">
        <is>
          <t>Q2 2026-27</t>
        </is>
      </c>
      <c r="D9" s="3" t="inlineStr">
        <is>
          <t>FUTURE LONG</t>
        </is>
      </c>
      <c r="E9" s="3" t="inlineStr">
        <is>
          <t>T-8 to T+1</t>
        </is>
      </c>
      <c r="F9" s="3" t="inlineStr">
        <is>
          <t>2026-07-20</t>
        </is>
      </c>
      <c r="G9" s="3" t="inlineStr">
        <is>
          <t>2026-07-30</t>
        </is>
      </c>
      <c r="H9" s="3" t="inlineStr">
        <is>
          <t>2026-08-10</t>
        </is>
      </c>
      <c r="I9" s="5" t="n">
        <v>500</v>
      </c>
      <c r="J9" s="6" t="n">
        <v>1530</v>
      </c>
      <c r="K9" s="6" t="n">
        <v>1358.699951171875</v>
      </c>
      <c r="L9" s="7">
        <f>I9*J9</f>
        <v/>
      </c>
      <c r="M9" s="7">
        <f>I9*K9</f>
        <v/>
      </c>
      <c r="N9" s="7">
        <f>L9+M9</f>
        <v/>
      </c>
      <c r="O9" s="7">
        <f>ROUND(N9*0.0005, 2)</f>
        <v/>
      </c>
      <c r="P9" s="7">
        <f>M9-L9</f>
        <v/>
      </c>
      <c r="Q9" s="7">
        <f>P9-O9</f>
        <v/>
      </c>
      <c r="R9" s="8">
        <f>ROUND((Q9/L9)*100, 2)</f>
        <v/>
      </c>
      <c r="S9" s="7">
        <f>ROUND(0.20*L9, 2)</f>
        <v/>
      </c>
      <c r="T9" s="8">
        <f>ROUND((Q9/S9)*100, 2)</f>
        <v/>
      </c>
      <c r="U9" s="7">
        <f>U8+Q9</f>
        <v/>
      </c>
      <c r="V9" s="7">
        <f>MAX(V8, U9)</f>
        <v/>
      </c>
      <c r="W9" s="7">
        <f>U9-V9</f>
        <v/>
      </c>
    </row>
    <row r="10">
      <c r="A10" s="3" t="n">
        <v>7</v>
      </c>
      <c r="B10" s="4" t="inlineStr">
        <is>
          <t>ADANIPORTS</t>
        </is>
      </c>
      <c r="C10" s="3" t="inlineStr">
        <is>
          <t>Q2 2026-27</t>
        </is>
      </c>
      <c r="D10" s="3" t="inlineStr">
        <is>
          <t>FUTURE LONG</t>
        </is>
      </c>
      <c r="E10" s="3" t="inlineStr">
        <is>
          <t>T-8 to T+1</t>
        </is>
      </c>
      <c r="F10" s="3" t="inlineStr">
        <is>
          <t>2025-01-21</t>
        </is>
      </c>
      <c r="G10" s="3" t="inlineStr">
        <is>
          <t>2025-02-01</t>
        </is>
      </c>
      <c r="H10" s="3" t="inlineStr">
        <is>
          <t>2025-01-30</t>
        </is>
      </c>
      <c r="I10" s="5" t="n">
        <v>625</v>
      </c>
      <c r="J10" s="6" t="n">
        <v>1096.22412109375</v>
      </c>
      <c r="K10" s="6" t="n">
        <v>1074.323486328125</v>
      </c>
      <c r="L10" s="7">
        <f>I10*J10</f>
        <v/>
      </c>
      <c r="M10" s="7">
        <f>I10*K10</f>
        <v/>
      </c>
      <c r="N10" s="7">
        <f>L10+M10</f>
        <v/>
      </c>
      <c r="O10" s="7">
        <f>ROUND(N10*0.0005, 2)</f>
        <v/>
      </c>
      <c r="P10" s="7">
        <f>M10-L10</f>
        <v/>
      </c>
      <c r="Q10" s="7">
        <f>P10-O10</f>
        <v/>
      </c>
      <c r="R10" s="8">
        <f>ROUND((Q10/L10)*100, 2)</f>
        <v/>
      </c>
      <c r="S10" s="7">
        <f>ROUND(0.20*L10, 2)</f>
        <v/>
      </c>
      <c r="T10" s="8">
        <f>ROUND((Q10/S10)*100, 2)</f>
        <v/>
      </c>
      <c r="U10" s="7">
        <f>U9+Q10</f>
        <v/>
      </c>
      <c r="V10" s="7">
        <f>MAX(V9, U10)</f>
        <v/>
      </c>
      <c r="W10" s="7">
        <f>U10-V10</f>
        <v/>
      </c>
    </row>
    <row r="11">
      <c r="A11" s="3" t="n">
        <v>8</v>
      </c>
      <c r="B11" s="4" t="inlineStr">
        <is>
          <t>ADANIPOWER</t>
        </is>
      </c>
      <c r="C11" s="3" t="inlineStr">
        <is>
          <t>Q2 2026-27</t>
        </is>
      </c>
      <c r="D11" s="3" t="inlineStr">
        <is>
          <t>FUTURE LONG</t>
        </is>
      </c>
      <c r="E11" s="3" t="inlineStr">
        <is>
          <t>T-8 to T+1</t>
        </is>
      </c>
      <c r="F11" s="3" t="inlineStr">
        <is>
          <t>2026-07-20</t>
        </is>
      </c>
      <c r="G11" s="3" t="inlineStr">
        <is>
          <t>2026-07-30</t>
        </is>
      </c>
      <c r="H11" s="3" t="inlineStr">
        <is>
          <t>2026-08-14</t>
        </is>
      </c>
      <c r="I11" s="5" t="n">
        <v>4546</v>
      </c>
      <c r="J11" s="6" t="n">
        <v>219.9700012207031</v>
      </c>
      <c r="K11" s="6" t="n">
        <v>208.9700012207031</v>
      </c>
      <c r="L11" s="7">
        <f>I11*J11</f>
        <v/>
      </c>
      <c r="M11" s="7">
        <f>I11*K11</f>
        <v/>
      </c>
      <c r="N11" s="7">
        <f>L11+M11</f>
        <v/>
      </c>
      <c r="O11" s="7">
        <f>ROUND(N11*0.0005, 2)</f>
        <v/>
      </c>
      <c r="P11" s="7">
        <f>M11-L11</f>
        <v/>
      </c>
      <c r="Q11" s="7">
        <f>P11-O11</f>
        <v/>
      </c>
      <c r="R11" s="8">
        <f>ROUND((Q11/L11)*100, 2)</f>
        <v/>
      </c>
      <c r="S11" s="7">
        <f>ROUND(0.20*L11, 2)</f>
        <v/>
      </c>
      <c r="T11" s="8">
        <f>ROUND((Q11/S11)*100, 2)</f>
        <v/>
      </c>
      <c r="U11" s="7">
        <f>U10+Q11</f>
        <v/>
      </c>
      <c r="V11" s="7">
        <f>MAX(V10, U11)</f>
        <v/>
      </c>
      <c r="W11" s="7">
        <f>U11-V11</f>
        <v/>
      </c>
    </row>
    <row r="12">
      <c r="A12" s="3" t="n">
        <v>9</v>
      </c>
      <c r="B12" s="4" t="inlineStr">
        <is>
          <t>ALKEM</t>
        </is>
      </c>
      <c r="C12" s="3" t="inlineStr">
        <is>
          <t>Q2 2026-27</t>
        </is>
      </c>
      <c r="D12" s="3" t="inlineStr">
        <is>
          <t>FUTURE LONG</t>
        </is>
      </c>
      <c r="E12" s="3" t="inlineStr">
        <is>
          <t>T-8 to T+1</t>
        </is>
      </c>
      <c r="F12" s="3" t="inlineStr">
        <is>
          <t>2026-07-20</t>
        </is>
      </c>
      <c r="G12" s="3" t="inlineStr">
        <is>
          <t>2026-07-30</t>
        </is>
      </c>
      <c r="H12" s="3" t="inlineStr">
        <is>
          <t>2026-08-27</t>
        </is>
      </c>
      <c r="I12" s="5" t="n">
        <v>176</v>
      </c>
      <c r="J12" s="6" t="n">
        <v>5653.5</v>
      </c>
      <c r="K12" s="6" t="n">
        <v>5816.5</v>
      </c>
      <c r="L12" s="7">
        <f>I12*J12</f>
        <v/>
      </c>
      <c r="M12" s="7">
        <f>I12*K12</f>
        <v/>
      </c>
      <c r="N12" s="7">
        <f>L12+M12</f>
        <v/>
      </c>
      <c r="O12" s="7">
        <f>ROUND(N12*0.0005, 2)</f>
        <v/>
      </c>
      <c r="P12" s="7">
        <f>M12-L12</f>
        <v/>
      </c>
      <c r="Q12" s="7">
        <f>P12-O12</f>
        <v/>
      </c>
      <c r="R12" s="8">
        <f>ROUND((Q12/L12)*100, 2)</f>
        <v/>
      </c>
      <c r="S12" s="7">
        <f>ROUND(0.20*L12, 2)</f>
        <v/>
      </c>
      <c r="T12" s="8">
        <f>ROUND((Q12/S12)*100, 2)</f>
        <v/>
      </c>
      <c r="U12" s="7">
        <f>U11+Q12</f>
        <v/>
      </c>
      <c r="V12" s="7">
        <f>MAX(V11, U12)</f>
        <v/>
      </c>
      <c r="W12" s="7">
        <f>U12-V12</f>
        <v/>
      </c>
    </row>
    <row r="13">
      <c r="A13" s="3" t="n">
        <v>10</v>
      </c>
      <c r="B13" s="4" t="inlineStr">
        <is>
          <t>AMBER</t>
        </is>
      </c>
      <c r="C13" s="3" t="inlineStr">
        <is>
          <t>Q2 2026-27</t>
        </is>
      </c>
      <c r="D13" s="3" t="inlineStr">
        <is>
          <t>FUTURE LONG</t>
        </is>
      </c>
      <c r="E13" s="3" t="inlineStr">
        <is>
          <t>T-8 to T+1</t>
        </is>
      </c>
      <c r="F13" s="3" t="inlineStr">
        <is>
          <t>2026-07-20</t>
        </is>
      </c>
      <c r="G13" s="3" t="inlineStr">
        <is>
          <t>2026-07-30</t>
        </is>
      </c>
      <c r="H13" s="3" t="inlineStr">
        <is>
          <t>2026-08-25</t>
        </is>
      </c>
      <c r="I13" s="5" t="n">
        <v>127</v>
      </c>
      <c r="J13" s="6" t="n">
        <v>7859</v>
      </c>
      <c r="K13" s="6" t="n">
        <v>7401</v>
      </c>
      <c r="L13" s="7">
        <f>I13*J13</f>
        <v/>
      </c>
      <c r="M13" s="7">
        <f>I13*K13</f>
        <v/>
      </c>
      <c r="N13" s="7">
        <f>L13+M13</f>
        <v/>
      </c>
      <c r="O13" s="7">
        <f>ROUND(N13*0.0005, 2)</f>
        <v/>
      </c>
      <c r="P13" s="7">
        <f>M13-L13</f>
        <v/>
      </c>
      <c r="Q13" s="7">
        <f>P13-O13</f>
        <v/>
      </c>
      <c r="R13" s="8">
        <f>ROUND((Q13/L13)*100, 2)</f>
        <v/>
      </c>
      <c r="S13" s="7">
        <f>ROUND(0.20*L13, 2)</f>
        <v/>
      </c>
      <c r="T13" s="8">
        <f>ROUND((Q13/S13)*100, 2)</f>
        <v/>
      </c>
      <c r="U13" s="7">
        <f>U12+Q13</f>
        <v/>
      </c>
      <c r="V13" s="7">
        <f>MAX(V12, U13)</f>
        <v/>
      </c>
      <c r="W13" s="7">
        <f>U13-V13</f>
        <v/>
      </c>
    </row>
    <row r="14">
      <c r="A14" s="3" t="n">
        <v>11</v>
      </c>
      <c r="B14" s="4" t="inlineStr">
        <is>
          <t>AMBUJACEM</t>
        </is>
      </c>
      <c r="C14" s="3" t="inlineStr">
        <is>
          <t>Q2 2026-27</t>
        </is>
      </c>
      <c r="D14" s="3" t="inlineStr">
        <is>
          <t>FUTURE LONG</t>
        </is>
      </c>
      <c r="E14" s="3" t="inlineStr">
        <is>
          <t>T-8 to T+1</t>
        </is>
      </c>
      <c r="F14" s="3" t="inlineStr">
        <is>
          <t>2026-07-20</t>
        </is>
      </c>
      <c r="G14" s="3" t="inlineStr">
        <is>
          <t>2026-07-30</t>
        </is>
      </c>
      <c r="H14" s="3" t="inlineStr">
        <is>
          <t>2026-08-27</t>
        </is>
      </c>
      <c r="I14" s="5" t="n">
        <v>2284</v>
      </c>
      <c r="J14" s="6" t="n">
        <v>437.7999877929688</v>
      </c>
      <c r="K14" s="6" t="n">
        <v>434.2000122070313</v>
      </c>
      <c r="L14" s="7">
        <f>I14*J14</f>
        <v/>
      </c>
      <c r="M14" s="7">
        <f>I14*K14</f>
        <v/>
      </c>
      <c r="N14" s="7">
        <f>L14+M14</f>
        <v/>
      </c>
      <c r="O14" s="7">
        <f>ROUND(N14*0.0005, 2)</f>
        <v/>
      </c>
      <c r="P14" s="7">
        <f>M14-L14</f>
        <v/>
      </c>
      <c r="Q14" s="7">
        <f>P14-O14</f>
        <v/>
      </c>
      <c r="R14" s="8">
        <f>ROUND((Q14/L14)*100, 2)</f>
        <v/>
      </c>
      <c r="S14" s="7">
        <f>ROUND(0.20*L14, 2)</f>
        <v/>
      </c>
      <c r="T14" s="8">
        <f>ROUND((Q14/S14)*100, 2)</f>
        <v/>
      </c>
      <c r="U14" s="7">
        <f>U13+Q14</f>
        <v/>
      </c>
      <c r="V14" s="7">
        <f>MAX(V13, U14)</f>
        <v/>
      </c>
      <c r="W14" s="7">
        <f>U14-V14</f>
        <v/>
      </c>
    </row>
    <row r="15">
      <c r="A15" s="3" t="n">
        <v>12</v>
      </c>
      <c r="B15" s="4" t="inlineStr">
        <is>
          <t>ANGELONE</t>
        </is>
      </c>
      <c r="C15" s="3" t="inlineStr">
        <is>
          <t>Q2 2026-27</t>
        </is>
      </c>
      <c r="D15" s="3" t="inlineStr">
        <is>
          <t>FUTURE LONG</t>
        </is>
      </c>
      <c r="E15" s="3" t="inlineStr">
        <is>
          <t>T-8 to T+1</t>
        </is>
      </c>
      <c r="F15" s="3" t="inlineStr">
        <is>
          <t>2026-07-07</t>
        </is>
      </c>
      <c r="G15" s="3" t="inlineStr">
        <is>
          <t>2026-07-20</t>
        </is>
      </c>
      <c r="H15" s="3" t="inlineStr">
        <is>
          <t>2026-07-16</t>
        </is>
      </c>
      <c r="I15" s="5" t="n">
        <v>2987</v>
      </c>
      <c r="J15" s="6" t="n">
        <v>334.7646789550781</v>
      </c>
      <c r="K15" s="6" t="n">
        <v>323.3500061035156</v>
      </c>
      <c r="L15" s="7">
        <f>I15*J15</f>
        <v/>
      </c>
      <c r="M15" s="7">
        <f>I15*K15</f>
        <v/>
      </c>
      <c r="N15" s="7">
        <f>L15+M15</f>
        <v/>
      </c>
      <c r="O15" s="7">
        <f>ROUND(N15*0.0005, 2)</f>
        <v/>
      </c>
      <c r="P15" s="7">
        <f>M15-L15</f>
        <v/>
      </c>
      <c r="Q15" s="7">
        <f>P15-O15</f>
        <v/>
      </c>
      <c r="R15" s="8">
        <f>ROUND((Q15/L15)*100, 2)</f>
        <v/>
      </c>
      <c r="S15" s="7">
        <f>ROUND(0.20*L15, 2)</f>
        <v/>
      </c>
      <c r="T15" s="8">
        <f>ROUND((Q15/S15)*100, 2)</f>
        <v/>
      </c>
      <c r="U15" s="7">
        <f>U14+Q15</f>
        <v/>
      </c>
      <c r="V15" s="7">
        <f>MAX(V14, U15)</f>
        <v/>
      </c>
      <c r="W15" s="7">
        <f>U15-V15</f>
        <v/>
      </c>
    </row>
    <row r="16">
      <c r="A16" s="3" t="n">
        <v>13</v>
      </c>
      <c r="B16" s="4" t="inlineStr">
        <is>
          <t>APLAPOLLO</t>
        </is>
      </c>
      <c r="C16" s="3" t="inlineStr">
        <is>
          <t>Q2 2026-27</t>
        </is>
      </c>
      <c r="D16" s="3" t="inlineStr">
        <is>
          <t>FUTURE LONG</t>
        </is>
      </c>
      <c r="E16" s="3" t="inlineStr">
        <is>
          <t>T-8 to T+1</t>
        </is>
      </c>
      <c r="F16" s="3" t="inlineStr">
        <is>
          <t>2026-07-20</t>
        </is>
      </c>
      <c r="G16" s="3" t="inlineStr">
        <is>
          <t>2026-07-30</t>
        </is>
      </c>
      <c r="H16" s="3" t="inlineStr">
        <is>
          <t>2026-08-21</t>
        </is>
      </c>
      <c r="I16" s="5" t="n">
        <v>551</v>
      </c>
      <c r="J16" s="6" t="n">
        <v>1814.300048828125</v>
      </c>
      <c r="K16" s="6" t="n">
        <v>1893.099975585937</v>
      </c>
      <c r="L16" s="7">
        <f>I16*J16</f>
        <v/>
      </c>
      <c r="M16" s="7">
        <f>I16*K16</f>
        <v/>
      </c>
      <c r="N16" s="7">
        <f>L16+M16</f>
        <v/>
      </c>
      <c r="O16" s="7">
        <f>ROUND(N16*0.0005, 2)</f>
        <v/>
      </c>
      <c r="P16" s="7">
        <f>M16-L16</f>
        <v/>
      </c>
      <c r="Q16" s="7">
        <f>P16-O16</f>
        <v/>
      </c>
      <c r="R16" s="8">
        <f>ROUND((Q16/L16)*100, 2)</f>
        <v/>
      </c>
      <c r="S16" s="7">
        <f>ROUND(0.20*L16, 2)</f>
        <v/>
      </c>
      <c r="T16" s="8">
        <f>ROUND((Q16/S16)*100, 2)</f>
        <v/>
      </c>
      <c r="U16" s="7">
        <f>U15+Q16</f>
        <v/>
      </c>
      <c r="V16" s="7">
        <f>MAX(V15, U16)</f>
        <v/>
      </c>
      <c r="W16" s="7">
        <f>U16-V16</f>
        <v/>
      </c>
    </row>
    <row r="17">
      <c r="A17" s="3" t="n">
        <v>14</v>
      </c>
      <c r="B17" s="4" t="inlineStr">
        <is>
          <t>APOLLOHOSP</t>
        </is>
      </c>
      <c r="C17" s="3" t="inlineStr">
        <is>
          <t>Q2 2026-27</t>
        </is>
      </c>
      <c r="D17" s="3" t="inlineStr">
        <is>
          <t>FUTURE LONG</t>
        </is>
      </c>
      <c r="E17" s="3" t="inlineStr">
        <is>
          <t>T-8 to T+1</t>
        </is>
      </c>
      <c r="F17" s="3" t="inlineStr">
        <is>
          <t>2025-02-01</t>
        </is>
      </c>
      <c r="G17" s="3" t="inlineStr">
        <is>
          <t>2025-02-13</t>
        </is>
      </c>
      <c r="H17" s="3" t="inlineStr">
        <is>
          <t>2025-02-11</t>
        </is>
      </c>
      <c r="I17" s="5" t="n">
        <v>125</v>
      </c>
      <c r="J17" s="6" t="n">
        <v>6813.6591796875</v>
      </c>
      <c r="K17" s="6" t="n">
        <v>6346.6396484375</v>
      </c>
      <c r="L17" s="7">
        <f>I17*J17</f>
        <v/>
      </c>
      <c r="M17" s="7">
        <f>I17*K17</f>
        <v/>
      </c>
      <c r="N17" s="7">
        <f>L17+M17</f>
        <v/>
      </c>
      <c r="O17" s="7">
        <f>ROUND(N17*0.0005, 2)</f>
        <v/>
      </c>
      <c r="P17" s="7">
        <f>M17-L17</f>
        <v/>
      </c>
      <c r="Q17" s="7">
        <f>P17-O17</f>
        <v/>
      </c>
      <c r="R17" s="8">
        <f>ROUND((Q17/L17)*100, 2)</f>
        <v/>
      </c>
      <c r="S17" s="7">
        <f>ROUND(0.20*L17, 2)</f>
        <v/>
      </c>
      <c r="T17" s="8">
        <f>ROUND((Q17/S17)*100, 2)</f>
        <v/>
      </c>
      <c r="U17" s="7">
        <f>U16+Q17</f>
        <v/>
      </c>
      <c r="V17" s="7">
        <f>MAX(V16, U17)</f>
        <v/>
      </c>
      <c r="W17" s="7">
        <f>U17-V17</f>
        <v/>
      </c>
    </row>
    <row r="18">
      <c r="A18" s="3" t="n">
        <v>15</v>
      </c>
      <c r="B18" s="4" t="inlineStr">
        <is>
          <t>ASHOKLEY</t>
        </is>
      </c>
      <c r="C18" s="3" t="inlineStr">
        <is>
          <t>Q2 2026-27</t>
        </is>
      </c>
      <c r="D18" s="3" t="inlineStr">
        <is>
          <t>FUTURE LONG</t>
        </is>
      </c>
      <c r="E18" s="3" t="inlineStr">
        <is>
          <t>T-8 to T+1</t>
        </is>
      </c>
      <c r="F18" s="3" t="inlineStr">
        <is>
          <t>2025-02-01</t>
        </is>
      </c>
      <c r="G18" s="3" t="inlineStr">
        <is>
          <t>2025-02-13</t>
        </is>
      </c>
      <c r="H18" s="3" t="inlineStr">
        <is>
          <t>2025-02-12</t>
        </is>
      </c>
      <c r="I18" s="5" t="n">
        <v>5000</v>
      </c>
      <c r="J18" s="6" t="n">
        <v>99.01042175292967</v>
      </c>
      <c r="K18" s="6" t="n">
        <v>104.1540679931641</v>
      </c>
      <c r="L18" s="7">
        <f>I18*J18</f>
        <v/>
      </c>
      <c r="M18" s="7">
        <f>I18*K18</f>
        <v/>
      </c>
      <c r="N18" s="7">
        <f>L18+M18</f>
        <v/>
      </c>
      <c r="O18" s="7">
        <f>ROUND(N18*0.0005, 2)</f>
        <v/>
      </c>
      <c r="P18" s="7">
        <f>M18-L18</f>
        <v/>
      </c>
      <c r="Q18" s="7">
        <f>P18-O18</f>
        <v/>
      </c>
      <c r="R18" s="8">
        <f>ROUND((Q18/L18)*100, 2)</f>
        <v/>
      </c>
      <c r="S18" s="7">
        <f>ROUND(0.20*L18, 2)</f>
        <v/>
      </c>
      <c r="T18" s="8">
        <f>ROUND((Q18/S18)*100, 2)</f>
        <v/>
      </c>
      <c r="U18" s="7">
        <f>U17+Q18</f>
        <v/>
      </c>
      <c r="V18" s="7">
        <f>MAX(V17, U18)</f>
        <v/>
      </c>
      <c r="W18" s="7">
        <f>U18-V18</f>
        <v/>
      </c>
    </row>
    <row r="19">
      <c r="A19" s="3" t="n">
        <v>16</v>
      </c>
      <c r="B19" s="4" t="inlineStr">
        <is>
          <t>ASIANPAINT</t>
        </is>
      </c>
      <c r="C19" s="3" t="inlineStr">
        <is>
          <t>Q2 2026-27</t>
        </is>
      </c>
      <c r="D19" s="3" t="inlineStr">
        <is>
          <t>FUTURE LONG</t>
        </is>
      </c>
      <c r="E19" s="3" t="inlineStr">
        <is>
          <t>T-8 to T+1</t>
        </is>
      </c>
      <c r="F19" s="3" t="inlineStr">
        <is>
          <t>2025-01-27</t>
        </is>
      </c>
      <c r="G19" s="3" t="inlineStr">
        <is>
          <t>2025-02-06</t>
        </is>
      </c>
      <c r="H19" s="3" t="inlineStr">
        <is>
          <t>2025-02-04</t>
        </is>
      </c>
      <c r="I19" s="5" t="n">
        <v>200</v>
      </c>
      <c r="J19" s="6" t="n">
        <v>2208.28173828125</v>
      </c>
      <c r="K19" s="6" t="n">
        <v>2219.953369140625</v>
      </c>
      <c r="L19" s="7">
        <f>I19*J19</f>
        <v/>
      </c>
      <c r="M19" s="7">
        <f>I19*K19</f>
        <v/>
      </c>
      <c r="N19" s="7">
        <f>L19+M19</f>
        <v/>
      </c>
      <c r="O19" s="7">
        <f>ROUND(N19*0.0005, 2)</f>
        <v/>
      </c>
      <c r="P19" s="7">
        <f>M19-L19</f>
        <v/>
      </c>
      <c r="Q19" s="7">
        <f>P19-O19</f>
        <v/>
      </c>
      <c r="R19" s="8">
        <f>ROUND((Q19/L19)*100, 2)</f>
        <v/>
      </c>
      <c r="S19" s="7">
        <f>ROUND(0.20*L19, 2)</f>
        <v/>
      </c>
      <c r="T19" s="8">
        <f>ROUND((Q19/S19)*100, 2)</f>
        <v/>
      </c>
      <c r="U19" s="7">
        <f>U18+Q19</f>
        <v/>
      </c>
      <c r="V19" s="7">
        <f>MAX(V18, U19)</f>
        <v/>
      </c>
      <c r="W19" s="7">
        <f>U19-V19</f>
        <v/>
      </c>
    </row>
    <row r="20">
      <c r="A20" s="3" t="n">
        <v>17</v>
      </c>
      <c r="B20" s="4" t="inlineStr">
        <is>
          <t>ASTRAL</t>
        </is>
      </c>
      <c r="C20" s="3" t="inlineStr">
        <is>
          <t>Q2 2026-27</t>
        </is>
      </c>
      <c r="D20" s="3" t="inlineStr">
        <is>
          <t>FUTURE LONG</t>
        </is>
      </c>
      <c r="E20" s="3" t="inlineStr">
        <is>
          <t>T-8 to T+1</t>
        </is>
      </c>
      <c r="F20" s="3" t="inlineStr">
        <is>
          <t>2025-01-20</t>
        </is>
      </c>
      <c r="G20" s="3" t="inlineStr">
        <is>
          <t>2025-01-31</t>
        </is>
      </c>
      <c r="H20" s="3" t="inlineStr">
        <is>
          <t>2025-01-30</t>
        </is>
      </c>
      <c r="I20" s="5" t="n">
        <v>675</v>
      </c>
      <c r="J20" s="6" t="n">
        <v>1479.450439453125</v>
      </c>
      <c r="K20" s="6" t="n">
        <v>1503.236206054688</v>
      </c>
      <c r="L20" s="7">
        <f>I20*J20</f>
        <v/>
      </c>
      <c r="M20" s="7">
        <f>I20*K20</f>
        <v/>
      </c>
      <c r="N20" s="7">
        <f>L20+M20</f>
        <v/>
      </c>
      <c r="O20" s="7">
        <f>ROUND(N20*0.0005, 2)</f>
        <v/>
      </c>
      <c r="P20" s="7">
        <f>M20-L20</f>
        <v/>
      </c>
      <c r="Q20" s="7">
        <f>P20-O20</f>
        <v/>
      </c>
      <c r="R20" s="8">
        <f>ROUND((Q20/L20)*100, 2)</f>
        <v/>
      </c>
      <c r="S20" s="7">
        <f>ROUND(0.20*L20, 2)</f>
        <v/>
      </c>
      <c r="T20" s="8">
        <f>ROUND((Q20/S20)*100, 2)</f>
        <v/>
      </c>
      <c r="U20" s="7">
        <f>U19+Q20</f>
        <v/>
      </c>
      <c r="V20" s="7">
        <f>MAX(V19, U20)</f>
        <v/>
      </c>
      <c r="W20" s="7">
        <f>U20-V20</f>
        <v/>
      </c>
    </row>
    <row r="21">
      <c r="A21" s="3" t="n">
        <v>18</v>
      </c>
      <c r="B21" s="4" t="inlineStr">
        <is>
          <t>ATHERENERG</t>
        </is>
      </c>
      <c r="C21" s="3" t="inlineStr">
        <is>
          <t>Q2 2026-27</t>
        </is>
      </c>
      <c r="D21" s="3" t="inlineStr">
        <is>
          <t>FUTURE LONG</t>
        </is>
      </c>
      <c r="E21" s="3" t="inlineStr">
        <is>
          <t>T-8 to T+1</t>
        </is>
      </c>
      <c r="F21" s="3" t="inlineStr">
        <is>
          <t>2026-08-03</t>
        </is>
      </c>
      <c r="G21" s="3" t="inlineStr">
        <is>
          <t>2026-08-06</t>
        </is>
      </c>
      <c r="H21" s="3" t="inlineStr">
        <is>
          <t>2026-08-03</t>
        </is>
      </c>
      <c r="I21" s="5" t="n">
        <v>781</v>
      </c>
      <c r="J21" s="6" t="n">
        <v>1280</v>
      </c>
      <c r="K21" s="6" t="n">
        <v>1445</v>
      </c>
      <c r="L21" s="7">
        <f>I21*J21</f>
        <v/>
      </c>
      <c r="M21" s="7">
        <f>I21*K21</f>
        <v/>
      </c>
      <c r="N21" s="7">
        <f>L21+M21</f>
        <v/>
      </c>
      <c r="O21" s="7">
        <f>ROUND(N21*0.0005, 2)</f>
        <v/>
      </c>
      <c r="P21" s="7">
        <f>M21-L21</f>
        <v/>
      </c>
      <c r="Q21" s="7">
        <f>P21-O21</f>
        <v/>
      </c>
      <c r="R21" s="8">
        <f>ROUND((Q21/L21)*100, 2)</f>
        <v/>
      </c>
      <c r="S21" s="7">
        <f>ROUND(0.20*L21, 2)</f>
        <v/>
      </c>
      <c r="T21" s="8">
        <f>ROUND((Q21/S21)*100, 2)</f>
        <v/>
      </c>
      <c r="U21" s="7">
        <f>U20+Q21</f>
        <v/>
      </c>
      <c r="V21" s="7">
        <f>MAX(V20, U21)</f>
        <v/>
      </c>
      <c r="W21" s="7">
        <f>U21-V21</f>
        <v/>
      </c>
    </row>
    <row r="22">
      <c r="A22" s="3" t="n">
        <v>19</v>
      </c>
      <c r="B22" s="4" t="inlineStr">
        <is>
          <t>AUBANK</t>
        </is>
      </c>
      <c r="C22" s="3" t="inlineStr">
        <is>
          <t>Q2 2026-27</t>
        </is>
      </c>
      <c r="D22" s="3" t="inlineStr">
        <is>
          <t>FUTURE LONG</t>
        </is>
      </c>
      <c r="E22" s="3" t="inlineStr">
        <is>
          <t>T-8 to T+1</t>
        </is>
      </c>
      <c r="F22" s="3" t="inlineStr">
        <is>
          <t>2025-01-14</t>
        </is>
      </c>
      <c r="G22" s="3" t="inlineStr">
        <is>
          <t>2025-01-27</t>
        </is>
      </c>
      <c r="H22" s="3" t="inlineStr">
        <is>
          <t>2025-01-24</t>
        </is>
      </c>
      <c r="I22" s="5" t="n">
        <v>1740</v>
      </c>
      <c r="J22" s="6" t="n">
        <v>574.3916015625</v>
      </c>
      <c r="K22" s="6" t="n">
        <v>562.7559814453125</v>
      </c>
      <c r="L22" s="7">
        <f>I22*J22</f>
        <v/>
      </c>
      <c r="M22" s="7">
        <f>I22*K22</f>
        <v/>
      </c>
      <c r="N22" s="7">
        <f>L22+M22</f>
        <v/>
      </c>
      <c r="O22" s="7">
        <f>ROUND(N22*0.0005, 2)</f>
        <v/>
      </c>
      <c r="P22" s="7">
        <f>M22-L22</f>
        <v/>
      </c>
      <c r="Q22" s="7">
        <f>P22-O22</f>
        <v/>
      </c>
      <c r="R22" s="8">
        <f>ROUND((Q22/L22)*100, 2)</f>
        <v/>
      </c>
      <c r="S22" s="7">
        <f>ROUND(0.20*L22, 2)</f>
        <v/>
      </c>
      <c r="T22" s="8">
        <f>ROUND((Q22/S22)*100, 2)</f>
        <v/>
      </c>
      <c r="U22" s="7">
        <f>U21+Q22</f>
        <v/>
      </c>
      <c r="V22" s="7">
        <f>MAX(V21, U22)</f>
        <v/>
      </c>
      <c r="W22" s="7">
        <f>U22-V22</f>
        <v/>
      </c>
    </row>
    <row r="23">
      <c r="A23" s="3" t="n">
        <v>20</v>
      </c>
      <c r="B23" s="4" t="inlineStr">
        <is>
          <t>AUROPHARMA</t>
        </is>
      </c>
      <c r="C23" s="3" t="inlineStr">
        <is>
          <t>Q2 2026-27</t>
        </is>
      </c>
      <c r="D23" s="3" t="inlineStr">
        <is>
          <t>FUTURE LONG</t>
        </is>
      </c>
      <c r="E23" s="3" t="inlineStr">
        <is>
          <t>T-8 to T+1</t>
        </is>
      </c>
      <c r="F23" s="3" t="inlineStr">
        <is>
          <t>2025-01-28</t>
        </is>
      </c>
      <c r="G23" s="3" t="inlineStr">
        <is>
          <t>2025-02-07</t>
        </is>
      </c>
      <c r="H23" s="3" t="inlineStr">
        <is>
          <t>2025-02-06</t>
        </is>
      </c>
      <c r="I23" s="5" t="n">
        <v>881</v>
      </c>
      <c r="J23" s="6" t="n">
        <v>1134.341918945312</v>
      </c>
      <c r="K23" s="6" t="n">
        <v>1187.243286132812</v>
      </c>
      <c r="L23" s="7">
        <f>I23*J23</f>
        <v/>
      </c>
      <c r="M23" s="7">
        <f>I23*K23</f>
        <v/>
      </c>
      <c r="N23" s="7">
        <f>L23+M23</f>
        <v/>
      </c>
      <c r="O23" s="7">
        <f>ROUND(N23*0.0005, 2)</f>
        <v/>
      </c>
      <c r="P23" s="7">
        <f>M23-L23</f>
        <v/>
      </c>
      <c r="Q23" s="7">
        <f>P23-O23</f>
        <v/>
      </c>
      <c r="R23" s="8">
        <f>ROUND((Q23/L23)*100, 2)</f>
        <v/>
      </c>
      <c r="S23" s="7">
        <f>ROUND(0.20*L23, 2)</f>
        <v/>
      </c>
      <c r="T23" s="8">
        <f>ROUND((Q23/S23)*100, 2)</f>
        <v/>
      </c>
      <c r="U23" s="7">
        <f>U22+Q23</f>
        <v/>
      </c>
      <c r="V23" s="7">
        <f>MAX(V22, U23)</f>
        <v/>
      </c>
      <c r="W23" s="7">
        <f>U23-V23</f>
        <v/>
      </c>
    </row>
    <row r="24">
      <c r="A24" s="3" t="n">
        <v>21</v>
      </c>
      <c r="B24" s="4" t="inlineStr">
        <is>
          <t>AXISBANK</t>
        </is>
      </c>
      <c r="C24" s="3" t="inlineStr">
        <is>
          <t>Q2 2026-27</t>
        </is>
      </c>
      <c r="D24" s="3" t="inlineStr">
        <is>
          <t>FUTURE LONG</t>
        </is>
      </c>
      <c r="E24" s="3" t="inlineStr">
        <is>
          <t>T-8 to T+1</t>
        </is>
      </c>
      <c r="F24" s="3" t="inlineStr">
        <is>
          <t>2025-01-07</t>
        </is>
      </c>
      <c r="G24" s="3" t="inlineStr">
        <is>
          <t>2025-01-20</t>
        </is>
      </c>
      <c r="H24" s="3" t="inlineStr">
        <is>
          <t>2025-01-16</t>
        </is>
      </c>
      <c r="I24" s="5" t="n">
        <v>625</v>
      </c>
      <c r="J24" s="6" t="n">
        <v>1065.7666015625</v>
      </c>
      <c r="K24" s="6" t="n">
        <v>986.445556640625</v>
      </c>
      <c r="L24" s="7">
        <f>I24*J24</f>
        <v/>
      </c>
      <c r="M24" s="7">
        <f>I24*K24</f>
        <v/>
      </c>
      <c r="N24" s="7">
        <f>L24+M24</f>
        <v/>
      </c>
      <c r="O24" s="7">
        <f>ROUND(N24*0.0005, 2)</f>
        <v/>
      </c>
      <c r="P24" s="7">
        <f>M24-L24</f>
        <v/>
      </c>
      <c r="Q24" s="7">
        <f>P24-O24</f>
        <v/>
      </c>
      <c r="R24" s="8">
        <f>ROUND((Q24/L24)*100, 2)</f>
        <v/>
      </c>
      <c r="S24" s="7">
        <f>ROUND(0.20*L24, 2)</f>
        <v/>
      </c>
      <c r="T24" s="8">
        <f>ROUND((Q24/S24)*100, 2)</f>
        <v/>
      </c>
      <c r="U24" s="7">
        <f>U23+Q24</f>
        <v/>
      </c>
      <c r="V24" s="7">
        <f>MAX(V23, U24)</f>
        <v/>
      </c>
      <c r="W24" s="7">
        <f>U24-V24</f>
        <v/>
      </c>
    </row>
    <row r="25">
      <c r="A25" s="3" t="n">
        <v>22</v>
      </c>
      <c r="B25" s="4" t="inlineStr">
        <is>
          <t>BAJAJ-AUTO</t>
        </is>
      </c>
      <c r="C25" s="3" t="inlineStr">
        <is>
          <t>Q2 2026-27</t>
        </is>
      </c>
      <c r="D25" s="3" t="inlineStr">
        <is>
          <t>FUTURE LONG</t>
        </is>
      </c>
      <c r="E25" s="3" t="inlineStr">
        <is>
          <t>T-8 to T+1</t>
        </is>
      </c>
      <c r="F25" s="3" t="inlineStr">
        <is>
          <t>2025-01-20</t>
        </is>
      </c>
      <c r="G25" s="3" t="inlineStr">
        <is>
          <t>2025-01-31</t>
        </is>
      </c>
      <c r="H25" s="3" t="inlineStr">
        <is>
          <t>2025-01-29</t>
        </is>
      </c>
      <c r="I25" s="5" t="n">
        <v>125</v>
      </c>
      <c r="J25" s="6" t="n">
        <v>8217.5556640625</v>
      </c>
      <c r="K25" s="6" t="n">
        <v>8509.349609375</v>
      </c>
      <c r="L25" s="7">
        <f>I25*J25</f>
        <v/>
      </c>
      <c r="M25" s="7">
        <f>I25*K25</f>
        <v/>
      </c>
      <c r="N25" s="7">
        <f>L25+M25</f>
        <v/>
      </c>
      <c r="O25" s="7">
        <f>ROUND(N25*0.0005, 2)</f>
        <v/>
      </c>
      <c r="P25" s="7">
        <f>M25-L25</f>
        <v/>
      </c>
      <c r="Q25" s="7">
        <f>P25-O25</f>
        <v/>
      </c>
      <c r="R25" s="8">
        <f>ROUND((Q25/L25)*100, 2)</f>
        <v/>
      </c>
      <c r="S25" s="7">
        <f>ROUND(0.20*L25, 2)</f>
        <v/>
      </c>
      <c r="T25" s="8">
        <f>ROUND((Q25/S25)*100, 2)</f>
        <v/>
      </c>
      <c r="U25" s="7">
        <f>U24+Q25</f>
        <v/>
      </c>
      <c r="V25" s="7">
        <f>MAX(V24, U25)</f>
        <v/>
      </c>
      <c r="W25" s="7">
        <f>U25-V25</f>
        <v/>
      </c>
    </row>
    <row r="26">
      <c r="A26" s="3" t="n">
        <v>23</v>
      </c>
      <c r="B26" s="4" t="inlineStr">
        <is>
          <t>BAJAJFINSV</t>
        </is>
      </c>
      <c r="C26" s="3" t="inlineStr">
        <is>
          <t>Q2 2026-27</t>
        </is>
      </c>
      <c r="D26" s="3" t="inlineStr">
        <is>
          <t>FUTURE LONG</t>
        </is>
      </c>
      <c r="E26" s="3" t="inlineStr">
        <is>
          <t>T-8 to T+1</t>
        </is>
      </c>
      <c r="F26" s="3" t="inlineStr">
        <is>
          <t>2025-01-21</t>
        </is>
      </c>
      <c r="G26" s="3" t="inlineStr">
        <is>
          <t>2025-02-01</t>
        </is>
      </c>
      <c r="H26" s="3" t="inlineStr">
        <is>
          <t>2025-01-30</t>
        </is>
      </c>
      <c r="I26" s="5" t="n">
        <v>500</v>
      </c>
      <c r="J26" s="6" t="n">
        <v>1714.70068359375</v>
      </c>
      <c r="K26" s="6" t="n">
        <v>1751.651123046875</v>
      </c>
      <c r="L26" s="7">
        <f>I26*J26</f>
        <v/>
      </c>
      <c r="M26" s="7">
        <f>I26*K26</f>
        <v/>
      </c>
      <c r="N26" s="7">
        <f>L26+M26</f>
        <v/>
      </c>
      <c r="O26" s="7">
        <f>ROUND(N26*0.0005, 2)</f>
        <v/>
      </c>
      <c r="P26" s="7">
        <f>M26-L26</f>
        <v/>
      </c>
      <c r="Q26" s="7">
        <f>P26-O26</f>
        <v/>
      </c>
      <c r="R26" s="8">
        <f>ROUND((Q26/L26)*100, 2)</f>
        <v/>
      </c>
      <c r="S26" s="7">
        <f>ROUND(0.20*L26, 2)</f>
        <v/>
      </c>
      <c r="T26" s="8">
        <f>ROUND((Q26/S26)*100, 2)</f>
        <v/>
      </c>
      <c r="U26" s="7">
        <f>U25+Q26</f>
        <v/>
      </c>
      <c r="V26" s="7">
        <f>MAX(V25, U26)</f>
        <v/>
      </c>
      <c r="W26" s="7">
        <f>U26-V26</f>
        <v/>
      </c>
    </row>
    <row r="27">
      <c r="A27" s="3" t="n">
        <v>24</v>
      </c>
      <c r="B27" s="4" t="inlineStr">
        <is>
          <t>BAJAJHLDNG</t>
        </is>
      </c>
      <c r="C27" s="3" t="inlineStr">
        <is>
          <t>Q2 2026-27</t>
        </is>
      </c>
      <c r="D27" s="3" t="inlineStr">
        <is>
          <t>FUTURE LONG</t>
        </is>
      </c>
      <c r="E27" s="3" t="inlineStr">
        <is>
          <t>T-8 to T+1</t>
        </is>
      </c>
      <c r="F27" s="3" t="inlineStr">
        <is>
          <t>2025-01-20</t>
        </is>
      </c>
      <c r="G27" s="3" t="inlineStr">
        <is>
          <t>2025-01-31</t>
        </is>
      </c>
      <c r="H27" s="3" t="inlineStr">
        <is>
          <t>2025-01-30</t>
        </is>
      </c>
      <c r="I27" s="5" t="n">
        <v>100</v>
      </c>
      <c r="J27" s="6" t="n">
        <v>10654.1298828125</v>
      </c>
      <c r="K27" s="6" t="n">
        <v>11338.6884765625</v>
      </c>
      <c r="L27" s="7">
        <f>I27*J27</f>
        <v/>
      </c>
      <c r="M27" s="7">
        <f>I27*K27</f>
        <v/>
      </c>
      <c r="N27" s="7">
        <f>L27+M27</f>
        <v/>
      </c>
      <c r="O27" s="7">
        <f>ROUND(N27*0.0005, 2)</f>
        <v/>
      </c>
      <c r="P27" s="7">
        <f>M27-L27</f>
        <v/>
      </c>
      <c r="Q27" s="7">
        <f>P27-O27</f>
        <v/>
      </c>
      <c r="R27" s="8">
        <f>ROUND((Q27/L27)*100, 2)</f>
        <v/>
      </c>
      <c r="S27" s="7">
        <f>ROUND(0.20*L27, 2)</f>
        <v/>
      </c>
      <c r="T27" s="8">
        <f>ROUND((Q27/S27)*100, 2)</f>
        <v/>
      </c>
      <c r="U27" s="7">
        <f>U26+Q27</f>
        <v/>
      </c>
      <c r="V27" s="7">
        <f>MAX(V26, U27)</f>
        <v/>
      </c>
      <c r="W27" s="7">
        <f>U27-V27</f>
        <v/>
      </c>
    </row>
    <row r="28">
      <c r="A28" s="3" t="n">
        <v>25</v>
      </c>
      <c r="B28" s="4" t="inlineStr">
        <is>
          <t>BAJFINANCE</t>
        </is>
      </c>
      <c r="C28" s="3" t="inlineStr">
        <is>
          <t>Q2 2026-27</t>
        </is>
      </c>
      <c r="D28" s="3" t="inlineStr">
        <is>
          <t>FUTURE LONG</t>
        </is>
      </c>
      <c r="E28" s="3" t="inlineStr">
        <is>
          <t>T-8 to T+1</t>
        </is>
      </c>
      <c r="F28" s="3" t="inlineStr">
        <is>
          <t>2025-01-20</t>
        </is>
      </c>
      <c r="G28" s="3" t="inlineStr">
        <is>
          <t>2025-01-31</t>
        </is>
      </c>
      <c r="H28" s="3" t="inlineStr">
        <is>
          <t>2025-01-29</t>
        </is>
      </c>
      <c r="I28" s="5" t="n">
        <v>125</v>
      </c>
      <c r="J28" s="6" t="n">
        <v>734.929443359375</v>
      </c>
      <c r="K28" s="6" t="n">
        <v>778.8864135742188</v>
      </c>
      <c r="L28" s="7">
        <f>I28*J28</f>
        <v/>
      </c>
      <c r="M28" s="7">
        <f>I28*K28</f>
        <v/>
      </c>
      <c r="N28" s="7">
        <f>L28+M28</f>
        <v/>
      </c>
      <c r="O28" s="7">
        <f>ROUND(N28*0.0005, 2)</f>
        <v/>
      </c>
      <c r="P28" s="7">
        <f>M28-L28</f>
        <v/>
      </c>
      <c r="Q28" s="7">
        <f>P28-O28</f>
        <v/>
      </c>
      <c r="R28" s="8">
        <f>ROUND((Q28/L28)*100, 2)</f>
        <v/>
      </c>
      <c r="S28" s="7">
        <f>ROUND(0.20*L28, 2)</f>
        <v/>
      </c>
      <c r="T28" s="8">
        <f>ROUND((Q28/S28)*100, 2)</f>
        <v/>
      </c>
      <c r="U28" s="7">
        <f>U27+Q28</f>
        <v/>
      </c>
      <c r="V28" s="7">
        <f>MAX(V27, U28)</f>
        <v/>
      </c>
      <c r="W28" s="7">
        <f>U28-V28</f>
        <v/>
      </c>
    </row>
    <row r="29">
      <c r="A29" s="3" t="n">
        <v>26</v>
      </c>
      <c r="B29" s="4" t="inlineStr">
        <is>
          <t>BANDHANBNK</t>
        </is>
      </c>
      <c r="C29" s="3" t="inlineStr">
        <is>
          <t>Q2 2026-27</t>
        </is>
      </c>
      <c r="D29" s="3" t="inlineStr">
        <is>
          <t>FUTURE LONG</t>
        </is>
      </c>
      <c r="E29" s="3" t="inlineStr">
        <is>
          <t>T-8 to T+1</t>
        </is>
      </c>
      <c r="F29" s="3" t="inlineStr">
        <is>
          <t>2025-01-21</t>
        </is>
      </c>
      <c r="G29" s="3" t="inlineStr">
        <is>
          <t>2025-02-01</t>
        </is>
      </c>
      <c r="H29" s="3" t="inlineStr">
        <is>
          <t>2025-01-31</t>
        </is>
      </c>
      <c r="I29" s="5" t="n">
        <v>6773</v>
      </c>
      <c r="J29" s="6" t="n">
        <v>147.6398468017578</v>
      </c>
      <c r="K29" s="6" t="n">
        <v>148.7303466796875</v>
      </c>
      <c r="L29" s="7">
        <f>I29*J29</f>
        <v/>
      </c>
      <c r="M29" s="7">
        <f>I29*K29</f>
        <v/>
      </c>
      <c r="N29" s="7">
        <f>L29+M29</f>
        <v/>
      </c>
      <c r="O29" s="7">
        <f>ROUND(N29*0.0005, 2)</f>
        <v/>
      </c>
      <c r="P29" s="7">
        <f>M29-L29</f>
        <v/>
      </c>
      <c r="Q29" s="7">
        <f>P29-O29</f>
        <v/>
      </c>
      <c r="R29" s="8">
        <f>ROUND((Q29/L29)*100, 2)</f>
        <v/>
      </c>
      <c r="S29" s="7">
        <f>ROUND(0.20*L29, 2)</f>
        <v/>
      </c>
      <c r="T29" s="8">
        <f>ROUND((Q29/S29)*100, 2)</f>
        <v/>
      </c>
      <c r="U29" s="7">
        <f>U28+Q29</f>
        <v/>
      </c>
      <c r="V29" s="7">
        <f>MAX(V28, U29)</f>
        <v/>
      </c>
      <c r="W29" s="7">
        <f>U29-V29</f>
        <v/>
      </c>
    </row>
    <row r="30">
      <c r="A30" s="3" t="n">
        <v>27</v>
      </c>
      <c r="B30" s="4" t="inlineStr">
        <is>
          <t>BANKBARODA</t>
        </is>
      </c>
      <c r="C30" s="3" t="inlineStr">
        <is>
          <t>Q2 2026-27</t>
        </is>
      </c>
      <c r="D30" s="3" t="inlineStr">
        <is>
          <t>FUTURE LONG</t>
        </is>
      </c>
      <c r="E30" s="3" t="inlineStr">
        <is>
          <t>T-8 to T+1</t>
        </is>
      </c>
      <c r="F30" s="3" t="inlineStr">
        <is>
          <t>2025-01-20</t>
        </is>
      </c>
      <c r="G30" s="3" t="inlineStr">
        <is>
          <t>2025-01-31</t>
        </is>
      </c>
      <c r="H30" s="3" t="inlineStr">
        <is>
          <t>2025-01-30</t>
        </is>
      </c>
      <c r="I30" s="5" t="n">
        <v>4600</v>
      </c>
      <c r="J30" s="6" t="n">
        <v>217.3568115234375</v>
      </c>
      <c r="K30" s="6" t="n">
        <v>199.8180541992188</v>
      </c>
      <c r="L30" s="7">
        <f>I30*J30</f>
        <v/>
      </c>
      <c r="M30" s="7">
        <f>I30*K30</f>
        <v/>
      </c>
      <c r="N30" s="7">
        <f>L30+M30</f>
        <v/>
      </c>
      <c r="O30" s="7">
        <f>ROUND(N30*0.0005, 2)</f>
        <v/>
      </c>
      <c r="P30" s="7">
        <f>M30-L30</f>
        <v/>
      </c>
      <c r="Q30" s="7">
        <f>P30-O30</f>
        <v/>
      </c>
      <c r="R30" s="8">
        <f>ROUND((Q30/L30)*100, 2)</f>
        <v/>
      </c>
      <c r="S30" s="7">
        <f>ROUND(0.20*L30, 2)</f>
        <v/>
      </c>
      <c r="T30" s="8">
        <f>ROUND((Q30/S30)*100, 2)</f>
        <v/>
      </c>
      <c r="U30" s="7">
        <f>U29+Q30</f>
        <v/>
      </c>
      <c r="V30" s="7">
        <f>MAX(V29, U30)</f>
        <v/>
      </c>
      <c r="W30" s="7">
        <f>U30-V30</f>
        <v/>
      </c>
    </row>
    <row r="31">
      <c r="A31" s="3" t="n">
        <v>28</v>
      </c>
      <c r="B31" s="4" t="inlineStr">
        <is>
          <t>BANKINDIA</t>
        </is>
      </c>
      <c r="C31" s="3" t="inlineStr">
        <is>
          <t>Q2 2026-27</t>
        </is>
      </c>
      <c r="D31" s="3" t="inlineStr">
        <is>
          <t>FUTURE LONG</t>
        </is>
      </c>
      <c r="E31" s="3" t="inlineStr">
        <is>
          <t>T-8 to T+1</t>
        </is>
      </c>
      <c r="F31" s="3" t="inlineStr">
        <is>
          <t>2025-01-14</t>
        </is>
      </c>
      <c r="G31" s="3" t="inlineStr">
        <is>
          <t>2025-01-27</t>
        </is>
      </c>
      <c r="H31" s="3" t="inlineStr">
        <is>
          <t>2025-01-24</t>
        </is>
      </c>
      <c r="I31" s="5" t="n">
        <v>11309</v>
      </c>
      <c r="J31" s="6" t="n">
        <v>88.41902923583984</v>
      </c>
      <c r="K31" s="6" t="n">
        <v>97.45529174804688</v>
      </c>
      <c r="L31" s="7">
        <f>I31*J31</f>
        <v/>
      </c>
      <c r="M31" s="7">
        <f>I31*K31</f>
        <v/>
      </c>
      <c r="N31" s="7">
        <f>L31+M31</f>
        <v/>
      </c>
      <c r="O31" s="7">
        <f>ROUND(N31*0.0005, 2)</f>
        <v/>
      </c>
      <c r="P31" s="7">
        <f>M31-L31</f>
        <v/>
      </c>
      <c r="Q31" s="7">
        <f>P31-O31</f>
        <v/>
      </c>
      <c r="R31" s="8">
        <f>ROUND((Q31/L31)*100, 2)</f>
        <v/>
      </c>
      <c r="S31" s="7">
        <f>ROUND(0.20*L31, 2)</f>
        <v/>
      </c>
      <c r="T31" s="8">
        <f>ROUND((Q31/S31)*100, 2)</f>
        <v/>
      </c>
      <c r="U31" s="7">
        <f>U30+Q31</f>
        <v/>
      </c>
      <c r="V31" s="7">
        <f>MAX(V30, U31)</f>
        <v/>
      </c>
      <c r="W31" s="7">
        <f>U31-V31</f>
        <v/>
      </c>
    </row>
    <row r="32">
      <c r="A32" s="3" t="n">
        <v>29</v>
      </c>
      <c r="B32" s="4" t="inlineStr">
        <is>
          <t>BDL</t>
        </is>
      </c>
      <c r="C32" s="3" t="inlineStr">
        <is>
          <t>Q2 2026-27</t>
        </is>
      </c>
      <c r="D32" s="3" t="inlineStr">
        <is>
          <t>FUTURE LONG</t>
        </is>
      </c>
      <c r="E32" s="3" t="inlineStr">
        <is>
          <t>T-8 to T+1</t>
        </is>
      </c>
      <c r="F32" s="3" t="inlineStr">
        <is>
          <t>2025-02-24</t>
        </is>
      </c>
      <c r="G32" s="3" t="inlineStr">
        <is>
          <t>2025-03-10</t>
        </is>
      </c>
      <c r="H32" s="3" t="inlineStr">
        <is>
          <t>2025-03-07</t>
        </is>
      </c>
      <c r="I32" s="5" t="n">
        <v>992</v>
      </c>
      <c r="J32" s="6" t="n">
        <v>1007.554260253906</v>
      </c>
      <c r="K32" s="6" t="n">
        <v>1138.883544921875</v>
      </c>
      <c r="L32" s="7">
        <f>I32*J32</f>
        <v/>
      </c>
      <c r="M32" s="7">
        <f>I32*K32</f>
        <v/>
      </c>
      <c r="N32" s="7">
        <f>L32+M32</f>
        <v/>
      </c>
      <c r="O32" s="7">
        <f>ROUND(N32*0.0005, 2)</f>
        <v/>
      </c>
      <c r="P32" s="7">
        <f>M32-L32</f>
        <v/>
      </c>
      <c r="Q32" s="7">
        <f>P32-O32</f>
        <v/>
      </c>
      <c r="R32" s="8">
        <f>ROUND((Q32/L32)*100, 2)</f>
        <v/>
      </c>
      <c r="S32" s="7">
        <f>ROUND(0.20*L32, 2)</f>
        <v/>
      </c>
      <c r="T32" s="8">
        <f>ROUND((Q32/S32)*100, 2)</f>
        <v/>
      </c>
      <c r="U32" s="7">
        <f>U31+Q32</f>
        <v/>
      </c>
      <c r="V32" s="7">
        <f>MAX(V31, U32)</f>
        <v/>
      </c>
      <c r="W32" s="7">
        <f>U32-V32</f>
        <v/>
      </c>
    </row>
    <row r="33">
      <c r="A33" s="3" t="n">
        <v>30</v>
      </c>
      <c r="B33" s="4" t="inlineStr">
        <is>
          <t>BEL</t>
        </is>
      </c>
      <c r="C33" s="3" t="inlineStr">
        <is>
          <t>Q2 2026-27</t>
        </is>
      </c>
      <c r="D33" s="3" t="inlineStr">
        <is>
          <t>FUTURE LONG</t>
        </is>
      </c>
      <c r="E33" s="3" t="inlineStr">
        <is>
          <t>T-8 to T+1</t>
        </is>
      </c>
      <c r="F33" s="3" t="inlineStr">
        <is>
          <t>2025-01-21</t>
        </is>
      </c>
      <c r="G33" s="3" t="inlineStr">
        <is>
          <t>2025-02-01</t>
        </is>
      </c>
      <c r="H33" s="3" t="inlineStr">
        <is>
          <t>2025-01-30</t>
        </is>
      </c>
      <c r="I33" s="5" t="n">
        <v>3627</v>
      </c>
      <c r="J33" s="6" t="n">
        <v>275.6475830078125</v>
      </c>
      <c r="K33" s="6" t="n">
        <v>278.4139404296875</v>
      </c>
      <c r="L33" s="7">
        <f>I33*J33</f>
        <v/>
      </c>
      <c r="M33" s="7">
        <f>I33*K33</f>
        <v/>
      </c>
      <c r="N33" s="7">
        <f>L33+M33</f>
        <v/>
      </c>
      <c r="O33" s="7">
        <f>ROUND(N33*0.0005, 2)</f>
        <v/>
      </c>
      <c r="P33" s="7">
        <f>M33-L33</f>
        <v/>
      </c>
      <c r="Q33" s="7">
        <f>P33-O33</f>
        <v/>
      </c>
      <c r="R33" s="8">
        <f>ROUND((Q33/L33)*100, 2)</f>
        <v/>
      </c>
      <c r="S33" s="7">
        <f>ROUND(0.20*L33, 2)</f>
        <v/>
      </c>
      <c r="T33" s="8">
        <f>ROUND((Q33/S33)*100, 2)</f>
        <v/>
      </c>
      <c r="U33" s="7">
        <f>U32+Q33</f>
        <v/>
      </c>
      <c r="V33" s="7">
        <f>MAX(V32, U33)</f>
        <v/>
      </c>
      <c r="W33" s="7">
        <f>U33-V33</f>
        <v/>
      </c>
    </row>
    <row r="34">
      <c r="A34" s="3" t="n">
        <v>31</v>
      </c>
      <c r="B34" s="4" t="inlineStr">
        <is>
          <t>BHARATFORG</t>
        </is>
      </c>
      <c r="C34" s="3" t="inlineStr">
        <is>
          <t>Q2 2026-27</t>
        </is>
      </c>
      <c r="D34" s="3" t="inlineStr">
        <is>
          <t>FUTURE LONG</t>
        </is>
      </c>
      <c r="E34" s="3" t="inlineStr">
        <is>
          <t>T-8 to T+1</t>
        </is>
      </c>
      <c r="F34" s="3" t="inlineStr">
        <is>
          <t>2025-02-03</t>
        </is>
      </c>
      <c r="G34" s="3" t="inlineStr">
        <is>
          <t>2025-02-14</t>
        </is>
      </c>
      <c r="H34" s="3" t="inlineStr">
        <is>
          <t>2025-02-13</t>
        </is>
      </c>
      <c r="I34" s="5" t="n">
        <v>887</v>
      </c>
      <c r="J34" s="6" t="n">
        <v>1126.50927734375</v>
      </c>
      <c r="K34" s="6" t="n">
        <v>1066.430786132812</v>
      </c>
      <c r="L34" s="7">
        <f>I34*J34</f>
        <v/>
      </c>
      <c r="M34" s="7">
        <f>I34*K34</f>
        <v/>
      </c>
      <c r="N34" s="7">
        <f>L34+M34</f>
        <v/>
      </c>
      <c r="O34" s="7">
        <f>ROUND(N34*0.0005, 2)</f>
        <v/>
      </c>
      <c r="P34" s="7">
        <f>M34-L34</f>
        <v/>
      </c>
      <c r="Q34" s="7">
        <f>P34-O34</f>
        <v/>
      </c>
      <c r="R34" s="8">
        <f>ROUND((Q34/L34)*100, 2)</f>
        <v/>
      </c>
      <c r="S34" s="7">
        <f>ROUND(0.20*L34, 2)</f>
        <v/>
      </c>
      <c r="T34" s="8">
        <f>ROUND((Q34/S34)*100, 2)</f>
        <v/>
      </c>
      <c r="U34" s="7">
        <f>U33+Q34</f>
        <v/>
      </c>
      <c r="V34" s="7">
        <f>MAX(V33, U34)</f>
        <v/>
      </c>
      <c r="W34" s="7">
        <f>U34-V34</f>
        <v/>
      </c>
    </row>
    <row r="35">
      <c r="A35" s="3" t="n">
        <v>32</v>
      </c>
      <c r="B35" s="4" t="inlineStr">
        <is>
          <t>BHARTIARTL</t>
        </is>
      </c>
      <c r="C35" s="3" t="inlineStr">
        <is>
          <t>Q2 2026-27</t>
        </is>
      </c>
      <c r="D35" s="3" t="inlineStr">
        <is>
          <t>FUTURE LONG</t>
        </is>
      </c>
      <c r="E35" s="3" t="inlineStr">
        <is>
          <t>T-8 to T+1</t>
        </is>
      </c>
      <c r="F35" s="3" t="inlineStr">
        <is>
          <t>2025-01-29</t>
        </is>
      </c>
      <c r="G35" s="3" t="inlineStr">
        <is>
          <t>2025-02-10</t>
        </is>
      </c>
      <c r="H35" s="3" t="inlineStr">
        <is>
          <t>2025-02-06</t>
        </is>
      </c>
      <c r="I35" s="5" t="n">
        <v>950</v>
      </c>
      <c r="J35" s="6" t="n">
        <v>1587.181274414062</v>
      </c>
      <c r="K35" s="6" t="n">
        <v>1679.013671875</v>
      </c>
      <c r="L35" s="7">
        <f>I35*J35</f>
        <v/>
      </c>
      <c r="M35" s="7">
        <f>I35*K35</f>
        <v/>
      </c>
      <c r="N35" s="7">
        <f>L35+M35</f>
        <v/>
      </c>
      <c r="O35" s="7">
        <f>ROUND(N35*0.0005, 2)</f>
        <v/>
      </c>
      <c r="P35" s="7">
        <f>M35-L35</f>
        <v/>
      </c>
      <c r="Q35" s="7">
        <f>P35-O35</f>
        <v/>
      </c>
      <c r="R35" s="8">
        <f>ROUND((Q35/L35)*100, 2)</f>
        <v/>
      </c>
      <c r="S35" s="7">
        <f>ROUND(0.20*L35, 2)</f>
        <v/>
      </c>
      <c r="T35" s="8">
        <f>ROUND((Q35/S35)*100, 2)</f>
        <v/>
      </c>
      <c r="U35" s="7">
        <f>U34+Q35</f>
        <v/>
      </c>
      <c r="V35" s="7">
        <f>MAX(V34, U35)</f>
        <v/>
      </c>
      <c r="W35" s="7">
        <f>U35-V35</f>
        <v/>
      </c>
    </row>
    <row r="36">
      <c r="A36" s="3" t="n">
        <v>33</v>
      </c>
      <c r="B36" s="4" t="inlineStr">
        <is>
          <t>BHEL</t>
        </is>
      </c>
      <c r="C36" s="3" t="inlineStr">
        <is>
          <t>Q2 2026-27</t>
        </is>
      </c>
      <c r="D36" s="3" t="inlineStr">
        <is>
          <t>FUTURE LONG</t>
        </is>
      </c>
      <c r="E36" s="3" t="inlineStr">
        <is>
          <t>T-8 to T+1</t>
        </is>
      </c>
      <c r="F36" s="3" t="inlineStr">
        <is>
          <t>2025-01-16</t>
        </is>
      </c>
      <c r="G36" s="3" t="inlineStr">
        <is>
          <t>2025-01-29</t>
        </is>
      </c>
      <c r="H36" s="3" t="inlineStr">
        <is>
          <t>2025-01-28</t>
        </is>
      </c>
      <c r="I36" s="5" t="n">
        <v>4773</v>
      </c>
      <c r="J36" s="6" t="n">
        <v>209.4726867675781</v>
      </c>
      <c r="K36" s="6" t="n">
        <v>198.7996215820312</v>
      </c>
      <c r="L36" s="7">
        <f>I36*J36</f>
        <v/>
      </c>
      <c r="M36" s="7">
        <f>I36*K36</f>
        <v/>
      </c>
      <c r="N36" s="7">
        <f>L36+M36</f>
        <v/>
      </c>
      <c r="O36" s="7">
        <f>ROUND(N36*0.0005, 2)</f>
        <v/>
      </c>
      <c r="P36" s="7">
        <f>M36-L36</f>
        <v/>
      </c>
      <c r="Q36" s="7">
        <f>P36-O36</f>
        <v/>
      </c>
      <c r="R36" s="8">
        <f>ROUND((Q36/L36)*100, 2)</f>
        <v/>
      </c>
      <c r="S36" s="7">
        <f>ROUND(0.20*L36, 2)</f>
        <v/>
      </c>
      <c r="T36" s="8">
        <f>ROUND((Q36/S36)*100, 2)</f>
        <v/>
      </c>
      <c r="U36" s="7">
        <f>U35+Q36</f>
        <v/>
      </c>
      <c r="V36" s="7">
        <f>MAX(V35, U36)</f>
        <v/>
      </c>
      <c r="W36" s="7">
        <f>U36-V36</f>
        <v/>
      </c>
    </row>
    <row r="37">
      <c r="A37" s="3" t="n">
        <v>34</v>
      </c>
      <c r="B37" s="4" t="inlineStr">
        <is>
          <t>BIOCON</t>
        </is>
      </c>
      <c r="C37" s="3" t="inlineStr">
        <is>
          <t>Q2 2026-27</t>
        </is>
      </c>
      <c r="D37" s="3" t="inlineStr">
        <is>
          <t>FUTURE LONG</t>
        </is>
      </c>
      <c r="E37" s="3" t="inlineStr">
        <is>
          <t>T-8 to T+1</t>
        </is>
      </c>
      <c r="F37" s="3" t="inlineStr">
        <is>
          <t>2025-01-21</t>
        </is>
      </c>
      <c r="G37" s="3" t="inlineStr">
        <is>
          <t>2025-02-01</t>
        </is>
      </c>
      <c r="H37" s="3" t="inlineStr">
        <is>
          <t>2025-01-31</t>
        </is>
      </c>
      <c r="I37" s="5" t="n">
        <v>2566</v>
      </c>
      <c r="J37" s="6" t="n">
        <v>389.5626220703125</v>
      </c>
      <c r="K37" s="6" t="n">
        <v>369.5134582519531</v>
      </c>
      <c r="L37" s="7">
        <f>I37*J37</f>
        <v/>
      </c>
      <c r="M37" s="7">
        <f>I37*K37</f>
        <v/>
      </c>
      <c r="N37" s="7">
        <f>L37+M37</f>
        <v/>
      </c>
      <c r="O37" s="7">
        <f>ROUND(N37*0.0005, 2)</f>
        <v/>
      </c>
      <c r="P37" s="7">
        <f>M37-L37</f>
        <v/>
      </c>
      <c r="Q37" s="7">
        <f>P37-O37</f>
        <v/>
      </c>
      <c r="R37" s="8">
        <f>ROUND((Q37/L37)*100, 2)</f>
        <v/>
      </c>
      <c r="S37" s="7">
        <f>ROUND(0.20*L37, 2)</f>
        <v/>
      </c>
      <c r="T37" s="8">
        <f>ROUND((Q37/S37)*100, 2)</f>
        <v/>
      </c>
      <c r="U37" s="7">
        <f>U36+Q37</f>
        <v/>
      </c>
      <c r="V37" s="7">
        <f>MAX(V36, U37)</f>
        <v/>
      </c>
      <c r="W37" s="7">
        <f>U37-V37</f>
        <v/>
      </c>
    </row>
    <row r="38">
      <c r="A38" s="3" t="n">
        <v>35</v>
      </c>
      <c r="B38" s="4" t="inlineStr">
        <is>
          <t>BLUESTARCO</t>
        </is>
      </c>
      <c r="C38" s="3" t="inlineStr">
        <is>
          <t>Q2 2026-27</t>
        </is>
      </c>
      <c r="D38" s="3" t="inlineStr">
        <is>
          <t>FUTURE LONG</t>
        </is>
      </c>
      <c r="E38" s="3" t="inlineStr">
        <is>
          <t>T-8 to T+1</t>
        </is>
      </c>
      <c r="F38" s="3" t="inlineStr">
        <is>
          <t>2025-01-17</t>
        </is>
      </c>
      <c r="G38" s="3" t="inlineStr">
        <is>
          <t>2025-01-30</t>
        </is>
      </c>
      <c r="H38" s="3" t="inlineStr">
        <is>
          <t>2025-01-29</t>
        </is>
      </c>
      <c r="I38" s="5" t="n">
        <v>524</v>
      </c>
      <c r="J38" s="6" t="n">
        <v>1904.8134765625</v>
      </c>
      <c r="K38" s="6" t="n">
        <v>1780.671630859375</v>
      </c>
      <c r="L38" s="7">
        <f>I38*J38</f>
        <v/>
      </c>
      <c r="M38" s="7">
        <f>I38*K38</f>
        <v/>
      </c>
      <c r="N38" s="7">
        <f>L38+M38</f>
        <v/>
      </c>
      <c r="O38" s="7">
        <f>ROUND(N38*0.0005, 2)</f>
        <v/>
      </c>
      <c r="P38" s="7">
        <f>M38-L38</f>
        <v/>
      </c>
      <c r="Q38" s="7">
        <f>P38-O38</f>
        <v/>
      </c>
      <c r="R38" s="8">
        <f>ROUND((Q38/L38)*100, 2)</f>
        <v/>
      </c>
      <c r="S38" s="7">
        <f>ROUND(0.20*L38, 2)</f>
        <v/>
      </c>
      <c r="T38" s="8">
        <f>ROUND((Q38/S38)*100, 2)</f>
        <v/>
      </c>
      <c r="U38" s="7">
        <f>U37+Q38</f>
        <v/>
      </c>
      <c r="V38" s="7">
        <f>MAX(V37, U38)</f>
        <v/>
      </c>
      <c r="W38" s="7">
        <f>U38-V38</f>
        <v/>
      </c>
    </row>
    <row r="39">
      <c r="A39" s="3" t="n">
        <v>36</v>
      </c>
      <c r="B39" s="4" t="inlineStr">
        <is>
          <t>BOSCHLTD</t>
        </is>
      </c>
      <c r="C39" s="3" t="inlineStr">
        <is>
          <t>Q2 2026-27</t>
        </is>
      </c>
      <c r="D39" s="3" t="inlineStr">
        <is>
          <t>FUTURE LONG</t>
        </is>
      </c>
      <c r="E39" s="3" t="inlineStr">
        <is>
          <t>T-8 to T+1</t>
        </is>
      </c>
      <c r="F39" s="3" t="inlineStr">
        <is>
          <t>2025-01-16</t>
        </is>
      </c>
      <c r="G39" s="3" t="inlineStr">
        <is>
          <t>2025-01-29</t>
        </is>
      </c>
      <c r="H39" s="3" t="inlineStr">
        <is>
          <t>2025-01-28</t>
        </is>
      </c>
      <c r="I39" s="5" t="n">
        <v>100</v>
      </c>
      <c r="J39" s="6" t="n">
        <v>30934.486328125</v>
      </c>
      <c r="K39" s="6" t="n">
        <v>27778.669921875</v>
      </c>
      <c r="L39" s="7">
        <f>I39*J39</f>
        <v/>
      </c>
      <c r="M39" s="7">
        <f>I39*K39</f>
        <v/>
      </c>
      <c r="N39" s="7">
        <f>L39+M39</f>
        <v/>
      </c>
      <c r="O39" s="7">
        <f>ROUND(N39*0.0005, 2)</f>
        <v/>
      </c>
      <c r="P39" s="7">
        <f>M39-L39</f>
        <v/>
      </c>
      <c r="Q39" s="7">
        <f>P39-O39</f>
        <v/>
      </c>
      <c r="R39" s="8">
        <f>ROUND((Q39/L39)*100, 2)</f>
        <v/>
      </c>
      <c r="S39" s="7">
        <f>ROUND(0.20*L39, 2)</f>
        <v/>
      </c>
      <c r="T39" s="8">
        <f>ROUND((Q39/S39)*100, 2)</f>
        <v/>
      </c>
      <c r="U39" s="7">
        <f>U38+Q39</f>
        <v/>
      </c>
      <c r="V39" s="7">
        <f>MAX(V38, U39)</f>
        <v/>
      </c>
      <c r="W39" s="7">
        <f>U39-V39</f>
        <v/>
      </c>
    </row>
    <row r="40">
      <c r="A40" s="3" t="n">
        <v>37</v>
      </c>
      <c r="B40" s="4" t="inlineStr">
        <is>
          <t>BPCL</t>
        </is>
      </c>
      <c r="C40" s="3" t="inlineStr">
        <is>
          <t>Q2 2026-27</t>
        </is>
      </c>
      <c r="D40" s="3" t="inlineStr">
        <is>
          <t>FUTURE LONG</t>
        </is>
      </c>
      <c r="E40" s="3" t="inlineStr">
        <is>
          <t>T-8 to T+1</t>
        </is>
      </c>
      <c r="F40" s="3" t="inlineStr">
        <is>
          <t>2025-01-14</t>
        </is>
      </c>
      <c r="G40" s="3" t="inlineStr">
        <is>
          <t>2025-01-27</t>
        </is>
      </c>
      <c r="H40" s="3" t="inlineStr">
        <is>
          <t>2025-01-23</t>
        </is>
      </c>
      <c r="I40" s="5" t="n">
        <v>1800</v>
      </c>
      <c r="J40" s="6" t="n">
        <v>248.6977996826172</v>
      </c>
      <c r="K40" s="6" t="n">
        <v>240.5060119628907</v>
      </c>
      <c r="L40" s="7">
        <f>I40*J40</f>
        <v/>
      </c>
      <c r="M40" s="7">
        <f>I40*K40</f>
        <v/>
      </c>
      <c r="N40" s="7">
        <f>L40+M40</f>
        <v/>
      </c>
      <c r="O40" s="7">
        <f>ROUND(N40*0.0005, 2)</f>
        <v/>
      </c>
      <c r="P40" s="7">
        <f>M40-L40</f>
        <v/>
      </c>
      <c r="Q40" s="7">
        <f>P40-O40</f>
        <v/>
      </c>
      <c r="R40" s="8">
        <f>ROUND((Q40/L40)*100, 2)</f>
        <v/>
      </c>
      <c r="S40" s="7">
        <f>ROUND(0.20*L40, 2)</f>
        <v/>
      </c>
      <c r="T40" s="8">
        <f>ROUND((Q40/S40)*100, 2)</f>
        <v/>
      </c>
      <c r="U40" s="7">
        <f>U39+Q40</f>
        <v/>
      </c>
      <c r="V40" s="7">
        <f>MAX(V39, U40)</f>
        <v/>
      </c>
      <c r="W40" s="7">
        <f>U40-V40</f>
        <v/>
      </c>
    </row>
    <row r="41">
      <c r="A41" s="3" t="n">
        <v>38</v>
      </c>
      <c r="B41" s="4" t="inlineStr">
        <is>
          <t>BRITANNIA</t>
        </is>
      </c>
      <c r="C41" s="3" t="inlineStr">
        <is>
          <t>Q2 2026-27</t>
        </is>
      </c>
      <c r="D41" s="3" t="inlineStr">
        <is>
          <t>FUTURE LONG</t>
        </is>
      </c>
      <c r="E41" s="3" t="inlineStr">
        <is>
          <t>T-8 to T+1</t>
        </is>
      </c>
      <c r="F41" s="3" t="inlineStr">
        <is>
          <t>2025-01-29</t>
        </is>
      </c>
      <c r="G41" s="3" t="inlineStr">
        <is>
          <t>2025-02-10</t>
        </is>
      </c>
      <c r="H41" s="3" t="inlineStr">
        <is>
          <t>2025-02-06</t>
        </is>
      </c>
      <c r="I41" s="5" t="n">
        <v>200</v>
      </c>
      <c r="J41" s="6" t="n">
        <v>4971.89306640625</v>
      </c>
      <c r="K41" s="6" t="n">
        <v>4846.14111328125</v>
      </c>
      <c r="L41" s="7">
        <f>I41*J41</f>
        <v/>
      </c>
      <c r="M41" s="7">
        <f>I41*K41</f>
        <v/>
      </c>
      <c r="N41" s="7">
        <f>L41+M41</f>
        <v/>
      </c>
      <c r="O41" s="7">
        <f>ROUND(N41*0.0005, 2)</f>
        <v/>
      </c>
      <c r="P41" s="7">
        <f>M41-L41</f>
        <v/>
      </c>
      <c r="Q41" s="7">
        <f>P41-O41</f>
        <v/>
      </c>
      <c r="R41" s="8">
        <f>ROUND((Q41/L41)*100, 2)</f>
        <v/>
      </c>
      <c r="S41" s="7">
        <f>ROUND(0.20*L41, 2)</f>
        <v/>
      </c>
      <c r="T41" s="8">
        <f>ROUND((Q41/S41)*100, 2)</f>
        <v/>
      </c>
      <c r="U41" s="7">
        <f>U40+Q41</f>
        <v/>
      </c>
      <c r="V41" s="7">
        <f>MAX(V40, U41)</f>
        <v/>
      </c>
      <c r="W41" s="7">
        <f>U41-V41</f>
        <v/>
      </c>
    </row>
    <row r="42">
      <c r="A42" s="3" t="n">
        <v>39</v>
      </c>
      <c r="B42" s="4" t="inlineStr">
        <is>
          <t>BSE</t>
        </is>
      </c>
      <c r="C42" s="3" t="inlineStr">
        <is>
          <t>Q2 2026-27</t>
        </is>
      </c>
      <c r="D42" s="3" t="inlineStr">
        <is>
          <t>FUTURE LONG</t>
        </is>
      </c>
      <c r="E42" s="3" t="inlineStr">
        <is>
          <t>T-8 to T+1</t>
        </is>
      </c>
      <c r="F42" s="3" t="inlineStr">
        <is>
          <t>2025-01-28</t>
        </is>
      </c>
      <c r="G42" s="3" t="inlineStr">
        <is>
          <t>2025-02-07</t>
        </is>
      </c>
      <c r="H42" s="3" t="inlineStr">
        <is>
          <t>2025-02-06</t>
        </is>
      </c>
      <c r="I42" s="5" t="n">
        <v>585</v>
      </c>
      <c r="J42" s="6" t="n">
        <v>1709.009887695312</v>
      </c>
      <c r="K42" s="6" t="n">
        <v>1897.699462890625</v>
      </c>
      <c r="L42" s="7">
        <f>I42*J42</f>
        <v/>
      </c>
      <c r="M42" s="7">
        <f>I42*K42</f>
        <v/>
      </c>
      <c r="N42" s="7">
        <f>L42+M42</f>
        <v/>
      </c>
      <c r="O42" s="7">
        <f>ROUND(N42*0.0005, 2)</f>
        <v/>
      </c>
      <c r="P42" s="7">
        <f>M42-L42</f>
        <v/>
      </c>
      <c r="Q42" s="7">
        <f>P42-O42</f>
        <v/>
      </c>
      <c r="R42" s="8">
        <f>ROUND((Q42/L42)*100, 2)</f>
        <v/>
      </c>
      <c r="S42" s="7">
        <f>ROUND(0.20*L42, 2)</f>
        <v/>
      </c>
      <c r="T42" s="8">
        <f>ROUND((Q42/S42)*100, 2)</f>
        <v/>
      </c>
      <c r="U42" s="7">
        <f>U41+Q42</f>
        <v/>
      </c>
      <c r="V42" s="7">
        <f>MAX(V41, U42)</f>
        <v/>
      </c>
      <c r="W42" s="7">
        <f>U42-V42</f>
        <v/>
      </c>
    </row>
    <row r="43">
      <c r="A43" s="3" t="n">
        <v>40</v>
      </c>
      <c r="B43" s="4" t="inlineStr">
        <is>
          <t>CAMS</t>
        </is>
      </c>
      <c r="C43" s="3" t="inlineStr">
        <is>
          <t>Q2 2026-27</t>
        </is>
      </c>
      <c r="D43" s="3" t="inlineStr">
        <is>
          <t>FUTURE LONG</t>
        </is>
      </c>
      <c r="E43" s="3" t="inlineStr">
        <is>
          <t>T-8 to T+1</t>
        </is>
      </c>
      <c r="F43" s="3" t="inlineStr">
        <is>
          <t>2025-01-17</t>
        </is>
      </c>
      <c r="G43" s="3" t="inlineStr">
        <is>
          <t>2025-01-30</t>
        </is>
      </c>
      <c r="H43" s="3" t="inlineStr">
        <is>
          <t>2025-01-29</t>
        </is>
      </c>
      <c r="I43" s="5" t="n">
        <v>1161</v>
      </c>
      <c r="J43" s="6" t="n">
        <v>860.8004760742188</v>
      </c>
      <c r="K43" s="6" t="n">
        <v>708.65380859375</v>
      </c>
      <c r="L43" s="7">
        <f>I43*J43</f>
        <v/>
      </c>
      <c r="M43" s="7">
        <f>I43*K43</f>
        <v/>
      </c>
      <c r="N43" s="7">
        <f>L43+M43</f>
        <v/>
      </c>
      <c r="O43" s="7">
        <f>ROUND(N43*0.0005, 2)</f>
        <v/>
      </c>
      <c r="P43" s="7">
        <f>M43-L43</f>
        <v/>
      </c>
      <c r="Q43" s="7">
        <f>P43-O43</f>
        <v/>
      </c>
      <c r="R43" s="8">
        <f>ROUND((Q43/L43)*100, 2)</f>
        <v/>
      </c>
      <c r="S43" s="7">
        <f>ROUND(0.20*L43, 2)</f>
        <v/>
      </c>
      <c r="T43" s="8">
        <f>ROUND((Q43/S43)*100, 2)</f>
        <v/>
      </c>
      <c r="U43" s="7">
        <f>U42+Q43</f>
        <v/>
      </c>
      <c r="V43" s="7">
        <f>MAX(V42, U43)</f>
        <v/>
      </c>
      <c r="W43" s="7">
        <f>U43-V43</f>
        <v/>
      </c>
    </row>
    <row r="44">
      <c r="A44" s="3" t="n">
        <v>41</v>
      </c>
      <c r="B44" s="4" t="inlineStr">
        <is>
          <t>CANBK</t>
        </is>
      </c>
      <c r="C44" s="3" t="inlineStr">
        <is>
          <t>Q2 2026-27</t>
        </is>
      </c>
      <c r="D44" s="3" t="inlineStr">
        <is>
          <t>FUTURE LONG</t>
        </is>
      </c>
      <c r="E44" s="3" t="inlineStr">
        <is>
          <t>T-8 to T+1</t>
        </is>
      </c>
      <c r="F44" s="3" t="inlineStr">
        <is>
          <t>2025-01-15</t>
        </is>
      </c>
      <c r="G44" s="3" t="inlineStr">
        <is>
          <t>2025-01-28</t>
        </is>
      </c>
      <c r="H44" s="3" t="inlineStr">
        <is>
          <t>2025-01-27</t>
        </is>
      </c>
      <c r="I44" s="5" t="n">
        <v>11300</v>
      </c>
      <c r="J44" s="6" t="n">
        <v>88.49539947509766</v>
      </c>
      <c r="K44" s="6" t="n">
        <v>85.81314849853516</v>
      </c>
      <c r="L44" s="7">
        <f>I44*J44</f>
        <v/>
      </c>
      <c r="M44" s="7">
        <f>I44*K44</f>
        <v/>
      </c>
      <c r="N44" s="7">
        <f>L44+M44</f>
        <v/>
      </c>
      <c r="O44" s="7">
        <f>ROUND(N44*0.0005, 2)</f>
        <v/>
      </c>
      <c r="P44" s="7">
        <f>M44-L44</f>
        <v/>
      </c>
      <c r="Q44" s="7">
        <f>P44-O44</f>
        <v/>
      </c>
      <c r="R44" s="8">
        <f>ROUND((Q44/L44)*100, 2)</f>
        <v/>
      </c>
      <c r="S44" s="7">
        <f>ROUND(0.20*L44, 2)</f>
        <v/>
      </c>
      <c r="T44" s="8">
        <f>ROUND((Q44/S44)*100, 2)</f>
        <v/>
      </c>
      <c r="U44" s="7">
        <f>U43+Q44</f>
        <v/>
      </c>
      <c r="V44" s="7">
        <f>MAX(V43, U44)</f>
        <v/>
      </c>
      <c r="W44" s="7">
        <f>U44-V44</f>
        <v/>
      </c>
    </row>
    <row r="45">
      <c r="A45" s="3" t="n">
        <v>42</v>
      </c>
      <c r="B45" s="4" t="inlineStr">
        <is>
          <t>CDSL</t>
        </is>
      </c>
      <c r="C45" s="3" t="inlineStr">
        <is>
          <t>Q2 2026-27</t>
        </is>
      </c>
      <c r="D45" s="3" t="inlineStr">
        <is>
          <t>FUTURE LONG</t>
        </is>
      </c>
      <c r="E45" s="3" t="inlineStr">
        <is>
          <t>T-8 to T+1</t>
        </is>
      </c>
      <c r="F45" s="3" t="inlineStr">
        <is>
          <t>2025-01-14</t>
        </is>
      </c>
      <c r="G45" s="3" t="inlineStr">
        <is>
          <t>2025-01-27</t>
        </is>
      </c>
      <c r="H45" s="3" t="inlineStr">
        <is>
          <t>2025-01-25</t>
        </is>
      </c>
      <c r="I45" s="5" t="n">
        <v>646</v>
      </c>
      <c r="J45" s="6" t="n">
        <v>1545.68310546875</v>
      </c>
      <c r="K45" s="6" t="n">
        <v>1321.129028320312</v>
      </c>
      <c r="L45" s="7">
        <f>I45*J45</f>
        <v/>
      </c>
      <c r="M45" s="7">
        <f>I45*K45</f>
        <v/>
      </c>
      <c r="N45" s="7">
        <f>L45+M45</f>
        <v/>
      </c>
      <c r="O45" s="7">
        <f>ROUND(N45*0.0005, 2)</f>
        <v/>
      </c>
      <c r="P45" s="7">
        <f>M45-L45</f>
        <v/>
      </c>
      <c r="Q45" s="7">
        <f>P45-O45</f>
        <v/>
      </c>
      <c r="R45" s="8">
        <f>ROUND((Q45/L45)*100, 2)</f>
        <v/>
      </c>
      <c r="S45" s="7">
        <f>ROUND(0.20*L45, 2)</f>
        <v/>
      </c>
      <c r="T45" s="8">
        <f>ROUND((Q45/S45)*100, 2)</f>
        <v/>
      </c>
      <c r="U45" s="7">
        <f>U44+Q45</f>
        <v/>
      </c>
      <c r="V45" s="7">
        <f>MAX(V44, U45)</f>
        <v/>
      </c>
      <c r="W45" s="7">
        <f>U45-V45</f>
        <v/>
      </c>
    </row>
    <row r="46">
      <c r="A46" s="3" t="n">
        <v>43</v>
      </c>
      <c r="B46" s="4" t="inlineStr">
        <is>
          <t>CGPOWER</t>
        </is>
      </c>
      <c r="C46" s="3" t="inlineStr">
        <is>
          <t>Q2 2026-27</t>
        </is>
      </c>
      <c r="D46" s="3" t="inlineStr">
        <is>
          <t>FUTURE LONG</t>
        </is>
      </c>
      <c r="E46" s="3" t="inlineStr">
        <is>
          <t>T-8 to T+1</t>
        </is>
      </c>
      <c r="F46" s="3" t="inlineStr">
        <is>
          <t>2025-01-17</t>
        </is>
      </c>
      <c r="G46" s="3" t="inlineStr">
        <is>
          <t>2025-01-30</t>
        </is>
      </c>
      <c r="H46" s="3" t="inlineStr">
        <is>
          <t>2025-01-29</t>
        </is>
      </c>
      <c r="I46" s="5" t="n">
        <v>1546</v>
      </c>
      <c r="J46" s="6" t="n">
        <v>646.4340209960938</v>
      </c>
      <c r="K46" s="6" t="n">
        <v>618.00341796875</v>
      </c>
      <c r="L46" s="7">
        <f>I46*J46</f>
        <v/>
      </c>
      <c r="M46" s="7">
        <f>I46*K46</f>
        <v/>
      </c>
      <c r="N46" s="7">
        <f>L46+M46</f>
        <v/>
      </c>
      <c r="O46" s="7">
        <f>ROUND(N46*0.0005, 2)</f>
        <v/>
      </c>
      <c r="P46" s="7">
        <f>M46-L46</f>
        <v/>
      </c>
      <c r="Q46" s="7">
        <f>P46-O46</f>
        <v/>
      </c>
      <c r="R46" s="8">
        <f>ROUND((Q46/L46)*100, 2)</f>
        <v/>
      </c>
      <c r="S46" s="7">
        <f>ROUND(0.20*L46, 2)</f>
        <v/>
      </c>
      <c r="T46" s="8">
        <f>ROUND((Q46/S46)*100, 2)</f>
        <v/>
      </c>
      <c r="U46" s="7">
        <f>U45+Q46</f>
        <v/>
      </c>
      <c r="V46" s="7">
        <f>MAX(V45, U46)</f>
        <v/>
      </c>
      <c r="W46" s="7">
        <f>U46-V46</f>
        <v/>
      </c>
    </row>
    <row r="47">
      <c r="A47" s="3" t="n">
        <v>44</v>
      </c>
      <c r="B47" s="4" t="inlineStr">
        <is>
          <t>CHOLAFIN</t>
        </is>
      </c>
      <c r="C47" s="3" t="inlineStr">
        <is>
          <t>Q2 2026-27</t>
        </is>
      </c>
      <c r="D47" s="3" t="inlineStr">
        <is>
          <t>FUTURE LONG</t>
        </is>
      </c>
      <c r="E47" s="3" t="inlineStr">
        <is>
          <t>T-8 to T+1</t>
        </is>
      </c>
      <c r="F47" s="3" t="inlineStr">
        <is>
          <t>2024-10-15</t>
        </is>
      </c>
      <c r="G47" s="3" t="inlineStr">
        <is>
          <t>2024-10-28</t>
        </is>
      </c>
      <c r="H47" s="3" t="inlineStr">
        <is>
          <t>2024-10-26</t>
        </is>
      </c>
      <c r="I47" s="5" t="n">
        <v>667</v>
      </c>
      <c r="J47" s="6" t="n">
        <v>1499.250122070312</v>
      </c>
      <c r="K47" s="6" t="n">
        <v>1277.113037109375</v>
      </c>
      <c r="L47" s="7">
        <f>I47*J47</f>
        <v/>
      </c>
      <c r="M47" s="7">
        <f>I47*K47</f>
        <v/>
      </c>
      <c r="N47" s="7">
        <f>L47+M47</f>
        <v/>
      </c>
      <c r="O47" s="7">
        <f>ROUND(N47*0.0005, 2)</f>
        <v/>
      </c>
      <c r="P47" s="7">
        <f>M47-L47</f>
        <v/>
      </c>
      <c r="Q47" s="7">
        <f>P47-O47</f>
        <v/>
      </c>
      <c r="R47" s="8">
        <f>ROUND((Q47/L47)*100, 2)</f>
        <v/>
      </c>
      <c r="S47" s="7">
        <f>ROUND(0.20*L47, 2)</f>
        <v/>
      </c>
      <c r="T47" s="8">
        <f>ROUND((Q47/S47)*100, 2)</f>
        <v/>
      </c>
      <c r="U47" s="7">
        <f>U46+Q47</f>
        <v/>
      </c>
      <c r="V47" s="7">
        <f>MAX(V46, U47)</f>
        <v/>
      </c>
      <c r="W47" s="7">
        <f>U47-V47</f>
        <v/>
      </c>
    </row>
    <row r="48">
      <c r="A48" s="3" t="n">
        <v>45</v>
      </c>
      <c r="B48" s="4" t="inlineStr">
        <is>
          <t>CIPLA</t>
        </is>
      </c>
      <c r="C48" s="3" t="inlineStr">
        <is>
          <t>Q2 2026-27</t>
        </is>
      </c>
      <c r="D48" s="3" t="inlineStr">
        <is>
          <t>FUTURE LONG</t>
        </is>
      </c>
      <c r="E48" s="3" t="inlineStr">
        <is>
          <t>T-8 to T+1</t>
        </is>
      </c>
      <c r="F48" s="3" t="inlineStr">
        <is>
          <t>2025-01-20</t>
        </is>
      </c>
      <c r="G48" s="3" t="inlineStr">
        <is>
          <t>2025-01-31</t>
        </is>
      </c>
      <c r="H48" s="3" t="inlineStr">
        <is>
          <t>2025-01-29</t>
        </is>
      </c>
      <c r="I48" s="5" t="n">
        <v>650</v>
      </c>
      <c r="J48" s="6" t="n">
        <v>1416.8798828125</v>
      </c>
      <c r="K48" s="6" t="n">
        <v>1450.158813476562</v>
      </c>
      <c r="L48" s="7">
        <f>I48*J48</f>
        <v/>
      </c>
      <c r="M48" s="7">
        <f>I48*K48</f>
        <v/>
      </c>
      <c r="N48" s="7">
        <f>L48+M48</f>
        <v/>
      </c>
      <c r="O48" s="7">
        <f>ROUND(N48*0.0005, 2)</f>
        <v/>
      </c>
      <c r="P48" s="7">
        <f>M48-L48</f>
        <v/>
      </c>
      <c r="Q48" s="7">
        <f>P48-O48</f>
        <v/>
      </c>
      <c r="R48" s="8">
        <f>ROUND((Q48/L48)*100, 2)</f>
        <v/>
      </c>
      <c r="S48" s="7">
        <f>ROUND(0.20*L48, 2)</f>
        <v/>
      </c>
      <c r="T48" s="8">
        <f>ROUND((Q48/S48)*100, 2)</f>
        <v/>
      </c>
      <c r="U48" s="7">
        <f>U47+Q48</f>
        <v/>
      </c>
      <c r="V48" s="7">
        <f>MAX(V47, U48)</f>
        <v/>
      </c>
      <c r="W48" s="7">
        <f>U48-V48</f>
        <v/>
      </c>
    </row>
    <row r="49">
      <c r="A49" s="3" t="n">
        <v>46</v>
      </c>
      <c r="B49" s="4" t="inlineStr">
        <is>
          <t>COALINDIA</t>
        </is>
      </c>
      <c r="C49" s="3" t="inlineStr">
        <is>
          <t>Q2 2026-27</t>
        </is>
      </c>
      <c r="D49" s="3" t="inlineStr">
        <is>
          <t>FUTURE LONG</t>
        </is>
      </c>
      <c r="E49" s="3" t="inlineStr">
        <is>
          <t>T-8 to T+1</t>
        </is>
      </c>
      <c r="F49" s="3" t="inlineStr">
        <is>
          <t>2025-01-16</t>
        </is>
      </c>
      <c r="G49" s="3" t="inlineStr">
        <is>
          <t>2025-01-29</t>
        </is>
      </c>
      <c r="H49" s="3" t="inlineStr">
        <is>
          <t>2025-01-27</t>
        </is>
      </c>
      <c r="I49" s="5" t="n">
        <v>2100</v>
      </c>
      <c r="J49" s="6" t="n">
        <v>348.816650390625</v>
      </c>
      <c r="K49" s="6" t="n">
        <v>349.3691101074219</v>
      </c>
      <c r="L49" s="7">
        <f>I49*J49</f>
        <v/>
      </c>
      <c r="M49" s="7">
        <f>I49*K49</f>
        <v/>
      </c>
      <c r="N49" s="7">
        <f>L49+M49</f>
        <v/>
      </c>
      <c r="O49" s="7">
        <f>ROUND(N49*0.0005, 2)</f>
        <v/>
      </c>
      <c r="P49" s="7">
        <f>M49-L49</f>
        <v/>
      </c>
      <c r="Q49" s="7">
        <f>P49-O49</f>
        <v/>
      </c>
      <c r="R49" s="8">
        <f>ROUND((Q49/L49)*100, 2)</f>
        <v/>
      </c>
      <c r="S49" s="7">
        <f>ROUND(0.20*L49, 2)</f>
        <v/>
      </c>
      <c r="T49" s="8">
        <f>ROUND((Q49/S49)*100, 2)</f>
        <v/>
      </c>
      <c r="U49" s="7">
        <f>U48+Q49</f>
        <v/>
      </c>
      <c r="V49" s="7">
        <f>MAX(V48, U49)</f>
        <v/>
      </c>
      <c r="W49" s="7">
        <f>U49-V49</f>
        <v/>
      </c>
    </row>
    <row r="50">
      <c r="A50" s="3" t="n">
        <v>47</v>
      </c>
      <c r="B50" s="4" t="inlineStr">
        <is>
          <t>COCHINSHIP</t>
        </is>
      </c>
      <c r="C50" s="3" t="inlineStr">
        <is>
          <t>Q2 2026-27</t>
        </is>
      </c>
      <c r="D50" s="3" t="inlineStr">
        <is>
          <t>FUTURE LONG</t>
        </is>
      </c>
      <c r="E50" s="3" t="inlineStr">
        <is>
          <t>T-8 to T+1</t>
        </is>
      </c>
      <c r="F50" s="3" t="inlineStr">
        <is>
          <t>2025-01-29</t>
        </is>
      </c>
      <c r="G50" s="3" t="inlineStr">
        <is>
          <t>2025-02-10</t>
        </is>
      </c>
      <c r="H50" s="3" t="inlineStr">
        <is>
          <t>2025-02-07</t>
        </is>
      </c>
      <c r="I50" s="5" t="n">
        <v>702</v>
      </c>
      <c r="J50" s="6" t="n">
        <v>1422.889770507812</v>
      </c>
      <c r="K50" s="6" t="n">
        <v>1358.994995117188</v>
      </c>
      <c r="L50" s="7">
        <f>I50*J50</f>
        <v/>
      </c>
      <c r="M50" s="7">
        <f>I50*K50</f>
        <v/>
      </c>
      <c r="N50" s="7">
        <f>L50+M50</f>
        <v/>
      </c>
      <c r="O50" s="7">
        <f>ROUND(N50*0.0005, 2)</f>
        <v/>
      </c>
      <c r="P50" s="7">
        <f>M50-L50</f>
        <v/>
      </c>
      <c r="Q50" s="7">
        <f>P50-O50</f>
        <v/>
      </c>
      <c r="R50" s="8">
        <f>ROUND((Q50/L50)*100, 2)</f>
        <v/>
      </c>
      <c r="S50" s="7">
        <f>ROUND(0.20*L50, 2)</f>
        <v/>
      </c>
      <c r="T50" s="8">
        <f>ROUND((Q50/S50)*100, 2)</f>
        <v/>
      </c>
      <c r="U50" s="7">
        <f>U49+Q50</f>
        <v/>
      </c>
      <c r="V50" s="7">
        <f>MAX(V49, U50)</f>
        <v/>
      </c>
      <c r="W50" s="7">
        <f>U50-V50</f>
        <v/>
      </c>
    </row>
    <row r="51">
      <c r="A51" s="3" t="n">
        <v>48</v>
      </c>
      <c r="B51" s="4" t="inlineStr">
        <is>
          <t>COFORGE</t>
        </is>
      </c>
      <c r="C51" s="3" t="inlineStr">
        <is>
          <t>Q2 2026-27</t>
        </is>
      </c>
      <c r="D51" s="3" t="inlineStr">
        <is>
          <t>FUTURE LONG</t>
        </is>
      </c>
      <c r="E51" s="3" t="inlineStr">
        <is>
          <t>T-8 to T+1</t>
        </is>
      </c>
      <c r="F51" s="3" t="inlineStr">
        <is>
          <t>2025-01-13</t>
        </is>
      </c>
      <c r="G51" s="3" t="inlineStr">
        <is>
          <t>2025-01-24</t>
        </is>
      </c>
      <c r="H51" s="3" t="inlineStr">
        <is>
          <t>2025-01-23</t>
        </is>
      </c>
      <c r="I51" s="5" t="n">
        <v>581</v>
      </c>
      <c r="J51" s="6" t="n">
        <v>1721.170043945312</v>
      </c>
      <c r="K51" s="6" t="n">
        <v>1825.768310546875</v>
      </c>
      <c r="L51" s="7">
        <f>I51*J51</f>
        <v/>
      </c>
      <c r="M51" s="7">
        <f>I51*K51</f>
        <v/>
      </c>
      <c r="N51" s="7">
        <f>L51+M51</f>
        <v/>
      </c>
      <c r="O51" s="7">
        <f>ROUND(N51*0.0005, 2)</f>
        <v/>
      </c>
      <c r="P51" s="7">
        <f>M51-L51</f>
        <v/>
      </c>
      <c r="Q51" s="7">
        <f>P51-O51</f>
        <v/>
      </c>
      <c r="R51" s="8">
        <f>ROUND((Q51/L51)*100, 2)</f>
        <v/>
      </c>
      <c r="S51" s="7">
        <f>ROUND(0.20*L51, 2)</f>
        <v/>
      </c>
      <c r="T51" s="8">
        <f>ROUND((Q51/S51)*100, 2)</f>
        <v/>
      </c>
      <c r="U51" s="7">
        <f>U50+Q51</f>
        <v/>
      </c>
      <c r="V51" s="7">
        <f>MAX(V50, U51)</f>
        <v/>
      </c>
      <c r="W51" s="7">
        <f>U51-V51</f>
        <v/>
      </c>
    </row>
    <row r="52">
      <c r="A52" s="3" t="n">
        <v>49</v>
      </c>
      <c r="B52" s="4" t="inlineStr">
        <is>
          <t>COLPAL</t>
        </is>
      </c>
      <c r="C52" s="3" t="inlineStr">
        <is>
          <t>Q2 2026-27</t>
        </is>
      </c>
      <c r="D52" s="3" t="inlineStr">
        <is>
          <t>FUTURE LONG</t>
        </is>
      </c>
      <c r="E52" s="3" t="inlineStr">
        <is>
          <t>T-8 to T+1</t>
        </is>
      </c>
      <c r="F52" s="3" t="inlineStr">
        <is>
          <t>2025-01-16</t>
        </is>
      </c>
      <c r="G52" s="3" t="inlineStr">
        <is>
          <t>2025-01-29</t>
        </is>
      </c>
      <c r="H52" s="3" t="inlineStr">
        <is>
          <t>2025-01-28</t>
        </is>
      </c>
      <c r="I52" s="5" t="n">
        <v>389</v>
      </c>
      <c r="J52" s="6" t="n">
        <v>2565.72900390625</v>
      </c>
      <c r="K52" s="6" t="n">
        <v>2642.4814453125</v>
      </c>
      <c r="L52" s="7">
        <f>I52*J52</f>
        <v/>
      </c>
      <c r="M52" s="7">
        <f>I52*K52</f>
        <v/>
      </c>
      <c r="N52" s="7">
        <f>L52+M52</f>
        <v/>
      </c>
      <c r="O52" s="7">
        <f>ROUND(N52*0.0005, 2)</f>
        <v/>
      </c>
      <c r="P52" s="7">
        <f>M52-L52</f>
        <v/>
      </c>
      <c r="Q52" s="7">
        <f>P52-O52</f>
        <v/>
      </c>
      <c r="R52" s="8">
        <f>ROUND((Q52/L52)*100, 2)</f>
        <v/>
      </c>
      <c r="S52" s="7">
        <f>ROUND(0.20*L52, 2)</f>
        <v/>
      </c>
      <c r="T52" s="8">
        <f>ROUND((Q52/S52)*100, 2)</f>
        <v/>
      </c>
      <c r="U52" s="7">
        <f>U51+Q52</f>
        <v/>
      </c>
      <c r="V52" s="7">
        <f>MAX(V51, U52)</f>
        <v/>
      </c>
      <c r="W52" s="7">
        <f>U52-V52</f>
        <v/>
      </c>
    </row>
    <row r="53">
      <c r="A53" s="3" t="n">
        <v>50</v>
      </c>
      <c r="B53" s="4" t="inlineStr">
        <is>
          <t>CONCOR</t>
        </is>
      </c>
      <c r="C53" s="3" t="inlineStr">
        <is>
          <t>Q2 2026-27</t>
        </is>
      </c>
      <c r="D53" s="3" t="inlineStr">
        <is>
          <t>FUTURE LONG</t>
        </is>
      </c>
      <c r="E53" s="3" t="inlineStr">
        <is>
          <t>T-8 to T+1</t>
        </is>
      </c>
      <c r="F53" s="3" t="inlineStr">
        <is>
          <t>2025-01-21</t>
        </is>
      </c>
      <c r="G53" s="3" t="inlineStr">
        <is>
          <t>2025-02-01</t>
        </is>
      </c>
      <c r="H53" s="3" t="inlineStr">
        <is>
          <t>2025-01-31</t>
        </is>
      </c>
      <c r="I53" s="5" t="n">
        <v>1692</v>
      </c>
      <c r="J53" s="6" t="n">
        <v>591.0067138671875</v>
      </c>
      <c r="K53" s="6" t="n">
        <v>591.0458374023438</v>
      </c>
      <c r="L53" s="7">
        <f>I53*J53</f>
        <v/>
      </c>
      <c r="M53" s="7">
        <f>I53*K53</f>
        <v/>
      </c>
      <c r="N53" s="7">
        <f>L53+M53</f>
        <v/>
      </c>
      <c r="O53" s="7">
        <f>ROUND(N53*0.0005, 2)</f>
        <v/>
      </c>
      <c r="P53" s="7">
        <f>M53-L53</f>
        <v/>
      </c>
      <c r="Q53" s="7">
        <f>P53-O53</f>
        <v/>
      </c>
      <c r="R53" s="8">
        <f>ROUND((Q53/L53)*100, 2)</f>
        <v/>
      </c>
      <c r="S53" s="7">
        <f>ROUND(0.20*L53, 2)</f>
        <v/>
      </c>
      <c r="T53" s="8">
        <f>ROUND((Q53/S53)*100, 2)</f>
        <v/>
      </c>
      <c r="U53" s="7">
        <f>U52+Q53</f>
        <v/>
      </c>
      <c r="V53" s="7">
        <f>MAX(V52, U53)</f>
        <v/>
      </c>
      <c r="W53" s="7">
        <f>U53-V53</f>
        <v/>
      </c>
    </row>
    <row r="54">
      <c r="A54" s="3" t="n">
        <v>51</v>
      </c>
      <c r="B54" s="4" t="inlineStr">
        <is>
          <t>CROMPTON</t>
        </is>
      </c>
      <c r="C54" s="3" t="inlineStr">
        <is>
          <t>Q2 2026-27</t>
        </is>
      </c>
      <c r="D54" s="3" t="inlineStr">
        <is>
          <t>FUTURE LONG</t>
        </is>
      </c>
      <c r="E54" s="3" t="inlineStr">
        <is>
          <t>T-8 to T+1</t>
        </is>
      </c>
      <c r="F54" s="3" t="inlineStr">
        <is>
          <t>2025-02-01</t>
        </is>
      </c>
      <c r="G54" s="3" t="inlineStr">
        <is>
          <t>2025-02-13</t>
        </is>
      </c>
      <c r="H54" s="3" t="inlineStr">
        <is>
          <t>2025-02-12</t>
        </is>
      </c>
      <c r="I54" s="5" t="n">
        <v>2759</v>
      </c>
      <c r="J54" s="6" t="n">
        <v>362.377197265625</v>
      </c>
      <c r="K54" s="6" t="n">
        <v>335.1989135742188</v>
      </c>
      <c r="L54" s="7">
        <f>I54*J54</f>
        <v/>
      </c>
      <c r="M54" s="7">
        <f>I54*K54</f>
        <v/>
      </c>
      <c r="N54" s="7">
        <f>L54+M54</f>
        <v/>
      </c>
      <c r="O54" s="7">
        <f>ROUND(N54*0.0005, 2)</f>
        <v/>
      </c>
      <c r="P54" s="7">
        <f>M54-L54</f>
        <v/>
      </c>
      <c r="Q54" s="7">
        <f>P54-O54</f>
        <v/>
      </c>
      <c r="R54" s="8">
        <f>ROUND((Q54/L54)*100, 2)</f>
        <v/>
      </c>
      <c r="S54" s="7">
        <f>ROUND(0.20*L54, 2)</f>
        <v/>
      </c>
      <c r="T54" s="8">
        <f>ROUND((Q54/S54)*100, 2)</f>
        <v/>
      </c>
      <c r="U54" s="7">
        <f>U53+Q54</f>
        <v/>
      </c>
      <c r="V54" s="7">
        <f>MAX(V53, U54)</f>
        <v/>
      </c>
      <c r="W54" s="7">
        <f>U54-V54</f>
        <v/>
      </c>
    </row>
    <row r="55">
      <c r="A55" s="3" t="n">
        <v>52</v>
      </c>
      <c r="B55" s="4" t="inlineStr">
        <is>
          <t>CUMMINSIND</t>
        </is>
      </c>
      <c r="C55" s="3" t="inlineStr">
        <is>
          <t>Q2 2026-27</t>
        </is>
      </c>
      <c r="D55" s="3" t="inlineStr">
        <is>
          <t>FUTURE LONG</t>
        </is>
      </c>
      <c r="E55" s="3" t="inlineStr">
        <is>
          <t>T-8 to T+1</t>
        </is>
      </c>
      <c r="F55" s="3" t="inlineStr">
        <is>
          <t>2025-01-28</t>
        </is>
      </c>
      <c r="G55" s="3" t="inlineStr">
        <is>
          <t>2025-02-07</t>
        </is>
      </c>
      <c r="H55" s="3" t="inlineStr">
        <is>
          <t>2025-02-06</t>
        </is>
      </c>
      <c r="I55" s="5" t="n">
        <v>375</v>
      </c>
      <c r="J55" s="6" t="n">
        <v>2662.271728515625</v>
      </c>
      <c r="K55" s="6" t="n">
        <v>2790.83740234375</v>
      </c>
      <c r="L55" s="7">
        <f>I55*J55</f>
        <v/>
      </c>
      <c r="M55" s="7">
        <f>I55*K55</f>
        <v/>
      </c>
      <c r="N55" s="7">
        <f>L55+M55</f>
        <v/>
      </c>
      <c r="O55" s="7">
        <f>ROUND(N55*0.0005, 2)</f>
        <v/>
      </c>
      <c r="P55" s="7">
        <f>M55-L55</f>
        <v/>
      </c>
      <c r="Q55" s="7">
        <f>P55-O55</f>
        <v/>
      </c>
      <c r="R55" s="8">
        <f>ROUND((Q55/L55)*100, 2)</f>
        <v/>
      </c>
      <c r="S55" s="7">
        <f>ROUND(0.20*L55, 2)</f>
        <v/>
      </c>
      <c r="T55" s="8">
        <f>ROUND((Q55/S55)*100, 2)</f>
        <v/>
      </c>
      <c r="U55" s="7">
        <f>U54+Q55</f>
        <v/>
      </c>
      <c r="V55" s="7">
        <f>MAX(V54, U55)</f>
        <v/>
      </c>
      <c r="W55" s="7">
        <f>U55-V55</f>
        <v/>
      </c>
    </row>
    <row r="56">
      <c r="A56" s="3" t="n">
        <v>53</v>
      </c>
      <c r="B56" s="4" t="inlineStr">
        <is>
          <t>DABUR</t>
        </is>
      </c>
      <c r="C56" s="3" t="inlineStr">
        <is>
          <t>Q2 2026-27</t>
        </is>
      </c>
      <c r="D56" s="3" t="inlineStr">
        <is>
          <t>FUTURE LONG</t>
        </is>
      </c>
      <c r="E56" s="3" t="inlineStr">
        <is>
          <t>T-8 to T+1</t>
        </is>
      </c>
      <c r="F56" s="3" t="inlineStr">
        <is>
          <t>2025-01-20</t>
        </is>
      </c>
      <c r="G56" s="3" t="inlineStr">
        <is>
          <t>2025-01-31</t>
        </is>
      </c>
      <c r="H56" s="3" t="inlineStr">
        <is>
          <t>2025-01-30</t>
        </is>
      </c>
      <c r="I56" s="5" t="n">
        <v>1971</v>
      </c>
      <c r="J56" s="6" t="n">
        <v>507.1295776367188</v>
      </c>
      <c r="K56" s="6" t="n">
        <v>515.1507568359375</v>
      </c>
      <c r="L56" s="7">
        <f>I56*J56</f>
        <v/>
      </c>
      <c r="M56" s="7">
        <f>I56*K56</f>
        <v/>
      </c>
      <c r="N56" s="7">
        <f>L56+M56</f>
        <v/>
      </c>
      <c r="O56" s="7">
        <f>ROUND(N56*0.0005, 2)</f>
        <v/>
      </c>
      <c r="P56" s="7">
        <f>M56-L56</f>
        <v/>
      </c>
      <c r="Q56" s="7">
        <f>P56-O56</f>
        <v/>
      </c>
      <c r="R56" s="8">
        <f>ROUND((Q56/L56)*100, 2)</f>
        <v/>
      </c>
      <c r="S56" s="7">
        <f>ROUND(0.20*L56, 2)</f>
        <v/>
      </c>
      <c r="T56" s="8">
        <f>ROUND((Q56/S56)*100, 2)</f>
        <v/>
      </c>
      <c r="U56" s="7">
        <f>U55+Q56</f>
        <v/>
      </c>
      <c r="V56" s="7">
        <f>MAX(V55, U56)</f>
        <v/>
      </c>
      <c r="W56" s="7">
        <f>U56-V56</f>
        <v/>
      </c>
    </row>
    <row r="57">
      <c r="A57" s="3" t="n">
        <v>54</v>
      </c>
      <c r="B57" s="4" t="inlineStr">
        <is>
          <t>DELHIVERY</t>
        </is>
      </c>
      <c r="C57" s="3" t="inlineStr">
        <is>
          <t>Q2 2026-27</t>
        </is>
      </c>
      <c r="D57" s="3" t="inlineStr">
        <is>
          <t>FUTURE LONG</t>
        </is>
      </c>
      <c r="E57" s="3" t="inlineStr">
        <is>
          <t>T-8 to T+1</t>
        </is>
      </c>
      <c r="F57" s="3" t="inlineStr">
        <is>
          <t>2025-01-29</t>
        </is>
      </c>
      <c r="G57" s="3" t="inlineStr">
        <is>
          <t>2025-02-10</t>
        </is>
      </c>
      <c r="H57" s="3" t="inlineStr">
        <is>
          <t>2025-02-07</t>
        </is>
      </c>
      <c r="I57" s="5" t="n">
        <v>3091</v>
      </c>
      <c r="J57" s="6" t="n">
        <v>323.4500122070312</v>
      </c>
      <c r="K57" s="6" t="n">
        <v>297.25</v>
      </c>
      <c r="L57" s="7">
        <f>I57*J57</f>
        <v/>
      </c>
      <c r="M57" s="7">
        <f>I57*K57</f>
        <v/>
      </c>
      <c r="N57" s="7">
        <f>L57+M57</f>
        <v/>
      </c>
      <c r="O57" s="7">
        <f>ROUND(N57*0.0005, 2)</f>
        <v/>
      </c>
      <c r="P57" s="7">
        <f>M57-L57</f>
        <v/>
      </c>
      <c r="Q57" s="7">
        <f>P57-O57</f>
        <v/>
      </c>
      <c r="R57" s="8">
        <f>ROUND((Q57/L57)*100, 2)</f>
        <v/>
      </c>
      <c r="S57" s="7">
        <f>ROUND(0.20*L57, 2)</f>
        <v/>
      </c>
      <c r="T57" s="8">
        <f>ROUND((Q57/S57)*100, 2)</f>
        <v/>
      </c>
      <c r="U57" s="7">
        <f>U56+Q57</f>
        <v/>
      </c>
      <c r="V57" s="7">
        <f>MAX(V56, U57)</f>
        <v/>
      </c>
      <c r="W57" s="7">
        <f>U57-V57</f>
        <v/>
      </c>
    </row>
    <row r="58">
      <c r="A58" s="3" t="n">
        <v>55</v>
      </c>
      <c r="B58" s="4" t="inlineStr">
        <is>
          <t>DIVISLAB</t>
        </is>
      </c>
      <c r="C58" s="3" t="inlineStr">
        <is>
          <t>Q2 2026-27</t>
        </is>
      </c>
      <c r="D58" s="3" t="inlineStr">
        <is>
          <t>FUTURE LONG</t>
        </is>
      </c>
      <c r="E58" s="3" t="inlineStr">
        <is>
          <t>T-8 to T+1</t>
        </is>
      </c>
      <c r="F58" s="3" t="inlineStr">
        <is>
          <t>2025-01-23</t>
        </is>
      </c>
      <c r="G58" s="3" t="inlineStr">
        <is>
          <t>2025-02-04</t>
        </is>
      </c>
      <c r="H58" s="3" t="inlineStr">
        <is>
          <t>2025-02-03</t>
        </is>
      </c>
      <c r="I58" s="5" t="n">
        <v>200</v>
      </c>
      <c r="J58" s="6" t="n">
        <v>5800.509765625</v>
      </c>
      <c r="K58" s="6" t="n">
        <v>6043.69482421875</v>
      </c>
      <c r="L58" s="7">
        <f>I58*J58</f>
        <v/>
      </c>
      <c r="M58" s="7">
        <f>I58*K58</f>
        <v/>
      </c>
      <c r="N58" s="7">
        <f>L58+M58</f>
        <v/>
      </c>
      <c r="O58" s="7">
        <f>ROUND(N58*0.0005, 2)</f>
        <v/>
      </c>
      <c r="P58" s="7">
        <f>M58-L58</f>
        <v/>
      </c>
      <c r="Q58" s="7">
        <f>P58-O58</f>
        <v/>
      </c>
      <c r="R58" s="8">
        <f>ROUND((Q58/L58)*100, 2)</f>
        <v/>
      </c>
      <c r="S58" s="7">
        <f>ROUND(0.20*L58, 2)</f>
        <v/>
      </c>
      <c r="T58" s="8">
        <f>ROUND((Q58/S58)*100, 2)</f>
        <v/>
      </c>
      <c r="U58" s="7">
        <f>U57+Q58</f>
        <v/>
      </c>
      <c r="V58" s="7">
        <f>MAX(V57, U58)</f>
        <v/>
      </c>
      <c r="W58" s="7">
        <f>U58-V58</f>
        <v/>
      </c>
    </row>
    <row r="59">
      <c r="A59" s="3" t="n">
        <v>56</v>
      </c>
      <c r="B59" s="4" t="inlineStr">
        <is>
          <t>DIXON</t>
        </is>
      </c>
      <c r="C59" s="3" t="inlineStr">
        <is>
          <t>Q2 2026-27</t>
        </is>
      </c>
      <c r="D59" s="3" t="inlineStr">
        <is>
          <t>FUTURE LONG</t>
        </is>
      </c>
      <c r="E59" s="3" t="inlineStr">
        <is>
          <t>T-8 to T+1</t>
        </is>
      </c>
      <c r="F59" s="3" t="inlineStr">
        <is>
          <t>2025-01-08</t>
        </is>
      </c>
      <c r="G59" s="3" t="inlineStr">
        <is>
          <t>2025-01-21</t>
        </is>
      </c>
      <c r="H59" s="3" t="inlineStr">
        <is>
          <t>2025-01-20</t>
        </is>
      </c>
      <c r="I59" s="5" t="n">
        <v>100</v>
      </c>
      <c r="J59" s="6" t="n">
        <v>16898.330078125</v>
      </c>
      <c r="K59" s="6" t="n">
        <v>15137.61328125</v>
      </c>
      <c r="L59" s="7">
        <f>I59*J59</f>
        <v/>
      </c>
      <c r="M59" s="7">
        <f>I59*K59</f>
        <v/>
      </c>
      <c r="N59" s="7">
        <f>L59+M59</f>
        <v/>
      </c>
      <c r="O59" s="7">
        <f>ROUND(N59*0.0005, 2)</f>
        <v/>
      </c>
      <c r="P59" s="7">
        <f>M59-L59</f>
        <v/>
      </c>
      <c r="Q59" s="7">
        <f>P59-O59</f>
        <v/>
      </c>
      <c r="R59" s="8">
        <f>ROUND((Q59/L59)*100, 2)</f>
        <v/>
      </c>
      <c r="S59" s="7">
        <f>ROUND(0.20*L59, 2)</f>
        <v/>
      </c>
      <c r="T59" s="8">
        <f>ROUND((Q59/S59)*100, 2)</f>
        <v/>
      </c>
      <c r="U59" s="7">
        <f>U58+Q59</f>
        <v/>
      </c>
      <c r="V59" s="7">
        <f>MAX(V58, U59)</f>
        <v/>
      </c>
      <c r="W59" s="7">
        <f>U59-V59</f>
        <v/>
      </c>
    </row>
    <row r="60">
      <c r="A60" s="3" t="n">
        <v>57</v>
      </c>
      <c r="B60" s="4" t="inlineStr">
        <is>
          <t>DLF</t>
        </is>
      </c>
      <c r="C60" s="3" t="inlineStr">
        <is>
          <t>Q2 2026-27</t>
        </is>
      </c>
      <c r="D60" s="3" t="inlineStr">
        <is>
          <t>FUTURE LONG</t>
        </is>
      </c>
      <c r="E60" s="3" t="inlineStr">
        <is>
          <t>T-8 to T+1</t>
        </is>
      </c>
      <c r="F60" s="3" t="inlineStr">
        <is>
          <t>2025-01-14</t>
        </is>
      </c>
      <c r="G60" s="3" t="inlineStr">
        <is>
          <t>2025-01-27</t>
        </is>
      </c>
      <c r="H60" s="3" t="inlineStr">
        <is>
          <t>2025-01-24</t>
        </is>
      </c>
      <c r="I60" s="5" t="n">
        <v>1410</v>
      </c>
      <c r="J60" s="6" t="n">
        <v>709.0956420898438</v>
      </c>
      <c r="K60" s="6" t="n">
        <v>690.1243286132812</v>
      </c>
      <c r="L60" s="7">
        <f>I60*J60</f>
        <v/>
      </c>
      <c r="M60" s="7">
        <f>I60*K60</f>
        <v/>
      </c>
      <c r="N60" s="7">
        <f>L60+M60</f>
        <v/>
      </c>
      <c r="O60" s="7">
        <f>ROUND(N60*0.0005, 2)</f>
        <v/>
      </c>
      <c r="P60" s="7">
        <f>M60-L60</f>
        <v/>
      </c>
      <c r="Q60" s="7">
        <f>P60-O60</f>
        <v/>
      </c>
      <c r="R60" s="8">
        <f>ROUND((Q60/L60)*100, 2)</f>
        <v/>
      </c>
      <c r="S60" s="7">
        <f>ROUND(0.20*L60, 2)</f>
        <v/>
      </c>
      <c r="T60" s="8">
        <f>ROUND((Q60/S60)*100, 2)</f>
        <v/>
      </c>
      <c r="U60" s="7">
        <f>U59+Q60</f>
        <v/>
      </c>
      <c r="V60" s="7">
        <f>MAX(V59, U60)</f>
        <v/>
      </c>
      <c r="W60" s="7">
        <f>U60-V60</f>
        <v/>
      </c>
    </row>
    <row r="61">
      <c r="A61" s="3" t="n">
        <v>58</v>
      </c>
      <c r="B61" s="4" t="inlineStr">
        <is>
          <t>DMART</t>
        </is>
      </c>
      <c r="C61" s="3" t="inlineStr">
        <is>
          <t>Q2 2026-27</t>
        </is>
      </c>
      <c r="D61" s="3" t="inlineStr">
        <is>
          <t>FUTURE LONG</t>
        </is>
      </c>
      <c r="E61" s="3" t="inlineStr">
        <is>
          <t>T-8 to T+1</t>
        </is>
      </c>
      <c r="F61" s="3" t="inlineStr">
        <is>
          <t>2024-12-31</t>
        </is>
      </c>
      <c r="G61" s="3" t="inlineStr">
        <is>
          <t>2025-01-13</t>
        </is>
      </c>
      <c r="H61" s="3" t="inlineStr">
        <is>
          <t>2025-01-11</t>
        </is>
      </c>
      <c r="I61" s="5" t="n">
        <v>280</v>
      </c>
      <c r="J61" s="6" t="n">
        <v>3561.85009765625</v>
      </c>
      <c r="K61" s="6" t="n">
        <v>3507.449951171875</v>
      </c>
      <c r="L61" s="7">
        <f>I61*J61</f>
        <v/>
      </c>
      <c r="M61" s="7">
        <f>I61*K61</f>
        <v/>
      </c>
      <c r="N61" s="7">
        <f>L61+M61</f>
        <v/>
      </c>
      <c r="O61" s="7">
        <f>ROUND(N61*0.0005, 2)</f>
        <v/>
      </c>
      <c r="P61" s="7">
        <f>M61-L61</f>
        <v/>
      </c>
      <c r="Q61" s="7">
        <f>P61-O61</f>
        <v/>
      </c>
      <c r="R61" s="8">
        <f>ROUND((Q61/L61)*100, 2)</f>
        <v/>
      </c>
      <c r="S61" s="7">
        <f>ROUND(0.20*L61, 2)</f>
        <v/>
      </c>
      <c r="T61" s="8">
        <f>ROUND((Q61/S61)*100, 2)</f>
        <v/>
      </c>
      <c r="U61" s="7">
        <f>U60+Q61</f>
        <v/>
      </c>
      <c r="V61" s="7">
        <f>MAX(V60, U61)</f>
        <v/>
      </c>
      <c r="W61" s="7">
        <f>U61-V61</f>
        <v/>
      </c>
    </row>
    <row r="62">
      <c r="A62" s="3" t="n">
        <v>59</v>
      </c>
      <c r="B62" s="4" t="inlineStr">
        <is>
          <t>DRREDDY</t>
        </is>
      </c>
      <c r="C62" s="3" t="inlineStr">
        <is>
          <t>Q2 2026-27</t>
        </is>
      </c>
      <c r="D62" s="3" t="inlineStr">
        <is>
          <t>FUTURE LONG</t>
        </is>
      </c>
      <c r="E62" s="3" t="inlineStr">
        <is>
          <t>T-8 to T+1</t>
        </is>
      </c>
      <c r="F62" s="3" t="inlineStr">
        <is>
          <t>2025-01-14</t>
        </is>
      </c>
      <c r="G62" s="3" t="inlineStr">
        <is>
          <t>2025-01-27</t>
        </is>
      </c>
      <c r="H62" s="3" t="inlineStr">
        <is>
          <t>2025-01-24</t>
        </is>
      </c>
      <c r="I62" s="5" t="n">
        <v>125</v>
      </c>
      <c r="J62" s="6" t="n">
        <v>1320.744873046875</v>
      </c>
      <c r="K62" s="6" t="n">
        <v>1182.6025390625</v>
      </c>
      <c r="L62" s="7">
        <f>I62*J62</f>
        <v/>
      </c>
      <c r="M62" s="7">
        <f>I62*K62</f>
        <v/>
      </c>
      <c r="N62" s="7">
        <f>L62+M62</f>
        <v/>
      </c>
      <c r="O62" s="7">
        <f>ROUND(N62*0.0005, 2)</f>
        <v/>
      </c>
      <c r="P62" s="7">
        <f>M62-L62</f>
        <v/>
      </c>
      <c r="Q62" s="7">
        <f>P62-O62</f>
        <v/>
      </c>
      <c r="R62" s="8">
        <f>ROUND((Q62/L62)*100, 2)</f>
        <v/>
      </c>
      <c r="S62" s="7">
        <f>ROUND(0.20*L62, 2)</f>
        <v/>
      </c>
      <c r="T62" s="8">
        <f>ROUND((Q62/S62)*100, 2)</f>
        <v/>
      </c>
      <c r="U62" s="7">
        <f>U61+Q62</f>
        <v/>
      </c>
      <c r="V62" s="7">
        <f>MAX(V61, U62)</f>
        <v/>
      </c>
      <c r="W62" s="7">
        <f>U62-V62</f>
        <v/>
      </c>
    </row>
    <row r="63">
      <c r="A63" s="3" t="n">
        <v>60</v>
      </c>
      <c r="B63" s="4" t="inlineStr">
        <is>
          <t>EICHERMOT</t>
        </is>
      </c>
      <c r="C63" s="3" t="inlineStr">
        <is>
          <t>Q2 2026-27</t>
        </is>
      </c>
      <c r="D63" s="3" t="inlineStr">
        <is>
          <t>FUTURE LONG</t>
        </is>
      </c>
      <c r="E63" s="3" t="inlineStr">
        <is>
          <t>T-8 to T+1</t>
        </is>
      </c>
      <c r="F63" s="3" t="inlineStr">
        <is>
          <t>2025-02-01</t>
        </is>
      </c>
      <c r="G63" s="3" t="inlineStr">
        <is>
          <t>2025-02-13</t>
        </is>
      </c>
      <c r="H63" s="3" t="inlineStr">
        <is>
          <t>2025-02-11</t>
        </is>
      </c>
      <c r="I63" s="5" t="n">
        <v>175</v>
      </c>
      <c r="J63" s="6" t="n">
        <v>5321.15283203125</v>
      </c>
      <c r="K63" s="6" t="n">
        <v>4758.69580078125</v>
      </c>
      <c r="L63" s="7">
        <f>I63*J63</f>
        <v/>
      </c>
      <c r="M63" s="7">
        <f>I63*K63</f>
        <v/>
      </c>
      <c r="N63" s="7">
        <f>L63+M63</f>
        <v/>
      </c>
      <c r="O63" s="7">
        <f>ROUND(N63*0.0005, 2)</f>
        <v/>
      </c>
      <c r="P63" s="7">
        <f>M63-L63</f>
        <v/>
      </c>
      <c r="Q63" s="7">
        <f>P63-O63</f>
        <v/>
      </c>
      <c r="R63" s="8">
        <f>ROUND((Q63/L63)*100, 2)</f>
        <v/>
      </c>
      <c r="S63" s="7">
        <f>ROUND(0.20*L63, 2)</f>
        <v/>
      </c>
      <c r="T63" s="8">
        <f>ROUND((Q63/S63)*100, 2)</f>
        <v/>
      </c>
      <c r="U63" s="7">
        <f>U62+Q63</f>
        <v/>
      </c>
      <c r="V63" s="7">
        <f>MAX(V62, U63)</f>
        <v/>
      </c>
      <c r="W63" s="7">
        <f>U63-V63</f>
        <v/>
      </c>
    </row>
    <row r="64">
      <c r="A64" s="3" t="n">
        <v>61</v>
      </c>
      <c r="B64" s="4" t="inlineStr">
        <is>
          <t>ETERNAL</t>
        </is>
      </c>
      <c r="C64" s="3" t="inlineStr">
        <is>
          <t>Q2 2026-27</t>
        </is>
      </c>
      <c r="D64" s="3" t="inlineStr">
        <is>
          <t>FUTURE LONG</t>
        </is>
      </c>
      <c r="E64" s="3" t="inlineStr">
        <is>
          <t>T-8 to T+1</t>
        </is>
      </c>
      <c r="F64" s="3" t="inlineStr">
        <is>
          <t>2025-01-08</t>
        </is>
      </c>
      <c r="G64" s="3" t="inlineStr">
        <is>
          <t>2025-01-21</t>
        </is>
      </c>
      <c r="H64" s="3" t="inlineStr">
        <is>
          <t>2025-01-20</t>
        </is>
      </c>
      <c r="I64" s="5" t="n">
        <v>3999</v>
      </c>
      <c r="J64" s="6" t="n">
        <v>250.0500030517578</v>
      </c>
      <c r="K64" s="6" t="n">
        <v>214.5500030517578</v>
      </c>
      <c r="L64" s="7">
        <f>I64*J64</f>
        <v/>
      </c>
      <c r="M64" s="7">
        <f>I64*K64</f>
        <v/>
      </c>
      <c r="N64" s="7">
        <f>L64+M64</f>
        <v/>
      </c>
      <c r="O64" s="7">
        <f>ROUND(N64*0.0005, 2)</f>
        <v/>
      </c>
      <c r="P64" s="7">
        <f>M64-L64</f>
        <v/>
      </c>
      <c r="Q64" s="7">
        <f>P64-O64</f>
        <v/>
      </c>
      <c r="R64" s="8">
        <f>ROUND((Q64/L64)*100, 2)</f>
        <v/>
      </c>
      <c r="S64" s="7">
        <f>ROUND(0.20*L64, 2)</f>
        <v/>
      </c>
      <c r="T64" s="8">
        <f>ROUND((Q64/S64)*100, 2)</f>
        <v/>
      </c>
      <c r="U64" s="7">
        <f>U63+Q64</f>
        <v/>
      </c>
      <c r="V64" s="7">
        <f>MAX(V63, U64)</f>
        <v/>
      </c>
      <c r="W64" s="7">
        <f>U64-V64</f>
        <v/>
      </c>
    </row>
    <row r="65">
      <c r="A65" s="3" t="n">
        <v>62</v>
      </c>
      <c r="B65" s="4" t="inlineStr">
        <is>
          <t>FEDERALBNK</t>
        </is>
      </c>
      <c r="C65" s="3" t="inlineStr">
        <is>
          <t>Q2 2026-27</t>
        </is>
      </c>
      <c r="D65" s="3" t="inlineStr">
        <is>
          <t>FUTURE LONG</t>
        </is>
      </c>
      <c r="E65" s="3" t="inlineStr">
        <is>
          <t>T-8 to T+1</t>
        </is>
      </c>
      <c r="F65" s="3" t="inlineStr">
        <is>
          <t>2025-01-16</t>
        </is>
      </c>
      <c r="G65" s="3" t="inlineStr">
        <is>
          <t>2025-01-29</t>
        </is>
      </c>
      <c r="H65" s="3" t="inlineStr">
        <is>
          <t>2025-01-28</t>
        </is>
      </c>
      <c r="I65" s="5" t="n">
        <v>5148</v>
      </c>
      <c r="J65" s="6" t="n">
        <v>194.2441253662109</v>
      </c>
      <c r="K65" s="6" t="n">
        <v>185.0597229003907</v>
      </c>
      <c r="L65" s="7">
        <f>I65*J65</f>
        <v/>
      </c>
      <c r="M65" s="7">
        <f>I65*K65</f>
        <v/>
      </c>
      <c r="N65" s="7">
        <f>L65+M65</f>
        <v/>
      </c>
      <c r="O65" s="7">
        <f>ROUND(N65*0.0005, 2)</f>
        <v/>
      </c>
      <c r="P65" s="7">
        <f>M65-L65</f>
        <v/>
      </c>
      <c r="Q65" s="7">
        <f>P65-O65</f>
        <v/>
      </c>
      <c r="R65" s="8">
        <f>ROUND((Q65/L65)*100, 2)</f>
        <v/>
      </c>
      <c r="S65" s="7">
        <f>ROUND(0.20*L65, 2)</f>
        <v/>
      </c>
      <c r="T65" s="8">
        <f>ROUND((Q65/S65)*100, 2)</f>
        <v/>
      </c>
      <c r="U65" s="7">
        <f>U64+Q65</f>
        <v/>
      </c>
      <c r="V65" s="7">
        <f>MAX(V64, U65)</f>
        <v/>
      </c>
      <c r="W65" s="7">
        <f>U65-V65</f>
        <v/>
      </c>
    </row>
    <row r="66">
      <c r="A66" s="3" t="n">
        <v>63</v>
      </c>
      <c r="B66" s="4" t="inlineStr">
        <is>
          <t>FORCEMOT</t>
        </is>
      </c>
      <c r="C66" s="3" t="inlineStr">
        <is>
          <t>Q2 2026-27</t>
        </is>
      </c>
      <c r="D66" s="3" t="inlineStr">
        <is>
          <t>FUTURE LONG</t>
        </is>
      </c>
      <c r="E66" s="3" t="inlineStr">
        <is>
          <t>T-8 to T+1</t>
        </is>
      </c>
      <c r="F66" s="3" t="inlineStr">
        <is>
          <t>2026-07-20</t>
        </is>
      </c>
      <c r="G66" s="3" t="inlineStr">
        <is>
          <t>2026-07-30</t>
        </is>
      </c>
      <c r="H66" s="3" t="inlineStr">
        <is>
          <t>2026-07-29</t>
        </is>
      </c>
      <c r="I66" s="5" t="n">
        <v>100</v>
      </c>
      <c r="J66" s="6" t="n">
        <v>17910</v>
      </c>
      <c r="K66" s="6" t="n">
        <v>17618</v>
      </c>
      <c r="L66" s="7">
        <f>I66*J66</f>
        <v/>
      </c>
      <c r="M66" s="7">
        <f>I66*K66</f>
        <v/>
      </c>
      <c r="N66" s="7">
        <f>L66+M66</f>
        <v/>
      </c>
      <c r="O66" s="7">
        <f>ROUND(N66*0.0005, 2)</f>
        <v/>
      </c>
      <c r="P66" s="7">
        <f>M66-L66</f>
        <v/>
      </c>
      <c r="Q66" s="7">
        <f>P66-O66</f>
        <v/>
      </c>
      <c r="R66" s="8">
        <f>ROUND((Q66/L66)*100, 2)</f>
        <v/>
      </c>
      <c r="S66" s="7">
        <f>ROUND(0.20*L66, 2)</f>
        <v/>
      </c>
      <c r="T66" s="8">
        <f>ROUND((Q66/S66)*100, 2)</f>
        <v/>
      </c>
      <c r="U66" s="7">
        <f>U65+Q66</f>
        <v/>
      </c>
      <c r="V66" s="7">
        <f>MAX(V65, U66)</f>
        <v/>
      </c>
      <c r="W66" s="7">
        <f>U66-V66</f>
        <v/>
      </c>
    </row>
    <row r="67">
      <c r="A67" s="3" t="n">
        <v>64</v>
      </c>
      <c r="B67" s="4" t="inlineStr">
        <is>
          <t>FORTIS</t>
        </is>
      </c>
      <c r="C67" s="3" t="inlineStr">
        <is>
          <t>Q2 2026-27</t>
        </is>
      </c>
      <c r="D67" s="3" t="inlineStr">
        <is>
          <t>FUTURE LONG</t>
        </is>
      </c>
      <c r="E67" s="3" t="inlineStr">
        <is>
          <t>T-8 to T+1</t>
        </is>
      </c>
      <c r="F67" s="3" t="inlineStr">
        <is>
          <t>2025-01-29</t>
        </is>
      </c>
      <c r="G67" s="3" t="inlineStr">
        <is>
          <t>2025-02-10</t>
        </is>
      </c>
      <c r="H67" s="3" t="inlineStr">
        <is>
          <t>2025-02-07</t>
        </is>
      </c>
      <c r="I67" s="5" t="n">
        <v>1594</v>
      </c>
      <c r="J67" s="6" t="n">
        <v>627.1422119140625</v>
      </c>
      <c r="K67" s="6" t="n">
        <v>625.6455688476562</v>
      </c>
      <c r="L67" s="7">
        <f>I67*J67</f>
        <v/>
      </c>
      <c r="M67" s="7">
        <f>I67*K67</f>
        <v/>
      </c>
      <c r="N67" s="7">
        <f>L67+M67</f>
        <v/>
      </c>
      <c r="O67" s="7">
        <f>ROUND(N67*0.0005, 2)</f>
        <v/>
      </c>
      <c r="P67" s="7">
        <f>M67-L67</f>
        <v/>
      </c>
      <c r="Q67" s="7">
        <f>P67-O67</f>
        <v/>
      </c>
      <c r="R67" s="8">
        <f>ROUND((Q67/L67)*100, 2)</f>
        <v/>
      </c>
      <c r="S67" s="7">
        <f>ROUND(0.20*L67, 2)</f>
        <v/>
      </c>
      <c r="T67" s="8">
        <f>ROUND((Q67/S67)*100, 2)</f>
        <v/>
      </c>
      <c r="U67" s="7">
        <f>U66+Q67</f>
        <v/>
      </c>
      <c r="V67" s="7">
        <f>MAX(V66, U67)</f>
        <v/>
      </c>
      <c r="W67" s="7">
        <f>U67-V67</f>
        <v/>
      </c>
    </row>
    <row r="68">
      <c r="A68" s="3" t="n">
        <v>65</v>
      </c>
      <c r="B68" s="4" t="inlineStr">
        <is>
          <t>GAIL</t>
        </is>
      </c>
      <c r="C68" s="3" t="inlineStr">
        <is>
          <t>Q2 2026-27</t>
        </is>
      </c>
      <c r="D68" s="3" t="inlineStr">
        <is>
          <t>FUTURE LONG</t>
        </is>
      </c>
      <c r="E68" s="3" t="inlineStr">
        <is>
          <t>T-8 to T+1</t>
        </is>
      </c>
      <c r="F68" s="3" t="inlineStr">
        <is>
          <t>2025-01-21</t>
        </is>
      </c>
      <c r="G68" s="3" t="inlineStr">
        <is>
          <t>2025-02-01</t>
        </is>
      </c>
      <c r="H68" s="3" t="inlineStr">
        <is>
          <t>2025-01-31</t>
        </is>
      </c>
      <c r="I68" s="5" t="n">
        <v>5982</v>
      </c>
      <c r="J68" s="6" t="n">
        <v>167.1511688232422</v>
      </c>
      <c r="K68" s="6" t="n">
        <v>163.1468353271484</v>
      </c>
      <c r="L68" s="7">
        <f>I68*J68</f>
        <v/>
      </c>
      <c r="M68" s="7">
        <f>I68*K68</f>
        <v/>
      </c>
      <c r="N68" s="7">
        <f>L68+M68</f>
        <v/>
      </c>
      <c r="O68" s="7">
        <f>ROUND(N68*0.0005, 2)</f>
        <v/>
      </c>
      <c r="P68" s="7">
        <f>M68-L68</f>
        <v/>
      </c>
      <c r="Q68" s="7">
        <f>P68-O68</f>
        <v/>
      </c>
      <c r="R68" s="8">
        <f>ROUND((Q68/L68)*100, 2)</f>
        <v/>
      </c>
      <c r="S68" s="7">
        <f>ROUND(0.20*L68, 2)</f>
        <v/>
      </c>
      <c r="T68" s="8">
        <f>ROUND((Q68/S68)*100, 2)</f>
        <v/>
      </c>
      <c r="U68" s="7">
        <f>U67+Q68</f>
        <v/>
      </c>
      <c r="V68" s="7">
        <f>MAX(V67, U68)</f>
        <v/>
      </c>
      <c r="W68" s="7">
        <f>U68-V68</f>
        <v/>
      </c>
    </row>
    <row r="69">
      <c r="A69" s="3" t="n">
        <v>66</v>
      </c>
      <c r="B69" s="4" t="inlineStr">
        <is>
          <t>GLENMARK</t>
        </is>
      </c>
      <c r="C69" s="3" t="inlineStr">
        <is>
          <t>Q2 2026-27</t>
        </is>
      </c>
      <c r="D69" s="3" t="inlineStr">
        <is>
          <t>FUTURE LONG</t>
        </is>
      </c>
      <c r="E69" s="3" t="inlineStr">
        <is>
          <t>T-8 to T+1</t>
        </is>
      </c>
      <c r="F69" s="3" t="inlineStr">
        <is>
          <t>2025-02-04</t>
        </is>
      </c>
      <c r="G69" s="3" t="inlineStr">
        <is>
          <t>2025-02-17</t>
        </is>
      </c>
      <c r="H69" s="3" t="inlineStr">
        <is>
          <t>2025-02-14</t>
        </is>
      </c>
      <c r="I69" s="5" t="n">
        <v>690</v>
      </c>
      <c r="J69" s="6" t="n">
        <v>1447.998413085938</v>
      </c>
      <c r="K69" s="6" t="n">
        <v>1370.438598632812</v>
      </c>
      <c r="L69" s="7">
        <f>I69*J69</f>
        <v/>
      </c>
      <c r="M69" s="7">
        <f>I69*K69</f>
        <v/>
      </c>
      <c r="N69" s="7">
        <f>L69+M69</f>
        <v/>
      </c>
      <c r="O69" s="7">
        <f>ROUND(N69*0.0005, 2)</f>
        <v/>
      </c>
      <c r="P69" s="7">
        <f>M69-L69</f>
        <v/>
      </c>
      <c r="Q69" s="7">
        <f>P69-O69</f>
        <v/>
      </c>
      <c r="R69" s="8">
        <f>ROUND((Q69/L69)*100, 2)</f>
        <v/>
      </c>
      <c r="S69" s="7">
        <f>ROUND(0.20*L69, 2)</f>
        <v/>
      </c>
      <c r="T69" s="8">
        <f>ROUND((Q69/S69)*100, 2)</f>
        <v/>
      </c>
      <c r="U69" s="7">
        <f>U68+Q69</f>
        <v/>
      </c>
      <c r="V69" s="7">
        <f>MAX(V68, U69)</f>
        <v/>
      </c>
      <c r="W69" s="7">
        <f>U69-V69</f>
        <v/>
      </c>
    </row>
    <row r="70">
      <c r="A70" s="3" t="n">
        <v>67</v>
      </c>
      <c r="B70" s="4" t="inlineStr">
        <is>
          <t>GMRAIRPORT</t>
        </is>
      </c>
      <c r="C70" s="3" t="inlineStr">
        <is>
          <t>Q2 2026-27</t>
        </is>
      </c>
      <c r="D70" s="3" t="inlineStr">
        <is>
          <t>FUTURE LONG</t>
        </is>
      </c>
      <c r="E70" s="3" t="inlineStr">
        <is>
          <t>T-8 to T+1</t>
        </is>
      </c>
      <c r="F70" s="3" t="inlineStr">
        <is>
          <t>2025-01-17</t>
        </is>
      </c>
      <c r="G70" s="3" t="inlineStr">
        <is>
          <t>2025-01-30</t>
        </is>
      </c>
      <c r="H70" s="3" t="inlineStr">
        <is>
          <t>2025-01-29</t>
        </is>
      </c>
      <c r="I70" s="5" t="n">
        <v>13145</v>
      </c>
      <c r="J70" s="6" t="n">
        <v>76.06999969482422</v>
      </c>
      <c r="K70" s="6" t="n">
        <v>71.19999694824219</v>
      </c>
      <c r="L70" s="7">
        <f>I70*J70</f>
        <v/>
      </c>
      <c r="M70" s="7">
        <f>I70*K70</f>
        <v/>
      </c>
      <c r="N70" s="7">
        <f>L70+M70</f>
        <v/>
      </c>
      <c r="O70" s="7">
        <f>ROUND(N70*0.0005, 2)</f>
        <v/>
      </c>
      <c r="P70" s="7">
        <f>M70-L70</f>
        <v/>
      </c>
      <c r="Q70" s="7">
        <f>P70-O70</f>
        <v/>
      </c>
      <c r="R70" s="8">
        <f>ROUND((Q70/L70)*100, 2)</f>
        <v/>
      </c>
      <c r="S70" s="7">
        <f>ROUND(0.20*L70, 2)</f>
        <v/>
      </c>
      <c r="T70" s="8">
        <f>ROUND((Q70/S70)*100, 2)</f>
        <v/>
      </c>
      <c r="U70" s="7">
        <f>U69+Q70</f>
        <v/>
      </c>
      <c r="V70" s="7">
        <f>MAX(V69, U70)</f>
        <v/>
      </c>
      <c r="W70" s="7">
        <f>U70-V70</f>
        <v/>
      </c>
    </row>
    <row r="71">
      <c r="A71" s="3" t="n">
        <v>68</v>
      </c>
      <c r="B71" s="4" t="inlineStr">
        <is>
          <t>GODFRYPHLP</t>
        </is>
      </c>
      <c r="C71" s="3" t="inlineStr">
        <is>
          <t>Q2 2026-27</t>
        </is>
      </c>
      <c r="D71" s="3" t="inlineStr">
        <is>
          <t>FUTURE LONG</t>
        </is>
      </c>
      <c r="E71" s="3" t="inlineStr">
        <is>
          <t>T-8 to T+1</t>
        </is>
      </c>
      <c r="F71" s="3" t="inlineStr">
        <is>
          <t>2025-02-03</t>
        </is>
      </c>
      <c r="G71" s="3" t="inlineStr">
        <is>
          <t>2025-02-14</t>
        </is>
      </c>
      <c r="H71" s="3" t="inlineStr">
        <is>
          <t>2025-02-13</t>
        </is>
      </c>
      <c r="I71" s="5" t="n">
        <v>627</v>
      </c>
      <c r="J71" s="6" t="n">
        <v>1592.610107421875</v>
      </c>
      <c r="K71" s="6" t="n">
        <v>1977.905151367188</v>
      </c>
      <c r="L71" s="7">
        <f>I71*J71</f>
        <v/>
      </c>
      <c r="M71" s="7">
        <f>I71*K71</f>
        <v/>
      </c>
      <c r="N71" s="7">
        <f>L71+M71</f>
        <v/>
      </c>
      <c r="O71" s="7">
        <f>ROUND(N71*0.0005, 2)</f>
        <v/>
      </c>
      <c r="P71" s="7">
        <f>M71-L71</f>
        <v/>
      </c>
      <c r="Q71" s="7">
        <f>P71-O71</f>
        <v/>
      </c>
      <c r="R71" s="8">
        <f>ROUND((Q71/L71)*100, 2)</f>
        <v/>
      </c>
      <c r="S71" s="7">
        <f>ROUND(0.20*L71, 2)</f>
        <v/>
      </c>
      <c r="T71" s="8">
        <f>ROUND((Q71/S71)*100, 2)</f>
        <v/>
      </c>
      <c r="U71" s="7">
        <f>U70+Q71</f>
        <v/>
      </c>
      <c r="V71" s="7">
        <f>MAX(V70, U71)</f>
        <v/>
      </c>
      <c r="W71" s="7">
        <f>U71-V71</f>
        <v/>
      </c>
    </row>
    <row r="72">
      <c r="A72" s="3" t="n">
        <v>69</v>
      </c>
      <c r="B72" s="4" t="inlineStr">
        <is>
          <t>GODREJCP</t>
        </is>
      </c>
      <c r="C72" s="3" t="inlineStr">
        <is>
          <t>Q2 2026-27</t>
        </is>
      </c>
      <c r="D72" s="3" t="inlineStr">
        <is>
          <t>FUTURE LONG</t>
        </is>
      </c>
      <c r="E72" s="3" t="inlineStr">
        <is>
          <t>T-8 to T+1</t>
        </is>
      </c>
      <c r="F72" s="3" t="inlineStr">
        <is>
          <t>2025-01-14</t>
        </is>
      </c>
      <c r="G72" s="3" t="inlineStr">
        <is>
          <t>2025-01-27</t>
        </is>
      </c>
      <c r="H72" s="3" t="inlineStr">
        <is>
          <t>2025-01-24</t>
        </is>
      </c>
      <c r="I72" s="5" t="n">
        <v>899</v>
      </c>
      <c r="J72" s="6" t="n">
        <v>1111.256713867188</v>
      </c>
      <c r="K72" s="6" t="n">
        <v>1097.809936523438</v>
      </c>
      <c r="L72" s="7">
        <f>I72*J72</f>
        <v/>
      </c>
      <c r="M72" s="7">
        <f>I72*K72</f>
        <v/>
      </c>
      <c r="N72" s="7">
        <f>L72+M72</f>
        <v/>
      </c>
      <c r="O72" s="7">
        <f>ROUND(N72*0.0005, 2)</f>
        <v/>
      </c>
      <c r="P72" s="7">
        <f>M72-L72</f>
        <v/>
      </c>
      <c r="Q72" s="7">
        <f>P72-O72</f>
        <v/>
      </c>
      <c r="R72" s="8">
        <f>ROUND((Q72/L72)*100, 2)</f>
        <v/>
      </c>
      <c r="S72" s="7">
        <f>ROUND(0.20*L72, 2)</f>
        <v/>
      </c>
      <c r="T72" s="8">
        <f>ROUND((Q72/S72)*100, 2)</f>
        <v/>
      </c>
      <c r="U72" s="7">
        <f>U71+Q72</f>
        <v/>
      </c>
      <c r="V72" s="7">
        <f>MAX(V71, U72)</f>
        <v/>
      </c>
      <c r="W72" s="7">
        <f>U72-V72</f>
        <v/>
      </c>
    </row>
    <row r="73">
      <c r="A73" s="3" t="n">
        <v>70</v>
      </c>
      <c r="B73" s="4" t="inlineStr">
        <is>
          <t>GODREJPROP</t>
        </is>
      </c>
      <c r="C73" s="3" t="inlineStr">
        <is>
          <t>Q2 2026-27</t>
        </is>
      </c>
      <c r="D73" s="3" t="inlineStr">
        <is>
          <t>FUTURE LONG</t>
        </is>
      </c>
      <c r="E73" s="3" t="inlineStr">
        <is>
          <t>T-8 to T+1</t>
        </is>
      </c>
      <c r="F73" s="3" t="inlineStr">
        <is>
          <t>2025-01-24</t>
        </is>
      </c>
      <c r="G73" s="3" t="inlineStr">
        <is>
          <t>2025-02-05</t>
        </is>
      </c>
      <c r="H73" s="3" t="inlineStr">
        <is>
          <t>2025-02-04</t>
        </is>
      </c>
      <c r="I73" s="5" t="n">
        <v>466</v>
      </c>
      <c r="J73" s="6" t="n">
        <v>2144.633544921875</v>
      </c>
      <c r="K73" s="6" t="n">
        <v>2290.279541015625</v>
      </c>
      <c r="L73" s="7">
        <f>I73*J73</f>
        <v/>
      </c>
      <c r="M73" s="7">
        <f>I73*K73</f>
        <v/>
      </c>
      <c r="N73" s="7">
        <f>L73+M73</f>
        <v/>
      </c>
      <c r="O73" s="7">
        <f>ROUND(N73*0.0005, 2)</f>
        <v/>
      </c>
      <c r="P73" s="7">
        <f>M73-L73</f>
        <v/>
      </c>
      <c r="Q73" s="7">
        <f>P73-O73</f>
        <v/>
      </c>
      <c r="R73" s="8">
        <f>ROUND((Q73/L73)*100, 2)</f>
        <v/>
      </c>
      <c r="S73" s="7">
        <f>ROUND(0.20*L73, 2)</f>
        <v/>
      </c>
      <c r="T73" s="8">
        <f>ROUND((Q73/S73)*100, 2)</f>
        <v/>
      </c>
      <c r="U73" s="7">
        <f>U72+Q73</f>
        <v/>
      </c>
      <c r="V73" s="7">
        <f>MAX(V72, U73)</f>
        <v/>
      </c>
      <c r="W73" s="7">
        <f>U73-V73</f>
        <v/>
      </c>
    </row>
    <row r="74">
      <c r="A74" s="3" t="n">
        <v>71</v>
      </c>
      <c r="B74" s="4" t="inlineStr">
        <is>
          <t>GRASIM</t>
        </is>
      </c>
      <c r="C74" s="3" t="inlineStr">
        <is>
          <t>Q2 2026-27</t>
        </is>
      </c>
      <c r="D74" s="3" t="inlineStr">
        <is>
          <t>FUTURE LONG</t>
        </is>
      </c>
      <c r="E74" s="3" t="inlineStr">
        <is>
          <t>T-8 to T+1</t>
        </is>
      </c>
      <c r="F74" s="3" t="inlineStr">
        <is>
          <t>2025-01-31</t>
        </is>
      </c>
      <c r="G74" s="3" t="inlineStr">
        <is>
          <t>2025-02-12</t>
        </is>
      </c>
      <c r="H74" s="3" t="inlineStr">
        <is>
          <t>2025-02-10</t>
        </is>
      </c>
      <c r="I74" s="5" t="n">
        <v>250</v>
      </c>
      <c r="J74" s="6" t="n">
        <v>2499.756591796875</v>
      </c>
      <c r="K74" s="6" t="n">
        <v>2475.94287109375</v>
      </c>
      <c r="L74" s="7">
        <f>I74*J74</f>
        <v/>
      </c>
      <c r="M74" s="7">
        <f>I74*K74</f>
        <v/>
      </c>
      <c r="N74" s="7">
        <f>L74+M74</f>
        <v/>
      </c>
      <c r="O74" s="7">
        <f>ROUND(N74*0.0005, 2)</f>
        <v/>
      </c>
      <c r="P74" s="7">
        <f>M74-L74</f>
        <v/>
      </c>
      <c r="Q74" s="7">
        <f>P74-O74</f>
        <v/>
      </c>
      <c r="R74" s="8">
        <f>ROUND((Q74/L74)*100, 2)</f>
        <v/>
      </c>
      <c r="S74" s="7">
        <f>ROUND(0.20*L74, 2)</f>
        <v/>
      </c>
      <c r="T74" s="8">
        <f>ROUND((Q74/S74)*100, 2)</f>
        <v/>
      </c>
      <c r="U74" s="7">
        <f>U73+Q74</f>
        <v/>
      </c>
      <c r="V74" s="7">
        <f>MAX(V73, U74)</f>
        <v/>
      </c>
      <c r="W74" s="7">
        <f>U74-V74</f>
        <v/>
      </c>
    </row>
    <row r="75">
      <c r="A75" s="3" t="n">
        <v>72</v>
      </c>
      <c r="B75" s="4" t="inlineStr">
        <is>
          <t>GVT&amp;D</t>
        </is>
      </c>
      <c r="C75" s="3" t="inlineStr">
        <is>
          <t>Q2 2026-27</t>
        </is>
      </c>
      <c r="D75" s="3" t="inlineStr">
        <is>
          <t>FUTURE LONG</t>
        </is>
      </c>
      <c r="E75" s="3" t="inlineStr">
        <is>
          <t>T-8 to T+1</t>
        </is>
      </c>
      <c r="F75" s="3" t="inlineStr">
        <is>
          <t>2025-01-27</t>
        </is>
      </c>
      <c r="G75" s="3" t="inlineStr">
        <is>
          <t>2025-02-06</t>
        </is>
      </c>
      <c r="H75" s="3" t="inlineStr">
        <is>
          <t>2025-02-05</t>
        </is>
      </c>
      <c r="I75" s="5" t="n">
        <v>598</v>
      </c>
      <c r="J75" s="6" t="n">
        <v>1672.13623046875</v>
      </c>
      <c r="K75" s="6" t="n">
        <v>1716.804443359375</v>
      </c>
      <c r="L75" s="7">
        <f>I75*J75</f>
        <v/>
      </c>
      <c r="M75" s="7">
        <f>I75*K75</f>
        <v/>
      </c>
      <c r="N75" s="7">
        <f>L75+M75</f>
        <v/>
      </c>
      <c r="O75" s="7">
        <f>ROUND(N75*0.0005, 2)</f>
        <v/>
      </c>
      <c r="P75" s="7">
        <f>M75-L75</f>
        <v/>
      </c>
      <c r="Q75" s="7">
        <f>P75-O75</f>
        <v/>
      </c>
      <c r="R75" s="8">
        <f>ROUND((Q75/L75)*100, 2)</f>
        <v/>
      </c>
      <c r="S75" s="7">
        <f>ROUND(0.20*L75, 2)</f>
        <v/>
      </c>
      <c r="T75" s="8">
        <f>ROUND((Q75/S75)*100, 2)</f>
        <v/>
      </c>
      <c r="U75" s="7">
        <f>U74+Q75</f>
        <v/>
      </c>
      <c r="V75" s="7">
        <f>MAX(V74, U75)</f>
        <v/>
      </c>
      <c r="W75" s="7">
        <f>U75-V75</f>
        <v/>
      </c>
    </row>
    <row r="76">
      <c r="A76" s="3" t="n">
        <v>73</v>
      </c>
      <c r="B76" s="4" t="inlineStr">
        <is>
          <t>HAL</t>
        </is>
      </c>
      <c r="C76" s="3" t="inlineStr">
        <is>
          <t>Q2 2026-27</t>
        </is>
      </c>
      <c r="D76" s="3" t="inlineStr">
        <is>
          <t>FUTURE LONG</t>
        </is>
      </c>
      <c r="E76" s="3" t="inlineStr">
        <is>
          <t>T-8 to T+1</t>
        </is>
      </c>
      <c r="F76" s="3" t="inlineStr">
        <is>
          <t>2025-02-01</t>
        </is>
      </c>
      <c r="G76" s="3" t="inlineStr">
        <is>
          <t>2025-02-13</t>
        </is>
      </c>
      <c r="H76" s="3" t="inlineStr">
        <is>
          <t>2025-02-12</t>
        </is>
      </c>
      <c r="I76" s="5" t="n">
        <v>269</v>
      </c>
      <c r="J76" s="6" t="n">
        <v>3704.438232421875</v>
      </c>
      <c r="K76" s="6" t="n">
        <v>3591.93017578125</v>
      </c>
      <c r="L76" s="7">
        <f>I76*J76</f>
        <v/>
      </c>
      <c r="M76" s="7">
        <f>I76*K76</f>
        <v/>
      </c>
      <c r="N76" s="7">
        <f>L76+M76</f>
        <v/>
      </c>
      <c r="O76" s="7">
        <f>ROUND(N76*0.0005, 2)</f>
        <v/>
      </c>
      <c r="P76" s="7">
        <f>M76-L76</f>
        <v/>
      </c>
      <c r="Q76" s="7">
        <f>P76-O76</f>
        <v/>
      </c>
      <c r="R76" s="8">
        <f>ROUND((Q76/L76)*100, 2)</f>
        <v/>
      </c>
      <c r="S76" s="7">
        <f>ROUND(0.20*L76, 2)</f>
        <v/>
      </c>
      <c r="T76" s="8">
        <f>ROUND((Q76/S76)*100, 2)</f>
        <v/>
      </c>
      <c r="U76" s="7">
        <f>U75+Q76</f>
        <v/>
      </c>
      <c r="V76" s="7">
        <f>MAX(V75, U76)</f>
        <v/>
      </c>
      <c r="W76" s="7">
        <f>U76-V76</f>
        <v/>
      </c>
    </row>
    <row r="77">
      <c r="A77" s="3" t="n">
        <v>74</v>
      </c>
      <c r="B77" s="4" t="inlineStr">
        <is>
          <t>HAVELLS</t>
        </is>
      </c>
      <c r="C77" s="3" t="inlineStr">
        <is>
          <t>Q2 2026-27</t>
        </is>
      </c>
      <c r="D77" s="3" t="inlineStr">
        <is>
          <t>FUTURE LONG</t>
        </is>
      </c>
      <c r="E77" s="3" t="inlineStr">
        <is>
          <t>T-8 to T+1</t>
        </is>
      </c>
      <c r="F77" s="3" t="inlineStr">
        <is>
          <t>2025-01-06</t>
        </is>
      </c>
      <c r="G77" s="3" t="inlineStr">
        <is>
          <t>2025-01-17</t>
        </is>
      </c>
      <c r="H77" s="3" t="inlineStr">
        <is>
          <t>2025-01-16</t>
        </is>
      </c>
      <c r="I77" s="5" t="n">
        <v>616</v>
      </c>
      <c r="J77" s="6" t="n">
        <v>1622.608276367188</v>
      </c>
      <c r="K77" s="6" t="n">
        <v>1551.687133789062</v>
      </c>
      <c r="L77" s="7">
        <f>I77*J77</f>
        <v/>
      </c>
      <c r="M77" s="7">
        <f>I77*K77</f>
        <v/>
      </c>
      <c r="N77" s="7">
        <f>L77+M77</f>
        <v/>
      </c>
      <c r="O77" s="7">
        <f>ROUND(N77*0.0005, 2)</f>
        <v/>
      </c>
      <c r="P77" s="7">
        <f>M77-L77</f>
        <v/>
      </c>
      <c r="Q77" s="7">
        <f>P77-O77</f>
        <v/>
      </c>
      <c r="R77" s="8">
        <f>ROUND((Q77/L77)*100, 2)</f>
        <v/>
      </c>
      <c r="S77" s="7">
        <f>ROUND(0.20*L77, 2)</f>
        <v/>
      </c>
      <c r="T77" s="8">
        <f>ROUND((Q77/S77)*100, 2)</f>
        <v/>
      </c>
      <c r="U77" s="7">
        <f>U76+Q77</f>
        <v/>
      </c>
      <c r="V77" s="7">
        <f>MAX(V76, U77)</f>
        <v/>
      </c>
      <c r="W77" s="7">
        <f>U77-V77</f>
        <v/>
      </c>
    </row>
    <row r="78">
      <c r="A78" s="3" t="n">
        <v>75</v>
      </c>
      <c r="B78" s="4" t="inlineStr">
        <is>
          <t>HCLTECH</t>
        </is>
      </c>
      <c r="C78" s="3" t="inlineStr">
        <is>
          <t>Q2 2026-27</t>
        </is>
      </c>
      <c r="D78" s="3" t="inlineStr">
        <is>
          <t>FUTURE LONG</t>
        </is>
      </c>
      <c r="E78" s="3" t="inlineStr">
        <is>
          <t>T-8 to T+1</t>
        </is>
      </c>
      <c r="F78" s="3" t="inlineStr">
        <is>
          <t>2025-01-03</t>
        </is>
      </c>
      <c r="G78" s="3" t="inlineStr">
        <is>
          <t>2025-01-16</t>
        </is>
      </c>
      <c r="H78" s="3" t="inlineStr">
        <is>
          <t>2025-01-14</t>
        </is>
      </c>
      <c r="I78" s="5" t="n">
        <v>350</v>
      </c>
      <c r="J78" s="6" t="n">
        <v>1826.876708984375</v>
      </c>
      <c r="K78" s="6" t="n">
        <v>1681.976684570312</v>
      </c>
      <c r="L78" s="7">
        <f>I78*J78</f>
        <v/>
      </c>
      <c r="M78" s="7">
        <f>I78*K78</f>
        <v/>
      </c>
      <c r="N78" s="7">
        <f>L78+M78</f>
        <v/>
      </c>
      <c r="O78" s="7">
        <f>ROUND(N78*0.0005, 2)</f>
        <v/>
      </c>
      <c r="P78" s="7">
        <f>M78-L78</f>
        <v/>
      </c>
      <c r="Q78" s="7">
        <f>P78-O78</f>
        <v/>
      </c>
      <c r="R78" s="8">
        <f>ROUND((Q78/L78)*100, 2)</f>
        <v/>
      </c>
      <c r="S78" s="7">
        <f>ROUND(0.20*L78, 2)</f>
        <v/>
      </c>
      <c r="T78" s="8">
        <f>ROUND((Q78/S78)*100, 2)</f>
        <v/>
      </c>
      <c r="U78" s="7">
        <f>U77+Q78</f>
        <v/>
      </c>
      <c r="V78" s="7">
        <f>MAX(V77, U78)</f>
        <v/>
      </c>
      <c r="W78" s="7">
        <f>U78-V78</f>
        <v/>
      </c>
    </row>
    <row r="79">
      <c r="A79" s="3" t="n">
        <v>76</v>
      </c>
      <c r="B79" s="4" t="inlineStr">
        <is>
          <t>HDFCAMC</t>
        </is>
      </c>
      <c r="C79" s="3" t="inlineStr">
        <is>
          <t>Q2 2026-27</t>
        </is>
      </c>
      <c r="D79" s="3" t="inlineStr">
        <is>
          <t>FUTURE LONG</t>
        </is>
      </c>
      <c r="E79" s="3" t="inlineStr">
        <is>
          <t>T-8 to T+1</t>
        </is>
      </c>
      <c r="F79" s="3" t="inlineStr">
        <is>
          <t>2025-01-02</t>
        </is>
      </c>
      <c r="G79" s="3" t="inlineStr">
        <is>
          <t>2025-01-15</t>
        </is>
      </c>
      <c r="H79" s="3" t="inlineStr">
        <is>
          <t>2025-01-14</t>
        </is>
      </c>
      <c r="I79" s="5" t="n">
        <v>486</v>
      </c>
      <c r="J79" s="6" t="n">
        <v>2056.555419921875</v>
      </c>
      <c r="K79" s="6" t="n">
        <v>1943.95263671875</v>
      </c>
      <c r="L79" s="7">
        <f>I79*J79</f>
        <v/>
      </c>
      <c r="M79" s="7">
        <f>I79*K79</f>
        <v/>
      </c>
      <c r="N79" s="7">
        <f>L79+M79</f>
        <v/>
      </c>
      <c r="O79" s="7">
        <f>ROUND(N79*0.0005, 2)</f>
        <v/>
      </c>
      <c r="P79" s="7">
        <f>M79-L79</f>
        <v/>
      </c>
      <c r="Q79" s="7">
        <f>P79-O79</f>
        <v/>
      </c>
      <c r="R79" s="8">
        <f>ROUND((Q79/L79)*100, 2)</f>
        <v/>
      </c>
      <c r="S79" s="7">
        <f>ROUND(0.20*L79, 2)</f>
        <v/>
      </c>
      <c r="T79" s="8">
        <f>ROUND((Q79/S79)*100, 2)</f>
        <v/>
      </c>
      <c r="U79" s="7">
        <f>U78+Q79</f>
        <v/>
      </c>
      <c r="V79" s="7">
        <f>MAX(V78, U79)</f>
        <v/>
      </c>
      <c r="W79" s="7">
        <f>U79-V79</f>
        <v/>
      </c>
    </row>
    <row r="80">
      <c r="A80" s="3" t="n">
        <v>77</v>
      </c>
      <c r="B80" s="4" t="inlineStr">
        <is>
          <t>HDFCBANK</t>
        </is>
      </c>
      <c r="C80" s="3" t="inlineStr">
        <is>
          <t>Q2 2026-27</t>
        </is>
      </c>
      <c r="D80" s="3" t="inlineStr">
        <is>
          <t>FUTURE LONG</t>
        </is>
      </c>
      <c r="E80" s="3" t="inlineStr">
        <is>
          <t>T-8 to T+1</t>
        </is>
      </c>
      <c r="F80" s="3" t="inlineStr">
        <is>
          <t>2025-01-14</t>
        </is>
      </c>
      <c r="G80" s="3" t="inlineStr">
        <is>
          <t>2025-01-27</t>
        </is>
      </c>
      <c r="H80" s="3" t="inlineStr">
        <is>
          <t>2025-01-23</t>
        </is>
      </c>
      <c r="I80" s="5" t="n">
        <v>550</v>
      </c>
      <c r="J80" s="6" t="n">
        <v>799.1031494140625</v>
      </c>
      <c r="K80" s="6" t="n">
        <v>790.9500732421875</v>
      </c>
      <c r="L80" s="7">
        <f>I80*J80</f>
        <v/>
      </c>
      <c r="M80" s="7">
        <f>I80*K80</f>
        <v/>
      </c>
      <c r="N80" s="7">
        <f>L80+M80</f>
        <v/>
      </c>
      <c r="O80" s="7">
        <f>ROUND(N80*0.0005, 2)</f>
        <v/>
      </c>
      <c r="P80" s="7">
        <f>M80-L80</f>
        <v/>
      </c>
      <c r="Q80" s="7">
        <f>P80-O80</f>
        <v/>
      </c>
      <c r="R80" s="8">
        <f>ROUND((Q80/L80)*100, 2)</f>
        <v/>
      </c>
      <c r="S80" s="7">
        <f>ROUND(0.20*L80, 2)</f>
        <v/>
      </c>
      <c r="T80" s="8">
        <f>ROUND((Q80/S80)*100, 2)</f>
        <v/>
      </c>
      <c r="U80" s="7">
        <f>U79+Q80</f>
        <v/>
      </c>
      <c r="V80" s="7">
        <f>MAX(V79, U80)</f>
        <v/>
      </c>
      <c r="W80" s="7">
        <f>U80-V80</f>
        <v/>
      </c>
    </row>
    <row r="81">
      <c r="A81" s="3" t="n">
        <v>78</v>
      </c>
      <c r="B81" s="4" t="inlineStr">
        <is>
          <t>HDFCLIFE</t>
        </is>
      </c>
      <c r="C81" s="3" t="inlineStr">
        <is>
          <t>Q2 2026-27</t>
        </is>
      </c>
      <c r="D81" s="3" t="inlineStr">
        <is>
          <t>FUTURE LONG</t>
        </is>
      </c>
      <c r="E81" s="3" t="inlineStr">
        <is>
          <t>T-8 to T+1</t>
        </is>
      </c>
      <c r="F81" s="3" t="inlineStr">
        <is>
          <t>2025-01-03</t>
        </is>
      </c>
      <c r="G81" s="3" t="inlineStr">
        <is>
          <t>2025-01-16</t>
        </is>
      </c>
      <c r="H81" s="3" t="inlineStr">
        <is>
          <t>2025-01-15</t>
        </is>
      </c>
      <c r="I81" s="5" t="n">
        <v>1100</v>
      </c>
      <c r="J81" s="6" t="n">
        <v>619.0762329101562</v>
      </c>
      <c r="K81" s="6" t="n">
        <v>637.3603515625</v>
      </c>
      <c r="L81" s="7">
        <f>I81*J81</f>
        <v/>
      </c>
      <c r="M81" s="7">
        <f>I81*K81</f>
        <v/>
      </c>
      <c r="N81" s="7">
        <f>L81+M81</f>
        <v/>
      </c>
      <c r="O81" s="7">
        <f>ROUND(N81*0.0005, 2)</f>
        <v/>
      </c>
      <c r="P81" s="7">
        <f>M81-L81</f>
        <v/>
      </c>
      <c r="Q81" s="7">
        <f>P81-O81</f>
        <v/>
      </c>
      <c r="R81" s="8">
        <f>ROUND((Q81/L81)*100, 2)</f>
        <v/>
      </c>
      <c r="S81" s="7">
        <f>ROUND(0.20*L81, 2)</f>
        <v/>
      </c>
      <c r="T81" s="8">
        <f>ROUND((Q81/S81)*100, 2)</f>
        <v/>
      </c>
      <c r="U81" s="7">
        <f>U80+Q81</f>
        <v/>
      </c>
      <c r="V81" s="7">
        <f>MAX(V80, U81)</f>
        <v/>
      </c>
      <c r="W81" s="7">
        <f>U81-V81</f>
        <v/>
      </c>
    </row>
    <row r="82">
      <c r="A82" s="3" t="n">
        <v>79</v>
      </c>
      <c r="B82" s="4" t="inlineStr">
        <is>
          <t>HEROMOTOCO</t>
        </is>
      </c>
      <c r="C82" s="3" t="inlineStr">
        <is>
          <t>Q2 2026-27</t>
        </is>
      </c>
      <c r="D82" s="3" t="inlineStr">
        <is>
          <t>FUTURE LONG</t>
        </is>
      </c>
      <c r="E82" s="3" t="inlineStr">
        <is>
          <t>T-8 to T+1</t>
        </is>
      </c>
      <c r="F82" s="3" t="inlineStr">
        <is>
          <t>2025-01-29</t>
        </is>
      </c>
      <c r="G82" s="3" t="inlineStr">
        <is>
          <t>2025-02-10</t>
        </is>
      </c>
      <c r="H82" s="3" t="inlineStr">
        <is>
          <t>2025-02-06</t>
        </is>
      </c>
      <c r="I82" s="5" t="n">
        <v>150</v>
      </c>
      <c r="J82" s="6" t="n">
        <v>3838.7705078125</v>
      </c>
      <c r="K82" s="6" t="n">
        <v>3955.655517578125</v>
      </c>
      <c r="L82" s="7">
        <f>I82*J82</f>
        <v/>
      </c>
      <c r="M82" s="7">
        <f>I82*K82</f>
        <v/>
      </c>
      <c r="N82" s="7">
        <f>L82+M82</f>
        <v/>
      </c>
      <c r="O82" s="7">
        <f>ROUND(N82*0.0005, 2)</f>
        <v/>
      </c>
      <c r="P82" s="7">
        <f>M82-L82</f>
        <v/>
      </c>
      <c r="Q82" s="7">
        <f>P82-O82</f>
        <v/>
      </c>
      <c r="R82" s="8">
        <f>ROUND((Q82/L82)*100, 2)</f>
        <v/>
      </c>
      <c r="S82" s="7">
        <f>ROUND(0.20*L82, 2)</f>
        <v/>
      </c>
      <c r="T82" s="8">
        <f>ROUND((Q82/S82)*100, 2)</f>
        <v/>
      </c>
      <c r="U82" s="7">
        <f>U81+Q82</f>
        <v/>
      </c>
      <c r="V82" s="7">
        <f>MAX(V81, U82)</f>
        <v/>
      </c>
      <c r="W82" s="7">
        <f>U82-V82</f>
        <v/>
      </c>
    </row>
    <row r="83">
      <c r="A83" s="3" t="n">
        <v>80</v>
      </c>
      <c r="B83" s="4" t="inlineStr">
        <is>
          <t>HINDALCO</t>
        </is>
      </c>
      <c r="C83" s="3" t="inlineStr">
        <is>
          <t>Q2 2026-27</t>
        </is>
      </c>
      <c r="D83" s="3" t="inlineStr">
        <is>
          <t>FUTURE LONG</t>
        </is>
      </c>
      <c r="E83" s="3" t="inlineStr">
        <is>
          <t>T-8 to T+1</t>
        </is>
      </c>
      <c r="F83" s="3" t="inlineStr">
        <is>
          <t>2025-02-04</t>
        </is>
      </c>
      <c r="G83" s="3" t="inlineStr">
        <is>
          <t>2025-02-17</t>
        </is>
      </c>
      <c r="H83" s="3" t="inlineStr">
        <is>
          <t>2025-02-13</t>
        </is>
      </c>
      <c r="I83" s="5" t="n">
        <v>1400</v>
      </c>
      <c r="J83" s="6" t="n">
        <v>576.6903686523438</v>
      </c>
      <c r="K83" s="6" t="n">
        <v>603.255859375</v>
      </c>
      <c r="L83" s="7">
        <f>I83*J83</f>
        <v/>
      </c>
      <c r="M83" s="7">
        <f>I83*K83</f>
        <v/>
      </c>
      <c r="N83" s="7">
        <f>L83+M83</f>
        <v/>
      </c>
      <c r="O83" s="7">
        <f>ROUND(N83*0.0005, 2)</f>
        <v/>
      </c>
      <c r="P83" s="7">
        <f>M83-L83</f>
        <v/>
      </c>
      <c r="Q83" s="7">
        <f>P83-O83</f>
        <v/>
      </c>
      <c r="R83" s="8">
        <f>ROUND((Q83/L83)*100, 2)</f>
        <v/>
      </c>
      <c r="S83" s="7">
        <f>ROUND(0.20*L83, 2)</f>
        <v/>
      </c>
      <c r="T83" s="8">
        <f>ROUND((Q83/S83)*100, 2)</f>
        <v/>
      </c>
      <c r="U83" s="7">
        <f>U82+Q83</f>
        <v/>
      </c>
      <c r="V83" s="7">
        <f>MAX(V82, U83)</f>
        <v/>
      </c>
      <c r="W83" s="7">
        <f>U83-V83</f>
        <v/>
      </c>
    </row>
    <row r="84">
      <c r="A84" s="3" t="n">
        <v>81</v>
      </c>
      <c r="B84" s="4" t="inlineStr">
        <is>
          <t>HINDPETRO</t>
        </is>
      </c>
      <c r="C84" s="3" t="inlineStr">
        <is>
          <t>Q2 2026-27</t>
        </is>
      </c>
      <c r="D84" s="3" t="inlineStr">
        <is>
          <t>FUTURE LONG</t>
        </is>
      </c>
      <c r="E84" s="3" t="inlineStr">
        <is>
          <t>T-8 to T+1</t>
        </is>
      </c>
      <c r="F84" s="3" t="inlineStr">
        <is>
          <t>2025-01-13</t>
        </is>
      </c>
      <c r="G84" s="3" t="inlineStr">
        <is>
          <t>2025-01-24</t>
        </is>
      </c>
      <c r="H84" s="3" t="inlineStr">
        <is>
          <t>2025-01-23</t>
        </is>
      </c>
      <c r="I84" s="5" t="n">
        <v>2845</v>
      </c>
      <c r="J84" s="6" t="n">
        <v>351.430908203125</v>
      </c>
      <c r="K84" s="6" t="n">
        <v>340.2919921875</v>
      </c>
      <c r="L84" s="7">
        <f>I84*J84</f>
        <v/>
      </c>
      <c r="M84" s="7">
        <f>I84*K84</f>
        <v/>
      </c>
      <c r="N84" s="7">
        <f>L84+M84</f>
        <v/>
      </c>
      <c r="O84" s="7">
        <f>ROUND(N84*0.0005, 2)</f>
        <v/>
      </c>
      <c r="P84" s="7">
        <f>M84-L84</f>
        <v/>
      </c>
      <c r="Q84" s="7">
        <f>P84-O84</f>
        <v/>
      </c>
      <c r="R84" s="8">
        <f>ROUND((Q84/L84)*100, 2)</f>
        <v/>
      </c>
      <c r="S84" s="7">
        <f>ROUND(0.20*L84, 2)</f>
        <v/>
      </c>
      <c r="T84" s="8">
        <f>ROUND((Q84/S84)*100, 2)</f>
        <v/>
      </c>
      <c r="U84" s="7">
        <f>U83+Q84</f>
        <v/>
      </c>
      <c r="V84" s="7">
        <f>MAX(V83, U84)</f>
        <v/>
      </c>
      <c r="W84" s="7">
        <f>U84-V84</f>
        <v/>
      </c>
    </row>
    <row r="85">
      <c r="A85" s="3" t="n">
        <v>82</v>
      </c>
      <c r="B85" s="4" t="inlineStr">
        <is>
          <t>HINDUNILVR</t>
        </is>
      </c>
      <c r="C85" s="3" t="inlineStr">
        <is>
          <t>Q2 2026-27</t>
        </is>
      </c>
      <c r="D85" s="3" t="inlineStr">
        <is>
          <t>FUTURE LONG</t>
        </is>
      </c>
      <c r="E85" s="3" t="inlineStr">
        <is>
          <t>T-8 to T+1</t>
        </is>
      </c>
      <c r="F85" s="3" t="inlineStr">
        <is>
          <t>2025-01-13</t>
        </is>
      </c>
      <c r="G85" s="3" t="inlineStr">
        <is>
          <t>2025-01-24</t>
        </is>
      </c>
      <c r="H85" s="3" t="inlineStr">
        <is>
          <t>2025-01-22</t>
        </is>
      </c>
      <c r="I85" s="5" t="n">
        <v>300</v>
      </c>
      <c r="J85" s="6" t="n">
        <v>2382.343017578125</v>
      </c>
      <c r="K85" s="6" t="n">
        <v>2301.764892578125</v>
      </c>
      <c r="L85" s="7">
        <f>I85*J85</f>
        <v/>
      </c>
      <c r="M85" s="7">
        <f>I85*K85</f>
        <v/>
      </c>
      <c r="N85" s="7">
        <f>L85+M85</f>
        <v/>
      </c>
      <c r="O85" s="7">
        <f>ROUND(N85*0.0005, 2)</f>
        <v/>
      </c>
      <c r="P85" s="7">
        <f>M85-L85</f>
        <v/>
      </c>
      <c r="Q85" s="7">
        <f>P85-O85</f>
        <v/>
      </c>
      <c r="R85" s="8">
        <f>ROUND((Q85/L85)*100, 2)</f>
        <v/>
      </c>
      <c r="S85" s="7">
        <f>ROUND(0.20*L85, 2)</f>
        <v/>
      </c>
      <c r="T85" s="8">
        <f>ROUND((Q85/S85)*100, 2)</f>
        <v/>
      </c>
      <c r="U85" s="7">
        <f>U84+Q85</f>
        <v/>
      </c>
      <c r="V85" s="7">
        <f>MAX(V84, U85)</f>
        <v/>
      </c>
      <c r="W85" s="7">
        <f>U85-V85</f>
        <v/>
      </c>
    </row>
    <row r="86">
      <c r="A86" s="3" t="n">
        <v>83</v>
      </c>
      <c r="B86" s="4" t="inlineStr">
        <is>
          <t>HINDZINC</t>
        </is>
      </c>
      <c r="C86" s="3" t="inlineStr">
        <is>
          <t>Q2 2026-27</t>
        </is>
      </c>
      <c r="D86" s="3" t="inlineStr">
        <is>
          <t>FUTURE LONG</t>
        </is>
      </c>
      <c r="E86" s="3" t="inlineStr">
        <is>
          <t>T-8 to T+1</t>
        </is>
      </c>
      <c r="F86" s="3" t="inlineStr">
        <is>
          <t>2025-01-16</t>
        </is>
      </c>
      <c r="G86" s="3" t="inlineStr">
        <is>
          <t>2025-01-29</t>
        </is>
      </c>
      <c r="H86" s="3" t="inlineStr">
        <is>
          <t>2025-01-28</t>
        </is>
      </c>
      <c r="I86" s="5" t="n">
        <v>2280</v>
      </c>
      <c r="J86" s="6" t="n">
        <v>438.5099487304688</v>
      </c>
      <c r="K86" s="6" t="n">
        <v>422.044189453125</v>
      </c>
      <c r="L86" s="7">
        <f>I86*J86</f>
        <v/>
      </c>
      <c r="M86" s="7">
        <f>I86*K86</f>
        <v/>
      </c>
      <c r="N86" s="7">
        <f>L86+M86</f>
        <v/>
      </c>
      <c r="O86" s="7">
        <f>ROUND(N86*0.0005, 2)</f>
        <v/>
      </c>
      <c r="P86" s="7">
        <f>M86-L86</f>
        <v/>
      </c>
      <c r="Q86" s="7">
        <f>P86-O86</f>
        <v/>
      </c>
      <c r="R86" s="8">
        <f>ROUND((Q86/L86)*100, 2)</f>
        <v/>
      </c>
      <c r="S86" s="7">
        <f>ROUND(0.20*L86, 2)</f>
        <v/>
      </c>
      <c r="T86" s="8">
        <f>ROUND((Q86/S86)*100, 2)</f>
        <v/>
      </c>
      <c r="U86" s="7">
        <f>U85+Q86</f>
        <v/>
      </c>
      <c r="V86" s="7">
        <f>MAX(V85, U86)</f>
        <v/>
      </c>
      <c r="W86" s="7">
        <f>U86-V86</f>
        <v/>
      </c>
    </row>
    <row r="87">
      <c r="A87" s="3" t="n">
        <v>84</v>
      </c>
      <c r="B87" s="4" t="inlineStr">
        <is>
          <t>HYUNDAI</t>
        </is>
      </c>
      <c r="C87" s="3" t="inlineStr">
        <is>
          <t>Q2 2026-27</t>
        </is>
      </c>
      <c r="D87" s="3" t="inlineStr">
        <is>
          <t>FUTURE LONG</t>
        </is>
      </c>
      <c r="E87" s="3" t="inlineStr">
        <is>
          <t>T-8 to T+1</t>
        </is>
      </c>
      <c r="F87" s="3" t="inlineStr">
        <is>
          <t>2025-01-16</t>
        </is>
      </c>
      <c r="G87" s="3" t="inlineStr">
        <is>
          <t>2025-01-29</t>
        </is>
      </c>
      <c r="H87" s="3" t="inlineStr">
        <is>
          <t>2025-01-28</t>
        </is>
      </c>
      <c r="I87" s="5" t="n">
        <v>555</v>
      </c>
      <c r="J87" s="6" t="n">
        <v>1799.66943359375</v>
      </c>
      <c r="K87" s="6" t="n">
        <v>1633.677124023438</v>
      </c>
      <c r="L87" s="7">
        <f>I87*J87</f>
        <v/>
      </c>
      <c r="M87" s="7">
        <f>I87*K87</f>
        <v/>
      </c>
      <c r="N87" s="7">
        <f>L87+M87</f>
        <v/>
      </c>
      <c r="O87" s="7">
        <f>ROUND(N87*0.0005, 2)</f>
        <v/>
      </c>
      <c r="P87" s="7">
        <f>M87-L87</f>
        <v/>
      </c>
      <c r="Q87" s="7">
        <f>P87-O87</f>
        <v/>
      </c>
      <c r="R87" s="8">
        <f>ROUND((Q87/L87)*100, 2)</f>
        <v/>
      </c>
      <c r="S87" s="7">
        <f>ROUND(0.20*L87, 2)</f>
        <v/>
      </c>
      <c r="T87" s="8">
        <f>ROUND((Q87/S87)*100, 2)</f>
        <v/>
      </c>
      <c r="U87" s="7">
        <f>U86+Q87</f>
        <v/>
      </c>
      <c r="V87" s="7">
        <f>MAX(V86, U87)</f>
        <v/>
      </c>
      <c r="W87" s="7">
        <f>U87-V87</f>
        <v/>
      </c>
    </row>
    <row r="88">
      <c r="A88" s="3" t="n">
        <v>85</v>
      </c>
      <c r="B88" s="4" t="inlineStr">
        <is>
          <t>ICICIBANK</t>
        </is>
      </c>
      <c r="C88" s="3" t="inlineStr">
        <is>
          <t>Q2 2026-27</t>
        </is>
      </c>
      <c r="D88" s="3" t="inlineStr">
        <is>
          <t>FUTURE LONG</t>
        </is>
      </c>
      <c r="E88" s="3" t="inlineStr">
        <is>
          <t>T-8 to T+1</t>
        </is>
      </c>
      <c r="F88" s="3" t="inlineStr">
        <is>
          <t>2025-01-15</t>
        </is>
      </c>
      <c r="G88" s="3" t="inlineStr">
        <is>
          <t>2025-01-28</t>
        </is>
      </c>
      <c r="H88" s="3" t="inlineStr">
        <is>
          <t>2025-01-25</t>
        </is>
      </c>
      <c r="I88" s="5" t="n">
        <v>700</v>
      </c>
      <c r="J88" s="6" t="n">
        <v>1228.768676757812</v>
      </c>
      <c r="K88" s="6" t="n">
        <v>1237.3525390625</v>
      </c>
      <c r="L88" s="7">
        <f>I88*J88</f>
        <v/>
      </c>
      <c r="M88" s="7">
        <f>I88*K88</f>
        <v/>
      </c>
      <c r="N88" s="7">
        <f>L88+M88</f>
        <v/>
      </c>
      <c r="O88" s="7">
        <f>ROUND(N88*0.0005, 2)</f>
        <v/>
      </c>
      <c r="P88" s="7">
        <f>M88-L88</f>
        <v/>
      </c>
      <c r="Q88" s="7">
        <f>P88-O88</f>
        <v/>
      </c>
      <c r="R88" s="8">
        <f>ROUND((Q88/L88)*100, 2)</f>
        <v/>
      </c>
      <c r="S88" s="7">
        <f>ROUND(0.20*L88, 2)</f>
        <v/>
      </c>
      <c r="T88" s="8">
        <f>ROUND((Q88/S88)*100, 2)</f>
        <v/>
      </c>
      <c r="U88" s="7">
        <f>U87+Q88</f>
        <v/>
      </c>
      <c r="V88" s="7">
        <f>MAX(V87, U88)</f>
        <v/>
      </c>
      <c r="W88" s="7">
        <f>U88-V88</f>
        <v/>
      </c>
    </row>
    <row r="89">
      <c r="A89" s="3" t="n">
        <v>86</v>
      </c>
      <c r="B89" s="4" t="inlineStr">
        <is>
          <t>ICICIGI</t>
        </is>
      </c>
      <c r="C89" s="3" t="inlineStr">
        <is>
          <t>Q2 2026-27</t>
        </is>
      </c>
      <c r="D89" s="3" t="inlineStr">
        <is>
          <t>FUTURE LONG</t>
        </is>
      </c>
      <c r="E89" s="3" t="inlineStr">
        <is>
          <t>T-8 to T+1</t>
        </is>
      </c>
      <c r="F89" s="3" t="inlineStr">
        <is>
          <t>2026-07-06</t>
        </is>
      </c>
      <c r="G89" s="3" t="inlineStr">
        <is>
          <t>2026-07-17</t>
        </is>
      </c>
      <c r="H89" s="3" t="inlineStr">
        <is>
          <t>2026-07-15</t>
        </is>
      </c>
      <c r="I89" s="5" t="n">
        <v>560</v>
      </c>
      <c r="J89" s="6" t="n">
        <v>1784</v>
      </c>
      <c r="K89" s="6" t="n">
        <v>1610</v>
      </c>
      <c r="L89" s="7">
        <f>I89*J89</f>
        <v/>
      </c>
      <c r="M89" s="7">
        <f>I89*K89</f>
        <v/>
      </c>
      <c r="N89" s="7">
        <f>L89+M89</f>
        <v/>
      </c>
      <c r="O89" s="7">
        <f>ROUND(N89*0.0005, 2)</f>
        <v/>
      </c>
      <c r="P89" s="7">
        <f>M89-L89</f>
        <v/>
      </c>
      <c r="Q89" s="7">
        <f>P89-O89</f>
        <v/>
      </c>
      <c r="R89" s="8">
        <f>ROUND((Q89/L89)*100, 2)</f>
        <v/>
      </c>
      <c r="S89" s="7">
        <f>ROUND(0.20*L89, 2)</f>
        <v/>
      </c>
      <c r="T89" s="8">
        <f>ROUND((Q89/S89)*100, 2)</f>
        <v/>
      </c>
      <c r="U89" s="7">
        <f>U88+Q89</f>
        <v/>
      </c>
      <c r="V89" s="7">
        <f>MAX(V88, U89)</f>
        <v/>
      </c>
      <c r="W89" s="7">
        <f>U89-V89</f>
        <v/>
      </c>
    </row>
    <row r="90">
      <c r="A90" s="3" t="n">
        <v>87</v>
      </c>
      <c r="B90" s="4" t="inlineStr">
        <is>
          <t>ICICIPRULI</t>
        </is>
      </c>
      <c r="C90" s="3" t="inlineStr">
        <is>
          <t>Q2 2026-27</t>
        </is>
      </c>
      <c r="D90" s="3" t="inlineStr">
        <is>
          <t>FUTURE LONG</t>
        </is>
      </c>
      <c r="E90" s="3" t="inlineStr">
        <is>
          <t>T-8 to T+1</t>
        </is>
      </c>
      <c r="F90" s="3" t="inlineStr">
        <is>
          <t>2026-07-06</t>
        </is>
      </c>
      <c r="G90" s="3" t="inlineStr">
        <is>
          <t>2026-07-17</t>
        </is>
      </c>
      <c r="H90" s="3" t="inlineStr">
        <is>
          <t>2026-07-15</t>
        </is>
      </c>
      <c r="I90" s="5" t="n">
        <v>2061</v>
      </c>
      <c r="J90" s="6" t="n">
        <v>485.1000061035156</v>
      </c>
      <c r="K90" s="6" t="n">
        <v>497.1499938964844</v>
      </c>
      <c r="L90" s="7">
        <f>I90*J90</f>
        <v/>
      </c>
      <c r="M90" s="7">
        <f>I90*K90</f>
        <v/>
      </c>
      <c r="N90" s="7">
        <f>L90+M90</f>
        <v/>
      </c>
      <c r="O90" s="7">
        <f>ROUND(N90*0.0005, 2)</f>
        <v/>
      </c>
      <c r="P90" s="7">
        <f>M90-L90</f>
        <v/>
      </c>
      <c r="Q90" s="7">
        <f>P90-O90</f>
        <v/>
      </c>
      <c r="R90" s="8">
        <f>ROUND((Q90/L90)*100, 2)</f>
        <v/>
      </c>
      <c r="S90" s="7">
        <f>ROUND(0.20*L90, 2)</f>
        <v/>
      </c>
      <c r="T90" s="8">
        <f>ROUND((Q90/S90)*100, 2)</f>
        <v/>
      </c>
      <c r="U90" s="7">
        <f>U89+Q90</f>
        <v/>
      </c>
      <c r="V90" s="7">
        <f>MAX(V89, U90)</f>
        <v/>
      </c>
      <c r="W90" s="7">
        <f>U90-V90</f>
        <v/>
      </c>
    </row>
    <row r="91">
      <c r="A91" s="3" t="n">
        <v>88</v>
      </c>
      <c r="B91" s="4" t="inlineStr">
        <is>
          <t>IDEA</t>
        </is>
      </c>
      <c r="C91" s="3" t="inlineStr">
        <is>
          <t>Q2 2026-27</t>
        </is>
      </c>
      <c r="D91" s="3" t="inlineStr">
        <is>
          <t>FUTURE LONG</t>
        </is>
      </c>
      <c r="E91" s="3" t="inlineStr">
        <is>
          <t>T-8 to T+1</t>
        </is>
      </c>
      <c r="F91" s="3" t="inlineStr">
        <is>
          <t>2025-01-31</t>
        </is>
      </c>
      <c r="G91" s="3" t="inlineStr">
        <is>
          <t>2025-02-12</t>
        </is>
      </c>
      <c r="H91" s="3" t="inlineStr">
        <is>
          <t>2025-02-11</t>
        </is>
      </c>
      <c r="I91" s="5" t="n">
        <v>110497</v>
      </c>
      <c r="J91" s="6" t="n">
        <v>9.050000190734863</v>
      </c>
      <c r="K91" s="6" t="n">
        <v>8.390000343322754</v>
      </c>
      <c r="L91" s="7">
        <f>I91*J91</f>
        <v/>
      </c>
      <c r="M91" s="7">
        <f>I91*K91</f>
        <v/>
      </c>
      <c r="N91" s="7">
        <f>L91+M91</f>
        <v/>
      </c>
      <c r="O91" s="7">
        <f>ROUND(N91*0.0005, 2)</f>
        <v/>
      </c>
      <c r="P91" s="7">
        <f>M91-L91</f>
        <v/>
      </c>
      <c r="Q91" s="7">
        <f>P91-O91</f>
        <v/>
      </c>
      <c r="R91" s="8">
        <f>ROUND((Q91/L91)*100, 2)</f>
        <v/>
      </c>
      <c r="S91" s="7">
        <f>ROUND(0.20*L91, 2)</f>
        <v/>
      </c>
      <c r="T91" s="8">
        <f>ROUND((Q91/S91)*100, 2)</f>
        <v/>
      </c>
      <c r="U91" s="7">
        <f>U90+Q91</f>
        <v/>
      </c>
      <c r="V91" s="7">
        <f>MAX(V90, U91)</f>
        <v/>
      </c>
      <c r="W91" s="7">
        <f>U91-V91</f>
        <v/>
      </c>
    </row>
    <row r="92">
      <c r="A92" s="3" t="n">
        <v>89</v>
      </c>
      <c r="B92" s="4" t="inlineStr">
        <is>
          <t>IDFCFIRSTB</t>
        </is>
      </c>
      <c r="C92" s="3" t="inlineStr">
        <is>
          <t>Q2 2026-27</t>
        </is>
      </c>
      <c r="D92" s="3" t="inlineStr">
        <is>
          <t>FUTURE LONG</t>
        </is>
      </c>
      <c r="E92" s="3" t="inlineStr">
        <is>
          <t>T-8 to T+1</t>
        </is>
      </c>
      <c r="F92" s="3" t="inlineStr">
        <is>
          <t>2025-01-14</t>
        </is>
      </c>
      <c r="G92" s="3" t="inlineStr">
        <is>
          <t>2025-01-27</t>
        </is>
      </c>
      <c r="H92" s="3" t="inlineStr">
        <is>
          <t>2025-01-25</t>
        </is>
      </c>
      <c r="I92" s="5" t="n">
        <v>16197</v>
      </c>
      <c r="J92" s="6" t="n">
        <v>61.7379264831543</v>
      </c>
      <c r="K92" s="6" t="n">
        <v>56.544921875</v>
      </c>
      <c r="L92" s="7">
        <f>I92*J92</f>
        <v/>
      </c>
      <c r="M92" s="7">
        <f>I92*K92</f>
        <v/>
      </c>
      <c r="N92" s="7">
        <f>L92+M92</f>
        <v/>
      </c>
      <c r="O92" s="7">
        <f>ROUND(N92*0.0005, 2)</f>
        <v/>
      </c>
      <c r="P92" s="7">
        <f>M92-L92</f>
        <v/>
      </c>
      <c r="Q92" s="7">
        <f>P92-O92</f>
        <v/>
      </c>
      <c r="R92" s="8">
        <f>ROUND((Q92/L92)*100, 2)</f>
        <v/>
      </c>
      <c r="S92" s="7">
        <f>ROUND(0.20*L92, 2)</f>
        <v/>
      </c>
      <c r="T92" s="8">
        <f>ROUND((Q92/S92)*100, 2)</f>
        <v/>
      </c>
      <c r="U92" s="7">
        <f>U91+Q92</f>
        <v/>
      </c>
      <c r="V92" s="7">
        <f>MAX(V91, U92)</f>
        <v/>
      </c>
      <c r="W92" s="7">
        <f>U92-V92</f>
        <v/>
      </c>
    </row>
    <row r="93">
      <c r="A93" s="3" t="n">
        <v>90</v>
      </c>
      <c r="B93" s="4" t="inlineStr">
        <is>
          <t>IEX</t>
        </is>
      </c>
      <c r="C93" s="3" t="inlineStr">
        <is>
          <t>Q2 2026-27</t>
        </is>
      </c>
      <c r="D93" s="3" t="inlineStr">
        <is>
          <t>FUTURE LONG</t>
        </is>
      </c>
      <c r="E93" s="3" t="inlineStr">
        <is>
          <t>T-8 to T+1</t>
        </is>
      </c>
      <c r="F93" s="3" t="inlineStr">
        <is>
          <t>2025-01-13</t>
        </is>
      </c>
      <c r="G93" s="3" t="inlineStr">
        <is>
          <t>2025-01-24</t>
        </is>
      </c>
      <c r="H93" s="3" t="inlineStr">
        <is>
          <t>2025-01-23</t>
        </is>
      </c>
      <c r="I93" s="5" t="n">
        <v>6494</v>
      </c>
      <c r="J93" s="6" t="n">
        <v>153.9660949707031</v>
      </c>
      <c r="K93" s="6" t="n">
        <v>162.0630493164062</v>
      </c>
      <c r="L93" s="7">
        <f>I93*J93</f>
        <v/>
      </c>
      <c r="M93" s="7">
        <f>I93*K93</f>
        <v/>
      </c>
      <c r="N93" s="7">
        <f>L93+M93</f>
        <v/>
      </c>
      <c r="O93" s="7">
        <f>ROUND(N93*0.0005, 2)</f>
        <v/>
      </c>
      <c r="P93" s="7">
        <f>M93-L93</f>
        <v/>
      </c>
      <c r="Q93" s="7">
        <f>P93-O93</f>
        <v/>
      </c>
      <c r="R93" s="8">
        <f>ROUND((Q93/L93)*100, 2)</f>
        <v/>
      </c>
      <c r="S93" s="7">
        <f>ROUND(0.20*L93, 2)</f>
        <v/>
      </c>
      <c r="T93" s="8">
        <f>ROUND((Q93/S93)*100, 2)</f>
        <v/>
      </c>
      <c r="U93" s="7">
        <f>U92+Q93</f>
        <v/>
      </c>
      <c r="V93" s="7">
        <f>MAX(V92, U93)</f>
        <v/>
      </c>
      <c r="W93" s="7">
        <f>U93-V93</f>
        <v/>
      </c>
    </row>
    <row r="94">
      <c r="A94" s="3" t="n">
        <v>91</v>
      </c>
      <c r="B94" s="4" t="inlineStr">
        <is>
          <t>INDHOTEL</t>
        </is>
      </c>
      <c r="C94" s="3" t="inlineStr">
        <is>
          <t>Q2 2026-27</t>
        </is>
      </c>
      <c r="D94" s="3" t="inlineStr">
        <is>
          <t>FUTURE LONG</t>
        </is>
      </c>
      <c r="E94" s="3" t="inlineStr">
        <is>
          <t>T-8 to T+1</t>
        </is>
      </c>
      <c r="F94" s="3" t="inlineStr">
        <is>
          <t>2025-01-07</t>
        </is>
      </c>
      <c r="G94" s="3" t="inlineStr">
        <is>
          <t>2025-01-20</t>
        </is>
      </c>
      <c r="H94" s="3" t="inlineStr">
        <is>
          <t>2025-01-17</t>
        </is>
      </c>
      <c r="I94" s="5" t="n">
        <v>1182</v>
      </c>
      <c r="J94" s="6" t="n">
        <v>845.8843994140625</v>
      </c>
      <c r="K94" s="6" t="n">
        <v>787.1692504882812</v>
      </c>
      <c r="L94" s="7">
        <f>I94*J94</f>
        <v/>
      </c>
      <c r="M94" s="7">
        <f>I94*K94</f>
        <v/>
      </c>
      <c r="N94" s="7">
        <f>L94+M94</f>
        <v/>
      </c>
      <c r="O94" s="7">
        <f>ROUND(N94*0.0005, 2)</f>
        <v/>
      </c>
      <c r="P94" s="7">
        <f>M94-L94</f>
        <v/>
      </c>
      <c r="Q94" s="7">
        <f>P94-O94</f>
        <v/>
      </c>
      <c r="R94" s="8">
        <f>ROUND((Q94/L94)*100, 2)</f>
        <v/>
      </c>
      <c r="S94" s="7">
        <f>ROUND(0.20*L94, 2)</f>
        <v/>
      </c>
      <c r="T94" s="8">
        <f>ROUND((Q94/S94)*100, 2)</f>
        <v/>
      </c>
      <c r="U94" s="7">
        <f>U93+Q94</f>
        <v/>
      </c>
      <c r="V94" s="7">
        <f>MAX(V93, U94)</f>
        <v/>
      </c>
      <c r="W94" s="7">
        <f>U94-V94</f>
        <v/>
      </c>
    </row>
    <row r="95">
      <c r="A95" s="3" t="n">
        <v>92</v>
      </c>
      <c r="B95" s="4" t="inlineStr">
        <is>
          <t>INDIANB</t>
        </is>
      </c>
      <c r="C95" s="3" t="inlineStr">
        <is>
          <t>Q2 2026-27</t>
        </is>
      </c>
      <c r="D95" s="3" t="inlineStr">
        <is>
          <t>FUTURE LONG</t>
        </is>
      </c>
      <c r="E95" s="3" t="inlineStr">
        <is>
          <t>T-8 to T+1</t>
        </is>
      </c>
      <c r="F95" s="3" t="inlineStr">
        <is>
          <t>2025-01-17</t>
        </is>
      </c>
      <c r="G95" s="3" t="inlineStr">
        <is>
          <t>2025-01-30</t>
        </is>
      </c>
      <c r="H95" s="3" t="inlineStr">
        <is>
          <t>2025-01-29</t>
        </is>
      </c>
      <c r="I95" s="5" t="n">
        <v>1997</v>
      </c>
      <c r="J95" s="6" t="n">
        <v>500.7085266113281</v>
      </c>
      <c r="K95" s="6" t="n">
        <v>521.1397094726562</v>
      </c>
      <c r="L95" s="7">
        <f>I95*J95</f>
        <v/>
      </c>
      <c r="M95" s="7">
        <f>I95*K95</f>
        <v/>
      </c>
      <c r="N95" s="7">
        <f>L95+M95</f>
        <v/>
      </c>
      <c r="O95" s="7">
        <f>ROUND(N95*0.0005, 2)</f>
        <v/>
      </c>
      <c r="P95" s="7">
        <f>M95-L95</f>
        <v/>
      </c>
      <c r="Q95" s="7">
        <f>P95-O95</f>
        <v/>
      </c>
      <c r="R95" s="8">
        <f>ROUND((Q95/L95)*100, 2)</f>
        <v/>
      </c>
      <c r="S95" s="7">
        <f>ROUND(0.20*L95, 2)</f>
        <v/>
      </c>
      <c r="T95" s="8">
        <f>ROUND((Q95/S95)*100, 2)</f>
        <v/>
      </c>
      <c r="U95" s="7">
        <f>U94+Q95</f>
        <v/>
      </c>
      <c r="V95" s="7">
        <f>MAX(V94, U95)</f>
        <v/>
      </c>
      <c r="W95" s="7">
        <f>U95-V95</f>
        <v/>
      </c>
    </row>
    <row r="96">
      <c r="A96" s="3" t="n">
        <v>93</v>
      </c>
      <c r="B96" s="4" t="inlineStr">
        <is>
          <t>INDIGO</t>
        </is>
      </c>
      <c r="C96" s="3" t="inlineStr">
        <is>
          <t>Q2 2026-27</t>
        </is>
      </c>
      <c r="D96" s="3" t="inlineStr">
        <is>
          <t>FUTURE LONG</t>
        </is>
      </c>
      <c r="E96" s="3" t="inlineStr">
        <is>
          <t>T-8 to T+1</t>
        </is>
      </c>
      <c r="F96" s="3" t="inlineStr">
        <is>
          <t>2025-01-14</t>
        </is>
      </c>
      <c r="G96" s="3" t="inlineStr">
        <is>
          <t>2025-01-27</t>
        </is>
      </c>
      <c r="H96" s="3" t="inlineStr">
        <is>
          <t>2025-01-24</t>
        </is>
      </c>
      <c r="I96" s="5" t="n">
        <v>250</v>
      </c>
      <c r="J96" s="6" t="n">
        <v>3988.26025390625</v>
      </c>
      <c r="K96" s="6" t="n">
        <v>4168.705078125</v>
      </c>
      <c r="L96" s="7">
        <f>I96*J96</f>
        <v/>
      </c>
      <c r="M96" s="7">
        <f>I96*K96</f>
        <v/>
      </c>
      <c r="N96" s="7">
        <f>L96+M96</f>
        <v/>
      </c>
      <c r="O96" s="7">
        <f>ROUND(N96*0.0005, 2)</f>
        <v/>
      </c>
      <c r="P96" s="7">
        <f>M96-L96</f>
        <v/>
      </c>
      <c r="Q96" s="7">
        <f>P96-O96</f>
        <v/>
      </c>
      <c r="R96" s="8">
        <f>ROUND((Q96/L96)*100, 2)</f>
        <v/>
      </c>
      <c r="S96" s="7">
        <f>ROUND(0.20*L96, 2)</f>
        <v/>
      </c>
      <c r="T96" s="8">
        <f>ROUND((Q96/S96)*100, 2)</f>
        <v/>
      </c>
      <c r="U96" s="7">
        <f>U95+Q96</f>
        <v/>
      </c>
      <c r="V96" s="7">
        <f>MAX(V95, U96)</f>
        <v/>
      </c>
      <c r="W96" s="7">
        <f>U96-V96</f>
        <v/>
      </c>
    </row>
    <row r="97">
      <c r="A97" s="3" t="n">
        <v>94</v>
      </c>
      <c r="B97" s="4" t="inlineStr">
        <is>
          <t>INDUSINDBK</t>
        </is>
      </c>
      <c r="C97" s="3" t="inlineStr">
        <is>
          <t>Q2 2026-27</t>
        </is>
      </c>
      <c r="D97" s="3" t="inlineStr">
        <is>
          <t>FUTURE LONG</t>
        </is>
      </c>
      <c r="E97" s="3" t="inlineStr">
        <is>
          <t>T-8 to T+1</t>
        </is>
      </c>
      <c r="F97" s="3" t="inlineStr">
        <is>
          <t>2025-01-22</t>
        </is>
      </c>
      <c r="G97" s="3" t="inlineStr">
        <is>
          <t>2025-02-03</t>
        </is>
      </c>
      <c r="H97" s="3" t="inlineStr">
        <is>
          <t>2025-01-31</t>
        </is>
      </c>
      <c r="I97" s="5" t="n">
        <v>500</v>
      </c>
      <c r="J97" s="6" t="n">
        <v>969.3799438476562</v>
      </c>
      <c r="K97" s="6" t="n">
        <v>1011.062377929688</v>
      </c>
      <c r="L97" s="7">
        <f>I97*J97</f>
        <v/>
      </c>
      <c r="M97" s="7">
        <f>I97*K97</f>
        <v/>
      </c>
      <c r="N97" s="7">
        <f>L97+M97</f>
        <v/>
      </c>
      <c r="O97" s="7">
        <f>ROUND(N97*0.0005, 2)</f>
        <v/>
      </c>
      <c r="P97" s="7">
        <f>M97-L97</f>
        <v/>
      </c>
      <c r="Q97" s="7">
        <f>P97-O97</f>
        <v/>
      </c>
      <c r="R97" s="8">
        <f>ROUND((Q97/L97)*100, 2)</f>
        <v/>
      </c>
      <c r="S97" s="7">
        <f>ROUND(0.20*L97, 2)</f>
        <v/>
      </c>
      <c r="T97" s="8">
        <f>ROUND((Q97/S97)*100, 2)</f>
        <v/>
      </c>
      <c r="U97" s="7">
        <f>U96+Q97</f>
        <v/>
      </c>
      <c r="V97" s="7">
        <f>MAX(V96, U97)</f>
        <v/>
      </c>
      <c r="W97" s="7">
        <f>U97-V97</f>
        <v/>
      </c>
    </row>
    <row r="98">
      <c r="A98" s="3" t="n">
        <v>95</v>
      </c>
      <c r="B98" s="4" t="inlineStr">
        <is>
          <t>INDUSTOWER</t>
        </is>
      </c>
      <c r="C98" s="3" t="inlineStr">
        <is>
          <t>Q2 2026-27</t>
        </is>
      </c>
      <c r="D98" s="3" t="inlineStr">
        <is>
          <t>FUTURE LONG</t>
        </is>
      </c>
      <c r="E98" s="3" t="inlineStr">
        <is>
          <t>T-8 to T+1</t>
        </is>
      </c>
      <c r="F98" s="3" t="inlineStr">
        <is>
          <t>2025-01-14</t>
        </is>
      </c>
      <c r="G98" s="3" t="inlineStr">
        <is>
          <t>2025-01-27</t>
        </is>
      </c>
      <c r="H98" s="3" t="inlineStr">
        <is>
          <t>2025-01-24</t>
        </is>
      </c>
      <c r="I98" s="5" t="n">
        <v>2938</v>
      </c>
      <c r="J98" s="6" t="n">
        <v>340.2999877929688</v>
      </c>
      <c r="K98" s="6" t="n">
        <v>348.9500122070312</v>
      </c>
      <c r="L98" s="7">
        <f>I98*J98</f>
        <v/>
      </c>
      <c r="M98" s="7">
        <f>I98*K98</f>
        <v/>
      </c>
      <c r="N98" s="7">
        <f>L98+M98</f>
        <v/>
      </c>
      <c r="O98" s="7">
        <f>ROUND(N98*0.0005, 2)</f>
        <v/>
      </c>
      <c r="P98" s="7">
        <f>M98-L98</f>
        <v/>
      </c>
      <c r="Q98" s="7">
        <f>P98-O98</f>
        <v/>
      </c>
      <c r="R98" s="8">
        <f>ROUND((Q98/L98)*100, 2)</f>
        <v/>
      </c>
      <c r="S98" s="7">
        <f>ROUND(0.20*L98, 2)</f>
        <v/>
      </c>
      <c r="T98" s="8">
        <f>ROUND((Q98/S98)*100, 2)</f>
        <v/>
      </c>
      <c r="U98" s="7">
        <f>U97+Q98</f>
        <v/>
      </c>
      <c r="V98" s="7">
        <f>MAX(V97, U98)</f>
        <v/>
      </c>
      <c r="W98" s="7">
        <f>U98-V98</f>
        <v/>
      </c>
    </row>
    <row r="99">
      <c r="A99" s="3" t="n">
        <v>96</v>
      </c>
      <c r="B99" s="4" t="inlineStr">
        <is>
          <t>INFY</t>
        </is>
      </c>
      <c r="C99" s="3" t="inlineStr">
        <is>
          <t>Q2 2026-27</t>
        </is>
      </c>
      <c r="D99" s="3" t="inlineStr">
        <is>
          <t>FUTURE LONG</t>
        </is>
      </c>
      <c r="E99" s="3" t="inlineStr">
        <is>
          <t>T-8 to T+1</t>
        </is>
      </c>
      <c r="F99" s="3" t="inlineStr">
        <is>
          <t>2025-01-07</t>
        </is>
      </c>
      <c r="G99" s="3" t="inlineStr">
        <is>
          <t>2025-01-20</t>
        </is>
      </c>
      <c r="H99" s="3" t="inlineStr">
        <is>
          <t>2025-01-16</t>
        </is>
      </c>
      <c r="I99" s="5" t="n">
        <v>400</v>
      </c>
      <c r="J99" s="6" t="n">
        <v>1835.628295898437</v>
      </c>
      <c r="K99" s="6" t="n">
        <v>1723.87548828125</v>
      </c>
      <c r="L99" s="7">
        <f>I99*J99</f>
        <v/>
      </c>
      <c r="M99" s="7">
        <f>I99*K99</f>
        <v/>
      </c>
      <c r="N99" s="7">
        <f>L99+M99</f>
        <v/>
      </c>
      <c r="O99" s="7">
        <f>ROUND(N99*0.0005, 2)</f>
        <v/>
      </c>
      <c r="P99" s="7">
        <f>M99-L99</f>
        <v/>
      </c>
      <c r="Q99" s="7">
        <f>P99-O99</f>
        <v/>
      </c>
      <c r="R99" s="8">
        <f>ROUND((Q99/L99)*100, 2)</f>
        <v/>
      </c>
      <c r="S99" s="7">
        <f>ROUND(0.20*L99, 2)</f>
        <v/>
      </c>
      <c r="T99" s="8">
        <f>ROUND((Q99/S99)*100, 2)</f>
        <v/>
      </c>
      <c r="U99" s="7">
        <f>U98+Q99</f>
        <v/>
      </c>
      <c r="V99" s="7">
        <f>MAX(V98, U99)</f>
        <v/>
      </c>
      <c r="W99" s="7">
        <f>U99-V99</f>
        <v/>
      </c>
    </row>
    <row r="100">
      <c r="A100" s="3" t="n">
        <v>97</v>
      </c>
      <c r="B100" s="4" t="inlineStr">
        <is>
          <t>INOXWIND</t>
        </is>
      </c>
      <c r="C100" s="3" t="inlineStr">
        <is>
          <t>Q2 2026-27</t>
        </is>
      </c>
      <c r="D100" s="3" t="inlineStr">
        <is>
          <t>FUTURE LONG</t>
        </is>
      </c>
      <c r="E100" s="3" t="inlineStr">
        <is>
          <t>T-8 to T+1</t>
        </is>
      </c>
      <c r="F100" s="3" t="inlineStr">
        <is>
          <t>2025-02-25</t>
        </is>
      </c>
      <c r="G100" s="3" t="inlineStr">
        <is>
          <t>2025-03-11</t>
        </is>
      </c>
      <c r="H100" s="3" t="inlineStr">
        <is>
          <t>2025-03-10</t>
        </is>
      </c>
      <c r="I100" s="5" t="n">
        <v>5927</v>
      </c>
      <c r="J100" s="6" t="n">
        <v>168.7100067138672</v>
      </c>
      <c r="K100" s="6" t="n">
        <v>164.5899963378906</v>
      </c>
      <c r="L100" s="7">
        <f>I100*J100</f>
        <v/>
      </c>
      <c r="M100" s="7">
        <f>I100*K100</f>
        <v/>
      </c>
      <c r="N100" s="7">
        <f>L100+M100</f>
        <v/>
      </c>
      <c r="O100" s="7">
        <f>ROUND(N100*0.0005, 2)</f>
        <v/>
      </c>
      <c r="P100" s="7">
        <f>M100-L100</f>
        <v/>
      </c>
      <c r="Q100" s="7">
        <f>P100-O100</f>
        <v/>
      </c>
      <c r="R100" s="8">
        <f>ROUND((Q100/L100)*100, 2)</f>
        <v/>
      </c>
      <c r="S100" s="7">
        <f>ROUND(0.20*L100, 2)</f>
        <v/>
      </c>
      <c r="T100" s="8">
        <f>ROUND((Q100/S100)*100, 2)</f>
        <v/>
      </c>
      <c r="U100" s="7">
        <f>U99+Q100</f>
        <v/>
      </c>
      <c r="V100" s="7">
        <f>MAX(V99, U100)</f>
        <v/>
      </c>
      <c r="W100" s="7">
        <f>U100-V100</f>
        <v/>
      </c>
    </row>
    <row r="101">
      <c r="A101" s="3" t="n">
        <v>98</v>
      </c>
      <c r="B101" s="4" t="inlineStr">
        <is>
          <t>IOC</t>
        </is>
      </c>
      <c r="C101" s="3" t="inlineStr">
        <is>
          <t>Q2 2026-27</t>
        </is>
      </c>
      <c r="D101" s="3" t="inlineStr">
        <is>
          <t>FUTURE LONG</t>
        </is>
      </c>
      <c r="E101" s="3" t="inlineStr">
        <is>
          <t>T-8 to T+1</t>
        </is>
      </c>
      <c r="F101" s="3" t="inlineStr">
        <is>
          <t>2025-01-15</t>
        </is>
      </c>
      <c r="G101" s="3" t="inlineStr">
        <is>
          <t>2025-01-28</t>
        </is>
      </c>
      <c r="H101" s="3" t="inlineStr">
        <is>
          <t>2025-01-27</t>
        </is>
      </c>
      <c r="I101" s="5" t="n">
        <v>8398</v>
      </c>
      <c r="J101" s="6" t="n">
        <v>119.0657806396484</v>
      </c>
      <c r="K101" s="6" t="n">
        <v>114.9671859741211</v>
      </c>
      <c r="L101" s="7">
        <f>I101*J101</f>
        <v/>
      </c>
      <c r="M101" s="7">
        <f>I101*K101</f>
        <v/>
      </c>
      <c r="N101" s="7">
        <f>L101+M101</f>
        <v/>
      </c>
      <c r="O101" s="7">
        <f>ROUND(N101*0.0005, 2)</f>
        <v/>
      </c>
      <c r="P101" s="7">
        <f>M101-L101</f>
        <v/>
      </c>
      <c r="Q101" s="7">
        <f>P101-O101</f>
        <v/>
      </c>
      <c r="R101" s="8">
        <f>ROUND((Q101/L101)*100, 2)</f>
        <v/>
      </c>
      <c r="S101" s="7">
        <f>ROUND(0.20*L101, 2)</f>
        <v/>
      </c>
      <c r="T101" s="8">
        <f>ROUND((Q101/S101)*100, 2)</f>
        <v/>
      </c>
      <c r="U101" s="7">
        <f>U100+Q101</f>
        <v/>
      </c>
      <c r="V101" s="7">
        <f>MAX(V100, U101)</f>
        <v/>
      </c>
      <c r="W101" s="7">
        <f>U101-V101</f>
        <v/>
      </c>
    </row>
    <row r="102">
      <c r="A102" s="3" t="n">
        <v>99</v>
      </c>
      <c r="B102" s="4" t="inlineStr">
        <is>
          <t>IREDA</t>
        </is>
      </c>
      <c r="C102" s="3" t="inlineStr">
        <is>
          <t>Q2 2026-27</t>
        </is>
      </c>
      <c r="D102" s="3" t="inlineStr">
        <is>
          <t>FUTURE LONG</t>
        </is>
      </c>
      <c r="E102" s="3" t="inlineStr">
        <is>
          <t>T-8 to T+1</t>
        </is>
      </c>
      <c r="F102" s="3" t="inlineStr">
        <is>
          <t>2024-12-30</t>
        </is>
      </c>
      <c r="G102" s="3" t="inlineStr">
        <is>
          <t>2025-01-10</t>
        </is>
      </c>
      <c r="H102" s="3" t="inlineStr">
        <is>
          <t>2025-01-09</t>
        </is>
      </c>
      <c r="I102" s="5" t="n">
        <v>4601</v>
      </c>
      <c r="J102" s="6" t="n">
        <v>217.3177337646484</v>
      </c>
      <c r="K102" s="6" t="n">
        <v>200.0890808105469</v>
      </c>
      <c r="L102" s="7">
        <f>I102*J102</f>
        <v/>
      </c>
      <c r="M102" s="7">
        <f>I102*K102</f>
        <v/>
      </c>
      <c r="N102" s="7">
        <f>L102+M102</f>
        <v/>
      </c>
      <c r="O102" s="7">
        <f>ROUND(N102*0.0005, 2)</f>
        <v/>
      </c>
      <c r="P102" s="7">
        <f>M102-L102</f>
        <v/>
      </c>
      <c r="Q102" s="7">
        <f>P102-O102</f>
        <v/>
      </c>
      <c r="R102" s="8">
        <f>ROUND((Q102/L102)*100, 2)</f>
        <v/>
      </c>
      <c r="S102" s="7">
        <f>ROUND(0.20*L102, 2)</f>
        <v/>
      </c>
      <c r="T102" s="8">
        <f>ROUND((Q102/S102)*100, 2)</f>
        <v/>
      </c>
      <c r="U102" s="7">
        <f>U101+Q102</f>
        <v/>
      </c>
      <c r="V102" s="7">
        <f>MAX(V101, U102)</f>
        <v/>
      </c>
      <c r="W102" s="7">
        <f>U102-V102</f>
        <v/>
      </c>
    </row>
    <row r="103">
      <c r="A103" s="3" t="n">
        <v>100</v>
      </c>
      <c r="B103" s="4" t="inlineStr">
        <is>
          <t>IRFC</t>
        </is>
      </c>
      <c r="C103" s="3" t="inlineStr">
        <is>
          <t>Q2 2026-27</t>
        </is>
      </c>
      <c r="D103" s="3" t="inlineStr">
        <is>
          <t>FUTURE LONG</t>
        </is>
      </c>
      <c r="E103" s="3" t="inlineStr">
        <is>
          <t>T-8 to T+1</t>
        </is>
      </c>
      <c r="F103" s="3" t="inlineStr">
        <is>
          <t>2025-01-08</t>
        </is>
      </c>
      <c r="G103" s="3" t="inlineStr">
        <is>
          <t>2025-01-21</t>
        </is>
      </c>
      <c r="H103" s="3" t="inlineStr">
        <is>
          <t>2025-01-20</t>
        </is>
      </c>
      <c r="I103" s="5" t="n">
        <v>6958</v>
      </c>
      <c r="J103" s="6" t="n">
        <v>143.7</v>
      </c>
      <c r="K103" s="6" t="n">
        <v>142.47</v>
      </c>
      <c r="L103" s="7">
        <f>I103*J103</f>
        <v/>
      </c>
      <c r="M103" s="7">
        <f>I103*K103</f>
        <v/>
      </c>
      <c r="N103" s="7">
        <f>L103+M103</f>
        <v/>
      </c>
      <c r="O103" s="7">
        <f>ROUND(N103*0.0005, 2)</f>
        <v/>
      </c>
      <c r="P103" s="7">
        <f>M103-L103</f>
        <v/>
      </c>
      <c r="Q103" s="7">
        <f>P103-O103</f>
        <v/>
      </c>
      <c r="R103" s="8">
        <f>ROUND((Q103/L103)*100, 2)</f>
        <v/>
      </c>
      <c r="S103" s="7">
        <f>ROUND(0.20*L103, 2)</f>
        <v/>
      </c>
      <c r="T103" s="8">
        <f>ROUND((Q103/S103)*100, 2)</f>
        <v/>
      </c>
      <c r="U103" s="7">
        <f>U102+Q103</f>
        <v/>
      </c>
      <c r="V103" s="7">
        <f>MAX(V102, U103)</f>
        <v/>
      </c>
      <c r="W103" s="7">
        <f>U103-V103</f>
        <v/>
      </c>
    </row>
    <row r="104">
      <c r="A104" s="3" t="n">
        <v>101</v>
      </c>
      <c r="B104" s="4" t="inlineStr">
        <is>
          <t>ITC</t>
        </is>
      </c>
      <c r="C104" s="3" t="inlineStr">
        <is>
          <t>Q2 2026-27</t>
        </is>
      </c>
      <c r="D104" s="3" t="inlineStr">
        <is>
          <t>FUTURE LONG</t>
        </is>
      </c>
      <c r="E104" s="3" t="inlineStr">
        <is>
          <t>T-8 to T+1</t>
        </is>
      </c>
      <c r="F104" s="3" t="inlineStr">
        <is>
          <t>2025-01-29</t>
        </is>
      </c>
      <c r="G104" s="3" t="inlineStr">
        <is>
          <t>2025-02-10</t>
        </is>
      </c>
      <c r="H104" s="3" t="inlineStr">
        <is>
          <t>2025-02-06</t>
        </is>
      </c>
      <c r="I104" s="5" t="n">
        <v>1600</v>
      </c>
      <c r="J104" s="6" t="n">
        <v>399.4175415039063</v>
      </c>
      <c r="K104" s="6" t="n">
        <v>393.7491149902344</v>
      </c>
      <c r="L104" s="7">
        <f>I104*J104</f>
        <v/>
      </c>
      <c r="M104" s="7">
        <f>I104*K104</f>
        <v/>
      </c>
      <c r="N104" s="7">
        <f>L104+M104</f>
        <v/>
      </c>
      <c r="O104" s="7">
        <f>ROUND(N104*0.0005, 2)</f>
        <v/>
      </c>
      <c r="P104" s="7">
        <f>M104-L104</f>
        <v/>
      </c>
      <c r="Q104" s="7">
        <f>P104-O104</f>
        <v/>
      </c>
      <c r="R104" s="8">
        <f>ROUND((Q104/L104)*100, 2)</f>
        <v/>
      </c>
      <c r="S104" s="7">
        <f>ROUND(0.20*L104, 2)</f>
        <v/>
      </c>
      <c r="T104" s="8">
        <f>ROUND((Q104/S104)*100, 2)</f>
        <v/>
      </c>
      <c r="U104" s="7">
        <f>U103+Q104</f>
        <v/>
      </c>
      <c r="V104" s="7">
        <f>MAX(V103, U104)</f>
        <v/>
      </c>
      <c r="W104" s="7">
        <f>U104-V104</f>
        <v/>
      </c>
    </row>
    <row r="105">
      <c r="A105" s="3" t="n">
        <v>102</v>
      </c>
      <c r="B105" s="4" t="inlineStr">
        <is>
          <t>JINDALSTEL</t>
        </is>
      </c>
      <c r="C105" s="3" t="inlineStr">
        <is>
          <t>Q2 2026-27</t>
        </is>
      </c>
      <c r="D105" s="3" t="inlineStr">
        <is>
          <t>FUTURE LONG</t>
        </is>
      </c>
      <c r="E105" s="3" t="inlineStr">
        <is>
          <t>T-8 to T+1</t>
        </is>
      </c>
      <c r="F105" s="3" t="inlineStr">
        <is>
          <t>2025-01-21</t>
        </is>
      </c>
      <c r="G105" s="3" t="inlineStr">
        <is>
          <t>2025-02-01</t>
        </is>
      </c>
      <c r="H105" s="3" t="inlineStr">
        <is>
          <t>2025-01-31</t>
        </is>
      </c>
      <c r="I105" s="5" t="n">
        <v>1090</v>
      </c>
      <c r="J105" s="6" t="n">
        <v>917.0806884765624</v>
      </c>
      <c r="K105" s="6" t="n">
        <v>774.8128662109375</v>
      </c>
      <c r="L105" s="7">
        <f>I105*J105</f>
        <v/>
      </c>
      <c r="M105" s="7">
        <f>I105*K105</f>
        <v/>
      </c>
      <c r="N105" s="7">
        <f>L105+M105</f>
        <v/>
      </c>
      <c r="O105" s="7">
        <f>ROUND(N105*0.0005, 2)</f>
        <v/>
      </c>
      <c r="P105" s="7">
        <f>M105-L105</f>
        <v/>
      </c>
      <c r="Q105" s="7">
        <f>P105-O105</f>
        <v/>
      </c>
      <c r="R105" s="8">
        <f>ROUND((Q105/L105)*100, 2)</f>
        <v/>
      </c>
      <c r="S105" s="7">
        <f>ROUND(0.20*L105, 2)</f>
        <v/>
      </c>
      <c r="T105" s="8">
        <f>ROUND((Q105/S105)*100, 2)</f>
        <v/>
      </c>
      <c r="U105" s="7">
        <f>U104+Q105</f>
        <v/>
      </c>
      <c r="V105" s="7">
        <f>MAX(V104, U105)</f>
        <v/>
      </c>
      <c r="W105" s="7">
        <f>U105-V105</f>
        <v/>
      </c>
    </row>
    <row r="106">
      <c r="A106" s="3" t="n">
        <v>103</v>
      </c>
      <c r="B106" s="4" t="inlineStr">
        <is>
          <t>JIOFIN</t>
        </is>
      </c>
      <c r="C106" s="3" t="inlineStr">
        <is>
          <t>Q2 2026-27</t>
        </is>
      </c>
      <c r="D106" s="3" t="inlineStr">
        <is>
          <t>FUTURE LONG</t>
        </is>
      </c>
      <c r="E106" s="3" t="inlineStr">
        <is>
          <t>T-8 to T+1</t>
        </is>
      </c>
      <c r="F106" s="3" t="inlineStr">
        <is>
          <t>2025-01-07</t>
        </is>
      </c>
      <c r="G106" s="3" t="inlineStr">
        <is>
          <t>2025-01-20</t>
        </is>
      </c>
      <c r="H106" s="3" t="inlineStr">
        <is>
          <t>2025-01-17</t>
        </is>
      </c>
      <c r="I106" s="5" t="n">
        <v>3348</v>
      </c>
      <c r="J106" s="6" t="n">
        <v>298.6842346191406</v>
      </c>
      <c r="K106" s="6" t="n">
        <v>275.270751953125</v>
      </c>
      <c r="L106" s="7">
        <f>I106*J106</f>
        <v/>
      </c>
      <c r="M106" s="7">
        <f>I106*K106</f>
        <v/>
      </c>
      <c r="N106" s="7">
        <f>L106+M106</f>
        <v/>
      </c>
      <c r="O106" s="7">
        <f>ROUND(N106*0.0005, 2)</f>
        <v/>
      </c>
      <c r="P106" s="7">
        <f>M106-L106</f>
        <v/>
      </c>
      <c r="Q106" s="7">
        <f>P106-O106</f>
        <v/>
      </c>
      <c r="R106" s="8">
        <f>ROUND((Q106/L106)*100, 2)</f>
        <v/>
      </c>
      <c r="S106" s="7">
        <f>ROUND(0.20*L106, 2)</f>
        <v/>
      </c>
      <c r="T106" s="8">
        <f>ROUND((Q106/S106)*100, 2)</f>
        <v/>
      </c>
      <c r="U106" s="7">
        <f>U105+Q106</f>
        <v/>
      </c>
      <c r="V106" s="7">
        <f>MAX(V105, U106)</f>
        <v/>
      </c>
      <c r="W106" s="7">
        <f>U106-V106</f>
        <v/>
      </c>
    </row>
    <row r="107">
      <c r="A107" s="3" t="n">
        <v>104</v>
      </c>
      <c r="B107" s="4" t="inlineStr">
        <is>
          <t>JSWENERGY</t>
        </is>
      </c>
      <c r="C107" s="3" t="inlineStr">
        <is>
          <t>Q2 2026-27</t>
        </is>
      </c>
      <c r="D107" s="3" t="inlineStr">
        <is>
          <t>FUTURE LONG</t>
        </is>
      </c>
      <c r="E107" s="3" t="inlineStr">
        <is>
          <t>T-8 to T+1</t>
        </is>
      </c>
      <c r="F107" s="3" t="inlineStr">
        <is>
          <t>2025-01-16</t>
        </is>
      </c>
      <c r="G107" s="3" t="inlineStr">
        <is>
          <t>2025-01-29</t>
        </is>
      </c>
      <c r="H107" s="3" t="inlineStr">
        <is>
          <t>2025-01-28</t>
        </is>
      </c>
      <c r="I107" s="5" t="n">
        <v>1765</v>
      </c>
      <c r="J107" s="6" t="n">
        <v>566.2786254882812</v>
      </c>
      <c r="K107" s="6" t="n">
        <v>471.2784423828125</v>
      </c>
      <c r="L107" s="7">
        <f>I107*J107</f>
        <v/>
      </c>
      <c r="M107" s="7">
        <f>I107*K107</f>
        <v/>
      </c>
      <c r="N107" s="7">
        <f>L107+M107</f>
        <v/>
      </c>
      <c r="O107" s="7">
        <f>ROUND(N107*0.0005, 2)</f>
        <v/>
      </c>
      <c r="P107" s="7">
        <f>M107-L107</f>
        <v/>
      </c>
      <c r="Q107" s="7">
        <f>P107-O107</f>
        <v/>
      </c>
      <c r="R107" s="8">
        <f>ROUND((Q107/L107)*100, 2)</f>
        <v/>
      </c>
      <c r="S107" s="7">
        <f>ROUND(0.20*L107, 2)</f>
        <v/>
      </c>
      <c r="T107" s="8">
        <f>ROUND((Q107/S107)*100, 2)</f>
        <v/>
      </c>
      <c r="U107" s="7">
        <f>U106+Q107</f>
        <v/>
      </c>
      <c r="V107" s="7">
        <f>MAX(V106, U107)</f>
        <v/>
      </c>
      <c r="W107" s="7">
        <f>U107-V107</f>
        <v/>
      </c>
    </row>
    <row r="108">
      <c r="A108" s="3" t="n">
        <v>105</v>
      </c>
      <c r="B108" s="4" t="inlineStr">
        <is>
          <t>JSWSTEEL</t>
        </is>
      </c>
      <c r="C108" s="3" t="inlineStr">
        <is>
          <t>Q2 2026-27</t>
        </is>
      </c>
      <c r="D108" s="3" t="inlineStr">
        <is>
          <t>FUTURE LONG</t>
        </is>
      </c>
      <c r="E108" s="3" t="inlineStr">
        <is>
          <t>T-8 to T+1</t>
        </is>
      </c>
      <c r="F108" s="3" t="inlineStr">
        <is>
          <t>2025-01-14</t>
        </is>
      </c>
      <c r="G108" s="3" t="inlineStr">
        <is>
          <t>2025-01-27</t>
        </is>
      </c>
      <c r="H108" s="3" t="inlineStr">
        <is>
          <t>2025-01-24</t>
        </is>
      </c>
      <c r="I108" s="5" t="n">
        <v>675</v>
      </c>
      <c r="J108" s="6" t="n">
        <v>898.4560546875</v>
      </c>
      <c r="K108" s="6" t="n">
        <v>911.6445922851562</v>
      </c>
      <c r="L108" s="7">
        <f>I108*J108</f>
        <v/>
      </c>
      <c r="M108" s="7">
        <f>I108*K108</f>
        <v/>
      </c>
      <c r="N108" s="7">
        <f>L108+M108</f>
        <v/>
      </c>
      <c r="O108" s="7">
        <f>ROUND(N108*0.0005, 2)</f>
        <v/>
      </c>
      <c r="P108" s="7">
        <f>M108-L108</f>
        <v/>
      </c>
      <c r="Q108" s="7">
        <f>P108-O108</f>
        <v/>
      </c>
      <c r="R108" s="8">
        <f>ROUND((Q108/L108)*100, 2)</f>
        <v/>
      </c>
      <c r="S108" s="7">
        <f>ROUND(0.20*L108, 2)</f>
        <v/>
      </c>
      <c r="T108" s="8">
        <f>ROUND((Q108/S108)*100, 2)</f>
        <v/>
      </c>
      <c r="U108" s="7">
        <f>U107+Q108</f>
        <v/>
      </c>
      <c r="V108" s="7">
        <f>MAX(V107, U108)</f>
        <v/>
      </c>
      <c r="W108" s="7">
        <f>U108-V108</f>
        <v/>
      </c>
    </row>
    <row r="109">
      <c r="A109" s="3" t="n">
        <v>106</v>
      </c>
      <c r="B109" s="4" t="inlineStr">
        <is>
          <t>JUBLFOOD</t>
        </is>
      </c>
      <c r="C109" s="3" t="inlineStr">
        <is>
          <t>Q2 2026-27</t>
        </is>
      </c>
      <c r="D109" s="3" t="inlineStr">
        <is>
          <t>FUTURE LONG</t>
        </is>
      </c>
      <c r="E109" s="3" t="inlineStr">
        <is>
          <t>T-8 to T+1</t>
        </is>
      </c>
      <c r="F109" s="3" t="inlineStr">
        <is>
          <t>2025-02-01</t>
        </is>
      </c>
      <c r="G109" s="3" t="inlineStr">
        <is>
          <t>2025-02-13</t>
        </is>
      </c>
      <c r="H109" s="3" t="inlineStr">
        <is>
          <t>2025-02-12</t>
        </is>
      </c>
      <c r="I109" s="5" t="n">
        <v>1357</v>
      </c>
      <c r="J109" s="6" t="n">
        <v>736.4181518554688</v>
      </c>
      <c r="K109" s="6" t="n">
        <v>659.0732421875</v>
      </c>
      <c r="L109" s="7">
        <f>I109*J109</f>
        <v/>
      </c>
      <c r="M109" s="7">
        <f>I109*K109</f>
        <v/>
      </c>
      <c r="N109" s="7">
        <f>L109+M109</f>
        <v/>
      </c>
      <c r="O109" s="7">
        <f>ROUND(N109*0.0005, 2)</f>
        <v/>
      </c>
      <c r="P109" s="7">
        <f>M109-L109</f>
        <v/>
      </c>
      <c r="Q109" s="7">
        <f>P109-O109</f>
        <v/>
      </c>
      <c r="R109" s="8">
        <f>ROUND((Q109/L109)*100, 2)</f>
        <v/>
      </c>
      <c r="S109" s="7">
        <f>ROUND(0.20*L109, 2)</f>
        <v/>
      </c>
      <c r="T109" s="8">
        <f>ROUND((Q109/S109)*100, 2)</f>
        <v/>
      </c>
      <c r="U109" s="7">
        <f>U108+Q109</f>
        <v/>
      </c>
      <c r="V109" s="7">
        <f>MAX(V108, U109)</f>
        <v/>
      </c>
      <c r="W109" s="7">
        <f>U109-V109</f>
        <v/>
      </c>
    </row>
    <row r="110">
      <c r="A110" s="3" t="n">
        <v>107</v>
      </c>
      <c r="B110" s="4" t="inlineStr">
        <is>
          <t>KALYANKJIL</t>
        </is>
      </c>
      <c r="C110" s="3" t="inlineStr">
        <is>
          <t>Q2 2026-27</t>
        </is>
      </c>
      <c r="D110" s="3" t="inlineStr">
        <is>
          <t>FUTURE LONG</t>
        </is>
      </c>
      <c r="E110" s="3" t="inlineStr">
        <is>
          <t>T-8 to T+1</t>
        </is>
      </c>
      <c r="F110" s="3" t="inlineStr">
        <is>
          <t>2025-01-21</t>
        </is>
      </c>
      <c r="G110" s="3" t="inlineStr">
        <is>
          <t>2025-02-01</t>
        </is>
      </c>
      <c r="H110" s="3" t="inlineStr">
        <is>
          <t>2025-01-31</t>
        </is>
      </c>
      <c r="I110" s="5" t="n">
        <v>2053</v>
      </c>
      <c r="J110" s="6" t="n">
        <v>486.9251403808594</v>
      </c>
      <c r="K110" s="6" t="n">
        <v>503.9752502441406</v>
      </c>
      <c r="L110" s="7">
        <f>I110*J110</f>
        <v/>
      </c>
      <c r="M110" s="7">
        <f>I110*K110</f>
        <v/>
      </c>
      <c r="N110" s="7">
        <f>L110+M110</f>
        <v/>
      </c>
      <c r="O110" s="7">
        <f>ROUND(N110*0.0005, 2)</f>
        <v/>
      </c>
      <c r="P110" s="7">
        <f>M110-L110</f>
        <v/>
      </c>
      <c r="Q110" s="7">
        <f>P110-O110</f>
        <v/>
      </c>
      <c r="R110" s="8">
        <f>ROUND((Q110/L110)*100, 2)</f>
        <v/>
      </c>
      <c r="S110" s="7">
        <f>ROUND(0.20*L110, 2)</f>
        <v/>
      </c>
      <c r="T110" s="8">
        <f>ROUND((Q110/S110)*100, 2)</f>
        <v/>
      </c>
      <c r="U110" s="7">
        <f>U109+Q110</f>
        <v/>
      </c>
      <c r="V110" s="7">
        <f>MAX(V109, U110)</f>
        <v/>
      </c>
      <c r="W110" s="7">
        <f>U110-V110</f>
        <v/>
      </c>
    </row>
    <row r="111">
      <c r="A111" s="3" t="n">
        <v>108</v>
      </c>
      <c r="B111" s="4" t="inlineStr">
        <is>
          <t>KAYNES</t>
        </is>
      </c>
      <c r="C111" s="3" t="inlineStr">
        <is>
          <t>Q2 2026-27</t>
        </is>
      </c>
      <c r="D111" s="3" t="inlineStr">
        <is>
          <t>FUTURE LONG</t>
        </is>
      </c>
      <c r="E111" s="3" t="inlineStr">
        <is>
          <t>T-8 to T+1</t>
        </is>
      </c>
      <c r="F111" s="3" t="inlineStr">
        <is>
          <t>2025-01-16</t>
        </is>
      </c>
      <c r="G111" s="3" t="inlineStr">
        <is>
          <t>2025-01-29</t>
        </is>
      </c>
      <c r="H111" s="3" t="inlineStr">
        <is>
          <t>2025-01-28</t>
        </is>
      </c>
      <c r="I111" s="5" t="n">
        <v>152</v>
      </c>
      <c r="J111" s="6" t="n">
        <v>6576.35009765625</v>
      </c>
      <c r="K111" s="6" t="n">
        <v>4955.4501953125</v>
      </c>
      <c r="L111" s="7">
        <f>I111*J111</f>
        <v/>
      </c>
      <c r="M111" s="7">
        <f>I111*K111</f>
        <v/>
      </c>
      <c r="N111" s="7">
        <f>L111+M111</f>
        <v/>
      </c>
      <c r="O111" s="7">
        <f>ROUND(N111*0.0005, 2)</f>
        <v/>
      </c>
      <c r="P111" s="7">
        <f>M111-L111</f>
        <v/>
      </c>
      <c r="Q111" s="7">
        <f>P111-O111</f>
        <v/>
      </c>
      <c r="R111" s="8">
        <f>ROUND((Q111/L111)*100, 2)</f>
        <v/>
      </c>
      <c r="S111" s="7">
        <f>ROUND(0.20*L111, 2)</f>
        <v/>
      </c>
      <c r="T111" s="8">
        <f>ROUND((Q111/S111)*100, 2)</f>
        <v/>
      </c>
      <c r="U111" s="7">
        <f>U110+Q111</f>
        <v/>
      </c>
      <c r="V111" s="7">
        <f>MAX(V110, U111)</f>
        <v/>
      </c>
      <c r="W111" s="7">
        <f>U111-V111</f>
        <v/>
      </c>
    </row>
    <row r="112">
      <c r="A112" s="3" t="n">
        <v>109</v>
      </c>
      <c r="B112" s="4" t="inlineStr">
        <is>
          <t>KEI</t>
        </is>
      </c>
      <c r="C112" s="3" t="inlineStr">
        <is>
          <t>Q2 2026-27</t>
        </is>
      </c>
      <c r="D112" s="3" t="inlineStr">
        <is>
          <t>FUTURE LONG</t>
        </is>
      </c>
      <c r="E112" s="3" t="inlineStr">
        <is>
          <t>T-8 to T+1</t>
        </is>
      </c>
      <c r="F112" s="3" t="inlineStr">
        <is>
          <t>2025-01-09</t>
        </is>
      </c>
      <c r="G112" s="3" t="inlineStr">
        <is>
          <t>2025-01-22</t>
        </is>
      </c>
      <c r="H112" s="3" t="inlineStr">
        <is>
          <t>2025-01-21</t>
        </is>
      </c>
      <c r="I112" s="5" t="n">
        <v>238</v>
      </c>
      <c r="J112" s="6" t="n">
        <v>4194.03173828125</v>
      </c>
      <c r="K112" s="6" t="n">
        <v>4118.79150390625</v>
      </c>
      <c r="L112" s="7">
        <f>I112*J112</f>
        <v/>
      </c>
      <c r="M112" s="7">
        <f>I112*K112</f>
        <v/>
      </c>
      <c r="N112" s="7">
        <f>L112+M112</f>
        <v/>
      </c>
      <c r="O112" s="7">
        <f>ROUND(N112*0.0005, 2)</f>
        <v/>
      </c>
      <c r="P112" s="7">
        <f>M112-L112</f>
        <v/>
      </c>
      <c r="Q112" s="7">
        <f>P112-O112</f>
        <v/>
      </c>
      <c r="R112" s="8">
        <f>ROUND((Q112/L112)*100, 2)</f>
        <v/>
      </c>
      <c r="S112" s="7">
        <f>ROUND(0.20*L112, 2)</f>
        <v/>
      </c>
      <c r="T112" s="8">
        <f>ROUND((Q112/S112)*100, 2)</f>
        <v/>
      </c>
      <c r="U112" s="7">
        <f>U111+Q112</f>
        <v/>
      </c>
      <c r="V112" s="7">
        <f>MAX(V111, U112)</f>
        <v/>
      </c>
      <c r="W112" s="7">
        <f>U112-V112</f>
        <v/>
      </c>
    </row>
    <row r="113">
      <c r="A113" s="3" t="n">
        <v>110</v>
      </c>
      <c r="B113" s="4" t="inlineStr">
        <is>
          <t>KFINTECH</t>
        </is>
      </c>
      <c r="C113" s="3" t="inlineStr">
        <is>
          <t>Q2 2026-27</t>
        </is>
      </c>
      <c r="D113" s="3" t="inlineStr">
        <is>
          <t>FUTURE LONG</t>
        </is>
      </c>
      <c r="E113" s="3" t="inlineStr">
        <is>
          <t>T-8 to T+1</t>
        </is>
      </c>
      <c r="F113" s="3" t="inlineStr">
        <is>
          <t>2025-01-13</t>
        </is>
      </c>
      <c r="G113" s="3" t="inlineStr">
        <is>
          <t>2025-01-24</t>
        </is>
      </c>
      <c r="H113" s="3" t="inlineStr">
        <is>
          <t>2025-01-23</t>
        </is>
      </c>
      <c r="I113" s="5" t="n">
        <v>812</v>
      </c>
      <c r="J113" s="6" t="n">
        <v>1230.14599609375</v>
      </c>
      <c r="K113" s="6" t="n">
        <v>1141.69384765625</v>
      </c>
      <c r="L113" s="7">
        <f>I113*J113</f>
        <v/>
      </c>
      <c r="M113" s="7">
        <f>I113*K113</f>
        <v/>
      </c>
      <c r="N113" s="7">
        <f>L113+M113</f>
        <v/>
      </c>
      <c r="O113" s="7">
        <f>ROUND(N113*0.0005, 2)</f>
        <v/>
      </c>
      <c r="P113" s="7">
        <f>M113-L113</f>
        <v/>
      </c>
      <c r="Q113" s="7">
        <f>P113-O113</f>
        <v/>
      </c>
      <c r="R113" s="8">
        <f>ROUND((Q113/L113)*100, 2)</f>
        <v/>
      </c>
      <c r="S113" s="7">
        <f>ROUND(0.20*L113, 2)</f>
        <v/>
      </c>
      <c r="T113" s="8">
        <f>ROUND((Q113/S113)*100, 2)</f>
        <v/>
      </c>
      <c r="U113" s="7">
        <f>U112+Q113</f>
        <v/>
      </c>
      <c r="V113" s="7">
        <f>MAX(V112, U113)</f>
        <v/>
      </c>
      <c r="W113" s="7">
        <f>U113-V113</f>
        <v/>
      </c>
    </row>
    <row r="114">
      <c r="A114" s="3" t="n">
        <v>111</v>
      </c>
      <c r="B114" s="4" t="inlineStr">
        <is>
          <t>KOTAKBANK</t>
        </is>
      </c>
      <c r="C114" s="3" t="inlineStr">
        <is>
          <t>Q2 2026-27</t>
        </is>
      </c>
      <c r="D114" s="3" t="inlineStr">
        <is>
          <t>FUTURE LONG</t>
        </is>
      </c>
      <c r="E114" s="3" t="inlineStr">
        <is>
          <t>T-8 to T+1</t>
        </is>
      </c>
      <c r="F114" s="3" t="inlineStr">
        <is>
          <t>2025-01-20</t>
        </is>
      </c>
      <c r="G114" s="3" t="inlineStr">
        <is>
          <t>2025-01-31</t>
        </is>
      </c>
      <c r="H114" s="3" t="inlineStr">
        <is>
          <t>2025-01-29</t>
        </is>
      </c>
      <c r="I114" s="5" t="n">
        <v>400</v>
      </c>
      <c r="J114" s="6" t="n">
        <v>383.6576538085938</v>
      </c>
      <c r="K114" s="6" t="n">
        <v>379.8220825195313</v>
      </c>
      <c r="L114" s="7">
        <f>I114*J114</f>
        <v/>
      </c>
      <c r="M114" s="7">
        <f>I114*K114</f>
        <v/>
      </c>
      <c r="N114" s="7">
        <f>L114+M114</f>
        <v/>
      </c>
      <c r="O114" s="7">
        <f>ROUND(N114*0.0005, 2)</f>
        <v/>
      </c>
      <c r="P114" s="7">
        <f>M114-L114</f>
        <v/>
      </c>
      <c r="Q114" s="7">
        <f>P114-O114</f>
        <v/>
      </c>
      <c r="R114" s="8">
        <f>ROUND((Q114/L114)*100, 2)</f>
        <v/>
      </c>
      <c r="S114" s="7">
        <f>ROUND(0.20*L114, 2)</f>
        <v/>
      </c>
      <c r="T114" s="8">
        <f>ROUND((Q114/S114)*100, 2)</f>
        <v/>
      </c>
      <c r="U114" s="7">
        <f>U113+Q114</f>
        <v/>
      </c>
      <c r="V114" s="7">
        <f>MAX(V113, U114)</f>
        <v/>
      </c>
      <c r="W114" s="7">
        <f>U114-V114</f>
        <v/>
      </c>
    </row>
    <row r="115">
      <c r="A115" s="3" t="n">
        <v>112</v>
      </c>
      <c r="B115" s="4" t="inlineStr">
        <is>
          <t>KPITTECH</t>
        </is>
      </c>
      <c r="C115" s="3" t="inlineStr">
        <is>
          <t>Q2 2026-27</t>
        </is>
      </c>
      <c r="D115" s="3" t="inlineStr">
        <is>
          <t>FUTURE LONG</t>
        </is>
      </c>
      <c r="E115" s="3" t="inlineStr">
        <is>
          <t>T-8 to T+1</t>
        </is>
      </c>
      <c r="F115" s="3" t="inlineStr">
        <is>
          <t>2025-01-17</t>
        </is>
      </c>
      <c r="G115" s="3" t="inlineStr">
        <is>
          <t>2025-01-30</t>
        </is>
      </c>
      <c r="H115" s="3" t="inlineStr">
        <is>
          <t>2025-01-29</t>
        </is>
      </c>
      <c r="I115" s="5" t="n">
        <v>767</v>
      </c>
      <c r="J115" s="6" t="n">
        <v>1302.940307617188</v>
      </c>
      <c r="K115" s="6" t="n">
        <v>1420.1865234375</v>
      </c>
      <c r="L115" s="7">
        <f>I115*J115</f>
        <v/>
      </c>
      <c r="M115" s="7">
        <f>I115*K115</f>
        <v/>
      </c>
      <c r="N115" s="7">
        <f>L115+M115</f>
        <v/>
      </c>
      <c r="O115" s="7">
        <f>ROUND(N115*0.0005, 2)</f>
        <v/>
      </c>
      <c r="P115" s="7">
        <f>M115-L115</f>
        <v/>
      </c>
      <c r="Q115" s="7">
        <f>P115-O115</f>
        <v/>
      </c>
      <c r="R115" s="8">
        <f>ROUND((Q115/L115)*100, 2)</f>
        <v/>
      </c>
      <c r="S115" s="7">
        <f>ROUND(0.20*L115, 2)</f>
        <v/>
      </c>
      <c r="T115" s="8">
        <f>ROUND((Q115/S115)*100, 2)</f>
        <v/>
      </c>
      <c r="U115" s="7">
        <f>U114+Q115</f>
        <v/>
      </c>
      <c r="V115" s="7">
        <f>MAX(V114, U115)</f>
        <v/>
      </c>
      <c r="W115" s="7">
        <f>U115-V115</f>
        <v/>
      </c>
    </row>
    <row r="116">
      <c r="A116" s="3" t="n">
        <v>113</v>
      </c>
      <c r="B116" s="4" t="inlineStr">
        <is>
          <t>LAURUSLABS</t>
        </is>
      </c>
      <c r="C116" s="3" t="inlineStr">
        <is>
          <t>Q2 2026-27</t>
        </is>
      </c>
      <c r="D116" s="3" t="inlineStr">
        <is>
          <t>FUTURE LONG</t>
        </is>
      </c>
      <c r="E116" s="3" t="inlineStr">
        <is>
          <t>T-8 to T+1</t>
        </is>
      </c>
      <c r="F116" s="3" t="inlineStr">
        <is>
          <t>2025-01-14</t>
        </is>
      </c>
      <c r="G116" s="3" t="inlineStr">
        <is>
          <t>2025-01-27</t>
        </is>
      </c>
      <c r="H116" s="3" t="inlineStr">
        <is>
          <t>2025-01-24</t>
        </is>
      </c>
      <c r="I116" s="5" t="n">
        <v>1766</v>
      </c>
      <c r="J116" s="6" t="n">
        <v>566.1942138671875</v>
      </c>
      <c r="K116" s="6" t="n">
        <v>532.9501953125</v>
      </c>
      <c r="L116" s="7">
        <f>I116*J116</f>
        <v/>
      </c>
      <c r="M116" s="7">
        <f>I116*K116</f>
        <v/>
      </c>
      <c r="N116" s="7">
        <f>L116+M116</f>
        <v/>
      </c>
      <c r="O116" s="7">
        <f>ROUND(N116*0.0005, 2)</f>
        <v/>
      </c>
      <c r="P116" s="7">
        <f>M116-L116</f>
        <v/>
      </c>
      <c r="Q116" s="7">
        <f>P116-O116</f>
        <v/>
      </c>
      <c r="R116" s="8">
        <f>ROUND((Q116/L116)*100, 2)</f>
        <v/>
      </c>
      <c r="S116" s="7">
        <f>ROUND(0.20*L116, 2)</f>
        <v/>
      </c>
      <c r="T116" s="8">
        <f>ROUND((Q116/S116)*100, 2)</f>
        <v/>
      </c>
      <c r="U116" s="7">
        <f>U115+Q116</f>
        <v/>
      </c>
      <c r="V116" s="7">
        <f>MAX(V115, U116)</f>
        <v/>
      </c>
      <c r="W116" s="7">
        <f>U116-V116</f>
        <v/>
      </c>
    </row>
    <row r="117">
      <c r="A117" s="3" t="n">
        <v>114</v>
      </c>
      <c r="B117" s="4" t="inlineStr">
        <is>
          <t>LICHSGFIN</t>
        </is>
      </c>
      <c r="C117" s="3" t="inlineStr">
        <is>
          <t>Q2 2026-27</t>
        </is>
      </c>
      <c r="D117" s="3" t="inlineStr">
        <is>
          <t>FUTURE LONG</t>
        </is>
      </c>
      <c r="E117" s="3" t="inlineStr">
        <is>
          <t>T-8 to T+1</t>
        </is>
      </c>
      <c r="F117" s="3" t="inlineStr">
        <is>
          <t>2025-01-21</t>
        </is>
      </c>
      <c r="G117" s="3" t="inlineStr">
        <is>
          <t>2025-02-01</t>
        </is>
      </c>
      <c r="H117" s="3" t="inlineStr">
        <is>
          <t>2025-01-31</t>
        </is>
      </c>
      <c r="I117" s="5" t="n">
        <v>1815</v>
      </c>
      <c r="J117" s="6" t="n">
        <v>550.7019653320312</v>
      </c>
      <c r="K117" s="6" t="n">
        <v>574.5814819335938</v>
      </c>
      <c r="L117" s="7">
        <f>I117*J117</f>
        <v/>
      </c>
      <c r="M117" s="7">
        <f>I117*K117</f>
        <v/>
      </c>
      <c r="N117" s="7">
        <f>L117+M117</f>
        <v/>
      </c>
      <c r="O117" s="7">
        <f>ROUND(N117*0.0005, 2)</f>
        <v/>
      </c>
      <c r="P117" s="7">
        <f>M117-L117</f>
        <v/>
      </c>
      <c r="Q117" s="7">
        <f>P117-O117</f>
        <v/>
      </c>
      <c r="R117" s="8">
        <f>ROUND((Q117/L117)*100, 2)</f>
        <v/>
      </c>
      <c r="S117" s="7">
        <f>ROUND(0.20*L117, 2)</f>
        <v/>
      </c>
      <c r="T117" s="8">
        <f>ROUND((Q117/S117)*100, 2)</f>
        <v/>
      </c>
      <c r="U117" s="7">
        <f>U116+Q117</f>
        <v/>
      </c>
      <c r="V117" s="7">
        <f>MAX(V116, U117)</f>
        <v/>
      </c>
      <c r="W117" s="7">
        <f>U117-V117</f>
        <v/>
      </c>
    </row>
    <row r="118">
      <c r="A118" s="3" t="n">
        <v>115</v>
      </c>
      <c r="B118" s="4" t="inlineStr">
        <is>
          <t>LICI</t>
        </is>
      </c>
      <c r="C118" s="3" t="inlineStr">
        <is>
          <t>Q2 2026-27</t>
        </is>
      </c>
      <c r="D118" s="3" t="inlineStr">
        <is>
          <t>FUTURE LONG</t>
        </is>
      </c>
      <c r="E118" s="3" t="inlineStr">
        <is>
          <t>T-8 to T+1</t>
        </is>
      </c>
      <c r="F118" s="3" t="inlineStr">
        <is>
          <t>2026-07-20</t>
        </is>
      </c>
      <c r="G118" s="3" t="inlineStr">
        <is>
          <t>2026-07-30</t>
        </is>
      </c>
      <c r="H118" s="3" t="inlineStr">
        <is>
          <t>2026-08-06</t>
        </is>
      </c>
      <c r="I118" s="5" t="n">
        <v>2309</v>
      </c>
      <c r="J118" s="6" t="n">
        <v>433</v>
      </c>
      <c r="K118" s="6" t="n">
        <v>422.8500061035156</v>
      </c>
      <c r="L118" s="7">
        <f>I118*J118</f>
        <v/>
      </c>
      <c r="M118" s="7">
        <f>I118*K118</f>
        <v/>
      </c>
      <c r="N118" s="7">
        <f>L118+M118</f>
        <v/>
      </c>
      <c r="O118" s="7">
        <f>ROUND(N118*0.0005, 2)</f>
        <v/>
      </c>
      <c r="P118" s="7">
        <f>M118-L118</f>
        <v/>
      </c>
      <c r="Q118" s="7">
        <f>P118-O118</f>
        <v/>
      </c>
      <c r="R118" s="8">
        <f>ROUND((Q118/L118)*100, 2)</f>
        <v/>
      </c>
      <c r="S118" s="7">
        <f>ROUND(0.20*L118, 2)</f>
        <v/>
      </c>
      <c r="T118" s="8">
        <f>ROUND((Q118/S118)*100, 2)</f>
        <v/>
      </c>
      <c r="U118" s="7">
        <f>U117+Q118</f>
        <v/>
      </c>
      <c r="V118" s="7">
        <f>MAX(V117, U118)</f>
        <v/>
      </c>
      <c r="W118" s="7">
        <f>U118-V118</f>
        <v/>
      </c>
    </row>
    <row r="119">
      <c r="A119" s="3" t="n">
        <v>116</v>
      </c>
      <c r="B119" s="4" t="inlineStr">
        <is>
          <t>LODHA</t>
        </is>
      </c>
      <c r="C119" s="3" t="inlineStr">
        <is>
          <t>Q2 2026-27</t>
        </is>
      </c>
      <c r="D119" s="3" t="inlineStr">
        <is>
          <t>FUTURE LONG</t>
        </is>
      </c>
      <c r="E119" s="3" t="inlineStr">
        <is>
          <t>T-8 to T+1</t>
        </is>
      </c>
      <c r="F119" s="3" t="inlineStr">
        <is>
          <t>2025-02-27</t>
        </is>
      </c>
      <c r="G119" s="3" t="inlineStr">
        <is>
          <t>2025-03-12</t>
        </is>
      </c>
      <c r="H119" s="3" t="inlineStr">
        <is>
          <t>2025-03-11</t>
        </is>
      </c>
      <c r="I119" s="5" t="n">
        <v>839</v>
      </c>
      <c r="J119" s="6" t="n">
        <v>1191.024047851562</v>
      </c>
      <c r="K119" s="6" t="n">
        <v>1078.146118164062</v>
      </c>
      <c r="L119" s="7">
        <f>I119*J119</f>
        <v/>
      </c>
      <c r="M119" s="7">
        <f>I119*K119</f>
        <v/>
      </c>
      <c r="N119" s="7">
        <f>L119+M119</f>
        <v/>
      </c>
      <c r="O119" s="7">
        <f>ROUND(N119*0.0005, 2)</f>
        <v/>
      </c>
      <c r="P119" s="7">
        <f>M119-L119</f>
        <v/>
      </c>
      <c r="Q119" s="7">
        <f>P119-O119</f>
        <v/>
      </c>
      <c r="R119" s="8">
        <f>ROUND((Q119/L119)*100, 2)</f>
        <v/>
      </c>
      <c r="S119" s="7">
        <f>ROUND(0.20*L119, 2)</f>
        <v/>
      </c>
      <c r="T119" s="8">
        <f>ROUND((Q119/S119)*100, 2)</f>
        <v/>
      </c>
      <c r="U119" s="7">
        <f>U118+Q119</f>
        <v/>
      </c>
      <c r="V119" s="7">
        <f>MAX(V118, U119)</f>
        <v/>
      </c>
      <c r="W119" s="7">
        <f>U119-V119</f>
        <v/>
      </c>
    </row>
    <row r="120">
      <c r="A120" s="3" t="n">
        <v>117</v>
      </c>
      <c r="B120" s="4" t="inlineStr">
        <is>
          <t>LT</t>
        </is>
      </c>
      <c r="C120" s="3" t="inlineStr">
        <is>
          <t>Q2 2026-27</t>
        </is>
      </c>
      <c r="D120" s="3" t="inlineStr">
        <is>
          <t>FUTURE LONG</t>
        </is>
      </c>
      <c r="E120" s="3" t="inlineStr">
        <is>
          <t>T-8 to T+1</t>
        </is>
      </c>
      <c r="F120" s="3" t="inlineStr">
        <is>
          <t>2025-01-22</t>
        </is>
      </c>
      <c r="G120" s="3" t="inlineStr">
        <is>
          <t>2025-02-03</t>
        </is>
      </c>
      <c r="H120" s="3" t="inlineStr">
        <is>
          <t>2025-01-31</t>
        </is>
      </c>
      <c r="I120" s="5" t="n">
        <v>300</v>
      </c>
      <c r="J120" s="6" t="n">
        <v>3451.974609375</v>
      </c>
      <c r="K120" s="6" t="n">
        <v>3227.285400390625</v>
      </c>
      <c r="L120" s="7">
        <f>I120*J120</f>
        <v/>
      </c>
      <c r="M120" s="7">
        <f>I120*K120</f>
        <v/>
      </c>
      <c r="N120" s="7">
        <f>L120+M120</f>
        <v/>
      </c>
      <c r="O120" s="7">
        <f>ROUND(N120*0.0005, 2)</f>
        <v/>
      </c>
      <c r="P120" s="7">
        <f>M120-L120</f>
        <v/>
      </c>
      <c r="Q120" s="7">
        <f>P120-O120</f>
        <v/>
      </c>
      <c r="R120" s="8">
        <f>ROUND((Q120/L120)*100, 2)</f>
        <v/>
      </c>
      <c r="S120" s="7">
        <f>ROUND(0.20*L120, 2)</f>
        <v/>
      </c>
      <c r="T120" s="8">
        <f>ROUND((Q120/S120)*100, 2)</f>
        <v/>
      </c>
      <c r="U120" s="7">
        <f>U119+Q120</f>
        <v/>
      </c>
      <c r="V120" s="7">
        <f>MAX(V119, U120)</f>
        <v/>
      </c>
      <c r="W120" s="7">
        <f>U120-V120</f>
        <v/>
      </c>
    </row>
    <row r="121">
      <c r="A121" s="3" t="n">
        <v>118</v>
      </c>
      <c r="B121" s="4" t="inlineStr">
        <is>
          <t>LTF</t>
        </is>
      </c>
      <c r="C121" s="3" t="inlineStr">
        <is>
          <t>Q2 2026-27</t>
        </is>
      </c>
      <c r="D121" s="3" t="inlineStr">
        <is>
          <t>FUTURE LONG</t>
        </is>
      </c>
      <c r="E121" s="3" t="inlineStr">
        <is>
          <t>T-8 to T+1</t>
        </is>
      </c>
      <c r="F121" s="3" t="inlineStr">
        <is>
          <t>2025-01-08</t>
        </is>
      </c>
      <c r="G121" s="3" t="inlineStr">
        <is>
          <t>2025-01-21</t>
        </is>
      </c>
      <c r="H121" s="3" t="inlineStr">
        <is>
          <t>2025-01-20</t>
        </is>
      </c>
      <c r="I121" s="5" t="n">
        <v>7158</v>
      </c>
      <c r="J121" s="6" t="n">
        <v>139.6990814208984</v>
      </c>
      <c r="K121" s="6" t="n">
        <v>142.3001861572266</v>
      </c>
      <c r="L121" s="7">
        <f>I121*J121</f>
        <v/>
      </c>
      <c r="M121" s="7">
        <f>I121*K121</f>
        <v/>
      </c>
      <c r="N121" s="7">
        <f>L121+M121</f>
        <v/>
      </c>
      <c r="O121" s="7">
        <f>ROUND(N121*0.0005, 2)</f>
        <v/>
      </c>
      <c r="P121" s="7">
        <f>M121-L121</f>
        <v/>
      </c>
      <c r="Q121" s="7">
        <f>P121-O121</f>
        <v/>
      </c>
      <c r="R121" s="8">
        <f>ROUND((Q121/L121)*100, 2)</f>
        <v/>
      </c>
      <c r="S121" s="7">
        <f>ROUND(0.20*L121, 2)</f>
        <v/>
      </c>
      <c r="T121" s="8">
        <f>ROUND((Q121/S121)*100, 2)</f>
        <v/>
      </c>
      <c r="U121" s="7">
        <f>U120+Q121</f>
        <v/>
      </c>
      <c r="V121" s="7">
        <f>MAX(V120, U121)</f>
        <v/>
      </c>
      <c r="W121" s="7">
        <f>U121-V121</f>
        <v/>
      </c>
    </row>
    <row r="122">
      <c r="A122" s="3" t="n">
        <v>119</v>
      </c>
      <c r="B122" s="4" t="inlineStr">
        <is>
          <t>LTM</t>
        </is>
      </c>
      <c r="C122" s="3" t="inlineStr">
        <is>
          <t>Q2 2026-27</t>
        </is>
      </c>
      <c r="D122" s="3" t="inlineStr">
        <is>
          <t>FUTURE LONG</t>
        </is>
      </c>
      <c r="E122" s="3" t="inlineStr">
        <is>
          <t>T-8 to T+1</t>
        </is>
      </c>
      <c r="F122" s="3" t="inlineStr">
        <is>
          <t>2025-01-06</t>
        </is>
      </c>
      <c r="G122" s="3" t="inlineStr">
        <is>
          <t>2025-01-17</t>
        </is>
      </c>
      <c r="H122" s="3" t="inlineStr">
        <is>
          <t>2025-01-16</t>
        </is>
      </c>
      <c r="I122" s="5" t="n">
        <v>179</v>
      </c>
      <c r="J122" s="6" t="n">
        <v>5582.93994140625</v>
      </c>
      <c r="K122" s="6" t="n">
        <v>5737.7734375</v>
      </c>
      <c r="L122" s="7">
        <f>I122*J122</f>
        <v/>
      </c>
      <c r="M122" s="7">
        <f>I122*K122</f>
        <v/>
      </c>
      <c r="N122" s="7">
        <f>L122+M122</f>
        <v/>
      </c>
      <c r="O122" s="7">
        <f>ROUND(N122*0.0005, 2)</f>
        <v/>
      </c>
      <c r="P122" s="7">
        <f>M122-L122</f>
        <v/>
      </c>
      <c r="Q122" s="7">
        <f>P122-O122</f>
        <v/>
      </c>
      <c r="R122" s="8">
        <f>ROUND((Q122/L122)*100, 2)</f>
        <v/>
      </c>
      <c r="S122" s="7">
        <f>ROUND(0.20*L122, 2)</f>
        <v/>
      </c>
      <c r="T122" s="8">
        <f>ROUND((Q122/S122)*100, 2)</f>
        <v/>
      </c>
      <c r="U122" s="7">
        <f>U121+Q122</f>
        <v/>
      </c>
      <c r="V122" s="7">
        <f>MAX(V121, U122)</f>
        <v/>
      </c>
      <c r="W122" s="7">
        <f>U122-V122</f>
        <v/>
      </c>
    </row>
    <row r="123">
      <c r="A123" s="3" t="n">
        <v>120</v>
      </c>
      <c r="B123" s="4" t="inlineStr">
        <is>
          <t>LUPIN</t>
        </is>
      </c>
      <c r="C123" s="3" t="inlineStr">
        <is>
          <t>Q2 2026-27</t>
        </is>
      </c>
      <c r="D123" s="3" t="inlineStr">
        <is>
          <t>FUTURE LONG</t>
        </is>
      </c>
      <c r="E123" s="3" t="inlineStr">
        <is>
          <t>T-8 to T+1</t>
        </is>
      </c>
      <c r="F123" s="3" t="inlineStr">
        <is>
          <t>2025-02-01</t>
        </is>
      </c>
      <c r="G123" s="3" t="inlineStr">
        <is>
          <t>2025-02-13</t>
        </is>
      </c>
      <c r="H123" s="3" t="inlineStr">
        <is>
          <t>2025-02-12</t>
        </is>
      </c>
      <c r="I123" s="5" t="n">
        <v>492</v>
      </c>
      <c r="J123" s="6" t="n">
        <v>2028.829467773437</v>
      </c>
      <c r="K123" s="6" t="n">
        <v>2027.8427734375</v>
      </c>
      <c r="L123" s="7">
        <f>I123*J123</f>
        <v/>
      </c>
      <c r="M123" s="7">
        <f>I123*K123</f>
        <v/>
      </c>
      <c r="N123" s="7">
        <f>L123+M123</f>
        <v/>
      </c>
      <c r="O123" s="7">
        <f>ROUND(N123*0.0005, 2)</f>
        <v/>
      </c>
      <c r="P123" s="7">
        <f>M123-L123</f>
        <v/>
      </c>
      <c r="Q123" s="7">
        <f>P123-O123</f>
        <v/>
      </c>
      <c r="R123" s="8">
        <f>ROUND((Q123/L123)*100, 2)</f>
        <v/>
      </c>
      <c r="S123" s="7">
        <f>ROUND(0.20*L123, 2)</f>
        <v/>
      </c>
      <c r="T123" s="8">
        <f>ROUND((Q123/S123)*100, 2)</f>
        <v/>
      </c>
      <c r="U123" s="7">
        <f>U122+Q123</f>
        <v/>
      </c>
      <c r="V123" s="7">
        <f>MAX(V122, U123)</f>
        <v/>
      </c>
      <c r="W123" s="7">
        <f>U123-V123</f>
        <v/>
      </c>
    </row>
    <row r="124">
      <c r="A124" s="3" t="n">
        <v>121</v>
      </c>
      <c r="B124" s="4" t="inlineStr">
        <is>
          <t>M&amp;M</t>
        </is>
      </c>
      <c r="C124" s="3" t="inlineStr">
        <is>
          <t>Q2 2026-27</t>
        </is>
      </c>
      <c r="D124" s="3" t="inlineStr">
        <is>
          <t>FUTURE LONG</t>
        </is>
      </c>
      <c r="E124" s="3" t="inlineStr">
        <is>
          <t>T-8 to T+1</t>
        </is>
      </c>
      <c r="F124" s="3" t="inlineStr">
        <is>
          <t>2025-01-29</t>
        </is>
      </c>
      <c r="G124" s="3" t="inlineStr">
        <is>
          <t>2025-02-10</t>
        </is>
      </c>
      <c r="H124" s="3" t="inlineStr">
        <is>
          <t>2025-02-07</t>
        </is>
      </c>
      <c r="I124" s="5" t="n">
        <v>350</v>
      </c>
      <c r="J124" s="6" t="n">
        <v>2870.894287109375</v>
      </c>
      <c r="K124" s="6" t="n">
        <v>3079.902587890625</v>
      </c>
      <c r="L124" s="7">
        <f>I124*J124</f>
        <v/>
      </c>
      <c r="M124" s="7">
        <f>I124*K124</f>
        <v/>
      </c>
      <c r="N124" s="7">
        <f>L124+M124</f>
        <v/>
      </c>
      <c r="O124" s="7">
        <f>ROUND(N124*0.0005, 2)</f>
        <v/>
      </c>
      <c r="P124" s="7">
        <f>M124-L124</f>
        <v/>
      </c>
      <c r="Q124" s="7">
        <f>P124-O124</f>
        <v/>
      </c>
      <c r="R124" s="8">
        <f>ROUND((Q124/L124)*100, 2)</f>
        <v/>
      </c>
      <c r="S124" s="7">
        <f>ROUND(0.20*L124, 2)</f>
        <v/>
      </c>
      <c r="T124" s="8">
        <f>ROUND((Q124/S124)*100, 2)</f>
        <v/>
      </c>
      <c r="U124" s="7">
        <f>U123+Q124</f>
        <v/>
      </c>
      <c r="V124" s="7">
        <f>MAX(V123, U124)</f>
        <v/>
      </c>
      <c r="W124" s="7">
        <f>U124-V124</f>
        <v/>
      </c>
    </row>
    <row r="125">
      <c r="A125" s="3" t="n">
        <v>122</v>
      </c>
      <c r="B125" s="4" t="inlineStr">
        <is>
          <t>MAHABANK</t>
        </is>
      </c>
      <c r="C125" s="3" t="inlineStr">
        <is>
          <t>Q2 2026-27</t>
        </is>
      </c>
      <c r="D125" s="3" t="inlineStr">
        <is>
          <t>FUTURE LONG</t>
        </is>
      </c>
      <c r="E125" s="3" t="inlineStr">
        <is>
          <t>T-8 to T+1</t>
        </is>
      </c>
      <c r="F125" s="3" t="inlineStr">
        <is>
          <t>2025-01-03</t>
        </is>
      </c>
      <c r="G125" s="3" t="inlineStr">
        <is>
          <t>2025-01-16</t>
        </is>
      </c>
      <c r="H125" s="3" t="inlineStr">
        <is>
          <t>2025-01-15</t>
        </is>
      </c>
      <c r="I125" s="5" t="n">
        <v>19269</v>
      </c>
      <c r="J125" s="6" t="n">
        <v>51.89650344848633</v>
      </c>
      <c r="K125" s="6" t="n">
        <v>48.93125915527344</v>
      </c>
      <c r="L125" s="7">
        <f>I125*J125</f>
        <v/>
      </c>
      <c r="M125" s="7">
        <f>I125*K125</f>
        <v/>
      </c>
      <c r="N125" s="7">
        <f>L125+M125</f>
        <v/>
      </c>
      <c r="O125" s="7">
        <f>ROUND(N125*0.0005, 2)</f>
        <v/>
      </c>
      <c r="P125" s="7">
        <f>M125-L125</f>
        <v/>
      </c>
      <c r="Q125" s="7">
        <f>P125-O125</f>
        <v/>
      </c>
      <c r="R125" s="8">
        <f>ROUND((Q125/L125)*100, 2)</f>
        <v/>
      </c>
      <c r="S125" s="7">
        <f>ROUND(0.20*L125, 2)</f>
        <v/>
      </c>
      <c r="T125" s="8">
        <f>ROUND((Q125/S125)*100, 2)</f>
        <v/>
      </c>
      <c r="U125" s="7">
        <f>U124+Q125</f>
        <v/>
      </c>
      <c r="V125" s="7">
        <f>MAX(V124, U125)</f>
        <v/>
      </c>
      <c r="W125" s="7">
        <f>U125-V125</f>
        <v/>
      </c>
    </row>
    <row r="126">
      <c r="A126" s="3" t="n">
        <v>123</v>
      </c>
      <c r="B126" s="4" t="inlineStr">
        <is>
          <t>MANAPPURAM</t>
        </is>
      </c>
      <c r="C126" s="3" t="inlineStr">
        <is>
          <t>Q2 2026-27</t>
        </is>
      </c>
      <c r="D126" s="3" t="inlineStr">
        <is>
          <t>FUTURE LONG</t>
        </is>
      </c>
      <c r="E126" s="3" t="inlineStr">
        <is>
          <t>T-8 to T+1</t>
        </is>
      </c>
      <c r="F126" s="3" t="inlineStr">
        <is>
          <t>2025-02-04</t>
        </is>
      </c>
      <c r="G126" s="3" t="inlineStr">
        <is>
          <t>2025-02-17</t>
        </is>
      </c>
      <c r="H126" s="3" t="inlineStr">
        <is>
          <t>2025-02-14</t>
        </is>
      </c>
      <c r="I126" s="5" t="n">
        <v>4934</v>
      </c>
      <c r="J126" s="6" t="n">
        <v>202.6637573242188</v>
      </c>
      <c r="K126" s="6" t="n">
        <v>190.5851745605469</v>
      </c>
      <c r="L126" s="7">
        <f>I126*J126</f>
        <v/>
      </c>
      <c r="M126" s="7">
        <f>I126*K126</f>
        <v/>
      </c>
      <c r="N126" s="7">
        <f>L126+M126</f>
        <v/>
      </c>
      <c r="O126" s="7">
        <f>ROUND(N126*0.0005, 2)</f>
        <v/>
      </c>
      <c r="P126" s="7">
        <f>M126-L126</f>
        <v/>
      </c>
      <c r="Q126" s="7">
        <f>P126-O126</f>
        <v/>
      </c>
      <c r="R126" s="8">
        <f>ROUND((Q126/L126)*100, 2)</f>
        <v/>
      </c>
      <c r="S126" s="7">
        <f>ROUND(0.20*L126, 2)</f>
        <v/>
      </c>
      <c r="T126" s="8">
        <f>ROUND((Q126/S126)*100, 2)</f>
        <v/>
      </c>
      <c r="U126" s="7">
        <f>U125+Q126</f>
        <v/>
      </c>
      <c r="V126" s="7">
        <f>MAX(V125, U126)</f>
        <v/>
      </c>
      <c r="W126" s="7">
        <f>U126-V126</f>
        <v/>
      </c>
    </row>
    <row r="127">
      <c r="A127" s="3" t="n">
        <v>124</v>
      </c>
      <c r="B127" s="4" t="inlineStr">
        <is>
          <t>MANKIND</t>
        </is>
      </c>
      <c r="C127" s="3" t="inlineStr">
        <is>
          <t>Q2 2026-27</t>
        </is>
      </c>
      <c r="D127" s="3" t="inlineStr">
        <is>
          <t>FUTURE LONG</t>
        </is>
      </c>
      <c r="E127" s="3" t="inlineStr">
        <is>
          <t>T-8 to T+1</t>
        </is>
      </c>
      <c r="F127" s="3" t="inlineStr">
        <is>
          <t>2025-01-14</t>
        </is>
      </c>
      <c r="G127" s="3" t="inlineStr">
        <is>
          <t>2025-01-27</t>
        </is>
      </c>
      <c r="H127" s="3" t="inlineStr">
        <is>
          <t>2025-01-24</t>
        </is>
      </c>
      <c r="I127" s="5" t="n">
        <v>375</v>
      </c>
      <c r="J127" s="6" t="n">
        <v>2664.799560546875</v>
      </c>
      <c r="K127" s="6" t="n">
        <v>2452.98291015625</v>
      </c>
      <c r="L127" s="7">
        <f>I127*J127</f>
        <v/>
      </c>
      <c r="M127" s="7">
        <f>I127*K127</f>
        <v/>
      </c>
      <c r="N127" s="7">
        <f>L127+M127</f>
        <v/>
      </c>
      <c r="O127" s="7">
        <f>ROUND(N127*0.0005, 2)</f>
        <v/>
      </c>
      <c r="P127" s="7">
        <f>M127-L127</f>
        <v/>
      </c>
      <c r="Q127" s="7">
        <f>P127-O127</f>
        <v/>
      </c>
      <c r="R127" s="8">
        <f>ROUND((Q127/L127)*100, 2)</f>
        <v/>
      </c>
      <c r="S127" s="7">
        <f>ROUND(0.20*L127, 2)</f>
        <v/>
      </c>
      <c r="T127" s="8">
        <f>ROUND((Q127/S127)*100, 2)</f>
        <v/>
      </c>
      <c r="U127" s="7">
        <f>U126+Q127</f>
        <v/>
      </c>
      <c r="V127" s="7">
        <f>MAX(V126, U127)</f>
        <v/>
      </c>
      <c r="W127" s="7">
        <f>U127-V127</f>
        <v/>
      </c>
    </row>
    <row r="128">
      <c r="A128" s="3" t="n">
        <v>125</v>
      </c>
      <c r="B128" s="4" t="inlineStr">
        <is>
          <t>MARICO</t>
        </is>
      </c>
      <c r="C128" s="3" t="inlineStr">
        <is>
          <t>Q2 2026-27</t>
        </is>
      </c>
      <c r="D128" s="3" t="inlineStr">
        <is>
          <t>FUTURE LONG</t>
        </is>
      </c>
      <c r="E128" s="3" t="inlineStr">
        <is>
          <t>T-8 to T+1</t>
        </is>
      </c>
      <c r="F128" s="3" t="inlineStr">
        <is>
          <t>2025-01-21</t>
        </is>
      </c>
      <c r="G128" s="3" t="inlineStr">
        <is>
          <t>2025-02-01</t>
        </is>
      </c>
      <c r="H128" s="3" t="inlineStr">
        <is>
          <t>2025-01-31</t>
        </is>
      </c>
      <c r="I128" s="5" t="n">
        <v>1530</v>
      </c>
      <c r="J128" s="6" t="n">
        <v>653.3493041992188</v>
      </c>
      <c r="K128" s="6" t="n">
        <v>680.6048583984375</v>
      </c>
      <c r="L128" s="7">
        <f>I128*J128</f>
        <v/>
      </c>
      <c r="M128" s="7">
        <f>I128*K128</f>
        <v/>
      </c>
      <c r="N128" s="7">
        <f>L128+M128</f>
        <v/>
      </c>
      <c r="O128" s="7">
        <f>ROUND(N128*0.0005, 2)</f>
        <v/>
      </c>
      <c r="P128" s="7">
        <f>M128-L128</f>
        <v/>
      </c>
      <c r="Q128" s="7">
        <f>P128-O128</f>
        <v/>
      </c>
      <c r="R128" s="8">
        <f>ROUND((Q128/L128)*100, 2)</f>
        <v/>
      </c>
      <c r="S128" s="7">
        <f>ROUND(0.20*L128, 2)</f>
        <v/>
      </c>
      <c r="T128" s="8">
        <f>ROUND((Q128/S128)*100, 2)</f>
        <v/>
      </c>
      <c r="U128" s="7">
        <f>U127+Q128</f>
        <v/>
      </c>
      <c r="V128" s="7">
        <f>MAX(V127, U128)</f>
        <v/>
      </c>
      <c r="W128" s="7">
        <f>U128-V128</f>
        <v/>
      </c>
    </row>
    <row r="129">
      <c r="A129" s="3" t="n">
        <v>126</v>
      </c>
      <c r="B129" s="4" t="inlineStr">
        <is>
          <t>MARUTI</t>
        </is>
      </c>
      <c r="C129" s="3" t="inlineStr">
        <is>
          <t>Q2 2026-27</t>
        </is>
      </c>
      <c r="D129" s="3" t="inlineStr">
        <is>
          <t>FUTURE LONG</t>
        </is>
      </c>
      <c r="E129" s="3" t="inlineStr">
        <is>
          <t>T-8 to T+1</t>
        </is>
      </c>
      <c r="F129" s="3" t="inlineStr">
        <is>
          <t>2025-01-20</t>
        </is>
      </c>
      <c r="G129" s="3" t="inlineStr">
        <is>
          <t>2025-01-31</t>
        </is>
      </c>
      <c r="H129" s="3" t="inlineStr">
        <is>
          <t>2025-01-29</t>
        </is>
      </c>
      <c r="I129" s="5" t="n">
        <v>100</v>
      </c>
      <c r="J129" s="6" t="n">
        <v>11891.3447265625</v>
      </c>
      <c r="K129" s="6" t="n">
        <v>12178.833984375</v>
      </c>
      <c r="L129" s="7">
        <f>I129*J129</f>
        <v/>
      </c>
      <c r="M129" s="7">
        <f>I129*K129</f>
        <v/>
      </c>
      <c r="N129" s="7">
        <f>L129+M129</f>
        <v/>
      </c>
      <c r="O129" s="7">
        <f>ROUND(N129*0.0005, 2)</f>
        <v/>
      </c>
      <c r="P129" s="7">
        <f>M129-L129</f>
        <v/>
      </c>
      <c r="Q129" s="7">
        <f>P129-O129</f>
        <v/>
      </c>
      <c r="R129" s="8">
        <f>ROUND((Q129/L129)*100, 2)</f>
        <v/>
      </c>
      <c r="S129" s="7">
        <f>ROUND(0.20*L129, 2)</f>
        <v/>
      </c>
      <c r="T129" s="8">
        <f>ROUND((Q129/S129)*100, 2)</f>
        <v/>
      </c>
      <c r="U129" s="7">
        <f>U128+Q129</f>
        <v/>
      </c>
      <c r="V129" s="7">
        <f>MAX(V128, U129)</f>
        <v/>
      </c>
      <c r="W129" s="7">
        <f>U129-V129</f>
        <v/>
      </c>
    </row>
    <row r="130">
      <c r="A130" s="3" t="n">
        <v>127</v>
      </c>
      <c r="B130" s="4" t="inlineStr">
        <is>
          <t>MAXHEALTH</t>
        </is>
      </c>
      <c r="C130" s="3" t="inlineStr">
        <is>
          <t>Q2 2026-27</t>
        </is>
      </c>
      <c r="D130" s="3" t="inlineStr">
        <is>
          <t>FUTURE LONG</t>
        </is>
      </c>
      <c r="E130" s="3" t="inlineStr">
        <is>
          <t>T-8 to T+1</t>
        </is>
      </c>
      <c r="F130" s="3" t="inlineStr">
        <is>
          <t>2025-01-20</t>
        </is>
      </c>
      <c r="G130" s="3" t="inlineStr">
        <is>
          <t>2025-01-31</t>
        </is>
      </c>
      <c r="H130" s="3" t="inlineStr">
        <is>
          <t>2025-01-30</t>
        </is>
      </c>
      <c r="I130" s="5" t="n">
        <v>941</v>
      </c>
      <c r="J130" s="6" t="n">
        <v>1061.78564453125</v>
      </c>
      <c r="K130" s="6" t="n">
        <v>1058.146240234375</v>
      </c>
      <c r="L130" s="7">
        <f>I130*J130</f>
        <v/>
      </c>
      <c r="M130" s="7">
        <f>I130*K130</f>
        <v/>
      </c>
      <c r="N130" s="7">
        <f>L130+M130</f>
        <v/>
      </c>
      <c r="O130" s="7">
        <f>ROUND(N130*0.0005, 2)</f>
        <v/>
      </c>
      <c r="P130" s="7">
        <f>M130-L130</f>
        <v/>
      </c>
      <c r="Q130" s="7">
        <f>P130-O130</f>
        <v/>
      </c>
      <c r="R130" s="8">
        <f>ROUND((Q130/L130)*100, 2)</f>
        <v/>
      </c>
      <c r="S130" s="7">
        <f>ROUND(0.20*L130, 2)</f>
        <v/>
      </c>
      <c r="T130" s="8">
        <f>ROUND((Q130/S130)*100, 2)</f>
        <v/>
      </c>
      <c r="U130" s="7">
        <f>U129+Q130</f>
        <v/>
      </c>
      <c r="V130" s="7">
        <f>MAX(V129, U130)</f>
        <v/>
      </c>
      <c r="W130" s="7">
        <f>U130-V130</f>
        <v/>
      </c>
    </row>
    <row r="131">
      <c r="A131" s="3" t="n">
        <v>128</v>
      </c>
      <c r="B131" s="4" t="inlineStr">
        <is>
          <t>MAZDOCK</t>
        </is>
      </c>
      <c r="C131" s="3" t="inlineStr">
        <is>
          <t>Q2 2026-27</t>
        </is>
      </c>
      <c r="D131" s="3" t="inlineStr">
        <is>
          <t>FUTURE LONG</t>
        </is>
      </c>
      <c r="E131" s="3" t="inlineStr">
        <is>
          <t>T-8 to T+1</t>
        </is>
      </c>
      <c r="F131" s="3" t="inlineStr">
        <is>
          <t>2025-01-29</t>
        </is>
      </c>
      <c r="G131" s="3" t="inlineStr">
        <is>
          <t>2025-02-10</t>
        </is>
      </c>
      <c r="H131" s="3" t="inlineStr">
        <is>
          <t>2025-02-07</t>
        </is>
      </c>
      <c r="I131" s="5" t="n">
        <v>427</v>
      </c>
      <c r="J131" s="6" t="n">
        <v>2337.845458984375</v>
      </c>
      <c r="K131" s="6" t="n">
        <v>2185.06982421875</v>
      </c>
      <c r="L131" s="7">
        <f>I131*J131</f>
        <v/>
      </c>
      <c r="M131" s="7">
        <f>I131*K131</f>
        <v/>
      </c>
      <c r="N131" s="7">
        <f>L131+M131</f>
        <v/>
      </c>
      <c r="O131" s="7">
        <f>ROUND(N131*0.0005, 2)</f>
        <v/>
      </c>
      <c r="P131" s="7">
        <f>M131-L131</f>
        <v/>
      </c>
      <c r="Q131" s="7">
        <f>P131-O131</f>
        <v/>
      </c>
      <c r="R131" s="8">
        <f>ROUND((Q131/L131)*100, 2)</f>
        <v/>
      </c>
      <c r="S131" s="7">
        <f>ROUND(0.20*L131, 2)</f>
        <v/>
      </c>
      <c r="T131" s="8">
        <f>ROUND((Q131/S131)*100, 2)</f>
        <v/>
      </c>
      <c r="U131" s="7">
        <f>U130+Q131</f>
        <v/>
      </c>
      <c r="V131" s="7">
        <f>MAX(V130, U131)</f>
        <v/>
      </c>
      <c r="W131" s="7">
        <f>U131-V131</f>
        <v/>
      </c>
    </row>
    <row r="132">
      <c r="A132" s="3" t="n">
        <v>129</v>
      </c>
      <c r="B132" s="4" t="inlineStr">
        <is>
          <t>MCX</t>
        </is>
      </c>
      <c r="C132" s="3" t="inlineStr">
        <is>
          <t>Q2 2026-27</t>
        </is>
      </c>
      <c r="D132" s="3" t="inlineStr">
        <is>
          <t>FUTURE LONG</t>
        </is>
      </c>
      <c r="E132" s="3" t="inlineStr">
        <is>
          <t>T-8 to T+1</t>
        </is>
      </c>
      <c r="F132" s="3" t="inlineStr">
        <is>
          <t>2016-06-21</t>
        </is>
      </c>
      <c r="G132" s="3" t="inlineStr">
        <is>
          <t>2016-07-04</t>
        </is>
      </c>
      <c r="H132" s="3" t="inlineStr">
        <is>
          <t>2016-06-30</t>
        </is>
      </c>
      <c r="I132" s="5" t="n">
        <v>5767</v>
      </c>
      <c r="J132" s="6" t="n">
        <v>173.3859100341797</v>
      </c>
      <c r="K132" s="6" t="n">
        <v>180.1510314941407</v>
      </c>
      <c r="L132" s="7">
        <f>I132*J132</f>
        <v/>
      </c>
      <c r="M132" s="7">
        <f>I132*K132</f>
        <v/>
      </c>
      <c r="N132" s="7">
        <f>L132+M132</f>
        <v/>
      </c>
      <c r="O132" s="7">
        <f>ROUND(N132*0.0005, 2)</f>
        <v/>
      </c>
      <c r="P132" s="7">
        <f>M132-L132</f>
        <v/>
      </c>
      <c r="Q132" s="7">
        <f>P132-O132</f>
        <v/>
      </c>
      <c r="R132" s="8">
        <f>ROUND((Q132/L132)*100, 2)</f>
        <v/>
      </c>
      <c r="S132" s="7">
        <f>ROUND(0.20*L132, 2)</f>
        <v/>
      </c>
      <c r="T132" s="8">
        <f>ROUND((Q132/S132)*100, 2)</f>
        <v/>
      </c>
      <c r="U132" s="7">
        <f>U131+Q132</f>
        <v/>
      </c>
      <c r="V132" s="7">
        <f>MAX(V131, U132)</f>
        <v/>
      </c>
      <c r="W132" s="7">
        <f>U132-V132</f>
        <v/>
      </c>
    </row>
    <row r="133">
      <c r="A133" s="3" t="n">
        <v>130</v>
      </c>
      <c r="B133" s="4" t="inlineStr">
        <is>
          <t>MFSL</t>
        </is>
      </c>
      <c r="C133" s="3" t="inlineStr">
        <is>
          <t>Q2 2026-27</t>
        </is>
      </c>
      <c r="D133" s="3" t="inlineStr">
        <is>
          <t>FUTURE LONG</t>
        </is>
      </c>
      <c r="E133" s="3" t="inlineStr">
        <is>
          <t>T-8 to T+1</t>
        </is>
      </c>
      <c r="F133" s="3" t="inlineStr">
        <is>
          <t>2025-01-24</t>
        </is>
      </c>
      <c r="G133" s="3" t="inlineStr">
        <is>
          <t>2025-02-05</t>
        </is>
      </c>
      <c r="H133" s="3" t="inlineStr">
        <is>
          <t>2025-02-04</t>
        </is>
      </c>
      <c r="I133" s="5" t="n">
        <v>961</v>
      </c>
      <c r="J133" s="6" t="n">
        <v>1040.300048828125</v>
      </c>
      <c r="K133" s="6" t="n">
        <v>1118.5</v>
      </c>
      <c r="L133" s="7">
        <f>I133*J133</f>
        <v/>
      </c>
      <c r="M133" s="7">
        <f>I133*K133</f>
        <v/>
      </c>
      <c r="N133" s="7">
        <f>L133+M133</f>
        <v/>
      </c>
      <c r="O133" s="7">
        <f>ROUND(N133*0.0005, 2)</f>
        <v/>
      </c>
      <c r="P133" s="7">
        <f>M133-L133</f>
        <v/>
      </c>
      <c r="Q133" s="7">
        <f>P133-O133</f>
        <v/>
      </c>
      <c r="R133" s="8">
        <f>ROUND((Q133/L133)*100, 2)</f>
        <v/>
      </c>
      <c r="S133" s="7">
        <f>ROUND(0.20*L133, 2)</f>
        <v/>
      </c>
      <c r="T133" s="8">
        <f>ROUND((Q133/S133)*100, 2)</f>
        <v/>
      </c>
      <c r="U133" s="7">
        <f>U132+Q133</f>
        <v/>
      </c>
      <c r="V133" s="7">
        <f>MAX(V132, U133)</f>
        <v/>
      </c>
      <c r="W133" s="7">
        <f>U133-V133</f>
        <v/>
      </c>
    </row>
    <row r="134">
      <c r="A134" s="3" t="n">
        <v>131</v>
      </c>
      <c r="B134" s="4" t="inlineStr">
        <is>
          <t>MOTHERSON</t>
        </is>
      </c>
      <c r="C134" s="3" t="inlineStr">
        <is>
          <t>Q2 2026-27</t>
        </is>
      </c>
      <c r="D134" s="3" t="inlineStr">
        <is>
          <t>FUTURE LONG</t>
        </is>
      </c>
      <c r="E134" s="3" t="inlineStr">
        <is>
          <t>T-8 to T+1</t>
        </is>
      </c>
      <c r="F134" s="3" t="inlineStr">
        <is>
          <t>2025-02-04</t>
        </is>
      </c>
      <c r="G134" s="3" t="inlineStr">
        <is>
          <t>2025-02-17</t>
        </is>
      </c>
      <c r="H134" s="3" t="inlineStr">
        <is>
          <t>2025-02-14</t>
        </is>
      </c>
      <c r="I134" s="5" t="n">
        <v>10995</v>
      </c>
      <c r="J134" s="6" t="n">
        <v>90.94387817382812</v>
      </c>
      <c r="K134" s="6" t="n">
        <v>82.28602600097656</v>
      </c>
      <c r="L134" s="7">
        <f>I134*J134</f>
        <v/>
      </c>
      <c r="M134" s="7">
        <f>I134*K134</f>
        <v/>
      </c>
      <c r="N134" s="7">
        <f>L134+M134</f>
        <v/>
      </c>
      <c r="O134" s="7">
        <f>ROUND(N134*0.0005, 2)</f>
        <v/>
      </c>
      <c r="P134" s="7">
        <f>M134-L134</f>
        <v/>
      </c>
      <c r="Q134" s="7">
        <f>P134-O134</f>
        <v/>
      </c>
      <c r="R134" s="8">
        <f>ROUND((Q134/L134)*100, 2)</f>
        <v/>
      </c>
      <c r="S134" s="7">
        <f>ROUND(0.20*L134, 2)</f>
        <v/>
      </c>
      <c r="T134" s="8">
        <f>ROUND((Q134/S134)*100, 2)</f>
        <v/>
      </c>
      <c r="U134" s="7">
        <f>U133+Q134</f>
        <v/>
      </c>
      <c r="V134" s="7">
        <f>MAX(V133, U134)</f>
        <v/>
      </c>
      <c r="W134" s="7">
        <f>U134-V134</f>
        <v/>
      </c>
    </row>
    <row r="135">
      <c r="A135" s="3" t="n">
        <v>132</v>
      </c>
      <c r="B135" s="4" t="inlineStr">
        <is>
          <t>MOTILALOFS</t>
        </is>
      </c>
      <c r="C135" s="3" t="inlineStr">
        <is>
          <t>Q2 2026-27</t>
        </is>
      </c>
      <c r="D135" s="3" t="inlineStr">
        <is>
          <t>FUTURE LONG</t>
        </is>
      </c>
      <c r="E135" s="3" t="inlineStr">
        <is>
          <t>T-8 to T+1</t>
        </is>
      </c>
      <c r="F135" s="3" t="inlineStr">
        <is>
          <t>2025-01-17</t>
        </is>
      </c>
      <c r="G135" s="3" t="inlineStr">
        <is>
          <t>2025-01-30</t>
        </is>
      </c>
      <c r="H135" s="3" t="inlineStr">
        <is>
          <t>2025-01-29</t>
        </is>
      </c>
      <c r="I135" s="5" t="n">
        <v>1276</v>
      </c>
      <c r="J135" s="6" t="n">
        <v>783.266845703125</v>
      </c>
      <c r="K135" s="6" t="n">
        <v>635.6691284179688</v>
      </c>
      <c r="L135" s="7">
        <f>I135*J135</f>
        <v/>
      </c>
      <c r="M135" s="7">
        <f>I135*K135</f>
        <v/>
      </c>
      <c r="N135" s="7">
        <f>L135+M135</f>
        <v/>
      </c>
      <c r="O135" s="7">
        <f>ROUND(N135*0.0005, 2)</f>
        <v/>
      </c>
      <c r="P135" s="7">
        <f>M135-L135</f>
        <v/>
      </c>
      <c r="Q135" s="7">
        <f>P135-O135</f>
        <v/>
      </c>
      <c r="R135" s="8">
        <f>ROUND((Q135/L135)*100, 2)</f>
        <v/>
      </c>
      <c r="S135" s="7">
        <f>ROUND(0.20*L135, 2)</f>
        <v/>
      </c>
      <c r="T135" s="8">
        <f>ROUND((Q135/S135)*100, 2)</f>
        <v/>
      </c>
      <c r="U135" s="7">
        <f>U134+Q135</f>
        <v/>
      </c>
      <c r="V135" s="7">
        <f>MAX(V134, U135)</f>
        <v/>
      </c>
      <c r="W135" s="7">
        <f>U135-V135</f>
        <v/>
      </c>
    </row>
    <row r="136">
      <c r="A136" s="3" t="n">
        <v>133</v>
      </c>
      <c r="B136" s="4" t="inlineStr">
        <is>
          <t>MPHASIS</t>
        </is>
      </c>
      <c r="C136" s="3" t="inlineStr">
        <is>
          <t>Q2 2026-27</t>
        </is>
      </c>
      <c r="D136" s="3" t="inlineStr">
        <is>
          <t>FUTURE LONG</t>
        </is>
      </c>
      <c r="E136" s="3" t="inlineStr">
        <is>
          <t>T-8 to T+1</t>
        </is>
      </c>
      <c r="F136" s="3" t="inlineStr">
        <is>
          <t>2025-01-14</t>
        </is>
      </c>
      <c r="G136" s="3" t="inlineStr">
        <is>
          <t>2025-01-27</t>
        </is>
      </c>
      <c r="H136" s="3" t="inlineStr">
        <is>
          <t>2025-01-24</t>
        </is>
      </c>
      <c r="I136" s="5" t="n">
        <v>376</v>
      </c>
      <c r="J136" s="6" t="n">
        <v>2654.61474609375</v>
      </c>
      <c r="K136" s="6" t="n">
        <v>2804.377197265625</v>
      </c>
      <c r="L136" s="7">
        <f>I136*J136</f>
        <v/>
      </c>
      <c r="M136" s="7">
        <f>I136*K136</f>
        <v/>
      </c>
      <c r="N136" s="7">
        <f>L136+M136</f>
        <v/>
      </c>
      <c r="O136" s="7">
        <f>ROUND(N136*0.0005, 2)</f>
        <v/>
      </c>
      <c r="P136" s="7">
        <f>M136-L136</f>
        <v/>
      </c>
      <c r="Q136" s="7">
        <f>P136-O136</f>
        <v/>
      </c>
      <c r="R136" s="8">
        <f>ROUND((Q136/L136)*100, 2)</f>
        <v/>
      </c>
      <c r="S136" s="7">
        <f>ROUND(0.20*L136, 2)</f>
        <v/>
      </c>
      <c r="T136" s="8">
        <f>ROUND((Q136/S136)*100, 2)</f>
        <v/>
      </c>
      <c r="U136" s="7">
        <f>U135+Q136</f>
        <v/>
      </c>
      <c r="V136" s="7">
        <f>MAX(V135, U136)</f>
        <v/>
      </c>
      <c r="W136" s="7">
        <f>U136-V136</f>
        <v/>
      </c>
    </row>
    <row r="137">
      <c r="A137" s="3" t="n">
        <v>134</v>
      </c>
      <c r="B137" s="4" t="inlineStr">
        <is>
          <t>MUTHOOTFIN</t>
        </is>
      </c>
      <c r="C137" s="3" t="inlineStr">
        <is>
          <t>Q2 2026-27</t>
        </is>
      </c>
      <c r="D137" s="3" t="inlineStr">
        <is>
          <t>FUTURE LONG</t>
        </is>
      </c>
      <c r="E137" s="3" t="inlineStr">
        <is>
          <t>T-8 to T+1</t>
        </is>
      </c>
      <c r="F137" s="3" t="inlineStr">
        <is>
          <t>2026-07-20</t>
        </is>
      </c>
      <c r="G137" s="3" t="inlineStr">
        <is>
          <t>2026-07-30</t>
        </is>
      </c>
      <c r="H137" s="3" t="inlineStr">
        <is>
          <t>2026-08-03</t>
        </is>
      </c>
      <c r="I137" s="5" t="n">
        <v>335</v>
      </c>
      <c r="J137" s="6" t="n">
        <v>2982.800048828125</v>
      </c>
      <c r="K137" s="6" t="n">
        <v>3008.699951171875</v>
      </c>
      <c r="L137" s="7">
        <f>I137*J137</f>
        <v/>
      </c>
      <c r="M137" s="7">
        <f>I137*K137</f>
        <v/>
      </c>
      <c r="N137" s="7">
        <f>L137+M137</f>
        <v/>
      </c>
      <c r="O137" s="7">
        <f>ROUND(N137*0.0005, 2)</f>
        <v/>
      </c>
      <c r="P137" s="7">
        <f>M137-L137</f>
        <v/>
      </c>
      <c r="Q137" s="7">
        <f>P137-O137</f>
        <v/>
      </c>
      <c r="R137" s="8">
        <f>ROUND((Q137/L137)*100, 2)</f>
        <v/>
      </c>
      <c r="S137" s="7">
        <f>ROUND(0.20*L137, 2)</f>
        <v/>
      </c>
      <c r="T137" s="8">
        <f>ROUND((Q137/S137)*100, 2)</f>
        <v/>
      </c>
      <c r="U137" s="7">
        <f>U136+Q137</f>
        <v/>
      </c>
      <c r="V137" s="7">
        <f>MAX(V136, U137)</f>
        <v/>
      </c>
      <c r="W137" s="7">
        <f>U137-V137</f>
        <v/>
      </c>
    </row>
    <row r="138">
      <c r="A138" s="3" t="n">
        <v>135</v>
      </c>
      <c r="B138" s="4" t="inlineStr">
        <is>
          <t>NAM-INDIA</t>
        </is>
      </c>
      <c r="C138" s="3" t="inlineStr">
        <is>
          <t>Q2 2026-27</t>
        </is>
      </c>
      <c r="D138" s="3" t="inlineStr">
        <is>
          <t>FUTURE LONG</t>
        </is>
      </c>
      <c r="E138" s="3" t="inlineStr">
        <is>
          <t>T-8 to T+1</t>
        </is>
      </c>
      <c r="F138" s="3" t="inlineStr">
        <is>
          <t>2025-01-13</t>
        </is>
      </c>
      <c r="G138" s="3" t="inlineStr">
        <is>
          <t>2025-01-24</t>
        </is>
      </c>
      <c r="H138" s="3" t="inlineStr">
        <is>
          <t>2025-01-23</t>
        </is>
      </c>
      <c r="I138" s="5" t="n">
        <v>1626</v>
      </c>
      <c r="J138" s="6" t="n">
        <v>614.7643432617188</v>
      </c>
      <c r="K138" s="6" t="n">
        <v>600.4056396484375</v>
      </c>
      <c r="L138" s="7">
        <f>I138*J138</f>
        <v/>
      </c>
      <c r="M138" s="7">
        <f>I138*K138</f>
        <v/>
      </c>
      <c r="N138" s="7">
        <f>L138+M138</f>
        <v/>
      </c>
      <c r="O138" s="7">
        <f>ROUND(N138*0.0005, 2)</f>
        <v/>
      </c>
      <c r="P138" s="7">
        <f>M138-L138</f>
        <v/>
      </c>
      <c r="Q138" s="7">
        <f>P138-O138</f>
        <v/>
      </c>
      <c r="R138" s="8">
        <f>ROUND((Q138/L138)*100, 2)</f>
        <v/>
      </c>
      <c r="S138" s="7">
        <f>ROUND(0.20*L138, 2)</f>
        <v/>
      </c>
      <c r="T138" s="8">
        <f>ROUND((Q138/S138)*100, 2)</f>
        <v/>
      </c>
      <c r="U138" s="7">
        <f>U137+Q138</f>
        <v/>
      </c>
      <c r="V138" s="7">
        <f>MAX(V137, U138)</f>
        <v/>
      </c>
      <c r="W138" s="7">
        <f>U138-V138</f>
        <v/>
      </c>
    </row>
    <row r="139">
      <c r="A139" s="3" t="n">
        <v>136</v>
      </c>
      <c r="B139" s="4" t="inlineStr">
        <is>
          <t>NATIONALUM</t>
        </is>
      </c>
      <c r="C139" s="3" t="inlineStr">
        <is>
          <t>Q2 2026-27</t>
        </is>
      </c>
      <c r="D139" s="3" t="inlineStr">
        <is>
          <t>FUTURE LONG</t>
        </is>
      </c>
      <c r="E139" s="3" t="inlineStr">
        <is>
          <t>T-8 to T+1</t>
        </is>
      </c>
      <c r="F139" s="3" t="inlineStr">
        <is>
          <t>2025-01-30</t>
        </is>
      </c>
      <c r="G139" s="3" t="inlineStr">
        <is>
          <t>2025-02-11</t>
        </is>
      </c>
      <c r="H139" s="3" t="inlineStr">
        <is>
          <t>2025-02-10</t>
        </is>
      </c>
      <c r="I139" s="5" t="n">
        <v>5527</v>
      </c>
      <c r="J139" s="6" t="n">
        <v>180.9234771728516</v>
      </c>
      <c r="K139" s="6" t="n">
        <v>171.7241363525391</v>
      </c>
      <c r="L139" s="7">
        <f>I139*J139</f>
        <v/>
      </c>
      <c r="M139" s="7">
        <f>I139*K139</f>
        <v/>
      </c>
      <c r="N139" s="7">
        <f>L139+M139</f>
        <v/>
      </c>
      <c r="O139" s="7">
        <f>ROUND(N139*0.0005, 2)</f>
        <v/>
      </c>
      <c r="P139" s="7">
        <f>M139-L139</f>
        <v/>
      </c>
      <c r="Q139" s="7">
        <f>P139-O139</f>
        <v/>
      </c>
      <c r="R139" s="8">
        <f>ROUND((Q139/L139)*100, 2)</f>
        <v/>
      </c>
      <c r="S139" s="7">
        <f>ROUND(0.20*L139, 2)</f>
        <v/>
      </c>
      <c r="T139" s="8">
        <f>ROUND((Q139/S139)*100, 2)</f>
        <v/>
      </c>
      <c r="U139" s="7">
        <f>U138+Q139</f>
        <v/>
      </c>
      <c r="V139" s="7">
        <f>MAX(V138, U139)</f>
        <v/>
      </c>
      <c r="W139" s="7">
        <f>U139-V139</f>
        <v/>
      </c>
    </row>
    <row r="140">
      <c r="A140" s="3" t="n">
        <v>137</v>
      </c>
      <c r="B140" s="4" t="inlineStr">
        <is>
          <t>NAUKRI</t>
        </is>
      </c>
      <c r="C140" s="3" t="inlineStr">
        <is>
          <t>Q2 2026-27</t>
        </is>
      </c>
      <c r="D140" s="3" t="inlineStr">
        <is>
          <t>FUTURE LONG</t>
        </is>
      </c>
      <c r="E140" s="3" t="inlineStr">
        <is>
          <t>T-8 to T+1</t>
        </is>
      </c>
      <c r="F140" s="3" t="inlineStr">
        <is>
          <t>2025-01-27</t>
        </is>
      </c>
      <c r="G140" s="3" t="inlineStr">
        <is>
          <t>2025-02-06</t>
        </is>
      </c>
      <c r="H140" s="3" t="inlineStr">
        <is>
          <t>2025-02-05</t>
        </is>
      </c>
      <c r="I140" s="5" t="n">
        <v>720</v>
      </c>
      <c r="J140" s="6" t="n">
        <v>1388.64111328125</v>
      </c>
      <c r="K140" s="6" t="n">
        <v>1594.999267578125</v>
      </c>
      <c r="L140" s="7">
        <f>I140*J140</f>
        <v/>
      </c>
      <c r="M140" s="7">
        <f>I140*K140</f>
        <v/>
      </c>
      <c r="N140" s="7">
        <f>L140+M140</f>
        <v/>
      </c>
      <c r="O140" s="7">
        <f>ROUND(N140*0.0005, 2)</f>
        <v/>
      </c>
      <c r="P140" s="7">
        <f>M140-L140</f>
        <v/>
      </c>
      <c r="Q140" s="7">
        <f>P140-O140</f>
        <v/>
      </c>
      <c r="R140" s="8">
        <f>ROUND((Q140/L140)*100, 2)</f>
        <v/>
      </c>
      <c r="S140" s="7">
        <f>ROUND(0.20*L140, 2)</f>
        <v/>
      </c>
      <c r="T140" s="8">
        <f>ROUND((Q140/S140)*100, 2)</f>
        <v/>
      </c>
      <c r="U140" s="7">
        <f>U139+Q140</f>
        <v/>
      </c>
      <c r="V140" s="7">
        <f>MAX(V139, U140)</f>
        <v/>
      </c>
      <c r="W140" s="7">
        <f>U140-V140</f>
        <v/>
      </c>
    </row>
    <row r="141">
      <c r="A141" s="3" t="n">
        <v>138</v>
      </c>
      <c r="B141" s="4" t="inlineStr">
        <is>
          <t>NBCC</t>
        </is>
      </c>
      <c r="C141" s="3" t="inlineStr">
        <is>
          <t>Q2 2026-27</t>
        </is>
      </c>
      <c r="D141" s="3" t="inlineStr">
        <is>
          <t>FUTURE LONG</t>
        </is>
      </c>
      <c r="E141" s="3" t="inlineStr">
        <is>
          <t>T-8 to T+1</t>
        </is>
      </c>
      <c r="F141" s="3" t="inlineStr">
        <is>
          <t>2025-02-01</t>
        </is>
      </c>
      <c r="G141" s="3" t="inlineStr">
        <is>
          <t>2025-02-13</t>
        </is>
      </c>
      <c r="H141" s="3" t="inlineStr">
        <is>
          <t>2025-02-12</t>
        </is>
      </c>
      <c r="I141" s="5" t="n">
        <v>10626</v>
      </c>
      <c r="J141" s="6" t="n">
        <v>94.10195159912109</v>
      </c>
      <c r="K141" s="6" t="n">
        <v>84.64536285400391</v>
      </c>
      <c r="L141" s="7">
        <f>I141*J141</f>
        <v/>
      </c>
      <c r="M141" s="7">
        <f>I141*K141</f>
        <v/>
      </c>
      <c r="N141" s="7">
        <f>L141+M141</f>
        <v/>
      </c>
      <c r="O141" s="7">
        <f>ROUND(N141*0.0005, 2)</f>
        <v/>
      </c>
      <c r="P141" s="7">
        <f>M141-L141</f>
        <v/>
      </c>
      <c r="Q141" s="7">
        <f>P141-O141</f>
        <v/>
      </c>
      <c r="R141" s="8">
        <f>ROUND((Q141/L141)*100, 2)</f>
        <v/>
      </c>
      <c r="S141" s="7">
        <f>ROUND(0.20*L141, 2)</f>
        <v/>
      </c>
      <c r="T141" s="8">
        <f>ROUND((Q141/S141)*100, 2)</f>
        <v/>
      </c>
      <c r="U141" s="7">
        <f>U140+Q141</f>
        <v/>
      </c>
      <c r="V141" s="7">
        <f>MAX(V140, U141)</f>
        <v/>
      </c>
      <c r="W141" s="7">
        <f>U141-V141</f>
        <v/>
      </c>
    </row>
    <row r="142">
      <c r="A142" s="3" t="n">
        <v>139</v>
      </c>
      <c r="B142" s="4" t="inlineStr">
        <is>
          <t>NESTLEIND</t>
        </is>
      </c>
      <c r="C142" s="3" t="inlineStr">
        <is>
          <t>Q2 2026-27</t>
        </is>
      </c>
      <c r="D142" s="3" t="inlineStr">
        <is>
          <t>FUTURE LONG</t>
        </is>
      </c>
      <c r="E142" s="3" t="inlineStr">
        <is>
          <t>T-8 to T+1</t>
        </is>
      </c>
      <c r="F142" s="3" t="inlineStr">
        <is>
          <t>2025-01-22</t>
        </is>
      </c>
      <c r="G142" s="3" t="inlineStr">
        <is>
          <t>2025-02-03</t>
        </is>
      </c>
      <c r="H142" s="3" t="inlineStr">
        <is>
          <t>2025-01-31</t>
        </is>
      </c>
      <c r="I142" s="5" t="n">
        <v>200</v>
      </c>
      <c r="J142" s="6" t="n">
        <v>1081.219970703125</v>
      </c>
      <c r="K142" s="6" t="n">
        <v>1134.747192382812</v>
      </c>
      <c r="L142" s="7">
        <f>I142*J142</f>
        <v/>
      </c>
      <c r="M142" s="7">
        <f>I142*K142</f>
        <v/>
      </c>
      <c r="N142" s="7">
        <f>L142+M142</f>
        <v/>
      </c>
      <c r="O142" s="7">
        <f>ROUND(N142*0.0005, 2)</f>
        <v/>
      </c>
      <c r="P142" s="7">
        <f>M142-L142</f>
        <v/>
      </c>
      <c r="Q142" s="7">
        <f>P142-O142</f>
        <v/>
      </c>
      <c r="R142" s="8">
        <f>ROUND((Q142/L142)*100, 2)</f>
        <v/>
      </c>
      <c r="S142" s="7">
        <f>ROUND(0.20*L142, 2)</f>
        <v/>
      </c>
      <c r="T142" s="8">
        <f>ROUND((Q142/S142)*100, 2)</f>
        <v/>
      </c>
      <c r="U142" s="7">
        <f>U141+Q142</f>
        <v/>
      </c>
      <c r="V142" s="7">
        <f>MAX(V141, U142)</f>
        <v/>
      </c>
      <c r="W142" s="7">
        <f>U142-V142</f>
        <v/>
      </c>
    </row>
    <row r="143">
      <c r="A143" s="3" t="n">
        <v>140</v>
      </c>
      <c r="B143" s="4" t="inlineStr">
        <is>
          <t>NHPC</t>
        </is>
      </c>
      <c r="C143" s="3" t="inlineStr">
        <is>
          <t>Q2 2026-27</t>
        </is>
      </c>
      <c r="D143" s="3" t="inlineStr">
        <is>
          <t>FUTURE LONG</t>
        </is>
      </c>
      <c r="E143" s="3" t="inlineStr">
        <is>
          <t>T-8 to T+1</t>
        </is>
      </c>
      <c r="F143" s="3" t="inlineStr">
        <is>
          <t>2025-01-29</t>
        </is>
      </c>
      <c r="G143" s="3" t="inlineStr">
        <is>
          <t>2025-02-10</t>
        </is>
      </c>
      <c r="H143" s="3" t="inlineStr">
        <is>
          <t>2025-02-07</t>
        </is>
      </c>
      <c r="I143" s="5" t="n">
        <v>13997</v>
      </c>
      <c r="J143" s="6" t="n">
        <v>71.44191741943359</v>
      </c>
      <c r="K143" s="6" t="n">
        <v>72.96500396728516</v>
      </c>
      <c r="L143" s="7">
        <f>I143*J143</f>
        <v/>
      </c>
      <c r="M143" s="7">
        <f>I143*K143</f>
        <v/>
      </c>
      <c r="N143" s="7">
        <f>L143+M143</f>
        <v/>
      </c>
      <c r="O143" s="7">
        <f>ROUND(N143*0.0005, 2)</f>
        <v/>
      </c>
      <c r="P143" s="7">
        <f>M143-L143</f>
        <v/>
      </c>
      <c r="Q143" s="7">
        <f>P143-O143</f>
        <v/>
      </c>
      <c r="R143" s="8">
        <f>ROUND((Q143/L143)*100, 2)</f>
        <v/>
      </c>
      <c r="S143" s="7">
        <f>ROUND(0.20*L143, 2)</f>
        <v/>
      </c>
      <c r="T143" s="8">
        <f>ROUND((Q143/S143)*100, 2)</f>
        <v/>
      </c>
      <c r="U143" s="7">
        <f>U142+Q143</f>
        <v/>
      </c>
      <c r="V143" s="7">
        <f>MAX(V142, U143)</f>
        <v/>
      </c>
      <c r="W143" s="7">
        <f>U143-V143</f>
        <v/>
      </c>
    </row>
    <row r="144">
      <c r="A144" s="3" t="n">
        <v>141</v>
      </c>
      <c r="B144" s="4" t="inlineStr">
        <is>
          <t>NMDC</t>
        </is>
      </c>
      <c r="C144" s="3" t="inlineStr">
        <is>
          <t>Q2 2026-27</t>
        </is>
      </c>
      <c r="D144" s="3" t="inlineStr">
        <is>
          <t>FUTURE LONG</t>
        </is>
      </c>
      <c r="E144" s="3" t="inlineStr">
        <is>
          <t>T-8 to T+1</t>
        </is>
      </c>
      <c r="F144" s="3" t="inlineStr">
        <is>
          <t>2025-01-28</t>
        </is>
      </c>
      <c r="G144" s="3" t="inlineStr">
        <is>
          <t>2025-02-07</t>
        </is>
      </c>
      <c r="H144" s="3" t="inlineStr">
        <is>
          <t>2025-02-06</t>
        </is>
      </c>
      <c r="I144" s="5" t="n">
        <v>16918</v>
      </c>
      <c r="J144" s="6" t="n">
        <v>59.10623168945312</v>
      </c>
      <c r="K144" s="6" t="n">
        <v>61.66883087158203</v>
      </c>
      <c r="L144" s="7">
        <f>I144*J144</f>
        <v/>
      </c>
      <c r="M144" s="7">
        <f>I144*K144</f>
        <v/>
      </c>
      <c r="N144" s="7">
        <f>L144+M144</f>
        <v/>
      </c>
      <c r="O144" s="7">
        <f>ROUND(N144*0.0005, 2)</f>
        <v/>
      </c>
      <c r="P144" s="7">
        <f>M144-L144</f>
        <v/>
      </c>
      <c r="Q144" s="7">
        <f>P144-O144</f>
        <v/>
      </c>
      <c r="R144" s="8">
        <f>ROUND((Q144/L144)*100, 2)</f>
        <v/>
      </c>
      <c r="S144" s="7">
        <f>ROUND(0.20*L144, 2)</f>
        <v/>
      </c>
      <c r="T144" s="8">
        <f>ROUND((Q144/S144)*100, 2)</f>
        <v/>
      </c>
      <c r="U144" s="7">
        <f>U143+Q144</f>
        <v/>
      </c>
      <c r="V144" s="7">
        <f>MAX(V143, U144)</f>
        <v/>
      </c>
      <c r="W144" s="7">
        <f>U144-V144</f>
        <v/>
      </c>
    </row>
    <row r="145">
      <c r="A145" s="3" t="n">
        <v>142</v>
      </c>
      <c r="B145" s="4" t="inlineStr">
        <is>
          <t>NTPC</t>
        </is>
      </c>
      <c r="C145" s="3" t="inlineStr">
        <is>
          <t>Q2 2026-27</t>
        </is>
      </c>
      <c r="D145" s="3" t="inlineStr">
        <is>
          <t>FUTURE LONG</t>
        </is>
      </c>
      <c r="E145" s="3" t="inlineStr">
        <is>
          <t>T-8 to T+1</t>
        </is>
      </c>
      <c r="F145" s="3" t="inlineStr">
        <is>
          <t>2025-01-15</t>
        </is>
      </c>
      <c r="G145" s="3" t="inlineStr">
        <is>
          <t>2025-01-28</t>
        </is>
      </c>
      <c r="H145" s="3" t="inlineStr">
        <is>
          <t>2025-01-25</t>
        </is>
      </c>
      <c r="I145" s="5" t="n">
        <v>1500</v>
      </c>
      <c r="J145" s="6" t="n">
        <v>310.6640319824219</v>
      </c>
      <c r="K145" s="6" t="n">
        <v>307.6670837402344</v>
      </c>
      <c r="L145" s="7">
        <f>I145*J145</f>
        <v/>
      </c>
      <c r="M145" s="7">
        <f>I145*K145</f>
        <v/>
      </c>
      <c r="N145" s="7">
        <f>L145+M145</f>
        <v/>
      </c>
      <c r="O145" s="7">
        <f>ROUND(N145*0.0005, 2)</f>
        <v/>
      </c>
      <c r="P145" s="7">
        <f>M145-L145</f>
        <v/>
      </c>
      <c r="Q145" s="7">
        <f>P145-O145</f>
        <v/>
      </c>
      <c r="R145" s="8">
        <f>ROUND((Q145/L145)*100, 2)</f>
        <v/>
      </c>
      <c r="S145" s="7">
        <f>ROUND(0.20*L145, 2)</f>
        <v/>
      </c>
      <c r="T145" s="8">
        <f>ROUND((Q145/S145)*100, 2)</f>
        <v/>
      </c>
      <c r="U145" s="7">
        <f>U144+Q145</f>
        <v/>
      </c>
      <c r="V145" s="7">
        <f>MAX(V144, U145)</f>
        <v/>
      </c>
      <c r="W145" s="7">
        <f>U145-V145</f>
        <v/>
      </c>
    </row>
    <row r="146">
      <c r="A146" s="3" t="n">
        <v>143</v>
      </c>
      <c r="B146" s="4" t="inlineStr">
        <is>
          <t>NYKAA</t>
        </is>
      </c>
      <c r="C146" s="3" t="inlineStr">
        <is>
          <t>Q2 2026-27</t>
        </is>
      </c>
      <c r="D146" s="3" t="inlineStr">
        <is>
          <t>FUTURE LONG</t>
        </is>
      </c>
      <c r="E146" s="3" t="inlineStr">
        <is>
          <t>T-8 to T+1</t>
        </is>
      </c>
      <c r="F146" s="3" t="inlineStr">
        <is>
          <t>2025-01-31</t>
        </is>
      </c>
      <c r="G146" s="3" t="inlineStr">
        <is>
          <t>2025-02-12</t>
        </is>
      </c>
      <c r="H146" s="3" t="inlineStr">
        <is>
          <t>2025-02-11</t>
        </is>
      </c>
      <c r="I146" s="5" t="n">
        <v>5920</v>
      </c>
      <c r="J146" s="6" t="n">
        <v>168.8999938964844</v>
      </c>
      <c r="K146" s="6" t="n">
        <v>171.9299926757812</v>
      </c>
      <c r="L146" s="7">
        <f>I146*J146</f>
        <v/>
      </c>
      <c r="M146" s="7">
        <f>I146*K146</f>
        <v/>
      </c>
      <c r="N146" s="7">
        <f>L146+M146</f>
        <v/>
      </c>
      <c r="O146" s="7">
        <f>ROUND(N146*0.0005, 2)</f>
        <v/>
      </c>
      <c r="P146" s="7">
        <f>M146-L146</f>
        <v/>
      </c>
      <c r="Q146" s="7">
        <f>P146-O146</f>
        <v/>
      </c>
      <c r="R146" s="8">
        <f>ROUND((Q146/L146)*100, 2)</f>
        <v/>
      </c>
      <c r="S146" s="7">
        <f>ROUND(0.20*L146, 2)</f>
        <v/>
      </c>
      <c r="T146" s="8">
        <f>ROUND((Q146/S146)*100, 2)</f>
        <v/>
      </c>
      <c r="U146" s="7">
        <f>U145+Q146</f>
        <v/>
      </c>
      <c r="V146" s="7">
        <f>MAX(V145, U146)</f>
        <v/>
      </c>
      <c r="W146" s="7">
        <f>U146-V146</f>
        <v/>
      </c>
    </row>
    <row r="147">
      <c r="A147" s="3" t="n">
        <v>144</v>
      </c>
      <c r="B147" s="4" t="inlineStr">
        <is>
          <t>OBEROIRLTY</t>
        </is>
      </c>
      <c r="C147" s="3" t="inlineStr">
        <is>
          <t>Q2 2026-27</t>
        </is>
      </c>
      <c r="D147" s="3" t="inlineStr">
        <is>
          <t>FUTURE LONG</t>
        </is>
      </c>
      <c r="E147" s="3" t="inlineStr">
        <is>
          <t>T-8 to T+1</t>
        </is>
      </c>
      <c r="F147" s="3" t="inlineStr">
        <is>
          <t>2025-01-09</t>
        </is>
      </c>
      <c r="G147" s="3" t="inlineStr">
        <is>
          <t>2025-01-22</t>
        </is>
      </c>
      <c r="H147" s="3" t="inlineStr">
        <is>
          <t>2025-01-21</t>
        </is>
      </c>
      <c r="I147" s="5" t="n">
        <v>448</v>
      </c>
      <c r="J147" s="6" t="n">
        <v>2227.750732421875</v>
      </c>
      <c r="K147" s="6" t="n">
        <v>1748.512573242188</v>
      </c>
      <c r="L147" s="7">
        <f>I147*J147</f>
        <v/>
      </c>
      <c r="M147" s="7">
        <f>I147*K147</f>
        <v/>
      </c>
      <c r="N147" s="7">
        <f>L147+M147</f>
        <v/>
      </c>
      <c r="O147" s="7">
        <f>ROUND(N147*0.0005, 2)</f>
        <v/>
      </c>
      <c r="P147" s="7">
        <f>M147-L147</f>
        <v/>
      </c>
      <c r="Q147" s="7">
        <f>P147-O147</f>
        <v/>
      </c>
      <c r="R147" s="8">
        <f>ROUND((Q147/L147)*100, 2)</f>
        <v/>
      </c>
      <c r="S147" s="7">
        <f>ROUND(0.20*L147, 2)</f>
        <v/>
      </c>
      <c r="T147" s="8">
        <f>ROUND((Q147/S147)*100, 2)</f>
        <v/>
      </c>
      <c r="U147" s="7">
        <f>U146+Q147</f>
        <v/>
      </c>
      <c r="V147" s="7">
        <f>MAX(V146, U147)</f>
        <v/>
      </c>
      <c r="W147" s="7">
        <f>U147-V147</f>
        <v/>
      </c>
    </row>
    <row r="148">
      <c r="A148" s="3" t="n">
        <v>145</v>
      </c>
      <c r="B148" s="4" t="inlineStr">
        <is>
          <t>OFSS</t>
        </is>
      </c>
      <c r="C148" s="3" t="inlineStr">
        <is>
          <t>Q2 2026-27</t>
        </is>
      </c>
      <c r="D148" s="3" t="inlineStr">
        <is>
          <t>FUTURE LONG</t>
        </is>
      </c>
      <c r="E148" s="3" t="inlineStr">
        <is>
          <t>T-8 to T+1</t>
        </is>
      </c>
      <c r="F148" s="3" t="inlineStr">
        <is>
          <t>2025-01-03</t>
        </is>
      </c>
      <c r="G148" s="3" t="inlineStr">
        <is>
          <t>2025-01-16</t>
        </is>
      </c>
      <c r="H148" s="3" t="inlineStr">
        <is>
          <t>2025-01-15</t>
        </is>
      </c>
      <c r="I148" s="5" t="n">
        <v>100</v>
      </c>
      <c r="J148" s="6" t="n">
        <v>11611.3916015625</v>
      </c>
      <c r="K148" s="6" t="n">
        <v>9451.8173828125</v>
      </c>
      <c r="L148" s="7">
        <f>I148*J148</f>
        <v/>
      </c>
      <c r="M148" s="7">
        <f>I148*K148</f>
        <v/>
      </c>
      <c r="N148" s="7">
        <f>L148+M148</f>
        <v/>
      </c>
      <c r="O148" s="7">
        <f>ROUND(N148*0.0005, 2)</f>
        <v/>
      </c>
      <c r="P148" s="7">
        <f>M148-L148</f>
        <v/>
      </c>
      <c r="Q148" s="7">
        <f>P148-O148</f>
        <v/>
      </c>
      <c r="R148" s="8">
        <f>ROUND((Q148/L148)*100, 2)</f>
        <v/>
      </c>
      <c r="S148" s="7">
        <f>ROUND(0.20*L148, 2)</f>
        <v/>
      </c>
      <c r="T148" s="8">
        <f>ROUND((Q148/S148)*100, 2)</f>
        <v/>
      </c>
      <c r="U148" s="7">
        <f>U147+Q148</f>
        <v/>
      </c>
      <c r="V148" s="7">
        <f>MAX(V147, U148)</f>
        <v/>
      </c>
      <c r="W148" s="7">
        <f>U148-V148</f>
        <v/>
      </c>
    </row>
    <row r="149">
      <c r="A149" s="3" t="n">
        <v>146</v>
      </c>
      <c r="B149" s="4" t="inlineStr">
        <is>
          <t>OIL</t>
        </is>
      </c>
      <c r="C149" s="3" t="inlineStr">
        <is>
          <t>Q2 2026-27</t>
        </is>
      </c>
      <c r="D149" s="3" t="inlineStr">
        <is>
          <t>FUTURE LONG</t>
        </is>
      </c>
      <c r="E149" s="3" t="inlineStr">
        <is>
          <t>T-8 to T+1</t>
        </is>
      </c>
      <c r="F149" s="3" t="inlineStr">
        <is>
          <t>2025-01-29</t>
        </is>
      </c>
      <c r="G149" s="3" t="inlineStr">
        <is>
          <t>2025-02-10</t>
        </is>
      </c>
      <c r="H149" s="3" t="inlineStr">
        <is>
          <t>2025-02-08</t>
        </is>
      </c>
      <c r="I149" s="5" t="n">
        <v>2566</v>
      </c>
      <c r="J149" s="6" t="n">
        <v>389.7006530761719</v>
      </c>
      <c r="K149" s="6" t="n">
        <v>387.5014343261719</v>
      </c>
      <c r="L149" s="7">
        <f>I149*J149</f>
        <v/>
      </c>
      <c r="M149" s="7">
        <f>I149*K149</f>
        <v/>
      </c>
      <c r="N149" s="7">
        <f>L149+M149</f>
        <v/>
      </c>
      <c r="O149" s="7">
        <f>ROUND(N149*0.0005, 2)</f>
        <v/>
      </c>
      <c r="P149" s="7">
        <f>M149-L149</f>
        <v/>
      </c>
      <c r="Q149" s="7">
        <f>P149-O149</f>
        <v/>
      </c>
      <c r="R149" s="8">
        <f>ROUND((Q149/L149)*100, 2)</f>
        <v/>
      </c>
      <c r="S149" s="7">
        <f>ROUND(0.20*L149, 2)</f>
        <v/>
      </c>
      <c r="T149" s="8">
        <f>ROUND((Q149/S149)*100, 2)</f>
        <v/>
      </c>
      <c r="U149" s="7">
        <f>U148+Q149</f>
        <v/>
      </c>
      <c r="V149" s="7">
        <f>MAX(V148, U149)</f>
        <v/>
      </c>
      <c r="W149" s="7">
        <f>U149-V149</f>
        <v/>
      </c>
    </row>
    <row r="150">
      <c r="A150" s="3" t="n">
        <v>147</v>
      </c>
      <c r="B150" s="4" t="inlineStr">
        <is>
          <t>ONGC</t>
        </is>
      </c>
      <c r="C150" s="3" t="inlineStr">
        <is>
          <t>Q2 2026-27</t>
        </is>
      </c>
      <c r="D150" s="3" t="inlineStr">
        <is>
          <t>FUTURE LONG</t>
        </is>
      </c>
      <c r="E150" s="3" t="inlineStr">
        <is>
          <t>T-8 to T+1</t>
        </is>
      </c>
      <c r="F150" s="3" t="inlineStr">
        <is>
          <t>2025-01-22</t>
        </is>
      </c>
      <c r="G150" s="3" t="inlineStr">
        <is>
          <t>2025-02-03</t>
        </is>
      </c>
      <c r="H150" s="3" t="inlineStr">
        <is>
          <t>2025-01-31</t>
        </is>
      </c>
      <c r="I150" s="5" t="n">
        <v>3750</v>
      </c>
      <c r="J150" s="6" t="n">
        <v>245.6026153564453</v>
      </c>
      <c r="K150" s="6" t="n">
        <v>231.6040802001953</v>
      </c>
      <c r="L150" s="7">
        <f>I150*J150</f>
        <v/>
      </c>
      <c r="M150" s="7">
        <f>I150*K150</f>
        <v/>
      </c>
      <c r="N150" s="7">
        <f>L150+M150</f>
        <v/>
      </c>
      <c r="O150" s="7">
        <f>ROUND(N150*0.0005, 2)</f>
        <v/>
      </c>
      <c r="P150" s="7">
        <f>M150-L150</f>
        <v/>
      </c>
      <c r="Q150" s="7">
        <f>P150-O150</f>
        <v/>
      </c>
      <c r="R150" s="8">
        <f>ROUND((Q150/L150)*100, 2)</f>
        <v/>
      </c>
      <c r="S150" s="7">
        <f>ROUND(0.20*L150, 2)</f>
        <v/>
      </c>
      <c r="T150" s="8">
        <f>ROUND((Q150/S150)*100, 2)</f>
        <v/>
      </c>
      <c r="U150" s="7">
        <f>U149+Q150</f>
        <v/>
      </c>
      <c r="V150" s="7">
        <f>MAX(V149, U150)</f>
        <v/>
      </c>
      <c r="W150" s="7">
        <f>U150-V150</f>
        <v/>
      </c>
    </row>
    <row r="151">
      <c r="A151" s="3" t="n">
        <v>148</v>
      </c>
      <c r="B151" s="4" t="inlineStr">
        <is>
          <t>PAGEIND</t>
        </is>
      </c>
      <c r="C151" s="3" t="inlineStr">
        <is>
          <t>Q2 2026-27</t>
        </is>
      </c>
      <c r="D151" s="3" t="inlineStr">
        <is>
          <t>FUTURE LONG</t>
        </is>
      </c>
      <c r="E151" s="3" t="inlineStr">
        <is>
          <t>T-8 to T+1</t>
        </is>
      </c>
      <c r="F151" s="3" t="inlineStr">
        <is>
          <t>2025-01-24</t>
        </is>
      </c>
      <c r="G151" s="3" t="inlineStr">
        <is>
          <t>2025-02-06</t>
        </is>
      </c>
      <c r="H151" s="3" t="inlineStr">
        <is>
          <t>2025-02-05</t>
        </is>
      </c>
      <c r="I151" s="5" t="n">
        <v>100</v>
      </c>
      <c r="J151" s="6" t="n">
        <v>46321.6</v>
      </c>
      <c r="K151" s="6" t="n">
        <v>43950</v>
      </c>
      <c r="L151" s="7">
        <f>I151*J151</f>
        <v/>
      </c>
      <c r="M151" s="7">
        <f>I151*K151</f>
        <v/>
      </c>
      <c r="N151" s="7">
        <f>L151+M151</f>
        <v/>
      </c>
      <c r="O151" s="7">
        <f>ROUND(N151*0.0005, 2)</f>
        <v/>
      </c>
      <c r="P151" s="7">
        <f>M151-L151</f>
        <v/>
      </c>
      <c r="Q151" s="7">
        <f>P151-O151</f>
        <v/>
      </c>
      <c r="R151" s="8">
        <f>ROUND((Q151/L151)*100, 2)</f>
        <v/>
      </c>
      <c r="S151" s="7">
        <f>ROUND(0.20*L151, 2)</f>
        <v/>
      </c>
      <c r="T151" s="8">
        <f>ROUND((Q151/S151)*100, 2)</f>
        <v/>
      </c>
      <c r="U151" s="7">
        <f>U150+Q151</f>
        <v/>
      </c>
      <c r="V151" s="7">
        <f>MAX(V150, U151)</f>
        <v/>
      </c>
      <c r="W151" s="7">
        <f>U151-V151</f>
        <v/>
      </c>
    </row>
    <row r="152">
      <c r="A152" s="3" t="n">
        <v>149</v>
      </c>
      <c r="B152" s="4" t="inlineStr">
        <is>
          <t>PATANJALI</t>
        </is>
      </c>
      <c r="C152" s="3" t="inlineStr">
        <is>
          <t>Q2 2026-27</t>
        </is>
      </c>
      <c r="D152" s="3" t="inlineStr">
        <is>
          <t>FUTURE LONG</t>
        </is>
      </c>
      <c r="E152" s="3" t="inlineStr">
        <is>
          <t>T-8 to T+1</t>
        </is>
      </c>
      <c r="F152" s="3" t="inlineStr">
        <is>
          <t>2025-01-30</t>
        </is>
      </c>
      <c r="G152" s="3" t="inlineStr">
        <is>
          <t>2025-02-11</t>
        </is>
      </c>
      <c r="H152" s="3" t="inlineStr">
        <is>
          <t>2025-02-10</t>
        </is>
      </c>
      <c r="I152" s="5" t="n">
        <v>1643</v>
      </c>
      <c r="J152" s="6" t="n">
        <v>608.3381958007812</v>
      </c>
      <c r="K152" s="6" t="n">
        <v>603.7741088867188</v>
      </c>
      <c r="L152" s="7">
        <f>I152*J152</f>
        <v/>
      </c>
      <c r="M152" s="7">
        <f>I152*K152</f>
        <v/>
      </c>
      <c r="N152" s="7">
        <f>L152+M152</f>
        <v/>
      </c>
      <c r="O152" s="7">
        <f>ROUND(N152*0.0005, 2)</f>
        <v/>
      </c>
      <c r="P152" s="7">
        <f>M152-L152</f>
        <v/>
      </c>
      <c r="Q152" s="7">
        <f>P152-O152</f>
        <v/>
      </c>
      <c r="R152" s="8">
        <f>ROUND((Q152/L152)*100, 2)</f>
        <v/>
      </c>
      <c r="S152" s="7">
        <f>ROUND(0.20*L152, 2)</f>
        <v/>
      </c>
      <c r="T152" s="8">
        <f>ROUND((Q152/S152)*100, 2)</f>
        <v/>
      </c>
      <c r="U152" s="7">
        <f>U151+Q152</f>
        <v/>
      </c>
      <c r="V152" s="7">
        <f>MAX(V151, U152)</f>
        <v/>
      </c>
      <c r="W152" s="7">
        <f>U152-V152</f>
        <v/>
      </c>
    </row>
    <row r="153">
      <c r="A153" s="3" t="n">
        <v>150</v>
      </c>
      <c r="B153" s="4" t="inlineStr">
        <is>
          <t>PAYTM</t>
        </is>
      </c>
      <c r="C153" s="3" t="inlineStr">
        <is>
          <t>Q2 2026-27</t>
        </is>
      </c>
      <c r="D153" s="3" t="inlineStr">
        <is>
          <t>FUTURE LONG</t>
        </is>
      </c>
      <c r="E153" s="3" t="inlineStr">
        <is>
          <t>T-8 to T+1</t>
        </is>
      </c>
      <c r="F153" s="3" t="inlineStr">
        <is>
          <t>2025-01-08</t>
        </is>
      </c>
      <c r="G153" s="3" t="inlineStr">
        <is>
          <t>2025-01-21</t>
        </is>
      </c>
      <c r="H153" s="3" t="inlineStr">
        <is>
          <t>2025-01-20</t>
        </is>
      </c>
      <c r="I153" s="5" t="n">
        <v>1108</v>
      </c>
      <c r="J153" s="6" t="n">
        <v>902.0499877929688</v>
      </c>
      <c r="K153" s="6" t="n">
        <v>854.2999877929688</v>
      </c>
      <c r="L153" s="7">
        <f>I153*J153</f>
        <v/>
      </c>
      <c r="M153" s="7">
        <f>I153*K153</f>
        <v/>
      </c>
      <c r="N153" s="7">
        <f>L153+M153</f>
        <v/>
      </c>
      <c r="O153" s="7">
        <f>ROUND(N153*0.0005, 2)</f>
        <v/>
      </c>
      <c r="P153" s="7">
        <f>M153-L153</f>
        <v/>
      </c>
      <c r="Q153" s="7">
        <f>P153-O153</f>
        <v/>
      </c>
      <c r="R153" s="8">
        <f>ROUND((Q153/L153)*100, 2)</f>
        <v/>
      </c>
      <c r="S153" s="7">
        <f>ROUND(0.20*L153, 2)</f>
        <v/>
      </c>
      <c r="T153" s="8">
        <f>ROUND((Q153/S153)*100, 2)</f>
        <v/>
      </c>
      <c r="U153" s="7">
        <f>U152+Q153</f>
        <v/>
      </c>
      <c r="V153" s="7">
        <f>MAX(V152, U153)</f>
        <v/>
      </c>
      <c r="W153" s="7">
        <f>U153-V153</f>
        <v/>
      </c>
    </row>
    <row r="154">
      <c r="A154" s="3" t="n">
        <v>151</v>
      </c>
      <c r="B154" s="4" t="inlineStr">
        <is>
          <t>PERSISTENT</t>
        </is>
      </c>
      <c r="C154" s="3" t="inlineStr">
        <is>
          <t>Q2 2026-27</t>
        </is>
      </c>
      <c r="D154" s="3" t="inlineStr">
        <is>
          <t>FUTURE LONG</t>
        </is>
      </c>
      <c r="E154" s="3" t="inlineStr">
        <is>
          <t>T-8 to T+1</t>
        </is>
      </c>
      <c r="F154" s="3" t="inlineStr">
        <is>
          <t>2025-01-10</t>
        </is>
      </c>
      <c r="G154" s="3" t="inlineStr">
        <is>
          <t>2025-01-23</t>
        </is>
      </c>
      <c r="H154" s="3" t="inlineStr">
        <is>
          <t>2025-01-22</t>
        </is>
      </c>
      <c r="I154" s="5" t="n">
        <v>160</v>
      </c>
      <c r="J154" s="6" t="n">
        <v>6237.7265625</v>
      </c>
      <c r="K154" s="6" t="n">
        <v>6206.19189453125</v>
      </c>
      <c r="L154" s="7">
        <f>I154*J154</f>
        <v/>
      </c>
      <c r="M154" s="7">
        <f>I154*K154</f>
        <v/>
      </c>
      <c r="N154" s="7">
        <f>L154+M154</f>
        <v/>
      </c>
      <c r="O154" s="7">
        <f>ROUND(N154*0.0005, 2)</f>
        <v/>
      </c>
      <c r="P154" s="7">
        <f>M154-L154</f>
        <v/>
      </c>
      <c r="Q154" s="7">
        <f>P154-O154</f>
        <v/>
      </c>
      <c r="R154" s="8">
        <f>ROUND((Q154/L154)*100, 2)</f>
        <v/>
      </c>
      <c r="S154" s="7">
        <f>ROUND(0.20*L154, 2)</f>
        <v/>
      </c>
      <c r="T154" s="8">
        <f>ROUND((Q154/S154)*100, 2)</f>
        <v/>
      </c>
      <c r="U154" s="7">
        <f>U153+Q154</f>
        <v/>
      </c>
      <c r="V154" s="7">
        <f>MAX(V153, U154)</f>
        <v/>
      </c>
      <c r="W154" s="7">
        <f>U154-V154</f>
        <v/>
      </c>
    </row>
    <row r="155">
      <c r="A155" s="3" t="n">
        <v>152</v>
      </c>
      <c r="B155" s="4" t="inlineStr">
        <is>
          <t>PETRONET</t>
        </is>
      </c>
      <c r="C155" s="3" t="inlineStr">
        <is>
          <t>Q2 2026-27</t>
        </is>
      </c>
      <c r="D155" s="3" t="inlineStr">
        <is>
          <t>FUTURE LONG</t>
        </is>
      </c>
      <c r="E155" s="3" t="inlineStr">
        <is>
          <t>T-8 to T+1</t>
        </is>
      </c>
      <c r="F155" s="3" t="inlineStr">
        <is>
          <t>2025-01-16</t>
        </is>
      </c>
      <c r="G155" s="3" t="inlineStr">
        <is>
          <t>2025-01-29</t>
        </is>
      </c>
      <c r="H155" s="3" t="inlineStr">
        <is>
          <t>2025-01-28</t>
        </is>
      </c>
      <c r="I155" s="5" t="n">
        <v>3185</v>
      </c>
      <c r="J155" s="6" t="n">
        <v>313.9232482910156</v>
      </c>
      <c r="K155" s="6" t="n">
        <v>287.5880126953125</v>
      </c>
      <c r="L155" s="7">
        <f>I155*J155</f>
        <v/>
      </c>
      <c r="M155" s="7">
        <f>I155*K155</f>
        <v/>
      </c>
      <c r="N155" s="7">
        <f>L155+M155</f>
        <v/>
      </c>
      <c r="O155" s="7">
        <f>ROUND(N155*0.0005, 2)</f>
        <v/>
      </c>
      <c r="P155" s="7">
        <f>M155-L155</f>
        <v/>
      </c>
      <c r="Q155" s="7">
        <f>P155-O155</f>
        <v/>
      </c>
      <c r="R155" s="8">
        <f>ROUND((Q155/L155)*100, 2)</f>
        <v/>
      </c>
      <c r="S155" s="7">
        <f>ROUND(0.20*L155, 2)</f>
        <v/>
      </c>
      <c r="T155" s="8">
        <f>ROUND((Q155/S155)*100, 2)</f>
        <v/>
      </c>
      <c r="U155" s="7">
        <f>U154+Q155</f>
        <v/>
      </c>
      <c r="V155" s="7">
        <f>MAX(V154, U155)</f>
        <v/>
      </c>
      <c r="W155" s="7">
        <f>U155-V155</f>
        <v/>
      </c>
    </row>
    <row r="156">
      <c r="A156" s="3" t="n">
        <v>153</v>
      </c>
      <c r="B156" s="4" t="inlineStr">
        <is>
          <t>PFC</t>
        </is>
      </c>
      <c r="C156" s="3" t="inlineStr">
        <is>
          <t>Q2 2026-27</t>
        </is>
      </c>
      <c r="D156" s="3" t="inlineStr">
        <is>
          <t>FUTURE LONG</t>
        </is>
      </c>
      <c r="E156" s="3" t="inlineStr">
        <is>
          <t>T-8 to T+1</t>
        </is>
      </c>
      <c r="F156" s="3" t="inlineStr">
        <is>
          <t>2025-02-01</t>
        </is>
      </c>
      <c r="G156" s="3" t="inlineStr">
        <is>
          <t>2025-02-13</t>
        </is>
      </c>
      <c r="H156" s="3" t="inlineStr">
        <is>
          <t>2025-02-12</t>
        </is>
      </c>
      <c r="I156" s="5" t="n">
        <v>2628</v>
      </c>
      <c r="J156" s="6" t="n">
        <v>380.4982299804688</v>
      </c>
      <c r="K156" s="6" t="n">
        <v>362.0877685546875</v>
      </c>
      <c r="L156" s="7">
        <f>I156*J156</f>
        <v/>
      </c>
      <c r="M156" s="7">
        <f>I156*K156</f>
        <v/>
      </c>
      <c r="N156" s="7">
        <f>L156+M156</f>
        <v/>
      </c>
      <c r="O156" s="7">
        <f>ROUND(N156*0.0005, 2)</f>
        <v/>
      </c>
      <c r="P156" s="7">
        <f>M156-L156</f>
        <v/>
      </c>
      <c r="Q156" s="7">
        <f>P156-O156</f>
        <v/>
      </c>
      <c r="R156" s="8">
        <f>ROUND((Q156/L156)*100, 2)</f>
        <v/>
      </c>
      <c r="S156" s="7">
        <f>ROUND(0.20*L156, 2)</f>
        <v/>
      </c>
      <c r="T156" s="8">
        <f>ROUND((Q156/S156)*100, 2)</f>
        <v/>
      </c>
      <c r="U156" s="7">
        <f>U155+Q156</f>
        <v/>
      </c>
      <c r="V156" s="7">
        <f>MAX(V155, U156)</f>
        <v/>
      </c>
      <c r="W156" s="7">
        <f>U156-V156</f>
        <v/>
      </c>
    </row>
    <row r="157">
      <c r="A157" s="3" t="n">
        <v>154</v>
      </c>
      <c r="B157" s="4" t="inlineStr">
        <is>
          <t>PGEL</t>
        </is>
      </c>
      <c r="C157" s="3" t="inlineStr">
        <is>
          <t>Q2 2026-27</t>
        </is>
      </c>
      <c r="D157" s="3" t="inlineStr">
        <is>
          <t>FUTURE LONG</t>
        </is>
      </c>
      <c r="E157" s="3" t="inlineStr">
        <is>
          <t>T-8 to T+1</t>
        </is>
      </c>
      <c r="F157" s="3" t="inlineStr">
        <is>
          <t>2025-01-28</t>
        </is>
      </c>
      <c r="G157" s="3" t="inlineStr">
        <is>
          <t>2025-02-07</t>
        </is>
      </c>
      <c r="H157" s="3" t="inlineStr">
        <is>
          <t>2025-02-06</t>
        </is>
      </c>
      <c r="I157" s="5" t="n">
        <v>1555</v>
      </c>
      <c r="J157" s="6" t="n">
        <v>642.8666381835938</v>
      </c>
      <c r="K157" s="6" t="n">
        <v>863.219482421875</v>
      </c>
      <c r="L157" s="7">
        <f>I157*J157</f>
        <v/>
      </c>
      <c r="M157" s="7">
        <f>I157*K157</f>
        <v/>
      </c>
      <c r="N157" s="7">
        <f>L157+M157</f>
        <v/>
      </c>
      <c r="O157" s="7">
        <f>ROUND(N157*0.0005, 2)</f>
        <v/>
      </c>
      <c r="P157" s="7">
        <f>M157-L157</f>
        <v/>
      </c>
      <c r="Q157" s="7">
        <f>P157-O157</f>
        <v/>
      </c>
      <c r="R157" s="8">
        <f>ROUND((Q157/L157)*100, 2)</f>
        <v/>
      </c>
      <c r="S157" s="7">
        <f>ROUND(0.20*L157, 2)</f>
        <v/>
      </c>
      <c r="T157" s="8">
        <f>ROUND((Q157/S157)*100, 2)</f>
        <v/>
      </c>
      <c r="U157" s="7">
        <f>U156+Q157</f>
        <v/>
      </c>
      <c r="V157" s="7">
        <f>MAX(V156, U157)</f>
        <v/>
      </c>
      <c r="W157" s="7">
        <f>U157-V157</f>
        <v/>
      </c>
    </row>
    <row r="158">
      <c r="A158" s="3" t="n">
        <v>155</v>
      </c>
      <c r="B158" s="4" t="inlineStr">
        <is>
          <t>PHOENIXLTD</t>
        </is>
      </c>
      <c r="C158" s="3" t="inlineStr">
        <is>
          <t>Q2 2026-27</t>
        </is>
      </c>
      <c r="D158" s="3" t="inlineStr">
        <is>
          <t>FUTURE LONG</t>
        </is>
      </c>
      <c r="E158" s="3" t="inlineStr">
        <is>
          <t>T-8 to T+1</t>
        </is>
      </c>
      <c r="F158" s="3" t="inlineStr">
        <is>
          <t>2025-01-21</t>
        </is>
      </c>
      <c r="G158" s="3" t="inlineStr">
        <is>
          <t>2025-02-01</t>
        </is>
      </c>
      <c r="H158" s="3" t="inlineStr">
        <is>
          <t>2025-01-31</t>
        </is>
      </c>
      <c r="I158" s="5" t="n">
        <v>658</v>
      </c>
      <c r="J158" s="6" t="n">
        <v>1517.564208984375</v>
      </c>
      <c r="K158" s="6" t="n">
        <v>1761.572631835938</v>
      </c>
      <c r="L158" s="7">
        <f>I158*J158</f>
        <v/>
      </c>
      <c r="M158" s="7">
        <f>I158*K158</f>
        <v/>
      </c>
      <c r="N158" s="7">
        <f>L158+M158</f>
        <v/>
      </c>
      <c r="O158" s="7">
        <f>ROUND(N158*0.0005, 2)</f>
        <v/>
      </c>
      <c r="P158" s="7">
        <f>M158-L158</f>
        <v/>
      </c>
      <c r="Q158" s="7">
        <f>P158-O158</f>
        <v/>
      </c>
      <c r="R158" s="8">
        <f>ROUND((Q158/L158)*100, 2)</f>
        <v/>
      </c>
      <c r="S158" s="7">
        <f>ROUND(0.20*L158, 2)</f>
        <v/>
      </c>
      <c r="T158" s="8">
        <f>ROUND((Q158/S158)*100, 2)</f>
        <v/>
      </c>
      <c r="U158" s="7">
        <f>U157+Q158</f>
        <v/>
      </c>
      <c r="V158" s="7">
        <f>MAX(V157, U158)</f>
        <v/>
      </c>
      <c r="W158" s="7">
        <f>U158-V158</f>
        <v/>
      </c>
    </row>
    <row r="159">
      <c r="A159" s="3" t="n">
        <v>156</v>
      </c>
      <c r="B159" s="4" t="inlineStr">
        <is>
          <t>PIDILITIND</t>
        </is>
      </c>
      <c r="C159" s="3" t="inlineStr">
        <is>
          <t>Q2 2026-27</t>
        </is>
      </c>
      <c r="D159" s="3" t="inlineStr">
        <is>
          <t>FUTURE LONG</t>
        </is>
      </c>
      <c r="E159" s="3" t="inlineStr">
        <is>
          <t>T-8 to T+1</t>
        </is>
      </c>
      <c r="F159" s="3" t="inlineStr">
        <is>
          <t>2025-01-13</t>
        </is>
      </c>
      <c r="G159" s="3" t="inlineStr">
        <is>
          <t>2025-01-24</t>
        </is>
      </c>
      <c r="H159" s="3" t="inlineStr">
        <is>
          <t>2025-01-23</t>
        </is>
      </c>
      <c r="I159" s="5" t="n">
        <v>725</v>
      </c>
      <c r="J159" s="6" t="n">
        <v>1378.89013671875</v>
      </c>
      <c r="K159" s="6" t="n">
        <v>1407.41259765625</v>
      </c>
      <c r="L159" s="7">
        <f>I159*J159</f>
        <v/>
      </c>
      <c r="M159" s="7">
        <f>I159*K159</f>
        <v/>
      </c>
      <c r="N159" s="7">
        <f>L159+M159</f>
        <v/>
      </c>
      <c r="O159" s="7">
        <f>ROUND(N159*0.0005, 2)</f>
        <v/>
      </c>
      <c r="P159" s="7">
        <f>M159-L159</f>
        <v/>
      </c>
      <c r="Q159" s="7">
        <f>P159-O159</f>
        <v/>
      </c>
      <c r="R159" s="8">
        <f>ROUND((Q159/L159)*100, 2)</f>
        <v/>
      </c>
      <c r="S159" s="7">
        <f>ROUND(0.20*L159, 2)</f>
        <v/>
      </c>
      <c r="T159" s="8">
        <f>ROUND((Q159/S159)*100, 2)</f>
        <v/>
      </c>
      <c r="U159" s="7">
        <f>U158+Q159</f>
        <v/>
      </c>
      <c r="V159" s="7">
        <f>MAX(V158, U159)</f>
        <v/>
      </c>
      <c r="W159" s="7">
        <f>U159-V159</f>
        <v/>
      </c>
    </row>
    <row r="160">
      <c r="A160" s="3" t="n">
        <v>157</v>
      </c>
      <c r="B160" s="4" t="inlineStr">
        <is>
          <t>PIIND</t>
        </is>
      </c>
      <c r="C160" s="3" t="inlineStr">
        <is>
          <t>Q2 2026-27</t>
        </is>
      </c>
      <c r="D160" s="3" t="inlineStr">
        <is>
          <t>FUTURE LONG</t>
        </is>
      </c>
      <c r="E160" s="3" t="inlineStr">
        <is>
          <t>T-8 to T+1</t>
        </is>
      </c>
      <c r="F160" s="3" t="inlineStr">
        <is>
          <t>2025-01-29</t>
        </is>
      </c>
      <c r="G160" s="3" t="inlineStr">
        <is>
          <t>2025-02-10</t>
        </is>
      </c>
      <c r="H160" s="3" t="inlineStr">
        <is>
          <t>2025-02-07</t>
        </is>
      </c>
      <c r="I160" s="5" t="n">
        <v>293</v>
      </c>
      <c r="J160" s="6" t="n">
        <v>3404.86669921875</v>
      </c>
      <c r="K160" s="6" t="n">
        <v>3503.279052734375</v>
      </c>
      <c r="L160" s="7">
        <f>I160*J160</f>
        <v/>
      </c>
      <c r="M160" s="7">
        <f>I160*K160</f>
        <v/>
      </c>
      <c r="N160" s="7">
        <f>L160+M160</f>
        <v/>
      </c>
      <c r="O160" s="7">
        <f>ROUND(N160*0.0005, 2)</f>
        <v/>
      </c>
      <c r="P160" s="7">
        <f>M160-L160</f>
        <v/>
      </c>
      <c r="Q160" s="7">
        <f>P160-O160</f>
        <v/>
      </c>
      <c r="R160" s="8">
        <f>ROUND((Q160/L160)*100, 2)</f>
        <v/>
      </c>
      <c r="S160" s="7">
        <f>ROUND(0.20*L160, 2)</f>
        <v/>
      </c>
      <c r="T160" s="8">
        <f>ROUND((Q160/S160)*100, 2)</f>
        <v/>
      </c>
      <c r="U160" s="7">
        <f>U159+Q160</f>
        <v/>
      </c>
      <c r="V160" s="7">
        <f>MAX(V159, U160)</f>
        <v/>
      </c>
      <c r="W160" s="7">
        <f>U160-V160</f>
        <v/>
      </c>
    </row>
    <row r="161">
      <c r="A161" s="3" t="n">
        <v>158</v>
      </c>
      <c r="B161" s="4" t="inlineStr">
        <is>
          <t>PNB</t>
        </is>
      </c>
      <c r="C161" s="3" t="inlineStr">
        <is>
          <t>Q2 2026-27</t>
        </is>
      </c>
      <c r="D161" s="3" t="inlineStr">
        <is>
          <t>FUTURE LONG</t>
        </is>
      </c>
      <c r="E161" s="3" t="inlineStr">
        <is>
          <t>T-8 to T+1</t>
        </is>
      </c>
      <c r="F161" s="3" t="inlineStr">
        <is>
          <t>2025-01-21</t>
        </is>
      </c>
      <c r="G161" s="3" t="inlineStr">
        <is>
          <t>2025-02-01</t>
        </is>
      </c>
      <c r="H161" s="3" t="inlineStr">
        <is>
          <t>2025-01-31</t>
        </is>
      </c>
      <c r="I161" s="5" t="n">
        <v>10555</v>
      </c>
      <c r="J161" s="6" t="n">
        <v>94.7400360107422</v>
      </c>
      <c r="K161" s="6" t="n">
        <v>93.82398986816406</v>
      </c>
      <c r="L161" s="7">
        <f>I161*J161</f>
        <v/>
      </c>
      <c r="M161" s="7">
        <f>I161*K161</f>
        <v/>
      </c>
      <c r="N161" s="7">
        <f>L161+M161</f>
        <v/>
      </c>
      <c r="O161" s="7">
        <f>ROUND(N161*0.0005, 2)</f>
        <v/>
      </c>
      <c r="P161" s="7">
        <f>M161-L161</f>
        <v/>
      </c>
      <c r="Q161" s="7">
        <f>P161-O161</f>
        <v/>
      </c>
      <c r="R161" s="8">
        <f>ROUND((Q161/L161)*100, 2)</f>
        <v/>
      </c>
      <c r="S161" s="7">
        <f>ROUND(0.20*L161, 2)</f>
        <v/>
      </c>
      <c r="T161" s="8">
        <f>ROUND((Q161/S161)*100, 2)</f>
        <v/>
      </c>
      <c r="U161" s="7">
        <f>U160+Q161</f>
        <v/>
      </c>
      <c r="V161" s="7">
        <f>MAX(V160, U161)</f>
        <v/>
      </c>
      <c r="W161" s="7">
        <f>U161-V161</f>
        <v/>
      </c>
    </row>
    <row r="162">
      <c r="A162" s="3" t="n">
        <v>159</v>
      </c>
      <c r="B162" s="4" t="inlineStr">
        <is>
          <t>PNBHOUSING</t>
        </is>
      </c>
      <c r="C162" s="3" t="inlineStr">
        <is>
          <t>Q2 2026-27</t>
        </is>
      </c>
      <c r="D162" s="3" t="inlineStr">
        <is>
          <t>FUTURE LONG</t>
        </is>
      </c>
      <c r="E162" s="3" t="inlineStr">
        <is>
          <t>T-8 to T+1</t>
        </is>
      </c>
      <c r="F162" s="3" t="inlineStr">
        <is>
          <t>2025-01-10</t>
        </is>
      </c>
      <c r="G162" s="3" t="inlineStr">
        <is>
          <t>2025-01-23</t>
        </is>
      </c>
      <c r="H162" s="3" t="inlineStr">
        <is>
          <t>2025-01-22</t>
        </is>
      </c>
      <c r="I162" s="5" t="n">
        <v>1175</v>
      </c>
      <c r="J162" s="6" t="n">
        <v>850.963623046875</v>
      </c>
      <c r="K162" s="6" t="n">
        <v>879.2694091796875</v>
      </c>
      <c r="L162" s="7">
        <f>I162*J162</f>
        <v/>
      </c>
      <c r="M162" s="7">
        <f>I162*K162</f>
        <v/>
      </c>
      <c r="N162" s="7">
        <f>L162+M162</f>
        <v/>
      </c>
      <c r="O162" s="7">
        <f>ROUND(N162*0.0005, 2)</f>
        <v/>
      </c>
      <c r="P162" s="7">
        <f>M162-L162</f>
        <v/>
      </c>
      <c r="Q162" s="7">
        <f>P162-O162</f>
        <v/>
      </c>
      <c r="R162" s="8">
        <f>ROUND((Q162/L162)*100, 2)</f>
        <v/>
      </c>
      <c r="S162" s="7">
        <f>ROUND(0.20*L162, 2)</f>
        <v/>
      </c>
      <c r="T162" s="8">
        <f>ROUND((Q162/S162)*100, 2)</f>
        <v/>
      </c>
      <c r="U162" s="7">
        <f>U161+Q162</f>
        <v/>
      </c>
      <c r="V162" s="7">
        <f>MAX(V161, U162)</f>
        <v/>
      </c>
      <c r="W162" s="7">
        <f>U162-V162</f>
        <v/>
      </c>
    </row>
    <row r="163">
      <c r="A163" s="3" t="n">
        <v>160</v>
      </c>
      <c r="B163" s="4" t="inlineStr">
        <is>
          <t>POLICYBZR</t>
        </is>
      </c>
      <c r="C163" s="3" t="inlineStr">
        <is>
          <t>Q2 2026-27</t>
        </is>
      </c>
      <c r="D163" s="3" t="inlineStr">
        <is>
          <t>FUTURE LONG</t>
        </is>
      </c>
      <c r="E163" s="3" t="inlineStr">
        <is>
          <t>T-8 to T+1</t>
        </is>
      </c>
      <c r="F163" s="3" t="inlineStr">
        <is>
          <t>2025-01-20</t>
        </is>
      </c>
      <c r="G163" s="3" t="inlineStr">
        <is>
          <t>2025-01-31</t>
        </is>
      </c>
      <c r="H163" s="3" t="inlineStr">
        <is>
          <t>2025-01-30</t>
        </is>
      </c>
      <c r="I163" s="5" t="n">
        <v>571</v>
      </c>
      <c r="J163" s="6" t="n">
        <v>1749.800048828125</v>
      </c>
      <c r="K163" s="6" t="n">
        <v>1726.800048828125</v>
      </c>
      <c r="L163" s="7">
        <f>I163*J163</f>
        <v/>
      </c>
      <c r="M163" s="7">
        <f>I163*K163</f>
        <v/>
      </c>
      <c r="N163" s="7">
        <f>L163+M163</f>
        <v/>
      </c>
      <c r="O163" s="7">
        <f>ROUND(N163*0.0005, 2)</f>
        <v/>
      </c>
      <c r="P163" s="7">
        <f>M163-L163</f>
        <v/>
      </c>
      <c r="Q163" s="7">
        <f>P163-O163</f>
        <v/>
      </c>
      <c r="R163" s="8">
        <f>ROUND((Q163/L163)*100, 2)</f>
        <v/>
      </c>
      <c r="S163" s="7">
        <f>ROUND(0.20*L163, 2)</f>
        <v/>
      </c>
      <c r="T163" s="8">
        <f>ROUND((Q163/S163)*100, 2)</f>
        <v/>
      </c>
      <c r="U163" s="7">
        <f>U162+Q163</f>
        <v/>
      </c>
      <c r="V163" s="7">
        <f>MAX(V162, U163)</f>
        <v/>
      </c>
      <c r="W163" s="7">
        <f>U163-V163</f>
        <v/>
      </c>
    </row>
    <row r="164">
      <c r="A164" s="3" t="n">
        <v>161</v>
      </c>
      <c r="B164" s="4" t="inlineStr">
        <is>
          <t>POLYCAB</t>
        </is>
      </c>
      <c r="C164" s="3" t="inlineStr">
        <is>
          <t>Q2 2026-27</t>
        </is>
      </c>
      <c r="D164" s="3" t="inlineStr">
        <is>
          <t>FUTURE LONG</t>
        </is>
      </c>
      <c r="E164" s="3" t="inlineStr">
        <is>
          <t>T-8 to T+1</t>
        </is>
      </c>
      <c r="F164" s="3" t="inlineStr">
        <is>
          <t>2025-01-10</t>
        </is>
      </c>
      <c r="G164" s="3" t="inlineStr">
        <is>
          <t>2025-01-23</t>
        </is>
      </c>
      <c r="H164" s="3" t="inlineStr">
        <is>
          <t>2025-01-22</t>
        </is>
      </c>
      <c r="I164" s="5" t="n">
        <v>154</v>
      </c>
      <c r="J164" s="6" t="n">
        <v>6471.85400390625</v>
      </c>
      <c r="K164" s="6" t="n">
        <v>6186.759765625</v>
      </c>
      <c r="L164" s="7">
        <f>I164*J164</f>
        <v/>
      </c>
      <c r="M164" s="7">
        <f>I164*K164</f>
        <v/>
      </c>
      <c r="N164" s="7">
        <f>L164+M164</f>
        <v/>
      </c>
      <c r="O164" s="7">
        <f>ROUND(N164*0.0005, 2)</f>
        <v/>
      </c>
      <c r="P164" s="7">
        <f>M164-L164</f>
        <v/>
      </c>
      <c r="Q164" s="7">
        <f>P164-O164</f>
        <v/>
      </c>
      <c r="R164" s="8">
        <f>ROUND((Q164/L164)*100, 2)</f>
        <v/>
      </c>
      <c r="S164" s="7">
        <f>ROUND(0.20*L164, 2)</f>
        <v/>
      </c>
      <c r="T164" s="8">
        <f>ROUND((Q164/S164)*100, 2)</f>
        <v/>
      </c>
      <c r="U164" s="7">
        <f>U163+Q164</f>
        <v/>
      </c>
      <c r="V164" s="7">
        <f>MAX(V163, U164)</f>
        <v/>
      </c>
      <c r="W164" s="7">
        <f>U164-V164</f>
        <v/>
      </c>
    </row>
    <row r="165">
      <c r="A165" s="3" t="n">
        <v>162</v>
      </c>
      <c r="B165" s="4" t="inlineStr">
        <is>
          <t>POWERGRID</t>
        </is>
      </c>
      <c r="C165" s="3" t="inlineStr">
        <is>
          <t>Q2 2026-27</t>
        </is>
      </c>
      <c r="D165" s="3" t="inlineStr">
        <is>
          <t>FUTURE LONG</t>
        </is>
      </c>
      <c r="E165" s="3" t="inlineStr">
        <is>
          <t>T-8 to T+1</t>
        </is>
      </c>
      <c r="F165" s="3" t="inlineStr">
        <is>
          <t>2025-01-27</t>
        </is>
      </c>
      <c r="G165" s="3" t="inlineStr">
        <is>
          <t>2025-02-06</t>
        </is>
      </c>
      <c r="H165" s="3" t="inlineStr">
        <is>
          <t>2025-02-04</t>
        </is>
      </c>
      <c r="I165" s="5" t="n">
        <v>1800</v>
      </c>
      <c r="J165" s="6" t="n">
        <v>274.7041320800781</v>
      </c>
      <c r="K165" s="6" t="n">
        <v>269.1047668457031</v>
      </c>
      <c r="L165" s="7">
        <f>I165*J165</f>
        <v/>
      </c>
      <c r="M165" s="7">
        <f>I165*K165</f>
        <v/>
      </c>
      <c r="N165" s="7">
        <f>L165+M165</f>
        <v/>
      </c>
      <c r="O165" s="7">
        <f>ROUND(N165*0.0005, 2)</f>
        <v/>
      </c>
      <c r="P165" s="7">
        <f>M165-L165</f>
        <v/>
      </c>
      <c r="Q165" s="7">
        <f>P165-O165</f>
        <v/>
      </c>
      <c r="R165" s="8">
        <f>ROUND((Q165/L165)*100, 2)</f>
        <v/>
      </c>
      <c r="S165" s="7">
        <f>ROUND(0.20*L165, 2)</f>
        <v/>
      </c>
      <c r="T165" s="8">
        <f>ROUND((Q165/S165)*100, 2)</f>
        <v/>
      </c>
      <c r="U165" s="7">
        <f>U164+Q165</f>
        <v/>
      </c>
      <c r="V165" s="7">
        <f>MAX(V164, U165)</f>
        <v/>
      </c>
      <c r="W165" s="7">
        <f>U165-V165</f>
        <v/>
      </c>
    </row>
    <row r="166">
      <c r="A166" s="3" t="n">
        <v>163</v>
      </c>
      <c r="B166" s="4" t="inlineStr">
        <is>
          <t>POWERINDIA</t>
        </is>
      </c>
      <c r="C166" s="3" t="inlineStr">
        <is>
          <t>Q2 2026-27</t>
        </is>
      </c>
      <c r="D166" s="3" t="inlineStr">
        <is>
          <t>FUTURE LONG</t>
        </is>
      </c>
      <c r="E166" s="3" t="inlineStr">
        <is>
          <t>T-8 to T+1</t>
        </is>
      </c>
      <c r="F166" s="3" t="inlineStr">
        <is>
          <t>2025-10-01</t>
        </is>
      </c>
      <c r="G166" s="3" t="inlineStr">
        <is>
          <t>2025-10-03</t>
        </is>
      </c>
      <c r="H166" s="3" t="inlineStr">
        <is>
          <t>2025-01-29</t>
        </is>
      </c>
      <c r="I166" s="5" t="n">
        <v>100</v>
      </c>
      <c r="J166" s="6" t="n">
        <v>18225</v>
      </c>
      <c r="K166" s="6" t="n">
        <v>18220</v>
      </c>
      <c r="L166" s="7">
        <f>I166*J166</f>
        <v/>
      </c>
      <c r="M166" s="7">
        <f>I166*K166</f>
        <v/>
      </c>
      <c r="N166" s="7">
        <f>L166+M166</f>
        <v/>
      </c>
      <c r="O166" s="7">
        <f>ROUND(N166*0.0005, 2)</f>
        <v/>
      </c>
      <c r="P166" s="7">
        <f>M166-L166</f>
        <v/>
      </c>
      <c r="Q166" s="7">
        <f>P166-O166</f>
        <v/>
      </c>
      <c r="R166" s="8">
        <f>ROUND((Q166/L166)*100, 2)</f>
        <v/>
      </c>
      <c r="S166" s="7">
        <f>ROUND(0.20*L166, 2)</f>
        <v/>
      </c>
      <c r="T166" s="8">
        <f>ROUND((Q166/S166)*100, 2)</f>
        <v/>
      </c>
      <c r="U166" s="7">
        <f>U165+Q166</f>
        <v/>
      </c>
      <c r="V166" s="7">
        <f>MAX(V165, U166)</f>
        <v/>
      </c>
      <c r="W166" s="7">
        <f>U166-V166</f>
        <v/>
      </c>
    </row>
    <row r="167">
      <c r="A167" s="3" t="n">
        <v>164</v>
      </c>
      <c r="B167" s="4" t="inlineStr">
        <is>
          <t>PREMIERENE</t>
        </is>
      </c>
      <c r="C167" s="3" t="inlineStr">
        <is>
          <t>Q2 2026-27</t>
        </is>
      </c>
      <c r="D167" s="3" t="inlineStr">
        <is>
          <t>FUTURE LONG</t>
        </is>
      </c>
      <c r="E167" s="3" t="inlineStr">
        <is>
          <t>T-8 to T+1</t>
        </is>
      </c>
      <c r="F167" s="3" t="inlineStr">
        <is>
          <t>2025-01-24</t>
        </is>
      </c>
      <c r="G167" s="3" t="inlineStr">
        <is>
          <t>2025-02-05</t>
        </is>
      </c>
      <c r="H167" s="3" t="inlineStr">
        <is>
          <t>2025-02-04</t>
        </is>
      </c>
      <c r="I167" s="5" t="n">
        <v>1002</v>
      </c>
      <c r="J167" s="6" t="n">
        <v>997.3754272460938</v>
      </c>
      <c r="K167" s="6" t="n">
        <v>1018.982727050781</v>
      </c>
      <c r="L167" s="7">
        <f>I167*J167</f>
        <v/>
      </c>
      <c r="M167" s="7">
        <f>I167*K167</f>
        <v/>
      </c>
      <c r="N167" s="7">
        <f>L167+M167</f>
        <v/>
      </c>
      <c r="O167" s="7">
        <f>ROUND(N167*0.0005, 2)</f>
        <v/>
      </c>
      <c r="P167" s="7">
        <f>M167-L167</f>
        <v/>
      </c>
      <c r="Q167" s="7">
        <f>P167-O167</f>
        <v/>
      </c>
      <c r="R167" s="8">
        <f>ROUND((Q167/L167)*100, 2)</f>
        <v/>
      </c>
      <c r="S167" s="7">
        <f>ROUND(0.20*L167, 2)</f>
        <v/>
      </c>
      <c r="T167" s="8">
        <f>ROUND((Q167/S167)*100, 2)</f>
        <v/>
      </c>
      <c r="U167" s="7">
        <f>U166+Q167</f>
        <v/>
      </c>
      <c r="V167" s="7">
        <f>MAX(V166, U167)</f>
        <v/>
      </c>
      <c r="W167" s="7">
        <f>U167-V167</f>
        <v/>
      </c>
    </row>
    <row r="168">
      <c r="A168" s="3" t="n">
        <v>165</v>
      </c>
      <c r="B168" s="4" t="inlineStr">
        <is>
          <t>PRESTIGE</t>
        </is>
      </c>
      <c r="C168" s="3" t="inlineStr">
        <is>
          <t>Q2 2026-27</t>
        </is>
      </c>
      <c r="D168" s="3" t="inlineStr">
        <is>
          <t>FUTURE LONG</t>
        </is>
      </c>
      <c r="E168" s="3" t="inlineStr">
        <is>
          <t>T-8 to T+1</t>
        </is>
      </c>
      <c r="F168" s="3" t="inlineStr">
        <is>
          <t>2025-01-21</t>
        </is>
      </c>
      <c r="G168" s="3" t="inlineStr">
        <is>
          <t>2025-02-01</t>
        </is>
      </c>
      <c r="H168" s="3" t="inlineStr">
        <is>
          <t>2025-01-31</t>
        </is>
      </c>
      <c r="I168" s="5" t="n">
        <v>720</v>
      </c>
      <c r="J168" s="6" t="n">
        <v>1387.30322265625</v>
      </c>
      <c r="K168" s="6" t="n">
        <v>1430.053955078125</v>
      </c>
      <c r="L168" s="7">
        <f>I168*J168</f>
        <v/>
      </c>
      <c r="M168" s="7">
        <f>I168*K168</f>
        <v/>
      </c>
      <c r="N168" s="7">
        <f>L168+M168</f>
        <v/>
      </c>
      <c r="O168" s="7">
        <f>ROUND(N168*0.0005, 2)</f>
        <v/>
      </c>
      <c r="P168" s="7">
        <f>M168-L168</f>
        <v/>
      </c>
      <c r="Q168" s="7">
        <f>P168-O168</f>
        <v/>
      </c>
      <c r="R168" s="8">
        <f>ROUND((Q168/L168)*100, 2)</f>
        <v/>
      </c>
      <c r="S168" s="7">
        <f>ROUND(0.20*L168, 2)</f>
        <v/>
      </c>
      <c r="T168" s="8">
        <f>ROUND((Q168/S168)*100, 2)</f>
        <v/>
      </c>
      <c r="U168" s="7">
        <f>U167+Q168</f>
        <v/>
      </c>
      <c r="V168" s="7">
        <f>MAX(V167, U168)</f>
        <v/>
      </c>
      <c r="W168" s="7">
        <f>U168-V168</f>
        <v/>
      </c>
    </row>
    <row r="169">
      <c r="A169" s="3" t="n">
        <v>166</v>
      </c>
      <c r="B169" s="4" t="inlineStr">
        <is>
          <t>RADICO</t>
        </is>
      </c>
      <c r="C169" s="3" t="inlineStr">
        <is>
          <t>Q2 2026-27</t>
        </is>
      </c>
      <c r="D169" s="3" t="inlineStr">
        <is>
          <t>FUTURE LONG</t>
        </is>
      </c>
      <c r="E169" s="3" t="inlineStr">
        <is>
          <t>T-8 to T+1</t>
        </is>
      </c>
      <c r="F169" s="3" t="inlineStr">
        <is>
          <t>2025-01-17</t>
        </is>
      </c>
      <c r="G169" s="3" t="inlineStr">
        <is>
          <t>2025-01-30</t>
        </is>
      </c>
      <c r="H169" s="3" t="inlineStr">
        <is>
          <t>2025-01-29</t>
        </is>
      </c>
      <c r="I169" s="5" t="n">
        <v>439</v>
      </c>
      <c r="J169" s="6" t="n">
        <v>2274.39794921875</v>
      </c>
      <c r="K169" s="6" t="n">
        <v>2190.755126953125</v>
      </c>
      <c r="L169" s="7">
        <f>I169*J169</f>
        <v/>
      </c>
      <c r="M169" s="7">
        <f>I169*K169</f>
        <v/>
      </c>
      <c r="N169" s="7">
        <f>L169+M169</f>
        <v/>
      </c>
      <c r="O169" s="7">
        <f>ROUND(N169*0.0005, 2)</f>
        <v/>
      </c>
      <c r="P169" s="7">
        <f>M169-L169</f>
        <v/>
      </c>
      <c r="Q169" s="7">
        <f>P169-O169</f>
        <v/>
      </c>
      <c r="R169" s="8">
        <f>ROUND((Q169/L169)*100, 2)</f>
        <v/>
      </c>
      <c r="S169" s="7">
        <f>ROUND(0.20*L169, 2)</f>
        <v/>
      </c>
      <c r="T169" s="8">
        <f>ROUND((Q169/S169)*100, 2)</f>
        <v/>
      </c>
      <c r="U169" s="7">
        <f>U168+Q169</f>
        <v/>
      </c>
      <c r="V169" s="7">
        <f>MAX(V168, U169)</f>
        <v/>
      </c>
      <c r="W169" s="7">
        <f>U169-V169</f>
        <v/>
      </c>
    </row>
    <row r="170">
      <c r="A170" s="3" t="n">
        <v>167</v>
      </c>
      <c r="B170" s="4" t="inlineStr">
        <is>
          <t>RBLBANK</t>
        </is>
      </c>
      <c r="C170" s="3" t="inlineStr">
        <is>
          <t>Q2 2026-27</t>
        </is>
      </c>
      <c r="D170" s="3" t="inlineStr">
        <is>
          <t>FUTURE LONG</t>
        </is>
      </c>
      <c r="E170" s="3" t="inlineStr">
        <is>
          <t>T-8 to T+1</t>
        </is>
      </c>
      <c r="F170" s="3" t="inlineStr">
        <is>
          <t>2025-01-07</t>
        </is>
      </c>
      <c r="G170" s="3" t="inlineStr">
        <is>
          <t>2025-01-20</t>
        </is>
      </c>
      <c r="H170" s="3" t="inlineStr">
        <is>
          <t>2025-01-18</t>
        </is>
      </c>
      <c r="I170" s="5" t="n">
        <v>6045</v>
      </c>
      <c r="J170" s="6" t="n">
        <v>165.4184875488281</v>
      </c>
      <c r="K170" s="6" t="n">
        <v>157.6068725585938</v>
      </c>
      <c r="L170" s="7">
        <f>I170*J170</f>
        <v/>
      </c>
      <c r="M170" s="7">
        <f>I170*K170</f>
        <v/>
      </c>
      <c r="N170" s="7">
        <f>L170+M170</f>
        <v/>
      </c>
      <c r="O170" s="7">
        <f>ROUND(N170*0.0005, 2)</f>
        <v/>
      </c>
      <c r="P170" s="7">
        <f>M170-L170</f>
        <v/>
      </c>
      <c r="Q170" s="7">
        <f>P170-O170</f>
        <v/>
      </c>
      <c r="R170" s="8">
        <f>ROUND((Q170/L170)*100, 2)</f>
        <v/>
      </c>
      <c r="S170" s="7">
        <f>ROUND(0.20*L170, 2)</f>
        <v/>
      </c>
      <c r="T170" s="8">
        <f>ROUND((Q170/S170)*100, 2)</f>
        <v/>
      </c>
      <c r="U170" s="7">
        <f>U169+Q170</f>
        <v/>
      </c>
      <c r="V170" s="7">
        <f>MAX(V169, U170)</f>
        <v/>
      </c>
      <c r="W170" s="7">
        <f>U170-V170</f>
        <v/>
      </c>
    </row>
    <row r="171">
      <c r="A171" s="3" t="n">
        <v>168</v>
      </c>
      <c r="B171" s="4" t="inlineStr">
        <is>
          <t>RECLTD</t>
        </is>
      </c>
      <c r="C171" s="3" t="inlineStr">
        <is>
          <t>Q2 2026-27</t>
        </is>
      </c>
      <c r="D171" s="3" t="inlineStr">
        <is>
          <t>FUTURE LONG</t>
        </is>
      </c>
      <c r="E171" s="3" t="inlineStr">
        <is>
          <t>T-8 to T+1</t>
        </is>
      </c>
      <c r="F171" s="3" t="inlineStr">
        <is>
          <t>2026-07-14</t>
        </is>
      </c>
      <c r="G171" s="3" t="inlineStr">
        <is>
          <t>2026-07-27</t>
        </is>
      </c>
      <c r="H171" s="3" t="inlineStr">
        <is>
          <t>2026-07-24</t>
        </is>
      </c>
      <c r="I171" s="5" t="n">
        <v>2837</v>
      </c>
      <c r="J171" s="6" t="n">
        <v>352.4500122070312</v>
      </c>
      <c r="K171" s="6" t="n">
        <v>368.1499938964844</v>
      </c>
      <c r="L171" s="7">
        <f>I171*J171</f>
        <v/>
      </c>
      <c r="M171" s="7">
        <f>I171*K171</f>
        <v/>
      </c>
      <c r="N171" s="7">
        <f>L171+M171</f>
        <v/>
      </c>
      <c r="O171" s="7">
        <f>ROUND(N171*0.0005, 2)</f>
        <v/>
      </c>
      <c r="P171" s="7">
        <f>M171-L171</f>
        <v/>
      </c>
      <c r="Q171" s="7">
        <f>P171-O171</f>
        <v/>
      </c>
      <c r="R171" s="8">
        <f>ROUND((Q171/L171)*100, 2)</f>
        <v/>
      </c>
      <c r="S171" s="7">
        <f>ROUND(0.20*L171, 2)</f>
        <v/>
      </c>
      <c r="T171" s="8">
        <f>ROUND((Q171/S171)*100, 2)</f>
        <v/>
      </c>
      <c r="U171" s="7">
        <f>U170+Q171</f>
        <v/>
      </c>
      <c r="V171" s="7">
        <f>MAX(V170, U171)</f>
        <v/>
      </c>
      <c r="W171" s="7">
        <f>U171-V171</f>
        <v/>
      </c>
    </row>
    <row r="172">
      <c r="A172" s="3" t="n">
        <v>169</v>
      </c>
      <c r="B172" s="4" t="inlineStr">
        <is>
          <t>RELIANCE</t>
        </is>
      </c>
      <c r="C172" s="3" t="inlineStr">
        <is>
          <t>Q2 2026-27</t>
        </is>
      </c>
      <c r="D172" s="3" t="inlineStr">
        <is>
          <t>FUTURE LONG</t>
        </is>
      </c>
      <c r="E172" s="3" t="inlineStr">
        <is>
          <t>T-8 to T+1</t>
        </is>
      </c>
      <c r="F172" s="3" t="inlineStr">
        <is>
          <t>2025-01-07</t>
        </is>
      </c>
      <c r="G172" s="3" t="inlineStr">
        <is>
          <t>2025-01-20</t>
        </is>
      </c>
      <c r="H172" s="3" t="inlineStr">
        <is>
          <t>2025-01-16</t>
        </is>
      </c>
      <c r="I172" s="5" t="n">
        <v>250</v>
      </c>
      <c r="J172" s="6" t="n">
        <v>1230.225708007812</v>
      </c>
      <c r="K172" s="6" t="n">
        <v>1294.272705078125</v>
      </c>
      <c r="L172" s="7">
        <f>I172*J172</f>
        <v/>
      </c>
      <c r="M172" s="7">
        <f>I172*K172</f>
        <v/>
      </c>
      <c r="N172" s="7">
        <f>L172+M172</f>
        <v/>
      </c>
      <c r="O172" s="7">
        <f>ROUND(N172*0.0005, 2)</f>
        <v/>
      </c>
      <c r="P172" s="7">
        <f>M172-L172</f>
        <v/>
      </c>
      <c r="Q172" s="7">
        <f>P172-O172</f>
        <v/>
      </c>
      <c r="R172" s="8">
        <f>ROUND((Q172/L172)*100, 2)</f>
        <v/>
      </c>
      <c r="S172" s="7">
        <f>ROUND(0.20*L172, 2)</f>
        <v/>
      </c>
      <c r="T172" s="8">
        <f>ROUND((Q172/S172)*100, 2)</f>
        <v/>
      </c>
      <c r="U172" s="7">
        <f>U171+Q172</f>
        <v/>
      </c>
      <c r="V172" s="7">
        <f>MAX(V171, U172)</f>
        <v/>
      </c>
      <c r="W172" s="7">
        <f>U172-V172</f>
        <v/>
      </c>
    </row>
    <row r="173">
      <c r="A173" s="3" t="n">
        <v>170</v>
      </c>
      <c r="B173" s="4" t="inlineStr">
        <is>
          <t>RVNL</t>
        </is>
      </c>
      <c r="C173" s="3" t="inlineStr">
        <is>
          <t>Q2 2026-27</t>
        </is>
      </c>
      <c r="D173" s="3" t="inlineStr">
        <is>
          <t>FUTURE LONG</t>
        </is>
      </c>
      <c r="E173" s="3" t="inlineStr">
        <is>
          <t>T-8 to T+1</t>
        </is>
      </c>
      <c r="F173" s="3" t="inlineStr">
        <is>
          <t>2025-02-04</t>
        </is>
      </c>
      <c r="G173" s="3" t="inlineStr">
        <is>
          <t>2025-02-17</t>
        </is>
      </c>
      <c r="H173" s="3" t="inlineStr">
        <is>
          <t>2025-02-14</t>
        </is>
      </c>
      <c r="I173" s="5" t="n">
        <v>2520</v>
      </c>
      <c r="J173" s="6" t="n">
        <v>396.7737426757813</v>
      </c>
      <c r="K173" s="6" t="n">
        <v>339.60302734375</v>
      </c>
      <c r="L173" s="7">
        <f>I173*J173</f>
        <v/>
      </c>
      <c r="M173" s="7">
        <f>I173*K173</f>
        <v/>
      </c>
      <c r="N173" s="7">
        <f>L173+M173</f>
        <v/>
      </c>
      <c r="O173" s="7">
        <f>ROUND(N173*0.0005, 2)</f>
        <v/>
      </c>
      <c r="P173" s="7">
        <f>M173-L173</f>
        <v/>
      </c>
      <c r="Q173" s="7">
        <f>P173-O173</f>
        <v/>
      </c>
      <c r="R173" s="8">
        <f>ROUND((Q173/L173)*100, 2)</f>
        <v/>
      </c>
      <c r="S173" s="7">
        <f>ROUND(0.20*L173, 2)</f>
        <v/>
      </c>
      <c r="T173" s="8">
        <f>ROUND((Q173/S173)*100, 2)</f>
        <v/>
      </c>
      <c r="U173" s="7">
        <f>U172+Q173</f>
        <v/>
      </c>
      <c r="V173" s="7">
        <f>MAX(V172, U173)</f>
        <v/>
      </c>
      <c r="W173" s="7">
        <f>U173-V173</f>
        <v/>
      </c>
    </row>
    <row r="174">
      <c r="A174" s="3" t="n">
        <v>171</v>
      </c>
      <c r="B174" s="4" t="inlineStr">
        <is>
          <t>SAGILITY</t>
        </is>
      </c>
      <c r="C174" s="3" t="inlineStr">
        <is>
          <t>Q2 2026-27</t>
        </is>
      </c>
      <c r="D174" s="3" t="inlineStr">
        <is>
          <t>FUTURE LONG</t>
        </is>
      </c>
      <c r="E174" s="3" t="inlineStr">
        <is>
          <t>T-8 to T+1</t>
        </is>
      </c>
      <c r="F174" s="3" t="inlineStr">
        <is>
          <t>2025-01-27</t>
        </is>
      </c>
      <c r="G174" s="3" t="inlineStr">
        <is>
          <t>2025-02-06</t>
        </is>
      </c>
      <c r="H174" s="3" t="inlineStr">
        <is>
          <t>2025-02-05</t>
        </is>
      </c>
      <c r="I174" s="5" t="n">
        <v>21961</v>
      </c>
      <c r="J174" s="6" t="n">
        <v>45.53448486328125</v>
      </c>
      <c r="K174" s="6" t="n">
        <v>52.67734146118164</v>
      </c>
      <c r="L174" s="7">
        <f>I174*J174</f>
        <v/>
      </c>
      <c r="M174" s="7">
        <f>I174*K174</f>
        <v/>
      </c>
      <c r="N174" s="7">
        <f>L174+M174</f>
        <v/>
      </c>
      <c r="O174" s="7">
        <f>ROUND(N174*0.0005, 2)</f>
        <v/>
      </c>
      <c r="P174" s="7">
        <f>M174-L174</f>
        <v/>
      </c>
      <c r="Q174" s="7">
        <f>P174-O174</f>
        <v/>
      </c>
      <c r="R174" s="8">
        <f>ROUND((Q174/L174)*100, 2)</f>
        <v/>
      </c>
      <c r="S174" s="7">
        <f>ROUND(0.20*L174, 2)</f>
        <v/>
      </c>
      <c r="T174" s="8">
        <f>ROUND((Q174/S174)*100, 2)</f>
        <v/>
      </c>
      <c r="U174" s="7">
        <f>U173+Q174</f>
        <v/>
      </c>
      <c r="V174" s="7">
        <f>MAX(V173, U174)</f>
        <v/>
      </c>
      <c r="W174" s="7">
        <f>U174-V174</f>
        <v/>
      </c>
    </row>
    <row r="175">
      <c r="A175" s="3" t="n">
        <v>172</v>
      </c>
      <c r="B175" s="4" t="inlineStr">
        <is>
          <t>SAIL</t>
        </is>
      </c>
      <c r="C175" s="3" t="inlineStr">
        <is>
          <t>Q2 2026-27</t>
        </is>
      </c>
      <c r="D175" s="3" t="inlineStr">
        <is>
          <t>FUTURE LONG</t>
        </is>
      </c>
      <c r="E175" s="3" t="inlineStr">
        <is>
          <t>T-8 to T+1</t>
        </is>
      </c>
      <c r="F175" s="3" t="inlineStr">
        <is>
          <t>2025-02-01</t>
        </is>
      </c>
      <c r="G175" s="3" t="inlineStr">
        <is>
          <t>2025-02-13</t>
        </is>
      </c>
      <c r="H175" s="3" t="inlineStr">
        <is>
          <t>2025-02-12</t>
        </is>
      </c>
      <c r="I175" s="5" t="n">
        <v>9504</v>
      </c>
      <c r="J175" s="6" t="n">
        <v>105.2113571166992</v>
      </c>
      <c r="K175" s="6" t="n">
        <v>107.9766998291016</v>
      </c>
      <c r="L175" s="7">
        <f>I175*J175</f>
        <v/>
      </c>
      <c r="M175" s="7">
        <f>I175*K175</f>
        <v/>
      </c>
      <c r="N175" s="7">
        <f>L175+M175</f>
        <v/>
      </c>
      <c r="O175" s="7">
        <f>ROUND(N175*0.0005, 2)</f>
        <v/>
      </c>
      <c r="P175" s="7">
        <f>M175-L175</f>
        <v/>
      </c>
      <c r="Q175" s="7">
        <f>P175-O175</f>
        <v/>
      </c>
      <c r="R175" s="8">
        <f>ROUND((Q175/L175)*100, 2)</f>
        <v/>
      </c>
      <c r="S175" s="7">
        <f>ROUND(0.20*L175, 2)</f>
        <v/>
      </c>
      <c r="T175" s="8">
        <f>ROUND((Q175/S175)*100, 2)</f>
        <v/>
      </c>
      <c r="U175" s="7">
        <f>U174+Q175</f>
        <v/>
      </c>
      <c r="V175" s="7">
        <f>MAX(V174, U175)</f>
        <v/>
      </c>
      <c r="W175" s="7">
        <f>U175-V175</f>
        <v/>
      </c>
    </row>
    <row r="176">
      <c r="A176" s="3" t="n">
        <v>173</v>
      </c>
      <c r="B176" s="4" t="inlineStr">
        <is>
          <t>SBICARD</t>
        </is>
      </c>
      <c r="C176" s="3" t="inlineStr">
        <is>
          <t>Q2 2026-27</t>
        </is>
      </c>
      <c r="D176" s="3" t="inlineStr">
        <is>
          <t>FUTURE LONG</t>
        </is>
      </c>
      <c r="E176" s="3" t="inlineStr">
        <is>
          <t>T-8 to T+1</t>
        </is>
      </c>
      <c r="F176" s="3" t="inlineStr">
        <is>
          <t>2025-01-16</t>
        </is>
      </c>
      <c r="G176" s="3" t="inlineStr">
        <is>
          <t>2025-01-29</t>
        </is>
      </c>
      <c r="H176" s="3" t="inlineStr">
        <is>
          <t>2025-01-28</t>
        </is>
      </c>
      <c r="I176" s="5" t="n">
        <v>1310</v>
      </c>
      <c r="J176" s="6" t="n">
        <v>762.95</v>
      </c>
      <c r="K176" s="6" t="n">
        <v>763</v>
      </c>
      <c r="L176" s="7">
        <f>I176*J176</f>
        <v/>
      </c>
      <c r="M176" s="7">
        <f>I176*K176</f>
        <v/>
      </c>
      <c r="N176" s="7">
        <f>L176+M176</f>
        <v/>
      </c>
      <c r="O176" s="7">
        <f>ROUND(N176*0.0005, 2)</f>
        <v/>
      </c>
      <c r="P176" s="7">
        <f>M176-L176</f>
        <v/>
      </c>
      <c r="Q176" s="7">
        <f>P176-O176</f>
        <v/>
      </c>
      <c r="R176" s="8">
        <f>ROUND((Q176/L176)*100, 2)</f>
        <v/>
      </c>
      <c r="S176" s="7">
        <f>ROUND(0.20*L176, 2)</f>
        <v/>
      </c>
      <c r="T176" s="8">
        <f>ROUND((Q176/S176)*100, 2)</f>
        <v/>
      </c>
      <c r="U176" s="7">
        <f>U175+Q176</f>
        <v/>
      </c>
      <c r="V176" s="7">
        <f>MAX(V175, U176)</f>
        <v/>
      </c>
      <c r="W176" s="7">
        <f>U176-V176</f>
        <v/>
      </c>
    </row>
    <row r="177">
      <c r="A177" s="3" t="n">
        <v>174</v>
      </c>
      <c r="B177" s="4" t="inlineStr">
        <is>
          <t>SBILIFE</t>
        </is>
      </c>
      <c r="C177" s="3" t="inlineStr">
        <is>
          <t>Q2 2026-27</t>
        </is>
      </c>
      <c r="D177" s="3" t="inlineStr">
        <is>
          <t>FUTURE LONG</t>
        </is>
      </c>
      <c r="E177" s="3" t="inlineStr">
        <is>
          <t>T-8 to T+1</t>
        </is>
      </c>
      <c r="F177" s="3" t="inlineStr">
        <is>
          <t>2025-01-07</t>
        </is>
      </c>
      <c r="G177" s="3" t="inlineStr">
        <is>
          <t>2025-01-20</t>
        </is>
      </c>
      <c r="H177" s="3" t="inlineStr">
        <is>
          <t>2025-01-17</t>
        </is>
      </c>
      <c r="I177" s="5" t="n">
        <v>375</v>
      </c>
      <c r="J177" s="6" t="n">
        <v>1472.895263671875</v>
      </c>
      <c r="K177" s="6" t="n">
        <v>1494.773071289062</v>
      </c>
      <c r="L177" s="7">
        <f>I177*J177</f>
        <v/>
      </c>
      <c r="M177" s="7">
        <f>I177*K177</f>
        <v/>
      </c>
      <c r="N177" s="7">
        <f>L177+M177</f>
        <v/>
      </c>
      <c r="O177" s="7">
        <f>ROUND(N177*0.0005, 2)</f>
        <v/>
      </c>
      <c r="P177" s="7">
        <f>M177-L177</f>
        <v/>
      </c>
      <c r="Q177" s="7">
        <f>P177-O177</f>
        <v/>
      </c>
      <c r="R177" s="8">
        <f>ROUND((Q177/L177)*100, 2)</f>
        <v/>
      </c>
      <c r="S177" s="7">
        <f>ROUND(0.20*L177, 2)</f>
        <v/>
      </c>
      <c r="T177" s="8">
        <f>ROUND((Q177/S177)*100, 2)</f>
        <v/>
      </c>
      <c r="U177" s="7">
        <f>U176+Q177</f>
        <v/>
      </c>
      <c r="V177" s="7">
        <f>MAX(V176, U177)</f>
        <v/>
      </c>
      <c r="W177" s="7">
        <f>U177-V177</f>
        <v/>
      </c>
    </row>
    <row r="178">
      <c r="A178" s="3" t="n">
        <v>175</v>
      </c>
      <c r="B178" s="4" t="inlineStr">
        <is>
          <t>SBIN</t>
        </is>
      </c>
      <c r="C178" s="3" t="inlineStr">
        <is>
          <t>Q2 2026-27</t>
        </is>
      </c>
      <c r="D178" s="3" t="inlineStr">
        <is>
          <t>FUTURE LONG</t>
        </is>
      </c>
      <c r="E178" s="3" t="inlineStr">
        <is>
          <t>T-8 to T+1</t>
        </is>
      </c>
      <c r="F178" s="3" t="inlineStr">
        <is>
          <t>2025-01-29</t>
        </is>
      </c>
      <c r="G178" s="3" t="inlineStr">
        <is>
          <t>2025-02-10</t>
        </is>
      </c>
      <c r="H178" s="3" t="inlineStr">
        <is>
          <t>2025-02-06</t>
        </is>
      </c>
      <c r="I178" s="5" t="n">
        <v>1500</v>
      </c>
      <c r="J178" s="6" t="n">
        <v>730.355712890625</v>
      </c>
      <c r="K178" s="6" t="n">
        <v>709.5076904296875</v>
      </c>
      <c r="L178" s="7">
        <f>I178*J178</f>
        <v/>
      </c>
      <c r="M178" s="7">
        <f>I178*K178</f>
        <v/>
      </c>
      <c r="N178" s="7">
        <f>L178+M178</f>
        <v/>
      </c>
      <c r="O178" s="7">
        <f>ROUND(N178*0.0005, 2)</f>
        <v/>
      </c>
      <c r="P178" s="7">
        <f>M178-L178</f>
        <v/>
      </c>
      <c r="Q178" s="7">
        <f>P178-O178</f>
        <v/>
      </c>
      <c r="R178" s="8">
        <f>ROUND((Q178/L178)*100, 2)</f>
        <v/>
      </c>
      <c r="S178" s="7">
        <f>ROUND(0.20*L178, 2)</f>
        <v/>
      </c>
      <c r="T178" s="8">
        <f>ROUND((Q178/S178)*100, 2)</f>
        <v/>
      </c>
      <c r="U178" s="7">
        <f>U177+Q178</f>
        <v/>
      </c>
      <c r="V178" s="7">
        <f>MAX(V177, U178)</f>
        <v/>
      </c>
      <c r="W178" s="7">
        <f>U178-V178</f>
        <v/>
      </c>
    </row>
    <row r="179">
      <c r="A179" s="3" t="n">
        <v>176</v>
      </c>
      <c r="B179" s="4" t="inlineStr">
        <is>
          <t>SHREECEM</t>
        </is>
      </c>
      <c r="C179" s="3" t="inlineStr">
        <is>
          <t>Q2 2026-27</t>
        </is>
      </c>
      <c r="D179" s="3" t="inlineStr">
        <is>
          <t>FUTURE LONG</t>
        </is>
      </c>
      <c r="E179" s="3" t="inlineStr">
        <is>
          <t>T-8 to T+1</t>
        </is>
      </c>
      <c r="F179" s="3" t="inlineStr">
        <is>
          <t>2025-01-20</t>
        </is>
      </c>
      <c r="G179" s="3" t="inlineStr">
        <is>
          <t>2025-01-31</t>
        </is>
      </c>
      <c r="H179" s="3" t="inlineStr">
        <is>
          <t>2025-01-30</t>
        </is>
      </c>
      <c r="I179" s="5" t="n">
        <v>100</v>
      </c>
      <c r="J179" s="6" t="n">
        <v>24916.515625</v>
      </c>
      <c r="K179" s="6" t="n">
        <v>27542.234375</v>
      </c>
      <c r="L179" s="7">
        <f>I179*J179</f>
        <v/>
      </c>
      <c r="M179" s="7">
        <f>I179*K179</f>
        <v/>
      </c>
      <c r="N179" s="7">
        <f>L179+M179</f>
        <v/>
      </c>
      <c r="O179" s="7">
        <f>ROUND(N179*0.0005, 2)</f>
        <v/>
      </c>
      <c r="P179" s="7">
        <f>M179-L179</f>
        <v/>
      </c>
      <c r="Q179" s="7">
        <f>P179-O179</f>
        <v/>
      </c>
      <c r="R179" s="8">
        <f>ROUND((Q179/L179)*100, 2)</f>
        <v/>
      </c>
      <c r="S179" s="7">
        <f>ROUND(0.20*L179, 2)</f>
        <v/>
      </c>
      <c r="T179" s="8">
        <f>ROUND((Q179/S179)*100, 2)</f>
        <v/>
      </c>
      <c r="U179" s="7">
        <f>U178+Q179</f>
        <v/>
      </c>
      <c r="V179" s="7">
        <f>MAX(V178, U179)</f>
        <v/>
      </c>
      <c r="W179" s="7">
        <f>U179-V179</f>
        <v/>
      </c>
    </row>
    <row r="180">
      <c r="A180" s="3" t="n">
        <v>177</v>
      </c>
      <c r="B180" s="4" t="inlineStr">
        <is>
          <t>SHRIRAMFIN</t>
        </is>
      </c>
      <c r="C180" s="3" t="inlineStr">
        <is>
          <t>Q2 2026-27</t>
        </is>
      </c>
      <c r="D180" s="3" t="inlineStr">
        <is>
          <t>FUTURE LONG</t>
        </is>
      </c>
      <c r="E180" s="3" t="inlineStr">
        <is>
          <t>T-8 to T+1</t>
        </is>
      </c>
      <c r="F180" s="3" t="inlineStr">
        <is>
          <t>2025-01-14</t>
        </is>
      </c>
      <c r="G180" s="3" t="inlineStr">
        <is>
          <t>2025-01-27</t>
        </is>
      </c>
      <c r="H180" s="3" t="inlineStr">
        <is>
          <t>2025-01-24</t>
        </is>
      </c>
      <c r="I180" s="5" t="n">
        <v>1876</v>
      </c>
      <c r="J180" s="6" t="n">
        <v>532.8745727539062</v>
      </c>
      <c r="K180" s="6" t="n">
        <v>501.0940856933594</v>
      </c>
      <c r="L180" s="7">
        <f>I180*J180</f>
        <v/>
      </c>
      <c r="M180" s="7">
        <f>I180*K180</f>
        <v/>
      </c>
      <c r="N180" s="7">
        <f>L180+M180</f>
        <v/>
      </c>
      <c r="O180" s="7">
        <f>ROUND(N180*0.0005, 2)</f>
        <v/>
      </c>
      <c r="P180" s="7">
        <f>M180-L180</f>
        <v/>
      </c>
      <c r="Q180" s="7">
        <f>P180-O180</f>
        <v/>
      </c>
      <c r="R180" s="8">
        <f>ROUND((Q180/L180)*100, 2)</f>
        <v/>
      </c>
      <c r="S180" s="7">
        <f>ROUND(0.20*L180, 2)</f>
        <v/>
      </c>
      <c r="T180" s="8">
        <f>ROUND((Q180/S180)*100, 2)</f>
        <v/>
      </c>
      <c r="U180" s="7">
        <f>U179+Q180</f>
        <v/>
      </c>
      <c r="V180" s="7">
        <f>MAX(V179, U180)</f>
        <v/>
      </c>
      <c r="W180" s="7">
        <f>U180-V180</f>
        <v/>
      </c>
    </row>
    <row r="181">
      <c r="A181" s="3" t="n">
        <v>178</v>
      </c>
      <c r="B181" s="4" t="inlineStr">
        <is>
          <t>SIEMENS</t>
        </is>
      </c>
      <c r="C181" s="3" t="inlineStr">
        <is>
          <t>Q2 2026-27</t>
        </is>
      </c>
      <c r="D181" s="3" t="inlineStr">
        <is>
          <t>FUTURE LONG</t>
        </is>
      </c>
      <c r="E181" s="3" t="inlineStr">
        <is>
          <t>T-8 to T+1</t>
        </is>
      </c>
      <c r="F181" s="3" t="inlineStr">
        <is>
          <t>2025-02-01</t>
        </is>
      </c>
      <c r="G181" s="3" t="inlineStr">
        <is>
          <t>2025-02-13</t>
        </is>
      </c>
      <c r="H181" s="3" t="inlineStr">
        <is>
          <t>2025-02-12</t>
        </is>
      </c>
      <c r="I181" s="5" t="n">
        <v>297</v>
      </c>
      <c r="J181" s="6" t="n">
        <v>3357.719970703125</v>
      </c>
      <c r="K181" s="6" t="n">
        <v>2982.125</v>
      </c>
      <c r="L181" s="7">
        <f>I181*J181</f>
        <v/>
      </c>
      <c r="M181" s="7">
        <f>I181*K181</f>
        <v/>
      </c>
      <c r="N181" s="7">
        <f>L181+M181</f>
        <v/>
      </c>
      <c r="O181" s="7">
        <f>ROUND(N181*0.0005, 2)</f>
        <v/>
      </c>
      <c r="P181" s="7">
        <f>M181-L181</f>
        <v/>
      </c>
      <c r="Q181" s="7">
        <f>P181-O181</f>
        <v/>
      </c>
      <c r="R181" s="8">
        <f>ROUND((Q181/L181)*100, 2)</f>
        <v/>
      </c>
      <c r="S181" s="7">
        <f>ROUND(0.20*L181, 2)</f>
        <v/>
      </c>
      <c r="T181" s="8">
        <f>ROUND((Q181/S181)*100, 2)</f>
        <v/>
      </c>
      <c r="U181" s="7">
        <f>U180+Q181</f>
        <v/>
      </c>
      <c r="V181" s="7">
        <f>MAX(V180, U181)</f>
        <v/>
      </c>
      <c r="W181" s="7">
        <f>U181-V181</f>
        <v/>
      </c>
    </row>
    <row r="182">
      <c r="A182" s="3" t="n">
        <v>179</v>
      </c>
      <c r="B182" s="4" t="inlineStr">
        <is>
          <t>SOLARINDS</t>
        </is>
      </c>
      <c r="C182" s="3" t="inlineStr">
        <is>
          <t>Q2 2026-27</t>
        </is>
      </c>
      <c r="D182" s="3" t="inlineStr">
        <is>
          <t>FUTURE LONG</t>
        </is>
      </c>
      <c r="E182" s="3" t="inlineStr">
        <is>
          <t>T-8 to T+1</t>
        </is>
      </c>
      <c r="F182" s="3" t="inlineStr">
        <is>
          <t>2025-01-28</t>
        </is>
      </c>
      <c r="G182" s="3" t="inlineStr">
        <is>
          <t>2025-02-07</t>
        </is>
      </c>
      <c r="H182" s="3" t="inlineStr">
        <is>
          <t>2025-02-06</t>
        </is>
      </c>
      <c r="I182" s="5" t="n">
        <v>108</v>
      </c>
      <c r="J182" s="6" t="n">
        <v>9240.9560546875</v>
      </c>
      <c r="K182" s="6" t="n">
        <v>9075.0029296875</v>
      </c>
      <c r="L182" s="7">
        <f>I182*J182</f>
        <v/>
      </c>
      <c r="M182" s="7">
        <f>I182*K182</f>
        <v/>
      </c>
      <c r="N182" s="7">
        <f>L182+M182</f>
        <v/>
      </c>
      <c r="O182" s="7">
        <f>ROUND(N182*0.0005, 2)</f>
        <v/>
      </c>
      <c r="P182" s="7">
        <f>M182-L182</f>
        <v/>
      </c>
      <c r="Q182" s="7">
        <f>P182-O182</f>
        <v/>
      </c>
      <c r="R182" s="8">
        <f>ROUND((Q182/L182)*100, 2)</f>
        <v/>
      </c>
      <c r="S182" s="7">
        <f>ROUND(0.20*L182, 2)</f>
        <v/>
      </c>
      <c r="T182" s="8">
        <f>ROUND((Q182/S182)*100, 2)</f>
        <v/>
      </c>
      <c r="U182" s="7">
        <f>U181+Q182</f>
        <v/>
      </c>
      <c r="V182" s="7">
        <f>MAX(V181, U182)</f>
        <v/>
      </c>
      <c r="W182" s="7">
        <f>U182-V182</f>
        <v/>
      </c>
    </row>
    <row r="183">
      <c r="A183" s="3" t="n">
        <v>180</v>
      </c>
      <c r="B183" s="4" t="inlineStr">
        <is>
          <t>SONACOMS</t>
        </is>
      </c>
      <c r="C183" s="3" t="inlineStr">
        <is>
          <t>Q2 2026-27</t>
        </is>
      </c>
      <c r="D183" s="3" t="inlineStr">
        <is>
          <t>FUTURE LONG</t>
        </is>
      </c>
      <c r="E183" s="3" t="inlineStr">
        <is>
          <t>T-8 to T+1</t>
        </is>
      </c>
      <c r="F183" s="3" t="inlineStr">
        <is>
          <t>2025-01-13</t>
        </is>
      </c>
      <c r="G183" s="3" t="inlineStr">
        <is>
          <t>2025-01-24</t>
        </is>
      </c>
      <c r="H183" s="3" t="inlineStr">
        <is>
          <t>2025-01-23</t>
        </is>
      </c>
      <c r="I183" s="5" t="n">
        <v>1802</v>
      </c>
      <c r="J183" s="6" t="n">
        <v>554.8204956054688</v>
      </c>
      <c r="K183" s="6" t="n">
        <v>518.4346923828125</v>
      </c>
      <c r="L183" s="7">
        <f>I183*J183</f>
        <v/>
      </c>
      <c r="M183" s="7">
        <f>I183*K183</f>
        <v/>
      </c>
      <c r="N183" s="7">
        <f>L183+M183</f>
        <v/>
      </c>
      <c r="O183" s="7">
        <f>ROUND(N183*0.0005, 2)</f>
        <v/>
      </c>
      <c r="P183" s="7">
        <f>M183-L183</f>
        <v/>
      </c>
      <c r="Q183" s="7">
        <f>P183-O183</f>
        <v/>
      </c>
      <c r="R183" s="8">
        <f>ROUND((Q183/L183)*100, 2)</f>
        <v/>
      </c>
      <c r="S183" s="7">
        <f>ROUND(0.20*L183, 2)</f>
        <v/>
      </c>
      <c r="T183" s="8">
        <f>ROUND((Q183/S183)*100, 2)</f>
        <v/>
      </c>
      <c r="U183" s="7">
        <f>U182+Q183</f>
        <v/>
      </c>
      <c r="V183" s="7">
        <f>MAX(V182, U183)</f>
        <v/>
      </c>
      <c r="W183" s="7">
        <f>U183-V183</f>
        <v/>
      </c>
    </row>
    <row r="184">
      <c r="A184" s="3" t="n">
        <v>181</v>
      </c>
      <c r="B184" s="4" t="inlineStr">
        <is>
          <t>SRF</t>
        </is>
      </c>
      <c r="C184" s="3" t="inlineStr">
        <is>
          <t>Q2 2026-27</t>
        </is>
      </c>
      <c r="D184" s="3" t="inlineStr">
        <is>
          <t>FUTURE LONG</t>
        </is>
      </c>
      <c r="E184" s="3" t="inlineStr">
        <is>
          <t>T-8 to T+1</t>
        </is>
      </c>
      <c r="F184" s="3" t="inlineStr">
        <is>
          <t>2025-01-17</t>
        </is>
      </c>
      <c r="G184" s="3" t="inlineStr">
        <is>
          <t>2025-01-30</t>
        </is>
      </c>
      <c r="H184" s="3" t="inlineStr">
        <is>
          <t>2025-01-29</t>
        </is>
      </c>
      <c r="I184" s="5" t="n">
        <v>386</v>
      </c>
      <c r="J184" s="6" t="n">
        <v>2590.142822265625</v>
      </c>
      <c r="K184" s="6" t="n">
        <v>2813.437255859375</v>
      </c>
      <c r="L184" s="7">
        <f>I184*J184</f>
        <v/>
      </c>
      <c r="M184" s="7">
        <f>I184*K184</f>
        <v/>
      </c>
      <c r="N184" s="7">
        <f>L184+M184</f>
        <v/>
      </c>
      <c r="O184" s="7">
        <f>ROUND(N184*0.0005, 2)</f>
        <v/>
      </c>
      <c r="P184" s="7">
        <f>M184-L184</f>
        <v/>
      </c>
      <c r="Q184" s="7">
        <f>P184-O184</f>
        <v/>
      </c>
      <c r="R184" s="8">
        <f>ROUND((Q184/L184)*100, 2)</f>
        <v/>
      </c>
      <c r="S184" s="7">
        <f>ROUND(0.20*L184, 2)</f>
        <v/>
      </c>
      <c r="T184" s="8">
        <f>ROUND((Q184/S184)*100, 2)</f>
        <v/>
      </c>
      <c r="U184" s="7">
        <f>U183+Q184</f>
        <v/>
      </c>
      <c r="V184" s="7">
        <f>MAX(V183, U184)</f>
        <v/>
      </c>
      <c r="W184" s="7">
        <f>U184-V184</f>
        <v/>
      </c>
    </row>
    <row r="185">
      <c r="A185" s="3" t="n">
        <v>182</v>
      </c>
      <c r="B185" s="4" t="inlineStr">
        <is>
          <t>SUNPHARMA</t>
        </is>
      </c>
      <c r="C185" s="3" t="inlineStr">
        <is>
          <t>Q2 2026-27</t>
        </is>
      </c>
      <c r="D185" s="3" t="inlineStr">
        <is>
          <t>FUTURE LONG</t>
        </is>
      </c>
      <c r="E185" s="3" t="inlineStr">
        <is>
          <t>T-8 to T+1</t>
        </is>
      </c>
      <c r="F185" s="3" t="inlineStr">
        <is>
          <t>2025-01-22</t>
        </is>
      </c>
      <c r="G185" s="3" t="inlineStr">
        <is>
          <t>2025-02-03</t>
        </is>
      </c>
      <c r="H185" s="3" t="inlineStr">
        <is>
          <t>2025-01-31</t>
        </is>
      </c>
      <c r="I185" s="5" t="n">
        <v>350</v>
      </c>
      <c r="J185" s="6" t="n">
        <v>1766.174560546875</v>
      </c>
      <c r="K185" s="6" t="n">
        <v>1708.887573242188</v>
      </c>
      <c r="L185" s="7">
        <f>I185*J185</f>
        <v/>
      </c>
      <c r="M185" s="7">
        <f>I185*K185</f>
        <v/>
      </c>
      <c r="N185" s="7">
        <f>L185+M185</f>
        <v/>
      </c>
      <c r="O185" s="7">
        <f>ROUND(N185*0.0005, 2)</f>
        <v/>
      </c>
      <c r="P185" s="7">
        <f>M185-L185</f>
        <v/>
      </c>
      <c r="Q185" s="7">
        <f>P185-O185</f>
        <v/>
      </c>
      <c r="R185" s="8">
        <f>ROUND((Q185/L185)*100, 2)</f>
        <v/>
      </c>
      <c r="S185" s="7">
        <f>ROUND(0.20*L185, 2)</f>
        <v/>
      </c>
      <c r="T185" s="8">
        <f>ROUND((Q185/S185)*100, 2)</f>
        <v/>
      </c>
      <c r="U185" s="7">
        <f>U184+Q185</f>
        <v/>
      </c>
      <c r="V185" s="7">
        <f>MAX(V184, U185)</f>
        <v/>
      </c>
      <c r="W185" s="7">
        <f>U185-V185</f>
        <v/>
      </c>
    </row>
    <row r="186">
      <c r="A186" s="3" t="n">
        <v>183</v>
      </c>
      <c r="B186" s="4" t="inlineStr">
        <is>
          <t>SUPREMEIND</t>
        </is>
      </c>
      <c r="C186" s="3" t="inlineStr">
        <is>
          <t>Q2 2026-27</t>
        </is>
      </c>
      <c r="D186" s="3" t="inlineStr">
        <is>
          <t>FUTURE LONG</t>
        </is>
      </c>
      <c r="E186" s="3" t="inlineStr">
        <is>
          <t>T-8 to T+1</t>
        </is>
      </c>
      <c r="F186" s="3" t="inlineStr">
        <is>
          <t>2025-01-08</t>
        </is>
      </c>
      <c r="G186" s="3" t="inlineStr">
        <is>
          <t>2025-01-21</t>
        </is>
      </c>
      <c r="H186" s="3" t="inlineStr">
        <is>
          <t>2025-01-20</t>
        </is>
      </c>
      <c r="I186" s="5" t="n">
        <v>220</v>
      </c>
      <c r="J186" s="6" t="n">
        <v>4536.9013671875</v>
      </c>
      <c r="K186" s="6" t="n">
        <v>3898.72607421875</v>
      </c>
      <c r="L186" s="7">
        <f>I186*J186</f>
        <v/>
      </c>
      <c r="M186" s="7">
        <f>I186*K186</f>
        <v/>
      </c>
      <c r="N186" s="7">
        <f>L186+M186</f>
        <v/>
      </c>
      <c r="O186" s="7">
        <f>ROUND(N186*0.0005, 2)</f>
        <v/>
      </c>
      <c r="P186" s="7">
        <f>M186-L186</f>
        <v/>
      </c>
      <c r="Q186" s="7">
        <f>P186-O186</f>
        <v/>
      </c>
      <c r="R186" s="8">
        <f>ROUND((Q186/L186)*100, 2)</f>
        <v/>
      </c>
      <c r="S186" s="7">
        <f>ROUND(0.20*L186, 2)</f>
        <v/>
      </c>
      <c r="T186" s="8">
        <f>ROUND((Q186/S186)*100, 2)</f>
        <v/>
      </c>
      <c r="U186" s="7">
        <f>U185+Q186</f>
        <v/>
      </c>
      <c r="V186" s="7">
        <f>MAX(V185, U186)</f>
        <v/>
      </c>
      <c r="W186" s="7">
        <f>U186-V186</f>
        <v/>
      </c>
    </row>
    <row r="187">
      <c r="A187" s="3" t="n">
        <v>184</v>
      </c>
      <c r="B187" s="4" t="inlineStr">
        <is>
          <t>SUZLON</t>
        </is>
      </c>
      <c r="C187" s="3" t="inlineStr">
        <is>
          <t>Q2 2026-27</t>
        </is>
      </c>
      <c r="D187" s="3" t="inlineStr">
        <is>
          <t>FUTURE LONG</t>
        </is>
      </c>
      <c r="E187" s="3" t="inlineStr">
        <is>
          <t>T-8 to T+1</t>
        </is>
      </c>
      <c r="F187" s="3" t="inlineStr">
        <is>
          <t>2025-01-16</t>
        </is>
      </c>
      <c r="G187" s="3" t="inlineStr">
        <is>
          <t>2025-01-29</t>
        </is>
      </c>
      <c r="H187" s="3" t="inlineStr">
        <is>
          <t>2025-01-28</t>
        </is>
      </c>
      <c r="I187" s="5" t="n">
        <v>17583</v>
      </c>
      <c r="J187" s="6" t="n">
        <v>56.86999893188477</v>
      </c>
      <c r="K187" s="6" t="n">
        <v>52.77000045776367</v>
      </c>
      <c r="L187" s="7">
        <f>I187*J187</f>
        <v/>
      </c>
      <c r="M187" s="7">
        <f>I187*K187</f>
        <v/>
      </c>
      <c r="N187" s="7">
        <f>L187+M187</f>
        <v/>
      </c>
      <c r="O187" s="7">
        <f>ROUND(N187*0.0005, 2)</f>
        <v/>
      </c>
      <c r="P187" s="7">
        <f>M187-L187</f>
        <v/>
      </c>
      <c r="Q187" s="7">
        <f>P187-O187</f>
        <v/>
      </c>
      <c r="R187" s="8">
        <f>ROUND((Q187/L187)*100, 2)</f>
        <v/>
      </c>
      <c r="S187" s="7">
        <f>ROUND(0.20*L187, 2)</f>
        <v/>
      </c>
      <c r="T187" s="8">
        <f>ROUND((Q187/S187)*100, 2)</f>
        <v/>
      </c>
      <c r="U187" s="7">
        <f>U186+Q187</f>
        <v/>
      </c>
      <c r="V187" s="7">
        <f>MAX(V186, U187)</f>
        <v/>
      </c>
      <c r="W187" s="7">
        <f>U187-V187</f>
        <v/>
      </c>
    </row>
    <row r="188">
      <c r="A188" s="3" t="n">
        <v>185</v>
      </c>
      <c r="B188" s="4" t="inlineStr">
        <is>
          <t>SWIGGY</t>
        </is>
      </c>
      <c r="C188" s="3" t="inlineStr">
        <is>
          <t>Q2 2026-27</t>
        </is>
      </c>
      <c r="D188" s="3" t="inlineStr">
        <is>
          <t>FUTURE LONG</t>
        </is>
      </c>
      <c r="E188" s="3" t="inlineStr">
        <is>
          <t>T-8 to T+1</t>
        </is>
      </c>
      <c r="F188" s="3" t="inlineStr">
        <is>
          <t>2025-01-27</t>
        </is>
      </c>
      <c r="G188" s="3" t="inlineStr">
        <is>
          <t>2025-02-06</t>
        </is>
      </c>
      <c r="H188" s="3" t="inlineStr">
        <is>
          <t>2025-02-05</t>
        </is>
      </c>
      <c r="I188" s="5" t="n">
        <v>2438</v>
      </c>
      <c r="J188" s="6" t="n">
        <v>410.0499877929688</v>
      </c>
      <c r="K188" s="6" t="n">
        <v>388.7000122070313</v>
      </c>
      <c r="L188" s="7">
        <f>I188*J188</f>
        <v/>
      </c>
      <c r="M188" s="7">
        <f>I188*K188</f>
        <v/>
      </c>
      <c r="N188" s="7">
        <f>L188+M188</f>
        <v/>
      </c>
      <c r="O188" s="7">
        <f>ROUND(N188*0.0005, 2)</f>
        <v/>
      </c>
      <c r="P188" s="7">
        <f>M188-L188</f>
        <v/>
      </c>
      <c r="Q188" s="7">
        <f>P188-O188</f>
        <v/>
      </c>
      <c r="R188" s="8">
        <f>ROUND((Q188/L188)*100, 2)</f>
        <v/>
      </c>
      <c r="S188" s="7">
        <f>ROUND(0.20*L188, 2)</f>
        <v/>
      </c>
      <c r="T188" s="8">
        <f>ROUND((Q188/S188)*100, 2)</f>
        <v/>
      </c>
      <c r="U188" s="7">
        <f>U187+Q188</f>
        <v/>
      </c>
      <c r="V188" s="7">
        <f>MAX(V187, U188)</f>
        <v/>
      </c>
      <c r="W188" s="7">
        <f>U188-V188</f>
        <v/>
      </c>
    </row>
    <row r="189">
      <c r="A189" s="3" t="n">
        <v>186</v>
      </c>
      <c r="B189" s="4" t="inlineStr">
        <is>
          <t>TATACONSUM</t>
        </is>
      </c>
      <c r="C189" s="3" t="inlineStr">
        <is>
          <t>Q2 2026-27</t>
        </is>
      </c>
      <c r="D189" s="3" t="inlineStr">
        <is>
          <t>FUTURE LONG</t>
        </is>
      </c>
      <c r="E189" s="3" t="inlineStr">
        <is>
          <t>T-8 to T+1</t>
        </is>
      </c>
      <c r="F189" s="3" t="inlineStr">
        <is>
          <t>2025-01-21</t>
        </is>
      </c>
      <c r="G189" s="3" t="inlineStr">
        <is>
          <t>2025-02-01</t>
        </is>
      </c>
      <c r="H189" s="3" t="inlineStr">
        <is>
          <t>2025-01-30</t>
        </is>
      </c>
      <c r="I189" s="5" t="n">
        <v>450</v>
      </c>
      <c r="J189" s="6" t="n">
        <v>956.851806640625</v>
      </c>
      <c r="K189" s="6" t="n">
        <v>1053.068481445312</v>
      </c>
      <c r="L189" s="7">
        <f>I189*J189</f>
        <v/>
      </c>
      <c r="M189" s="7">
        <f>I189*K189</f>
        <v/>
      </c>
      <c r="N189" s="7">
        <f>L189+M189</f>
        <v/>
      </c>
      <c r="O189" s="7">
        <f>ROUND(N189*0.0005, 2)</f>
        <v/>
      </c>
      <c r="P189" s="7">
        <f>M189-L189</f>
        <v/>
      </c>
      <c r="Q189" s="7">
        <f>P189-O189</f>
        <v/>
      </c>
      <c r="R189" s="8">
        <f>ROUND((Q189/L189)*100, 2)</f>
        <v/>
      </c>
      <c r="S189" s="7">
        <f>ROUND(0.20*L189, 2)</f>
        <v/>
      </c>
      <c r="T189" s="8">
        <f>ROUND((Q189/S189)*100, 2)</f>
        <v/>
      </c>
      <c r="U189" s="7">
        <f>U188+Q189</f>
        <v/>
      </c>
      <c r="V189" s="7">
        <f>MAX(V188, U189)</f>
        <v/>
      </c>
      <c r="W189" s="7">
        <f>U189-V189</f>
        <v/>
      </c>
    </row>
    <row r="190">
      <c r="A190" s="3" t="n">
        <v>187</v>
      </c>
      <c r="B190" s="4" t="inlineStr">
        <is>
          <t>TATAELXSI</t>
        </is>
      </c>
      <c r="C190" s="3" t="inlineStr">
        <is>
          <t>Q2 2026-27</t>
        </is>
      </c>
      <c r="D190" s="3" t="inlineStr">
        <is>
          <t>FUTURE LONG</t>
        </is>
      </c>
      <c r="E190" s="3" t="inlineStr">
        <is>
          <t>T-8 to T+1</t>
        </is>
      </c>
      <c r="F190" s="3" t="inlineStr">
        <is>
          <t>2024-12-30</t>
        </is>
      </c>
      <c r="G190" s="3" t="inlineStr">
        <is>
          <t>2025-01-10</t>
        </is>
      </c>
      <c r="H190" s="3" t="inlineStr">
        <is>
          <t>2025-01-09</t>
        </is>
      </c>
      <c r="I190" s="5" t="n">
        <v>148</v>
      </c>
      <c r="J190" s="6" t="n">
        <v>6727.4384765625</v>
      </c>
      <c r="K190" s="6" t="n">
        <v>5828.94775390625</v>
      </c>
      <c r="L190" s="7">
        <f>I190*J190</f>
        <v/>
      </c>
      <c r="M190" s="7">
        <f>I190*K190</f>
        <v/>
      </c>
      <c r="N190" s="7">
        <f>L190+M190</f>
        <v/>
      </c>
      <c r="O190" s="7">
        <f>ROUND(N190*0.0005, 2)</f>
        <v/>
      </c>
      <c r="P190" s="7">
        <f>M190-L190</f>
        <v/>
      </c>
      <c r="Q190" s="7">
        <f>P190-O190</f>
        <v/>
      </c>
      <c r="R190" s="8">
        <f>ROUND((Q190/L190)*100, 2)</f>
        <v/>
      </c>
      <c r="S190" s="7">
        <f>ROUND(0.20*L190, 2)</f>
        <v/>
      </c>
      <c r="T190" s="8">
        <f>ROUND((Q190/S190)*100, 2)</f>
        <v/>
      </c>
      <c r="U190" s="7">
        <f>U189+Q190</f>
        <v/>
      </c>
      <c r="V190" s="7">
        <f>MAX(V189, U190)</f>
        <v/>
      </c>
      <c r="W190" s="7">
        <f>U190-V190</f>
        <v/>
      </c>
    </row>
    <row r="191">
      <c r="A191" s="3" t="n">
        <v>188</v>
      </c>
      <c r="B191" s="4" t="inlineStr">
        <is>
          <t>TATAMOTORS</t>
        </is>
      </c>
      <c r="C191" s="3" t="inlineStr">
        <is>
          <t>Q2 2026-27</t>
        </is>
      </c>
      <c r="D191" s="3" t="inlineStr">
        <is>
          <t>FUTURE LONG</t>
        </is>
      </c>
      <c r="E191" s="3" t="inlineStr">
        <is>
          <t>T-8 to T+1</t>
        </is>
      </c>
      <c r="F191" s="3" t="inlineStr">
        <is>
          <t>2025-01-03</t>
        </is>
      </c>
      <c r="G191" s="3" t="inlineStr">
        <is>
          <t>2025-01-16</t>
        </is>
      </c>
      <c r="H191" s="3" t="inlineStr">
        <is>
          <t>2025-01-15</t>
        </is>
      </c>
      <c r="I191" s="5" t="n">
        <v>1425</v>
      </c>
      <c r="J191" s="6" t="n">
        <v>789</v>
      </c>
      <c r="K191" s="6" t="n">
        <v>775.35</v>
      </c>
      <c r="L191" s="7">
        <f>I191*J191</f>
        <v/>
      </c>
      <c r="M191" s="7">
        <f>I191*K191</f>
        <v/>
      </c>
      <c r="N191" s="7">
        <f>L191+M191</f>
        <v/>
      </c>
      <c r="O191" s="7">
        <f>ROUND(N191*0.0005, 2)</f>
        <v/>
      </c>
      <c r="P191" s="7">
        <f>M191-L191</f>
        <v/>
      </c>
      <c r="Q191" s="7">
        <f>P191-O191</f>
        <v/>
      </c>
      <c r="R191" s="8">
        <f>ROUND((Q191/L191)*100, 2)</f>
        <v/>
      </c>
      <c r="S191" s="7">
        <f>ROUND(0.20*L191, 2)</f>
        <v/>
      </c>
      <c r="T191" s="8">
        <f>ROUND((Q191/S191)*100, 2)</f>
        <v/>
      </c>
      <c r="U191" s="7">
        <f>U190+Q191</f>
        <v/>
      </c>
      <c r="V191" s="7">
        <f>MAX(V190, U191)</f>
        <v/>
      </c>
      <c r="W191" s="7">
        <f>U191-V191</f>
        <v/>
      </c>
    </row>
    <row r="192">
      <c r="A192" s="3" t="n">
        <v>189</v>
      </c>
      <c r="B192" s="4" t="inlineStr">
        <is>
          <t>TATAPOWER</t>
        </is>
      </c>
      <c r="C192" s="3" t="inlineStr">
        <is>
          <t>Q2 2026-27</t>
        </is>
      </c>
      <c r="D192" s="3" t="inlineStr">
        <is>
          <t>FUTURE LONG</t>
        </is>
      </c>
      <c r="E192" s="3" t="inlineStr">
        <is>
          <t>T-8 to T+1</t>
        </is>
      </c>
      <c r="F192" s="3" t="inlineStr">
        <is>
          <t>2025-01-24</t>
        </is>
      </c>
      <c r="G192" s="3" t="inlineStr">
        <is>
          <t>2025-02-05</t>
        </is>
      </c>
      <c r="H192" s="3" t="inlineStr">
        <is>
          <t>2025-02-04</t>
        </is>
      </c>
      <c r="I192" s="5" t="n">
        <v>2785</v>
      </c>
      <c r="J192" s="6" t="n">
        <v>359.0488586425781</v>
      </c>
      <c r="K192" s="6" t="n">
        <v>361.8153686523438</v>
      </c>
      <c r="L192" s="7">
        <f>I192*J192</f>
        <v/>
      </c>
      <c r="M192" s="7">
        <f>I192*K192</f>
        <v/>
      </c>
      <c r="N192" s="7">
        <f>L192+M192</f>
        <v/>
      </c>
      <c r="O192" s="7">
        <f>ROUND(N192*0.0005, 2)</f>
        <v/>
      </c>
      <c r="P192" s="7">
        <f>M192-L192</f>
        <v/>
      </c>
      <c r="Q192" s="7">
        <f>P192-O192</f>
        <v/>
      </c>
      <c r="R192" s="8">
        <f>ROUND((Q192/L192)*100, 2)</f>
        <v/>
      </c>
      <c r="S192" s="7">
        <f>ROUND(0.20*L192, 2)</f>
        <v/>
      </c>
      <c r="T192" s="8">
        <f>ROUND((Q192/S192)*100, 2)</f>
        <v/>
      </c>
      <c r="U192" s="7">
        <f>U191+Q192</f>
        <v/>
      </c>
      <c r="V192" s="7">
        <f>MAX(V191, U192)</f>
        <v/>
      </c>
      <c r="W192" s="7">
        <f>U192-V192</f>
        <v/>
      </c>
    </row>
    <row r="193">
      <c r="A193" s="3" t="n">
        <v>190</v>
      </c>
      <c r="B193" s="4" t="inlineStr">
        <is>
          <t>TATASTEEL</t>
        </is>
      </c>
      <c r="C193" s="3" t="inlineStr">
        <is>
          <t>Q2 2026-27</t>
        </is>
      </c>
      <c r="D193" s="3" t="inlineStr">
        <is>
          <t>FUTURE LONG</t>
        </is>
      </c>
      <c r="E193" s="3" t="inlineStr">
        <is>
          <t>T-8 to T+1</t>
        </is>
      </c>
      <c r="F193" s="3" t="inlineStr">
        <is>
          <t>2025-01-16</t>
        </is>
      </c>
      <c r="G193" s="3" t="inlineStr">
        <is>
          <t>2025-01-29</t>
        </is>
      </c>
      <c r="H193" s="3" t="inlineStr">
        <is>
          <t>2025-01-27</t>
        </is>
      </c>
      <c r="I193" s="5" t="n">
        <v>5500</v>
      </c>
      <c r="J193" s="6" t="n">
        <v>122.3736343383789</v>
      </c>
      <c r="K193" s="6" t="n">
        <v>125.236457824707</v>
      </c>
      <c r="L193" s="7">
        <f>I193*J193</f>
        <v/>
      </c>
      <c r="M193" s="7">
        <f>I193*K193</f>
        <v/>
      </c>
      <c r="N193" s="7">
        <f>L193+M193</f>
        <v/>
      </c>
      <c r="O193" s="7">
        <f>ROUND(N193*0.0005, 2)</f>
        <v/>
      </c>
      <c r="P193" s="7">
        <f>M193-L193</f>
        <v/>
      </c>
      <c r="Q193" s="7">
        <f>P193-O193</f>
        <v/>
      </c>
      <c r="R193" s="8">
        <f>ROUND((Q193/L193)*100, 2)</f>
        <v/>
      </c>
      <c r="S193" s="7">
        <f>ROUND(0.20*L193, 2)</f>
        <v/>
      </c>
      <c r="T193" s="8">
        <f>ROUND((Q193/S193)*100, 2)</f>
        <v/>
      </c>
      <c r="U193" s="7">
        <f>U192+Q193</f>
        <v/>
      </c>
      <c r="V193" s="7">
        <f>MAX(V192, U193)</f>
        <v/>
      </c>
      <c r="W193" s="7">
        <f>U193-V193</f>
        <v/>
      </c>
    </row>
    <row r="194">
      <c r="A194" s="3" t="n">
        <v>191</v>
      </c>
      <c r="B194" s="4" t="inlineStr">
        <is>
          <t>TCS</t>
        </is>
      </c>
      <c r="C194" s="3" t="inlineStr">
        <is>
          <t>Q2 2026-27</t>
        </is>
      </c>
      <c r="D194" s="3" t="inlineStr">
        <is>
          <t>FUTURE LONG</t>
        </is>
      </c>
      <c r="E194" s="3" t="inlineStr">
        <is>
          <t>T-8 to T+1</t>
        </is>
      </c>
      <c r="F194" s="3" t="inlineStr">
        <is>
          <t>2024-12-31</t>
        </is>
      </c>
      <c r="G194" s="3" t="inlineStr">
        <is>
          <t>2025-01-13</t>
        </is>
      </c>
      <c r="H194" s="3" t="inlineStr">
        <is>
          <t>2025-01-09</t>
        </is>
      </c>
      <c r="I194" s="5" t="n">
        <v>175</v>
      </c>
      <c r="J194" s="6" t="n">
        <v>3834.50830078125</v>
      </c>
      <c r="K194" s="6" t="n">
        <v>4018.330322265625</v>
      </c>
      <c r="L194" s="7">
        <f>I194*J194</f>
        <v/>
      </c>
      <c r="M194" s="7">
        <f>I194*K194</f>
        <v/>
      </c>
      <c r="N194" s="7">
        <f>L194+M194</f>
        <v/>
      </c>
      <c r="O194" s="7">
        <f>ROUND(N194*0.0005, 2)</f>
        <v/>
      </c>
      <c r="P194" s="7">
        <f>M194-L194</f>
        <v/>
      </c>
      <c r="Q194" s="7">
        <f>P194-O194</f>
        <v/>
      </c>
      <c r="R194" s="8">
        <f>ROUND((Q194/L194)*100, 2)</f>
        <v/>
      </c>
      <c r="S194" s="7">
        <f>ROUND(0.20*L194, 2)</f>
        <v/>
      </c>
      <c r="T194" s="8">
        <f>ROUND((Q194/S194)*100, 2)</f>
        <v/>
      </c>
      <c r="U194" s="7">
        <f>U193+Q194</f>
        <v/>
      </c>
      <c r="V194" s="7">
        <f>MAX(V193, U194)</f>
        <v/>
      </c>
      <c r="W194" s="7">
        <f>U194-V194</f>
        <v/>
      </c>
    </row>
    <row r="195">
      <c r="A195" s="3" t="n">
        <v>192</v>
      </c>
      <c r="B195" s="4" t="inlineStr">
        <is>
          <t>TECHM</t>
        </is>
      </c>
      <c r="C195" s="3" t="inlineStr">
        <is>
          <t>Q2 2026-27</t>
        </is>
      </c>
      <c r="D195" s="3" t="inlineStr">
        <is>
          <t>FUTURE LONG</t>
        </is>
      </c>
      <c r="E195" s="3" t="inlineStr">
        <is>
          <t>T-8 to T+1</t>
        </is>
      </c>
      <c r="F195" s="3" t="inlineStr">
        <is>
          <t>2025-01-07</t>
        </is>
      </c>
      <c r="G195" s="3" t="inlineStr">
        <is>
          <t>2025-01-20</t>
        </is>
      </c>
      <c r="H195" s="3" t="inlineStr">
        <is>
          <t>2025-01-17</t>
        </is>
      </c>
      <c r="I195" s="5" t="n">
        <v>600</v>
      </c>
      <c r="J195" s="6" t="n">
        <v>1583.01953125</v>
      </c>
      <c r="K195" s="6" t="n">
        <v>1586.28759765625</v>
      </c>
      <c r="L195" s="7">
        <f>I195*J195</f>
        <v/>
      </c>
      <c r="M195" s="7">
        <f>I195*K195</f>
        <v/>
      </c>
      <c r="N195" s="7">
        <f>L195+M195</f>
        <v/>
      </c>
      <c r="O195" s="7">
        <f>ROUND(N195*0.0005, 2)</f>
        <v/>
      </c>
      <c r="P195" s="7">
        <f>M195-L195</f>
        <v/>
      </c>
      <c r="Q195" s="7">
        <f>P195-O195</f>
        <v/>
      </c>
      <c r="R195" s="8">
        <f>ROUND((Q195/L195)*100, 2)</f>
        <v/>
      </c>
      <c r="S195" s="7">
        <f>ROUND(0.20*L195, 2)</f>
        <v/>
      </c>
      <c r="T195" s="8">
        <f>ROUND((Q195/S195)*100, 2)</f>
        <v/>
      </c>
      <c r="U195" s="7">
        <f>U194+Q195</f>
        <v/>
      </c>
      <c r="V195" s="7">
        <f>MAX(V194, U195)</f>
        <v/>
      </c>
      <c r="W195" s="7">
        <f>U195-V195</f>
        <v/>
      </c>
    </row>
    <row r="196">
      <c r="A196" s="3" t="n">
        <v>193</v>
      </c>
      <c r="B196" s="4" t="inlineStr">
        <is>
          <t>TIINDIA</t>
        </is>
      </c>
      <c r="C196" s="3" t="inlineStr">
        <is>
          <t>Q2 2026-27</t>
        </is>
      </c>
      <c r="D196" s="3" t="inlineStr">
        <is>
          <t>FUTURE LONG</t>
        </is>
      </c>
      <c r="E196" s="3" t="inlineStr">
        <is>
          <t>T-8 to T+1</t>
        </is>
      </c>
      <c r="F196" s="3" t="inlineStr">
        <is>
          <t>2025-01-23</t>
        </is>
      </c>
      <c r="G196" s="3" t="inlineStr">
        <is>
          <t>2025-02-04</t>
        </is>
      </c>
      <c r="H196" s="3" t="inlineStr">
        <is>
          <t>2025-02-03</t>
        </is>
      </c>
      <c r="I196" s="5" t="n">
        <v>297</v>
      </c>
      <c r="J196" s="6" t="n">
        <v>3356.87060546875</v>
      </c>
      <c r="K196" s="6" t="n">
        <v>3086.3212890625</v>
      </c>
      <c r="L196" s="7">
        <f>I196*J196</f>
        <v/>
      </c>
      <c r="M196" s="7">
        <f>I196*K196</f>
        <v/>
      </c>
      <c r="N196" s="7">
        <f>L196+M196</f>
        <v/>
      </c>
      <c r="O196" s="7">
        <f>ROUND(N196*0.0005, 2)</f>
        <v/>
      </c>
      <c r="P196" s="7">
        <f>M196-L196</f>
        <v/>
      </c>
      <c r="Q196" s="7">
        <f>P196-O196</f>
        <v/>
      </c>
      <c r="R196" s="8">
        <f>ROUND((Q196/L196)*100, 2)</f>
        <v/>
      </c>
      <c r="S196" s="7">
        <f>ROUND(0.20*L196, 2)</f>
        <v/>
      </c>
      <c r="T196" s="8">
        <f>ROUND((Q196/S196)*100, 2)</f>
        <v/>
      </c>
      <c r="U196" s="7">
        <f>U195+Q196</f>
        <v/>
      </c>
      <c r="V196" s="7">
        <f>MAX(V195, U196)</f>
        <v/>
      </c>
      <c r="W196" s="7">
        <f>U196-V196</f>
        <v/>
      </c>
    </row>
    <row r="197">
      <c r="A197" s="3" t="n">
        <v>194</v>
      </c>
      <c r="B197" s="4" t="inlineStr">
        <is>
          <t>TITAN</t>
        </is>
      </c>
      <c r="C197" s="3" t="inlineStr">
        <is>
          <t>Q2 2026-27</t>
        </is>
      </c>
      <c r="D197" s="3" t="inlineStr">
        <is>
          <t>FUTURE LONG</t>
        </is>
      </c>
      <c r="E197" s="3" t="inlineStr">
        <is>
          <t>T-8 to T+1</t>
        </is>
      </c>
      <c r="F197" s="3" t="inlineStr">
        <is>
          <t>2025-01-27</t>
        </is>
      </c>
      <c r="G197" s="3" t="inlineStr">
        <is>
          <t>2025-02-06</t>
        </is>
      </c>
      <c r="H197" s="3" t="inlineStr">
        <is>
          <t>2025-02-04</t>
        </is>
      </c>
      <c r="I197" s="5" t="n">
        <v>175</v>
      </c>
      <c r="J197" s="6" t="n">
        <v>3298.56689453125</v>
      </c>
      <c r="K197" s="6" t="n">
        <v>3389.394775390625</v>
      </c>
      <c r="L197" s="7">
        <f>I197*J197</f>
        <v/>
      </c>
      <c r="M197" s="7">
        <f>I197*K197</f>
        <v/>
      </c>
      <c r="N197" s="7">
        <f>L197+M197</f>
        <v/>
      </c>
      <c r="O197" s="7">
        <f>ROUND(N197*0.0005, 2)</f>
        <v/>
      </c>
      <c r="P197" s="7">
        <f>M197-L197</f>
        <v/>
      </c>
      <c r="Q197" s="7">
        <f>P197-O197</f>
        <v/>
      </c>
      <c r="R197" s="8">
        <f>ROUND((Q197/L197)*100, 2)</f>
        <v/>
      </c>
      <c r="S197" s="7">
        <f>ROUND(0.20*L197, 2)</f>
        <v/>
      </c>
      <c r="T197" s="8">
        <f>ROUND((Q197/S197)*100, 2)</f>
        <v/>
      </c>
      <c r="U197" s="7">
        <f>U196+Q197</f>
        <v/>
      </c>
      <c r="V197" s="7">
        <f>MAX(V196, U197)</f>
        <v/>
      </c>
      <c r="W197" s="7">
        <f>U197-V197</f>
        <v/>
      </c>
    </row>
    <row r="198">
      <c r="A198" s="3" t="n">
        <v>195</v>
      </c>
      <c r="B198" s="4" t="inlineStr">
        <is>
          <t>TMPV</t>
        </is>
      </c>
      <c r="C198" s="3" t="inlineStr">
        <is>
          <t>Q2 2026-27</t>
        </is>
      </c>
      <c r="D198" s="3" t="inlineStr">
        <is>
          <t>FUTURE LONG</t>
        </is>
      </c>
      <c r="E198" s="3" t="inlineStr">
        <is>
          <t>T-8 to T+1</t>
        </is>
      </c>
      <c r="F198" s="3" t="inlineStr">
        <is>
          <t>2012-10-29</t>
        </is>
      </c>
      <c r="G198" s="3" t="inlineStr">
        <is>
          <t>2012-11-09</t>
        </is>
      </c>
      <c r="H198" s="3" t="inlineStr">
        <is>
          <t>2012-11-07</t>
        </is>
      </c>
      <c r="I198" s="5" t="n">
        <v>4087</v>
      </c>
      <c r="J198" s="6" t="n">
        <v>244.6609497070312</v>
      </c>
      <c r="K198" s="6" t="n">
        <v>267.3879699707031</v>
      </c>
      <c r="L198" s="7">
        <f>I198*J198</f>
        <v/>
      </c>
      <c r="M198" s="7">
        <f>I198*K198</f>
        <v/>
      </c>
      <c r="N198" s="7">
        <f>L198+M198</f>
        <v/>
      </c>
      <c r="O198" s="7">
        <f>ROUND(N198*0.0005, 2)</f>
        <v/>
      </c>
      <c r="P198" s="7">
        <f>M198-L198</f>
        <v/>
      </c>
      <c r="Q198" s="7">
        <f>P198-O198</f>
        <v/>
      </c>
      <c r="R198" s="8">
        <f>ROUND((Q198/L198)*100, 2)</f>
        <v/>
      </c>
      <c r="S198" s="7">
        <f>ROUND(0.20*L198, 2)</f>
        <v/>
      </c>
      <c r="T198" s="8">
        <f>ROUND((Q198/S198)*100, 2)</f>
        <v/>
      </c>
      <c r="U198" s="7">
        <f>U197+Q198</f>
        <v/>
      </c>
      <c r="V198" s="7">
        <f>MAX(V197, U198)</f>
        <v/>
      </c>
      <c r="W198" s="7">
        <f>U198-V198</f>
        <v/>
      </c>
    </row>
    <row r="199">
      <c r="A199" s="3" t="n">
        <v>196</v>
      </c>
      <c r="B199" s="4" t="inlineStr">
        <is>
          <t>TORNTPHARM</t>
        </is>
      </c>
      <c r="C199" s="3" t="inlineStr">
        <is>
          <t>Q2 2026-27</t>
        </is>
      </c>
      <c r="D199" s="3" t="inlineStr">
        <is>
          <t>FUTURE LONG</t>
        </is>
      </c>
      <c r="E199" s="3" t="inlineStr">
        <is>
          <t>T-8 to T+1</t>
        </is>
      </c>
      <c r="F199" s="3" t="inlineStr">
        <is>
          <t>2025-01-14</t>
        </is>
      </c>
      <c r="G199" s="3" t="inlineStr">
        <is>
          <t>2025-01-27</t>
        </is>
      </c>
      <c r="H199" s="3" t="inlineStr">
        <is>
          <t>2025-01-24</t>
        </is>
      </c>
      <c r="I199" s="5" t="n">
        <v>313</v>
      </c>
      <c r="J199" s="6" t="n">
        <v>3192.818603515625</v>
      </c>
      <c r="K199" s="6" t="n">
        <v>3276.60546875</v>
      </c>
      <c r="L199" s="7">
        <f>I199*J199</f>
        <v/>
      </c>
      <c r="M199" s="7">
        <f>I199*K199</f>
        <v/>
      </c>
      <c r="N199" s="7">
        <f>L199+M199</f>
        <v/>
      </c>
      <c r="O199" s="7">
        <f>ROUND(N199*0.0005, 2)</f>
        <v/>
      </c>
      <c r="P199" s="7">
        <f>M199-L199</f>
        <v/>
      </c>
      <c r="Q199" s="7">
        <f>P199-O199</f>
        <v/>
      </c>
      <c r="R199" s="8">
        <f>ROUND((Q199/L199)*100, 2)</f>
        <v/>
      </c>
      <c r="S199" s="7">
        <f>ROUND(0.20*L199, 2)</f>
        <v/>
      </c>
      <c r="T199" s="8">
        <f>ROUND((Q199/S199)*100, 2)</f>
        <v/>
      </c>
      <c r="U199" s="7">
        <f>U198+Q199</f>
        <v/>
      </c>
      <c r="V199" s="7">
        <f>MAX(V198, U199)</f>
        <v/>
      </c>
      <c r="W199" s="7">
        <f>U199-V199</f>
        <v/>
      </c>
    </row>
    <row r="200">
      <c r="A200" s="3" t="n">
        <v>197</v>
      </c>
      <c r="B200" s="4" t="inlineStr">
        <is>
          <t>TRENT</t>
        </is>
      </c>
      <c r="C200" s="3" t="inlineStr">
        <is>
          <t>Q2 2026-27</t>
        </is>
      </c>
      <c r="D200" s="3" t="inlineStr">
        <is>
          <t>FUTURE LONG</t>
        </is>
      </c>
      <c r="E200" s="3" t="inlineStr">
        <is>
          <t>T-8 to T+1</t>
        </is>
      </c>
      <c r="F200" s="3" t="inlineStr">
        <is>
          <t>2025-01-29</t>
        </is>
      </c>
      <c r="G200" s="3" t="inlineStr">
        <is>
          <t>2025-02-10</t>
        </is>
      </c>
      <c r="H200" s="3" t="inlineStr">
        <is>
          <t>2025-02-06</t>
        </is>
      </c>
      <c r="I200" s="5" t="n">
        <v>179</v>
      </c>
      <c r="J200" s="6" t="n">
        <v>5585.666015625</v>
      </c>
      <c r="K200" s="6" t="n">
        <v>5186.087890625</v>
      </c>
      <c r="L200" s="7">
        <f>I200*J200</f>
        <v/>
      </c>
      <c r="M200" s="7">
        <f>I200*K200</f>
        <v/>
      </c>
      <c r="N200" s="7">
        <f>L200+M200</f>
        <v/>
      </c>
      <c r="O200" s="7">
        <f>ROUND(N200*0.0005, 2)</f>
        <v/>
      </c>
      <c r="P200" s="7">
        <f>M200-L200</f>
        <v/>
      </c>
      <c r="Q200" s="7">
        <f>P200-O200</f>
        <v/>
      </c>
      <c r="R200" s="8">
        <f>ROUND((Q200/L200)*100, 2)</f>
        <v/>
      </c>
      <c r="S200" s="7">
        <f>ROUND(0.20*L200, 2)</f>
        <v/>
      </c>
      <c r="T200" s="8">
        <f>ROUND((Q200/S200)*100, 2)</f>
        <v/>
      </c>
      <c r="U200" s="7">
        <f>U199+Q200</f>
        <v/>
      </c>
      <c r="V200" s="7">
        <f>MAX(V199, U200)</f>
        <v/>
      </c>
      <c r="W200" s="7">
        <f>U200-V200</f>
        <v/>
      </c>
    </row>
    <row r="201">
      <c r="A201" s="3" t="n">
        <v>198</v>
      </c>
      <c r="B201" s="4" t="inlineStr">
        <is>
          <t>TVSMOTOR</t>
        </is>
      </c>
      <c r="C201" s="3" t="inlineStr">
        <is>
          <t>Q2 2026-27</t>
        </is>
      </c>
      <c r="D201" s="3" t="inlineStr">
        <is>
          <t>FUTURE LONG</t>
        </is>
      </c>
      <c r="E201" s="3" t="inlineStr">
        <is>
          <t>T-8 to T+1</t>
        </is>
      </c>
      <c r="F201" s="3" t="inlineStr">
        <is>
          <t>2025-01-16</t>
        </is>
      </c>
      <c r="G201" s="3" t="inlineStr">
        <is>
          <t>2025-01-29</t>
        </is>
      </c>
      <c r="H201" s="3" t="inlineStr">
        <is>
          <t>2025-01-28</t>
        </is>
      </c>
      <c r="I201" s="5" t="n">
        <v>442</v>
      </c>
      <c r="J201" s="6" t="n">
        <v>2260.740478515625</v>
      </c>
      <c r="K201" s="6" t="n">
        <v>2446.02197265625</v>
      </c>
      <c r="L201" s="7">
        <f>I201*J201</f>
        <v/>
      </c>
      <c r="M201" s="7">
        <f>I201*K201</f>
        <v/>
      </c>
      <c r="N201" s="7">
        <f>L201+M201</f>
        <v/>
      </c>
      <c r="O201" s="7">
        <f>ROUND(N201*0.0005, 2)</f>
        <v/>
      </c>
      <c r="P201" s="7">
        <f>M201-L201</f>
        <v/>
      </c>
      <c r="Q201" s="7">
        <f>P201-O201</f>
        <v/>
      </c>
      <c r="R201" s="8">
        <f>ROUND((Q201/L201)*100, 2)</f>
        <v/>
      </c>
      <c r="S201" s="7">
        <f>ROUND(0.20*L201, 2)</f>
        <v/>
      </c>
      <c r="T201" s="8">
        <f>ROUND((Q201/S201)*100, 2)</f>
        <v/>
      </c>
      <c r="U201" s="7">
        <f>U200+Q201</f>
        <v/>
      </c>
      <c r="V201" s="7">
        <f>MAX(V200, U201)</f>
        <v/>
      </c>
      <c r="W201" s="7">
        <f>U201-V201</f>
        <v/>
      </c>
    </row>
    <row r="202">
      <c r="A202" s="3" t="n">
        <v>199</v>
      </c>
      <c r="B202" s="4" t="inlineStr">
        <is>
          <t>ULTRACEMCO</t>
        </is>
      </c>
      <c r="C202" s="3" t="inlineStr">
        <is>
          <t>Q2 2026-27</t>
        </is>
      </c>
      <c r="D202" s="3" t="inlineStr">
        <is>
          <t>FUTURE LONG</t>
        </is>
      </c>
      <c r="E202" s="3" t="inlineStr">
        <is>
          <t>T-8 to T+1</t>
        </is>
      </c>
      <c r="F202" s="3" t="inlineStr">
        <is>
          <t>2025-01-14</t>
        </is>
      </c>
      <c r="G202" s="3" t="inlineStr">
        <is>
          <t>2025-01-27</t>
        </is>
      </c>
      <c r="H202" s="3" t="inlineStr">
        <is>
          <t>2025-01-23</t>
        </is>
      </c>
      <c r="I202" s="5" t="n">
        <v>100</v>
      </c>
      <c r="J202" s="6" t="n">
        <v>10417.71484375</v>
      </c>
      <c r="K202" s="6" t="n">
        <v>11168.705078125</v>
      </c>
      <c r="L202" s="7">
        <f>I202*J202</f>
        <v/>
      </c>
      <c r="M202" s="7">
        <f>I202*K202</f>
        <v/>
      </c>
      <c r="N202" s="7">
        <f>L202+M202</f>
        <v/>
      </c>
      <c r="O202" s="7">
        <f>ROUND(N202*0.0005, 2)</f>
        <v/>
      </c>
      <c r="P202" s="7">
        <f>M202-L202</f>
        <v/>
      </c>
      <c r="Q202" s="7">
        <f>P202-O202</f>
        <v/>
      </c>
      <c r="R202" s="8">
        <f>ROUND((Q202/L202)*100, 2)</f>
        <v/>
      </c>
      <c r="S202" s="7">
        <f>ROUND(0.20*L202, 2)</f>
        <v/>
      </c>
      <c r="T202" s="8">
        <f>ROUND((Q202/S202)*100, 2)</f>
        <v/>
      </c>
      <c r="U202" s="7">
        <f>U201+Q202</f>
        <v/>
      </c>
      <c r="V202" s="7">
        <f>MAX(V201, U202)</f>
        <v/>
      </c>
      <c r="W202" s="7">
        <f>U202-V202</f>
        <v/>
      </c>
    </row>
    <row r="203">
      <c r="A203" s="3" t="n">
        <v>200</v>
      </c>
      <c r="B203" s="4" t="inlineStr">
        <is>
          <t>UNIONBANK</t>
        </is>
      </c>
      <c r="C203" s="3" t="inlineStr">
        <is>
          <t>Q2 2026-27</t>
        </is>
      </c>
      <c r="D203" s="3" t="inlineStr">
        <is>
          <t>FUTURE LONG</t>
        </is>
      </c>
      <c r="E203" s="3" t="inlineStr">
        <is>
          <t>T-8 to T+1</t>
        </is>
      </c>
      <c r="F203" s="3" t="inlineStr">
        <is>
          <t>2025-01-16</t>
        </is>
      </c>
      <c r="G203" s="3" t="inlineStr">
        <is>
          <t>2025-01-29</t>
        </is>
      </c>
      <c r="H203" s="3" t="inlineStr">
        <is>
          <t>2025-01-28</t>
        </is>
      </c>
      <c r="I203" s="5" t="n">
        <v>9682</v>
      </c>
      <c r="J203" s="6" t="n">
        <v>103.2788314819336</v>
      </c>
      <c r="K203" s="6" t="n">
        <v>105.7309112548828</v>
      </c>
      <c r="L203" s="7">
        <f>I203*J203</f>
        <v/>
      </c>
      <c r="M203" s="7">
        <f>I203*K203</f>
        <v/>
      </c>
      <c r="N203" s="7">
        <f>L203+M203</f>
        <v/>
      </c>
      <c r="O203" s="7">
        <f>ROUND(N203*0.0005, 2)</f>
        <v/>
      </c>
      <c r="P203" s="7">
        <f>M203-L203</f>
        <v/>
      </c>
      <c r="Q203" s="7">
        <f>P203-O203</f>
        <v/>
      </c>
      <c r="R203" s="8">
        <f>ROUND((Q203/L203)*100, 2)</f>
        <v/>
      </c>
      <c r="S203" s="7">
        <f>ROUND(0.20*L203, 2)</f>
        <v/>
      </c>
      <c r="T203" s="8">
        <f>ROUND((Q203/S203)*100, 2)</f>
        <v/>
      </c>
      <c r="U203" s="7">
        <f>U202+Q203</f>
        <v/>
      </c>
      <c r="V203" s="7">
        <f>MAX(V202, U203)</f>
        <v/>
      </c>
      <c r="W203" s="7">
        <f>U203-V203</f>
        <v/>
      </c>
    </row>
    <row r="204">
      <c r="A204" s="3" t="n">
        <v>201</v>
      </c>
      <c r="B204" s="4" t="inlineStr">
        <is>
          <t>UNITDSPR</t>
        </is>
      </c>
      <c r="C204" s="3" t="inlineStr">
        <is>
          <t>Q2 2026-27</t>
        </is>
      </c>
      <c r="D204" s="3" t="inlineStr">
        <is>
          <t>FUTURE LONG</t>
        </is>
      </c>
      <c r="E204" s="3" t="inlineStr">
        <is>
          <t>T-8 to T+1</t>
        </is>
      </c>
      <c r="F204" s="3" t="inlineStr">
        <is>
          <t>2025-01-13</t>
        </is>
      </c>
      <c r="G204" s="3" t="inlineStr">
        <is>
          <t>2025-01-24</t>
        </is>
      </c>
      <c r="H204" s="3" t="inlineStr">
        <is>
          <t>2025-01-23</t>
        </is>
      </c>
      <c r="I204" s="5" t="n">
        <v>688</v>
      </c>
      <c r="J204" s="6" t="n">
        <v>1452.775146484375</v>
      </c>
      <c r="K204" s="6" t="n">
        <v>1439.261352539062</v>
      </c>
      <c r="L204" s="7">
        <f>I204*J204</f>
        <v/>
      </c>
      <c r="M204" s="7">
        <f>I204*K204</f>
        <v/>
      </c>
      <c r="N204" s="7">
        <f>L204+M204</f>
        <v/>
      </c>
      <c r="O204" s="7">
        <f>ROUND(N204*0.0005, 2)</f>
        <v/>
      </c>
      <c r="P204" s="7">
        <f>M204-L204</f>
        <v/>
      </c>
      <c r="Q204" s="7">
        <f>P204-O204</f>
        <v/>
      </c>
      <c r="R204" s="8">
        <f>ROUND((Q204/L204)*100, 2)</f>
        <v/>
      </c>
      <c r="S204" s="7">
        <f>ROUND(0.20*L204, 2)</f>
        <v/>
      </c>
      <c r="T204" s="8">
        <f>ROUND((Q204/S204)*100, 2)</f>
        <v/>
      </c>
      <c r="U204" s="7">
        <f>U203+Q204</f>
        <v/>
      </c>
      <c r="V204" s="7">
        <f>MAX(V203, U204)</f>
        <v/>
      </c>
      <c r="W204" s="7">
        <f>U204-V204</f>
        <v/>
      </c>
    </row>
    <row r="205">
      <c r="A205" s="3" t="n">
        <v>202</v>
      </c>
      <c r="B205" s="4" t="inlineStr">
        <is>
          <t>UNOMINDA</t>
        </is>
      </c>
      <c r="C205" s="3" t="inlineStr">
        <is>
          <t>Q2 2026-27</t>
        </is>
      </c>
      <c r="D205" s="3" t="inlineStr">
        <is>
          <t>FUTURE LONG</t>
        </is>
      </c>
      <c r="E205" s="3" t="inlineStr">
        <is>
          <t>T-8 to T+1</t>
        </is>
      </c>
      <c r="F205" s="3" t="inlineStr">
        <is>
          <t>2025-01-28</t>
        </is>
      </c>
      <c r="G205" s="3" t="inlineStr">
        <is>
          <t>2025-02-07</t>
        </is>
      </c>
      <c r="H205" s="3" t="inlineStr">
        <is>
          <t>2025-02-06</t>
        </is>
      </c>
      <c r="I205" s="5" t="n">
        <v>1130</v>
      </c>
      <c r="J205" s="6" t="n">
        <v>884.4339599609375</v>
      </c>
      <c r="K205" s="6" t="n">
        <v>1047.9912109375</v>
      </c>
      <c r="L205" s="7">
        <f>I205*J205</f>
        <v/>
      </c>
      <c r="M205" s="7">
        <f>I205*K205</f>
        <v/>
      </c>
      <c r="N205" s="7">
        <f>L205+M205</f>
        <v/>
      </c>
      <c r="O205" s="7">
        <f>ROUND(N205*0.0005, 2)</f>
        <v/>
      </c>
      <c r="P205" s="7">
        <f>M205-L205</f>
        <v/>
      </c>
      <c r="Q205" s="7">
        <f>P205-O205</f>
        <v/>
      </c>
      <c r="R205" s="8">
        <f>ROUND((Q205/L205)*100, 2)</f>
        <v/>
      </c>
      <c r="S205" s="7">
        <f>ROUND(0.20*L205, 2)</f>
        <v/>
      </c>
      <c r="T205" s="8">
        <f>ROUND((Q205/S205)*100, 2)</f>
        <v/>
      </c>
      <c r="U205" s="7">
        <f>U204+Q205</f>
        <v/>
      </c>
      <c r="V205" s="7">
        <f>MAX(V204, U205)</f>
        <v/>
      </c>
      <c r="W205" s="7">
        <f>U205-V205</f>
        <v/>
      </c>
    </row>
    <row r="206">
      <c r="A206" s="3" t="n">
        <v>203</v>
      </c>
      <c r="B206" s="4" t="inlineStr">
        <is>
          <t>UPL</t>
        </is>
      </c>
      <c r="C206" s="3" t="inlineStr">
        <is>
          <t>Q2 2026-27</t>
        </is>
      </c>
      <c r="D206" s="3" t="inlineStr">
        <is>
          <t>FUTURE LONG</t>
        </is>
      </c>
      <c r="E206" s="3" t="inlineStr">
        <is>
          <t>T-8 to T+1</t>
        </is>
      </c>
      <c r="F206" s="3" t="inlineStr">
        <is>
          <t>2025-01-21</t>
        </is>
      </c>
      <c r="G206" s="3" t="inlineStr">
        <is>
          <t>2025-02-01</t>
        </is>
      </c>
      <c r="H206" s="3" t="inlineStr">
        <is>
          <t>2025-01-31</t>
        </is>
      </c>
      <c r="I206" s="5" t="n">
        <v>1872</v>
      </c>
      <c r="J206" s="6" t="n">
        <v>534.1441650390625</v>
      </c>
      <c r="K206" s="6" t="n">
        <v>592.7847290039062</v>
      </c>
      <c r="L206" s="7">
        <f>I206*J206</f>
        <v/>
      </c>
      <c r="M206" s="7">
        <f>I206*K206</f>
        <v/>
      </c>
      <c r="N206" s="7">
        <f>L206+M206</f>
        <v/>
      </c>
      <c r="O206" s="7">
        <f>ROUND(N206*0.0005, 2)</f>
        <v/>
      </c>
      <c r="P206" s="7">
        <f>M206-L206</f>
        <v/>
      </c>
      <c r="Q206" s="7">
        <f>P206-O206</f>
        <v/>
      </c>
      <c r="R206" s="8">
        <f>ROUND((Q206/L206)*100, 2)</f>
        <v/>
      </c>
      <c r="S206" s="7">
        <f>ROUND(0.20*L206, 2)</f>
        <v/>
      </c>
      <c r="T206" s="8">
        <f>ROUND((Q206/S206)*100, 2)</f>
        <v/>
      </c>
      <c r="U206" s="7">
        <f>U205+Q206</f>
        <v/>
      </c>
      <c r="V206" s="7">
        <f>MAX(V205, U206)</f>
        <v/>
      </c>
      <c r="W206" s="7">
        <f>U206-V206</f>
        <v/>
      </c>
    </row>
    <row r="207">
      <c r="A207" s="3" t="n">
        <v>204</v>
      </c>
      <c r="B207" s="4" t="inlineStr">
        <is>
          <t>VBL</t>
        </is>
      </c>
      <c r="C207" s="3" t="inlineStr">
        <is>
          <t>Q2 2026-27</t>
        </is>
      </c>
      <c r="D207" s="3" t="inlineStr">
        <is>
          <t>FUTURE LONG</t>
        </is>
      </c>
      <c r="E207" s="3" t="inlineStr">
        <is>
          <t>T-8 to T+1</t>
        </is>
      </c>
      <c r="F207" s="3" t="inlineStr">
        <is>
          <t>2025-01-30</t>
        </is>
      </c>
      <c r="G207" s="3" t="inlineStr">
        <is>
          <t>2025-02-11</t>
        </is>
      </c>
      <c r="H207" s="3" t="inlineStr">
        <is>
          <t>2025-02-10</t>
        </is>
      </c>
      <c r="I207" s="5" t="n">
        <v>1859</v>
      </c>
      <c r="J207" s="6" t="n">
        <v>537.8751831054688</v>
      </c>
      <c r="K207" s="6" t="n">
        <v>517.727294921875</v>
      </c>
      <c r="L207" s="7">
        <f>I207*J207</f>
        <v/>
      </c>
      <c r="M207" s="7">
        <f>I207*K207</f>
        <v/>
      </c>
      <c r="N207" s="7">
        <f>L207+M207</f>
        <v/>
      </c>
      <c r="O207" s="7">
        <f>ROUND(N207*0.0005, 2)</f>
        <v/>
      </c>
      <c r="P207" s="7">
        <f>M207-L207</f>
        <v/>
      </c>
      <c r="Q207" s="7">
        <f>P207-O207</f>
        <v/>
      </c>
      <c r="R207" s="8">
        <f>ROUND((Q207/L207)*100, 2)</f>
        <v/>
      </c>
      <c r="S207" s="7">
        <f>ROUND(0.20*L207, 2)</f>
        <v/>
      </c>
      <c r="T207" s="8">
        <f>ROUND((Q207/S207)*100, 2)</f>
        <v/>
      </c>
      <c r="U207" s="7">
        <f>U206+Q207</f>
        <v/>
      </c>
      <c r="V207" s="7">
        <f>MAX(V206, U207)</f>
        <v/>
      </c>
      <c r="W207" s="7">
        <f>U207-V207</f>
        <v/>
      </c>
    </row>
    <row r="208">
      <c r="A208" s="3" t="n">
        <v>205</v>
      </c>
      <c r="B208" s="4" t="inlineStr">
        <is>
          <t>VEDL</t>
        </is>
      </c>
      <c r="C208" s="3" t="inlineStr">
        <is>
          <t>Q2 2026-27</t>
        </is>
      </c>
      <c r="D208" s="3" t="inlineStr">
        <is>
          <t>FUTURE LONG</t>
        </is>
      </c>
      <c r="E208" s="3" t="inlineStr">
        <is>
          <t>T-8 to T+1</t>
        </is>
      </c>
      <c r="F208" s="3" t="inlineStr">
        <is>
          <t>2025-01-21</t>
        </is>
      </c>
      <c r="G208" s="3" t="inlineStr">
        <is>
          <t>2025-02-01</t>
        </is>
      </c>
      <c r="H208" s="3" t="inlineStr">
        <is>
          <t>2025-01-31</t>
        </is>
      </c>
      <c r="I208" s="5" t="n">
        <v>2359</v>
      </c>
      <c r="J208" s="6" t="n">
        <v>423.880859375</v>
      </c>
      <c r="K208" s="6" t="n">
        <v>410.8067321777344</v>
      </c>
      <c r="L208" s="7">
        <f>I208*J208</f>
        <v/>
      </c>
      <c r="M208" s="7">
        <f>I208*K208</f>
        <v/>
      </c>
      <c r="N208" s="7">
        <f>L208+M208</f>
        <v/>
      </c>
      <c r="O208" s="7">
        <f>ROUND(N208*0.0005, 2)</f>
        <v/>
      </c>
      <c r="P208" s="7">
        <f>M208-L208</f>
        <v/>
      </c>
      <c r="Q208" s="7">
        <f>P208-O208</f>
        <v/>
      </c>
      <c r="R208" s="8">
        <f>ROUND((Q208/L208)*100, 2)</f>
        <v/>
      </c>
      <c r="S208" s="7">
        <f>ROUND(0.20*L208, 2)</f>
        <v/>
      </c>
      <c r="T208" s="8">
        <f>ROUND((Q208/S208)*100, 2)</f>
        <v/>
      </c>
      <c r="U208" s="7">
        <f>U207+Q208</f>
        <v/>
      </c>
      <c r="V208" s="7">
        <f>MAX(V207, U208)</f>
        <v/>
      </c>
      <c r="W208" s="7">
        <f>U208-V208</f>
        <v/>
      </c>
    </row>
    <row r="209">
      <c r="A209" s="3" t="n">
        <v>206</v>
      </c>
      <c r="B209" s="4" t="inlineStr">
        <is>
          <t>VMM</t>
        </is>
      </c>
      <c r="C209" s="3" t="inlineStr">
        <is>
          <t>Q2 2026-27</t>
        </is>
      </c>
      <c r="D209" s="3" t="inlineStr">
        <is>
          <t>FUTURE LONG</t>
        </is>
      </c>
      <c r="E209" s="3" t="inlineStr">
        <is>
          <t>T-8 to T+1</t>
        </is>
      </c>
      <c r="F209" s="3" t="inlineStr">
        <is>
          <t>2025-01-21</t>
        </is>
      </c>
      <c r="G209" s="3" t="inlineStr">
        <is>
          <t>2025-02-01</t>
        </is>
      </c>
      <c r="H209" s="3" t="inlineStr">
        <is>
          <t>2025-01-31</t>
        </is>
      </c>
      <c r="I209" s="5" t="n">
        <v>9432</v>
      </c>
      <c r="J209" s="6" t="n">
        <v>106.0199966430664</v>
      </c>
      <c r="K209" s="6" t="n">
        <v>115.2600021362305</v>
      </c>
      <c r="L209" s="7">
        <f>I209*J209</f>
        <v/>
      </c>
      <c r="M209" s="7">
        <f>I209*K209</f>
        <v/>
      </c>
      <c r="N209" s="7">
        <f>L209+M209</f>
        <v/>
      </c>
      <c r="O209" s="7">
        <f>ROUND(N209*0.0005, 2)</f>
        <v/>
      </c>
      <c r="P209" s="7">
        <f>M209-L209</f>
        <v/>
      </c>
      <c r="Q209" s="7">
        <f>P209-O209</f>
        <v/>
      </c>
      <c r="R209" s="8">
        <f>ROUND((Q209/L209)*100, 2)</f>
        <v/>
      </c>
      <c r="S209" s="7">
        <f>ROUND(0.20*L209, 2)</f>
        <v/>
      </c>
      <c r="T209" s="8">
        <f>ROUND((Q209/S209)*100, 2)</f>
        <v/>
      </c>
      <c r="U209" s="7">
        <f>U208+Q209</f>
        <v/>
      </c>
      <c r="V209" s="7">
        <f>MAX(V208, U209)</f>
        <v/>
      </c>
      <c r="W209" s="7">
        <f>U209-V209</f>
        <v/>
      </c>
    </row>
    <row r="210">
      <c r="A210" s="3" t="n">
        <v>207</v>
      </c>
      <c r="B210" s="4" t="inlineStr">
        <is>
          <t>VOLTAS</t>
        </is>
      </c>
      <c r="C210" s="3" t="inlineStr">
        <is>
          <t>Q2 2026-27</t>
        </is>
      </c>
      <c r="D210" s="3" t="inlineStr">
        <is>
          <t>FUTURE LONG</t>
        </is>
      </c>
      <c r="E210" s="3" t="inlineStr">
        <is>
          <t>T-8 to T+1</t>
        </is>
      </c>
      <c r="F210" s="3" t="inlineStr">
        <is>
          <t>2025-01-17</t>
        </is>
      </c>
      <c r="G210" s="3" t="inlineStr">
        <is>
          <t>2025-01-30</t>
        </is>
      </c>
      <c r="H210" s="3" t="inlineStr">
        <is>
          <t>2025-01-29</t>
        </is>
      </c>
      <c r="I210" s="5" t="n">
        <v>631</v>
      </c>
      <c r="J210" s="6" t="n">
        <v>1583.111694335938</v>
      </c>
      <c r="K210" s="6" t="n">
        <v>1258.301025390625</v>
      </c>
      <c r="L210" s="7">
        <f>I210*J210</f>
        <v/>
      </c>
      <c r="M210" s="7">
        <f>I210*K210</f>
        <v/>
      </c>
      <c r="N210" s="7">
        <f>L210+M210</f>
        <v/>
      </c>
      <c r="O210" s="7">
        <f>ROUND(N210*0.0005, 2)</f>
        <v/>
      </c>
      <c r="P210" s="7">
        <f>M210-L210</f>
        <v/>
      </c>
      <c r="Q210" s="7">
        <f>P210-O210</f>
        <v/>
      </c>
      <c r="R210" s="8">
        <f>ROUND((Q210/L210)*100, 2)</f>
        <v/>
      </c>
      <c r="S210" s="7">
        <f>ROUND(0.20*L210, 2)</f>
        <v/>
      </c>
      <c r="T210" s="8">
        <f>ROUND((Q210/S210)*100, 2)</f>
        <v/>
      </c>
      <c r="U210" s="7">
        <f>U209+Q210</f>
        <v/>
      </c>
      <c r="V210" s="7">
        <f>MAX(V209, U210)</f>
        <v/>
      </c>
      <c r="W210" s="7">
        <f>U210-V210</f>
        <v/>
      </c>
    </row>
    <row r="211">
      <c r="A211" s="3" t="n">
        <v>208</v>
      </c>
      <c r="B211" s="4" t="inlineStr">
        <is>
          <t>WAAREEENER</t>
        </is>
      </c>
      <c r="C211" s="3" t="inlineStr">
        <is>
          <t>Q2 2026-27</t>
        </is>
      </c>
      <c r="D211" s="3" t="inlineStr">
        <is>
          <t>FUTURE LONG</t>
        </is>
      </c>
      <c r="E211" s="3" t="inlineStr">
        <is>
          <t>T-8 to T+1</t>
        </is>
      </c>
      <c r="F211" s="3" t="inlineStr">
        <is>
          <t>2025-01-20</t>
        </is>
      </c>
      <c r="G211" s="3" t="inlineStr">
        <is>
          <t>2025-01-31</t>
        </is>
      </c>
      <c r="H211" s="3" t="inlineStr">
        <is>
          <t>2025-01-30</t>
        </is>
      </c>
      <c r="I211" s="5" t="n">
        <v>379</v>
      </c>
      <c r="J211" s="6" t="n">
        <v>2633.123046875</v>
      </c>
      <c r="K211" s="6" t="n">
        <v>2391.3583984375</v>
      </c>
      <c r="L211" s="7">
        <f>I211*J211</f>
        <v/>
      </c>
      <c r="M211" s="7">
        <f>I211*K211</f>
        <v/>
      </c>
      <c r="N211" s="7">
        <f>L211+M211</f>
        <v/>
      </c>
      <c r="O211" s="7">
        <f>ROUND(N211*0.0005, 2)</f>
        <v/>
      </c>
      <c r="P211" s="7">
        <f>M211-L211</f>
        <v/>
      </c>
      <c r="Q211" s="7">
        <f>P211-O211</f>
        <v/>
      </c>
      <c r="R211" s="8">
        <f>ROUND((Q211/L211)*100, 2)</f>
        <v/>
      </c>
      <c r="S211" s="7">
        <f>ROUND(0.20*L211, 2)</f>
        <v/>
      </c>
      <c r="T211" s="8">
        <f>ROUND((Q211/S211)*100, 2)</f>
        <v/>
      </c>
      <c r="U211" s="7">
        <f>U210+Q211</f>
        <v/>
      </c>
      <c r="V211" s="7">
        <f>MAX(V210, U211)</f>
        <v/>
      </c>
      <c r="W211" s="7">
        <f>U211-V211</f>
        <v/>
      </c>
    </row>
    <row r="212">
      <c r="A212" s="3" t="n">
        <v>209</v>
      </c>
      <c r="B212" s="4" t="inlineStr">
        <is>
          <t>WIPRO</t>
        </is>
      </c>
      <c r="C212" s="3" t="inlineStr">
        <is>
          <t>Q2 2026-27</t>
        </is>
      </c>
      <c r="D212" s="3" t="inlineStr">
        <is>
          <t>FUTURE LONG</t>
        </is>
      </c>
      <c r="E212" s="3" t="inlineStr">
        <is>
          <t>T-8 to T+1</t>
        </is>
      </c>
      <c r="F212" s="3" t="inlineStr">
        <is>
          <t>2025-01-07</t>
        </is>
      </c>
      <c r="G212" s="3" t="inlineStr">
        <is>
          <t>2025-01-20</t>
        </is>
      </c>
      <c r="H212" s="3" t="inlineStr">
        <is>
          <t>2025-01-17</t>
        </is>
      </c>
      <c r="I212" s="5" t="n">
        <v>1500</v>
      </c>
      <c r="J212" s="6" t="n">
        <v>275.6426391601562</v>
      </c>
      <c r="K212" s="6" t="n">
        <v>281.4545288085937</v>
      </c>
      <c r="L212" s="7">
        <f>I212*J212</f>
        <v/>
      </c>
      <c r="M212" s="7">
        <f>I212*K212</f>
        <v/>
      </c>
      <c r="N212" s="7">
        <f>L212+M212</f>
        <v/>
      </c>
      <c r="O212" s="7">
        <f>ROUND(N212*0.0005, 2)</f>
        <v/>
      </c>
      <c r="P212" s="7">
        <f>M212-L212</f>
        <v/>
      </c>
      <c r="Q212" s="7">
        <f>P212-O212</f>
        <v/>
      </c>
      <c r="R212" s="8">
        <f>ROUND((Q212/L212)*100, 2)</f>
        <v/>
      </c>
      <c r="S212" s="7">
        <f>ROUND(0.20*L212, 2)</f>
        <v/>
      </c>
      <c r="T212" s="8">
        <f>ROUND((Q212/S212)*100, 2)</f>
        <v/>
      </c>
      <c r="U212" s="7">
        <f>U211+Q212</f>
        <v/>
      </c>
      <c r="V212" s="7">
        <f>MAX(V211, U212)</f>
        <v/>
      </c>
      <c r="W212" s="7">
        <f>U212-V212</f>
        <v/>
      </c>
    </row>
    <row r="213">
      <c r="A213" s="3" t="n">
        <v>210</v>
      </c>
      <c r="B213" s="4" t="inlineStr">
        <is>
          <t>YESBANK</t>
        </is>
      </c>
      <c r="C213" s="3" t="inlineStr">
        <is>
          <t>Q2 2026-27</t>
        </is>
      </c>
      <c r="D213" s="3" t="inlineStr">
        <is>
          <t>FUTURE LONG</t>
        </is>
      </c>
      <c r="E213" s="3" t="inlineStr">
        <is>
          <t>T-8 to T+1</t>
        </is>
      </c>
      <c r="F213" s="3" t="inlineStr">
        <is>
          <t>2025-01-14</t>
        </is>
      </c>
      <c r="G213" s="3" t="inlineStr">
        <is>
          <t>2025-01-27</t>
        </is>
      </c>
      <c r="H213" s="3" t="inlineStr">
        <is>
          <t>2025-01-25</t>
        </is>
      </c>
      <c r="I213" s="5" t="n">
        <v>55493</v>
      </c>
      <c r="J213" s="6" t="n">
        <v>18.02000045776367</v>
      </c>
      <c r="K213" s="6" t="n">
        <v>18.48999977111816</v>
      </c>
      <c r="L213" s="7">
        <f>I213*J213</f>
        <v/>
      </c>
      <c r="M213" s="7">
        <f>I213*K213</f>
        <v/>
      </c>
      <c r="N213" s="7">
        <f>L213+M213</f>
        <v/>
      </c>
      <c r="O213" s="7">
        <f>ROUND(N213*0.0005, 2)</f>
        <v/>
      </c>
      <c r="P213" s="7">
        <f>M213-L213</f>
        <v/>
      </c>
      <c r="Q213" s="7">
        <f>P213-O213</f>
        <v/>
      </c>
      <c r="R213" s="8">
        <f>ROUND((Q213/L213)*100, 2)</f>
        <v/>
      </c>
      <c r="S213" s="7">
        <f>ROUND(0.20*L213, 2)</f>
        <v/>
      </c>
      <c r="T213" s="8">
        <f>ROUND((Q213/S213)*100, 2)</f>
        <v/>
      </c>
      <c r="U213" s="7">
        <f>U212+Q213</f>
        <v/>
      </c>
      <c r="V213" s="7">
        <f>MAX(V212, U213)</f>
        <v/>
      </c>
      <c r="W213" s="7">
        <f>U213-V213</f>
        <v/>
      </c>
    </row>
    <row r="214">
      <c r="A214" s="3" t="n">
        <v>211</v>
      </c>
      <c r="B214" s="4" t="inlineStr">
        <is>
          <t>ZYDUSLIFE</t>
        </is>
      </c>
      <c r="C214" s="3" t="inlineStr">
        <is>
          <t>Q2 2026-27</t>
        </is>
      </c>
      <c r="D214" s="3" t="inlineStr">
        <is>
          <t>FUTURE LONG</t>
        </is>
      </c>
      <c r="E214" s="3" t="inlineStr">
        <is>
          <t>T-8 to T+1</t>
        </is>
      </c>
      <c r="F214" s="3" t="inlineStr">
        <is>
          <t>2025-01-27</t>
        </is>
      </c>
      <c r="G214" s="3" t="inlineStr">
        <is>
          <t>2025-02-06</t>
        </is>
      </c>
      <c r="H214" s="3" t="inlineStr">
        <is>
          <t>2025-02-05</t>
        </is>
      </c>
      <c r="I214" s="5" t="n">
        <v>1097</v>
      </c>
      <c r="J214" s="6" t="n">
        <v>911.33203125</v>
      </c>
      <c r="K214" s="6" t="n">
        <v>995.8865966796876</v>
      </c>
      <c r="L214" s="7">
        <f>I214*J214</f>
        <v/>
      </c>
      <c r="M214" s="7">
        <f>I214*K214</f>
        <v/>
      </c>
      <c r="N214" s="7">
        <f>L214+M214</f>
        <v/>
      </c>
      <c r="O214" s="7">
        <f>ROUND(N214*0.0005, 2)</f>
        <v/>
      </c>
      <c r="P214" s="7">
        <f>M214-L214</f>
        <v/>
      </c>
      <c r="Q214" s="7">
        <f>P214-O214</f>
        <v/>
      </c>
      <c r="R214" s="8">
        <f>ROUND((Q214/L214)*100, 2)</f>
        <v/>
      </c>
      <c r="S214" s="7">
        <f>ROUND(0.20*L214, 2)</f>
        <v/>
      </c>
      <c r="T214" s="8">
        <f>ROUND((Q214/S214)*100, 2)</f>
        <v/>
      </c>
      <c r="U214" s="7">
        <f>U213+Q214</f>
        <v/>
      </c>
      <c r="V214" s="7">
        <f>MAX(V213, U214)</f>
        <v/>
      </c>
      <c r="W214" s="7">
        <f>U214-V214</f>
        <v/>
      </c>
    </row>
    <row r="215">
      <c r="A215" t="inlineStr">
        <is>
          <t>TOTAL / SUMMARY</t>
        </is>
      </c>
      <c r="Q215" s="9">
        <f>SUM(Q4:Q214)</f>
        <v/>
      </c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2026-09-01T06:56:35Z</dcterms:created>
  <dcterms:modified xmlns:dcterms="http://purl.org/dc/terms/" xmlns:xsi="http://www.w3.org/2001/XMLSchema-instance" xsi:type="dcterms:W3CDTF">2026-09-01T06:56:36Z</dcterms:modified>
</cp:coreProperties>
</file>