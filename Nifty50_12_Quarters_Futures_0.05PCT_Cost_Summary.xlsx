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tures_0.05PCT_Cos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₹#,##0.00"/>
    <numFmt numFmtId="165" formatCode="0.0%"/>
    <numFmt numFmtId="166" formatCode="+0.00%;-0.00%"/>
    <numFmt numFmtId="167" formatCode="-₹#,##0.00"/>
    <numFmt numFmtId="168" formatCode="-0.00%"/>
    <numFmt numFmtId="169" formatCode="+0.00%"/>
  </numFmts>
  <fonts count="12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334155"/>
      <sz val="15"/>
    </font>
    <font>
      <name val="Segoe UI"/>
      <b val="1"/>
      <color rgb="0015803D"/>
      <sz val="15"/>
    </font>
    <font>
      <name val="Segoe UI"/>
      <b val="1"/>
      <color rgb="00B91C1C"/>
      <sz val="15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B91C1C"/>
      <sz val="10"/>
    </font>
    <font>
      <name val="Segoe UI"/>
      <b val="1"/>
      <color rgb="0015803D"/>
      <sz val="10"/>
    </font>
    <font>
      <name val="Segoe UI"/>
      <b val="1"/>
      <color rgb="00B45309"/>
      <sz val="10"/>
    </font>
    <font>
      <name val="Segoe UI"/>
      <b val="1"/>
      <color rgb="00334155"/>
      <sz val="10"/>
    </font>
  </fonts>
  <fills count="11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1E293B"/>
      </top>
      <bottom style="double">
        <color rgb="001E293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3" fillId="4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164" fontId="8" fillId="6" borderId="1" pivotButton="0" quotePrefix="0" xfId="0"/>
    <xf numFmtId="164" fontId="9" fillId="5" borderId="1" pivotButton="0" quotePrefix="0" xfId="0"/>
    <xf numFmtId="166" fontId="0" fillId="0" borderId="1" pivotButton="0" quotePrefix="0" xfId="0"/>
    <xf numFmtId="167" fontId="8" fillId="6" borderId="1" pivotButton="0" quotePrefix="0" xfId="0"/>
    <xf numFmtId="168" fontId="8" fillId="6" borderId="1" applyAlignment="1" pivotButton="0" quotePrefix="0" xfId="0">
      <alignment horizontal="center"/>
    </xf>
    <xf numFmtId="10" fontId="9" fillId="5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164" fontId="0" fillId="9" borderId="1" pivotButton="0" quotePrefix="0" xfId="0"/>
    <xf numFmtId="166" fontId="0" fillId="9" borderId="1" pivotButton="0" quotePrefix="0" xfId="0"/>
    <xf numFmtId="10" fontId="10" fillId="10" borderId="1" applyAlignment="1" pivotButton="0" quotePrefix="0" xfId="0">
      <alignment horizontal="center"/>
    </xf>
    <xf numFmtId="0" fontId="11" fillId="0" borderId="1" pivotButton="0" quotePrefix="0" xfId="0"/>
    <xf numFmtId="0" fontId="11" fillId="0" borderId="2" pivotButton="0" quotePrefix="0" xfId="0"/>
    <xf numFmtId="164" fontId="0" fillId="0" borderId="2" pivotButton="0" quotePrefix="0" xfId="0"/>
    <xf numFmtId="0" fontId="0" fillId="0" borderId="2" applyAlignment="1" pivotButton="0" quotePrefix="0" xfId="0">
      <alignment horizontal="center"/>
    </xf>
    <xf numFmtId="164" fontId="8" fillId="6" borderId="2" pivotButton="0" quotePrefix="0" xfId="0"/>
    <xf numFmtId="164" fontId="9" fillId="5" borderId="2" pivotButton="0" quotePrefix="0" xfId="0"/>
    <xf numFmtId="169" fontId="0" fillId="0" borderId="2" pivotButton="0" quotePrefix="0" xfId="0"/>
    <xf numFmtId="167" fontId="8" fillId="6" borderId="2" pivotButton="0" quotePrefix="0" xfId="0"/>
    <xf numFmtId="168" fontId="8" fillId="6" borderId="2" applyAlignment="1" pivotButton="0" quotePrefix="0" xfId="0">
      <alignment horizontal="center"/>
    </xf>
    <xf numFmtId="10" fontId="9" fillId="5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Consolidated 12-Quarter Net Futures Realised P&amp;L (After 0.05% Cost) Trend (₹)</a:t>
            </a:r>
          </a:p>
        </rich>
      </tx>
    </title>
    <plotArea>
      <lineChart>
        <grouping val="standard"/>
        <ser>
          <idx val="0"/>
          <order val="0"/>
          <tx>
            <strRef>
              <f>'Futures_0.05PCT_Cost_Summary'!G7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'Futures_0.05PCT_Cost_Summary'!$A$8:$A$19</f>
            </numRef>
          </cat>
          <val>
            <numRef>
              <f>'Futures_0.05PCT_Cost_Summary'!$G$8:$G$19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Realised P&amp;L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13</col>
      <colOff>0</colOff>
      <row>2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92" customWidth="1" min="1" max="1"/>
    <col width="36" customWidth="1" min="2" max="2"/>
    <col width="28" customWidth="1" min="3" max="3"/>
    <col width="39" customWidth="1" min="4" max="4"/>
    <col width="24" customWidth="1" min="5" max="5"/>
    <col width="33" customWidth="1" min="6" max="6"/>
    <col width="35" customWidth="1" min="7" max="7"/>
    <col width="25" customWidth="1" min="8" max="8"/>
    <col width="30" customWidth="1" min="9" max="9"/>
    <col width="34" customWidth="1" min="10" max="10"/>
    <col width="32" customWidth="1" min="11" max="11"/>
    <col width="23" customWidth="1" min="12" max="12"/>
  </cols>
  <sheetData>
    <row r="1" ht="40" customHeight="1">
      <c r="A1" s="1" t="inlineStr">
        <is>
          <t>NIFTY 50 FUTURES STRATEGY (REAL-WORLD 0.05% TRANSACTION COST) — SUMMARY DASHBOARD</t>
        </is>
      </c>
    </row>
    <row r="2"/>
    <row r="3" ht="20" customHeight="1">
      <c r="A3" s="2" t="inlineStr">
        <is>
          <t>TOTAL 12-QUARTER COMBINED TURNOVER</t>
        </is>
      </c>
      <c r="B3" s="3" t="n"/>
      <c r="C3" s="3" t="n"/>
      <c r="D3" s="2" t="inlineStr">
        <is>
          <t>GLOBAL WIN RATE (AFTER 0.05% COST)</t>
        </is>
      </c>
      <c r="E3" s="3" t="n"/>
      <c r="F3" s="3" t="n"/>
      <c r="G3" s="2" t="inlineStr">
        <is>
          <t>TOTAL TRANSACTION COST (0.05%)</t>
        </is>
      </c>
      <c r="H3" s="3" t="n"/>
      <c r="I3" s="3" t="n"/>
      <c r="J3" s="2" t="inlineStr">
        <is>
          <t>NET 12-QUARTER FUTURES PROFIT</t>
        </is>
      </c>
      <c r="K3" s="3" t="n"/>
      <c r="L3" s="3" t="n"/>
    </row>
    <row r="4" ht="28" customHeight="1">
      <c r="A4" s="4" t="n">
        <v>893762427.75</v>
      </c>
      <c r="B4" s="3" t="n"/>
      <c r="C4" s="3" t="n"/>
      <c r="D4" s="5" t="n">
        <v>0.6833333333333333</v>
      </c>
      <c r="E4" s="3" t="n"/>
      <c r="F4" s="3" t="n"/>
      <c r="G4" s="6" t="n">
        <v>446881.41</v>
      </c>
      <c r="H4" s="3" t="n"/>
      <c r="I4" s="3" t="n"/>
      <c r="J4" s="7" t="n">
        <v>7977584.84</v>
      </c>
      <c r="K4" s="3" t="n"/>
      <c r="L4" s="3" t="n"/>
    </row>
    <row r="5"/>
    <row r="6" ht="24" customHeight="1">
      <c r="A6" s="8" t="inlineStr">
        <is>
          <t>CONSOLIDATED 12-QUARTER PERFORMANCE SCORECARD (REAL-WORLD 0.05% TRANSACTION COST MODEL)</t>
        </is>
      </c>
    </row>
    <row r="7" ht="26" customHeight="1">
      <c r="A7" s="9" t="inlineStr">
        <is>
          <t>Quarter</t>
        </is>
      </c>
      <c r="B7" s="9" t="inlineStr">
        <is>
          <t>Combined Quarterly Turnover (₹)</t>
        </is>
      </c>
      <c r="C7" s="9" t="inlineStr">
        <is>
          <t>Peak Margin Capital (₹)</t>
        </is>
      </c>
      <c r="D7" s="9" t="inlineStr">
        <is>
          <t>Peak Date (Open Trades)</t>
        </is>
      </c>
      <c r="E7" s="9" t="inlineStr">
        <is>
          <t>Raw Futures P&amp;L (₹)</t>
        </is>
      </c>
      <c r="F7" s="9" t="inlineStr">
        <is>
          <t>Total Trans Cost (0.05%) (₹)</t>
        </is>
      </c>
      <c r="G7" s="9" t="inlineStr">
        <is>
          <t>Net Futures P&amp;L (₹)</t>
        </is>
      </c>
      <c r="H7" s="9" t="inlineStr">
        <is>
          <t>Return on Margin (%)</t>
        </is>
      </c>
      <c r="I7" s="9" t="inlineStr">
        <is>
          <t>Max Realised Drawdown (₹)</t>
        </is>
      </c>
      <c r="J7" s="9" t="inlineStr">
        <is>
          <t>DD % on Initial Capital</t>
        </is>
      </c>
      <c r="K7" s="9" t="inlineStr">
        <is>
          <t>True DD % on Peak Portfolio</t>
        </is>
      </c>
      <c r="L7" s="9" t="inlineStr">
        <is>
          <t>Win Rate (%)</t>
        </is>
      </c>
    </row>
    <row r="8" ht="21" customHeight="1">
      <c r="A8" s="10" t="inlineStr">
        <is>
          <t>Q3 2023-24</t>
        </is>
      </c>
      <c r="B8" s="11" t="n">
        <v>58798752.5</v>
      </c>
      <c r="C8" s="11" t="n">
        <v>2816844.4</v>
      </c>
      <c r="D8" s="10" t="inlineStr">
        <is>
          <t>2023-10-31 (24 Trades)</t>
        </is>
      </c>
      <c r="E8" s="11" t="n">
        <v>630821</v>
      </c>
      <c r="F8" s="12" t="n">
        <v>29399.4</v>
      </c>
      <c r="G8" s="13" t="n">
        <v>601421.6</v>
      </c>
      <c r="H8" s="14" t="n">
        <v>0.2135089889949193</v>
      </c>
      <c r="I8" s="15" t="n">
        <v>-174364.74</v>
      </c>
      <c r="J8" s="16" t="n">
        <v>-0.0619</v>
      </c>
      <c r="K8" s="16" t="n">
        <v>-0.0485</v>
      </c>
      <c r="L8" s="17" t="n">
        <v>0.92</v>
      </c>
    </row>
    <row r="9" ht="21" customHeight="1">
      <c r="A9" s="18" t="inlineStr">
        <is>
          <t>Q4 2023-24</t>
        </is>
      </c>
      <c r="B9" s="19" t="n">
        <v>67431807.75</v>
      </c>
      <c r="C9" s="19" t="n">
        <v>3552982.4</v>
      </c>
      <c r="D9" s="18" t="inlineStr">
        <is>
          <t>2024-01-31 (27 Trades)</t>
        </is>
      </c>
      <c r="E9" s="19" t="n">
        <v>1662111.75</v>
      </c>
      <c r="F9" s="12" t="n">
        <v>33715.94</v>
      </c>
      <c r="G9" s="13" t="n">
        <v>1628395.81</v>
      </c>
      <c r="H9" s="20" t="n">
        <v>0.458318006303662</v>
      </c>
      <c r="I9" s="15" t="n">
        <v>-174364.74</v>
      </c>
      <c r="J9" s="16" t="n">
        <v>-0.0491</v>
      </c>
      <c r="K9" s="16" t="n">
        <v>-0.0326</v>
      </c>
      <c r="L9" s="17" t="n">
        <v>0.88</v>
      </c>
    </row>
    <row r="10" ht="21" customHeight="1">
      <c r="A10" s="10" t="inlineStr">
        <is>
          <t>Q1 2024-25</t>
        </is>
      </c>
      <c r="B10" s="11" t="n">
        <v>72454549.25</v>
      </c>
      <c r="C10" s="11" t="n">
        <v>2389363.35</v>
      </c>
      <c r="D10" s="10" t="inlineStr">
        <is>
          <t>2024-04-25 (17 Trades)</t>
        </is>
      </c>
      <c r="E10" s="11" t="n">
        <v>368367.25</v>
      </c>
      <c r="F10" s="12" t="n">
        <v>36227.29</v>
      </c>
      <c r="G10" s="13" t="n">
        <v>332139.96</v>
      </c>
      <c r="H10" s="14" t="n">
        <v>0.1390077235427588</v>
      </c>
      <c r="I10" s="15" t="n">
        <v>-174364.74</v>
      </c>
      <c r="J10" s="16" t="n">
        <v>-0.073</v>
      </c>
      <c r="K10" s="16" t="n">
        <v>-0.0602</v>
      </c>
      <c r="L10" s="21" t="n">
        <v>0.6</v>
      </c>
    </row>
    <row r="11" ht="21" customHeight="1">
      <c r="A11" s="18" t="inlineStr">
        <is>
          <t>Q2 2024-25</t>
        </is>
      </c>
      <c r="B11" s="19" t="n">
        <v>78417608.75</v>
      </c>
      <c r="C11" s="19" t="n">
        <v>2530390.5</v>
      </c>
      <c r="D11" s="18" t="inlineStr">
        <is>
          <t>2024-07-30 (14 Trades)</t>
        </is>
      </c>
      <c r="E11" s="19" t="n">
        <v>637875.75</v>
      </c>
      <c r="F11" s="12" t="n">
        <v>39208.83</v>
      </c>
      <c r="G11" s="13" t="n">
        <v>598666.92</v>
      </c>
      <c r="H11" s="20" t="n">
        <v>0.2365907238428219</v>
      </c>
      <c r="I11" s="15" t="n">
        <v>-203345.77</v>
      </c>
      <c r="J11" s="16" t="n">
        <v>-0.0804</v>
      </c>
      <c r="K11" s="16" t="n">
        <v>-0.0679</v>
      </c>
      <c r="L11" s="21" t="n">
        <v>0.68</v>
      </c>
    </row>
    <row r="12" ht="21" customHeight="1">
      <c r="A12" s="10" t="inlineStr">
        <is>
          <t>Q3 2024-25</t>
        </is>
      </c>
      <c r="B12" s="11" t="n">
        <v>79787699.5</v>
      </c>
      <c r="C12" s="11" t="n">
        <v>2396821.75</v>
      </c>
      <c r="D12" s="10" t="inlineStr">
        <is>
          <t>2024-10-22 (15 Trades)</t>
        </is>
      </c>
      <c r="E12" s="11" t="n">
        <v>578677.5</v>
      </c>
      <c r="F12" s="12" t="n">
        <v>39893.89</v>
      </c>
      <c r="G12" s="13" t="n">
        <v>538783.61</v>
      </c>
      <c r="H12" s="14" t="n">
        <v>0.2247908548059529</v>
      </c>
      <c r="I12" s="15" t="n">
        <v>-89247.11</v>
      </c>
      <c r="J12" s="16" t="n">
        <v>-0.0372</v>
      </c>
      <c r="K12" s="16" t="n">
        <v>-0.032</v>
      </c>
      <c r="L12" s="21" t="n">
        <v>0.62</v>
      </c>
    </row>
    <row r="13" ht="21" customHeight="1">
      <c r="A13" s="18" t="inlineStr">
        <is>
          <t>Q4 2024-25</t>
        </is>
      </c>
      <c r="B13" s="19" t="n">
        <v>73959583.25</v>
      </c>
      <c r="C13" s="19" t="n">
        <v>2386574.3</v>
      </c>
      <c r="D13" s="18" t="inlineStr">
        <is>
          <t>2025-01-30 (16 Trades)</t>
        </is>
      </c>
      <c r="E13" s="19" t="n">
        <v>264661.25</v>
      </c>
      <c r="F13" s="12" t="n">
        <v>36979.8</v>
      </c>
      <c r="G13" s="13" t="n">
        <v>227681.45</v>
      </c>
      <c r="H13" s="20" t="n">
        <v>0.09540094770986179</v>
      </c>
      <c r="I13" s="15" t="n">
        <v>-122496.45</v>
      </c>
      <c r="J13" s="16" t="n">
        <v>-0.0513</v>
      </c>
      <c r="K13" s="16" t="n">
        <v>-0.0501</v>
      </c>
      <c r="L13" s="21" t="n">
        <v>0.52</v>
      </c>
    </row>
    <row r="14" ht="21" customHeight="1">
      <c r="A14" s="10" t="inlineStr">
        <is>
          <t>Q1 2025-26</t>
        </is>
      </c>
      <c r="B14" s="11" t="n">
        <v>73346468.25</v>
      </c>
      <c r="C14" s="11" t="n">
        <v>2099630.5</v>
      </c>
      <c r="D14" s="10" t="inlineStr">
        <is>
          <t>2025-04-23 (13 Trades)</t>
        </is>
      </c>
      <c r="E14" s="11" t="n">
        <v>700051.25</v>
      </c>
      <c r="F14" s="12" t="n">
        <v>36673.27</v>
      </c>
      <c r="G14" s="13" t="n">
        <v>663377.98</v>
      </c>
      <c r="H14" s="14" t="n">
        <v>0.3159498683220691</v>
      </c>
      <c r="I14" s="15" t="n">
        <v>-209087.57</v>
      </c>
      <c r="J14" s="16" t="n">
        <v>-0.09959999999999999</v>
      </c>
      <c r="K14" s="16" t="n">
        <v>-0.0969</v>
      </c>
      <c r="L14" s="21" t="n">
        <v>0.62</v>
      </c>
    </row>
    <row r="15" ht="21" customHeight="1">
      <c r="A15" s="18" t="inlineStr">
        <is>
          <t>Q2 2025-26</t>
        </is>
      </c>
      <c r="B15" s="19" t="n">
        <v>75395675.5</v>
      </c>
      <c r="C15" s="19" t="n">
        <v>3076406.1</v>
      </c>
      <c r="D15" s="18" t="inlineStr">
        <is>
          <t>2025-07-28 (19 Trades)</t>
        </is>
      </c>
      <c r="E15" s="19" t="n">
        <v>-102387.5</v>
      </c>
      <c r="F15" s="12" t="n">
        <v>37697.82</v>
      </c>
      <c r="G15" s="12" t="n">
        <v>-140085.32</v>
      </c>
      <c r="H15" s="20" t="n">
        <v>-0.04553537974066558</v>
      </c>
      <c r="I15" s="15" t="n">
        <v>-222013.68</v>
      </c>
      <c r="J15" s="16" t="n">
        <v>-0.0722</v>
      </c>
      <c r="K15" s="16" t="n">
        <v>-0.07190000000000001</v>
      </c>
      <c r="L15" s="21" t="n">
        <v>0.52</v>
      </c>
    </row>
    <row r="16" ht="21" customHeight="1">
      <c r="A16" s="10" t="inlineStr">
        <is>
          <t>Q3 2025-26</t>
        </is>
      </c>
      <c r="B16" s="11" t="n">
        <v>79361356</v>
      </c>
      <c r="C16" s="11" t="n">
        <v>2105933</v>
      </c>
      <c r="D16" s="10" t="inlineStr">
        <is>
          <t>2025-11-06 (11 Trades)</t>
        </is>
      </c>
      <c r="E16" s="11" t="n">
        <v>653956</v>
      </c>
      <c r="F16" s="12" t="n">
        <v>39680.7</v>
      </c>
      <c r="G16" s="13" t="n">
        <v>614275.3</v>
      </c>
      <c r="H16" s="14" t="n">
        <v>0.2916879596834278</v>
      </c>
      <c r="I16" s="15" t="n">
        <v>-99412.53999999999</v>
      </c>
      <c r="J16" s="16" t="n">
        <v>-0.0472</v>
      </c>
      <c r="K16" s="16" t="n">
        <v>-0.0414</v>
      </c>
      <c r="L16" s="21" t="n">
        <v>0.66</v>
      </c>
    </row>
    <row r="17" ht="21" customHeight="1">
      <c r="A17" s="18" t="inlineStr">
        <is>
          <t>Q4 2025-26</t>
        </is>
      </c>
      <c r="B17" s="19" t="n">
        <v>78954462.25</v>
      </c>
      <c r="C17" s="19" t="n">
        <v>2944735</v>
      </c>
      <c r="D17" s="18" t="inlineStr">
        <is>
          <t>2026-02-03 (16 Trades)</t>
        </is>
      </c>
      <c r="E17" s="19" t="n">
        <v>1074357.75</v>
      </c>
      <c r="F17" s="12" t="n">
        <v>39477.25</v>
      </c>
      <c r="G17" s="13" t="n">
        <v>1034880.5</v>
      </c>
      <c r="H17" s="20" t="n">
        <v>0.3514341697979614</v>
      </c>
      <c r="I17" s="15" t="n">
        <v>-109279.31</v>
      </c>
      <c r="J17" s="16" t="n">
        <v>-0.0371</v>
      </c>
      <c r="K17" s="16" t="n">
        <v>-0.0294</v>
      </c>
      <c r="L17" s="17" t="n">
        <v>0.72</v>
      </c>
    </row>
    <row r="18" ht="21" customHeight="1">
      <c r="A18" s="10" t="inlineStr">
        <is>
          <t>Q1 2026-27</t>
        </is>
      </c>
      <c r="B18" s="11" t="n">
        <v>77613416.75</v>
      </c>
      <c r="C18" s="11" t="n">
        <v>1817476</v>
      </c>
      <c r="D18" s="10" t="inlineStr">
        <is>
          <t>2026-04-22 (12 Trades)</t>
        </is>
      </c>
      <c r="E18" s="11" t="n">
        <v>566815.75</v>
      </c>
      <c r="F18" s="12" t="n">
        <v>38806.71</v>
      </c>
      <c r="G18" s="13" t="n">
        <v>528009.04</v>
      </c>
      <c r="H18" s="14" t="n">
        <v>0.2905177509909347</v>
      </c>
      <c r="I18" s="15" t="n">
        <v>-111208.04</v>
      </c>
      <c r="J18" s="16" t="n">
        <v>-0.0612</v>
      </c>
      <c r="K18" s="16" t="n">
        <v>-0.0597</v>
      </c>
      <c r="L18" s="21" t="n">
        <v>0.6</v>
      </c>
    </row>
    <row r="19" ht="21" customHeight="1">
      <c r="A19" s="18" t="inlineStr">
        <is>
          <t>Q2 2026-27</t>
        </is>
      </c>
      <c r="B19" s="19" t="n">
        <v>78241048</v>
      </c>
      <c r="C19" s="19" t="n">
        <v>4736988.5</v>
      </c>
      <c r="D19" s="18" t="inlineStr">
        <is>
          <t>2026-07-27 (28 Trades)</t>
        </is>
      </c>
      <c r="E19" s="19" t="n">
        <v>1389158.5</v>
      </c>
      <c r="F19" s="12" t="n">
        <v>39120.51</v>
      </c>
      <c r="G19" s="13" t="n">
        <v>1350037.99</v>
      </c>
      <c r="H19" s="20" t="n">
        <v>0.2849992120521297</v>
      </c>
      <c r="I19" s="15" t="n">
        <v>-64708.97</v>
      </c>
      <c r="J19" s="16" t="n">
        <v>-0.0137</v>
      </c>
      <c r="K19" s="16" t="n">
        <v>-0.0108</v>
      </c>
      <c r="L19" s="17" t="n">
        <v>0.86</v>
      </c>
    </row>
    <row r="20" ht="24" customHeight="1">
      <c r="A20" s="22" t="inlineStr">
        <is>
          <t>12-QUARTER TOTAL</t>
        </is>
      </c>
      <c r="B20" s="11" t="n">
        <v>893762427.75</v>
      </c>
      <c r="C20" s="10" t="inlineStr">
        <is>
          <t>—</t>
        </is>
      </c>
      <c r="D20" s="10" t="inlineStr">
        <is>
          <t>—</t>
        </is>
      </c>
      <c r="E20" s="11" t="n">
        <v>8424466.25</v>
      </c>
      <c r="F20" s="12" t="n">
        <v>446881.41</v>
      </c>
      <c r="G20" s="13" t="n">
        <v>7977584.84</v>
      </c>
      <c r="H20" s="10" t="inlineStr">
        <is>
          <t>—</t>
        </is>
      </c>
      <c r="I20" s="15" t="n">
        <v>-222013.68</v>
      </c>
      <c r="J20" s="16" t="n">
        <v>-0.09959999999999999</v>
      </c>
      <c r="K20" s="16" t="n">
        <v>-0.0969</v>
      </c>
      <c r="L20" s="17" t="n">
        <v>0.6833333333333333</v>
      </c>
    </row>
    <row r="21" ht="24" customHeight="1">
      <c r="A21" s="23" t="inlineStr">
        <is>
          <t>QUARTERLY AVERAGE</t>
        </is>
      </c>
      <c r="B21" s="24" t="n">
        <v>74480202.3125</v>
      </c>
      <c r="C21" s="24" t="n">
        <v>2737845.483333333</v>
      </c>
      <c r="D21" s="25" t="inlineStr">
        <is>
          <t>Avg ~17 Trades</t>
        </is>
      </c>
      <c r="E21" s="24" t="n">
        <v>702038.8541666666</v>
      </c>
      <c r="F21" s="26" t="n">
        <v>37240.1175</v>
      </c>
      <c r="G21" s="27" t="n">
        <v>664798.7366666667</v>
      </c>
      <c r="H21" s="28" t="n">
        <v>0.2380559021921528</v>
      </c>
      <c r="I21" s="29" t="n">
        <v>-146157.805</v>
      </c>
      <c r="J21" s="30" t="n">
        <v>-0.05699166666666667</v>
      </c>
      <c r="K21" s="30" t="n">
        <v>-0.05011666666666667</v>
      </c>
      <c r="L21" s="31" t="n">
        <v>0.6833333333333333</v>
      </c>
    </row>
  </sheetData>
  <mergeCells count="10">
    <mergeCell ref="A1:L1"/>
    <mergeCell ref="D4:F4"/>
    <mergeCell ref="D3:F3"/>
    <mergeCell ref="A3:C3"/>
    <mergeCell ref="G3:I3"/>
    <mergeCell ref="G4:I4"/>
    <mergeCell ref="J4:L4"/>
    <mergeCell ref="A6:L6"/>
    <mergeCell ref="A4:C4"/>
    <mergeCell ref="J3:L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2026-08-28T11:50:53Z</dcterms:created>
  <dcterms:modified xmlns:dcterms="http://purl.org/dc/terms/" xmlns:xsi="http://www.w3.org/2001/XMLSchema-instance" xsi:type="dcterms:W3CDTF">2026-08-28T11:50:53Z</dcterms:modified>
</cp:coreProperties>
</file>