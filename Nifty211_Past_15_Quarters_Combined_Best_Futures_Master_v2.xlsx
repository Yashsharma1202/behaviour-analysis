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4615" windowHeight="11955"/>
  </bookViews>
  <sheets>
    <sheet name="Performance Summary" sheetId="1" r:id="rId1"/>
    <sheet name="Q2 2026-27" sheetId="2" r:id="rId2"/>
    <sheet name="Q1 2026-27" sheetId="3" r:id="rId3"/>
    <sheet name="Q4 2025-26" sheetId="4" r:id="rId4"/>
    <sheet name="Q3 2025-26" sheetId="5" r:id="rId5"/>
    <sheet name="Q2 2025-26" sheetId="6" r:id="rId6"/>
    <sheet name="Q1 2025-26" sheetId="7" r:id="rId7"/>
    <sheet name="Q4 2024-25" sheetId="8" r:id="rId8"/>
    <sheet name="Q3 2024-25" sheetId="9" r:id="rId9"/>
    <sheet name="Q2 2024-25" sheetId="10" r:id="rId10"/>
    <sheet name="Q1 2024-25" sheetId="11" r:id="rId11"/>
    <sheet name="Q4 2023-24" sheetId="12" r:id="rId12"/>
    <sheet name="Q3 2023-24" sheetId="13" r:id="rId13"/>
    <sheet name="Q2 2023-24" sheetId="14" r:id="rId14"/>
    <sheet name="Q1 2023-24" sheetId="15" r:id="rId15"/>
    <sheet name="Q4 2022-23" sheetId="16" r:id="rId16"/>
  </sheets>
  <calcPr calcId="124519"/>
</workbook>
</file>

<file path=xl/calcChain.xml><?xml version="1.0" encoding="utf-8"?>
<calcChain xmlns="http://schemas.openxmlformats.org/spreadsheetml/2006/main">
  <c r="Y212" i="16"/>
  <c r="T212"/>
  <c r="U212" s="1"/>
  <c r="S212"/>
  <c r="V212" s="1"/>
  <c r="R212"/>
  <c r="Y202"/>
  <c r="W202"/>
  <c r="Z202" s="1"/>
  <c r="V202"/>
  <c r="U202"/>
  <c r="S202"/>
  <c r="R202"/>
  <c r="T202" s="1"/>
  <c r="S200"/>
  <c r="R200"/>
  <c r="Y197"/>
  <c r="V197"/>
  <c r="W197" s="1"/>
  <c r="Z197" s="1"/>
  <c r="S197"/>
  <c r="R197"/>
  <c r="T197" s="1"/>
  <c r="U197" s="1"/>
  <c r="Y195"/>
  <c r="V195"/>
  <c r="W195" s="1"/>
  <c r="Z195" s="1"/>
  <c r="S195"/>
  <c r="R195"/>
  <c r="T195" s="1"/>
  <c r="U195" s="1"/>
  <c r="Y194"/>
  <c r="V194"/>
  <c r="S194"/>
  <c r="T194" s="1"/>
  <c r="U194" s="1"/>
  <c r="W194" s="1"/>
  <c r="Z194" s="1"/>
  <c r="R194"/>
  <c r="V193"/>
  <c r="S193"/>
  <c r="R193"/>
  <c r="Y193" s="1"/>
  <c r="Y189"/>
  <c r="V189"/>
  <c r="W189" s="1"/>
  <c r="Z189" s="1"/>
  <c r="T189"/>
  <c r="U189" s="1"/>
  <c r="S189"/>
  <c r="R189"/>
  <c r="S185"/>
  <c r="R185"/>
  <c r="T185" s="1"/>
  <c r="U185" s="1"/>
  <c r="Y180"/>
  <c r="V180"/>
  <c r="S180"/>
  <c r="T180" s="1"/>
  <c r="U180" s="1"/>
  <c r="W180" s="1"/>
  <c r="Z180" s="1"/>
  <c r="R180"/>
  <c r="S178"/>
  <c r="V178" s="1"/>
  <c r="W178" s="1"/>
  <c r="R178"/>
  <c r="T178" s="1"/>
  <c r="U178" s="1"/>
  <c r="S177"/>
  <c r="V177" s="1"/>
  <c r="R177"/>
  <c r="Y177" s="1"/>
  <c r="S172"/>
  <c r="V172" s="1"/>
  <c r="W172" s="1"/>
  <c r="R172"/>
  <c r="T172" s="1"/>
  <c r="U172" s="1"/>
  <c r="V171"/>
  <c r="T171"/>
  <c r="U171" s="1"/>
  <c r="S171"/>
  <c r="R171"/>
  <c r="Y171" s="1"/>
  <c r="T165"/>
  <c r="U165" s="1"/>
  <c r="S165"/>
  <c r="R165"/>
  <c r="Y165" s="1"/>
  <c r="Y150"/>
  <c r="Z150" s="1"/>
  <c r="V150"/>
  <c r="S150"/>
  <c r="T150" s="1"/>
  <c r="U150" s="1"/>
  <c r="W150" s="1"/>
  <c r="R150"/>
  <c r="S145"/>
  <c r="V145" s="1"/>
  <c r="R145"/>
  <c r="Y137"/>
  <c r="W137"/>
  <c r="Z137" s="1"/>
  <c r="V137"/>
  <c r="U137"/>
  <c r="T137"/>
  <c r="S137"/>
  <c r="R137"/>
  <c r="V130"/>
  <c r="W130" s="1"/>
  <c r="Z130" s="1"/>
  <c r="T130"/>
  <c r="U130" s="1"/>
  <c r="S130"/>
  <c r="R130"/>
  <c r="Y130" s="1"/>
  <c r="V129"/>
  <c r="S129"/>
  <c r="T129" s="1"/>
  <c r="U129" s="1"/>
  <c r="R129"/>
  <c r="Y129" s="1"/>
  <c r="V124"/>
  <c r="T124"/>
  <c r="U124" s="1"/>
  <c r="S124"/>
  <c r="R124"/>
  <c r="Y124" s="1"/>
  <c r="Y120"/>
  <c r="V120"/>
  <c r="T120"/>
  <c r="U120" s="1"/>
  <c r="S120"/>
  <c r="R120"/>
  <c r="V118"/>
  <c r="W118" s="1"/>
  <c r="T118"/>
  <c r="U118" s="1"/>
  <c r="S118"/>
  <c r="R118"/>
  <c r="Y118" s="1"/>
  <c r="Y114"/>
  <c r="V114"/>
  <c r="W114" s="1"/>
  <c r="Z114" s="1"/>
  <c r="U114"/>
  <c r="T114"/>
  <c r="S114"/>
  <c r="R114"/>
  <c r="S108"/>
  <c r="R108"/>
  <c r="Y104"/>
  <c r="S104"/>
  <c r="T104" s="1"/>
  <c r="U104" s="1"/>
  <c r="R104"/>
  <c r="Y99"/>
  <c r="V99"/>
  <c r="W99" s="1"/>
  <c r="Z99" s="1"/>
  <c r="U99"/>
  <c r="T99"/>
  <c r="S99"/>
  <c r="R99"/>
  <c r="S97"/>
  <c r="V97" s="1"/>
  <c r="R97"/>
  <c r="Y97" s="1"/>
  <c r="S96"/>
  <c r="R96"/>
  <c r="V90"/>
  <c r="W90" s="1"/>
  <c r="Z90" s="1"/>
  <c r="T90"/>
  <c r="U90" s="1"/>
  <c r="S90"/>
  <c r="R90"/>
  <c r="Y90" s="1"/>
  <c r="V89"/>
  <c r="T89"/>
  <c r="U89" s="1"/>
  <c r="S89"/>
  <c r="R89"/>
  <c r="Y89" s="1"/>
  <c r="Y88"/>
  <c r="T88"/>
  <c r="U88" s="1"/>
  <c r="S88"/>
  <c r="R88"/>
  <c r="Y85"/>
  <c r="W85"/>
  <c r="Z85" s="1"/>
  <c r="V85"/>
  <c r="U85"/>
  <c r="T85"/>
  <c r="S85"/>
  <c r="R85"/>
  <c r="T83"/>
  <c r="U83" s="1"/>
  <c r="S83"/>
  <c r="V83" s="1"/>
  <c r="R83"/>
  <c r="Y83" s="1"/>
  <c r="Y82"/>
  <c r="S82"/>
  <c r="V82" s="1"/>
  <c r="R82"/>
  <c r="T82" s="1"/>
  <c r="U82" s="1"/>
  <c r="S81"/>
  <c r="V81" s="1"/>
  <c r="R81"/>
  <c r="Y80"/>
  <c r="V80"/>
  <c r="T80"/>
  <c r="U80" s="1"/>
  <c r="W80" s="1"/>
  <c r="Z80" s="1"/>
  <c r="S80"/>
  <c r="R80"/>
  <c r="V78"/>
  <c r="W78" s="1"/>
  <c r="T78"/>
  <c r="U78" s="1"/>
  <c r="S78"/>
  <c r="R78"/>
  <c r="Y78" s="1"/>
  <c r="Y74"/>
  <c r="V74"/>
  <c r="T74"/>
  <c r="U74" s="1"/>
  <c r="S74"/>
  <c r="R74"/>
  <c r="V66"/>
  <c r="W66" s="1"/>
  <c r="Z66" s="1"/>
  <c r="T66"/>
  <c r="U66" s="1"/>
  <c r="S66"/>
  <c r="R66"/>
  <c r="Y66" s="1"/>
  <c r="Y63"/>
  <c r="V63"/>
  <c r="W63" s="1"/>
  <c r="Z63" s="1"/>
  <c r="U63"/>
  <c r="S63"/>
  <c r="R63"/>
  <c r="T63" s="1"/>
  <c r="S62"/>
  <c r="R62"/>
  <c r="Y62" s="1"/>
  <c r="Y49"/>
  <c r="S49"/>
  <c r="R49"/>
  <c r="T49" s="1"/>
  <c r="U49" s="1"/>
  <c r="S48"/>
  <c r="V48" s="1"/>
  <c r="R48"/>
  <c r="Y48" s="1"/>
  <c r="V41"/>
  <c r="T41"/>
  <c r="U41" s="1"/>
  <c r="S41"/>
  <c r="R41"/>
  <c r="Y41" s="1"/>
  <c r="S40"/>
  <c r="V40" s="1"/>
  <c r="W40" s="1"/>
  <c r="R40"/>
  <c r="T40" s="1"/>
  <c r="U40" s="1"/>
  <c r="Y35"/>
  <c r="V35"/>
  <c r="W35" s="1"/>
  <c r="Z35" s="1"/>
  <c r="T35"/>
  <c r="U35" s="1"/>
  <c r="S35"/>
  <c r="R35"/>
  <c r="Y33"/>
  <c r="V33"/>
  <c r="S33"/>
  <c r="R33"/>
  <c r="T33" s="1"/>
  <c r="U33" s="1"/>
  <c r="Y28"/>
  <c r="V28"/>
  <c r="S28"/>
  <c r="R28"/>
  <c r="T28" s="1"/>
  <c r="U28" s="1"/>
  <c r="W28" s="1"/>
  <c r="Z28" s="1"/>
  <c r="Y26"/>
  <c r="V26"/>
  <c r="S26"/>
  <c r="R26"/>
  <c r="T26" s="1"/>
  <c r="U26" s="1"/>
  <c r="Y25"/>
  <c r="V25"/>
  <c r="S25"/>
  <c r="R25"/>
  <c r="T25" s="1"/>
  <c r="U25" s="1"/>
  <c r="W25" s="1"/>
  <c r="Z25" s="1"/>
  <c r="V24"/>
  <c r="T24"/>
  <c r="U24" s="1"/>
  <c r="S24"/>
  <c r="R24"/>
  <c r="Y24" s="1"/>
  <c r="Y19"/>
  <c r="V19"/>
  <c r="S19"/>
  <c r="R19"/>
  <c r="T19" s="1"/>
  <c r="U19" s="1"/>
  <c r="W19" s="1"/>
  <c r="Z19" s="1"/>
  <c r="Y17"/>
  <c r="V17"/>
  <c r="T17"/>
  <c r="U17" s="1"/>
  <c r="S17"/>
  <c r="R17"/>
  <c r="U16"/>
  <c r="T16"/>
  <c r="S16"/>
  <c r="V16" s="1"/>
  <c r="W16" s="1"/>
  <c r="Z16" s="1"/>
  <c r="R16"/>
  <c r="Y16" s="1"/>
  <c r="Y15"/>
  <c r="U15"/>
  <c r="T15"/>
  <c r="S15"/>
  <c r="V15" s="1"/>
  <c r="W15" s="1"/>
  <c r="Z15" s="1"/>
  <c r="R15"/>
  <c r="Y14"/>
  <c r="S14"/>
  <c r="R14"/>
  <c r="T14" s="1"/>
  <c r="U14" s="1"/>
  <c r="V13"/>
  <c r="S13"/>
  <c r="T13" s="1"/>
  <c r="U13" s="1"/>
  <c r="R13"/>
  <c r="Y13" s="1"/>
  <c r="Y12"/>
  <c r="U12"/>
  <c r="T12"/>
  <c r="S12"/>
  <c r="V12" s="1"/>
  <c r="W12" s="1"/>
  <c r="Z12" s="1"/>
  <c r="R12"/>
  <c r="T11"/>
  <c r="U11" s="1"/>
  <c r="S11"/>
  <c r="R11"/>
  <c r="Y11" s="1"/>
  <c r="V10"/>
  <c r="S10"/>
  <c r="T10" s="1"/>
  <c r="U10" s="1"/>
  <c r="R10"/>
  <c r="Y10" s="1"/>
  <c r="Y9"/>
  <c r="V9"/>
  <c r="U9"/>
  <c r="W9" s="1"/>
  <c r="Z9" s="1"/>
  <c r="T9"/>
  <c r="S9"/>
  <c r="R9"/>
  <c r="Y8"/>
  <c r="V8"/>
  <c r="T8"/>
  <c r="U8" s="1"/>
  <c r="S8"/>
  <c r="R8"/>
  <c r="S7"/>
  <c r="V7" s="1"/>
  <c r="W7" s="1"/>
  <c r="R7"/>
  <c r="T7" s="1"/>
  <c r="U7" s="1"/>
  <c r="Y6"/>
  <c r="S6"/>
  <c r="V6" s="1"/>
  <c r="R6"/>
  <c r="Y5"/>
  <c r="V5"/>
  <c r="W5" s="1"/>
  <c r="Z5" s="1"/>
  <c r="T5"/>
  <c r="U5" s="1"/>
  <c r="S5"/>
  <c r="R5"/>
  <c r="S4"/>
  <c r="R4"/>
  <c r="T4" s="1"/>
  <c r="U4" s="1"/>
  <c r="S212" i="15"/>
  <c r="R212"/>
  <c r="T212" s="1"/>
  <c r="U212" s="1"/>
  <c r="S202"/>
  <c r="R202"/>
  <c r="S200"/>
  <c r="V200" s="1"/>
  <c r="R200"/>
  <c r="Y197"/>
  <c r="S197"/>
  <c r="V197" s="1"/>
  <c r="W197" s="1"/>
  <c r="Z197" s="1"/>
  <c r="R197"/>
  <c r="T197" s="1"/>
  <c r="U197" s="1"/>
  <c r="S195"/>
  <c r="R195"/>
  <c r="Y194"/>
  <c r="V194"/>
  <c r="S194"/>
  <c r="R194"/>
  <c r="T194" s="1"/>
  <c r="U194" s="1"/>
  <c r="W194" s="1"/>
  <c r="Z194" s="1"/>
  <c r="S193"/>
  <c r="R193"/>
  <c r="Y193" s="1"/>
  <c r="Y189"/>
  <c r="V189"/>
  <c r="W189" s="1"/>
  <c r="Z189" s="1"/>
  <c r="T189"/>
  <c r="U189" s="1"/>
  <c r="S189"/>
  <c r="R189"/>
  <c r="S185"/>
  <c r="V185" s="1"/>
  <c r="R185"/>
  <c r="Y185" s="1"/>
  <c r="Y180"/>
  <c r="V180"/>
  <c r="W180" s="1"/>
  <c r="Z180" s="1"/>
  <c r="U180"/>
  <c r="T180"/>
  <c r="S180"/>
  <c r="R180"/>
  <c r="Y178"/>
  <c r="V178"/>
  <c r="W178" s="1"/>
  <c r="Z178" s="1"/>
  <c r="T178"/>
  <c r="U178" s="1"/>
  <c r="S178"/>
  <c r="R178"/>
  <c r="Y177"/>
  <c r="V177"/>
  <c r="W177" s="1"/>
  <c r="Z177" s="1"/>
  <c r="U177"/>
  <c r="T177"/>
  <c r="S177"/>
  <c r="R177"/>
  <c r="Y172"/>
  <c r="V172"/>
  <c r="W172" s="1"/>
  <c r="Z172" s="1"/>
  <c r="T172"/>
  <c r="U172" s="1"/>
  <c r="S172"/>
  <c r="R172"/>
  <c r="Y171"/>
  <c r="V171"/>
  <c r="T171"/>
  <c r="U171" s="1"/>
  <c r="W171" s="1"/>
  <c r="Z171" s="1"/>
  <c r="S171"/>
  <c r="R171"/>
  <c r="S165"/>
  <c r="R165"/>
  <c r="Y150"/>
  <c r="S150"/>
  <c r="R150"/>
  <c r="T150" s="1"/>
  <c r="U150" s="1"/>
  <c r="S145"/>
  <c r="V145" s="1"/>
  <c r="R145"/>
  <c r="Y145" s="1"/>
  <c r="V137"/>
  <c r="S137"/>
  <c r="R137"/>
  <c r="Y137" s="1"/>
  <c r="Y130"/>
  <c r="T130"/>
  <c r="U130" s="1"/>
  <c r="S130"/>
  <c r="R130"/>
  <c r="S129"/>
  <c r="V129" s="1"/>
  <c r="R129"/>
  <c r="Y129" s="1"/>
  <c r="T124"/>
  <c r="U124" s="1"/>
  <c r="S124"/>
  <c r="R124"/>
  <c r="Y124" s="1"/>
  <c r="Y120"/>
  <c r="S120"/>
  <c r="R120"/>
  <c r="T120" s="1"/>
  <c r="U120" s="1"/>
  <c r="U118"/>
  <c r="T118"/>
  <c r="S118"/>
  <c r="R118"/>
  <c r="V118" s="1"/>
  <c r="Y114"/>
  <c r="V114"/>
  <c r="S114"/>
  <c r="R114"/>
  <c r="T114" s="1"/>
  <c r="U114" s="1"/>
  <c r="W114" s="1"/>
  <c r="Z114" s="1"/>
  <c r="Y108"/>
  <c r="T108"/>
  <c r="U108" s="1"/>
  <c r="S108"/>
  <c r="V108" s="1"/>
  <c r="R108"/>
  <c r="Y106"/>
  <c r="V106"/>
  <c r="W106" s="1"/>
  <c r="Z106" s="1"/>
  <c r="U106"/>
  <c r="T106"/>
  <c r="S106"/>
  <c r="R106"/>
  <c r="S104"/>
  <c r="V104" s="1"/>
  <c r="R104"/>
  <c r="Y99"/>
  <c r="S99"/>
  <c r="V99" s="1"/>
  <c r="R99"/>
  <c r="T99" s="1"/>
  <c r="U99" s="1"/>
  <c r="Y97"/>
  <c r="V97"/>
  <c r="S97"/>
  <c r="R97"/>
  <c r="T97" s="1"/>
  <c r="U97" s="1"/>
  <c r="Y96"/>
  <c r="S96"/>
  <c r="R96"/>
  <c r="T96" s="1"/>
  <c r="U96" s="1"/>
  <c r="S90"/>
  <c r="V90" s="1"/>
  <c r="R90"/>
  <c r="Y90" s="1"/>
  <c r="Y89"/>
  <c r="U89"/>
  <c r="T89"/>
  <c r="S89"/>
  <c r="V89" s="1"/>
  <c r="W89" s="1"/>
  <c r="Z89" s="1"/>
  <c r="R89"/>
  <c r="Y88"/>
  <c r="V88"/>
  <c r="W88" s="1"/>
  <c r="S88"/>
  <c r="R88"/>
  <c r="T88" s="1"/>
  <c r="U88" s="1"/>
  <c r="Y85"/>
  <c r="S85"/>
  <c r="T85" s="1"/>
  <c r="U85" s="1"/>
  <c r="R85"/>
  <c r="Y83"/>
  <c r="W83"/>
  <c r="Z83" s="1"/>
  <c r="V83"/>
  <c r="S83"/>
  <c r="R83"/>
  <c r="T83" s="1"/>
  <c r="U83" s="1"/>
  <c r="S82"/>
  <c r="R82"/>
  <c r="Y82" s="1"/>
  <c r="Y81"/>
  <c r="V81"/>
  <c r="W81" s="1"/>
  <c r="Z81" s="1"/>
  <c r="U81"/>
  <c r="T81"/>
  <c r="S81"/>
  <c r="R81"/>
  <c r="S80"/>
  <c r="V80" s="1"/>
  <c r="R80"/>
  <c r="Y80" s="1"/>
  <c r="Y78"/>
  <c r="V78"/>
  <c r="T78"/>
  <c r="U78" s="1"/>
  <c r="W78" s="1"/>
  <c r="Z78" s="1"/>
  <c r="S78"/>
  <c r="R78"/>
  <c r="V74"/>
  <c r="S74"/>
  <c r="R74"/>
  <c r="T74" s="1"/>
  <c r="U74" s="1"/>
  <c r="S66"/>
  <c r="R66"/>
  <c r="Y63"/>
  <c r="V63"/>
  <c r="T63"/>
  <c r="U63" s="1"/>
  <c r="W63" s="1"/>
  <c r="Z63" s="1"/>
  <c r="S63"/>
  <c r="R63"/>
  <c r="S62"/>
  <c r="T62" s="1"/>
  <c r="U62" s="1"/>
  <c r="R62"/>
  <c r="Y62" s="1"/>
  <c r="Y49"/>
  <c r="V49"/>
  <c r="T49"/>
  <c r="U49" s="1"/>
  <c r="S49"/>
  <c r="R49"/>
  <c r="T48"/>
  <c r="U48" s="1"/>
  <c r="S48"/>
  <c r="R48"/>
  <c r="Y48" s="1"/>
  <c r="S41"/>
  <c r="R41"/>
  <c r="Y40"/>
  <c r="V40"/>
  <c r="S40"/>
  <c r="R40"/>
  <c r="T40" s="1"/>
  <c r="U40" s="1"/>
  <c r="W40" s="1"/>
  <c r="Z40" s="1"/>
  <c r="S35"/>
  <c r="R35"/>
  <c r="Y33"/>
  <c r="S33"/>
  <c r="V33" s="1"/>
  <c r="R33"/>
  <c r="T33" s="1"/>
  <c r="U33" s="1"/>
  <c r="S28"/>
  <c r="V28" s="1"/>
  <c r="R28"/>
  <c r="Y28" s="1"/>
  <c r="Y26"/>
  <c r="V26"/>
  <c r="T26"/>
  <c r="U26" s="1"/>
  <c r="S26"/>
  <c r="R26"/>
  <c r="V25"/>
  <c r="S25"/>
  <c r="R25"/>
  <c r="Y25" s="1"/>
  <c r="S24"/>
  <c r="R24"/>
  <c r="Y24" s="1"/>
  <c r="V19"/>
  <c r="U19"/>
  <c r="S19"/>
  <c r="R19"/>
  <c r="T19" s="1"/>
  <c r="Y17"/>
  <c r="V17"/>
  <c r="W17" s="1"/>
  <c r="Z17" s="1"/>
  <c r="U17"/>
  <c r="T17"/>
  <c r="S17"/>
  <c r="R17"/>
  <c r="S16"/>
  <c r="V16" s="1"/>
  <c r="R16"/>
  <c r="Y16" s="1"/>
  <c r="Y15"/>
  <c r="V15"/>
  <c r="T15"/>
  <c r="U15" s="1"/>
  <c r="S15"/>
  <c r="R15"/>
  <c r="Y14"/>
  <c r="V14"/>
  <c r="U14"/>
  <c r="W14" s="1"/>
  <c r="Z14" s="1"/>
  <c r="T14"/>
  <c r="S14"/>
  <c r="R14"/>
  <c r="Y13"/>
  <c r="V13"/>
  <c r="T13"/>
  <c r="U13" s="1"/>
  <c r="W13" s="1"/>
  <c r="Z13" s="1"/>
  <c r="S13"/>
  <c r="R13"/>
  <c r="Y12"/>
  <c r="V12"/>
  <c r="S12"/>
  <c r="R12"/>
  <c r="T12" s="1"/>
  <c r="U12" s="1"/>
  <c r="Y11"/>
  <c r="S11"/>
  <c r="V11" s="1"/>
  <c r="R11"/>
  <c r="Y10"/>
  <c r="V10"/>
  <c r="T10"/>
  <c r="U10" s="1"/>
  <c r="W10" s="1"/>
  <c r="Z10" s="1"/>
  <c r="S10"/>
  <c r="R10"/>
  <c r="Y9"/>
  <c r="V9"/>
  <c r="S9"/>
  <c r="R9"/>
  <c r="T9" s="1"/>
  <c r="U9" s="1"/>
  <c r="V8"/>
  <c r="S8"/>
  <c r="R8"/>
  <c r="Y8" s="1"/>
  <c r="Y7"/>
  <c r="V7"/>
  <c r="T7"/>
  <c r="U7" s="1"/>
  <c r="W7" s="1"/>
  <c r="Z7" s="1"/>
  <c r="S7"/>
  <c r="R7"/>
  <c r="Y6"/>
  <c r="V6"/>
  <c r="W6" s="1"/>
  <c r="Z6" s="1"/>
  <c r="U6"/>
  <c r="T6"/>
  <c r="S6"/>
  <c r="R6"/>
  <c r="Y5"/>
  <c r="V5"/>
  <c r="T5"/>
  <c r="U5" s="1"/>
  <c r="W5" s="1"/>
  <c r="Z5" s="1"/>
  <c r="S5"/>
  <c r="R5"/>
  <c r="Y4"/>
  <c r="V4"/>
  <c r="W4" s="1"/>
  <c r="S4"/>
  <c r="R4"/>
  <c r="T4" s="1"/>
  <c r="U4" s="1"/>
  <c r="S212" i="14"/>
  <c r="R212"/>
  <c r="Y212" s="1"/>
  <c r="V202"/>
  <c r="S202"/>
  <c r="R202"/>
  <c r="Y202" s="1"/>
  <c r="Y200"/>
  <c r="V200"/>
  <c r="U200"/>
  <c r="T200"/>
  <c r="S200"/>
  <c r="R200"/>
  <c r="S197"/>
  <c r="R197"/>
  <c r="Y197" s="1"/>
  <c r="Y195"/>
  <c r="V195"/>
  <c r="W195" s="1"/>
  <c r="Z195" s="1"/>
  <c r="T195"/>
  <c r="U195" s="1"/>
  <c r="S195"/>
  <c r="R195"/>
  <c r="W194"/>
  <c r="Z194" s="1"/>
  <c r="T194"/>
  <c r="U194" s="1"/>
  <c r="S194"/>
  <c r="V194" s="1"/>
  <c r="R194"/>
  <c r="Y194" s="1"/>
  <c r="Y193"/>
  <c r="V193"/>
  <c r="S193"/>
  <c r="T193" s="1"/>
  <c r="U193" s="1"/>
  <c r="R193"/>
  <c r="T189"/>
  <c r="U189" s="1"/>
  <c r="S189"/>
  <c r="R189"/>
  <c r="V189" s="1"/>
  <c r="Y185"/>
  <c r="V185"/>
  <c r="W185" s="1"/>
  <c r="Z185" s="1"/>
  <c r="S185"/>
  <c r="R185"/>
  <c r="T185" s="1"/>
  <c r="U185" s="1"/>
  <c r="V180"/>
  <c r="S180"/>
  <c r="R180"/>
  <c r="Y180" s="1"/>
  <c r="S178"/>
  <c r="V178" s="1"/>
  <c r="R178"/>
  <c r="Y178" s="1"/>
  <c r="Y177"/>
  <c r="V177"/>
  <c r="W177" s="1"/>
  <c r="Z177" s="1"/>
  <c r="S177"/>
  <c r="T177" s="1"/>
  <c r="U177" s="1"/>
  <c r="R177"/>
  <c r="Y172"/>
  <c r="S172"/>
  <c r="V172" s="1"/>
  <c r="W172" s="1"/>
  <c r="Z172" s="1"/>
  <c r="R172"/>
  <c r="T172" s="1"/>
  <c r="U172" s="1"/>
  <c r="Y171"/>
  <c r="V171"/>
  <c r="W171" s="1"/>
  <c r="Z171" s="1"/>
  <c r="S171"/>
  <c r="T171" s="1"/>
  <c r="U171" s="1"/>
  <c r="R171"/>
  <c r="S165"/>
  <c r="R165"/>
  <c r="Y165" s="1"/>
  <c r="S150"/>
  <c r="R150"/>
  <c r="Y145"/>
  <c r="V145"/>
  <c r="S145"/>
  <c r="R145"/>
  <c r="T145" s="1"/>
  <c r="U145" s="1"/>
  <c r="S137"/>
  <c r="R137"/>
  <c r="T137" s="1"/>
  <c r="U137" s="1"/>
  <c r="Y130"/>
  <c r="V130"/>
  <c r="W130" s="1"/>
  <c r="Z130" s="1"/>
  <c r="S130"/>
  <c r="R130"/>
  <c r="T130" s="1"/>
  <c r="U130" s="1"/>
  <c r="T129"/>
  <c r="U129" s="1"/>
  <c r="S129"/>
  <c r="V129" s="1"/>
  <c r="W129" s="1"/>
  <c r="Z129" s="1"/>
  <c r="R129"/>
  <c r="Y129" s="1"/>
  <c r="T124"/>
  <c r="U124" s="1"/>
  <c r="S124"/>
  <c r="R124"/>
  <c r="Y124" s="1"/>
  <c r="V120"/>
  <c r="W120" s="1"/>
  <c r="Z120" s="1"/>
  <c r="S120"/>
  <c r="T120" s="1"/>
  <c r="U120" s="1"/>
  <c r="R120"/>
  <c r="Y120" s="1"/>
  <c r="V118"/>
  <c r="T118"/>
  <c r="U118" s="1"/>
  <c r="S118"/>
  <c r="R118"/>
  <c r="Y118" s="1"/>
  <c r="S114"/>
  <c r="V114" s="1"/>
  <c r="R114"/>
  <c r="Y114" s="1"/>
  <c r="T108"/>
  <c r="U108" s="1"/>
  <c r="S108"/>
  <c r="V108" s="1"/>
  <c r="W108" s="1"/>
  <c r="Z108" s="1"/>
  <c r="R108"/>
  <c r="Y108" s="1"/>
  <c r="S106"/>
  <c r="R106"/>
  <c r="Y106" s="1"/>
  <c r="S104"/>
  <c r="R104"/>
  <c r="Y99"/>
  <c r="V99"/>
  <c r="U99"/>
  <c r="W99" s="1"/>
  <c r="Z99" s="1"/>
  <c r="T99"/>
  <c r="S99"/>
  <c r="R99"/>
  <c r="T97"/>
  <c r="U97" s="1"/>
  <c r="S97"/>
  <c r="R97"/>
  <c r="V97" s="1"/>
  <c r="Y96"/>
  <c r="S96"/>
  <c r="V96" s="1"/>
  <c r="R96"/>
  <c r="T90"/>
  <c r="U90" s="1"/>
  <c r="S90"/>
  <c r="V90" s="1"/>
  <c r="R90"/>
  <c r="Y90" s="1"/>
  <c r="V89"/>
  <c r="T89"/>
  <c r="U89" s="1"/>
  <c r="S89"/>
  <c r="R89"/>
  <c r="Y89" s="1"/>
  <c r="Y88"/>
  <c r="V88"/>
  <c r="W88" s="1"/>
  <c r="Z88" s="1"/>
  <c r="T88"/>
  <c r="U88" s="1"/>
  <c r="S88"/>
  <c r="R88"/>
  <c r="Y85"/>
  <c r="V85"/>
  <c r="W85" s="1"/>
  <c r="Z85" s="1"/>
  <c r="U85"/>
  <c r="T85"/>
  <c r="S85"/>
  <c r="R85"/>
  <c r="Y83"/>
  <c r="S83"/>
  <c r="T83" s="1"/>
  <c r="U83" s="1"/>
  <c r="R83"/>
  <c r="Y82"/>
  <c r="V82"/>
  <c r="S82"/>
  <c r="R82"/>
  <c r="T82" s="1"/>
  <c r="U82" s="1"/>
  <c r="S81"/>
  <c r="R81"/>
  <c r="T81" s="1"/>
  <c r="U81" s="1"/>
  <c r="Y80"/>
  <c r="Z80" s="1"/>
  <c r="W80"/>
  <c r="V80"/>
  <c r="S80"/>
  <c r="R80"/>
  <c r="T80" s="1"/>
  <c r="U80" s="1"/>
  <c r="V78"/>
  <c r="S78"/>
  <c r="R78"/>
  <c r="U74"/>
  <c r="T74"/>
  <c r="S74"/>
  <c r="V74" s="1"/>
  <c r="R74"/>
  <c r="Y74" s="1"/>
  <c r="T66"/>
  <c r="U66" s="1"/>
  <c r="S66"/>
  <c r="V66" s="1"/>
  <c r="R66"/>
  <c r="Y66" s="1"/>
  <c r="S64"/>
  <c r="R64"/>
  <c r="Y63"/>
  <c r="V63"/>
  <c r="S63"/>
  <c r="R63"/>
  <c r="T63" s="1"/>
  <c r="U63" s="1"/>
  <c r="Y62"/>
  <c r="S62"/>
  <c r="T62" s="1"/>
  <c r="U62" s="1"/>
  <c r="R62"/>
  <c r="U49"/>
  <c r="T49"/>
  <c r="S49"/>
  <c r="R49"/>
  <c r="V49" s="1"/>
  <c r="W49" s="1"/>
  <c r="S48"/>
  <c r="V48" s="1"/>
  <c r="R48"/>
  <c r="Y48" s="1"/>
  <c r="V41"/>
  <c r="W41" s="1"/>
  <c r="Z41" s="1"/>
  <c r="S41"/>
  <c r="T41" s="1"/>
  <c r="U41" s="1"/>
  <c r="R41"/>
  <c r="Y41" s="1"/>
  <c r="S40"/>
  <c r="V40" s="1"/>
  <c r="R40"/>
  <c r="T40" s="1"/>
  <c r="U40" s="1"/>
  <c r="Y35"/>
  <c r="V35"/>
  <c r="W35" s="1"/>
  <c r="Z35" s="1"/>
  <c r="S35"/>
  <c r="T35" s="1"/>
  <c r="U35" s="1"/>
  <c r="R35"/>
  <c r="Y33"/>
  <c r="V33"/>
  <c r="W33" s="1"/>
  <c r="Z33" s="1"/>
  <c r="U33"/>
  <c r="T33"/>
  <c r="S33"/>
  <c r="R33"/>
  <c r="Y28"/>
  <c r="V28"/>
  <c r="W28" s="1"/>
  <c r="Z28" s="1"/>
  <c r="U28"/>
  <c r="T28"/>
  <c r="S28"/>
  <c r="R28"/>
  <c r="Y26"/>
  <c r="Z26" s="1"/>
  <c r="W26"/>
  <c r="V26"/>
  <c r="S26"/>
  <c r="R26"/>
  <c r="T26" s="1"/>
  <c r="U26" s="1"/>
  <c r="S25"/>
  <c r="R25"/>
  <c r="Y25" s="1"/>
  <c r="S24"/>
  <c r="V24" s="1"/>
  <c r="R24"/>
  <c r="Y24" s="1"/>
  <c r="S19"/>
  <c r="V19" s="1"/>
  <c r="R19"/>
  <c r="Y19" s="1"/>
  <c r="Y17"/>
  <c r="V17"/>
  <c r="W17" s="1"/>
  <c r="Z17" s="1"/>
  <c r="U17"/>
  <c r="S17"/>
  <c r="R17"/>
  <c r="T17" s="1"/>
  <c r="Y16"/>
  <c r="V16"/>
  <c r="W16" s="1"/>
  <c r="Z16" s="1"/>
  <c r="T16"/>
  <c r="U16" s="1"/>
  <c r="S16"/>
  <c r="R16"/>
  <c r="Y15"/>
  <c r="T15"/>
  <c r="U15" s="1"/>
  <c r="W15" s="1"/>
  <c r="Z15" s="1"/>
  <c r="S15"/>
  <c r="V15" s="1"/>
  <c r="R15"/>
  <c r="S14"/>
  <c r="V14" s="1"/>
  <c r="R14"/>
  <c r="T14" s="1"/>
  <c r="U14" s="1"/>
  <c r="Y13"/>
  <c r="V13"/>
  <c r="T13"/>
  <c r="U13" s="1"/>
  <c r="S13"/>
  <c r="R13"/>
  <c r="Y12"/>
  <c r="T12"/>
  <c r="U12" s="1"/>
  <c r="S12"/>
  <c r="V12" s="1"/>
  <c r="W12" s="1"/>
  <c r="Z12" s="1"/>
  <c r="R12"/>
  <c r="V11"/>
  <c r="S11"/>
  <c r="R11"/>
  <c r="Y11" s="1"/>
  <c r="Y10"/>
  <c r="V10"/>
  <c r="W10" s="1"/>
  <c r="Z10" s="1"/>
  <c r="T10"/>
  <c r="U10" s="1"/>
  <c r="S10"/>
  <c r="R10"/>
  <c r="Y9"/>
  <c r="W9"/>
  <c r="Z9" s="1"/>
  <c r="V9"/>
  <c r="U9"/>
  <c r="S9"/>
  <c r="R9"/>
  <c r="T9" s="1"/>
  <c r="S8"/>
  <c r="V8" s="1"/>
  <c r="R8"/>
  <c r="Y8" s="1"/>
  <c r="Y7"/>
  <c r="V7"/>
  <c r="W7" s="1"/>
  <c r="Z7" s="1"/>
  <c r="S7"/>
  <c r="T7" s="1"/>
  <c r="U7" s="1"/>
  <c r="R7"/>
  <c r="Y6"/>
  <c r="S6"/>
  <c r="R6"/>
  <c r="T6" s="1"/>
  <c r="U6" s="1"/>
  <c r="S5"/>
  <c r="V5" s="1"/>
  <c r="R5"/>
  <c r="Y5" s="1"/>
  <c r="Y4"/>
  <c r="V4"/>
  <c r="W4" s="1"/>
  <c r="S4"/>
  <c r="T4" s="1"/>
  <c r="U4" s="1"/>
  <c r="R4"/>
  <c r="V212" i="13"/>
  <c r="S212"/>
  <c r="R212"/>
  <c r="T212" s="1"/>
  <c r="U212" s="1"/>
  <c r="W212" s="1"/>
  <c r="S202"/>
  <c r="R202"/>
  <c r="Y202" s="1"/>
  <c r="Y200"/>
  <c r="S200"/>
  <c r="V200" s="1"/>
  <c r="R200"/>
  <c r="V197"/>
  <c r="S197"/>
  <c r="R197"/>
  <c r="T197" s="1"/>
  <c r="U197" s="1"/>
  <c r="W197" s="1"/>
  <c r="Y195"/>
  <c r="T195"/>
  <c r="U195" s="1"/>
  <c r="S195"/>
  <c r="V195" s="1"/>
  <c r="R195"/>
  <c r="S194"/>
  <c r="R194"/>
  <c r="S193"/>
  <c r="R193"/>
  <c r="Y193" s="1"/>
  <c r="Y189"/>
  <c r="V189"/>
  <c r="T189"/>
  <c r="U189" s="1"/>
  <c r="W189" s="1"/>
  <c r="Z189" s="1"/>
  <c r="S189"/>
  <c r="R189"/>
  <c r="V185"/>
  <c r="T185"/>
  <c r="U185" s="1"/>
  <c r="S185"/>
  <c r="R185"/>
  <c r="Y185" s="1"/>
  <c r="Y180"/>
  <c r="T180"/>
  <c r="U180" s="1"/>
  <c r="S180"/>
  <c r="V180" s="1"/>
  <c r="W180" s="1"/>
  <c r="Z180" s="1"/>
  <c r="R180"/>
  <c r="Y178"/>
  <c r="V178"/>
  <c r="T178"/>
  <c r="U178" s="1"/>
  <c r="W178" s="1"/>
  <c r="Z178" s="1"/>
  <c r="S178"/>
  <c r="R178"/>
  <c r="S177"/>
  <c r="R177"/>
  <c r="T177" s="1"/>
  <c r="U177" s="1"/>
  <c r="Y172"/>
  <c r="V172"/>
  <c r="S172"/>
  <c r="T172" s="1"/>
  <c r="U172" s="1"/>
  <c r="R172"/>
  <c r="U171"/>
  <c r="S171"/>
  <c r="R171"/>
  <c r="T171" s="1"/>
  <c r="Y165"/>
  <c r="W165"/>
  <c r="Z165" s="1"/>
  <c r="V165"/>
  <c r="U165"/>
  <c r="T165"/>
  <c r="S165"/>
  <c r="R165"/>
  <c r="V150"/>
  <c r="T150"/>
  <c r="U150" s="1"/>
  <c r="S150"/>
  <c r="R150"/>
  <c r="Y150" s="1"/>
  <c r="S145"/>
  <c r="T145" s="1"/>
  <c r="U145" s="1"/>
  <c r="R145"/>
  <c r="Y145" s="1"/>
  <c r="V137"/>
  <c r="W137" s="1"/>
  <c r="Z137" s="1"/>
  <c r="U137"/>
  <c r="T137"/>
  <c r="S137"/>
  <c r="R137"/>
  <c r="Y137" s="1"/>
  <c r="S130"/>
  <c r="V130" s="1"/>
  <c r="R130"/>
  <c r="Y130" s="1"/>
  <c r="Y129"/>
  <c r="V129"/>
  <c r="T129"/>
  <c r="U129" s="1"/>
  <c r="S129"/>
  <c r="R129"/>
  <c r="S124"/>
  <c r="R124"/>
  <c r="Y120"/>
  <c r="V120"/>
  <c r="U120"/>
  <c r="T120"/>
  <c r="S120"/>
  <c r="R120"/>
  <c r="S118"/>
  <c r="V118" s="1"/>
  <c r="R118"/>
  <c r="Y118" s="1"/>
  <c r="S114"/>
  <c r="V114" s="1"/>
  <c r="R114"/>
  <c r="Y108"/>
  <c r="S108"/>
  <c r="T108" s="1"/>
  <c r="U108" s="1"/>
  <c r="R108"/>
  <c r="Y106"/>
  <c r="V106"/>
  <c r="U106"/>
  <c r="T106"/>
  <c r="S106"/>
  <c r="R106"/>
  <c r="Y104"/>
  <c r="S104"/>
  <c r="R104"/>
  <c r="T104" s="1"/>
  <c r="U104" s="1"/>
  <c r="S99"/>
  <c r="R99"/>
  <c r="S97"/>
  <c r="R97"/>
  <c r="T97" s="1"/>
  <c r="U97" s="1"/>
  <c r="Y96"/>
  <c r="T96"/>
  <c r="U96" s="1"/>
  <c r="S96"/>
  <c r="V96" s="1"/>
  <c r="R96"/>
  <c r="Y90"/>
  <c r="S90"/>
  <c r="V90" s="1"/>
  <c r="R90"/>
  <c r="T90" s="1"/>
  <c r="U90" s="1"/>
  <c r="Y89"/>
  <c r="V89"/>
  <c r="W89" s="1"/>
  <c r="Z89" s="1"/>
  <c r="S89"/>
  <c r="T89" s="1"/>
  <c r="U89" s="1"/>
  <c r="R89"/>
  <c r="Y88"/>
  <c r="V88"/>
  <c r="W88" s="1"/>
  <c r="Z88" s="1"/>
  <c r="S88"/>
  <c r="R88"/>
  <c r="T88" s="1"/>
  <c r="U88" s="1"/>
  <c r="V85"/>
  <c r="S85"/>
  <c r="T85" s="1"/>
  <c r="U85" s="1"/>
  <c r="R85"/>
  <c r="Y85" s="1"/>
  <c r="S83"/>
  <c r="R83"/>
  <c r="Y82"/>
  <c r="S82"/>
  <c r="V82" s="1"/>
  <c r="R82"/>
  <c r="Y81"/>
  <c r="V81"/>
  <c r="W81" s="1"/>
  <c r="Z81" s="1"/>
  <c r="S81"/>
  <c r="T81" s="1"/>
  <c r="U81" s="1"/>
  <c r="R81"/>
  <c r="S80"/>
  <c r="R80"/>
  <c r="Y80" s="1"/>
  <c r="Y78"/>
  <c r="S78"/>
  <c r="T78" s="1"/>
  <c r="U78" s="1"/>
  <c r="R78"/>
  <c r="S74"/>
  <c r="R74"/>
  <c r="Y74" s="1"/>
  <c r="S66"/>
  <c r="V66" s="1"/>
  <c r="R66"/>
  <c r="Y66" s="1"/>
  <c r="S64"/>
  <c r="R64"/>
  <c r="V63"/>
  <c r="S63"/>
  <c r="R63"/>
  <c r="S62"/>
  <c r="T62" s="1"/>
  <c r="U62" s="1"/>
  <c r="R62"/>
  <c r="Y62" s="1"/>
  <c r="S49"/>
  <c r="R49"/>
  <c r="Y48"/>
  <c r="V48"/>
  <c r="U48"/>
  <c r="T48"/>
  <c r="S48"/>
  <c r="R48"/>
  <c r="Y41"/>
  <c r="S41"/>
  <c r="V41" s="1"/>
  <c r="R41"/>
  <c r="S40"/>
  <c r="R40"/>
  <c r="Y40" s="1"/>
  <c r="V35"/>
  <c r="U35"/>
  <c r="T35"/>
  <c r="S35"/>
  <c r="R35"/>
  <c r="Y35" s="1"/>
  <c r="Y33"/>
  <c r="V33"/>
  <c r="T33"/>
  <c r="U33" s="1"/>
  <c r="S33"/>
  <c r="R33"/>
  <c r="Y28"/>
  <c r="V28"/>
  <c r="S28"/>
  <c r="R28"/>
  <c r="T28" s="1"/>
  <c r="U28" s="1"/>
  <c r="W28" s="1"/>
  <c r="Z28" s="1"/>
  <c r="V26"/>
  <c r="W26" s="1"/>
  <c r="Z26" s="1"/>
  <c r="U26"/>
  <c r="T26"/>
  <c r="S26"/>
  <c r="R26"/>
  <c r="Y26" s="1"/>
  <c r="S25"/>
  <c r="V25" s="1"/>
  <c r="R25"/>
  <c r="Y25" s="1"/>
  <c r="Y24"/>
  <c r="U24"/>
  <c r="T24"/>
  <c r="S24"/>
  <c r="V24" s="1"/>
  <c r="R24"/>
  <c r="V19"/>
  <c r="T19"/>
  <c r="U19" s="1"/>
  <c r="S19"/>
  <c r="R19"/>
  <c r="Y19" s="1"/>
  <c r="S17"/>
  <c r="V17" s="1"/>
  <c r="R17"/>
  <c r="Y17" s="1"/>
  <c r="S16"/>
  <c r="R16"/>
  <c r="Y15"/>
  <c r="Z15" s="1"/>
  <c r="V15"/>
  <c r="W15" s="1"/>
  <c r="U15"/>
  <c r="T15"/>
  <c r="S15"/>
  <c r="R15"/>
  <c r="S14"/>
  <c r="R14"/>
  <c r="Y14" s="1"/>
  <c r="Y13"/>
  <c r="S13"/>
  <c r="T13" s="1"/>
  <c r="U13" s="1"/>
  <c r="R13"/>
  <c r="Y12"/>
  <c r="V12"/>
  <c r="S12"/>
  <c r="R12"/>
  <c r="Y11"/>
  <c r="T11"/>
  <c r="U11" s="1"/>
  <c r="S11"/>
  <c r="V11" s="1"/>
  <c r="W11" s="1"/>
  <c r="Z11" s="1"/>
  <c r="R11"/>
  <c r="S10"/>
  <c r="V10" s="1"/>
  <c r="R10"/>
  <c r="T10" s="1"/>
  <c r="U10" s="1"/>
  <c r="U9"/>
  <c r="W9" s="1"/>
  <c r="Z9" s="1"/>
  <c r="T9"/>
  <c r="S9"/>
  <c r="V9" s="1"/>
  <c r="R9"/>
  <c r="Y9" s="1"/>
  <c r="Y8"/>
  <c r="V8"/>
  <c r="T8"/>
  <c r="U8" s="1"/>
  <c r="W8" s="1"/>
  <c r="Z8" s="1"/>
  <c r="S8"/>
  <c r="R8"/>
  <c r="Y7"/>
  <c r="T7"/>
  <c r="U7" s="1"/>
  <c r="S7"/>
  <c r="R7"/>
  <c r="V7" s="1"/>
  <c r="W7" s="1"/>
  <c r="Z7" s="1"/>
  <c r="Y6"/>
  <c r="V6"/>
  <c r="W6" s="1"/>
  <c r="Z6" s="1"/>
  <c r="U6"/>
  <c r="T6"/>
  <c r="S6"/>
  <c r="R6"/>
  <c r="Y5"/>
  <c r="V5"/>
  <c r="U5"/>
  <c r="W5" s="1"/>
  <c r="Z5" s="1"/>
  <c r="T5"/>
  <c r="S5"/>
  <c r="R5"/>
  <c r="Y4"/>
  <c r="S4"/>
  <c r="V4" s="1"/>
  <c r="R4"/>
  <c r="U212" i="12"/>
  <c r="T212"/>
  <c r="S212"/>
  <c r="V212" s="1"/>
  <c r="W212" s="1"/>
  <c r="Z212" s="1"/>
  <c r="R212"/>
  <c r="Y212" s="1"/>
  <c r="Y202"/>
  <c r="V202"/>
  <c r="T202"/>
  <c r="U202" s="1"/>
  <c r="S202"/>
  <c r="R202"/>
  <c r="S200"/>
  <c r="V200" s="1"/>
  <c r="R200"/>
  <c r="Y200" s="1"/>
  <c r="Y197"/>
  <c r="S197"/>
  <c r="R197"/>
  <c r="T195"/>
  <c r="U195" s="1"/>
  <c r="S195"/>
  <c r="R195"/>
  <c r="Y195" s="1"/>
  <c r="Y194"/>
  <c r="W194"/>
  <c r="Z194" s="1"/>
  <c r="V194"/>
  <c r="S194"/>
  <c r="R194"/>
  <c r="T194" s="1"/>
  <c r="U194" s="1"/>
  <c r="Y193"/>
  <c r="V193"/>
  <c r="S193"/>
  <c r="R193"/>
  <c r="Y189"/>
  <c r="V189"/>
  <c r="W189" s="1"/>
  <c r="Z189" s="1"/>
  <c r="U189"/>
  <c r="T189"/>
  <c r="S189"/>
  <c r="R189"/>
  <c r="Y185"/>
  <c r="V185"/>
  <c r="T185"/>
  <c r="U185" s="1"/>
  <c r="S185"/>
  <c r="R185"/>
  <c r="Y180"/>
  <c r="S180"/>
  <c r="R180"/>
  <c r="T180" s="1"/>
  <c r="U180" s="1"/>
  <c r="S178"/>
  <c r="V178" s="1"/>
  <c r="R178"/>
  <c r="Y177"/>
  <c r="V177"/>
  <c r="S177"/>
  <c r="T177" s="1"/>
  <c r="U177" s="1"/>
  <c r="W177" s="1"/>
  <c r="Z177" s="1"/>
  <c r="R177"/>
  <c r="T172"/>
  <c r="U172" s="1"/>
  <c r="W172" s="1"/>
  <c r="Z172" s="1"/>
  <c r="S172"/>
  <c r="V172" s="1"/>
  <c r="R172"/>
  <c r="Y172" s="1"/>
  <c r="S171"/>
  <c r="R171"/>
  <c r="Y165"/>
  <c r="V165"/>
  <c r="W165" s="1"/>
  <c r="Z165" s="1"/>
  <c r="S165"/>
  <c r="R165"/>
  <c r="T165" s="1"/>
  <c r="U165" s="1"/>
  <c r="Y150"/>
  <c r="V150"/>
  <c r="W150" s="1"/>
  <c r="Z150" s="1"/>
  <c r="U150"/>
  <c r="T150"/>
  <c r="S150"/>
  <c r="R150"/>
  <c r="S145"/>
  <c r="R145"/>
  <c r="Z137"/>
  <c r="Y137"/>
  <c r="V137"/>
  <c r="W137" s="1"/>
  <c r="U137"/>
  <c r="T137"/>
  <c r="S137"/>
  <c r="R137"/>
  <c r="V130"/>
  <c r="T130"/>
  <c r="U130" s="1"/>
  <c r="W130" s="1"/>
  <c r="Z130" s="1"/>
  <c r="S130"/>
  <c r="R130"/>
  <c r="Y130" s="1"/>
  <c r="V129"/>
  <c r="S129"/>
  <c r="R129"/>
  <c r="Y129" s="1"/>
  <c r="Y124"/>
  <c r="V124"/>
  <c r="W124" s="1"/>
  <c r="Z124" s="1"/>
  <c r="U124"/>
  <c r="S124"/>
  <c r="R124"/>
  <c r="T124" s="1"/>
  <c r="S120"/>
  <c r="R120"/>
  <c r="T120" s="1"/>
  <c r="U120" s="1"/>
  <c r="Y118"/>
  <c r="V118"/>
  <c r="S118"/>
  <c r="R118"/>
  <c r="Y114"/>
  <c r="S114"/>
  <c r="T114" s="1"/>
  <c r="U114" s="1"/>
  <c r="R114"/>
  <c r="S108"/>
  <c r="R108"/>
  <c r="T108" s="1"/>
  <c r="U108" s="1"/>
  <c r="S106"/>
  <c r="V106" s="1"/>
  <c r="W106" s="1"/>
  <c r="R106"/>
  <c r="T106" s="1"/>
  <c r="U106" s="1"/>
  <c r="V104"/>
  <c r="S104"/>
  <c r="R104"/>
  <c r="U99"/>
  <c r="S99"/>
  <c r="R99"/>
  <c r="T99" s="1"/>
  <c r="V97"/>
  <c r="W97" s="1"/>
  <c r="S97"/>
  <c r="R97"/>
  <c r="T97" s="1"/>
  <c r="U97" s="1"/>
  <c r="Y96"/>
  <c r="S96"/>
  <c r="T96" s="1"/>
  <c r="U96" s="1"/>
  <c r="R96"/>
  <c r="Y90"/>
  <c r="V90"/>
  <c r="W90" s="1"/>
  <c r="Z90" s="1"/>
  <c r="U90"/>
  <c r="T90"/>
  <c r="S90"/>
  <c r="R90"/>
  <c r="S89"/>
  <c r="R89"/>
  <c r="Y89" s="1"/>
  <c r="V88"/>
  <c r="S88"/>
  <c r="R88"/>
  <c r="Y88" s="1"/>
  <c r="S85"/>
  <c r="R85"/>
  <c r="Y83"/>
  <c r="V83"/>
  <c r="W83" s="1"/>
  <c r="Z83" s="1"/>
  <c r="U83"/>
  <c r="T83"/>
  <c r="S83"/>
  <c r="R83"/>
  <c r="Y82"/>
  <c r="V82"/>
  <c r="W82" s="1"/>
  <c r="Z82" s="1"/>
  <c r="T82"/>
  <c r="U82" s="1"/>
  <c r="S82"/>
  <c r="R82"/>
  <c r="Y81"/>
  <c r="V81"/>
  <c r="W81" s="1"/>
  <c r="T81"/>
  <c r="U81" s="1"/>
  <c r="S81"/>
  <c r="R81"/>
  <c r="S80"/>
  <c r="R80"/>
  <c r="Y78"/>
  <c r="S78"/>
  <c r="V78" s="1"/>
  <c r="R78"/>
  <c r="Y74"/>
  <c r="S74"/>
  <c r="V74" s="1"/>
  <c r="R74"/>
  <c r="Y66"/>
  <c r="V66"/>
  <c r="S66"/>
  <c r="R66"/>
  <c r="T66" s="1"/>
  <c r="U66" s="1"/>
  <c r="W66" s="1"/>
  <c r="Z66" s="1"/>
  <c r="Z64"/>
  <c r="Y64"/>
  <c r="V64"/>
  <c r="T64"/>
  <c r="U64" s="1"/>
  <c r="W64" s="1"/>
  <c r="S64"/>
  <c r="R64"/>
  <c r="V63"/>
  <c r="W63" s="1"/>
  <c r="Z63" s="1"/>
  <c r="U63"/>
  <c r="T63"/>
  <c r="S63"/>
  <c r="R63"/>
  <c r="Y63" s="1"/>
  <c r="T62"/>
  <c r="U62" s="1"/>
  <c r="S62"/>
  <c r="R62"/>
  <c r="Y62" s="1"/>
  <c r="Y49"/>
  <c r="S49"/>
  <c r="V49" s="1"/>
  <c r="R49"/>
  <c r="T49" s="1"/>
  <c r="U49" s="1"/>
  <c r="Y48"/>
  <c r="V48"/>
  <c r="W48" s="1"/>
  <c r="Z48" s="1"/>
  <c r="S48"/>
  <c r="R48"/>
  <c r="T48" s="1"/>
  <c r="U48" s="1"/>
  <c r="S41"/>
  <c r="R41"/>
  <c r="Y41" s="1"/>
  <c r="Y40"/>
  <c r="S40"/>
  <c r="V40" s="1"/>
  <c r="R40"/>
  <c r="T40" s="1"/>
  <c r="U40" s="1"/>
  <c r="S35"/>
  <c r="R35"/>
  <c r="Y35" s="1"/>
  <c r="V33"/>
  <c r="S33"/>
  <c r="R33"/>
  <c r="Y33" s="1"/>
  <c r="S28"/>
  <c r="V28" s="1"/>
  <c r="R28"/>
  <c r="Y28" s="1"/>
  <c r="V26"/>
  <c r="S26"/>
  <c r="R26"/>
  <c r="Y26" s="1"/>
  <c r="S25"/>
  <c r="V25" s="1"/>
  <c r="R25"/>
  <c r="T25" s="1"/>
  <c r="U25" s="1"/>
  <c r="W25" s="1"/>
  <c r="Y24"/>
  <c r="S24"/>
  <c r="V24" s="1"/>
  <c r="R24"/>
  <c r="Y21"/>
  <c r="T21"/>
  <c r="U21" s="1"/>
  <c r="S21"/>
  <c r="R21"/>
  <c r="V21" s="1"/>
  <c r="Y19"/>
  <c r="S19"/>
  <c r="R19"/>
  <c r="T19" s="1"/>
  <c r="U19" s="1"/>
  <c r="Y17"/>
  <c r="S17"/>
  <c r="T17" s="1"/>
  <c r="U17" s="1"/>
  <c r="R17"/>
  <c r="Y16"/>
  <c r="V16"/>
  <c r="T16"/>
  <c r="U16" s="1"/>
  <c r="S16"/>
  <c r="R16"/>
  <c r="S15"/>
  <c r="R15"/>
  <c r="S14"/>
  <c r="R14"/>
  <c r="T14" s="1"/>
  <c r="U14" s="1"/>
  <c r="Y13"/>
  <c r="U13"/>
  <c r="S13"/>
  <c r="R13"/>
  <c r="T13" s="1"/>
  <c r="S12"/>
  <c r="R12"/>
  <c r="T12" s="1"/>
  <c r="U12" s="1"/>
  <c r="Y11"/>
  <c r="S11"/>
  <c r="R11"/>
  <c r="S10"/>
  <c r="V10" s="1"/>
  <c r="R10"/>
  <c r="S9"/>
  <c r="R9"/>
  <c r="T8"/>
  <c r="U8" s="1"/>
  <c r="S8"/>
  <c r="R8"/>
  <c r="V8" s="1"/>
  <c r="Y7"/>
  <c r="S7"/>
  <c r="R7"/>
  <c r="T7" s="1"/>
  <c r="U7" s="1"/>
  <c r="S6"/>
  <c r="R6"/>
  <c r="S5"/>
  <c r="R5"/>
  <c r="Y4"/>
  <c r="V4"/>
  <c r="T4"/>
  <c r="U4" s="1"/>
  <c r="S4"/>
  <c r="R4"/>
  <c r="Y212" i="11"/>
  <c r="S212"/>
  <c r="V212" s="1"/>
  <c r="R212"/>
  <c r="Y202"/>
  <c r="S202"/>
  <c r="R202"/>
  <c r="T202" s="1"/>
  <c r="U202" s="1"/>
  <c r="S200"/>
  <c r="R200"/>
  <c r="S197"/>
  <c r="R197"/>
  <c r="T197" s="1"/>
  <c r="U197" s="1"/>
  <c r="Y195"/>
  <c r="S195"/>
  <c r="V195" s="1"/>
  <c r="R195"/>
  <c r="Y194"/>
  <c r="S194"/>
  <c r="R194"/>
  <c r="V193"/>
  <c r="T193"/>
  <c r="U193" s="1"/>
  <c r="W193" s="1"/>
  <c r="Z193" s="1"/>
  <c r="S193"/>
  <c r="R193"/>
  <c r="Y193" s="1"/>
  <c r="Y189"/>
  <c r="S189"/>
  <c r="R189"/>
  <c r="T185"/>
  <c r="U185" s="1"/>
  <c r="S185"/>
  <c r="V185" s="1"/>
  <c r="R185"/>
  <c r="Y185" s="1"/>
  <c r="S180"/>
  <c r="R180"/>
  <c r="Y180" s="1"/>
  <c r="Y178"/>
  <c r="S178"/>
  <c r="V178" s="1"/>
  <c r="R178"/>
  <c r="Y177"/>
  <c r="T177"/>
  <c r="U177" s="1"/>
  <c r="S177"/>
  <c r="V177" s="1"/>
  <c r="W177" s="1"/>
  <c r="Z177" s="1"/>
  <c r="R177"/>
  <c r="Y172"/>
  <c r="W172"/>
  <c r="Z172" s="1"/>
  <c r="V172"/>
  <c r="U172"/>
  <c r="T172"/>
  <c r="S172"/>
  <c r="R172"/>
  <c r="S171"/>
  <c r="V171" s="1"/>
  <c r="R171"/>
  <c r="Y165"/>
  <c r="V165"/>
  <c r="T165"/>
  <c r="U165" s="1"/>
  <c r="S165"/>
  <c r="R165"/>
  <c r="S150"/>
  <c r="V150" s="1"/>
  <c r="R150"/>
  <c r="Y145"/>
  <c r="S145"/>
  <c r="V145" s="1"/>
  <c r="R145"/>
  <c r="Y142"/>
  <c r="S142"/>
  <c r="R142"/>
  <c r="S137"/>
  <c r="T137" s="1"/>
  <c r="U137" s="1"/>
  <c r="R137"/>
  <c r="Y137" s="1"/>
  <c r="Y130"/>
  <c r="S130"/>
  <c r="V130" s="1"/>
  <c r="R130"/>
  <c r="Y129"/>
  <c r="S129"/>
  <c r="R129"/>
  <c r="V124"/>
  <c r="W124" s="1"/>
  <c r="Z124" s="1"/>
  <c r="T124"/>
  <c r="U124" s="1"/>
  <c r="S124"/>
  <c r="R124"/>
  <c r="Y124" s="1"/>
  <c r="T120"/>
  <c r="U120" s="1"/>
  <c r="S120"/>
  <c r="R120"/>
  <c r="Y120" s="1"/>
  <c r="V118"/>
  <c r="S118"/>
  <c r="R118"/>
  <c r="Y114"/>
  <c r="S114"/>
  <c r="V114" s="1"/>
  <c r="R114"/>
  <c r="T108"/>
  <c r="U108" s="1"/>
  <c r="S108"/>
  <c r="R108"/>
  <c r="Y108" s="1"/>
  <c r="S106"/>
  <c r="V106" s="1"/>
  <c r="R106"/>
  <c r="Y106" s="1"/>
  <c r="S104"/>
  <c r="V104" s="1"/>
  <c r="R104"/>
  <c r="Y99"/>
  <c r="W99"/>
  <c r="Z99" s="1"/>
  <c r="V99"/>
  <c r="U99"/>
  <c r="S99"/>
  <c r="T99" s="1"/>
  <c r="R99"/>
  <c r="Y97"/>
  <c r="S97"/>
  <c r="R97"/>
  <c r="V96"/>
  <c r="S96"/>
  <c r="R96"/>
  <c r="Y96" s="1"/>
  <c r="S90"/>
  <c r="R90"/>
  <c r="Y89"/>
  <c r="V89"/>
  <c r="W89" s="1"/>
  <c r="S89"/>
  <c r="R89"/>
  <c r="T89" s="1"/>
  <c r="U89" s="1"/>
  <c r="Y88"/>
  <c r="V88"/>
  <c r="W88" s="1"/>
  <c r="Z88" s="1"/>
  <c r="T88"/>
  <c r="U88" s="1"/>
  <c r="S88"/>
  <c r="R88"/>
  <c r="Y85"/>
  <c r="V85"/>
  <c r="W85" s="1"/>
  <c r="Z85" s="1"/>
  <c r="T85"/>
  <c r="U85" s="1"/>
  <c r="S85"/>
  <c r="R85"/>
  <c r="Y83"/>
  <c r="U83"/>
  <c r="W83" s="1"/>
  <c r="Z83" s="1"/>
  <c r="T83"/>
  <c r="S83"/>
  <c r="V83" s="1"/>
  <c r="R83"/>
  <c r="T82"/>
  <c r="U82" s="1"/>
  <c r="S82"/>
  <c r="V82" s="1"/>
  <c r="R82"/>
  <c r="Y82" s="1"/>
  <c r="Y81"/>
  <c r="V81"/>
  <c r="T81"/>
  <c r="U81" s="1"/>
  <c r="S81"/>
  <c r="R81"/>
  <c r="Y80"/>
  <c r="T80"/>
  <c r="U80" s="1"/>
  <c r="S80"/>
  <c r="R80"/>
  <c r="Y78"/>
  <c r="V78"/>
  <c r="T78"/>
  <c r="U78" s="1"/>
  <c r="W78" s="1"/>
  <c r="Z78" s="1"/>
  <c r="S78"/>
  <c r="R78"/>
  <c r="Y74"/>
  <c r="V74"/>
  <c r="W74" s="1"/>
  <c r="Z74" s="1"/>
  <c r="U74"/>
  <c r="T74"/>
  <c r="S74"/>
  <c r="R74"/>
  <c r="Z66"/>
  <c r="Y66"/>
  <c r="V66"/>
  <c r="W66" s="1"/>
  <c r="U66"/>
  <c r="T66"/>
  <c r="S66"/>
  <c r="R66"/>
  <c r="Y64"/>
  <c r="S64"/>
  <c r="R64"/>
  <c r="S63"/>
  <c r="R63"/>
  <c r="Y63" s="1"/>
  <c r="V62"/>
  <c r="S62"/>
  <c r="R62"/>
  <c r="Y62" s="1"/>
  <c r="Y49"/>
  <c r="T49"/>
  <c r="U49" s="1"/>
  <c r="S49"/>
  <c r="V49" s="1"/>
  <c r="R49"/>
  <c r="Z48"/>
  <c r="Y48"/>
  <c r="W48"/>
  <c r="V48"/>
  <c r="S48"/>
  <c r="R48"/>
  <c r="T48" s="1"/>
  <c r="U48" s="1"/>
  <c r="Y41"/>
  <c r="U41"/>
  <c r="W41" s="1"/>
  <c r="Z41" s="1"/>
  <c r="T41"/>
  <c r="S41"/>
  <c r="V41" s="1"/>
  <c r="R41"/>
  <c r="Y40"/>
  <c r="S40"/>
  <c r="V40" s="1"/>
  <c r="R40"/>
  <c r="T40" s="1"/>
  <c r="U40" s="1"/>
  <c r="Z35"/>
  <c r="Y35"/>
  <c r="W35"/>
  <c r="V35"/>
  <c r="S35"/>
  <c r="R35"/>
  <c r="T35" s="1"/>
  <c r="U35" s="1"/>
  <c r="Y33"/>
  <c r="V33"/>
  <c r="W33" s="1"/>
  <c r="S33"/>
  <c r="R33"/>
  <c r="T33" s="1"/>
  <c r="U33" s="1"/>
  <c r="V28"/>
  <c r="T28"/>
  <c r="U28" s="1"/>
  <c r="W28" s="1"/>
  <c r="Z28" s="1"/>
  <c r="S28"/>
  <c r="R28"/>
  <c r="Y28" s="1"/>
  <c r="S26"/>
  <c r="R26"/>
  <c r="Y25"/>
  <c r="W25"/>
  <c r="Z25" s="1"/>
  <c r="V25"/>
  <c r="S25"/>
  <c r="R25"/>
  <c r="T25" s="1"/>
  <c r="U25" s="1"/>
  <c r="Y24"/>
  <c r="V24"/>
  <c r="T24"/>
  <c r="U24" s="1"/>
  <c r="W24" s="1"/>
  <c r="Z24" s="1"/>
  <c r="S24"/>
  <c r="R24"/>
  <c r="Y21"/>
  <c r="S21"/>
  <c r="T21" s="1"/>
  <c r="U21" s="1"/>
  <c r="R21"/>
  <c r="Y19"/>
  <c r="V19"/>
  <c r="W19" s="1"/>
  <c r="Z19" s="1"/>
  <c r="U19"/>
  <c r="S19"/>
  <c r="T19" s="1"/>
  <c r="R19"/>
  <c r="S17"/>
  <c r="R17"/>
  <c r="S16"/>
  <c r="V16" s="1"/>
  <c r="R16"/>
  <c r="Y16" s="1"/>
  <c r="Y15"/>
  <c r="T15"/>
  <c r="U15" s="1"/>
  <c r="S15"/>
  <c r="R15"/>
  <c r="Y14"/>
  <c r="S14"/>
  <c r="T14" s="1"/>
  <c r="U14" s="1"/>
  <c r="R14"/>
  <c r="V13"/>
  <c r="W13" s="1"/>
  <c r="Z13" s="1"/>
  <c r="T13"/>
  <c r="U13" s="1"/>
  <c r="S13"/>
  <c r="R13"/>
  <c r="Y13" s="1"/>
  <c r="Y12"/>
  <c r="T12"/>
  <c r="U12" s="1"/>
  <c r="S12"/>
  <c r="R12"/>
  <c r="Y11"/>
  <c r="W11"/>
  <c r="Z11" s="1"/>
  <c r="V11"/>
  <c r="S11"/>
  <c r="R11"/>
  <c r="T11" s="1"/>
  <c r="U11" s="1"/>
  <c r="Y10"/>
  <c r="S10"/>
  <c r="V10" s="1"/>
  <c r="R10"/>
  <c r="U9"/>
  <c r="T9"/>
  <c r="S9"/>
  <c r="V9" s="1"/>
  <c r="R9"/>
  <c r="Y9" s="1"/>
  <c r="S8"/>
  <c r="R8"/>
  <c r="S7"/>
  <c r="R7"/>
  <c r="T7" s="1"/>
  <c r="U7" s="1"/>
  <c r="V6"/>
  <c r="W6" s="1"/>
  <c r="Z6" s="1"/>
  <c r="T6"/>
  <c r="U6" s="1"/>
  <c r="S6"/>
  <c r="R6"/>
  <c r="Y6" s="1"/>
  <c r="V5"/>
  <c r="S5"/>
  <c r="R5"/>
  <c r="Y5" s="1"/>
  <c r="Y4"/>
  <c r="U4"/>
  <c r="S4"/>
  <c r="R4"/>
  <c r="T4" s="1"/>
  <c r="S212" i="10"/>
  <c r="R212"/>
  <c r="Z202"/>
  <c r="Y202"/>
  <c r="V202"/>
  <c r="U202"/>
  <c r="W202" s="1"/>
  <c r="T202"/>
  <c r="S202"/>
  <c r="R202"/>
  <c r="S200"/>
  <c r="R200"/>
  <c r="S198"/>
  <c r="V198" s="1"/>
  <c r="R198"/>
  <c r="S197"/>
  <c r="R197"/>
  <c r="S195"/>
  <c r="R195"/>
  <c r="Y195" s="1"/>
  <c r="Y194"/>
  <c r="S194"/>
  <c r="R194"/>
  <c r="S193"/>
  <c r="V193" s="1"/>
  <c r="R193"/>
  <c r="Y193" s="1"/>
  <c r="Y189"/>
  <c r="T189"/>
  <c r="U189" s="1"/>
  <c r="S189"/>
  <c r="V189" s="1"/>
  <c r="R189"/>
  <c r="Y185"/>
  <c r="S185"/>
  <c r="R185"/>
  <c r="S180"/>
  <c r="R180"/>
  <c r="Y180" s="1"/>
  <c r="S178"/>
  <c r="V178" s="1"/>
  <c r="R178"/>
  <c r="Y177"/>
  <c r="W177"/>
  <c r="Z177" s="1"/>
  <c r="S177"/>
  <c r="V177" s="1"/>
  <c r="R177"/>
  <c r="T177" s="1"/>
  <c r="U177" s="1"/>
  <c r="S172"/>
  <c r="R172"/>
  <c r="Y172" s="1"/>
  <c r="S171"/>
  <c r="R171"/>
  <c r="Y165"/>
  <c r="W165"/>
  <c r="Z165" s="1"/>
  <c r="V165"/>
  <c r="T165"/>
  <c r="U165" s="1"/>
  <c r="S165"/>
  <c r="R165"/>
  <c r="Y150"/>
  <c r="S150"/>
  <c r="R150"/>
  <c r="S145"/>
  <c r="V145" s="1"/>
  <c r="R145"/>
  <c r="Y145" s="1"/>
  <c r="Y142"/>
  <c r="V142"/>
  <c r="T142"/>
  <c r="U142" s="1"/>
  <c r="S142"/>
  <c r="R142"/>
  <c r="S137"/>
  <c r="V137" s="1"/>
  <c r="R137"/>
  <c r="Y137" s="1"/>
  <c r="Z130"/>
  <c r="Y130"/>
  <c r="W130"/>
  <c r="V130"/>
  <c r="S130"/>
  <c r="R130"/>
  <c r="T130" s="1"/>
  <c r="U130" s="1"/>
  <c r="Y129"/>
  <c r="V129"/>
  <c r="W129" s="1"/>
  <c r="Z129" s="1"/>
  <c r="T129"/>
  <c r="U129" s="1"/>
  <c r="S129"/>
  <c r="R129"/>
  <c r="T124"/>
  <c r="U124" s="1"/>
  <c r="S124"/>
  <c r="R124"/>
  <c r="Y124" s="1"/>
  <c r="U120"/>
  <c r="T120"/>
  <c r="S120"/>
  <c r="R120"/>
  <c r="Y120" s="1"/>
  <c r="S118"/>
  <c r="V118" s="1"/>
  <c r="R118"/>
  <c r="Y118" s="1"/>
  <c r="Y114"/>
  <c r="S114"/>
  <c r="V114" s="1"/>
  <c r="R114"/>
  <c r="Y108"/>
  <c r="V108"/>
  <c r="W108" s="1"/>
  <c r="S108"/>
  <c r="R108"/>
  <c r="T108" s="1"/>
  <c r="U108" s="1"/>
  <c r="S106"/>
  <c r="R106"/>
  <c r="Y104"/>
  <c r="S104"/>
  <c r="V104" s="1"/>
  <c r="R104"/>
  <c r="S99"/>
  <c r="V99" s="1"/>
  <c r="R99"/>
  <c r="Y97"/>
  <c r="V97"/>
  <c r="W97" s="1"/>
  <c r="Z97" s="1"/>
  <c r="U97"/>
  <c r="T97"/>
  <c r="S97"/>
  <c r="R97"/>
  <c r="V96"/>
  <c r="T96"/>
  <c r="U96" s="1"/>
  <c r="S96"/>
  <c r="R96"/>
  <c r="Y96" s="1"/>
  <c r="V90"/>
  <c r="T90"/>
  <c r="U90" s="1"/>
  <c r="S90"/>
  <c r="R90"/>
  <c r="Y90" s="1"/>
  <c r="V89"/>
  <c r="S89"/>
  <c r="R89"/>
  <c r="T88"/>
  <c r="U88" s="1"/>
  <c r="W88" s="1"/>
  <c r="Z88" s="1"/>
  <c r="S88"/>
  <c r="V88" s="1"/>
  <c r="R88"/>
  <c r="Y88" s="1"/>
  <c r="W85"/>
  <c r="Z85" s="1"/>
  <c r="V85"/>
  <c r="U85"/>
  <c r="T85"/>
  <c r="S85"/>
  <c r="R85"/>
  <c r="Y85" s="1"/>
  <c r="Y83"/>
  <c r="T83"/>
  <c r="U83" s="1"/>
  <c r="S83"/>
  <c r="V83" s="1"/>
  <c r="R83"/>
  <c r="S82"/>
  <c r="V82" s="1"/>
  <c r="R82"/>
  <c r="Y81"/>
  <c r="W81"/>
  <c r="Z81" s="1"/>
  <c r="V81"/>
  <c r="S81"/>
  <c r="R81"/>
  <c r="T81" s="1"/>
  <c r="U81" s="1"/>
  <c r="Y80"/>
  <c r="U80"/>
  <c r="T80"/>
  <c r="S80"/>
  <c r="R80"/>
  <c r="S78"/>
  <c r="R78"/>
  <c r="Y74"/>
  <c r="S74"/>
  <c r="V74" s="1"/>
  <c r="R74"/>
  <c r="T74" s="1"/>
  <c r="U74" s="1"/>
  <c r="T66"/>
  <c r="U66" s="1"/>
  <c r="S66"/>
  <c r="R66"/>
  <c r="Y66" s="1"/>
  <c r="V64"/>
  <c r="S64"/>
  <c r="R64"/>
  <c r="U63"/>
  <c r="W63" s="1"/>
  <c r="Z63" s="1"/>
  <c r="T63"/>
  <c r="S63"/>
  <c r="V63" s="1"/>
  <c r="R63"/>
  <c r="Y63" s="1"/>
  <c r="S62"/>
  <c r="R62"/>
  <c r="T62" s="1"/>
  <c r="U62" s="1"/>
  <c r="Y49"/>
  <c r="U49"/>
  <c r="S49"/>
  <c r="T49" s="1"/>
  <c r="R49"/>
  <c r="Y48"/>
  <c r="S48"/>
  <c r="T48" s="1"/>
  <c r="U48" s="1"/>
  <c r="R48"/>
  <c r="V41"/>
  <c r="W41" s="1"/>
  <c r="Z41" s="1"/>
  <c r="T41"/>
  <c r="U41" s="1"/>
  <c r="S41"/>
  <c r="R41"/>
  <c r="Y41" s="1"/>
  <c r="T40"/>
  <c r="U40" s="1"/>
  <c r="W40" s="1"/>
  <c r="Z40" s="1"/>
  <c r="S40"/>
  <c r="V40" s="1"/>
  <c r="R40"/>
  <c r="Y40" s="1"/>
  <c r="Y35"/>
  <c r="S35"/>
  <c r="R35"/>
  <c r="S33"/>
  <c r="V33" s="1"/>
  <c r="R33"/>
  <c r="Y28"/>
  <c r="U28"/>
  <c r="S28"/>
  <c r="V28" s="1"/>
  <c r="R28"/>
  <c r="T28" s="1"/>
  <c r="S26"/>
  <c r="R26"/>
  <c r="Y25"/>
  <c r="S25"/>
  <c r="T25" s="1"/>
  <c r="U25" s="1"/>
  <c r="R25"/>
  <c r="Y24"/>
  <c r="S24"/>
  <c r="V24" s="1"/>
  <c r="R24"/>
  <c r="Y21"/>
  <c r="S21"/>
  <c r="T21" s="1"/>
  <c r="U21" s="1"/>
  <c r="R21"/>
  <c r="S19"/>
  <c r="V19" s="1"/>
  <c r="R19"/>
  <c r="Y19" s="1"/>
  <c r="S17"/>
  <c r="T17" s="1"/>
  <c r="U17" s="1"/>
  <c r="R17"/>
  <c r="Y17" s="1"/>
  <c r="Y16"/>
  <c r="S16"/>
  <c r="V16" s="1"/>
  <c r="R16"/>
  <c r="S15"/>
  <c r="R15"/>
  <c r="V14"/>
  <c r="T14"/>
  <c r="U14" s="1"/>
  <c r="S14"/>
  <c r="R14"/>
  <c r="Y14" s="1"/>
  <c r="S13"/>
  <c r="V13" s="1"/>
  <c r="R13"/>
  <c r="Y13" s="1"/>
  <c r="U12"/>
  <c r="S12"/>
  <c r="R12"/>
  <c r="T12" s="1"/>
  <c r="Y11"/>
  <c r="S11"/>
  <c r="R11"/>
  <c r="Y10"/>
  <c r="U10"/>
  <c r="T10"/>
  <c r="S10"/>
  <c r="V10" s="1"/>
  <c r="W10" s="1"/>
  <c r="Z10" s="1"/>
  <c r="R10"/>
  <c r="Y9"/>
  <c r="S9"/>
  <c r="T9" s="1"/>
  <c r="U9" s="1"/>
  <c r="R9"/>
  <c r="Y8"/>
  <c r="S8"/>
  <c r="R8"/>
  <c r="T8" s="1"/>
  <c r="U8" s="1"/>
  <c r="S7"/>
  <c r="V7" s="1"/>
  <c r="R7"/>
  <c r="S6"/>
  <c r="V6" s="1"/>
  <c r="R6"/>
  <c r="T6" s="1"/>
  <c r="U6" s="1"/>
  <c r="V5"/>
  <c r="U5"/>
  <c r="T5"/>
  <c r="S5"/>
  <c r="R5"/>
  <c r="Y5" s="1"/>
  <c r="Y4"/>
  <c r="S4"/>
  <c r="T4" s="1"/>
  <c r="U4" s="1"/>
  <c r="R4"/>
  <c r="Y212" i="9"/>
  <c r="W212"/>
  <c r="Z212" s="1"/>
  <c r="V212"/>
  <c r="S212"/>
  <c r="R212"/>
  <c r="T212" s="1"/>
  <c r="U212" s="1"/>
  <c r="Y202"/>
  <c r="T202"/>
  <c r="U202" s="1"/>
  <c r="S202"/>
  <c r="V202" s="1"/>
  <c r="R202"/>
  <c r="Y200"/>
  <c r="V200"/>
  <c r="S200"/>
  <c r="R200"/>
  <c r="T200" s="1"/>
  <c r="U200" s="1"/>
  <c r="W200" s="1"/>
  <c r="Z200" s="1"/>
  <c r="T198"/>
  <c r="U198" s="1"/>
  <c r="S198"/>
  <c r="R198"/>
  <c r="Y198" s="1"/>
  <c r="Y197"/>
  <c r="W197"/>
  <c r="Z197" s="1"/>
  <c r="V197"/>
  <c r="T197"/>
  <c r="U197" s="1"/>
  <c r="S197"/>
  <c r="R197"/>
  <c r="Y195"/>
  <c r="W195"/>
  <c r="V195"/>
  <c r="T195"/>
  <c r="U195" s="1"/>
  <c r="S195"/>
  <c r="R195"/>
  <c r="Y194"/>
  <c r="S194"/>
  <c r="R194"/>
  <c r="T194" s="1"/>
  <c r="U194" s="1"/>
  <c r="T193"/>
  <c r="U193" s="1"/>
  <c r="S193"/>
  <c r="R193"/>
  <c r="V193" s="1"/>
  <c r="W193" s="1"/>
  <c r="S189"/>
  <c r="R189"/>
  <c r="Y189" s="1"/>
  <c r="Y185"/>
  <c r="V185"/>
  <c r="T185"/>
  <c r="U185" s="1"/>
  <c r="W185" s="1"/>
  <c r="Z185" s="1"/>
  <c r="S185"/>
  <c r="R185"/>
  <c r="W180"/>
  <c r="V180"/>
  <c r="T180"/>
  <c r="U180" s="1"/>
  <c r="S180"/>
  <c r="R180"/>
  <c r="Y180" s="1"/>
  <c r="V178"/>
  <c r="S178"/>
  <c r="R178"/>
  <c r="V177"/>
  <c r="W177" s="1"/>
  <c r="Z177" s="1"/>
  <c r="T177"/>
  <c r="U177" s="1"/>
  <c r="S177"/>
  <c r="R177"/>
  <c r="Y177" s="1"/>
  <c r="S172"/>
  <c r="R172"/>
  <c r="V171"/>
  <c r="W171" s="1"/>
  <c r="Z171" s="1"/>
  <c r="T171"/>
  <c r="U171" s="1"/>
  <c r="S171"/>
  <c r="R171"/>
  <c r="Y171" s="1"/>
  <c r="S165"/>
  <c r="V165" s="1"/>
  <c r="R165"/>
  <c r="S150"/>
  <c r="R150"/>
  <c r="T150" s="1"/>
  <c r="U150" s="1"/>
  <c r="V145"/>
  <c r="S145"/>
  <c r="R145"/>
  <c r="S142"/>
  <c r="R142"/>
  <c r="T142" s="1"/>
  <c r="U142" s="1"/>
  <c r="T137"/>
  <c r="U137" s="1"/>
  <c r="S137"/>
  <c r="R137"/>
  <c r="Y137" s="1"/>
  <c r="S130"/>
  <c r="R130"/>
  <c r="Y130" s="1"/>
  <c r="Y129"/>
  <c r="S129"/>
  <c r="V129" s="1"/>
  <c r="R129"/>
  <c r="T129" s="1"/>
  <c r="U129" s="1"/>
  <c r="W129" s="1"/>
  <c r="Z129" s="1"/>
  <c r="S124"/>
  <c r="V124" s="1"/>
  <c r="R124"/>
  <c r="Y120"/>
  <c r="S120"/>
  <c r="V120" s="1"/>
  <c r="R120"/>
  <c r="T118"/>
  <c r="U118" s="1"/>
  <c r="S118"/>
  <c r="V118" s="1"/>
  <c r="W118" s="1"/>
  <c r="Z118" s="1"/>
  <c r="R118"/>
  <c r="Y118" s="1"/>
  <c r="Y114"/>
  <c r="V114"/>
  <c r="S114"/>
  <c r="R114"/>
  <c r="T114" s="1"/>
  <c r="U114" s="1"/>
  <c r="Y108"/>
  <c r="U108"/>
  <c r="T108"/>
  <c r="S108"/>
  <c r="V108" s="1"/>
  <c r="W108" s="1"/>
  <c r="Z108" s="1"/>
  <c r="R108"/>
  <c r="Y106"/>
  <c r="S106"/>
  <c r="R106"/>
  <c r="T106" s="1"/>
  <c r="U106" s="1"/>
  <c r="Y104"/>
  <c r="S104"/>
  <c r="V104" s="1"/>
  <c r="R104"/>
  <c r="S99"/>
  <c r="V99" s="1"/>
  <c r="R99"/>
  <c r="Y97"/>
  <c r="V97"/>
  <c r="U97"/>
  <c r="W97" s="1"/>
  <c r="Z97" s="1"/>
  <c r="S97"/>
  <c r="R97"/>
  <c r="T97" s="1"/>
  <c r="Z96"/>
  <c r="Y96"/>
  <c r="W96"/>
  <c r="V96"/>
  <c r="U96"/>
  <c r="T96"/>
  <c r="S96"/>
  <c r="R96"/>
  <c r="V90"/>
  <c r="S90"/>
  <c r="R90"/>
  <c r="Y90" s="1"/>
  <c r="S89"/>
  <c r="R89"/>
  <c r="Y88"/>
  <c r="U88"/>
  <c r="S88"/>
  <c r="R88"/>
  <c r="T88" s="1"/>
  <c r="S85"/>
  <c r="R85"/>
  <c r="T85" s="1"/>
  <c r="U85" s="1"/>
  <c r="Y83"/>
  <c r="U83"/>
  <c r="W83" s="1"/>
  <c r="Z83" s="1"/>
  <c r="S83"/>
  <c r="V83" s="1"/>
  <c r="R83"/>
  <c r="T83" s="1"/>
  <c r="Y82"/>
  <c r="V82"/>
  <c r="S82"/>
  <c r="T82" s="1"/>
  <c r="U82" s="1"/>
  <c r="R82"/>
  <c r="U81"/>
  <c r="T81"/>
  <c r="S81"/>
  <c r="R81"/>
  <c r="S80"/>
  <c r="V80" s="1"/>
  <c r="R80"/>
  <c r="S78"/>
  <c r="R78"/>
  <c r="Y74"/>
  <c r="V74"/>
  <c r="T74"/>
  <c r="U74" s="1"/>
  <c r="S74"/>
  <c r="R74"/>
  <c r="Y66"/>
  <c r="V66"/>
  <c r="U66"/>
  <c r="T66"/>
  <c r="S66"/>
  <c r="R66"/>
  <c r="Z64"/>
  <c r="Y64"/>
  <c r="U64"/>
  <c r="T64"/>
  <c r="S64"/>
  <c r="V64" s="1"/>
  <c r="W64" s="1"/>
  <c r="R64"/>
  <c r="T63"/>
  <c r="U63" s="1"/>
  <c r="S63"/>
  <c r="R63"/>
  <c r="V63" s="1"/>
  <c r="W63" s="1"/>
  <c r="Y62"/>
  <c r="V62"/>
  <c r="S62"/>
  <c r="T62" s="1"/>
  <c r="U62" s="1"/>
  <c r="R62"/>
  <c r="S49"/>
  <c r="R49"/>
  <c r="Y48"/>
  <c r="V48"/>
  <c r="S48"/>
  <c r="T48" s="1"/>
  <c r="U48" s="1"/>
  <c r="R48"/>
  <c r="U41"/>
  <c r="S41"/>
  <c r="R41"/>
  <c r="T41" s="1"/>
  <c r="Y40"/>
  <c r="S40"/>
  <c r="R40"/>
  <c r="Y35"/>
  <c r="T35"/>
  <c r="U35" s="1"/>
  <c r="S35"/>
  <c r="V35" s="1"/>
  <c r="W35" s="1"/>
  <c r="Z35" s="1"/>
  <c r="R35"/>
  <c r="S33"/>
  <c r="R33"/>
  <c r="Y28"/>
  <c r="S28"/>
  <c r="T28" s="1"/>
  <c r="U28" s="1"/>
  <c r="R28"/>
  <c r="S26"/>
  <c r="R26"/>
  <c r="Y25"/>
  <c r="U25"/>
  <c r="S25"/>
  <c r="T25" s="1"/>
  <c r="R25"/>
  <c r="V24"/>
  <c r="W24" s="1"/>
  <c r="S24"/>
  <c r="R24"/>
  <c r="T24" s="1"/>
  <c r="U24" s="1"/>
  <c r="T21"/>
  <c r="U21" s="1"/>
  <c r="S21"/>
  <c r="V21" s="1"/>
  <c r="W21" s="1"/>
  <c r="Z21" s="1"/>
  <c r="R21"/>
  <c r="Y21" s="1"/>
  <c r="S19"/>
  <c r="V19" s="1"/>
  <c r="R19"/>
  <c r="Y17"/>
  <c r="V17"/>
  <c r="T17"/>
  <c r="U17" s="1"/>
  <c r="S17"/>
  <c r="R17"/>
  <c r="V16"/>
  <c r="S16"/>
  <c r="R16"/>
  <c r="S15"/>
  <c r="R15"/>
  <c r="Y14"/>
  <c r="V14"/>
  <c r="T14"/>
  <c r="U14" s="1"/>
  <c r="S14"/>
  <c r="R14"/>
  <c r="Y13"/>
  <c r="W13"/>
  <c r="Z13" s="1"/>
  <c r="V13"/>
  <c r="S13"/>
  <c r="R13"/>
  <c r="T13" s="1"/>
  <c r="U13" s="1"/>
  <c r="S12"/>
  <c r="R12"/>
  <c r="Y12" s="1"/>
  <c r="S11"/>
  <c r="V11" s="1"/>
  <c r="R11"/>
  <c r="T11" s="1"/>
  <c r="U11" s="1"/>
  <c r="S10"/>
  <c r="V10" s="1"/>
  <c r="R10"/>
  <c r="Y9"/>
  <c r="V9"/>
  <c r="S9"/>
  <c r="R9"/>
  <c r="T9" s="1"/>
  <c r="U9" s="1"/>
  <c r="V8"/>
  <c r="S8"/>
  <c r="R8"/>
  <c r="S7"/>
  <c r="V7" s="1"/>
  <c r="R7"/>
  <c r="T7" s="1"/>
  <c r="U7" s="1"/>
  <c r="Y6"/>
  <c r="T6"/>
  <c r="U6" s="1"/>
  <c r="W6" s="1"/>
  <c r="Z6" s="1"/>
  <c r="S6"/>
  <c r="V6" s="1"/>
  <c r="R6"/>
  <c r="V5"/>
  <c r="W5" s="1"/>
  <c r="S5"/>
  <c r="R5"/>
  <c r="T5" s="1"/>
  <c r="U5" s="1"/>
  <c r="T4"/>
  <c r="U4" s="1"/>
  <c r="S4"/>
  <c r="R4"/>
  <c r="Y4" s="1"/>
  <c r="Y212" i="8"/>
  <c r="V212"/>
  <c r="S212"/>
  <c r="T212" s="1"/>
  <c r="U212" s="1"/>
  <c r="R212"/>
  <c r="S202"/>
  <c r="V202" s="1"/>
  <c r="R202"/>
  <c r="Y200"/>
  <c r="S200"/>
  <c r="R200"/>
  <c r="T200" s="1"/>
  <c r="U200" s="1"/>
  <c r="Y198"/>
  <c r="T198"/>
  <c r="U198" s="1"/>
  <c r="S198"/>
  <c r="V198" s="1"/>
  <c r="W198" s="1"/>
  <c r="Z198" s="1"/>
  <c r="R198"/>
  <c r="Y197"/>
  <c r="S197"/>
  <c r="V197" s="1"/>
  <c r="R197"/>
  <c r="T197" s="1"/>
  <c r="U197" s="1"/>
  <c r="Y195"/>
  <c r="V195"/>
  <c r="S195"/>
  <c r="T195" s="1"/>
  <c r="U195" s="1"/>
  <c r="W195" s="1"/>
  <c r="Z195" s="1"/>
  <c r="R195"/>
  <c r="S194"/>
  <c r="V194" s="1"/>
  <c r="R194"/>
  <c r="Y194" s="1"/>
  <c r="Y193"/>
  <c r="V193"/>
  <c r="W193" s="1"/>
  <c r="Z193" s="1"/>
  <c r="U193"/>
  <c r="T193"/>
  <c r="S193"/>
  <c r="R193"/>
  <c r="Y189"/>
  <c r="T189"/>
  <c r="U189" s="1"/>
  <c r="S189"/>
  <c r="V189" s="1"/>
  <c r="R189"/>
  <c r="Y185"/>
  <c r="V185"/>
  <c r="W185" s="1"/>
  <c r="Z185" s="1"/>
  <c r="U185"/>
  <c r="T185"/>
  <c r="S185"/>
  <c r="R185"/>
  <c r="Y180"/>
  <c r="S180"/>
  <c r="V180" s="1"/>
  <c r="R180"/>
  <c r="T178"/>
  <c r="U178" s="1"/>
  <c r="S178"/>
  <c r="R178"/>
  <c r="V177"/>
  <c r="S177"/>
  <c r="R177"/>
  <c r="Y177" s="1"/>
  <c r="T172"/>
  <c r="U172" s="1"/>
  <c r="S172"/>
  <c r="V172" s="1"/>
  <c r="R172"/>
  <c r="Y172" s="1"/>
  <c r="S171"/>
  <c r="R171"/>
  <c r="S165"/>
  <c r="R165"/>
  <c r="Y150"/>
  <c r="S150"/>
  <c r="R150"/>
  <c r="Y145"/>
  <c r="V145"/>
  <c r="W145" s="1"/>
  <c r="Z145" s="1"/>
  <c r="U145"/>
  <c r="T145"/>
  <c r="S145"/>
  <c r="R145"/>
  <c r="Y142"/>
  <c r="S142"/>
  <c r="V142" s="1"/>
  <c r="W142" s="1"/>
  <c r="Z142" s="1"/>
  <c r="R142"/>
  <c r="T142" s="1"/>
  <c r="U142" s="1"/>
  <c r="T137"/>
  <c r="U137" s="1"/>
  <c r="S137"/>
  <c r="V137" s="1"/>
  <c r="R137"/>
  <c r="Y137" s="1"/>
  <c r="Y130"/>
  <c r="V130"/>
  <c r="S130"/>
  <c r="R130"/>
  <c r="Y129"/>
  <c r="T129"/>
  <c r="U129" s="1"/>
  <c r="S129"/>
  <c r="V129" s="1"/>
  <c r="R129"/>
  <c r="Y124"/>
  <c r="U124"/>
  <c r="T124"/>
  <c r="S124"/>
  <c r="V124" s="1"/>
  <c r="W124" s="1"/>
  <c r="Z124" s="1"/>
  <c r="R124"/>
  <c r="Y120"/>
  <c r="V120"/>
  <c r="W120" s="1"/>
  <c r="Z120" s="1"/>
  <c r="S120"/>
  <c r="R120"/>
  <c r="T120" s="1"/>
  <c r="U120" s="1"/>
  <c r="S118"/>
  <c r="R118"/>
  <c r="Y118" s="1"/>
  <c r="V114"/>
  <c r="S114"/>
  <c r="R114"/>
  <c r="Y108"/>
  <c r="W108"/>
  <c r="Z108" s="1"/>
  <c r="V108"/>
  <c r="U108"/>
  <c r="T108"/>
  <c r="S108"/>
  <c r="R108"/>
  <c r="Y106"/>
  <c r="T106"/>
  <c r="U106" s="1"/>
  <c r="S106"/>
  <c r="V106" s="1"/>
  <c r="W106" s="1"/>
  <c r="Z106" s="1"/>
  <c r="R106"/>
  <c r="Y104"/>
  <c r="S104"/>
  <c r="R104"/>
  <c r="Y99"/>
  <c r="V99"/>
  <c r="W99" s="1"/>
  <c r="Z99" s="1"/>
  <c r="T99"/>
  <c r="U99" s="1"/>
  <c r="S99"/>
  <c r="R99"/>
  <c r="S97"/>
  <c r="R97"/>
  <c r="V97" s="1"/>
  <c r="Z96"/>
  <c r="Y96"/>
  <c r="V96"/>
  <c r="W96" s="1"/>
  <c r="T96"/>
  <c r="U96" s="1"/>
  <c r="S96"/>
  <c r="R96"/>
  <c r="Y90"/>
  <c r="V90"/>
  <c r="W90" s="1"/>
  <c r="Z90" s="1"/>
  <c r="S90"/>
  <c r="T90" s="1"/>
  <c r="U90" s="1"/>
  <c r="R90"/>
  <c r="Y89"/>
  <c r="S89"/>
  <c r="V89" s="1"/>
  <c r="R89"/>
  <c r="Y88"/>
  <c r="U88"/>
  <c r="T88"/>
  <c r="S88"/>
  <c r="V88" s="1"/>
  <c r="W88" s="1"/>
  <c r="Z88" s="1"/>
  <c r="R88"/>
  <c r="Y85"/>
  <c r="V85"/>
  <c r="W85" s="1"/>
  <c r="Z85" s="1"/>
  <c r="T85"/>
  <c r="U85" s="1"/>
  <c r="S85"/>
  <c r="R85"/>
  <c r="S83"/>
  <c r="V83" s="1"/>
  <c r="R83"/>
  <c r="Y82"/>
  <c r="T82"/>
  <c r="U82" s="1"/>
  <c r="S82"/>
  <c r="R82"/>
  <c r="V82" s="1"/>
  <c r="S81"/>
  <c r="T81" s="1"/>
  <c r="U81" s="1"/>
  <c r="R81"/>
  <c r="Y81" s="1"/>
  <c r="T80"/>
  <c r="U80" s="1"/>
  <c r="S80"/>
  <c r="V80" s="1"/>
  <c r="R80"/>
  <c r="Y80" s="1"/>
  <c r="Y78"/>
  <c r="S78"/>
  <c r="V78" s="1"/>
  <c r="R78"/>
  <c r="V74"/>
  <c r="S74"/>
  <c r="R74"/>
  <c r="Y74" s="1"/>
  <c r="Y66"/>
  <c r="V66"/>
  <c r="W66" s="1"/>
  <c r="Z66" s="1"/>
  <c r="S66"/>
  <c r="R66"/>
  <c r="T66" s="1"/>
  <c r="U66" s="1"/>
  <c r="T64"/>
  <c r="U64" s="1"/>
  <c r="S64"/>
  <c r="V64" s="1"/>
  <c r="R64"/>
  <c r="Y64" s="1"/>
  <c r="Y63"/>
  <c r="V63"/>
  <c r="W63" s="1"/>
  <c r="Z63" s="1"/>
  <c r="S63"/>
  <c r="R63"/>
  <c r="T63" s="1"/>
  <c r="U63" s="1"/>
  <c r="Y62"/>
  <c r="V62"/>
  <c r="W62" s="1"/>
  <c r="S62"/>
  <c r="T62" s="1"/>
  <c r="U62" s="1"/>
  <c r="R62"/>
  <c r="S49"/>
  <c r="V49" s="1"/>
  <c r="R49"/>
  <c r="Y48"/>
  <c r="S48"/>
  <c r="T48" s="1"/>
  <c r="U48" s="1"/>
  <c r="R48"/>
  <c r="W41"/>
  <c r="S41"/>
  <c r="V41" s="1"/>
  <c r="R41"/>
  <c r="T41" s="1"/>
  <c r="U41" s="1"/>
  <c r="Y40"/>
  <c r="V40"/>
  <c r="W40" s="1"/>
  <c r="Z40" s="1"/>
  <c r="T40"/>
  <c r="U40" s="1"/>
  <c r="S40"/>
  <c r="R40"/>
  <c r="V35"/>
  <c r="W35" s="1"/>
  <c r="Z35" s="1"/>
  <c r="T35"/>
  <c r="U35" s="1"/>
  <c r="S35"/>
  <c r="R35"/>
  <c r="Y35" s="1"/>
  <c r="Y33"/>
  <c r="S33"/>
  <c r="V33" s="1"/>
  <c r="R33"/>
  <c r="Y28"/>
  <c r="S28"/>
  <c r="V28" s="1"/>
  <c r="R28"/>
  <c r="Y26"/>
  <c r="S26"/>
  <c r="V26" s="1"/>
  <c r="R26"/>
  <c r="Y25"/>
  <c r="S25"/>
  <c r="T25" s="1"/>
  <c r="U25" s="1"/>
  <c r="R25"/>
  <c r="Y24"/>
  <c r="S24"/>
  <c r="R24"/>
  <c r="T24" s="1"/>
  <c r="U24" s="1"/>
  <c r="S21"/>
  <c r="R21"/>
  <c r="Y21" s="1"/>
  <c r="Y19"/>
  <c r="S19"/>
  <c r="V19" s="1"/>
  <c r="R19"/>
  <c r="S17"/>
  <c r="R17"/>
  <c r="V16"/>
  <c r="S16"/>
  <c r="R16"/>
  <c r="Y16" s="1"/>
  <c r="Y15"/>
  <c r="S15"/>
  <c r="V15" s="1"/>
  <c r="W15" s="1"/>
  <c r="Z15" s="1"/>
  <c r="R15"/>
  <c r="T15" s="1"/>
  <c r="U15" s="1"/>
  <c r="Y14"/>
  <c r="V14"/>
  <c r="T14"/>
  <c r="U14" s="1"/>
  <c r="W14" s="1"/>
  <c r="Z14" s="1"/>
  <c r="S14"/>
  <c r="R14"/>
  <c r="Y13"/>
  <c r="W13"/>
  <c r="Z13" s="1"/>
  <c r="V13"/>
  <c r="S13"/>
  <c r="R13"/>
  <c r="T13" s="1"/>
  <c r="U13" s="1"/>
  <c r="W12"/>
  <c r="Z12" s="1"/>
  <c r="V12"/>
  <c r="T12"/>
  <c r="U12" s="1"/>
  <c r="S12"/>
  <c r="R12"/>
  <c r="Y12" s="1"/>
  <c r="T11"/>
  <c r="U11" s="1"/>
  <c r="S11"/>
  <c r="V11" s="1"/>
  <c r="R11"/>
  <c r="Y11" s="1"/>
  <c r="S10"/>
  <c r="V10" s="1"/>
  <c r="R10"/>
  <c r="V9"/>
  <c r="S9"/>
  <c r="R9"/>
  <c r="V8"/>
  <c r="U8"/>
  <c r="T8"/>
  <c r="S8"/>
  <c r="R8"/>
  <c r="Y8" s="1"/>
  <c r="V7"/>
  <c r="S7"/>
  <c r="R7"/>
  <c r="Y6"/>
  <c r="V6"/>
  <c r="U6"/>
  <c r="T6"/>
  <c r="S6"/>
  <c r="R6"/>
  <c r="U5"/>
  <c r="S5"/>
  <c r="R5"/>
  <c r="T5" s="1"/>
  <c r="T4"/>
  <c r="U4" s="1"/>
  <c r="S4"/>
  <c r="R4"/>
  <c r="Y4" s="1"/>
  <c r="S212" i="7"/>
  <c r="V212" s="1"/>
  <c r="R212"/>
  <c r="S202"/>
  <c r="R202"/>
  <c r="Y200"/>
  <c r="T200"/>
  <c r="U200" s="1"/>
  <c r="S200"/>
  <c r="V200" s="1"/>
  <c r="R200"/>
  <c r="Y198"/>
  <c r="S198"/>
  <c r="V198" s="1"/>
  <c r="R198"/>
  <c r="T197"/>
  <c r="U197" s="1"/>
  <c r="S197"/>
  <c r="R197"/>
  <c r="Y197" s="1"/>
  <c r="Y195"/>
  <c r="T195"/>
  <c r="U195" s="1"/>
  <c r="S195"/>
  <c r="V195" s="1"/>
  <c r="W195" s="1"/>
  <c r="Z195" s="1"/>
  <c r="R195"/>
  <c r="S194"/>
  <c r="V194" s="1"/>
  <c r="R194"/>
  <c r="Y193"/>
  <c r="V193"/>
  <c r="U193"/>
  <c r="W193" s="1"/>
  <c r="Z193" s="1"/>
  <c r="T193"/>
  <c r="S193"/>
  <c r="R193"/>
  <c r="Y189"/>
  <c r="V189"/>
  <c r="U189"/>
  <c r="T189"/>
  <c r="S189"/>
  <c r="R189"/>
  <c r="Y185"/>
  <c r="V185"/>
  <c r="T185"/>
  <c r="U185" s="1"/>
  <c r="S185"/>
  <c r="R185"/>
  <c r="S180"/>
  <c r="R180"/>
  <c r="V180" s="1"/>
  <c r="T178"/>
  <c r="U178" s="1"/>
  <c r="S178"/>
  <c r="R178"/>
  <c r="T177"/>
  <c r="U177" s="1"/>
  <c r="S177"/>
  <c r="V177" s="1"/>
  <c r="W177" s="1"/>
  <c r="Z177" s="1"/>
  <c r="R177"/>
  <c r="Y177" s="1"/>
  <c r="S172"/>
  <c r="R172"/>
  <c r="Y171"/>
  <c r="V171"/>
  <c r="U171"/>
  <c r="S171"/>
  <c r="R171"/>
  <c r="T171" s="1"/>
  <c r="S165"/>
  <c r="V165" s="1"/>
  <c r="R165"/>
  <c r="Y150"/>
  <c r="S150"/>
  <c r="V150" s="1"/>
  <c r="R150"/>
  <c r="Y145"/>
  <c r="V145"/>
  <c r="U145"/>
  <c r="W145" s="1"/>
  <c r="Z145" s="1"/>
  <c r="T145"/>
  <c r="S145"/>
  <c r="R145"/>
  <c r="S142"/>
  <c r="V142" s="1"/>
  <c r="W142" s="1"/>
  <c r="R142"/>
  <c r="T142" s="1"/>
  <c r="U142" s="1"/>
  <c r="S137"/>
  <c r="R137"/>
  <c r="Y137" s="1"/>
  <c r="S130"/>
  <c r="R130"/>
  <c r="S129"/>
  <c r="R129"/>
  <c r="Y124"/>
  <c r="V124"/>
  <c r="W124" s="1"/>
  <c r="Z124" s="1"/>
  <c r="U124"/>
  <c r="T124"/>
  <c r="S124"/>
  <c r="R124"/>
  <c r="V120"/>
  <c r="S120"/>
  <c r="R120"/>
  <c r="Y118"/>
  <c r="T118"/>
  <c r="U118" s="1"/>
  <c r="W118" s="1"/>
  <c r="Z118" s="1"/>
  <c r="S118"/>
  <c r="V118" s="1"/>
  <c r="R118"/>
  <c r="S114"/>
  <c r="R114"/>
  <c r="Y108"/>
  <c r="V108"/>
  <c r="T108"/>
  <c r="U108" s="1"/>
  <c r="W108" s="1"/>
  <c r="Z108" s="1"/>
  <c r="S108"/>
  <c r="R108"/>
  <c r="V106"/>
  <c r="S106"/>
  <c r="R106"/>
  <c r="Y106" s="1"/>
  <c r="V104"/>
  <c r="T104"/>
  <c r="U104" s="1"/>
  <c r="W104" s="1"/>
  <c r="S104"/>
  <c r="R104"/>
  <c r="Y104" s="1"/>
  <c r="Y99"/>
  <c r="V99"/>
  <c r="T99"/>
  <c r="U99" s="1"/>
  <c r="S99"/>
  <c r="R99"/>
  <c r="Y97"/>
  <c r="S97"/>
  <c r="V97" s="1"/>
  <c r="R97"/>
  <c r="S96"/>
  <c r="T96" s="1"/>
  <c r="U96" s="1"/>
  <c r="R96"/>
  <c r="Y96" s="1"/>
  <c r="Z90"/>
  <c r="Y90"/>
  <c r="V90"/>
  <c r="W90" s="1"/>
  <c r="U90"/>
  <c r="T90"/>
  <c r="S90"/>
  <c r="R90"/>
  <c r="S89"/>
  <c r="R89"/>
  <c r="V89" s="1"/>
  <c r="Y88"/>
  <c r="T88"/>
  <c r="U88" s="1"/>
  <c r="S88"/>
  <c r="V88" s="1"/>
  <c r="R88"/>
  <c r="Y85"/>
  <c r="V85"/>
  <c r="W85" s="1"/>
  <c r="Z85" s="1"/>
  <c r="U85"/>
  <c r="T85"/>
  <c r="S85"/>
  <c r="R85"/>
  <c r="Y83"/>
  <c r="S83"/>
  <c r="V83" s="1"/>
  <c r="R83"/>
  <c r="S82"/>
  <c r="V82" s="1"/>
  <c r="W82" s="1"/>
  <c r="R82"/>
  <c r="T82" s="1"/>
  <c r="U82" s="1"/>
  <c r="V81"/>
  <c r="S81"/>
  <c r="R81"/>
  <c r="Y81" s="1"/>
  <c r="Y80"/>
  <c r="T80"/>
  <c r="U80" s="1"/>
  <c r="W80" s="1"/>
  <c r="Z80" s="1"/>
  <c r="S80"/>
  <c r="R80"/>
  <c r="V80" s="1"/>
  <c r="Y78"/>
  <c r="W78"/>
  <c r="Z78" s="1"/>
  <c r="V78"/>
  <c r="S78"/>
  <c r="R78"/>
  <c r="T78" s="1"/>
  <c r="U78" s="1"/>
  <c r="U74"/>
  <c r="T74"/>
  <c r="S74"/>
  <c r="R74"/>
  <c r="Y74" s="1"/>
  <c r="Y66"/>
  <c r="V66"/>
  <c r="S66"/>
  <c r="R66"/>
  <c r="V64"/>
  <c r="S64"/>
  <c r="R64"/>
  <c r="Y64" s="1"/>
  <c r="Y63"/>
  <c r="V63"/>
  <c r="W63" s="1"/>
  <c r="Z63" s="1"/>
  <c r="T63"/>
  <c r="U63" s="1"/>
  <c r="S63"/>
  <c r="R63"/>
  <c r="Y62"/>
  <c r="V62"/>
  <c r="U62"/>
  <c r="W62" s="1"/>
  <c r="Z62" s="1"/>
  <c r="T62"/>
  <c r="S62"/>
  <c r="R62"/>
  <c r="S49"/>
  <c r="V49" s="1"/>
  <c r="R49"/>
  <c r="S48"/>
  <c r="R48"/>
  <c r="T48" s="1"/>
  <c r="U48" s="1"/>
  <c r="V41"/>
  <c r="S41"/>
  <c r="T41" s="1"/>
  <c r="U41" s="1"/>
  <c r="R41"/>
  <c r="Y41" s="1"/>
  <c r="S40"/>
  <c r="R40"/>
  <c r="Y40" s="1"/>
  <c r="S35"/>
  <c r="R35"/>
  <c r="Y33"/>
  <c r="S33"/>
  <c r="R33"/>
  <c r="S28"/>
  <c r="R28"/>
  <c r="T28" s="1"/>
  <c r="U28" s="1"/>
  <c r="Y26"/>
  <c r="V26"/>
  <c r="S26"/>
  <c r="R26"/>
  <c r="T26" s="1"/>
  <c r="U26" s="1"/>
  <c r="Y25"/>
  <c r="S25"/>
  <c r="T25" s="1"/>
  <c r="U25" s="1"/>
  <c r="R25"/>
  <c r="Y24"/>
  <c r="S24"/>
  <c r="R24"/>
  <c r="T24" s="1"/>
  <c r="U24" s="1"/>
  <c r="S21"/>
  <c r="R21"/>
  <c r="Y21" s="1"/>
  <c r="Y19"/>
  <c r="S19"/>
  <c r="V19" s="1"/>
  <c r="R19"/>
  <c r="V17"/>
  <c r="T17"/>
  <c r="U17" s="1"/>
  <c r="S17"/>
  <c r="R17"/>
  <c r="Y17" s="1"/>
  <c r="S16"/>
  <c r="V16" s="1"/>
  <c r="R16"/>
  <c r="Y16" s="1"/>
  <c r="V15"/>
  <c r="W15" s="1"/>
  <c r="S15"/>
  <c r="R15"/>
  <c r="T15" s="1"/>
  <c r="U15" s="1"/>
  <c r="Y14"/>
  <c r="S14"/>
  <c r="R14"/>
  <c r="S13"/>
  <c r="R13"/>
  <c r="T12"/>
  <c r="U12" s="1"/>
  <c r="S12"/>
  <c r="R12"/>
  <c r="Y12" s="1"/>
  <c r="Y11"/>
  <c r="S11"/>
  <c r="V11" s="1"/>
  <c r="R11"/>
  <c r="Y10"/>
  <c r="S10"/>
  <c r="V10" s="1"/>
  <c r="R10"/>
  <c r="Y9"/>
  <c r="V9"/>
  <c r="T9"/>
  <c r="U9" s="1"/>
  <c r="S9"/>
  <c r="R9"/>
  <c r="V8"/>
  <c r="T8"/>
  <c r="U8" s="1"/>
  <c r="W8" s="1"/>
  <c r="Z8" s="1"/>
  <c r="S8"/>
  <c r="R8"/>
  <c r="Y8" s="1"/>
  <c r="V7"/>
  <c r="W7" s="1"/>
  <c r="Z7" s="1"/>
  <c r="T7"/>
  <c r="U7" s="1"/>
  <c r="S7"/>
  <c r="R7"/>
  <c r="Y7" s="1"/>
  <c r="Y6"/>
  <c r="V6"/>
  <c r="U6"/>
  <c r="T6"/>
  <c r="S6"/>
  <c r="R6"/>
  <c r="Y5"/>
  <c r="V5"/>
  <c r="W5" s="1"/>
  <c r="U5"/>
  <c r="S5"/>
  <c r="R5"/>
  <c r="T5" s="1"/>
  <c r="T4"/>
  <c r="U4" s="1"/>
  <c r="S4"/>
  <c r="R4"/>
  <c r="Y4" s="1"/>
  <c r="S214" i="6"/>
  <c r="R214"/>
  <c r="S213"/>
  <c r="R213"/>
  <c r="V213" s="1"/>
  <c r="Y212"/>
  <c r="S212"/>
  <c r="R212"/>
  <c r="T212" s="1"/>
  <c r="U212" s="1"/>
  <c r="Y210"/>
  <c r="S210"/>
  <c r="V210" s="1"/>
  <c r="R210"/>
  <c r="S208"/>
  <c r="V208" s="1"/>
  <c r="R208"/>
  <c r="Y208" s="1"/>
  <c r="S207"/>
  <c r="R207"/>
  <c r="Y207" s="1"/>
  <c r="Y206"/>
  <c r="S206"/>
  <c r="R206"/>
  <c r="V205"/>
  <c r="S205"/>
  <c r="R205"/>
  <c r="S204"/>
  <c r="R204"/>
  <c r="T204" s="1"/>
  <c r="U204" s="1"/>
  <c r="S203"/>
  <c r="R203"/>
  <c r="Y203" s="1"/>
  <c r="Y202"/>
  <c r="V202"/>
  <c r="W202" s="1"/>
  <c r="Z202" s="1"/>
  <c r="T202"/>
  <c r="U202" s="1"/>
  <c r="S202"/>
  <c r="R202"/>
  <c r="S201"/>
  <c r="R201"/>
  <c r="T201" s="1"/>
  <c r="U201" s="1"/>
  <c r="Y200"/>
  <c r="S200"/>
  <c r="V200" s="1"/>
  <c r="R200"/>
  <c r="Y199"/>
  <c r="T199"/>
  <c r="U199" s="1"/>
  <c r="S199"/>
  <c r="V199" s="1"/>
  <c r="R199"/>
  <c r="Y198"/>
  <c r="S198"/>
  <c r="R198"/>
  <c r="Y197"/>
  <c r="V197"/>
  <c r="W197" s="1"/>
  <c r="Z197" s="1"/>
  <c r="S197"/>
  <c r="R197"/>
  <c r="T197" s="1"/>
  <c r="U197" s="1"/>
  <c r="Y196"/>
  <c r="V196"/>
  <c r="W196" s="1"/>
  <c r="Z196" s="1"/>
  <c r="T196"/>
  <c r="U196" s="1"/>
  <c r="S196"/>
  <c r="R196"/>
  <c r="T195"/>
  <c r="U195" s="1"/>
  <c r="S195"/>
  <c r="V195" s="1"/>
  <c r="R195"/>
  <c r="Y195" s="1"/>
  <c r="Y194"/>
  <c r="V194"/>
  <c r="T194"/>
  <c r="U194" s="1"/>
  <c r="S194"/>
  <c r="R194"/>
  <c r="Y193"/>
  <c r="V193"/>
  <c r="S193"/>
  <c r="R193"/>
  <c r="S192"/>
  <c r="V192" s="1"/>
  <c r="R192"/>
  <c r="V190"/>
  <c r="W190" s="1"/>
  <c r="Z190" s="1"/>
  <c r="U190"/>
  <c r="S190"/>
  <c r="T190" s="1"/>
  <c r="R190"/>
  <c r="Y190" s="1"/>
  <c r="S189"/>
  <c r="R189"/>
  <c r="Y189" s="1"/>
  <c r="V187"/>
  <c r="S187"/>
  <c r="R187"/>
  <c r="U186"/>
  <c r="T186"/>
  <c r="S186"/>
  <c r="R186"/>
  <c r="Y186" s="1"/>
  <c r="U185"/>
  <c r="T185"/>
  <c r="S185"/>
  <c r="V185" s="1"/>
  <c r="R185"/>
  <c r="Y185" s="1"/>
  <c r="Y184"/>
  <c r="T184"/>
  <c r="U184" s="1"/>
  <c r="S184"/>
  <c r="V184" s="1"/>
  <c r="W184" s="1"/>
  <c r="R184"/>
  <c r="S183"/>
  <c r="V183" s="1"/>
  <c r="R183"/>
  <c r="Y182"/>
  <c r="S182"/>
  <c r="V182" s="1"/>
  <c r="R182"/>
  <c r="T182" s="1"/>
  <c r="U182" s="1"/>
  <c r="Y181"/>
  <c r="V181"/>
  <c r="T181"/>
  <c r="U181" s="1"/>
  <c r="W181" s="1"/>
  <c r="Z181" s="1"/>
  <c r="S181"/>
  <c r="R181"/>
  <c r="Y180"/>
  <c r="S180"/>
  <c r="V180" s="1"/>
  <c r="R180"/>
  <c r="S179"/>
  <c r="V179" s="1"/>
  <c r="R179"/>
  <c r="Y179" s="1"/>
  <c r="Y178"/>
  <c r="T178"/>
  <c r="U178" s="1"/>
  <c r="S178"/>
  <c r="V178" s="1"/>
  <c r="R178"/>
  <c r="S177"/>
  <c r="V177" s="1"/>
  <c r="R177"/>
  <c r="Y177" s="1"/>
  <c r="S176"/>
  <c r="V176" s="1"/>
  <c r="R176"/>
  <c r="Y176" s="1"/>
  <c r="S175"/>
  <c r="R175"/>
  <c r="T173"/>
  <c r="U173" s="1"/>
  <c r="S173"/>
  <c r="R173"/>
  <c r="Y173" s="1"/>
  <c r="Y172"/>
  <c r="T172"/>
  <c r="U172" s="1"/>
  <c r="W172" s="1"/>
  <c r="Z172" s="1"/>
  <c r="S172"/>
  <c r="V172" s="1"/>
  <c r="R172"/>
  <c r="S171"/>
  <c r="T171" s="1"/>
  <c r="U171" s="1"/>
  <c r="R171"/>
  <c r="Y171" s="1"/>
  <c r="Y170"/>
  <c r="V170"/>
  <c r="T170"/>
  <c r="U170" s="1"/>
  <c r="S170"/>
  <c r="R170"/>
  <c r="Y169"/>
  <c r="W169"/>
  <c r="Z169" s="1"/>
  <c r="V169"/>
  <c r="T169"/>
  <c r="U169" s="1"/>
  <c r="S169"/>
  <c r="R169"/>
  <c r="V168"/>
  <c r="W168" s="1"/>
  <c r="Z168" s="1"/>
  <c r="T168"/>
  <c r="U168" s="1"/>
  <c r="S168"/>
  <c r="R168"/>
  <c r="Y168" s="1"/>
  <c r="V166"/>
  <c r="S166"/>
  <c r="R166"/>
  <c r="Y165"/>
  <c r="V165"/>
  <c r="W165" s="1"/>
  <c r="Z165" s="1"/>
  <c r="S165"/>
  <c r="R165"/>
  <c r="T165" s="1"/>
  <c r="U165" s="1"/>
  <c r="Y164"/>
  <c r="S164"/>
  <c r="R164"/>
  <c r="T164" s="1"/>
  <c r="U164" s="1"/>
  <c r="U163"/>
  <c r="T163"/>
  <c r="S163"/>
  <c r="V163" s="1"/>
  <c r="W163" s="1"/>
  <c r="Z163" s="1"/>
  <c r="R163"/>
  <c r="Y163" s="1"/>
  <c r="Y162"/>
  <c r="S162"/>
  <c r="T162" s="1"/>
  <c r="U162" s="1"/>
  <c r="R162"/>
  <c r="Y161"/>
  <c r="S161"/>
  <c r="T161" s="1"/>
  <c r="U161" s="1"/>
  <c r="R161"/>
  <c r="S160"/>
  <c r="R160"/>
  <c r="Y159"/>
  <c r="W159"/>
  <c r="Z159" s="1"/>
  <c r="V159"/>
  <c r="S159"/>
  <c r="T159" s="1"/>
  <c r="U159" s="1"/>
  <c r="R159"/>
  <c r="Y158"/>
  <c r="S158"/>
  <c r="T158" s="1"/>
  <c r="U158" s="1"/>
  <c r="R158"/>
  <c r="V157"/>
  <c r="S157"/>
  <c r="R157"/>
  <c r="Y156"/>
  <c r="T156"/>
  <c r="U156" s="1"/>
  <c r="S156"/>
  <c r="V156" s="1"/>
  <c r="W156" s="1"/>
  <c r="Z156" s="1"/>
  <c r="R156"/>
  <c r="V155"/>
  <c r="T155"/>
  <c r="U155" s="1"/>
  <c r="W155" s="1"/>
  <c r="S155"/>
  <c r="R155"/>
  <c r="Y155" s="1"/>
  <c r="T154"/>
  <c r="U154" s="1"/>
  <c r="S154"/>
  <c r="V154" s="1"/>
  <c r="W154" s="1"/>
  <c r="Z154" s="1"/>
  <c r="R154"/>
  <c r="Y154" s="1"/>
  <c r="Y153"/>
  <c r="V153"/>
  <c r="W153" s="1"/>
  <c r="Z153" s="1"/>
  <c r="S153"/>
  <c r="R153"/>
  <c r="T153" s="1"/>
  <c r="U153" s="1"/>
  <c r="S152"/>
  <c r="R152"/>
  <c r="Y152" s="1"/>
  <c r="T151"/>
  <c r="U151" s="1"/>
  <c r="S151"/>
  <c r="V151" s="1"/>
  <c r="W151" s="1"/>
  <c r="R151"/>
  <c r="Y151" s="1"/>
  <c r="S150"/>
  <c r="V150" s="1"/>
  <c r="R150"/>
  <c r="Y150" s="1"/>
  <c r="S149"/>
  <c r="V149" s="1"/>
  <c r="R149"/>
  <c r="V148"/>
  <c r="T148"/>
  <c r="U148" s="1"/>
  <c r="S148"/>
  <c r="R148"/>
  <c r="Y148" s="1"/>
  <c r="S147"/>
  <c r="R147"/>
  <c r="Y147" s="1"/>
  <c r="U146"/>
  <c r="S146"/>
  <c r="T146" s="1"/>
  <c r="R146"/>
  <c r="Y146" s="1"/>
  <c r="Y145"/>
  <c r="V145"/>
  <c r="W145" s="1"/>
  <c r="Z145" s="1"/>
  <c r="U145"/>
  <c r="T145"/>
  <c r="S145"/>
  <c r="R145"/>
  <c r="V144"/>
  <c r="T144"/>
  <c r="U144" s="1"/>
  <c r="W144" s="1"/>
  <c r="Z144" s="1"/>
  <c r="S144"/>
  <c r="R144"/>
  <c r="Y144" s="1"/>
  <c r="Y143"/>
  <c r="S143"/>
  <c r="V143" s="1"/>
  <c r="R143"/>
  <c r="Y142"/>
  <c r="V142"/>
  <c r="W142" s="1"/>
  <c r="Z142" s="1"/>
  <c r="T142"/>
  <c r="U142" s="1"/>
  <c r="S142"/>
  <c r="R142"/>
  <c r="Y141"/>
  <c r="V141"/>
  <c r="S141"/>
  <c r="R141"/>
  <c r="S140"/>
  <c r="R140"/>
  <c r="T140" s="1"/>
  <c r="U140" s="1"/>
  <c r="S139"/>
  <c r="V139" s="1"/>
  <c r="R139"/>
  <c r="Y139" s="1"/>
  <c r="Y138"/>
  <c r="S138"/>
  <c r="R138"/>
  <c r="S137"/>
  <c r="V137" s="1"/>
  <c r="W137" s="1"/>
  <c r="R137"/>
  <c r="T137" s="1"/>
  <c r="U137" s="1"/>
  <c r="S136"/>
  <c r="R136"/>
  <c r="Y135"/>
  <c r="S135"/>
  <c r="V135" s="1"/>
  <c r="R135"/>
  <c r="Y134"/>
  <c r="S134"/>
  <c r="T134" s="1"/>
  <c r="U134" s="1"/>
  <c r="R134"/>
  <c r="S133"/>
  <c r="V133" s="1"/>
  <c r="R133"/>
  <c r="S131"/>
  <c r="R131"/>
  <c r="Y131" s="1"/>
  <c r="Y130"/>
  <c r="S130"/>
  <c r="T130" s="1"/>
  <c r="U130" s="1"/>
  <c r="R130"/>
  <c r="V129"/>
  <c r="T129"/>
  <c r="U129" s="1"/>
  <c r="W129" s="1"/>
  <c r="Z129" s="1"/>
  <c r="S129"/>
  <c r="R129"/>
  <c r="Y129" s="1"/>
  <c r="Y128"/>
  <c r="S128"/>
  <c r="V128" s="1"/>
  <c r="R128"/>
  <c r="Y127"/>
  <c r="U127"/>
  <c r="S127"/>
  <c r="R127"/>
  <c r="T127" s="1"/>
  <c r="Y126"/>
  <c r="S126"/>
  <c r="R126"/>
  <c r="Y125"/>
  <c r="S125"/>
  <c r="R125"/>
  <c r="T125" s="1"/>
  <c r="U125" s="1"/>
  <c r="Y124"/>
  <c r="S124"/>
  <c r="R124"/>
  <c r="Z123"/>
  <c r="V123"/>
  <c r="W123" s="1"/>
  <c r="T123"/>
  <c r="U123" s="1"/>
  <c r="S123"/>
  <c r="R123"/>
  <c r="Y123" s="1"/>
  <c r="S122"/>
  <c r="V122" s="1"/>
  <c r="R122"/>
  <c r="Y122" s="1"/>
  <c r="Y121"/>
  <c r="U121"/>
  <c r="T121"/>
  <c r="S121"/>
  <c r="V121" s="1"/>
  <c r="R121"/>
  <c r="Y120"/>
  <c r="V120"/>
  <c r="W120" s="1"/>
  <c r="Z120" s="1"/>
  <c r="U120"/>
  <c r="S120"/>
  <c r="R120"/>
  <c r="T120" s="1"/>
  <c r="Y119"/>
  <c r="V119"/>
  <c r="W119" s="1"/>
  <c r="Z119" s="1"/>
  <c r="U119"/>
  <c r="T119"/>
  <c r="S119"/>
  <c r="R119"/>
  <c r="V118"/>
  <c r="T118"/>
  <c r="U118" s="1"/>
  <c r="W118" s="1"/>
  <c r="Z118" s="1"/>
  <c r="S118"/>
  <c r="R118"/>
  <c r="Y118" s="1"/>
  <c r="Y117"/>
  <c r="S117"/>
  <c r="V117" s="1"/>
  <c r="R117"/>
  <c r="Y116"/>
  <c r="W116"/>
  <c r="Z116" s="1"/>
  <c r="V116"/>
  <c r="U116"/>
  <c r="S116"/>
  <c r="R116"/>
  <c r="T116" s="1"/>
  <c r="Y115"/>
  <c r="S115"/>
  <c r="R115"/>
  <c r="S114"/>
  <c r="V114" s="1"/>
  <c r="R114"/>
  <c r="S113"/>
  <c r="R113"/>
  <c r="Y113" s="1"/>
  <c r="V112"/>
  <c r="S112"/>
  <c r="R112"/>
  <c r="Y111"/>
  <c r="V111"/>
  <c r="U111"/>
  <c r="T111"/>
  <c r="S111"/>
  <c r="R111"/>
  <c r="Y110"/>
  <c r="T110"/>
  <c r="U110" s="1"/>
  <c r="S110"/>
  <c r="V110" s="1"/>
  <c r="R110"/>
  <c r="Y109"/>
  <c r="T109"/>
  <c r="U109" s="1"/>
  <c r="S109"/>
  <c r="V109" s="1"/>
  <c r="R109"/>
  <c r="Y108"/>
  <c r="V108"/>
  <c r="W108" s="1"/>
  <c r="Z108" s="1"/>
  <c r="S108"/>
  <c r="R108"/>
  <c r="T108" s="1"/>
  <c r="U108" s="1"/>
  <c r="V107"/>
  <c r="W107" s="1"/>
  <c r="Z107" s="1"/>
  <c r="T107"/>
  <c r="U107" s="1"/>
  <c r="S107"/>
  <c r="R107"/>
  <c r="Y107" s="1"/>
  <c r="Y106"/>
  <c r="S106"/>
  <c r="V106" s="1"/>
  <c r="R106"/>
  <c r="S105"/>
  <c r="R105"/>
  <c r="T105" s="1"/>
  <c r="U105" s="1"/>
  <c r="Y104"/>
  <c r="S104"/>
  <c r="R104"/>
  <c r="Y103"/>
  <c r="V103"/>
  <c r="S103"/>
  <c r="R103"/>
  <c r="Y101"/>
  <c r="S101"/>
  <c r="V101" s="1"/>
  <c r="R101"/>
  <c r="S100"/>
  <c r="T100" s="1"/>
  <c r="U100" s="1"/>
  <c r="R100"/>
  <c r="Y100" s="1"/>
  <c r="Y99"/>
  <c r="V99"/>
  <c r="W99" s="1"/>
  <c r="Z99" s="1"/>
  <c r="S99"/>
  <c r="R99"/>
  <c r="T99" s="1"/>
  <c r="U99" s="1"/>
  <c r="V98"/>
  <c r="W98" s="1"/>
  <c r="Z98" s="1"/>
  <c r="T98"/>
  <c r="U98" s="1"/>
  <c r="S98"/>
  <c r="R98"/>
  <c r="Y98" s="1"/>
  <c r="Y97"/>
  <c r="V97"/>
  <c r="T97"/>
  <c r="U97" s="1"/>
  <c r="W97" s="1"/>
  <c r="S97"/>
  <c r="R97"/>
  <c r="Y96"/>
  <c r="V96"/>
  <c r="W96" s="1"/>
  <c r="Z96" s="1"/>
  <c r="T96"/>
  <c r="U96" s="1"/>
  <c r="S96"/>
  <c r="R96"/>
  <c r="Y95"/>
  <c r="S95"/>
  <c r="R95"/>
  <c r="S94"/>
  <c r="R94"/>
  <c r="Y94" s="1"/>
  <c r="S93"/>
  <c r="R93"/>
  <c r="T93" s="1"/>
  <c r="U93" s="1"/>
  <c r="T92"/>
  <c r="U92" s="1"/>
  <c r="S92"/>
  <c r="V92" s="1"/>
  <c r="W92" s="1"/>
  <c r="Z92" s="1"/>
  <c r="R92"/>
  <c r="Y92" s="1"/>
  <c r="V91"/>
  <c r="U91"/>
  <c r="W91" s="1"/>
  <c r="Z91" s="1"/>
  <c r="T91"/>
  <c r="S91"/>
  <c r="R91"/>
  <c r="Y91" s="1"/>
  <c r="T90"/>
  <c r="U90" s="1"/>
  <c r="S90"/>
  <c r="R90"/>
  <c r="V90" s="1"/>
  <c r="W90" s="1"/>
  <c r="S89"/>
  <c r="R89"/>
  <c r="Y89" s="1"/>
  <c r="Y88"/>
  <c r="V88"/>
  <c r="T88"/>
  <c r="U88" s="1"/>
  <c r="W88" s="1"/>
  <c r="Z88" s="1"/>
  <c r="S88"/>
  <c r="R88"/>
  <c r="S86"/>
  <c r="R86"/>
  <c r="T86" s="1"/>
  <c r="U86" s="1"/>
  <c r="S85"/>
  <c r="V85" s="1"/>
  <c r="R85"/>
  <c r="Y85" s="1"/>
  <c r="S84"/>
  <c r="R84"/>
  <c r="V83"/>
  <c r="S83"/>
  <c r="R83"/>
  <c r="Y83" s="1"/>
  <c r="Y82"/>
  <c r="T82"/>
  <c r="U82" s="1"/>
  <c r="S82"/>
  <c r="V82" s="1"/>
  <c r="R82"/>
  <c r="V81"/>
  <c r="T81"/>
  <c r="U81" s="1"/>
  <c r="W81" s="1"/>
  <c r="Z81" s="1"/>
  <c r="S81"/>
  <c r="R81"/>
  <c r="Y81" s="1"/>
  <c r="Y80"/>
  <c r="W80"/>
  <c r="Z80" s="1"/>
  <c r="V80"/>
  <c r="T80"/>
  <c r="U80" s="1"/>
  <c r="S80"/>
  <c r="R80"/>
  <c r="Y79"/>
  <c r="V79"/>
  <c r="S79"/>
  <c r="T79" s="1"/>
  <c r="U79" s="1"/>
  <c r="W79" s="1"/>
  <c r="Z79" s="1"/>
  <c r="R79"/>
  <c r="S78"/>
  <c r="R78"/>
  <c r="T78" s="1"/>
  <c r="U78" s="1"/>
  <c r="V77"/>
  <c r="S77"/>
  <c r="R77"/>
  <c r="V76"/>
  <c r="S76"/>
  <c r="R76"/>
  <c r="Y76" s="1"/>
  <c r="S75"/>
  <c r="V75" s="1"/>
  <c r="R75"/>
  <c r="Y75" s="1"/>
  <c r="Y74"/>
  <c r="V74"/>
  <c r="W74" s="1"/>
  <c r="Z74" s="1"/>
  <c r="T74"/>
  <c r="U74" s="1"/>
  <c r="S74"/>
  <c r="R74"/>
  <c r="W73"/>
  <c r="Z73" s="1"/>
  <c r="V73"/>
  <c r="T73"/>
  <c r="U73" s="1"/>
  <c r="S73"/>
  <c r="R73"/>
  <c r="Y73" s="1"/>
  <c r="Y72"/>
  <c r="V72"/>
  <c r="T72"/>
  <c r="U72" s="1"/>
  <c r="W72" s="1"/>
  <c r="Z72" s="1"/>
  <c r="S72"/>
  <c r="R72"/>
  <c r="V71"/>
  <c r="S71"/>
  <c r="T71" s="1"/>
  <c r="U71" s="1"/>
  <c r="R71"/>
  <c r="Y71" s="1"/>
  <c r="S70"/>
  <c r="R70"/>
  <c r="V69"/>
  <c r="S69"/>
  <c r="R69"/>
  <c r="Y69" s="1"/>
  <c r="S68"/>
  <c r="V68" s="1"/>
  <c r="R68"/>
  <c r="S67"/>
  <c r="V67" s="1"/>
  <c r="R67"/>
  <c r="Y67" s="1"/>
  <c r="Y66"/>
  <c r="W66"/>
  <c r="Z66" s="1"/>
  <c r="V66"/>
  <c r="S66"/>
  <c r="T66" s="1"/>
  <c r="U66" s="1"/>
  <c r="R66"/>
  <c r="S65"/>
  <c r="T65" s="1"/>
  <c r="U65" s="1"/>
  <c r="R65"/>
  <c r="Y65" s="1"/>
  <c r="Y64"/>
  <c r="S64"/>
  <c r="T64" s="1"/>
  <c r="U64" s="1"/>
  <c r="R64"/>
  <c r="Y63"/>
  <c r="T63"/>
  <c r="U63" s="1"/>
  <c r="S63"/>
  <c r="V63" s="1"/>
  <c r="R63"/>
  <c r="Y62"/>
  <c r="W62"/>
  <c r="Z62" s="1"/>
  <c r="T62"/>
  <c r="U62" s="1"/>
  <c r="S62"/>
  <c r="R62"/>
  <c r="V62" s="1"/>
  <c r="V61"/>
  <c r="S61"/>
  <c r="R61"/>
  <c r="Y61" s="1"/>
  <c r="V60"/>
  <c r="S60"/>
  <c r="R60"/>
  <c r="S59"/>
  <c r="V59" s="1"/>
  <c r="R59"/>
  <c r="Y59" s="1"/>
  <c r="T58"/>
  <c r="U58" s="1"/>
  <c r="S58"/>
  <c r="V58" s="1"/>
  <c r="W58" s="1"/>
  <c r="Z58" s="1"/>
  <c r="R58"/>
  <c r="Y58" s="1"/>
  <c r="S57"/>
  <c r="R57"/>
  <c r="Y57" s="1"/>
  <c r="Y56"/>
  <c r="V56"/>
  <c r="S56"/>
  <c r="R56"/>
  <c r="T56" s="1"/>
  <c r="U56" s="1"/>
  <c r="S55"/>
  <c r="V55" s="1"/>
  <c r="R55"/>
  <c r="Y54"/>
  <c r="V54"/>
  <c r="W54" s="1"/>
  <c r="S54"/>
  <c r="R54"/>
  <c r="T54" s="1"/>
  <c r="U54" s="1"/>
  <c r="S53"/>
  <c r="V53" s="1"/>
  <c r="R53"/>
  <c r="Y53" s="1"/>
  <c r="S52"/>
  <c r="R52"/>
  <c r="Y52" s="1"/>
  <c r="T51"/>
  <c r="U51" s="1"/>
  <c r="S51"/>
  <c r="V51" s="1"/>
  <c r="R51"/>
  <c r="Y51" s="1"/>
  <c r="Y50"/>
  <c r="W50"/>
  <c r="Z50" s="1"/>
  <c r="T50"/>
  <c r="U50" s="1"/>
  <c r="S50"/>
  <c r="R50"/>
  <c r="V50" s="1"/>
  <c r="T49"/>
  <c r="U49" s="1"/>
  <c r="S49"/>
  <c r="V49" s="1"/>
  <c r="R49"/>
  <c r="Y49" s="1"/>
  <c r="S48"/>
  <c r="R48"/>
  <c r="V48" s="1"/>
  <c r="V47"/>
  <c r="W47" s="1"/>
  <c r="S47"/>
  <c r="R47"/>
  <c r="T47" s="1"/>
  <c r="U47" s="1"/>
  <c r="Y46"/>
  <c r="S46"/>
  <c r="R46"/>
  <c r="T46" s="1"/>
  <c r="U46" s="1"/>
  <c r="S45"/>
  <c r="R45"/>
  <c r="V44"/>
  <c r="T44"/>
  <c r="U44" s="1"/>
  <c r="S44"/>
  <c r="R44"/>
  <c r="Y44" s="1"/>
  <c r="V43"/>
  <c r="S43"/>
  <c r="R43"/>
  <c r="Y43" s="1"/>
  <c r="Y42"/>
  <c r="V42"/>
  <c r="W42" s="1"/>
  <c r="Z42" s="1"/>
  <c r="T42"/>
  <c r="U42" s="1"/>
  <c r="S42"/>
  <c r="R42"/>
  <c r="W41"/>
  <c r="Z41" s="1"/>
  <c r="T41"/>
  <c r="U41" s="1"/>
  <c r="S41"/>
  <c r="V41" s="1"/>
  <c r="R41"/>
  <c r="Y41" s="1"/>
  <c r="Y40"/>
  <c r="V40"/>
  <c r="W40" s="1"/>
  <c r="Z40" s="1"/>
  <c r="T40"/>
  <c r="U40" s="1"/>
  <c r="S40"/>
  <c r="R40"/>
  <c r="S39"/>
  <c r="R39"/>
  <c r="S38"/>
  <c r="R38"/>
  <c r="V37"/>
  <c r="U37"/>
  <c r="W37" s="1"/>
  <c r="Z37" s="1"/>
  <c r="T37"/>
  <c r="S37"/>
  <c r="R37"/>
  <c r="Y37" s="1"/>
  <c r="V36"/>
  <c r="S36"/>
  <c r="R36"/>
  <c r="Y36" s="1"/>
  <c r="T35"/>
  <c r="U35" s="1"/>
  <c r="S35"/>
  <c r="V35" s="1"/>
  <c r="R35"/>
  <c r="Y35" s="1"/>
  <c r="Y34"/>
  <c r="T34"/>
  <c r="U34" s="1"/>
  <c r="S34"/>
  <c r="V34" s="1"/>
  <c r="R34"/>
  <c r="T33"/>
  <c r="U33" s="1"/>
  <c r="S33"/>
  <c r="V33" s="1"/>
  <c r="R33"/>
  <c r="Y33" s="1"/>
  <c r="S32"/>
  <c r="R32"/>
  <c r="S31"/>
  <c r="V31" s="1"/>
  <c r="R31"/>
  <c r="T31" s="1"/>
  <c r="U31" s="1"/>
  <c r="S30"/>
  <c r="R30"/>
  <c r="S29"/>
  <c r="R29"/>
  <c r="V29" s="1"/>
  <c r="V28"/>
  <c r="S28"/>
  <c r="R28"/>
  <c r="Y28" s="1"/>
  <c r="S27"/>
  <c r="R27"/>
  <c r="Y27" s="1"/>
  <c r="U26"/>
  <c r="S26"/>
  <c r="R26"/>
  <c r="T26" s="1"/>
  <c r="T25"/>
  <c r="U25" s="1"/>
  <c r="S25"/>
  <c r="R25"/>
  <c r="Y25" s="1"/>
  <c r="Y24"/>
  <c r="S24"/>
  <c r="T24" s="1"/>
  <c r="U24" s="1"/>
  <c r="R24"/>
  <c r="Y23"/>
  <c r="S23"/>
  <c r="V23" s="1"/>
  <c r="W23" s="1"/>
  <c r="Z23" s="1"/>
  <c r="R23"/>
  <c r="T23" s="1"/>
  <c r="U23" s="1"/>
  <c r="S22"/>
  <c r="R22"/>
  <c r="V22" s="1"/>
  <c r="S21"/>
  <c r="T21" s="1"/>
  <c r="U21" s="1"/>
  <c r="R21"/>
  <c r="Y21" s="1"/>
  <c r="S20"/>
  <c r="R20"/>
  <c r="V20" s="1"/>
  <c r="V19"/>
  <c r="U19"/>
  <c r="T19"/>
  <c r="S19"/>
  <c r="R19"/>
  <c r="Y19" s="1"/>
  <c r="Y18"/>
  <c r="S18"/>
  <c r="V18" s="1"/>
  <c r="W18" s="1"/>
  <c r="Z18" s="1"/>
  <c r="R18"/>
  <c r="T18" s="1"/>
  <c r="U18" s="1"/>
  <c r="V17"/>
  <c r="T17"/>
  <c r="U17" s="1"/>
  <c r="S17"/>
  <c r="R17"/>
  <c r="Y17" s="1"/>
  <c r="S16"/>
  <c r="R16"/>
  <c r="Y15"/>
  <c r="W15"/>
  <c r="Z15" s="1"/>
  <c r="V15"/>
  <c r="S15"/>
  <c r="R15"/>
  <c r="T15" s="1"/>
  <c r="U15" s="1"/>
  <c r="S14"/>
  <c r="R14"/>
  <c r="V13"/>
  <c r="S13"/>
  <c r="R13"/>
  <c r="V12"/>
  <c r="W12" s="1"/>
  <c r="Z12" s="1"/>
  <c r="T12"/>
  <c r="U12" s="1"/>
  <c r="S12"/>
  <c r="R12"/>
  <c r="Y12" s="1"/>
  <c r="S11"/>
  <c r="V11" s="1"/>
  <c r="R11"/>
  <c r="Y11" s="1"/>
  <c r="Y10"/>
  <c r="S10"/>
  <c r="R10"/>
  <c r="T9"/>
  <c r="U9" s="1"/>
  <c r="S9"/>
  <c r="V9" s="1"/>
  <c r="R9"/>
  <c r="Y9" s="1"/>
  <c r="S8"/>
  <c r="R8"/>
  <c r="Y8" s="1"/>
  <c r="Y7"/>
  <c r="S7"/>
  <c r="R7"/>
  <c r="S6"/>
  <c r="R6"/>
  <c r="S5"/>
  <c r="R5"/>
  <c r="Y5" s="1"/>
  <c r="S4"/>
  <c r="V4" s="1"/>
  <c r="R4"/>
  <c r="Y214" i="5"/>
  <c r="T214"/>
  <c r="U214" s="1"/>
  <c r="S214"/>
  <c r="R214"/>
  <c r="S213"/>
  <c r="R213"/>
  <c r="T213" s="1"/>
  <c r="U213" s="1"/>
  <c r="Y212"/>
  <c r="T212"/>
  <c r="U212" s="1"/>
  <c r="S212"/>
  <c r="V212" s="1"/>
  <c r="W212" s="1"/>
  <c r="Z212" s="1"/>
  <c r="R212"/>
  <c r="Y210"/>
  <c r="U210"/>
  <c r="S210"/>
  <c r="V210" s="1"/>
  <c r="W210" s="1"/>
  <c r="Z210" s="1"/>
  <c r="R210"/>
  <c r="T210" s="1"/>
  <c r="T208"/>
  <c r="U208" s="1"/>
  <c r="S208"/>
  <c r="R208"/>
  <c r="Y208" s="1"/>
  <c r="Y207"/>
  <c r="S207"/>
  <c r="R207"/>
  <c r="Y206"/>
  <c r="T206"/>
  <c r="U206" s="1"/>
  <c r="S206"/>
  <c r="V206" s="1"/>
  <c r="R206"/>
  <c r="Y205"/>
  <c r="S205"/>
  <c r="T205" s="1"/>
  <c r="U205" s="1"/>
  <c r="R205"/>
  <c r="Y204"/>
  <c r="T204"/>
  <c r="U204" s="1"/>
  <c r="S204"/>
  <c r="R204"/>
  <c r="Y203"/>
  <c r="S203"/>
  <c r="V203" s="1"/>
  <c r="R203"/>
  <c r="U202"/>
  <c r="S202"/>
  <c r="R202"/>
  <c r="T202" s="1"/>
  <c r="T201"/>
  <c r="U201" s="1"/>
  <c r="S201"/>
  <c r="V201" s="1"/>
  <c r="R201"/>
  <c r="Y201" s="1"/>
  <c r="S200"/>
  <c r="R200"/>
  <c r="Y199"/>
  <c r="S199"/>
  <c r="R199"/>
  <c r="Y198"/>
  <c r="T198"/>
  <c r="U198" s="1"/>
  <c r="S198"/>
  <c r="V198" s="1"/>
  <c r="R198"/>
  <c r="Y197"/>
  <c r="S197"/>
  <c r="V197" s="1"/>
  <c r="R197"/>
  <c r="T196"/>
  <c r="U196" s="1"/>
  <c r="S196"/>
  <c r="R196"/>
  <c r="Y196" s="1"/>
  <c r="Y195"/>
  <c r="T195"/>
  <c r="U195" s="1"/>
  <c r="S195"/>
  <c r="V195" s="1"/>
  <c r="W195" s="1"/>
  <c r="Z195" s="1"/>
  <c r="R195"/>
  <c r="Y194"/>
  <c r="S194"/>
  <c r="V194" s="1"/>
  <c r="R194"/>
  <c r="S193"/>
  <c r="R193"/>
  <c r="Y193" s="1"/>
  <c r="S192"/>
  <c r="R192"/>
  <c r="Y192" s="1"/>
  <c r="Y190"/>
  <c r="S190"/>
  <c r="V190" s="1"/>
  <c r="R190"/>
  <c r="S189"/>
  <c r="T189" s="1"/>
  <c r="U189" s="1"/>
  <c r="R189"/>
  <c r="Y189" s="1"/>
  <c r="S187"/>
  <c r="V187" s="1"/>
  <c r="R187"/>
  <c r="Y186"/>
  <c r="V186"/>
  <c r="S186"/>
  <c r="T186" s="1"/>
  <c r="U186" s="1"/>
  <c r="R186"/>
  <c r="S185"/>
  <c r="R185"/>
  <c r="Y185" s="1"/>
  <c r="Y184"/>
  <c r="U184"/>
  <c r="S184"/>
  <c r="R184"/>
  <c r="T184" s="1"/>
  <c r="Y183"/>
  <c r="S183"/>
  <c r="V183" s="1"/>
  <c r="R183"/>
  <c r="Y182"/>
  <c r="V182"/>
  <c r="S182"/>
  <c r="R182"/>
  <c r="T182" s="1"/>
  <c r="U182" s="1"/>
  <c r="Y181"/>
  <c r="T181"/>
  <c r="U181" s="1"/>
  <c r="S181"/>
  <c r="V181" s="1"/>
  <c r="W181" s="1"/>
  <c r="Z181" s="1"/>
  <c r="R181"/>
  <c r="Y180"/>
  <c r="S180"/>
  <c r="V180" s="1"/>
  <c r="R180"/>
  <c r="S179"/>
  <c r="V179" s="1"/>
  <c r="R179"/>
  <c r="Y179" s="1"/>
  <c r="S178"/>
  <c r="R178"/>
  <c r="Y178" s="1"/>
  <c r="S177"/>
  <c r="R177"/>
  <c r="V177" s="1"/>
  <c r="S176"/>
  <c r="R176"/>
  <c r="T176" s="1"/>
  <c r="U176" s="1"/>
  <c r="Y175"/>
  <c r="V175"/>
  <c r="W175" s="1"/>
  <c r="S175"/>
  <c r="R175"/>
  <c r="T175" s="1"/>
  <c r="U175" s="1"/>
  <c r="S173"/>
  <c r="R173"/>
  <c r="S172"/>
  <c r="V172" s="1"/>
  <c r="R172"/>
  <c r="Y172" s="1"/>
  <c r="S171"/>
  <c r="R171"/>
  <c r="V171" s="1"/>
  <c r="S170"/>
  <c r="R170"/>
  <c r="Y170" s="1"/>
  <c r="S169"/>
  <c r="R169"/>
  <c r="V169" s="1"/>
  <c r="T168"/>
  <c r="U168" s="1"/>
  <c r="S168"/>
  <c r="R168"/>
  <c r="V168" s="1"/>
  <c r="W168" s="1"/>
  <c r="Y166"/>
  <c r="V166"/>
  <c r="U166"/>
  <c r="T166"/>
  <c r="S166"/>
  <c r="R166"/>
  <c r="S165"/>
  <c r="R165"/>
  <c r="Y165" s="1"/>
  <c r="Y164"/>
  <c r="T164"/>
  <c r="U164" s="1"/>
  <c r="S164"/>
  <c r="V164" s="1"/>
  <c r="W164" s="1"/>
  <c r="R164"/>
  <c r="Y163"/>
  <c r="V163"/>
  <c r="W163" s="1"/>
  <c r="Z163" s="1"/>
  <c r="U163"/>
  <c r="T163"/>
  <c r="S163"/>
  <c r="R163"/>
  <c r="Y162"/>
  <c r="V162"/>
  <c r="W162" s="1"/>
  <c r="Z162" s="1"/>
  <c r="T162"/>
  <c r="U162" s="1"/>
  <c r="S162"/>
  <c r="R162"/>
  <c r="S161"/>
  <c r="R161"/>
  <c r="Y160"/>
  <c r="U160"/>
  <c r="W160" s="1"/>
  <c r="Z160" s="1"/>
  <c r="T160"/>
  <c r="S160"/>
  <c r="V160" s="1"/>
  <c r="R160"/>
  <c r="S159"/>
  <c r="V159" s="1"/>
  <c r="R159"/>
  <c r="S158"/>
  <c r="R158"/>
  <c r="T158" s="1"/>
  <c r="U158" s="1"/>
  <c r="Y157"/>
  <c r="S157"/>
  <c r="V157" s="1"/>
  <c r="R157"/>
  <c r="Y156"/>
  <c r="T156"/>
  <c r="U156" s="1"/>
  <c r="S156"/>
  <c r="V156" s="1"/>
  <c r="R156"/>
  <c r="Y155"/>
  <c r="U155"/>
  <c r="S155"/>
  <c r="T155" s="1"/>
  <c r="R155"/>
  <c r="Y154"/>
  <c r="V154"/>
  <c r="U154"/>
  <c r="T154"/>
  <c r="S154"/>
  <c r="R154"/>
  <c r="S153"/>
  <c r="R153"/>
  <c r="Y153" s="1"/>
  <c r="Y152"/>
  <c r="S152"/>
  <c r="R152"/>
  <c r="V151"/>
  <c r="W151" s="1"/>
  <c r="U151"/>
  <c r="S151"/>
  <c r="R151"/>
  <c r="T151" s="1"/>
  <c r="V150"/>
  <c r="W150" s="1"/>
  <c r="Z150" s="1"/>
  <c r="T150"/>
  <c r="U150" s="1"/>
  <c r="S150"/>
  <c r="R150"/>
  <c r="Y150" s="1"/>
  <c r="S149"/>
  <c r="V149" s="1"/>
  <c r="R149"/>
  <c r="Y148"/>
  <c r="V148"/>
  <c r="T148"/>
  <c r="U148" s="1"/>
  <c r="S148"/>
  <c r="R148"/>
  <c r="Y147"/>
  <c r="S147"/>
  <c r="R147"/>
  <c r="T146"/>
  <c r="U146" s="1"/>
  <c r="W146" s="1"/>
  <c r="Z146" s="1"/>
  <c r="S146"/>
  <c r="V146" s="1"/>
  <c r="R146"/>
  <c r="Y146" s="1"/>
  <c r="Y145"/>
  <c r="S145"/>
  <c r="V145" s="1"/>
  <c r="R145"/>
  <c r="Y144"/>
  <c r="S144"/>
  <c r="R144"/>
  <c r="Y143"/>
  <c r="S143"/>
  <c r="V143" s="1"/>
  <c r="R143"/>
  <c r="Y142"/>
  <c r="V142"/>
  <c r="W142" s="1"/>
  <c r="Z142" s="1"/>
  <c r="T142"/>
  <c r="U142" s="1"/>
  <c r="S142"/>
  <c r="R142"/>
  <c r="Y141"/>
  <c r="S141"/>
  <c r="R141"/>
  <c r="Y140"/>
  <c r="W140"/>
  <c r="Z140" s="1"/>
  <c r="U140"/>
  <c r="T140"/>
  <c r="S140"/>
  <c r="V140" s="1"/>
  <c r="R140"/>
  <c r="Y139"/>
  <c r="V139"/>
  <c r="S139"/>
  <c r="T139" s="1"/>
  <c r="U139" s="1"/>
  <c r="W139" s="1"/>
  <c r="Z139" s="1"/>
  <c r="R139"/>
  <c r="S138"/>
  <c r="R138"/>
  <c r="Y138" s="1"/>
  <c r="Y137"/>
  <c r="T137"/>
  <c r="U137" s="1"/>
  <c r="W137" s="1"/>
  <c r="Z137" s="1"/>
  <c r="S137"/>
  <c r="V137" s="1"/>
  <c r="R137"/>
  <c r="Y136"/>
  <c r="S136"/>
  <c r="V136" s="1"/>
  <c r="R136"/>
  <c r="S135"/>
  <c r="R135"/>
  <c r="V135" s="1"/>
  <c r="Y134"/>
  <c r="U134"/>
  <c r="S134"/>
  <c r="R134"/>
  <c r="T134" s="1"/>
  <c r="Y133"/>
  <c r="S133"/>
  <c r="R133"/>
  <c r="T133" s="1"/>
  <c r="U133" s="1"/>
  <c r="Y132"/>
  <c r="V132"/>
  <c r="S132"/>
  <c r="T132" s="1"/>
  <c r="U132" s="1"/>
  <c r="W132" s="1"/>
  <c r="Z132" s="1"/>
  <c r="R132"/>
  <c r="Y131"/>
  <c r="S131"/>
  <c r="T131" s="1"/>
  <c r="U131" s="1"/>
  <c r="R131"/>
  <c r="Y130"/>
  <c r="T130"/>
  <c r="U130" s="1"/>
  <c r="S130"/>
  <c r="V130" s="1"/>
  <c r="R130"/>
  <c r="Y129"/>
  <c r="S129"/>
  <c r="R129"/>
  <c r="Y128"/>
  <c r="S128"/>
  <c r="R128"/>
  <c r="Y127"/>
  <c r="S127"/>
  <c r="V127" s="1"/>
  <c r="R127"/>
  <c r="Y126"/>
  <c r="T126"/>
  <c r="U126" s="1"/>
  <c r="S126"/>
  <c r="V126" s="1"/>
  <c r="W126" s="1"/>
  <c r="Z126" s="1"/>
  <c r="R126"/>
  <c r="Y125"/>
  <c r="S125"/>
  <c r="R125"/>
  <c r="Y124"/>
  <c r="T124"/>
  <c r="U124" s="1"/>
  <c r="S124"/>
  <c r="V124" s="1"/>
  <c r="R124"/>
  <c r="Z123"/>
  <c r="Y123"/>
  <c r="V123"/>
  <c r="W123" s="1"/>
  <c r="U123"/>
  <c r="T123"/>
  <c r="S123"/>
  <c r="R123"/>
  <c r="Y122"/>
  <c r="U122"/>
  <c r="S122"/>
  <c r="V122" s="1"/>
  <c r="W122" s="1"/>
  <c r="R122"/>
  <c r="T122" s="1"/>
  <c r="S121"/>
  <c r="R121"/>
  <c r="T121" s="1"/>
  <c r="U121" s="1"/>
  <c r="Y120"/>
  <c r="V120"/>
  <c r="W120" s="1"/>
  <c r="Z120" s="1"/>
  <c r="S120"/>
  <c r="T120" s="1"/>
  <c r="U120" s="1"/>
  <c r="R120"/>
  <c r="S119"/>
  <c r="V119" s="1"/>
  <c r="R119"/>
  <c r="S118"/>
  <c r="V118" s="1"/>
  <c r="R118"/>
  <c r="Y118" s="1"/>
  <c r="S117"/>
  <c r="R117"/>
  <c r="Y117" s="1"/>
  <c r="Y116"/>
  <c r="S116"/>
  <c r="R116"/>
  <c r="T115"/>
  <c r="U115" s="1"/>
  <c r="S115"/>
  <c r="V115" s="1"/>
  <c r="R115"/>
  <c r="Y115" s="1"/>
  <c r="U114"/>
  <c r="S114"/>
  <c r="R114"/>
  <c r="T114" s="1"/>
  <c r="Y113"/>
  <c r="S113"/>
  <c r="V113" s="1"/>
  <c r="R113"/>
  <c r="Y112"/>
  <c r="V112"/>
  <c r="T112"/>
  <c r="U112" s="1"/>
  <c r="S112"/>
  <c r="R112"/>
  <c r="S111"/>
  <c r="V111" s="1"/>
  <c r="R111"/>
  <c r="Y110"/>
  <c r="V110"/>
  <c r="W110" s="1"/>
  <c r="Z110" s="1"/>
  <c r="U110"/>
  <c r="T110"/>
  <c r="S110"/>
  <c r="R110"/>
  <c r="Y109"/>
  <c r="S109"/>
  <c r="R109"/>
  <c r="Y108"/>
  <c r="S108"/>
  <c r="V108" s="1"/>
  <c r="R108"/>
  <c r="Y107"/>
  <c r="S107"/>
  <c r="R107"/>
  <c r="T107" s="1"/>
  <c r="U107" s="1"/>
  <c r="Y106"/>
  <c r="S106"/>
  <c r="R106"/>
  <c r="Y105"/>
  <c r="U105"/>
  <c r="W105" s="1"/>
  <c r="Z105" s="1"/>
  <c r="T105"/>
  <c r="S105"/>
  <c r="V105" s="1"/>
  <c r="R105"/>
  <c r="Y104"/>
  <c r="S104"/>
  <c r="T104" s="1"/>
  <c r="U104" s="1"/>
  <c r="R104"/>
  <c r="Y103"/>
  <c r="S103"/>
  <c r="V103" s="1"/>
  <c r="R103"/>
  <c r="Y102"/>
  <c r="V102"/>
  <c r="W102" s="1"/>
  <c r="Z102" s="1"/>
  <c r="S102"/>
  <c r="T102" s="1"/>
  <c r="U102" s="1"/>
  <c r="R102"/>
  <c r="Z101"/>
  <c r="Y101"/>
  <c r="T101"/>
  <c r="U101" s="1"/>
  <c r="S101"/>
  <c r="V101" s="1"/>
  <c r="W101" s="1"/>
  <c r="R101"/>
  <c r="Y100"/>
  <c r="W100"/>
  <c r="Z100" s="1"/>
  <c r="T100"/>
  <c r="U100" s="1"/>
  <c r="S100"/>
  <c r="V100" s="1"/>
  <c r="R100"/>
  <c r="Y99"/>
  <c r="U99"/>
  <c r="S99"/>
  <c r="V99" s="1"/>
  <c r="R99"/>
  <c r="T99" s="1"/>
  <c r="S98"/>
  <c r="V98" s="1"/>
  <c r="R98"/>
  <c r="Y97"/>
  <c r="S97"/>
  <c r="R97"/>
  <c r="T97" s="1"/>
  <c r="U97" s="1"/>
  <c r="Y96"/>
  <c r="V96"/>
  <c r="T96"/>
  <c r="U96" s="1"/>
  <c r="S96"/>
  <c r="R96"/>
  <c r="S95"/>
  <c r="R95"/>
  <c r="S94"/>
  <c r="R94"/>
  <c r="Y94" s="1"/>
  <c r="S93"/>
  <c r="R93"/>
  <c r="Y92"/>
  <c r="S92"/>
  <c r="V92" s="1"/>
  <c r="R92"/>
  <c r="Y91"/>
  <c r="U91"/>
  <c r="S91"/>
  <c r="R91"/>
  <c r="T91" s="1"/>
  <c r="Y90"/>
  <c r="V90"/>
  <c r="U90"/>
  <c r="T90"/>
  <c r="S90"/>
  <c r="R90"/>
  <c r="T89"/>
  <c r="U89" s="1"/>
  <c r="S89"/>
  <c r="V89" s="1"/>
  <c r="R89"/>
  <c r="Y89" s="1"/>
  <c r="Y88"/>
  <c r="V88"/>
  <c r="S88"/>
  <c r="T88" s="1"/>
  <c r="U88" s="1"/>
  <c r="R88"/>
  <c r="Y86"/>
  <c r="S86"/>
  <c r="V86" s="1"/>
  <c r="R86"/>
  <c r="T86" s="1"/>
  <c r="U86" s="1"/>
  <c r="Y85"/>
  <c r="S85"/>
  <c r="T85" s="1"/>
  <c r="U85" s="1"/>
  <c r="R85"/>
  <c r="S84"/>
  <c r="T84" s="1"/>
  <c r="U84" s="1"/>
  <c r="R84"/>
  <c r="Y84" s="1"/>
  <c r="Y83"/>
  <c r="S83"/>
  <c r="V83" s="1"/>
  <c r="R83"/>
  <c r="T83" s="1"/>
  <c r="U83" s="1"/>
  <c r="Y82"/>
  <c r="W82"/>
  <c r="Z82" s="1"/>
  <c r="T82"/>
  <c r="U82" s="1"/>
  <c r="S82"/>
  <c r="V82" s="1"/>
  <c r="R82"/>
  <c r="Y81"/>
  <c r="T81"/>
  <c r="U81" s="1"/>
  <c r="S81"/>
  <c r="R81"/>
  <c r="V81" s="1"/>
  <c r="W81" s="1"/>
  <c r="Z81" s="1"/>
  <c r="S80"/>
  <c r="R80"/>
  <c r="Y80" s="1"/>
  <c r="Y79"/>
  <c r="V79"/>
  <c r="S79"/>
  <c r="R79"/>
  <c r="T79" s="1"/>
  <c r="U79" s="1"/>
  <c r="Y78"/>
  <c r="S78"/>
  <c r="V78" s="1"/>
  <c r="R78"/>
  <c r="T78" s="1"/>
  <c r="U78" s="1"/>
  <c r="S77"/>
  <c r="V77" s="1"/>
  <c r="R77"/>
  <c r="S76"/>
  <c r="V76" s="1"/>
  <c r="R76"/>
  <c r="V75"/>
  <c r="W75" s="1"/>
  <c r="S75"/>
  <c r="R75"/>
  <c r="T75" s="1"/>
  <c r="U75" s="1"/>
  <c r="S74"/>
  <c r="V74" s="1"/>
  <c r="R74"/>
  <c r="Y74" s="1"/>
  <c r="T73"/>
  <c r="U73" s="1"/>
  <c r="S73"/>
  <c r="R73"/>
  <c r="V73" s="1"/>
  <c r="W73" s="1"/>
  <c r="S72"/>
  <c r="R72"/>
  <c r="Y72" s="1"/>
  <c r="V71"/>
  <c r="W71" s="1"/>
  <c r="Z71" s="1"/>
  <c r="T71"/>
  <c r="U71" s="1"/>
  <c r="S71"/>
  <c r="R71"/>
  <c r="Y71" s="1"/>
  <c r="T70"/>
  <c r="U70" s="1"/>
  <c r="S70"/>
  <c r="R70"/>
  <c r="Y70" s="1"/>
  <c r="Y69"/>
  <c r="V69"/>
  <c r="T69"/>
  <c r="U69" s="1"/>
  <c r="S69"/>
  <c r="R69"/>
  <c r="T68"/>
  <c r="U68" s="1"/>
  <c r="S68"/>
  <c r="V68" s="1"/>
  <c r="W68" s="1"/>
  <c r="Z68" s="1"/>
  <c r="R68"/>
  <c r="Y68" s="1"/>
  <c r="Y67"/>
  <c r="V67"/>
  <c r="T67"/>
  <c r="U67" s="1"/>
  <c r="S67"/>
  <c r="R67"/>
  <c r="Y66"/>
  <c r="W66"/>
  <c r="V66"/>
  <c r="U66"/>
  <c r="T66"/>
  <c r="S66"/>
  <c r="R66"/>
  <c r="T65"/>
  <c r="U65" s="1"/>
  <c r="S65"/>
  <c r="R65"/>
  <c r="Y65" s="1"/>
  <c r="V64"/>
  <c r="W64" s="1"/>
  <c r="Z64" s="1"/>
  <c r="T64"/>
  <c r="U64" s="1"/>
  <c r="S64"/>
  <c r="R64"/>
  <c r="Y64" s="1"/>
  <c r="Y63"/>
  <c r="W63"/>
  <c r="Z63" s="1"/>
  <c r="V63"/>
  <c r="T63"/>
  <c r="U63" s="1"/>
  <c r="S63"/>
  <c r="R63"/>
  <c r="Y62"/>
  <c r="S62"/>
  <c r="T62" s="1"/>
  <c r="U62" s="1"/>
  <c r="R62"/>
  <c r="T61"/>
  <c r="U61" s="1"/>
  <c r="W61" s="1"/>
  <c r="Z61" s="1"/>
  <c r="S61"/>
  <c r="V61" s="1"/>
  <c r="R61"/>
  <c r="Y61" s="1"/>
  <c r="V60"/>
  <c r="W60" s="1"/>
  <c r="Z60" s="1"/>
  <c r="U60"/>
  <c r="T60"/>
  <c r="S60"/>
  <c r="R60"/>
  <c r="Y60" s="1"/>
  <c r="Y59"/>
  <c r="S59"/>
  <c r="T59" s="1"/>
  <c r="U59" s="1"/>
  <c r="R59"/>
  <c r="Y58"/>
  <c r="V58"/>
  <c r="U58"/>
  <c r="T58"/>
  <c r="S58"/>
  <c r="R58"/>
  <c r="Y57"/>
  <c r="S57"/>
  <c r="R57"/>
  <c r="T57" s="1"/>
  <c r="U57" s="1"/>
  <c r="S56"/>
  <c r="R56"/>
  <c r="S55"/>
  <c r="R55"/>
  <c r="V55" s="1"/>
  <c r="Y54"/>
  <c r="S54"/>
  <c r="V54" s="1"/>
  <c r="R54"/>
  <c r="T54" s="1"/>
  <c r="U54" s="1"/>
  <c r="Y53"/>
  <c r="S53"/>
  <c r="T53" s="1"/>
  <c r="U53" s="1"/>
  <c r="R53"/>
  <c r="V52"/>
  <c r="W52" s="1"/>
  <c r="Z52" s="1"/>
  <c r="S52"/>
  <c r="T52" s="1"/>
  <c r="U52" s="1"/>
  <c r="R52"/>
  <c r="Y52" s="1"/>
  <c r="Z51"/>
  <c r="Y51"/>
  <c r="S51"/>
  <c r="V51" s="1"/>
  <c r="W51" s="1"/>
  <c r="R51"/>
  <c r="T51" s="1"/>
  <c r="U51" s="1"/>
  <c r="Z50"/>
  <c r="Y50"/>
  <c r="W50"/>
  <c r="T50"/>
  <c r="U50" s="1"/>
  <c r="S50"/>
  <c r="V50" s="1"/>
  <c r="R50"/>
  <c r="T49"/>
  <c r="U49" s="1"/>
  <c r="W49" s="1"/>
  <c r="S49"/>
  <c r="R49"/>
  <c r="V49" s="1"/>
  <c r="S48"/>
  <c r="R48"/>
  <c r="S47"/>
  <c r="R47"/>
  <c r="T47" s="1"/>
  <c r="U47" s="1"/>
  <c r="S46"/>
  <c r="V46" s="1"/>
  <c r="R46"/>
  <c r="Y46" s="1"/>
  <c r="S45"/>
  <c r="V45" s="1"/>
  <c r="R45"/>
  <c r="S44"/>
  <c r="V44" s="1"/>
  <c r="R44"/>
  <c r="Y43"/>
  <c r="V43"/>
  <c r="S43"/>
  <c r="R43"/>
  <c r="S42"/>
  <c r="V42" s="1"/>
  <c r="R42"/>
  <c r="Y42" s="1"/>
  <c r="T41"/>
  <c r="U41" s="1"/>
  <c r="S41"/>
  <c r="R41"/>
  <c r="V41" s="1"/>
  <c r="W41" s="1"/>
  <c r="S40"/>
  <c r="V40" s="1"/>
  <c r="R40"/>
  <c r="Y40" s="1"/>
  <c r="T39"/>
  <c r="U39" s="1"/>
  <c r="S39"/>
  <c r="V39" s="1"/>
  <c r="W39" s="1"/>
  <c r="R39"/>
  <c r="Y39" s="1"/>
  <c r="T38"/>
  <c r="U38" s="1"/>
  <c r="S38"/>
  <c r="V38" s="1"/>
  <c r="R38"/>
  <c r="Y38" s="1"/>
  <c r="Y37"/>
  <c r="S37"/>
  <c r="T37" s="1"/>
  <c r="U37" s="1"/>
  <c r="R37"/>
  <c r="V36"/>
  <c r="S36"/>
  <c r="T36" s="1"/>
  <c r="U36" s="1"/>
  <c r="R36"/>
  <c r="Y36" s="1"/>
  <c r="S35"/>
  <c r="V35" s="1"/>
  <c r="R35"/>
  <c r="T35" s="1"/>
  <c r="U35" s="1"/>
  <c r="Y34"/>
  <c r="V34"/>
  <c r="W34" s="1"/>
  <c r="Z34" s="1"/>
  <c r="U34"/>
  <c r="T34"/>
  <c r="S34"/>
  <c r="R34"/>
  <c r="S33"/>
  <c r="R33"/>
  <c r="Y33" s="1"/>
  <c r="S32"/>
  <c r="V32" s="1"/>
  <c r="R32"/>
  <c r="Y32" s="1"/>
  <c r="Y31"/>
  <c r="V31"/>
  <c r="W31" s="1"/>
  <c r="Z31" s="1"/>
  <c r="T31"/>
  <c r="U31" s="1"/>
  <c r="S31"/>
  <c r="R31"/>
  <c r="Y30"/>
  <c r="V30"/>
  <c r="T30"/>
  <c r="U30" s="1"/>
  <c r="S30"/>
  <c r="R30"/>
  <c r="V29"/>
  <c r="T29"/>
  <c r="U29" s="1"/>
  <c r="W29" s="1"/>
  <c r="Z29" s="1"/>
  <c r="S29"/>
  <c r="R29"/>
  <c r="Y29" s="1"/>
  <c r="V28"/>
  <c r="W28" s="1"/>
  <c r="Z28" s="1"/>
  <c r="U28"/>
  <c r="T28"/>
  <c r="S28"/>
  <c r="R28"/>
  <c r="Y28" s="1"/>
  <c r="Y27"/>
  <c r="S27"/>
  <c r="T27" s="1"/>
  <c r="U27" s="1"/>
  <c r="R27"/>
  <c r="Y26"/>
  <c r="V26"/>
  <c r="W26" s="1"/>
  <c r="Z26" s="1"/>
  <c r="U26"/>
  <c r="T26"/>
  <c r="S26"/>
  <c r="R26"/>
  <c r="S25"/>
  <c r="R25"/>
  <c r="Y25" s="1"/>
  <c r="S24"/>
  <c r="R24"/>
  <c r="V24" s="1"/>
  <c r="T23"/>
  <c r="U23" s="1"/>
  <c r="S23"/>
  <c r="R23"/>
  <c r="V23" s="1"/>
  <c r="W23" s="1"/>
  <c r="Y22"/>
  <c r="S22"/>
  <c r="V22" s="1"/>
  <c r="R22"/>
  <c r="Y21"/>
  <c r="V21"/>
  <c r="W21" s="1"/>
  <c r="Z21" s="1"/>
  <c r="S21"/>
  <c r="T21" s="1"/>
  <c r="U21" s="1"/>
  <c r="R21"/>
  <c r="U20"/>
  <c r="S20"/>
  <c r="T20" s="1"/>
  <c r="R20"/>
  <c r="Y20" s="1"/>
  <c r="Y19"/>
  <c r="T19"/>
  <c r="U19" s="1"/>
  <c r="S19"/>
  <c r="V19" s="1"/>
  <c r="W19" s="1"/>
  <c r="Z19" s="1"/>
  <c r="R19"/>
  <c r="S18"/>
  <c r="R18"/>
  <c r="Y18" s="1"/>
  <c r="Y17"/>
  <c r="S17"/>
  <c r="V17" s="1"/>
  <c r="R17"/>
  <c r="S16"/>
  <c r="V16" s="1"/>
  <c r="R16"/>
  <c r="S15"/>
  <c r="V15" s="1"/>
  <c r="R15"/>
  <c r="Y14"/>
  <c r="U14"/>
  <c r="W14" s="1"/>
  <c r="Z14" s="1"/>
  <c r="T14"/>
  <c r="S14"/>
  <c r="V14" s="1"/>
  <c r="R14"/>
  <c r="S13"/>
  <c r="R13"/>
  <c r="Y13" s="1"/>
  <c r="S12"/>
  <c r="R12"/>
  <c r="Y12" s="1"/>
  <c r="Y11"/>
  <c r="V11"/>
  <c r="S11"/>
  <c r="T11" s="1"/>
  <c r="U11" s="1"/>
  <c r="R11"/>
  <c r="S10"/>
  <c r="V10" s="1"/>
  <c r="R10"/>
  <c r="Y10" s="1"/>
  <c r="T9"/>
  <c r="U9" s="1"/>
  <c r="S9"/>
  <c r="V9" s="1"/>
  <c r="W9" s="1"/>
  <c r="Z9" s="1"/>
  <c r="R9"/>
  <c r="Y9" s="1"/>
  <c r="V8"/>
  <c r="U8"/>
  <c r="W8" s="1"/>
  <c r="Z8" s="1"/>
  <c r="T8"/>
  <c r="S8"/>
  <c r="R8"/>
  <c r="Y8" s="1"/>
  <c r="Y7"/>
  <c r="V7"/>
  <c r="W7" s="1"/>
  <c r="Z7" s="1"/>
  <c r="T7"/>
  <c r="U7" s="1"/>
  <c r="S7"/>
  <c r="R7"/>
  <c r="Y6"/>
  <c r="T6"/>
  <c r="U6" s="1"/>
  <c r="S6"/>
  <c r="V6" s="1"/>
  <c r="R6"/>
  <c r="Y5"/>
  <c r="S5"/>
  <c r="R5"/>
  <c r="S4"/>
  <c r="R4"/>
  <c r="Y214" i="4"/>
  <c r="V214"/>
  <c r="S214"/>
  <c r="R214"/>
  <c r="Y213"/>
  <c r="S213"/>
  <c r="V213" s="1"/>
  <c r="R213"/>
  <c r="T213" s="1"/>
  <c r="U213" s="1"/>
  <c r="Y212"/>
  <c r="V212"/>
  <c r="W212" s="1"/>
  <c r="Z212" s="1"/>
  <c r="S212"/>
  <c r="T212" s="1"/>
  <c r="U212" s="1"/>
  <c r="R212"/>
  <c r="T210"/>
  <c r="U210" s="1"/>
  <c r="S210"/>
  <c r="R210"/>
  <c r="V210" s="1"/>
  <c r="W210" s="1"/>
  <c r="V208"/>
  <c r="S208"/>
  <c r="T208" s="1"/>
  <c r="U208" s="1"/>
  <c r="R208"/>
  <c r="Y208" s="1"/>
  <c r="T207"/>
  <c r="U207" s="1"/>
  <c r="S207"/>
  <c r="R207"/>
  <c r="Y207" s="1"/>
  <c r="Y206"/>
  <c r="W206"/>
  <c r="Z206" s="1"/>
  <c r="V206"/>
  <c r="U206"/>
  <c r="T206"/>
  <c r="S206"/>
  <c r="R206"/>
  <c r="U205"/>
  <c r="S205"/>
  <c r="R205"/>
  <c r="T205" s="1"/>
  <c r="Y204"/>
  <c r="V204"/>
  <c r="W204" s="1"/>
  <c r="Z204" s="1"/>
  <c r="T204"/>
  <c r="U204" s="1"/>
  <c r="S204"/>
  <c r="R204"/>
  <c r="Y203"/>
  <c r="T203"/>
  <c r="U203" s="1"/>
  <c r="S203"/>
  <c r="V203" s="1"/>
  <c r="R203"/>
  <c r="Y202"/>
  <c r="V202"/>
  <c r="U202"/>
  <c r="T202"/>
  <c r="S202"/>
  <c r="R202"/>
  <c r="V201"/>
  <c r="S201"/>
  <c r="R201"/>
  <c r="T201" s="1"/>
  <c r="U201" s="1"/>
  <c r="S200"/>
  <c r="R200"/>
  <c r="Y200" s="1"/>
  <c r="S199"/>
  <c r="V199" s="1"/>
  <c r="R199"/>
  <c r="T199" s="1"/>
  <c r="U199" s="1"/>
  <c r="Y198"/>
  <c r="V198"/>
  <c r="W198" s="1"/>
  <c r="Z198" s="1"/>
  <c r="U198"/>
  <c r="T198"/>
  <c r="S198"/>
  <c r="R198"/>
  <c r="T197"/>
  <c r="U197" s="1"/>
  <c r="S197"/>
  <c r="V197" s="1"/>
  <c r="W197" s="1"/>
  <c r="Z197" s="1"/>
  <c r="R197"/>
  <c r="Y197" s="1"/>
  <c r="S196"/>
  <c r="V196" s="1"/>
  <c r="R196"/>
  <c r="Y196" s="1"/>
  <c r="S195"/>
  <c r="R195"/>
  <c r="Y195" s="1"/>
  <c r="Y194"/>
  <c r="V194"/>
  <c r="W194" s="1"/>
  <c r="Z194" s="1"/>
  <c r="S194"/>
  <c r="T194" s="1"/>
  <c r="U194" s="1"/>
  <c r="R194"/>
  <c r="V193"/>
  <c r="S193"/>
  <c r="R193"/>
  <c r="T193" s="1"/>
  <c r="U193" s="1"/>
  <c r="S192"/>
  <c r="R192"/>
  <c r="V192" s="1"/>
  <c r="V190"/>
  <c r="S190"/>
  <c r="R190"/>
  <c r="Y190" s="1"/>
  <c r="Y189"/>
  <c r="V189"/>
  <c r="W189" s="1"/>
  <c r="Z189" s="1"/>
  <c r="U189"/>
  <c r="T189"/>
  <c r="S189"/>
  <c r="R189"/>
  <c r="Y187"/>
  <c r="S187"/>
  <c r="V187" s="1"/>
  <c r="R187"/>
  <c r="Y186"/>
  <c r="T186"/>
  <c r="U186" s="1"/>
  <c r="S186"/>
  <c r="R186"/>
  <c r="V186" s="1"/>
  <c r="W186" s="1"/>
  <c r="Z186" s="1"/>
  <c r="S185"/>
  <c r="V185" s="1"/>
  <c r="R185"/>
  <c r="V184"/>
  <c r="S184"/>
  <c r="R184"/>
  <c r="Y183"/>
  <c r="T183"/>
  <c r="U183" s="1"/>
  <c r="S183"/>
  <c r="V183" s="1"/>
  <c r="W183" s="1"/>
  <c r="Z183" s="1"/>
  <c r="R183"/>
  <c r="Y182"/>
  <c r="V182"/>
  <c r="U182"/>
  <c r="T182"/>
  <c r="S182"/>
  <c r="R182"/>
  <c r="Y181"/>
  <c r="T181"/>
  <c r="U181" s="1"/>
  <c r="S181"/>
  <c r="R181"/>
  <c r="V181" s="1"/>
  <c r="Y180"/>
  <c r="V180"/>
  <c r="W180" s="1"/>
  <c r="Z180" s="1"/>
  <c r="U180"/>
  <c r="T180"/>
  <c r="S180"/>
  <c r="R180"/>
  <c r="Y179"/>
  <c r="V179"/>
  <c r="S179"/>
  <c r="R179"/>
  <c r="Y178"/>
  <c r="T178"/>
  <c r="U178" s="1"/>
  <c r="S178"/>
  <c r="V178" s="1"/>
  <c r="W178" s="1"/>
  <c r="Z178" s="1"/>
  <c r="R178"/>
  <c r="Y177"/>
  <c r="S177"/>
  <c r="V177" s="1"/>
  <c r="R177"/>
  <c r="Y176"/>
  <c r="S176"/>
  <c r="T176" s="1"/>
  <c r="U176" s="1"/>
  <c r="R176"/>
  <c r="S175"/>
  <c r="R175"/>
  <c r="T175" s="1"/>
  <c r="U175" s="1"/>
  <c r="V173"/>
  <c r="S173"/>
  <c r="R173"/>
  <c r="T173" s="1"/>
  <c r="U173" s="1"/>
  <c r="S172"/>
  <c r="T172" s="1"/>
  <c r="U172" s="1"/>
  <c r="R172"/>
  <c r="Y172" s="1"/>
  <c r="Y171"/>
  <c r="W171"/>
  <c r="Z171" s="1"/>
  <c r="V171"/>
  <c r="U171"/>
  <c r="T171"/>
  <c r="S171"/>
  <c r="R171"/>
  <c r="Y170"/>
  <c r="V170"/>
  <c r="U170"/>
  <c r="T170"/>
  <c r="S170"/>
  <c r="R170"/>
  <c r="Y169"/>
  <c r="V169"/>
  <c r="T169"/>
  <c r="U169" s="1"/>
  <c r="W169" s="1"/>
  <c r="Z169" s="1"/>
  <c r="S169"/>
  <c r="R169"/>
  <c r="Y168"/>
  <c r="T168"/>
  <c r="U168" s="1"/>
  <c r="S168"/>
  <c r="V168" s="1"/>
  <c r="R168"/>
  <c r="S166"/>
  <c r="R166"/>
  <c r="Y166" s="1"/>
  <c r="Y165"/>
  <c r="V165"/>
  <c r="S165"/>
  <c r="T165" s="1"/>
  <c r="U165" s="1"/>
  <c r="R165"/>
  <c r="S164"/>
  <c r="R164"/>
  <c r="Y164" s="1"/>
  <c r="T163"/>
  <c r="U163" s="1"/>
  <c r="S163"/>
  <c r="R163"/>
  <c r="Y163" s="1"/>
  <c r="Y162"/>
  <c r="V162"/>
  <c r="W162" s="1"/>
  <c r="Z162" s="1"/>
  <c r="U162"/>
  <c r="T162"/>
  <c r="S162"/>
  <c r="R162"/>
  <c r="Y161"/>
  <c r="V161"/>
  <c r="U161"/>
  <c r="W161" s="1"/>
  <c r="Z161" s="1"/>
  <c r="T161"/>
  <c r="S161"/>
  <c r="R161"/>
  <c r="S160"/>
  <c r="R160"/>
  <c r="Y160" s="1"/>
  <c r="Y159"/>
  <c r="T159"/>
  <c r="U159" s="1"/>
  <c r="S159"/>
  <c r="V159" s="1"/>
  <c r="R159"/>
  <c r="S158"/>
  <c r="R158"/>
  <c r="Y158" s="1"/>
  <c r="S157"/>
  <c r="R157"/>
  <c r="V157" s="1"/>
  <c r="T156"/>
  <c r="U156" s="1"/>
  <c r="S156"/>
  <c r="R156"/>
  <c r="Y156" s="1"/>
  <c r="S155"/>
  <c r="V155" s="1"/>
  <c r="R155"/>
  <c r="Y155" s="1"/>
  <c r="Y154"/>
  <c r="V154"/>
  <c r="T154"/>
  <c r="U154" s="1"/>
  <c r="W154" s="1"/>
  <c r="Z154" s="1"/>
  <c r="S154"/>
  <c r="R154"/>
  <c r="S153"/>
  <c r="R153"/>
  <c r="Y153" s="1"/>
  <c r="V152"/>
  <c r="W152" s="1"/>
  <c r="Z152" s="1"/>
  <c r="S152"/>
  <c r="T152" s="1"/>
  <c r="U152" s="1"/>
  <c r="R152"/>
  <c r="Y152" s="1"/>
  <c r="Y151"/>
  <c r="V151"/>
  <c r="W151" s="1"/>
  <c r="Z151" s="1"/>
  <c r="S151"/>
  <c r="T151" s="1"/>
  <c r="U151" s="1"/>
  <c r="R151"/>
  <c r="Y150"/>
  <c r="V150"/>
  <c r="W150" s="1"/>
  <c r="Z150" s="1"/>
  <c r="S150"/>
  <c r="T150" s="1"/>
  <c r="U150" s="1"/>
  <c r="R150"/>
  <c r="S149"/>
  <c r="R149"/>
  <c r="Y149" s="1"/>
  <c r="S148"/>
  <c r="R148"/>
  <c r="S147"/>
  <c r="V147" s="1"/>
  <c r="W147" s="1"/>
  <c r="R147"/>
  <c r="T147" s="1"/>
  <c r="U147" s="1"/>
  <c r="S146"/>
  <c r="R146"/>
  <c r="T146" s="1"/>
  <c r="U146" s="1"/>
  <c r="S145"/>
  <c r="R145"/>
  <c r="Y145" s="1"/>
  <c r="Y144"/>
  <c r="T144"/>
  <c r="U144" s="1"/>
  <c r="S144"/>
  <c r="V144" s="1"/>
  <c r="W144" s="1"/>
  <c r="Z144" s="1"/>
  <c r="R144"/>
  <c r="Y143"/>
  <c r="W143"/>
  <c r="Z143" s="1"/>
  <c r="V143"/>
  <c r="U143"/>
  <c r="T143"/>
  <c r="S143"/>
  <c r="R143"/>
  <c r="Y142"/>
  <c r="V142"/>
  <c r="W142" s="1"/>
  <c r="Z142" s="1"/>
  <c r="U142"/>
  <c r="T142"/>
  <c r="S142"/>
  <c r="R142"/>
  <c r="Y141"/>
  <c r="S141"/>
  <c r="T141" s="1"/>
  <c r="U141" s="1"/>
  <c r="R141"/>
  <c r="Y140"/>
  <c r="S140"/>
  <c r="V140" s="1"/>
  <c r="R140"/>
  <c r="Y139"/>
  <c r="T139"/>
  <c r="U139" s="1"/>
  <c r="S139"/>
  <c r="V139" s="1"/>
  <c r="R139"/>
  <c r="V138"/>
  <c r="S138"/>
  <c r="R138"/>
  <c r="T138" s="1"/>
  <c r="U138" s="1"/>
  <c r="S137"/>
  <c r="R137"/>
  <c r="V137" s="1"/>
  <c r="W136"/>
  <c r="Z136" s="1"/>
  <c r="T136"/>
  <c r="U136" s="1"/>
  <c r="S136"/>
  <c r="V136" s="1"/>
  <c r="R136"/>
  <c r="Y136" s="1"/>
  <c r="Y135"/>
  <c r="S135"/>
  <c r="V135" s="1"/>
  <c r="R135"/>
  <c r="V134"/>
  <c r="S134"/>
  <c r="T134" s="1"/>
  <c r="U134" s="1"/>
  <c r="R134"/>
  <c r="Y134" s="1"/>
  <c r="V133"/>
  <c r="W133" s="1"/>
  <c r="Z133" s="1"/>
  <c r="T133"/>
  <c r="U133" s="1"/>
  <c r="S133"/>
  <c r="R133"/>
  <c r="Y133" s="1"/>
  <c r="Z132"/>
  <c r="Y132"/>
  <c r="W132"/>
  <c r="U132"/>
  <c r="T132"/>
  <c r="S132"/>
  <c r="V132" s="1"/>
  <c r="R132"/>
  <c r="S131"/>
  <c r="V131" s="1"/>
  <c r="R131"/>
  <c r="T131" s="1"/>
  <c r="U131" s="1"/>
  <c r="Y130"/>
  <c r="S130"/>
  <c r="T130" s="1"/>
  <c r="U130" s="1"/>
  <c r="R130"/>
  <c r="Y129"/>
  <c r="T129"/>
  <c r="U129" s="1"/>
  <c r="S129"/>
  <c r="V129" s="1"/>
  <c r="R129"/>
  <c r="S128"/>
  <c r="R128"/>
  <c r="T128" s="1"/>
  <c r="U128" s="1"/>
  <c r="Y127"/>
  <c r="S127"/>
  <c r="T127" s="1"/>
  <c r="U127" s="1"/>
  <c r="R127"/>
  <c r="U126"/>
  <c r="T126"/>
  <c r="S126"/>
  <c r="V126" s="1"/>
  <c r="R126"/>
  <c r="Y126" s="1"/>
  <c r="S125"/>
  <c r="R125"/>
  <c r="T125" s="1"/>
  <c r="U125" s="1"/>
  <c r="S124"/>
  <c r="V124" s="1"/>
  <c r="R124"/>
  <c r="Y124" s="1"/>
  <c r="V123"/>
  <c r="W123" s="1"/>
  <c r="Z123" s="1"/>
  <c r="U123"/>
  <c r="T123"/>
  <c r="S123"/>
  <c r="R123"/>
  <c r="Y123" s="1"/>
  <c r="Y122"/>
  <c r="V122"/>
  <c r="S122"/>
  <c r="R122"/>
  <c r="T122" s="1"/>
  <c r="U122" s="1"/>
  <c r="Y121"/>
  <c r="V121"/>
  <c r="W121" s="1"/>
  <c r="Z121" s="1"/>
  <c r="S121"/>
  <c r="R121"/>
  <c r="T121" s="1"/>
  <c r="U121" s="1"/>
  <c r="Y120"/>
  <c r="S120"/>
  <c r="T120" s="1"/>
  <c r="U120" s="1"/>
  <c r="R120"/>
  <c r="Y119"/>
  <c r="V119"/>
  <c r="W119" s="1"/>
  <c r="Z119" s="1"/>
  <c r="U119"/>
  <c r="T119"/>
  <c r="S119"/>
  <c r="R119"/>
  <c r="S118"/>
  <c r="R118"/>
  <c r="V118" s="1"/>
  <c r="S117"/>
  <c r="R117"/>
  <c r="Y117" s="1"/>
  <c r="S116"/>
  <c r="R116"/>
  <c r="T116" s="1"/>
  <c r="U116" s="1"/>
  <c r="Y115"/>
  <c r="S115"/>
  <c r="V115" s="1"/>
  <c r="W115" s="1"/>
  <c r="Z115" s="1"/>
  <c r="R115"/>
  <c r="T115" s="1"/>
  <c r="U115" s="1"/>
  <c r="T114"/>
  <c r="U114" s="1"/>
  <c r="S114"/>
  <c r="R114"/>
  <c r="Y114" s="1"/>
  <c r="Y113"/>
  <c r="V113"/>
  <c r="T113"/>
  <c r="U113" s="1"/>
  <c r="S113"/>
  <c r="R113"/>
  <c r="Y112"/>
  <c r="V112"/>
  <c r="W112" s="1"/>
  <c r="Z112" s="1"/>
  <c r="T112"/>
  <c r="U112" s="1"/>
  <c r="S112"/>
  <c r="R112"/>
  <c r="Y111"/>
  <c r="V111"/>
  <c r="S111"/>
  <c r="T111" s="1"/>
  <c r="U111" s="1"/>
  <c r="R111"/>
  <c r="Z110"/>
  <c r="Y110"/>
  <c r="T110"/>
  <c r="U110" s="1"/>
  <c r="S110"/>
  <c r="V110" s="1"/>
  <c r="W110" s="1"/>
  <c r="R110"/>
  <c r="S109"/>
  <c r="R109"/>
  <c r="T109" s="1"/>
  <c r="U109" s="1"/>
  <c r="S108"/>
  <c r="R108"/>
  <c r="T108" s="1"/>
  <c r="U108" s="1"/>
  <c r="S107"/>
  <c r="T107" s="1"/>
  <c r="U107" s="1"/>
  <c r="R107"/>
  <c r="Y107" s="1"/>
  <c r="Y106"/>
  <c r="S106"/>
  <c r="V106" s="1"/>
  <c r="R106"/>
  <c r="Y105"/>
  <c r="V105"/>
  <c r="U105"/>
  <c r="T105"/>
  <c r="S105"/>
  <c r="R105"/>
  <c r="Y104"/>
  <c r="S104"/>
  <c r="V104" s="1"/>
  <c r="R104"/>
  <c r="T104" s="1"/>
  <c r="U104" s="1"/>
  <c r="Y103"/>
  <c r="V103"/>
  <c r="W103" s="1"/>
  <c r="Z103" s="1"/>
  <c r="S103"/>
  <c r="T103" s="1"/>
  <c r="U103" s="1"/>
  <c r="R103"/>
  <c r="S102"/>
  <c r="R102"/>
  <c r="T102" s="1"/>
  <c r="U102" s="1"/>
  <c r="Y101"/>
  <c r="W101"/>
  <c r="Z101" s="1"/>
  <c r="V101"/>
  <c r="T101"/>
  <c r="U101" s="1"/>
  <c r="S101"/>
  <c r="R101"/>
  <c r="Y100"/>
  <c r="S100"/>
  <c r="V100" s="1"/>
  <c r="R100"/>
  <c r="S99"/>
  <c r="R99"/>
  <c r="V99" s="1"/>
  <c r="S98"/>
  <c r="R98"/>
  <c r="T98" s="1"/>
  <c r="U98" s="1"/>
  <c r="S97"/>
  <c r="R97"/>
  <c r="T97" s="1"/>
  <c r="U97" s="1"/>
  <c r="Y96"/>
  <c r="T96"/>
  <c r="U96" s="1"/>
  <c r="S96"/>
  <c r="R96"/>
  <c r="V96" s="1"/>
  <c r="T95"/>
  <c r="U95" s="1"/>
  <c r="S95"/>
  <c r="V95" s="1"/>
  <c r="R95"/>
  <c r="Y95" s="1"/>
  <c r="Y94"/>
  <c r="V94"/>
  <c r="U94"/>
  <c r="W94" s="1"/>
  <c r="Z94" s="1"/>
  <c r="T94"/>
  <c r="S94"/>
  <c r="R94"/>
  <c r="S93"/>
  <c r="V93" s="1"/>
  <c r="W93" s="1"/>
  <c r="R93"/>
  <c r="T93" s="1"/>
  <c r="U93" s="1"/>
  <c r="Y92"/>
  <c r="S92"/>
  <c r="T92" s="1"/>
  <c r="U92" s="1"/>
  <c r="R92"/>
  <c r="Y91"/>
  <c r="S91"/>
  <c r="R91"/>
  <c r="V91" s="1"/>
  <c r="S90"/>
  <c r="R90"/>
  <c r="T90" s="1"/>
  <c r="U90" s="1"/>
  <c r="S89"/>
  <c r="V89" s="1"/>
  <c r="R89"/>
  <c r="Y89" s="1"/>
  <c r="Y88"/>
  <c r="S88"/>
  <c r="R88"/>
  <c r="T88" s="1"/>
  <c r="U88" s="1"/>
  <c r="V86"/>
  <c r="S86"/>
  <c r="T86" s="1"/>
  <c r="U86" s="1"/>
  <c r="R86"/>
  <c r="Y86" s="1"/>
  <c r="Y85"/>
  <c r="S85"/>
  <c r="V85" s="1"/>
  <c r="R85"/>
  <c r="V84"/>
  <c r="U84"/>
  <c r="S84"/>
  <c r="R84"/>
  <c r="T84" s="1"/>
  <c r="Y83"/>
  <c r="S83"/>
  <c r="T83" s="1"/>
  <c r="U83" s="1"/>
  <c r="R83"/>
  <c r="S82"/>
  <c r="R82"/>
  <c r="Y82" s="1"/>
  <c r="S81"/>
  <c r="R81"/>
  <c r="T81" s="1"/>
  <c r="U81" s="1"/>
  <c r="Y80"/>
  <c r="V80"/>
  <c r="T80"/>
  <c r="U80" s="1"/>
  <c r="W80" s="1"/>
  <c r="Z80" s="1"/>
  <c r="S80"/>
  <c r="R80"/>
  <c r="S79"/>
  <c r="R79"/>
  <c r="Y79" s="1"/>
  <c r="S78"/>
  <c r="R78"/>
  <c r="T78" s="1"/>
  <c r="U78" s="1"/>
  <c r="Y77"/>
  <c r="T77"/>
  <c r="U77" s="1"/>
  <c r="S77"/>
  <c r="V77" s="1"/>
  <c r="R77"/>
  <c r="Y76"/>
  <c r="U76"/>
  <c r="S76"/>
  <c r="R76"/>
  <c r="T76" s="1"/>
  <c r="Y75"/>
  <c r="S75"/>
  <c r="V75" s="1"/>
  <c r="W75" s="1"/>
  <c r="Z75" s="1"/>
  <c r="R75"/>
  <c r="T75" s="1"/>
  <c r="U75" s="1"/>
  <c r="U74"/>
  <c r="W74" s="1"/>
  <c r="Z74" s="1"/>
  <c r="T74"/>
  <c r="S74"/>
  <c r="V74" s="1"/>
  <c r="R74"/>
  <c r="Y74" s="1"/>
  <c r="S73"/>
  <c r="R73"/>
  <c r="T73" s="1"/>
  <c r="U73" s="1"/>
  <c r="Y72"/>
  <c r="V72"/>
  <c r="W72" s="1"/>
  <c r="Z72" s="1"/>
  <c r="U72"/>
  <c r="T72"/>
  <c r="S72"/>
  <c r="R72"/>
  <c r="Y71"/>
  <c r="V71"/>
  <c r="T71"/>
  <c r="U71" s="1"/>
  <c r="S71"/>
  <c r="R71"/>
  <c r="S70"/>
  <c r="R70"/>
  <c r="T70" s="1"/>
  <c r="U70" s="1"/>
  <c r="Y69"/>
  <c r="S69"/>
  <c r="V69" s="1"/>
  <c r="R69"/>
  <c r="U68"/>
  <c r="S68"/>
  <c r="R68"/>
  <c r="T68" s="1"/>
  <c r="Y67"/>
  <c r="V67"/>
  <c r="S67"/>
  <c r="R67"/>
  <c r="T67" s="1"/>
  <c r="U67" s="1"/>
  <c r="S66"/>
  <c r="R66"/>
  <c r="Y66" s="1"/>
  <c r="S65"/>
  <c r="R65"/>
  <c r="T65" s="1"/>
  <c r="U65" s="1"/>
  <c r="Y64"/>
  <c r="V64"/>
  <c r="T64"/>
  <c r="U64" s="1"/>
  <c r="W64" s="1"/>
  <c r="Z64" s="1"/>
  <c r="S64"/>
  <c r="R64"/>
  <c r="S63"/>
  <c r="V63" s="1"/>
  <c r="R63"/>
  <c r="Y63" s="1"/>
  <c r="S62"/>
  <c r="R62"/>
  <c r="T62" s="1"/>
  <c r="U62" s="1"/>
  <c r="Y61"/>
  <c r="W61"/>
  <c r="Z61" s="1"/>
  <c r="T61"/>
  <c r="U61" s="1"/>
  <c r="S61"/>
  <c r="V61" s="1"/>
  <c r="R61"/>
  <c r="Y60"/>
  <c r="V60"/>
  <c r="W60" s="1"/>
  <c r="Z60" s="1"/>
  <c r="U60"/>
  <c r="S60"/>
  <c r="R60"/>
  <c r="T60" s="1"/>
  <c r="Y59"/>
  <c r="V59"/>
  <c r="W59" s="1"/>
  <c r="Z59" s="1"/>
  <c r="T59"/>
  <c r="U59" s="1"/>
  <c r="S59"/>
  <c r="R59"/>
  <c r="T58"/>
  <c r="U58" s="1"/>
  <c r="S58"/>
  <c r="V58" s="1"/>
  <c r="W58" s="1"/>
  <c r="Z58" s="1"/>
  <c r="R58"/>
  <c r="Y58" s="1"/>
  <c r="Y57"/>
  <c r="V57"/>
  <c r="S57"/>
  <c r="T57" s="1"/>
  <c r="U57" s="1"/>
  <c r="R57"/>
  <c r="Y56"/>
  <c r="S56"/>
  <c r="T56" s="1"/>
  <c r="U56" s="1"/>
  <c r="R56"/>
  <c r="Y55"/>
  <c r="T55"/>
  <c r="U55" s="1"/>
  <c r="S55"/>
  <c r="V55" s="1"/>
  <c r="R55"/>
  <c r="V54"/>
  <c r="W54" s="1"/>
  <c r="S54"/>
  <c r="T54" s="1"/>
  <c r="U54" s="1"/>
  <c r="R54"/>
  <c r="Y54" s="1"/>
  <c r="Y53"/>
  <c r="Z53" s="1"/>
  <c r="W53"/>
  <c r="T53"/>
  <c r="U53" s="1"/>
  <c r="S53"/>
  <c r="V53" s="1"/>
  <c r="R53"/>
  <c r="S52"/>
  <c r="R52"/>
  <c r="T52" s="1"/>
  <c r="U52" s="1"/>
  <c r="S51"/>
  <c r="V51" s="1"/>
  <c r="R51"/>
  <c r="Y51" s="1"/>
  <c r="S50"/>
  <c r="R50"/>
  <c r="Y50" s="1"/>
  <c r="S49"/>
  <c r="R49"/>
  <c r="T49" s="1"/>
  <c r="U49" s="1"/>
  <c r="Y48"/>
  <c r="V48"/>
  <c r="S48"/>
  <c r="T48" s="1"/>
  <c r="U48" s="1"/>
  <c r="R48"/>
  <c r="S47"/>
  <c r="R47"/>
  <c r="T47" s="1"/>
  <c r="U47" s="1"/>
  <c r="S46"/>
  <c r="R46"/>
  <c r="T46" s="1"/>
  <c r="U46" s="1"/>
  <c r="Y45"/>
  <c r="T45"/>
  <c r="U45" s="1"/>
  <c r="W45" s="1"/>
  <c r="Z45" s="1"/>
  <c r="S45"/>
  <c r="V45" s="1"/>
  <c r="R45"/>
  <c r="Y44"/>
  <c r="W44"/>
  <c r="Z44" s="1"/>
  <c r="V44"/>
  <c r="U44"/>
  <c r="S44"/>
  <c r="R44"/>
  <c r="T44" s="1"/>
  <c r="Y43"/>
  <c r="S43"/>
  <c r="V43" s="1"/>
  <c r="R43"/>
  <c r="T43" s="1"/>
  <c r="U43" s="1"/>
  <c r="T42"/>
  <c r="U42" s="1"/>
  <c r="S42"/>
  <c r="R42"/>
  <c r="Y42" s="1"/>
  <c r="V41"/>
  <c r="S41"/>
  <c r="R41"/>
  <c r="T41" s="1"/>
  <c r="U41" s="1"/>
  <c r="Y40"/>
  <c r="V40"/>
  <c r="W40" s="1"/>
  <c r="Z40" s="1"/>
  <c r="U40"/>
  <c r="T40"/>
  <c r="S40"/>
  <c r="R40"/>
  <c r="T39"/>
  <c r="U39" s="1"/>
  <c r="S39"/>
  <c r="V39" s="1"/>
  <c r="W39" s="1"/>
  <c r="R39"/>
  <c r="Y39" s="1"/>
  <c r="Y38"/>
  <c r="V38"/>
  <c r="S38"/>
  <c r="R38"/>
  <c r="T38" s="1"/>
  <c r="U38" s="1"/>
  <c r="Y37"/>
  <c r="T37"/>
  <c r="U37" s="1"/>
  <c r="S37"/>
  <c r="V37" s="1"/>
  <c r="W37" s="1"/>
  <c r="Z37" s="1"/>
  <c r="R37"/>
  <c r="U36"/>
  <c r="S36"/>
  <c r="R36"/>
  <c r="T36" s="1"/>
  <c r="Y35"/>
  <c r="V35"/>
  <c r="W35" s="1"/>
  <c r="Z35" s="1"/>
  <c r="T35"/>
  <c r="U35" s="1"/>
  <c r="S35"/>
  <c r="R35"/>
  <c r="T34"/>
  <c r="U34" s="1"/>
  <c r="W34" s="1"/>
  <c r="Z34" s="1"/>
  <c r="S34"/>
  <c r="V34" s="1"/>
  <c r="R34"/>
  <c r="Y34" s="1"/>
  <c r="S33"/>
  <c r="R33"/>
  <c r="T33" s="1"/>
  <c r="U33" s="1"/>
  <c r="Y32"/>
  <c r="S32"/>
  <c r="T32" s="1"/>
  <c r="U32" s="1"/>
  <c r="R32"/>
  <c r="Y31"/>
  <c r="V31"/>
  <c r="T31"/>
  <c r="U31" s="1"/>
  <c r="S31"/>
  <c r="R31"/>
  <c r="S30"/>
  <c r="R30"/>
  <c r="T30" s="1"/>
  <c r="U30" s="1"/>
  <c r="Y29"/>
  <c r="S29"/>
  <c r="V29" s="1"/>
  <c r="R29"/>
  <c r="Y28"/>
  <c r="V28"/>
  <c r="W28" s="1"/>
  <c r="Z28" s="1"/>
  <c r="S28"/>
  <c r="R28"/>
  <c r="T28" s="1"/>
  <c r="U28" s="1"/>
  <c r="Y27"/>
  <c r="S27"/>
  <c r="T27" s="1"/>
  <c r="U27" s="1"/>
  <c r="R27"/>
  <c r="S26"/>
  <c r="V26" s="1"/>
  <c r="R26"/>
  <c r="Y26" s="1"/>
  <c r="Y25"/>
  <c r="T25"/>
  <c r="U25" s="1"/>
  <c r="S25"/>
  <c r="V25" s="1"/>
  <c r="R25"/>
  <c r="Y24"/>
  <c r="V24"/>
  <c r="W24" s="1"/>
  <c r="Z24" s="1"/>
  <c r="S24"/>
  <c r="T24" s="1"/>
  <c r="U24" s="1"/>
  <c r="R24"/>
  <c r="Y23"/>
  <c r="S23"/>
  <c r="T23" s="1"/>
  <c r="U23" s="1"/>
  <c r="R23"/>
  <c r="T22"/>
  <c r="U22" s="1"/>
  <c r="S22"/>
  <c r="V22" s="1"/>
  <c r="R22"/>
  <c r="Y22" s="1"/>
  <c r="Y21"/>
  <c r="T21"/>
  <c r="U21" s="1"/>
  <c r="S21"/>
  <c r="V21" s="1"/>
  <c r="W21" s="1"/>
  <c r="Z21" s="1"/>
  <c r="R21"/>
  <c r="S20"/>
  <c r="R20"/>
  <c r="T20" s="1"/>
  <c r="U20" s="1"/>
  <c r="S19"/>
  <c r="V19" s="1"/>
  <c r="W19" s="1"/>
  <c r="R19"/>
  <c r="T19" s="1"/>
  <c r="U19" s="1"/>
  <c r="T18"/>
  <c r="U18" s="1"/>
  <c r="W18" s="1"/>
  <c r="Z18" s="1"/>
  <c r="S18"/>
  <c r="V18" s="1"/>
  <c r="R18"/>
  <c r="Y18" s="1"/>
  <c r="Y17"/>
  <c r="S17"/>
  <c r="V17" s="1"/>
  <c r="W17" s="1"/>
  <c r="Z17" s="1"/>
  <c r="R17"/>
  <c r="T17" s="1"/>
  <c r="U17" s="1"/>
  <c r="Y16"/>
  <c r="T16"/>
  <c r="U16" s="1"/>
  <c r="S16"/>
  <c r="V16" s="1"/>
  <c r="R16"/>
  <c r="V15"/>
  <c r="T15"/>
  <c r="U15" s="1"/>
  <c r="W15" s="1"/>
  <c r="Z15" s="1"/>
  <c r="S15"/>
  <c r="R15"/>
  <c r="Y15" s="1"/>
  <c r="S14"/>
  <c r="V14" s="1"/>
  <c r="R14"/>
  <c r="Y14" s="1"/>
  <c r="Y13"/>
  <c r="W13"/>
  <c r="Z13" s="1"/>
  <c r="T13"/>
  <c r="U13" s="1"/>
  <c r="S13"/>
  <c r="V13" s="1"/>
  <c r="R13"/>
  <c r="V12"/>
  <c r="S12"/>
  <c r="R12"/>
  <c r="T12" s="1"/>
  <c r="U12" s="1"/>
  <c r="W12" s="1"/>
  <c r="S11"/>
  <c r="R11"/>
  <c r="Y11" s="1"/>
  <c r="S10"/>
  <c r="R10"/>
  <c r="Y10" s="1"/>
  <c r="V9"/>
  <c r="S9"/>
  <c r="R9"/>
  <c r="T9" s="1"/>
  <c r="U9" s="1"/>
  <c r="Y8"/>
  <c r="S8"/>
  <c r="T8" s="1"/>
  <c r="U8" s="1"/>
  <c r="R8"/>
  <c r="S7"/>
  <c r="R7"/>
  <c r="T7" s="1"/>
  <c r="U7" s="1"/>
  <c r="V6"/>
  <c r="W6" s="1"/>
  <c r="S6"/>
  <c r="R6"/>
  <c r="T6" s="1"/>
  <c r="U6" s="1"/>
  <c r="Y5"/>
  <c r="S5"/>
  <c r="V5" s="1"/>
  <c r="R5"/>
  <c r="Y4"/>
  <c r="V4"/>
  <c r="W4" s="1"/>
  <c r="U4"/>
  <c r="S4"/>
  <c r="R4"/>
  <c r="T4" s="1"/>
  <c r="V214" i="3"/>
  <c r="W214" s="1"/>
  <c r="S214"/>
  <c r="R214"/>
  <c r="T214" s="1"/>
  <c r="U214" s="1"/>
  <c r="S213"/>
  <c r="R213"/>
  <c r="Y213" s="1"/>
  <c r="S212"/>
  <c r="R212"/>
  <c r="T212" s="1"/>
  <c r="U212" s="1"/>
  <c r="Y211"/>
  <c r="U211"/>
  <c r="T211"/>
  <c r="S211"/>
  <c r="V211" s="1"/>
  <c r="W211" s="1"/>
  <c r="Z211" s="1"/>
  <c r="R211"/>
  <c r="V210"/>
  <c r="W210" s="1"/>
  <c r="Z210" s="1"/>
  <c r="S210"/>
  <c r="T210" s="1"/>
  <c r="U210" s="1"/>
  <c r="R210"/>
  <c r="Y210" s="1"/>
  <c r="T208"/>
  <c r="U208" s="1"/>
  <c r="S208"/>
  <c r="V208" s="1"/>
  <c r="R208"/>
  <c r="Y208" s="1"/>
  <c r="S207"/>
  <c r="V207" s="1"/>
  <c r="R207"/>
  <c r="Y207" s="1"/>
  <c r="Y206"/>
  <c r="S206"/>
  <c r="V206" s="1"/>
  <c r="R206"/>
  <c r="Y205"/>
  <c r="S205"/>
  <c r="T205" s="1"/>
  <c r="U205" s="1"/>
  <c r="R205"/>
  <c r="S204"/>
  <c r="V204" s="1"/>
  <c r="R204"/>
  <c r="T204" s="1"/>
  <c r="U204" s="1"/>
  <c r="S203"/>
  <c r="V203" s="1"/>
  <c r="R203"/>
  <c r="Y203" s="1"/>
  <c r="S202"/>
  <c r="R202"/>
  <c r="T202" s="1"/>
  <c r="U202" s="1"/>
  <c r="Y201"/>
  <c r="S201"/>
  <c r="T201" s="1"/>
  <c r="U201" s="1"/>
  <c r="R201"/>
  <c r="Y200"/>
  <c r="V200"/>
  <c r="S200"/>
  <c r="T200" s="1"/>
  <c r="U200" s="1"/>
  <c r="R200"/>
  <c r="Y199"/>
  <c r="S199"/>
  <c r="V199" s="1"/>
  <c r="R199"/>
  <c r="Y198"/>
  <c r="W198"/>
  <c r="Z198" s="1"/>
  <c r="T198"/>
  <c r="U198" s="1"/>
  <c r="S198"/>
  <c r="V198" s="1"/>
  <c r="R198"/>
  <c r="Y197"/>
  <c r="S197"/>
  <c r="V197" s="1"/>
  <c r="R197"/>
  <c r="T197" s="1"/>
  <c r="U197" s="1"/>
  <c r="S196"/>
  <c r="V196" s="1"/>
  <c r="R196"/>
  <c r="T196" s="1"/>
  <c r="U196" s="1"/>
  <c r="V195"/>
  <c r="T195"/>
  <c r="U195" s="1"/>
  <c r="S195"/>
  <c r="R195"/>
  <c r="Y195" s="1"/>
  <c r="S194"/>
  <c r="R194"/>
  <c r="T194" s="1"/>
  <c r="U194" s="1"/>
  <c r="Y193"/>
  <c r="S193"/>
  <c r="T193" s="1"/>
  <c r="U193" s="1"/>
  <c r="R193"/>
  <c r="Y192"/>
  <c r="W192"/>
  <c r="Z192" s="1"/>
  <c r="V192"/>
  <c r="U192"/>
  <c r="T192"/>
  <c r="S192"/>
  <c r="R192"/>
  <c r="S190"/>
  <c r="V190" s="1"/>
  <c r="R190"/>
  <c r="T190" s="1"/>
  <c r="U190" s="1"/>
  <c r="V189"/>
  <c r="W189" s="1"/>
  <c r="Z189" s="1"/>
  <c r="T189"/>
  <c r="U189" s="1"/>
  <c r="S189"/>
  <c r="R189"/>
  <c r="Y189" s="1"/>
  <c r="Y188"/>
  <c r="W188"/>
  <c r="Z188" s="1"/>
  <c r="V188"/>
  <c r="U188"/>
  <c r="T188"/>
  <c r="S188"/>
  <c r="R188"/>
  <c r="Y187"/>
  <c r="V187"/>
  <c r="S187"/>
  <c r="T187" s="1"/>
  <c r="U187" s="1"/>
  <c r="R187"/>
  <c r="S186"/>
  <c r="R186"/>
  <c r="T186" s="1"/>
  <c r="U186" s="1"/>
  <c r="S185"/>
  <c r="R185"/>
  <c r="V185" s="1"/>
  <c r="V184"/>
  <c r="W184" s="1"/>
  <c r="S184"/>
  <c r="R184"/>
  <c r="T184" s="1"/>
  <c r="U184" s="1"/>
  <c r="S183"/>
  <c r="V183" s="1"/>
  <c r="W183" s="1"/>
  <c r="R183"/>
  <c r="T183" s="1"/>
  <c r="U183" s="1"/>
  <c r="Y182"/>
  <c r="U182"/>
  <c r="T182"/>
  <c r="S182"/>
  <c r="V182" s="1"/>
  <c r="W182" s="1"/>
  <c r="Z182" s="1"/>
  <c r="R182"/>
  <c r="S181"/>
  <c r="V181" s="1"/>
  <c r="R181"/>
  <c r="Y181" s="1"/>
  <c r="Y180"/>
  <c r="V180"/>
  <c r="W180" s="1"/>
  <c r="Z180" s="1"/>
  <c r="T180"/>
  <c r="U180" s="1"/>
  <c r="S180"/>
  <c r="R180"/>
  <c r="S179"/>
  <c r="R179"/>
  <c r="T179" s="1"/>
  <c r="U179" s="1"/>
  <c r="T178"/>
  <c r="U178" s="1"/>
  <c r="S178"/>
  <c r="V178" s="1"/>
  <c r="R178"/>
  <c r="Y178" s="1"/>
  <c r="S177"/>
  <c r="R177"/>
  <c r="V177" s="1"/>
  <c r="V176"/>
  <c r="S176"/>
  <c r="R176"/>
  <c r="Y176" s="1"/>
  <c r="T175"/>
  <c r="U175" s="1"/>
  <c r="S175"/>
  <c r="V175" s="1"/>
  <c r="W175" s="1"/>
  <c r="Z175" s="1"/>
  <c r="R175"/>
  <c r="Y175" s="1"/>
  <c r="Y174"/>
  <c r="T174"/>
  <c r="U174" s="1"/>
  <c r="S174"/>
  <c r="R174"/>
  <c r="V174" s="1"/>
  <c r="S173"/>
  <c r="V173" s="1"/>
  <c r="R173"/>
  <c r="Y173" s="1"/>
  <c r="Y172"/>
  <c r="V172"/>
  <c r="T172"/>
  <c r="U172" s="1"/>
  <c r="W172" s="1"/>
  <c r="Z172" s="1"/>
  <c r="S172"/>
  <c r="R172"/>
  <c r="Y171"/>
  <c r="S171"/>
  <c r="V171" s="1"/>
  <c r="W171" s="1"/>
  <c r="Z171" s="1"/>
  <c r="R171"/>
  <c r="T171" s="1"/>
  <c r="U171" s="1"/>
  <c r="Y170"/>
  <c r="V170"/>
  <c r="W170" s="1"/>
  <c r="Z170" s="1"/>
  <c r="T170"/>
  <c r="U170" s="1"/>
  <c r="S170"/>
  <c r="R170"/>
  <c r="S169"/>
  <c r="R169"/>
  <c r="V169" s="1"/>
  <c r="Y168"/>
  <c r="S168"/>
  <c r="V168" s="1"/>
  <c r="R168"/>
  <c r="Y167"/>
  <c r="V167"/>
  <c r="T167"/>
  <c r="U167" s="1"/>
  <c r="S167"/>
  <c r="R167"/>
  <c r="Y166"/>
  <c r="U166"/>
  <c r="T166"/>
  <c r="S166"/>
  <c r="R166"/>
  <c r="V166" s="1"/>
  <c r="W166" s="1"/>
  <c r="Z166" s="1"/>
  <c r="S165"/>
  <c r="R165"/>
  <c r="Y165" s="1"/>
  <c r="Y164"/>
  <c r="V164"/>
  <c r="W164" s="1"/>
  <c r="Z164" s="1"/>
  <c r="U164"/>
  <c r="T164"/>
  <c r="S164"/>
  <c r="R164"/>
  <c r="S163"/>
  <c r="R163"/>
  <c r="T163" s="1"/>
  <c r="U163" s="1"/>
  <c r="Y162"/>
  <c r="S162"/>
  <c r="T162" s="1"/>
  <c r="U162" s="1"/>
  <c r="R162"/>
  <c r="Y161"/>
  <c r="T161"/>
  <c r="U161" s="1"/>
  <c r="S161"/>
  <c r="R161"/>
  <c r="V161" s="1"/>
  <c r="Y160"/>
  <c r="V160"/>
  <c r="S160"/>
  <c r="R160"/>
  <c r="Y159"/>
  <c r="S159"/>
  <c r="T159" s="1"/>
  <c r="U159" s="1"/>
  <c r="R159"/>
  <c r="S158"/>
  <c r="V158" s="1"/>
  <c r="W158" s="1"/>
  <c r="R158"/>
  <c r="T158" s="1"/>
  <c r="U158" s="1"/>
  <c r="S157"/>
  <c r="V157" s="1"/>
  <c r="R157"/>
  <c r="Y157" s="1"/>
  <c r="Y156"/>
  <c r="V156"/>
  <c r="T156"/>
  <c r="U156" s="1"/>
  <c r="S156"/>
  <c r="R156"/>
  <c r="T155"/>
  <c r="U155" s="1"/>
  <c r="S155"/>
  <c r="V155" s="1"/>
  <c r="W155" s="1"/>
  <c r="R155"/>
  <c r="Y155" s="1"/>
  <c r="Y154"/>
  <c r="T154"/>
  <c r="U154" s="1"/>
  <c r="S154"/>
  <c r="V154" s="1"/>
  <c r="R154"/>
  <c r="S153"/>
  <c r="R153"/>
  <c r="T153" s="1"/>
  <c r="U153" s="1"/>
  <c r="Y152"/>
  <c r="S152"/>
  <c r="V152" s="1"/>
  <c r="R152"/>
  <c r="Y151"/>
  <c r="U151"/>
  <c r="T151"/>
  <c r="S151"/>
  <c r="V151" s="1"/>
  <c r="W151" s="1"/>
  <c r="Z151" s="1"/>
  <c r="R151"/>
  <c r="S150"/>
  <c r="R150"/>
  <c r="T150" s="1"/>
  <c r="U150" s="1"/>
  <c r="S149"/>
  <c r="V149" s="1"/>
  <c r="R149"/>
  <c r="Y149" s="1"/>
  <c r="Y148"/>
  <c r="U148"/>
  <c r="T148"/>
  <c r="S148"/>
  <c r="V148" s="1"/>
  <c r="W148" s="1"/>
  <c r="Z148" s="1"/>
  <c r="R148"/>
  <c r="Y147"/>
  <c r="S147"/>
  <c r="T147" s="1"/>
  <c r="U147" s="1"/>
  <c r="R147"/>
  <c r="T146"/>
  <c r="U146" s="1"/>
  <c r="S146"/>
  <c r="V146" s="1"/>
  <c r="W146" s="1"/>
  <c r="Z146" s="1"/>
  <c r="R146"/>
  <c r="Y146" s="1"/>
  <c r="Y145"/>
  <c r="U145"/>
  <c r="T145"/>
  <c r="S145"/>
  <c r="R145"/>
  <c r="V145" s="1"/>
  <c r="W145" s="1"/>
  <c r="Z145" s="1"/>
  <c r="S144"/>
  <c r="V144" s="1"/>
  <c r="W144" s="1"/>
  <c r="R144"/>
  <c r="T144" s="1"/>
  <c r="U144" s="1"/>
  <c r="S143"/>
  <c r="V143" s="1"/>
  <c r="W143" s="1"/>
  <c r="R143"/>
  <c r="T143" s="1"/>
  <c r="U143" s="1"/>
  <c r="Y142"/>
  <c r="U142"/>
  <c r="T142"/>
  <c r="S142"/>
  <c r="V142" s="1"/>
  <c r="W142" s="1"/>
  <c r="Z142" s="1"/>
  <c r="R142"/>
  <c r="S141"/>
  <c r="R141"/>
  <c r="Y141" s="1"/>
  <c r="Y140"/>
  <c r="S140"/>
  <c r="T140" s="1"/>
  <c r="U140" s="1"/>
  <c r="R140"/>
  <c r="S139"/>
  <c r="R139"/>
  <c r="T139" s="1"/>
  <c r="U139" s="1"/>
  <c r="Y138"/>
  <c r="S138"/>
  <c r="T138" s="1"/>
  <c r="U138" s="1"/>
  <c r="R138"/>
  <c r="Y137"/>
  <c r="S137"/>
  <c r="R137"/>
  <c r="V137" s="1"/>
  <c r="W136"/>
  <c r="V136"/>
  <c r="S136"/>
  <c r="R136"/>
  <c r="T136" s="1"/>
  <c r="U136" s="1"/>
  <c r="T135"/>
  <c r="U135" s="1"/>
  <c r="S135"/>
  <c r="V135" s="1"/>
  <c r="R135"/>
  <c r="Y135" s="1"/>
  <c r="Y134"/>
  <c r="S134"/>
  <c r="V134" s="1"/>
  <c r="R134"/>
  <c r="T134" s="1"/>
  <c r="U134" s="1"/>
  <c r="U133"/>
  <c r="T133"/>
  <c r="S133"/>
  <c r="V133" s="1"/>
  <c r="W133" s="1"/>
  <c r="Z133" s="1"/>
  <c r="R133"/>
  <c r="Y133" s="1"/>
  <c r="Y132"/>
  <c r="T132"/>
  <c r="U132" s="1"/>
  <c r="S132"/>
  <c r="V132" s="1"/>
  <c r="W132" s="1"/>
  <c r="Z132" s="1"/>
  <c r="R132"/>
  <c r="Y131"/>
  <c r="V131"/>
  <c r="T131"/>
  <c r="U131" s="1"/>
  <c r="S131"/>
  <c r="R131"/>
  <c r="V130"/>
  <c r="S130"/>
  <c r="R130"/>
  <c r="T130" s="1"/>
  <c r="U130" s="1"/>
  <c r="Y129"/>
  <c r="T129"/>
  <c r="U129" s="1"/>
  <c r="S129"/>
  <c r="R129"/>
  <c r="S128"/>
  <c r="V128" s="1"/>
  <c r="R128"/>
  <c r="Y128" s="1"/>
  <c r="S127"/>
  <c r="T127" s="1"/>
  <c r="U127" s="1"/>
  <c r="R127"/>
  <c r="Y127" s="1"/>
  <c r="Y126"/>
  <c r="T126"/>
  <c r="U126" s="1"/>
  <c r="S126"/>
  <c r="V126" s="1"/>
  <c r="R126"/>
  <c r="S125"/>
  <c r="V125" s="1"/>
  <c r="R125"/>
  <c r="Y125" s="1"/>
  <c r="Y124"/>
  <c r="S124"/>
  <c r="T124" s="1"/>
  <c r="U124" s="1"/>
  <c r="R124"/>
  <c r="Y123"/>
  <c r="S123"/>
  <c r="V123" s="1"/>
  <c r="W123" s="1"/>
  <c r="Z123" s="1"/>
  <c r="R123"/>
  <c r="T123" s="1"/>
  <c r="U123" s="1"/>
  <c r="Y122"/>
  <c r="V122"/>
  <c r="T122"/>
  <c r="U122" s="1"/>
  <c r="S122"/>
  <c r="R122"/>
  <c r="T121"/>
  <c r="U121" s="1"/>
  <c r="S121"/>
  <c r="V121" s="1"/>
  <c r="W121" s="1"/>
  <c r="R121"/>
  <c r="Y121" s="1"/>
  <c r="V120"/>
  <c r="W120" s="1"/>
  <c r="S120"/>
  <c r="R120"/>
  <c r="T120" s="1"/>
  <c r="U120" s="1"/>
  <c r="W119"/>
  <c r="V119"/>
  <c r="U119"/>
  <c r="T119"/>
  <c r="S119"/>
  <c r="R119"/>
  <c r="Y119" s="1"/>
  <c r="S118"/>
  <c r="T118" s="1"/>
  <c r="U118" s="1"/>
  <c r="R118"/>
  <c r="Y118" s="1"/>
  <c r="T117"/>
  <c r="U117" s="1"/>
  <c r="S117"/>
  <c r="V117" s="1"/>
  <c r="W117" s="1"/>
  <c r="Z117" s="1"/>
  <c r="R117"/>
  <c r="Y117" s="1"/>
  <c r="Y116"/>
  <c r="W116"/>
  <c r="Z116" s="1"/>
  <c r="V116"/>
  <c r="U116"/>
  <c r="T116"/>
  <c r="S116"/>
  <c r="R116"/>
  <c r="T115"/>
  <c r="U115" s="1"/>
  <c r="S115"/>
  <c r="V115" s="1"/>
  <c r="R115"/>
  <c r="Y115" s="1"/>
  <c r="Y114"/>
  <c r="S114"/>
  <c r="V114" s="1"/>
  <c r="R114"/>
  <c r="T114" s="1"/>
  <c r="U114" s="1"/>
  <c r="Y113"/>
  <c r="U113"/>
  <c r="W113" s="1"/>
  <c r="Z113" s="1"/>
  <c r="T113"/>
  <c r="S113"/>
  <c r="V113" s="1"/>
  <c r="R113"/>
  <c r="Y112"/>
  <c r="S112"/>
  <c r="V112" s="1"/>
  <c r="R112"/>
  <c r="V111"/>
  <c r="W111" s="1"/>
  <c r="T111"/>
  <c r="U111" s="1"/>
  <c r="S111"/>
  <c r="R111"/>
  <c r="Y111" s="1"/>
  <c r="Y110"/>
  <c r="V110"/>
  <c r="U110"/>
  <c r="T110"/>
  <c r="S110"/>
  <c r="R110"/>
  <c r="S109"/>
  <c r="T109" s="1"/>
  <c r="U109" s="1"/>
  <c r="R109"/>
  <c r="Y109" s="1"/>
  <c r="Y108"/>
  <c r="V108"/>
  <c r="T108"/>
  <c r="U108" s="1"/>
  <c r="S108"/>
  <c r="R108"/>
  <c r="V107"/>
  <c r="S107"/>
  <c r="R107"/>
  <c r="T107" s="1"/>
  <c r="U107" s="1"/>
  <c r="T106"/>
  <c r="U106" s="1"/>
  <c r="S106"/>
  <c r="V106" s="1"/>
  <c r="W106" s="1"/>
  <c r="Z106" s="1"/>
  <c r="R106"/>
  <c r="Y106" s="1"/>
  <c r="Y105"/>
  <c r="T105"/>
  <c r="U105" s="1"/>
  <c r="W105" s="1"/>
  <c r="Z105" s="1"/>
  <c r="S105"/>
  <c r="R105"/>
  <c r="V105" s="1"/>
  <c r="Y104"/>
  <c r="V104"/>
  <c r="S104"/>
  <c r="R104"/>
  <c r="Y103"/>
  <c r="S103"/>
  <c r="V103" s="1"/>
  <c r="R103"/>
  <c r="T103" s="1"/>
  <c r="U103" s="1"/>
  <c r="Y102"/>
  <c r="V102"/>
  <c r="T102"/>
  <c r="U102" s="1"/>
  <c r="S102"/>
  <c r="R102"/>
  <c r="U101"/>
  <c r="T101"/>
  <c r="S101"/>
  <c r="V101" s="1"/>
  <c r="W101" s="1"/>
  <c r="Z101" s="1"/>
  <c r="R101"/>
  <c r="Y101" s="1"/>
  <c r="Y100"/>
  <c r="S100"/>
  <c r="T100" s="1"/>
  <c r="U100" s="1"/>
  <c r="R100"/>
  <c r="S99"/>
  <c r="R99"/>
  <c r="T99" s="1"/>
  <c r="U99" s="1"/>
  <c r="V98"/>
  <c r="S98"/>
  <c r="R98"/>
  <c r="T98" s="1"/>
  <c r="U98" s="1"/>
  <c r="Y97"/>
  <c r="V97"/>
  <c r="T97"/>
  <c r="U97" s="1"/>
  <c r="S97"/>
  <c r="R97"/>
  <c r="Y96"/>
  <c r="S96"/>
  <c r="R96"/>
  <c r="T96" s="1"/>
  <c r="U96" s="1"/>
  <c r="Y95"/>
  <c r="T95"/>
  <c r="U95" s="1"/>
  <c r="S95"/>
  <c r="V95" s="1"/>
  <c r="R95"/>
  <c r="S94"/>
  <c r="R94"/>
  <c r="V94" s="1"/>
  <c r="S93"/>
  <c r="R93"/>
  <c r="Y93" s="1"/>
  <c r="Y92"/>
  <c r="U92"/>
  <c r="T92"/>
  <c r="S92"/>
  <c r="V92" s="1"/>
  <c r="W92" s="1"/>
  <c r="Z92" s="1"/>
  <c r="R92"/>
  <c r="Y91"/>
  <c r="S91"/>
  <c r="V91" s="1"/>
  <c r="R91"/>
  <c r="Y90"/>
  <c r="S90"/>
  <c r="T90" s="1"/>
  <c r="U90" s="1"/>
  <c r="R90"/>
  <c r="V89"/>
  <c r="W89" s="1"/>
  <c r="S89"/>
  <c r="R89"/>
  <c r="T89" s="1"/>
  <c r="U89" s="1"/>
  <c r="Y88"/>
  <c r="S88"/>
  <c r="V88" s="1"/>
  <c r="R88"/>
  <c r="S87"/>
  <c r="R87"/>
  <c r="T87" s="1"/>
  <c r="U87" s="1"/>
  <c r="S86"/>
  <c r="V86" s="1"/>
  <c r="R86"/>
  <c r="T86" s="1"/>
  <c r="U86" s="1"/>
  <c r="V85"/>
  <c r="W85" s="1"/>
  <c r="Z85" s="1"/>
  <c r="T85"/>
  <c r="U85" s="1"/>
  <c r="S85"/>
  <c r="R85"/>
  <c r="Y85" s="1"/>
  <c r="S84"/>
  <c r="V84" s="1"/>
  <c r="W84" s="1"/>
  <c r="R84"/>
  <c r="T84" s="1"/>
  <c r="U84" s="1"/>
  <c r="T83"/>
  <c r="U83" s="1"/>
  <c r="S83"/>
  <c r="V83" s="1"/>
  <c r="R83"/>
  <c r="Y83" s="1"/>
  <c r="S82"/>
  <c r="V82" s="1"/>
  <c r="R82"/>
  <c r="Y82" s="1"/>
  <c r="T81"/>
  <c r="U81" s="1"/>
  <c r="S81"/>
  <c r="R81"/>
  <c r="V81" s="1"/>
  <c r="W81" s="1"/>
  <c r="Y80"/>
  <c r="V80"/>
  <c r="S80"/>
  <c r="R80"/>
  <c r="Y79"/>
  <c r="S79"/>
  <c r="T79" s="1"/>
  <c r="U79" s="1"/>
  <c r="R79"/>
  <c r="Y78"/>
  <c r="S78"/>
  <c r="V78" s="1"/>
  <c r="W78" s="1"/>
  <c r="Z78" s="1"/>
  <c r="R78"/>
  <c r="T78" s="1"/>
  <c r="U78" s="1"/>
  <c r="U77"/>
  <c r="T77"/>
  <c r="S77"/>
  <c r="V77" s="1"/>
  <c r="W77" s="1"/>
  <c r="Z77" s="1"/>
  <c r="R77"/>
  <c r="Y77" s="1"/>
  <c r="T76"/>
  <c r="U76" s="1"/>
  <c r="S76"/>
  <c r="V76" s="1"/>
  <c r="W76" s="1"/>
  <c r="Z76" s="1"/>
  <c r="R76"/>
  <c r="Y76" s="1"/>
  <c r="Y75"/>
  <c r="V75"/>
  <c r="W75" s="1"/>
  <c r="Z75" s="1"/>
  <c r="T75"/>
  <c r="U75" s="1"/>
  <c r="S75"/>
  <c r="R75"/>
  <c r="S74"/>
  <c r="R74"/>
  <c r="T74" s="1"/>
  <c r="U74" s="1"/>
  <c r="Y73"/>
  <c r="U73"/>
  <c r="T73"/>
  <c r="S73"/>
  <c r="R73"/>
  <c r="V73" s="1"/>
  <c r="W73" s="1"/>
  <c r="Z73" s="1"/>
  <c r="V72"/>
  <c r="S72"/>
  <c r="R72"/>
  <c r="Y72" s="1"/>
  <c r="T71"/>
  <c r="U71" s="1"/>
  <c r="S71"/>
  <c r="V71" s="1"/>
  <c r="W71" s="1"/>
  <c r="Z71" s="1"/>
  <c r="R71"/>
  <c r="Y71" s="1"/>
  <c r="S70"/>
  <c r="R70"/>
  <c r="T70" s="1"/>
  <c r="U70" s="1"/>
  <c r="V69"/>
  <c r="S69"/>
  <c r="R69"/>
  <c r="Y69" s="1"/>
  <c r="Y68"/>
  <c r="V68"/>
  <c r="S68"/>
  <c r="T68" s="1"/>
  <c r="U68" s="1"/>
  <c r="R68"/>
  <c r="Y67"/>
  <c r="S67"/>
  <c r="T67" s="1"/>
  <c r="U67" s="1"/>
  <c r="R67"/>
  <c r="Y66"/>
  <c r="T66"/>
  <c r="U66" s="1"/>
  <c r="S66"/>
  <c r="V66" s="1"/>
  <c r="W66" s="1"/>
  <c r="Z66" s="1"/>
  <c r="R66"/>
  <c r="Y65"/>
  <c r="S65"/>
  <c r="V65" s="1"/>
  <c r="R65"/>
  <c r="Y64"/>
  <c r="S64"/>
  <c r="V64" s="1"/>
  <c r="R64"/>
  <c r="V63"/>
  <c r="S63"/>
  <c r="R63"/>
  <c r="T63" s="1"/>
  <c r="U63" s="1"/>
  <c r="S62"/>
  <c r="R62"/>
  <c r="Y62" s="1"/>
  <c r="S61"/>
  <c r="R61"/>
  <c r="Y61" s="1"/>
  <c r="T60"/>
  <c r="U60" s="1"/>
  <c r="S60"/>
  <c r="V60" s="1"/>
  <c r="W60" s="1"/>
  <c r="Z60" s="1"/>
  <c r="R60"/>
  <c r="Y60" s="1"/>
  <c r="Y59"/>
  <c r="S59"/>
  <c r="V59" s="1"/>
  <c r="W59" s="1"/>
  <c r="Z59" s="1"/>
  <c r="R59"/>
  <c r="T59" s="1"/>
  <c r="U59" s="1"/>
  <c r="T58"/>
  <c r="U58" s="1"/>
  <c r="S58"/>
  <c r="V58" s="1"/>
  <c r="W58" s="1"/>
  <c r="R58"/>
  <c r="Y58" s="1"/>
  <c r="S57"/>
  <c r="R57"/>
  <c r="T57" s="1"/>
  <c r="U57" s="1"/>
  <c r="Y56"/>
  <c r="S56"/>
  <c r="V56" s="1"/>
  <c r="R56"/>
  <c r="Y55"/>
  <c r="V55"/>
  <c r="W55" s="1"/>
  <c r="Z55" s="1"/>
  <c r="T55"/>
  <c r="U55" s="1"/>
  <c r="S55"/>
  <c r="R55"/>
  <c r="T54"/>
  <c r="U54" s="1"/>
  <c r="S54"/>
  <c r="V54" s="1"/>
  <c r="R54"/>
  <c r="Y54" s="1"/>
  <c r="Y53"/>
  <c r="V53"/>
  <c r="W53" s="1"/>
  <c r="Z53" s="1"/>
  <c r="T53"/>
  <c r="U53" s="1"/>
  <c r="S53"/>
  <c r="R53"/>
  <c r="Y52"/>
  <c r="S52"/>
  <c r="V52" s="1"/>
  <c r="R52"/>
  <c r="T52" s="1"/>
  <c r="U52" s="1"/>
  <c r="S51"/>
  <c r="R51"/>
  <c r="V51" s="1"/>
  <c r="Y50"/>
  <c r="S50"/>
  <c r="T50" s="1"/>
  <c r="U50" s="1"/>
  <c r="R50"/>
  <c r="V49"/>
  <c r="W49" s="1"/>
  <c r="S49"/>
  <c r="R49"/>
  <c r="T49" s="1"/>
  <c r="U49" s="1"/>
  <c r="Y48"/>
  <c r="V48"/>
  <c r="U48"/>
  <c r="W48" s="1"/>
  <c r="Z48" s="1"/>
  <c r="S48"/>
  <c r="R48"/>
  <c r="T48" s="1"/>
  <c r="S47"/>
  <c r="V47" s="1"/>
  <c r="R47"/>
  <c r="T47" s="1"/>
  <c r="U47" s="1"/>
  <c r="Y46"/>
  <c r="U46"/>
  <c r="T46"/>
  <c r="S46"/>
  <c r="V46" s="1"/>
  <c r="W46" s="1"/>
  <c r="Z46" s="1"/>
  <c r="R46"/>
  <c r="S45"/>
  <c r="V45" s="1"/>
  <c r="W45" s="1"/>
  <c r="R45"/>
  <c r="T45" s="1"/>
  <c r="U45" s="1"/>
  <c r="Y44"/>
  <c r="V44"/>
  <c r="T44"/>
  <c r="U44" s="1"/>
  <c r="S44"/>
  <c r="R44"/>
  <c r="T43"/>
  <c r="U43" s="1"/>
  <c r="S43"/>
  <c r="V43" s="1"/>
  <c r="W43" s="1"/>
  <c r="Z43" s="1"/>
  <c r="R43"/>
  <c r="Y43" s="1"/>
  <c r="V42"/>
  <c r="T42"/>
  <c r="U42" s="1"/>
  <c r="S42"/>
  <c r="R42"/>
  <c r="Y42" s="1"/>
  <c r="Y41"/>
  <c r="S41"/>
  <c r="V41" s="1"/>
  <c r="W41" s="1"/>
  <c r="Z41" s="1"/>
  <c r="R41"/>
  <c r="T41" s="1"/>
  <c r="U41" s="1"/>
  <c r="S40"/>
  <c r="V40" s="1"/>
  <c r="R40"/>
  <c r="Y39"/>
  <c r="S39"/>
  <c r="T39" s="1"/>
  <c r="U39" s="1"/>
  <c r="R39"/>
  <c r="V38"/>
  <c r="S38"/>
  <c r="R38"/>
  <c r="T38" s="1"/>
  <c r="U38" s="1"/>
  <c r="Y37"/>
  <c r="V37"/>
  <c r="T37"/>
  <c r="U37" s="1"/>
  <c r="S37"/>
  <c r="R37"/>
  <c r="S36"/>
  <c r="V36" s="1"/>
  <c r="R36"/>
  <c r="T36" s="1"/>
  <c r="U36" s="1"/>
  <c r="Y35"/>
  <c r="U35"/>
  <c r="T35"/>
  <c r="S35"/>
  <c r="V35" s="1"/>
  <c r="W35" s="1"/>
  <c r="Z35" s="1"/>
  <c r="R35"/>
  <c r="Y34"/>
  <c r="S34"/>
  <c r="V34" s="1"/>
  <c r="W34" s="1"/>
  <c r="Z34" s="1"/>
  <c r="R34"/>
  <c r="T34" s="1"/>
  <c r="U34" s="1"/>
  <c r="Y33"/>
  <c r="V33"/>
  <c r="T33"/>
  <c r="U33" s="1"/>
  <c r="S33"/>
  <c r="R33"/>
  <c r="S32"/>
  <c r="V32" s="1"/>
  <c r="R32"/>
  <c r="Y32" s="1"/>
  <c r="V31"/>
  <c r="W31" s="1"/>
  <c r="Z31" s="1"/>
  <c r="T31"/>
  <c r="U31" s="1"/>
  <c r="S31"/>
  <c r="R31"/>
  <c r="Y31" s="1"/>
  <c r="Y30"/>
  <c r="S30"/>
  <c r="V30" s="1"/>
  <c r="R30"/>
  <c r="T30" s="1"/>
  <c r="U30" s="1"/>
  <c r="Y29"/>
  <c r="V29"/>
  <c r="S29"/>
  <c r="T29" s="1"/>
  <c r="U29" s="1"/>
  <c r="R29"/>
  <c r="Y28"/>
  <c r="S28"/>
  <c r="T28" s="1"/>
  <c r="U28" s="1"/>
  <c r="R28"/>
  <c r="V27"/>
  <c r="S27"/>
  <c r="R27"/>
  <c r="T27" s="1"/>
  <c r="U27" s="1"/>
  <c r="Y26"/>
  <c r="V26"/>
  <c r="W26" s="1"/>
  <c r="Z26" s="1"/>
  <c r="T26"/>
  <c r="U26" s="1"/>
  <c r="S26"/>
  <c r="R26"/>
  <c r="S25"/>
  <c r="V25" s="1"/>
  <c r="W25" s="1"/>
  <c r="R25"/>
  <c r="T25" s="1"/>
  <c r="U25" s="1"/>
  <c r="Y24"/>
  <c r="S24"/>
  <c r="V24" s="1"/>
  <c r="R24"/>
  <c r="Y23"/>
  <c r="S23"/>
  <c r="V23" s="1"/>
  <c r="W23" s="1"/>
  <c r="Z23" s="1"/>
  <c r="R23"/>
  <c r="T23" s="1"/>
  <c r="U23" s="1"/>
  <c r="Y22"/>
  <c r="V22"/>
  <c r="T22"/>
  <c r="U22" s="1"/>
  <c r="S22"/>
  <c r="R22"/>
  <c r="S21"/>
  <c r="T21" s="1"/>
  <c r="U21" s="1"/>
  <c r="R21"/>
  <c r="Y21" s="1"/>
  <c r="V20"/>
  <c r="T20"/>
  <c r="U20" s="1"/>
  <c r="S20"/>
  <c r="R20"/>
  <c r="Y20" s="1"/>
  <c r="Y19"/>
  <c r="S19"/>
  <c r="V19" s="1"/>
  <c r="R19"/>
  <c r="T19" s="1"/>
  <c r="U19" s="1"/>
  <c r="Y18"/>
  <c r="V18"/>
  <c r="S18"/>
  <c r="T18" s="1"/>
  <c r="U18" s="1"/>
  <c r="R18"/>
  <c r="Y17"/>
  <c r="S17"/>
  <c r="T17" s="1"/>
  <c r="U17" s="1"/>
  <c r="R17"/>
  <c r="Y16"/>
  <c r="V16"/>
  <c r="S16"/>
  <c r="R16"/>
  <c r="Y15"/>
  <c r="V15"/>
  <c r="T15"/>
  <c r="U15" s="1"/>
  <c r="S15"/>
  <c r="R15"/>
  <c r="S14"/>
  <c r="V14" s="1"/>
  <c r="W14" s="1"/>
  <c r="R14"/>
  <c r="T14" s="1"/>
  <c r="U14" s="1"/>
  <c r="Y13"/>
  <c r="T13"/>
  <c r="U13" s="1"/>
  <c r="S13"/>
  <c r="V13" s="1"/>
  <c r="W13" s="1"/>
  <c r="Z13" s="1"/>
  <c r="R13"/>
  <c r="Y12"/>
  <c r="S12"/>
  <c r="V12" s="1"/>
  <c r="W12" s="1"/>
  <c r="Z12" s="1"/>
  <c r="R12"/>
  <c r="T12" s="1"/>
  <c r="U12" s="1"/>
  <c r="Y11"/>
  <c r="V11"/>
  <c r="T11"/>
  <c r="U11" s="1"/>
  <c r="S11"/>
  <c r="R11"/>
  <c r="S10"/>
  <c r="T10" s="1"/>
  <c r="U10" s="1"/>
  <c r="R10"/>
  <c r="Y10" s="1"/>
  <c r="Y9"/>
  <c r="V9"/>
  <c r="T9"/>
  <c r="U9" s="1"/>
  <c r="S9"/>
  <c r="R9"/>
  <c r="Y8"/>
  <c r="S8"/>
  <c r="R8"/>
  <c r="T8" s="1"/>
  <c r="U8" s="1"/>
  <c r="Y7"/>
  <c r="V7"/>
  <c r="S7"/>
  <c r="T7" s="1"/>
  <c r="U7" s="1"/>
  <c r="R7"/>
  <c r="Y6"/>
  <c r="S6"/>
  <c r="T6" s="1"/>
  <c r="U6" s="1"/>
  <c r="R6"/>
  <c r="Y5"/>
  <c r="U5"/>
  <c r="T5"/>
  <c r="S5"/>
  <c r="V5" s="1"/>
  <c r="W5" s="1"/>
  <c r="Z5" s="1"/>
  <c r="R5"/>
  <c r="Y4"/>
  <c r="V4"/>
  <c r="T4"/>
  <c r="U4" s="1"/>
  <c r="S4"/>
  <c r="R4"/>
  <c r="S214" i="2"/>
  <c r="R214"/>
  <c r="T214" s="1"/>
  <c r="U214" s="1"/>
  <c r="Y213"/>
  <c r="S213"/>
  <c r="V213" s="1"/>
  <c r="R213"/>
  <c r="T213" s="1"/>
  <c r="U213" s="1"/>
  <c r="S212"/>
  <c r="R212"/>
  <c r="Y212" s="1"/>
  <c r="S211"/>
  <c r="R211"/>
  <c r="T211" s="1"/>
  <c r="U211" s="1"/>
  <c r="S210"/>
  <c r="V210" s="1"/>
  <c r="W210" s="1"/>
  <c r="R210"/>
  <c r="T210" s="1"/>
  <c r="U210" s="1"/>
  <c r="Y209"/>
  <c r="V209"/>
  <c r="W209" s="1"/>
  <c r="Z209" s="1"/>
  <c r="T209"/>
  <c r="U209" s="1"/>
  <c r="S209"/>
  <c r="R209"/>
  <c r="Y208"/>
  <c r="V208"/>
  <c r="S208"/>
  <c r="R208"/>
  <c r="T208" s="1"/>
  <c r="U208" s="1"/>
  <c r="Y207"/>
  <c r="V207"/>
  <c r="S207"/>
  <c r="T207" s="1"/>
  <c r="U207" s="1"/>
  <c r="R207"/>
  <c r="Y206"/>
  <c r="S206"/>
  <c r="T206" s="1"/>
  <c r="U206" s="1"/>
  <c r="R206"/>
  <c r="V205"/>
  <c r="W205" s="1"/>
  <c r="S205"/>
  <c r="R205"/>
  <c r="T205" s="1"/>
  <c r="U205" s="1"/>
  <c r="Y204"/>
  <c r="S204"/>
  <c r="R204"/>
  <c r="T204" s="1"/>
  <c r="U204" s="1"/>
  <c r="T203"/>
  <c r="U203" s="1"/>
  <c r="S203"/>
  <c r="V203" s="1"/>
  <c r="W203" s="1"/>
  <c r="Z203" s="1"/>
  <c r="R203"/>
  <c r="Y203" s="1"/>
  <c r="S202"/>
  <c r="R202"/>
  <c r="T202" s="1"/>
  <c r="U202" s="1"/>
  <c r="Y201"/>
  <c r="S201"/>
  <c r="T201" s="1"/>
  <c r="U201" s="1"/>
  <c r="R201"/>
  <c r="V200"/>
  <c r="S200"/>
  <c r="R200"/>
  <c r="T200" s="1"/>
  <c r="U200" s="1"/>
  <c r="Y199"/>
  <c r="V199"/>
  <c r="W199" s="1"/>
  <c r="Z199" s="1"/>
  <c r="S199"/>
  <c r="T199" s="1"/>
  <c r="U199" s="1"/>
  <c r="R199"/>
  <c r="Y198"/>
  <c r="S198"/>
  <c r="T198" s="1"/>
  <c r="U198" s="1"/>
  <c r="R198"/>
  <c r="V197"/>
  <c r="S197"/>
  <c r="R197"/>
  <c r="T197" s="1"/>
  <c r="U197" s="1"/>
  <c r="Y196"/>
  <c r="S196"/>
  <c r="R196"/>
  <c r="T196" s="1"/>
  <c r="U196" s="1"/>
  <c r="T195"/>
  <c r="U195" s="1"/>
  <c r="S195"/>
  <c r="V195" s="1"/>
  <c r="R195"/>
  <c r="Y195" s="1"/>
  <c r="S194"/>
  <c r="R194"/>
  <c r="T194" s="1"/>
  <c r="U194" s="1"/>
  <c r="Y193"/>
  <c r="S193"/>
  <c r="V193" s="1"/>
  <c r="W193" s="1"/>
  <c r="Z193" s="1"/>
  <c r="R193"/>
  <c r="T193" s="1"/>
  <c r="U193" s="1"/>
  <c r="V192"/>
  <c r="W192" s="1"/>
  <c r="S192"/>
  <c r="R192"/>
  <c r="T192" s="1"/>
  <c r="U192" s="1"/>
  <c r="Y191"/>
  <c r="V191"/>
  <c r="S191"/>
  <c r="T191" s="1"/>
  <c r="U191" s="1"/>
  <c r="R191"/>
  <c r="Y190"/>
  <c r="S190"/>
  <c r="T190" s="1"/>
  <c r="U190" s="1"/>
  <c r="R190"/>
  <c r="V189"/>
  <c r="W189" s="1"/>
  <c r="S189"/>
  <c r="R189"/>
  <c r="T189" s="1"/>
  <c r="U189" s="1"/>
  <c r="Y188"/>
  <c r="S188"/>
  <c r="V188" s="1"/>
  <c r="R188"/>
  <c r="T188" s="1"/>
  <c r="U188" s="1"/>
  <c r="T187"/>
  <c r="U187" s="1"/>
  <c r="S187"/>
  <c r="V187" s="1"/>
  <c r="R187"/>
  <c r="Y187" s="1"/>
  <c r="S186"/>
  <c r="R186"/>
  <c r="T186" s="1"/>
  <c r="U186" s="1"/>
  <c r="Y185"/>
  <c r="S185"/>
  <c r="V185" s="1"/>
  <c r="W185" s="1"/>
  <c r="Z185" s="1"/>
  <c r="R185"/>
  <c r="T185" s="1"/>
  <c r="U185" s="1"/>
  <c r="V184"/>
  <c r="W184" s="1"/>
  <c r="S184"/>
  <c r="R184"/>
  <c r="T184" s="1"/>
  <c r="U184" s="1"/>
  <c r="Y183"/>
  <c r="V183"/>
  <c r="S183"/>
  <c r="T183" s="1"/>
  <c r="U183" s="1"/>
  <c r="R183"/>
  <c r="Y182"/>
  <c r="S182"/>
  <c r="T182" s="1"/>
  <c r="U182" s="1"/>
  <c r="R182"/>
  <c r="V181"/>
  <c r="W181" s="1"/>
  <c r="S181"/>
  <c r="R181"/>
  <c r="T181" s="1"/>
  <c r="U181" s="1"/>
  <c r="Y180"/>
  <c r="S180"/>
  <c r="R180"/>
  <c r="T180" s="1"/>
  <c r="U180" s="1"/>
  <c r="T179"/>
  <c r="U179" s="1"/>
  <c r="S179"/>
  <c r="V179" s="1"/>
  <c r="R179"/>
  <c r="Y179" s="1"/>
  <c r="S178"/>
  <c r="R178"/>
  <c r="T178" s="1"/>
  <c r="U178" s="1"/>
  <c r="Y177"/>
  <c r="S177"/>
  <c r="V177" s="1"/>
  <c r="R177"/>
  <c r="T177" s="1"/>
  <c r="U177" s="1"/>
  <c r="V176"/>
  <c r="W176" s="1"/>
  <c r="S176"/>
  <c r="R176"/>
  <c r="T176" s="1"/>
  <c r="U176" s="1"/>
  <c r="Y175"/>
  <c r="V175"/>
  <c r="S175"/>
  <c r="T175" s="1"/>
  <c r="U175" s="1"/>
  <c r="R175"/>
  <c r="Y174"/>
  <c r="S174"/>
  <c r="T174" s="1"/>
  <c r="U174" s="1"/>
  <c r="R174"/>
  <c r="V173"/>
  <c r="W173" s="1"/>
  <c r="S173"/>
  <c r="R173"/>
  <c r="T173" s="1"/>
  <c r="U173" s="1"/>
  <c r="Y172"/>
  <c r="S172"/>
  <c r="R172"/>
  <c r="T172" s="1"/>
  <c r="U172" s="1"/>
  <c r="T171"/>
  <c r="U171" s="1"/>
  <c r="S171"/>
  <c r="V171" s="1"/>
  <c r="W171" s="1"/>
  <c r="Z171" s="1"/>
  <c r="R171"/>
  <c r="Y171" s="1"/>
  <c r="S170"/>
  <c r="R170"/>
  <c r="T170" s="1"/>
  <c r="U170" s="1"/>
  <c r="Y169"/>
  <c r="S169"/>
  <c r="V169" s="1"/>
  <c r="W169" s="1"/>
  <c r="Z169" s="1"/>
  <c r="R169"/>
  <c r="T169" s="1"/>
  <c r="U169" s="1"/>
  <c r="V168"/>
  <c r="S168"/>
  <c r="R168"/>
  <c r="T168" s="1"/>
  <c r="U168" s="1"/>
  <c r="Y167"/>
  <c r="V167"/>
  <c r="W167" s="1"/>
  <c r="Z167" s="1"/>
  <c r="S167"/>
  <c r="T167" s="1"/>
  <c r="U167" s="1"/>
  <c r="R167"/>
  <c r="Y166"/>
  <c r="S166"/>
  <c r="T166" s="1"/>
  <c r="U166" s="1"/>
  <c r="R166"/>
  <c r="V165"/>
  <c r="S165"/>
  <c r="R165"/>
  <c r="T165" s="1"/>
  <c r="U165" s="1"/>
  <c r="Y164"/>
  <c r="S164"/>
  <c r="R164"/>
  <c r="T164" s="1"/>
  <c r="U164" s="1"/>
  <c r="T163"/>
  <c r="U163" s="1"/>
  <c r="S163"/>
  <c r="V163" s="1"/>
  <c r="R163"/>
  <c r="Y163" s="1"/>
  <c r="S162"/>
  <c r="R162"/>
  <c r="T162" s="1"/>
  <c r="U162" s="1"/>
  <c r="Y161"/>
  <c r="S161"/>
  <c r="V161" s="1"/>
  <c r="W161" s="1"/>
  <c r="Z161" s="1"/>
  <c r="R161"/>
  <c r="T161" s="1"/>
  <c r="U161" s="1"/>
  <c r="V160"/>
  <c r="W160" s="1"/>
  <c r="S160"/>
  <c r="R160"/>
  <c r="T160" s="1"/>
  <c r="U160" s="1"/>
  <c r="Y159"/>
  <c r="V159"/>
  <c r="S159"/>
  <c r="T159" s="1"/>
  <c r="U159" s="1"/>
  <c r="R159"/>
  <c r="Y158"/>
  <c r="S158"/>
  <c r="T158" s="1"/>
  <c r="U158" s="1"/>
  <c r="R158"/>
  <c r="V157"/>
  <c r="W157" s="1"/>
  <c r="S157"/>
  <c r="R157"/>
  <c r="T157" s="1"/>
  <c r="U157" s="1"/>
  <c r="Y156"/>
  <c r="S156"/>
  <c r="R156"/>
  <c r="T156" s="1"/>
  <c r="U156" s="1"/>
  <c r="T155"/>
  <c r="U155" s="1"/>
  <c r="S155"/>
  <c r="V155" s="1"/>
  <c r="R155"/>
  <c r="Y155" s="1"/>
  <c r="S154"/>
  <c r="R154"/>
  <c r="T154" s="1"/>
  <c r="U154" s="1"/>
  <c r="Y153"/>
  <c r="S153"/>
  <c r="V153" s="1"/>
  <c r="W153" s="1"/>
  <c r="Z153" s="1"/>
  <c r="R153"/>
  <c r="T153" s="1"/>
  <c r="U153" s="1"/>
  <c r="V152"/>
  <c r="W152" s="1"/>
  <c r="S152"/>
  <c r="R152"/>
  <c r="T152" s="1"/>
  <c r="U152" s="1"/>
  <c r="Y151"/>
  <c r="V151"/>
  <c r="S151"/>
  <c r="T151" s="1"/>
  <c r="U151" s="1"/>
  <c r="R151"/>
  <c r="Y150"/>
  <c r="S150"/>
  <c r="T150" s="1"/>
  <c r="U150" s="1"/>
  <c r="R150"/>
  <c r="V149"/>
  <c r="W149" s="1"/>
  <c r="S149"/>
  <c r="R149"/>
  <c r="T149" s="1"/>
  <c r="U149" s="1"/>
  <c r="Y148"/>
  <c r="S148"/>
  <c r="R148"/>
  <c r="T148" s="1"/>
  <c r="U148" s="1"/>
  <c r="T147"/>
  <c r="U147" s="1"/>
  <c r="S147"/>
  <c r="V147" s="1"/>
  <c r="R147"/>
  <c r="Y147" s="1"/>
  <c r="S146"/>
  <c r="R146"/>
  <c r="T146" s="1"/>
  <c r="U146" s="1"/>
  <c r="Y145"/>
  <c r="S145"/>
  <c r="V145" s="1"/>
  <c r="R145"/>
  <c r="T145" s="1"/>
  <c r="U145" s="1"/>
  <c r="V144"/>
  <c r="W144" s="1"/>
  <c r="S144"/>
  <c r="R144"/>
  <c r="T144" s="1"/>
  <c r="U144" s="1"/>
  <c r="Y143"/>
  <c r="V143"/>
  <c r="S143"/>
  <c r="R143"/>
  <c r="T143" s="1"/>
  <c r="U143" s="1"/>
  <c r="Y142"/>
  <c r="S142"/>
  <c r="T142" s="1"/>
  <c r="U142" s="1"/>
  <c r="R142"/>
  <c r="V141"/>
  <c r="W141" s="1"/>
  <c r="S141"/>
  <c r="R141"/>
  <c r="T141" s="1"/>
  <c r="U141" s="1"/>
  <c r="Y140"/>
  <c r="S140"/>
  <c r="R140"/>
  <c r="T140" s="1"/>
  <c r="U140" s="1"/>
  <c r="T139"/>
  <c r="U139" s="1"/>
  <c r="S139"/>
  <c r="V139" s="1"/>
  <c r="W139" s="1"/>
  <c r="Z139" s="1"/>
  <c r="R139"/>
  <c r="Y139" s="1"/>
  <c r="S138"/>
  <c r="R138"/>
  <c r="T138" s="1"/>
  <c r="U138" s="1"/>
  <c r="Y137"/>
  <c r="S137"/>
  <c r="V137" s="1"/>
  <c r="W137" s="1"/>
  <c r="Z137" s="1"/>
  <c r="R137"/>
  <c r="T137" s="1"/>
  <c r="U137" s="1"/>
  <c r="V136"/>
  <c r="S136"/>
  <c r="R136"/>
  <c r="T136" s="1"/>
  <c r="U136" s="1"/>
  <c r="Y135"/>
  <c r="V135"/>
  <c r="W135" s="1"/>
  <c r="Z135" s="1"/>
  <c r="S135"/>
  <c r="R135"/>
  <c r="T135" s="1"/>
  <c r="U135" s="1"/>
  <c r="Y134"/>
  <c r="S134"/>
  <c r="T134" s="1"/>
  <c r="U134" s="1"/>
  <c r="R134"/>
  <c r="V133"/>
  <c r="S133"/>
  <c r="R133"/>
  <c r="T133" s="1"/>
  <c r="U133" s="1"/>
  <c r="Y132"/>
  <c r="S132"/>
  <c r="R132"/>
  <c r="T132" s="1"/>
  <c r="U132" s="1"/>
  <c r="T131"/>
  <c r="U131" s="1"/>
  <c r="S131"/>
  <c r="V131" s="1"/>
  <c r="R131"/>
  <c r="Y131" s="1"/>
  <c r="S130"/>
  <c r="R130"/>
  <c r="T130" s="1"/>
  <c r="U130" s="1"/>
  <c r="Y129"/>
  <c r="S129"/>
  <c r="V129" s="1"/>
  <c r="W129" s="1"/>
  <c r="Z129" s="1"/>
  <c r="R129"/>
  <c r="T129" s="1"/>
  <c r="U129" s="1"/>
  <c r="V128"/>
  <c r="W128" s="1"/>
  <c r="S128"/>
  <c r="R128"/>
  <c r="T128" s="1"/>
  <c r="U128" s="1"/>
  <c r="Y127"/>
  <c r="V127"/>
  <c r="S127"/>
  <c r="R127"/>
  <c r="T127" s="1"/>
  <c r="U127" s="1"/>
  <c r="Y126"/>
  <c r="S126"/>
  <c r="T126" s="1"/>
  <c r="U126" s="1"/>
  <c r="R126"/>
  <c r="V125"/>
  <c r="W125" s="1"/>
  <c r="S125"/>
  <c r="R125"/>
  <c r="T125" s="1"/>
  <c r="U125" s="1"/>
  <c r="Y124"/>
  <c r="S124"/>
  <c r="R124"/>
  <c r="T124" s="1"/>
  <c r="U124" s="1"/>
  <c r="T123"/>
  <c r="U123" s="1"/>
  <c r="S123"/>
  <c r="V123" s="1"/>
  <c r="R123"/>
  <c r="Y123" s="1"/>
  <c r="S122"/>
  <c r="R122"/>
  <c r="T122" s="1"/>
  <c r="U122" s="1"/>
  <c r="Y121"/>
  <c r="S121"/>
  <c r="V121" s="1"/>
  <c r="W121" s="1"/>
  <c r="Z121" s="1"/>
  <c r="R121"/>
  <c r="T121" s="1"/>
  <c r="U121" s="1"/>
  <c r="V120"/>
  <c r="W120" s="1"/>
  <c r="S120"/>
  <c r="R120"/>
  <c r="T120" s="1"/>
  <c r="U120" s="1"/>
  <c r="Y119"/>
  <c r="V119"/>
  <c r="W119" s="1"/>
  <c r="Z119" s="1"/>
  <c r="S119"/>
  <c r="R119"/>
  <c r="T119" s="1"/>
  <c r="U119" s="1"/>
  <c r="Y118"/>
  <c r="S118"/>
  <c r="T118" s="1"/>
  <c r="U118" s="1"/>
  <c r="R118"/>
  <c r="V117"/>
  <c r="W117" s="1"/>
  <c r="S117"/>
  <c r="R117"/>
  <c r="T117" s="1"/>
  <c r="U117" s="1"/>
  <c r="Y116"/>
  <c r="S116"/>
  <c r="R116"/>
  <c r="T116" s="1"/>
  <c r="U116" s="1"/>
  <c r="T115"/>
  <c r="U115" s="1"/>
  <c r="S115"/>
  <c r="V115" s="1"/>
  <c r="R115"/>
  <c r="Y115" s="1"/>
  <c r="S114"/>
  <c r="R114"/>
  <c r="T114" s="1"/>
  <c r="U114" s="1"/>
  <c r="Y113"/>
  <c r="S113"/>
  <c r="V113" s="1"/>
  <c r="R113"/>
  <c r="T113" s="1"/>
  <c r="U113" s="1"/>
  <c r="V112"/>
  <c r="W112" s="1"/>
  <c r="S112"/>
  <c r="R112"/>
  <c r="T112" s="1"/>
  <c r="U112" s="1"/>
  <c r="Y111"/>
  <c r="V111"/>
  <c r="S111"/>
  <c r="R111"/>
  <c r="T111" s="1"/>
  <c r="U111" s="1"/>
  <c r="Y110"/>
  <c r="S110"/>
  <c r="T110" s="1"/>
  <c r="U110" s="1"/>
  <c r="R110"/>
  <c r="V109"/>
  <c r="W109" s="1"/>
  <c r="S109"/>
  <c r="R109"/>
  <c r="T109" s="1"/>
  <c r="U109" s="1"/>
  <c r="Y108"/>
  <c r="S108"/>
  <c r="R108"/>
  <c r="T108" s="1"/>
  <c r="U108" s="1"/>
  <c r="T107"/>
  <c r="U107" s="1"/>
  <c r="S107"/>
  <c r="V107" s="1"/>
  <c r="W107" s="1"/>
  <c r="Z107" s="1"/>
  <c r="R107"/>
  <c r="Y107" s="1"/>
  <c r="S106"/>
  <c r="R106"/>
  <c r="T106" s="1"/>
  <c r="U106" s="1"/>
  <c r="Y105"/>
  <c r="S105"/>
  <c r="V105" s="1"/>
  <c r="W105" s="1"/>
  <c r="Z105" s="1"/>
  <c r="R105"/>
  <c r="T105" s="1"/>
  <c r="U105" s="1"/>
  <c r="V104"/>
  <c r="S104"/>
  <c r="R104"/>
  <c r="T104" s="1"/>
  <c r="U104" s="1"/>
  <c r="Y103"/>
  <c r="V103"/>
  <c r="W103" s="1"/>
  <c r="Z103" s="1"/>
  <c r="S103"/>
  <c r="R103"/>
  <c r="T103" s="1"/>
  <c r="U103" s="1"/>
  <c r="Y102"/>
  <c r="S102"/>
  <c r="T102" s="1"/>
  <c r="U102" s="1"/>
  <c r="R102"/>
  <c r="V101"/>
  <c r="S101"/>
  <c r="R101"/>
  <c r="T101" s="1"/>
  <c r="U101" s="1"/>
  <c r="Y100"/>
  <c r="S100"/>
  <c r="R100"/>
  <c r="T100" s="1"/>
  <c r="U100" s="1"/>
  <c r="T99"/>
  <c r="U99" s="1"/>
  <c r="S99"/>
  <c r="V99" s="1"/>
  <c r="R99"/>
  <c r="Y99" s="1"/>
  <c r="S98"/>
  <c r="R98"/>
  <c r="T98" s="1"/>
  <c r="U98" s="1"/>
  <c r="Y97"/>
  <c r="S97"/>
  <c r="V97" s="1"/>
  <c r="W97" s="1"/>
  <c r="Z97" s="1"/>
  <c r="R97"/>
  <c r="T97" s="1"/>
  <c r="U97" s="1"/>
  <c r="V96"/>
  <c r="S96"/>
  <c r="R96"/>
  <c r="T96" s="1"/>
  <c r="U96" s="1"/>
  <c r="Y95"/>
  <c r="V95"/>
  <c r="S95"/>
  <c r="R95"/>
  <c r="T95" s="1"/>
  <c r="U95" s="1"/>
  <c r="Y94"/>
  <c r="S94"/>
  <c r="T94" s="1"/>
  <c r="U94" s="1"/>
  <c r="R94"/>
  <c r="V93"/>
  <c r="W93" s="1"/>
  <c r="S93"/>
  <c r="R93"/>
  <c r="T93" s="1"/>
  <c r="U93" s="1"/>
  <c r="Y92"/>
  <c r="S92"/>
  <c r="V92" s="1"/>
  <c r="R92"/>
  <c r="T92" s="1"/>
  <c r="U92" s="1"/>
  <c r="T91"/>
  <c r="U91" s="1"/>
  <c r="S91"/>
  <c r="V91" s="1"/>
  <c r="R91"/>
  <c r="Y91" s="1"/>
  <c r="S90"/>
  <c r="R90"/>
  <c r="T90" s="1"/>
  <c r="U90" s="1"/>
  <c r="Y89"/>
  <c r="S89"/>
  <c r="V89" s="1"/>
  <c r="W89" s="1"/>
  <c r="Z89" s="1"/>
  <c r="R89"/>
  <c r="T89" s="1"/>
  <c r="U89" s="1"/>
  <c r="V88"/>
  <c r="W88" s="1"/>
  <c r="S88"/>
  <c r="R88"/>
  <c r="T88" s="1"/>
  <c r="U88" s="1"/>
  <c r="Y87"/>
  <c r="V87"/>
  <c r="W87" s="1"/>
  <c r="Z87" s="1"/>
  <c r="S87"/>
  <c r="R87"/>
  <c r="T87" s="1"/>
  <c r="U87" s="1"/>
  <c r="Y86"/>
  <c r="S86"/>
  <c r="T86" s="1"/>
  <c r="U86" s="1"/>
  <c r="R86"/>
  <c r="V85"/>
  <c r="W85" s="1"/>
  <c r="S85"/>
  <c r="R85"/>
  <c r="T85" s="1"/>
  <c r="U85" s="1"/>
  <c r="Y84"/>
  <c r="S84"/>
  <c r="V84" s="1"/>
  <c r="W84" s="1"/>
  <c r="Z84" s="1"/>
  <c r="R84"/>
  <c r="T84" s="1"/>
  <c r="U84" s="1"/>
  <c r="T83"/>
  <c r="U83" s="1"/>
  <c r="S83"/>
  <c r="V83" s="1"/>
  <c r="R83"/>
  <c r="Y83" s="1"/>
  <c r="S82"/>
  <c r="R82"/>
  <c r="T82" s="1"/>
  <c r="U82" s="1"/>
  <c r="Y81"/>
  <c r="S81"/>
  <c r="V81" s="1"/>
  <c r="R81"/>
  <c r="T81" s="1"/>
  <c r="U81" s="1"/>
  <c r="V80"/>
  <c r="W80" s="1"/>
  <c r="S80"/>
  <c r="R80"/>
  <c r="T80" s="1"/>
  <c r="U80" s="1"/>
  <c r="Y79"/>
  <c r="V79"/>
  <c r="S79"/>
  <c r="R79"/>
  <c r="T79" s="1"/>
  <c r="U79" s="1"/>
  <c r="Y78"/>
  <c r="S78"/>
  <c r="T78" s="1"/>
  <c r="U78" s="1"/>
  <c r="R78"/>
  <c r="V77"/>
  <c r="W77" s="1"/>
  <c r="S77"/>
  <c r="R77"/>
  <c r="T77" s="1"/>
  <c r="U77" s="1"/>
  <c r="Y76"/>
  <c r="S76"/>
  <c r="V76" s="1"/>
  <c r="W76" s="1"/>
  <c r="Z76" s="1"/>
  <c r="R76"/>
  <c r="T76" s="1"/>
  <c r="U76" s="1"/>
  <c r="T75"/>
  <c r="U75" s="1"/>
  <c r="S75"/>
  <c r="V75" s="1"/>
  <c r="W75" s="1"/>
  <c r="Z75" s="1"/>
  <c r="R75"/>
  <c r="Y75" s="1"/>
  <c r="S74"/>
  <c r="R74"/>
  <c r="T74" s="1"/>
  <c r="U74" s="1"/>
  <c r="Y73"/>
  <c r="S73"/>
  <c r="V73" s="1"/>
  <c r="W73" s="1"/>
  <c r="Z73" s="1"/>
  <c r="R73"/>
  <c r="T73" s="1"/>
  <c r="U73" s="1"/>
  <c r="V72"/>
  <c r="S72"/>
  <c r="R72"/>
  <c r="T72" s="1"/>
  <c r="U72" s="1"/>
  <c r="Y71"/>
  <c r="V71"/>
  <c r="W71" s="1"/>
  <c r="Z71" s="1"/>
  <c r="S71"/>
  <c r="R71"/>
  <c r="T71" s="1"/>
  <c r="U71" s="1"/>
  <c r="Y70"/>
  <c r="S70"/>
  <c r="T70" s="1"/>
  <c r="U70" s="1"/>
  <c r="R70"/>
  <c r="V69"/>
  <c r="S69"/>
  <c r="R69"/>
  <c r="T69" s="1"/>
  <c r="U69" s="1"/>
  <c r="Y68"/>
  <c r="S68"/>
  <c r="V68" s="1"/>
  <c r="W68" s="1"/>
  <c r="Z68" s="1"/>
  <c r="R68"/>
  <c r="T68" s="1"/>
  <c r="U68" s="1"/>
  <c r="T67"/>
  <c r="U67" s="1"/>
  <c r="S67"/>
  <c r="V67" s="1"/>
  <c r="R67"/>
  <c r="Y67" s="1"/>
  <c r="S66"/>
  <c r="R66"/>
  <c r="T66" s="1"/>
  <c r="U66" s="1"/>
  <c r="Y65"/>
  <c r="S65"/>
  <c r="V65" s="1"/>
  <c r="W65" s="1"/>
  <c r="Z65" s="1"/>
  <c r="R65"/>
  <c r="T65" s="1"/>
  <c r="U65" s="1"/>
  <c r="V64"/>
  <c r="W64" s="1"/>
  <c r="S64"/>
  <c r="R64"/>
  <c r="T64" s="1"/>
  <c r="U64" s="1"/>
  <c r="Y63"/>
  <c r="V63"/>
  <c r="S63"/>
  <c r="R63"/>
  <c r="T63" s="1"/>
  <c r="U63" s="1"/>
  <c r="Y62"/>
  <c r="S62"/>
  <c r="T62" s="1"/>
  <c r="U62" s="1"/>
  <c r="R62"/>
  <c r="V61"/>
  <c r="W61" s="1"/>
  <c r="S61"/>
  <c r="R61"/>
  <c r="T61" s="1"/>
  <c r="U61" s="1"/>
  <c r="Y60"/>
  <c r="S60"/>
  <c r="V60" s="1"/>
  <c r="R60"/>
  <c r="T60" s="1"/>
  <c r="U60" s="1"/>
  <c r="T59"/>
  <c r="U59" s="1"/>
  <c r="S59"/>
  <c r="V59" s="1"/>
  <c r="R59"/>
  <c r="Y59" s="1"/>
  <c r="S58"/>
  <c r="R58"/>
  <c r="T58" s="1"/>
  <c r="U58" s="1"/>
  <c r="Y57"/>
  <c r="S57"/>
  <c r="V57" s="1"/>
  <c r="W57" s="1"/>
  <c r="Z57" s="1"/>
  <c r="R57"/>
  <c r="T57" s="1"/>
  <c r="U57" s="1"/>
  <c r="V56"/>
  <c r="W56" s="1"/>
  <c r="S56"/>
  <c r="R56"/>
  <c r="T56" s="1"/>
  <c r="U56" s="1"/>
  <c r="Y55"/>
  <c r="V55"/>
  <c r="W55" s="1"/>
  <c r="Z55" s="1"/>
  <c r="S55"/>
  <c r="R55"/>
  <c r="T55" s="1"/>
  <c r="U55" s="1"/>
  <c r="Y54"/>
  <c r="S54"/>
  <c r="T54" s="1"/>
  <c r="U54" s="1"/>
  <c r="R54"/>
  <c r="V53"/>
  <c r="W53" s="1"/>
  <c r="S53"/>
  <c r="R53"/>
  <c r="T53" s="1"/>
  <c r="U53" s="1"/>
  <c r="Y52"/>
  <c r="S52"/>
  <c r="V52" s="1"/>
  <c r="W52" s="1"/>
  <c r="Z52" s="1"/>
  <c r="R52"/>
  <c r="T52" s="1"/>
  <c r="U52" s="1"/>
  <c r="T51"/>
  <c r="U51" s="1"/>
  <c r="S51"/>
  <c r="V51" s="1"/>
  <c r="R51"/>
  <c r="Y51" s="1"/>
  <c r="S50"/>
  <c r="R50"/>
  <c r="T50" s="1"/>
  <c r="U50" s="1"/>
  <c r="Y49"/>
  <c r="S49"/>
  <c r="V49" s="1"/>
  <c r="R49"/>
  <c r="T49" s="1"/>
  <c r="U49" s="1"/>
  <c r="V48"/>
  <c r="W48" s="1"/>
  <c r="S48"/>
  <c r="R48"/>
  <c r="T48" s="1"/>
  <c r="U48" s="1"/>
  <c r="Y47"/>
  <c r="V47"/>
  <c r="S47"/>
  <c r="R47"/>
  <c r="T47" s="1"/>
  <c r="U47" s="1"/>
  <c r="Y46"/>
  <c r="S46"/>
  <c r="T46" s="1"/>
  <c r="U46" s="1"/>
  <c r="R46"/>
  <c r="V45"/>
  <c r="W45" s="1"/>
  <c r="S45"/>
  <c r="R45"/>
  <c r="T45" s="1"/>
  <c r="U45" s="1"/>
  <c r="Y44"/>
  <c r="S44"/>
  <c r="V44" s="1"/>
  <c r="W44" s="1"/>
  <c r="Z44" s="1"/>
  <c r="R44"/>
  <c r="T44" s="1"/>
  <c r="U44" s="1"/>
  <c r="T43"/>
  <c r="U43" s="1"/>
  <c r="S43"/>
  <c r="V43" s="1"/>
  <c r="W43" s="1"/>
  <c r="Z43" s="1"/>
  <c r="R43"/>
  <c r="Y43" s="1"/>
  <c r="S42"/>
  <c r="R42"/>
  <c r="T42" s="1"/>
  <c r="U42" s="1"/>
  <c r="Y41"/>
  <c r="S41"/>
  <c r="V41" s="1"/>
  <c r="W41" s="1"/>
  <c r="Z41" s="1"/>
  <c r="R41"/>
  <c r="T41" s="1"/>
  <c r="U41" s="1"/>
  <c r="V40"/>
  <c r="S40"/>
  <c r="R40"/>
  <c r="T40" s="1"/>
  <c r="U40" s="1"/>
  <c r="Y39"/>
  <c r="V39"/>
  <c r="W39" s="1"/>
  <c r="Z39" s="1"/>
  <c r="S39"/>
  <c r="R39"/>
  <c r="T39" s="1"/>
  <c r="U39" s="1"/>
  <c r="Y38"/>
  <c r="S38"/>
  <c r="T38" s="1"/>
  <c r="U38" s="1"/>
  <c r="R38"/>
  <c r="V37"/>
  <c r="S37"/>
  <c r="R37"/>
  <c r="T37" s="1"/>
  <c r="U37" s="1"/>
  <c r="Y36"/>
  <c r="S36"/>
  <c r="V36" s="1"/>
  <c r="W36" s="1"/>
  <c r="Z36" s="1"/>
  <c r="R36"/>
  <c r="T36" s="1"/>
  <c r="U36" s="1"/>
  <c r="T35"/>
  <c r="U35" s="1"/>
  <c r="S35"/>
  <c r="V35" s="1"/>
  <c r="R35"/>
  <c r="Y35" s="1"/>
  <c r="S34"/>
  <c r="R34"/>
  <c r="T34" s="1"/>
  <c r="U34" s="1"/>
  <c r="Y33"/>
  <c r="S33"/>
  <c r="V33" s="1"/>
  <c r="W33" s="1"/>
  <c r="Z33" s="1"/>
  <c r="R33"/>
  <c r="T33" s="1"/>
  <c r="U33" s="1"/>
  <c r="V32"/>
  <c r="W32" s="1"/>
  <c r="S32"/>
  <c r="R32"/>
  <c r="T32" s="1"/>
  <c r="U32" s="1"/>
  <c r="Y31"/>
  <c r="V31"/>
  <c r="S31"/>
  <c r="R31"/>
  <c r="T31" s="1"/>
  <c r="U31" s="1"/>
  <c r="Y30"/>
  <c r="S30"/>
  <c r="T30" s="1"/>
  <c r="U30" s="1"/>
  <c r="R30"/>
  <c r="V29"/>
  <c r="W29" s="1"/>
  <c r="S29"/>
  <c r="R29"/>
  <c r="T29" s="1"/>
  <c r="U29" s="1"/>
  <c r="Y28"/>
  <c r="S28"/>
  <c r="V28" s="1"/>
  <c r="R28"/>
  <c r="T28" s="1"/>
  <c r="U28" s="1"/>
  <c r="T27"/>
  <c r="U27" s="1"/>
  <c r="S27"/>
  <c r="V27" s="1"/>
  <c r="R27"/>
  <c r="Y27" s="1"/>
  <c r="S26"/>
  <c r="R26"/>
  <c r="T26" s="1"/>
  <c r="U26" s="1"/>
  <c r="Y25"/>
  <c r="S25"/>
  <c r="V25" s="1"/>
  <c r="W25" s="1"/>
  <c r="Z25" s="1"/>
  <c r="R25"/>
  <c r="T25" s="1"/>
  <c r="U25" s="1"/>
  <c r="V24"/>
  <c r="W24" s="1"/>
  <c r="S24"/>
  <c r="R24"/>
  <c r="T24" s="1"/>
  <c r="U24" s="1"/>
  <c r="Y23"/>
  <c r="V23"/>
  <c r="W23" s="1"/>
  <c r="Z23" s="1"/>
  <c r="S23"/>
  <c r="R23"/>
  <c r="T23" s="1"/>
  <c r="U23" s="1"/>
  <c r="Y22"/>
  <c r="S22"/>
  <c r="T22" s="1"/>
  <c r="U22" s="1"/>
  <c r="R22"/>
  <c r="V21"/>
  <c r="W21" s="1"/>
  <c r="S21"/>
  <c r="R21"/>
  <c r="T21" s="1"/>
  <c r="U21" s="1"/>
  <c r="Y20"/>
  <c r="S20"/>
  <c r="V20" s="1"/>
  <c r="W20" s="1"/>
  <c r="Z20" s="1"/>
  <c r="R20"/>
  <c r="T20" s="1"/>
  <c r="U20" s="1"/>
  <c r="T19"/>
  <c r="U19" s="1"/>
  <c r="S19"/>
  <c r="V19" s="1"/>
  <c r="R19"/>
  <c r="Y19" s="1"/>
  <c r="S18"/>
  <c r="R18"/>
  <c r="T18" s="1"/>
  <c r="U18" s="1"/>
  <c r="Y17"/>
  <c r="S17"/>
  <c r="V17" s="1"/>
  <c r="R17"/>
  <c r="T17" s="1"/>
  <c r="U17" s="1"/>
  <c r="V16"/>
  <c r="W16" s="1"/>
  <c r="S16"/>
  <c r="R16"/>
  <c r="T16" s="1"/>
  <c r="U16" s="1"/>
  <c r="Y15"/>
  <c r="V15"/>
  <c r="S15"/>
  <c r="R15"/>
  <c r="T15" s="1"/>
  <c r="U15" s="1"/>
  <c r="Y14"/>
  <c r="S14"/>
  <c r="T14" s="1"/>
  <c r="U14" s="1"/>
  <c r="R14"/>
  <c r="V13"/>
  <c r="W13" s="1"/>
  <c r="S13"/>
  <c r="R13"/>
  <c r="T13" s="1"/>
  <c r="U13" s="1"/>
  <c r="Y12"/>
  <c r="S12"/>
  <c r="V12" s="1"/>
  <c r="W12" s="1"/>
  <c r="Z12" s="1"/>
  <c r="R12"/>
  <c r="T12" s="1"/>
  <c r="U12" s="1"/>
  <c r="T11"/>
  <c r="U11" s="1"/>
  <c r="S11"/>
  <c r="V11" s="1"/>
  <c r="W11" s="1"/>
  <c r="Z11" s="1"/>
  <c r="R11"/>
  <c r="Y11" s="1"/>
  <c r="S10"/>
  <c r="R10"/>
  <c r="T10" s="1"/>
  <c r="U10" s="1"/>
  <c r="Y9"/>
  <c r="S9"/>
  <c r="V9" s="1"/>
  <c r="W9" s="1"/>
  <c r="Z9" s="1"/>
  <c r="R9"/>
  <c r="T9" s="1"/>
  <c r="U9" s="1"/>
  <c r="V8"/>
  <c r="S8"/>
  <c r="R8"/>
  <c r="T8" s="1"/>
  <c r="U8" s="1"/>
  <c r="Y7"/>
  <c r="V7"/>
  <c r="W7" s="1"/>
  <c r="Z7" s="1"/>
  <c r="S7"/>
  <c r="R7"/>
  <c r="T7" s="1"/>
  <c r="U7" s="1"/>
  <c r="Y6"/>
  <c r="S6"/>
  <c r="V6" s="1"/>
  <c r="W6" s="1"/>
  <c r="Z6" s="1"/>
  <c r="R6"/>
  <c r="T6" s="1"/>
  <c r="U6" s="1"/>
  <c r="V5"/>
  <c r="S5"/>
  <c r="R5"/>
  <c r="T5" s="1"/>
  <c r="U5" s="1"/>
  <c r="Y4"/>
  <c r="S4"/>
  <c r="V4" s="1"/>
  <c r="W4" s="1"/>
  <c r="R4"/>
  <c r="T4" s="1"/>
  <c r="U4" s="1"/>
  <c r="X4" i="4" l="1"/>
  <c r="Z4"/>
  <c r="W38" i="3"/>
  <c r="Z54" i="4"/>
  <c r="W213" i="2"/>
  <c r="Z213" s="1"/>
  <c r="W29" i="3"/>
  <c r="Z29" s="1"/>
  <c r="W68"/>
  <c r="Z68" s="1"/>
  <c r="W134"/>
  <c r="Z134" s="1"/>
  <c r="W25" i="4"/>
  <c r="Z25" s="1"/>
  <c r="W104"/>
  <c r="Z104" s="1"/>
  <c r="W98" i="3"/>
  <c r="W122" i="4"/>
  <c r="Z122" s="1"/>
  <c r="W31" i="2"/>
  <c r="Z31" s="1"/>
  <c r="W63"/>
  <c r="Z63" s="1"/>
  <c r="W95"/>
  <c r="Z95" s="1"/>
  <c r="W127"/>
  <c r="Z127" s="1"/>
  <c r="W159"/>
  <c r="Z159" s="1"/>
  <c r="W191"/>
  <c r="Z191" s="1"/>
  <c r="W19" i="3"/>
  <c r="Z19" s="1"/>
  <c r="W47"/>
  <c r="W107"/>
  <c r="W154"/>
  <c r="Z154" s="1"/>
  <c r="W43" i="4"/>
  <c r="Z43" s="1"/>
  <c r="W37" i="3"/>
  <c r="Z37" s="1"/>
  <c r="W115"/>
  <c r="Z115" s="1"/>
  <c r="W9"/>
  <c r="Z9" s="1"/>
  <c r="W18"/>
  <c r="Z18" s="1"/>
  <c r="W97"/>
  <c r="Z97" s="1"/>
  <c r="W71" i="4"/>
  <c r="Z71" s="1"/>
  <c r="W131"/>
  <c r="W35" i="5"/>
  <c r="W8" i="2"/>
  <c r="W40"/>
  <c r="W72"/>
  <c r="W104"/>
  <c r="W136"/>
  <c r="W168"/>
  <c r="W200"/>
  <c r="W27" i="3"/>
  <c r="W19" i="2"/>
  <c r="Z19" s="1"/>
  <c r="W51"/>
  <c r="Z51" s="1"/>
  <c r="W83"/>
  <c r="Z83" s="1"/>
  <c r="W115"/>
  <c r="Z115" s="1"/>
  <c r="W147"/>
  <c r="Z147" s="1"/>
  <c r="W179"/>
  <c r="Z179" s="1"/>
  <c r="W36" i="3"/>
  <c r="W86"/>
  <c r="W114"/>
  <c r="Z114" s="1"/>
  <c r="W122"/>
  <c r="Z122" s="1"/>
  <c r="W190"/>
  <c r="W200"/>
  <c r="Z200" s="1"/>
  <c r="W111" i="4"/>
  <c r="Z111" s="1"/>
  <c r="W139"/>
  <c r="Z139" s="1"/>
  <c r="W6" i="5"/>
  <c r="Z6" s="1"/>
  <c r="W22" i="4"/>
  <c r="Z22" s="1"/>
  <c r="W54" i="3"/>
  <c r="Z54" s="1"/>
  <c r="W131"/>
  <c r="Z131" s="1"/>
  <c r="W138" i="4"/>
  <c r="W17" i="2"/>
  <c r="Z17" s="1"/>
  <c r="W28"/>
  <c r="Z28" s="1"/>
  <c r="W49"/>
  <c r="Z49" s="1"/>
  <c r="W60"/>
  <c r="Z60" s="1"/>
  <c r="W81"/>
  <c r="Z81" s="1"/>
  <c r="W92"/>
  <c r="Z92" s="1"/>
  <c r="W113"/>
  <c r="Z113" s="1"/>
  <c r="W145"/>
  <c r="Z145" s="1"/>
  <c r="W177"/>
  <c r="Z177" s="1"/>
  <c r="W188"/>
  <c r="Z188" s="1"/>
  <c r="W44" i="3"/>
  <c r="Z44" s="1"/>
  <c r="Z121"/>
  <c r="W31" i="4"/>
  <c r="Z31" s="1"/>
  <c r="W7" i="3"/>
  <c r="Z7" s="1"/>
  <c r="W95"/>
  <c r="Z95" s="1"/>
  <c r="W27" i="2"/>
  <c r="Z27" s="1"/>
  <c r="W59"/>
  <c r="Z59" s="1"/>
  <c r="W91"/>
  <c r="Z91" s="1"/>
  <c r="W123"/>
  <c r="Z123" s="1"/>
  <c r="W155"/>
  <c r="Z155" s="1"/>
  <c r="W187"/>
  <c r="Z187" s="1"/>
  <c r="W130" i="3"/>
  <c r="W100" i="4"/>
  <c r="Z100" s="1"/>
  <c r="W5" i="2"/>
  <c r="W37"/>
  <c r="W69"/>
  <c r="W101"/>
  <c r="W133"/>
  <c r="W165"/>
  <c r="W197"/>
  <c r="W15" i="3"/>
  <c r="Z15" s="1"/>
  <c r="W63"/>
  <c r="W83"/>
  <c r="Z83" s="1"/>
  <c r="W178"/>
  <c r="Z178" s="1"/>
  <c r="W48" i="4"/>
  <c r="Z48" s="1"/>
  <c r="W103" i="3"/>
  <c r="Z103" s="1"/>
  <c r="Z111"/>
  <c r="Z119"/>
  <c r="Z39" i="4"/>
  <c r="W15" i="2"/>
  <c r="Z15" s="1"/>
  <c r="W47"/>
  <c r="Z47" s="1"/>
  <c r="W79"/>
  <c r="Z79" s="1"/>
  <c r="W111"/>
  <c r="Z111" s="1"/>
  <c r="W143"/>
  <c r="Z143" s="1"/>
  <c r="W175"/>
  <c r="Z175" s="1"/>
  <c r="W207"/>
  <c r="Z207" s="1"/>
  <c r="W33" i="3"/>
  <c r="Z33" s="1"/>
  <c r="W67" i="4"/>
  <c r="Z67" s="1"/>
  <c r="W42" i="3"/>
  <c r="Z42" s="1"/>
  <c r="W52"/>
  <c r="Z52" s="1"/>
  <c r="W167"/>
  <c r="Z167" s="1"/>
  <c r="W197"/>
  <c r="Z197" s="1"/>
  <c r="W208"/>
  <c r="Z208" s="1"/>
  <c r="W86" i="4"/>
  <c r="Z86" s="1"/>
  <c r="X4" i="2"/>
  <c r="Z4"/>
  <c r="W38" i="4"/>
  <c r="Z38" s="1"/>
  <c r="W187" i="3"/>
  <c r="Z187" s="1"/>
  <c r="W196"/>
  <c r="W193" i="4"/>
  <c r="W11" i="5"/>
  <c r="Z11" s="1"/>
  <c r="W35" i="2"/>
  <c r="Z35" s="1"/>
  <c r="W67"/>
  <c r="Z67" s="1"/>
  <c r="W99"/>
  <c r="Z99" s="1"/>
  <c r="W131"/>
  <c r="Z131" s="1"/>
  <c r="W163"/>
  <c r="Z163" s="1"/>
  <c r="W195"/>
  <c r="Z195" s="1"/>
  <c r="W22" i="3"/>
  <c r="Z22" s="1"/>
  <c r="W195"/>
  <c r="Z195" s="1"/>
  <c r="W134" i="4"/>
  <c r="Z134" s="1"/>
  <c r="W4" i="3"/>
  <c r="W156"/>
  <c r="Z156" s="1"/>
  <c r="W151" i="2"/>
  <c r="Z151" s="1"/>
  <c r="W183"/>
  <c r="Z183" s="1"/>
  <c r="W96" i="4"/>
  <c r="Z96" s="1"/>
  <c r="Z39" i="5"/>
  <c r="W126" i="3"/>
  <c r="Z126" s="1"/>
  <c r="W16" i="4"/>
  <c r="Z16" s="1"/>
  <c r="W95"/>
  <c r="Z95" s="1"/>
  <c r="W181"/>
  <c r="Z181" s="1"/>
  <c r="W20" i="3"/>
  <c r="Z20" s="1"/>
  <c r="W30"/>
  <c r="Z30" s="1"/>
  <c r="W135"/>
  <c r="Z135" s="1"/>
  <c r="W174"/>
  <c r="Z174" s="1"/>
  <c r="W204"/>
  <c r="W55" i="4"/>
  <c r="Z55" s="1"/>
  <c r="W96" i="2"/>
  <c r="W11" i="3"/>
  <c r="Z11" s="1"/>
  <c r="Z58"/>
  <c r="W108"/>
  <c r="Z108" s="1"/>
  <c r="Z155"/>
  <c r="W113" i="4"/>
  <c r="Z113" s="1"/>
  <c r="W208"/>
  <c r="Z208" s="1"/>
  <c r="Y4" i="5"/>
  <c r="T4"/>
  <c r="U4" s="1"/>
  <c r="V8" i="6"/>
  <c r="T8"/>
  <c r="U8" s="1"/>
  <c r="T16"/>
  <c r="U16" s="1"/>
  <c r="Y16"/>
  <c r="T38"/>
  <c r="U38" s="1"/>
  <c r="Y38"/>
  <c r="V70"/>
  <c r="Y70"/>
  <c r="T70"/>
  <c r="U70" s="1"/>
  <c r="T51" i="3"/>
  <c r="U51" s="1"/>
  <c r="W51" s="1"/>
  <c r="Z51" s="1"/>
  <c r="T94"/>
  <c r="U94" s="1"/>
  <c r="W94" s="1"/>
  <c r="Z94" s="1"/>
  <c r="Y150"/>
  <c r="Y153"/>
  <c r="T213"/>
  <c r="U213" s="1"/>
  <c r="Y20" i="4"/>
  <c r="T51"/>
  <c r="U51" s="1"/>
  <c r="W51" s="1"/>
  <c r="Z51" s="1"/>
  <c r="V90"/>
  <c r="W90" s="1"/>
  <c r="Y93"/>
  <c r="Z93" s="1"/>
  <c r="Y131"/>
  <c r="T153"/>
  <c r="U153" s="1"/>
  <c r="T157"/>
  <c r="U157" s="1"/>
  <c r="W157" s="1"/>
  <c r="Z157" s="1"/>
  <c r="T30" i="6"/>
  <c r="U30" s="1"/>
  <c r="V30"/>
  <c r="W30" s="1"/>
  <c r="Z30" s="1"/>
  <c r="Y30"/>
  <c r="Y45"/>
  <c r="T45"/>
  <c r="U45" s="1"/>
  <c r="V45"/>
  <c r="W45" s="1"/>
  <c r="Z45" s="1"/>
  <c r="V100" i="2"/>
  <c r="W100" s="1"/>
  <c r="Z100" s="1"/>
  <c r="V108"/>
  <c r="W108" s="1"/>
  <c r="Z108" s="1"/>
  <c r="V116"/>
  <c r="W116" s="1"/>
  <c r="Z116" s="1"/>
  <c r="V124"/>
  <c r="W124" s="1"/>
  <c r="Z124" s="1"/>
  <c r="V132"/>
  <c r="W132" s="1"/>
  <c r="Z132" s="1"/>
  <c r="V140"/>
  <c r="W140" s="1"/>
  <c r="Z140" s="1"/>
  <c r="V148"/>
  <c r="W148" s="1"/>
  <c r="Z148" s="1"/>
  <c r="V156"/>
  <c r="W156" s="1"/>
  <c r="Z156" s="1"/>
  <c r="V164"/>
  <c r="W164" s="1"/>
  <c r="Z164" s="1"/>
  <c r="V172"/>
  <c r="W172" s="1"/>
  <c r="Z172" s="1"/>
  <c r="V180"/>
  <c r="W180" s="1"/>
  <c r="Z180" s="1"/>
  <c r="V196"/>
  <c r="W196" s="1"/>
  <c r="Z196" s="1"/>
  <c r="V204"/>
  <c r="W204" s="1"/>
  <c r="Z204" s="1"/>
  <c r="T40" i="3"/>
  <c r="U40" s="1"/>
  <c r="W40" s="1"/>
  <c r="Z40" s="1"/>
  <c r="Y45"/>
  <c r="Z45" s="1"/>
  <c r="V62"/>
  <c r="W62" s="1"/>
  <c r="Z62" s="1"/>
  <c r="T65"/>
  <c r="U65" s="1"/>
  <c r="W65" s="1"/>
  <c r="Z65" s="1"/>
  <c r="T91"/>
  <c r="U91" s="1"/>
  <c r="W91" s="1"/>
  <c r="Z91" s="1"/>
  <c r="Y144"/>
  <c r="Z144" s="1"/>
  <c r="T5" i="4"/>
  <c r="U5" s="1"/>
  <c r="W5" s="1"/>
  <c r="Z5" s="1"/>
  <c r="V8"/>
  <c r="W8" s="1"/>
  <c r="Z8" s="1"/>
  <c r="V79"/>
  <c r="T100"/>
  <c r="U100" s="1"/>
  <c r="T135"/>
  <c r="U135" s="1"/>
  <c r="W135" s="1"/>
  <c r="Z135" s="1"/>
  <c r="V205"/>
  <c r="W205" s="1"/>
  <c r="V20" i="5"/>
  <c r="W20" s="1"/>
  <c r="Z20" s="1"/>
  <c r="T32"/>
  <c r="U32" s="1"/>
  <c r="W32" s="1"/>
  <c r="Z32" s="1"/>
  <c r="T92"/>
  <c r="U92" s="1"/>
  <c r="V114"/>
  <c r="W114" s="1"/>
  <c r="V131"/>
  <c r="W131" s="1"/>
  <c r="Z131" s="1"/>
  <c r="Y56"/>
  <c r="T56"/>
  <c r="U56" s="1"/>
  <c r="V56"/>
  <c r="W56" s="1"/>
  <c r="Z56" s="1"/>
  <c r="V153"/>
  <c r="T153"/>
  <c r="U153" s="1"/>
  <c r="V212" i="2"/>
  <c r="V141" i="3"/>
  <c r="W141" s="1"/>
  <c r="Z141" s="1"/>
  <c r="V150"/>
  <c r="W150" s="1"/>
  <c r="V165"/>
  <c r="V11" i="4"/>
  <c r="V149"/>
  <c r="V160"/>
  <c r="W36" i="5"/>
  <c r="Z36" s="1"/>
  <c r="W92"/>
  <c r="Z92" s="1"/>
  <c r="W98"/>
  <c r="Z98" s="1"/>
  <c r="T197"/>
  <c r="U197" s="1"/>
  <c r="Y16"/>
  <c r="T16"/>
  <c r="U16" s="1"/>
  <c r="W16" s="1"/>
  <c r="Z16" s="1"/>
  <c r="T98"/>
  <c r="U98" s="1"/>
  <c r="Y98"/>
  <c r="V125"/>
  <c r="T125"/>
  <c r="U125" s="1"/>
  <c r="T147"/>
  <c r="U147" s="1"/>
  <c r="V147"/>
  <c r="Y77" i="6"/>
  <c r="T77"/>
  <c r="U77" s="1"/>
  <c r="W77" s="1"/>
  <c r="Z77" s="1"/>
  <c r="T62" i="3"/>
  <c r="U62" s="1"/>
  <c r="V79"/>
  <c r="W79" s="1"/>
  <c r="Z79" s="1"/>
  <c r="T82"/>
  <c r="U82" s="1"/>
  <c r="W82" s="1"/>
  <c r="Z82" s="1"/>
  <c r="T88"/>
  <c r="U88" s="1"/>
  <c r="W88" s="1"/>
  <c r="Z88" s="1"/>
  <c r="Y120"/>
  <c r="Z120" s="1"/>
  <c r="V138"/>
  <c r="W138" s="1"/>
  <c r="Z138" s="1"/>
  <c r="V147"/>
  <c r="W147" s="1"/>
  <c r="Z147" s="1"/>
  <c r="V159"/>
  <c r="W159" s="1"/>
  <c r="Z159" s="1"/>
  <c r="V162"/>
  <c r="W162" s="1"/>
  <c r="Z162" s="1"/>
  <c r="Y196"/>
  <c r="T14" i="4"/>
  <c r="U14" s="1"/>
  <c r="W14" s="1"/>
  <c r="Z14" s="1"/>
  <c r="V20"/>
  <c r="W20" s="1"/>
  <c r="Z20" s="1"/>
  <c r="V23"/>
  <c r="W23" s="1"/>
  <c r="Z23" s="1"/>
  <c r="T63"/>
  <c r="U63" s="1"/>
  <c r="W63" s="1"/>
  <c r="Z63" s="1"/>
  <c r="T66"/>
  <c r="U66" s="1"/>
  <c r="T79"/>
  <c r="U79" s="1"/>
  <c r="T117"/>
  <c r="U117" s="1"/>
  <c r="Y138"/>
  <c r="Y193"/>
  <c r="V173" i="5"/>
  <c r="W173" s="1"/>
  <c r="Z173" s="1"/>
  <c r="W197"/>
  <c r="Z197" s="1"/>
  <c r="W44" i="6"/>
  <c r="Z44" s="1"/>
  <c r="W182"/>
  <c r="Z182" s="1"/>
  <c r="T184" i="4"/>
  <c r="U184" s="1"/>
  <c r="W184" s="1"/>
  <c r="Z184" s="1"/>
  <c r="Y184"/>
  <c r="Y24" i="5"/>
  <c r="T24"/>
  <c r="U24" s="1"/>
  <c r="W24" s="1"/>
  <c r="Z24" s="1"/>
  <c r="T173"/>
  <c r="U173" s="1"/>
  <c r="Y173"/>
  <c r="V94" i="6"/>
  <c r="W94" s="1"/>
  <c r="Z94" s="1"/>
  <c r="T94"/>
  <c r="U94" s="1"/>
  <c r="T212" i="2"/>
  <c r="U212" s="1"/>
  <c r="Y70" i="3"/>
  <c r="Y99"/>
  <c r="T141"/>
  <c r="U141" s="1"/>
  <c r="T165"/>
  <c r="U165" s="1"/>
  <c r="Y177"/>
  <c r="Y183"/>
  <c r="Z183" s="1"/>
  <c r="Y186"/>
  <c r="T11" i="4"/>
  <c r="U11" s="1"/>
  <c r="Y41"/>
  <c r="Y47"/>
  <c r="V66"/>
  <c r="T69"/>
  <c r="U69" s="1"/>
  <c r="W69" s="1"/>
  <c r="Z69" s="1"/>
  <c r="T82"/>
  <c r="U82" s="1"/>
  <c r="V117"/>
  <c r="T145"/>
  <c r="U145" s="1"/>
  <c r="T149"/>
  <c r="U149" s="1"/>
  <c r="T160"/>
  <c r="U160" s="1"/>
  <c r="V163"/>
  <c r="W163" s="1"/>
  <c r="Z163" s="1"/>
  <c r="W168"/>
  <c r="Z168" s="1"/>
  <c r="V176"/>
  <c r="W176" s="1"/>
  <c r="Z176" s="1"/>
  <c r="Y201"/>
  <c r="W69" i="5"/>
  <c r="Z69" s="1"/>
  <c r="V85"/>
  <c r="W85" s="1"/>
  <c r="Z85" s="1"/>
  <c r="T108"/>
  <c r="U108" s="1"/>
  <c r="W108" s="1"/>
  <c r="Z108" s="1"/>
  <c r="Z151" i="6"/>
  <c r="V165" i="5"/>
  <c r="T165"/>
  <c r="U165" s="1"/>
  <c r="T7" i="6"/>
  <c r="U7" s="1"/>
  <c r="V7"/>
  <c r="T22"/>
  <c r="U22" s="1"/>
  <c r="W22" s="1"/>
  <c r="Z22" s="1"/>
  <c r="Y22"/>
  <c r="Y29"/>
  <c r="T29"/>
  <c r="U29" s="1"/>
  <c r="W29" s="1"/>
  <c r="Z29" s="1"/>
  <c r="V201" i="2"/>
  <c r="W201" s="1"/>
  <c r="Z201" s="1"/>
  <c r="V153" i="3"/>
  <c r="W153" s="1"/>
  <c r="Z153" s="1"/>
  <c r="V193"/>
  <c r="W193" s="1"/>
  <c r="Z193" s="1"/>
  <c r="Y202"/>
  <c r="T26" i="4"/>
  <c r="U26" s="1"/>
  <c r="W26" s="1"/>
  <c r="Z26" s="1"/>
  <c r="T29"/>
  <c r="U29" s="1"/>
  <c r="W29" s="1"/>
  <c r="Z29" s="1"/>
  <c r="V32"/>
  <c r="W32" s="1"/>
  <c r="Z32" s="1"/>
  <c r="W41"/>
  <c r="V82"/>
  <c r="W82" s="1"/>
  <c r="Z82" s="1"/>
  <c r="T124"/>
  <c r="U124" s="1"/>
  <c r="W124" s="1"/>
  <c r="Z124" s="1"/>
  <c r="V145"/>
  <c r="T74" i="5"/>
  <c r="U74" s="1"/>
  <c r="T113"/>
  <c r="U113" s="1"/>
  <c r="W113" s="1"/>
  <c r="Z113" s="1"/>
  <c r="T203"/>
  <c r="U203" s="1"/>
  <c r="W203" s="1"/>
  <c r="Z203" s="1"/>
  <c r="W68" i="6"/>
  <c r="T187" i="5"/>
  <c r="U187" s="1"/>
  <c r="W187" s="1"/>
  <c r="Z187" s="1"/>
  <c r="Y187"/>
  <c r="Y60" i="6"/>
  <c r="T60"/>
  <c r="U60" s="1"/>
  <c r="W60" s="1"/>
  <c r="Z60" s="1"/>
  <c r="Y68"/>
  <c r="T68"/>
  <c r="U68" s="1"/>
  <c r="W102" i="3"/>
  <c r="Z102" s="1"/>
  <c r="W201" i="4"/>
  <c r="W74" i="5"/>
  <c r="Z74" s="1"/>
  <c r="W51" i="6"/>
  <c r="Z51" s="1"/>
  <c r="V141" i="5"/>
  <c r="W141" s="1"/>
  <c r="Z141" s="1"/>
  <c r="T141"/>
  <c r="U141" s="1"/>
  <c r="Y84" i="6"/>
  <c r="T84"/>
  <c r="U84" s="1"/>
  <c r="T56" i="3"/>
  <c r="U56" s="1"/>
  <c r="W56" s="1"/>
  <c r="Z56" s="1"/>
  <c r="V70"/>
  <c r="W70" s="1"/>
  <c r="Z70" s="1"/>
  <c r="V99"/>
  <c r="W99" s="1"/>
  <c r="Z99" s="1"/>
  <c r="V129"/>
  <c r="W129" s="1"/>
  <c r="Z129" s="1"/>
  <c r="T168"/>
  <c r="U168" s="1"/>
  <c r="W168" s="1"/>
  <c r="Z168" s="1"/>
  <c r="T177"/>
  <c r="U177" s="1"/>
  <c r="V186"/>
  <c r="W186" s="1"/>
  <c r="Y212"/>
  <c r="V47" i="4"/>
  <c r="W47" s="1"/>
  <c r="Z47" s="1"/>
  <c r="T85"/>
  <c r="U85" s="1"/>
  <c r="W85" s="1"/>
  <c r="Z85" s="1"/>
  <c r="V120"/>
  <c r="W120" s="1"/>
  <c r="Z120" s="1"/>
  <c r="V156"/>
  <c r="W156" s="1"/>
  <c r="Z156" s="1"/>
  <c r="Y23" i="5"/>
  <c r="Z23" s="1"/>
  <c r="T46"/>
  <c r="U46" s="1"/>
  <c r="W46" s="1"/>
  <c r="Z46" s="1"/>
  <c r="V91"/>
  <c r="W91" s="1"/>
  <c r="Z91" s="1"/>
  <c r="W130"/>
  <c r="Z130" s="1"/>
  <c r="V152"/>
  <c r="T152"/>
  <c r="U152" s="1"/>
  <c r="Y214" i="2"/>
  <c r="Y87" i="3"/>
  <c r="V93"/>
  <c r="V202"/>
  <c r="W202" s="1"/>
  <c r="Y7" i="4"/>
  <c r="Y62"/>
  <c r="Y78"/>
  <c r="Y99"/>
  <c r="T106"/>
  <c r="U106" s="1"/>
  <c r="Y35" i="5"/>
  <c r="Y158"/>
  <c r="W180"/>
  <c r="Z180" s="1"/>
  <c r="T55"/>
  <c r="U55" s="1"/>
  <c r="W55" s="1"/>
  <c r="Z55" s="1"/>
  <c r="Y55"/>
  <c r="Y14" i="6"/>
  <c r="T14"/>
  <c r="U14" s="1"/>
  <c r="V14"/>
  <c r="V14" i="2"/>
  <c r="W14" s="1"/>
  <c r="Z14" s="1"/>
  <c r="V22"/>
  <c r="W22" s="1"/>
  <c r="Z22" s="1"/>
  <c r="V30"/>
  <c r="W30" s="1"/>
  <c r="Z30" s="1"/>
  <c r="V38"/>
  <c r="W38" s="1"/>
  <c r="Z38" s="1"/>
  <c r="V46"/>
  <c r="W46" s="1"/>
  <c r="Z46" s="1"/>
  <c r="V54"/>
  <c r="W54" s="1"/>
  <c r="Z54" s="1"/>
  <c r="V62"/>
  <c r="W62" s="1"/>
  <c r="Z62" s="1"/>
  <c r="V70"/>
  <c r="W70" s="1"/>
  <c r="Z70" s="1"/>
  <c r="V78"/>
  <c r="W78" s="1"/>
  <c r="Z78" s="1"/>
  <c r="V86"/>
  <c r="W86" s="1"/>
  <c r="Z86" s="1"/>
  <c r="V94"/>
  <c r="W94" s="1"/>
  <c r="Z94" s="1"/>
  <c r="V102"/>
  <c r="W102" s="1"/>
  <c r="Z102" s="1"/>
  <c r="V118"/>
  <c r="W118" s="1"/>
  <c r="Z118" s="1"/>
  <c r="V126"/>
  <c r="W126" s="1"/>
  <c r="Z126" s="1"/>
  <c r="V134"/>
  <c r="W134" s="1"/>
  <c r="Z134" s="1"/>
  <c r="V142"/>
  <c r="W142" s="1"/>
  <c r="Z142" s="1"/>
  <c r="V150"/>
  <c r="W150" s="1"/>
  <c r="Z150" s="1"/>
  <c r="V158"/>
  <c r="W158" s="1"/>
  <c r="Z158" s="1"/>
  <c r="V166"/>
  <c r="W166" s="1"/>
  <c r="Z166" s="1"/>
  <c r="V174"/>
  <c r="W174" s="1"/>
  <c r="Z174" s="1"/>
  <c r="V182"/>
  <c r="W182" s="1"/>
  <c r="Z182" s="1"/>
  <c r="V190"/>
  <c r="W190" s="1"/>
  <c r="Z190" s="1"/>
  <c r="V198"/>
  <c r="W198" s="1"/>
  <c r="Z198" s="1"/>
  <c r="V206"/>
  <c r="W206" s="1"/>
  <c r="Z206" s="1"/>
  <c r="V6" i="3"/>
  <c r="W6" s="1"/>
  <c r="Z6" s="1"/>
  <c r="Y14"/>
  <c r="Z14" s="1"/>
  <c r="V17"/>
  <c r="W17" s="1"/>
  <c r="Z17" s="1"/>
  <c r="Y25"/>
  <c r="Z25" s="1"/>
  <c r="V28"/>
  <c r="W28" s="1"/>
  <c r="Z28" s="1"/>
  <c r="Y36"/>
  <c r="V39"/>
  <c r="W39" s="1"/>
  <c r="Z39" s="1"/>
  <c r="Y47"/>
  <c r="V50"/>
  <c r="W50" s="1"/>
  <c r="Z50" s="1"/>
  <c r="V67"/>
  <c r="W67" s="1"/>
  <c r="Z67" s="1"/>
  <c r="Y84"/>
  <c r="Z84" s="1"/>
  <c r="V90"/>
  <c r="W90" s="1"/>
  <c r="Z90" s="1"/>
  <c r="V96"/>
  <c r="W96" s="1"/>
  <c r="Z96" s="1"/>
  <c r="W177"/>
  <c r="Z177" s="1"/>
  <c r="V205"/>
  <c r="W205" s="1"/>
  <c r="Z205" s="1"/>
  <c r="T50" i="4"/>
  <c r="U50" s="1"/>
  <c r="V56"/>
  <c r="W56" s="1"/>
  <c r="Z56" s="1"/>
  <c r="W106"/>
  <c r="Z106" s="1"/>
  <c r="V141"/>
  <c r="W141" s="1"/>
  <c r="Z141" s="1"/>
  <c r="V27" i="5"/>
  <c r="W27" s="1"/>
  <c r="Z27" s="1"/>
  <c r="W79"/>
  <c r="Z79" s="1"/>
  <c r="W112"/>
  <c r="Z112" s="1"/>
  <c r="W124"/>
  <c r="Z124" s="1"/>
  <c r="T180"/>
  <c r="U180" s="1"/>
  <c r="W186"/>
  <c r="Z186" s="1"/>
  <c r="T15"/>
  <c r="U15" s="1"/>
  <c r="W15" s="1"/>
  <c r="Z15" s="1"/>
  <c r="Y15"/>
  <c r="T119"/>
  <c r="U119" s="1"/>
  <c r="W119" s="1"/>
  <c r="Z119" s="1"/>
  <c r="Y119"/>
  <c r="V110" i="2"/>
  <c r="W110" s="1"/>
  <c r="Z110" s="1"/>
  <c r="Y81" i="3"/>
  <c r="Z81" s="1"/>
  <c r="T93"/>
  <c r="U93" s="1"/>
  <c r="Y158"/>
  <c r="Z158" s="1"/>
  <c r="T199"/>
  <c r="U199" s="1"/>
  <c r="W199" s="1"/>
  <c r="Z199" s="1"/>
  <c r="V50" i="4"/>
  <c r="W50" s="1"/>
  <c r="Z50" s="1"/>
  <c r="Y65"/>
  <c r="Y81"/>
  <c r="T99"/>
  <c r="U99" s="1"/>
  <c r="Y102"/>
  <c r="Y109"/>
  <c r="Y116"/>
  <c r="V127"/>
  <c r="W127" s="1"/>
  <c r="Z127" s="1"/>
  <c r="Y175"/>
  <c r="T40" i="5"/>
  <c r="U40" s="1"/>
  <c r="W40" s="1"/>
  <c r="Z40" s="1"/>
  <c r="V59"/>
  <c r="W59" s="1"/>
  <c r="Z59" s="1"/>
  <c r="V84"/>
  <c r="W84" s="1"/>
  <c r="Z84" s="1"/>
  <c r="V158"/>
  <c r="W158" s="1"/>
  <c r="Z164"/>
  <c r="T135"/>
  <c r="U135" s="1"/>
  <c r="W135" s="1"/>
  <c r="Z135" s="1"/>
  <c r="Y135"/>
  <c r="T6" i="6"/>
  <c r="U6" s="1"/>
  <c r="V6"/>
  <c r="W6" s="1"/>
  <c r="Z6" s="1"/>
  <c r="Y6"/>
  <c r="Y211" i="2"/>
  <c r="V214"/>
  <c r="W214" s="1"/>
  <c r="Z214" s="1"/>
  <c r="V61" i="3"/>
  <c r="V87"/>
  <c r="W87" s="1"/>
  <c r="Y143"/>
  <c r="Z143" s="1"/>
  <c r="V212"/>
  <c r="W212" s="1"/>
  <c r="Z212" s="1"/>
  <c r="V7" i="4"/>
  <c r="W7" s="1"/>
  <c r="Z7" s="1"/>
  <c r="Y19"/>
  <c r="Z19" s="1"/>
  <c r="V62"/>
  <c r="W62" s="1"/>
  <c r="Z62" s="1"/>
  <c r="V65"/>
  <c r="W65" s="1"/>
  <c r="Z65" s="1"/>
  <c r="Y68"/>
  <c r="V78"/>
  <c r="W78" s="1"/>
  <c r="Z78" s="1"/>
  <c r="V81"/>
  <c r="W81" s="1"/>
  <c r="T89"/>
  <c r="U89" s="1"/>
  <c r="W89" s="1"/>
  <c r="Z89" s="1"/>
  <c r="W90" i="5"/>
  <c r="Z90" s="1"/>
  <c r="W13" i="6"/>
  <c r="Z13" s="1"/>
  <c r="T45" i="5"/>
  <c r="U45" s="1"/>
  <c r="W45" s="1"/>
  <c r="Z45" s="1"/>
  <c r="Y45"/>
  <c r="V129"/>
  <c r="T129"/>
  <c r="U129" s="1"/>
  <c r="T171"/>
  <c r="U171" s="1"/>
  <c r="W171" s="1"/>
  <c r="Z171" s="1"/>
  <c r="Y171"/>
  <c r="Y20" i="6"/>
  <c r="T20"/>
  <c r="U20" s="1"/>
  <c r="W20" s="1"/>
  <c r="Z20" s="1"/>
  <c r="V92" i="4"/>
  <c r="W92" s="1"/>
  <c r="Z92" s="1"/>
  <c r="W99"/>
  <c r="Z99" s="1"/>
  <c r="V109"/>
  <c r="W109" s="1"/>
  <c r="V130"/>
  <c r="W130" s="1"/>
  <c r="Z130" s="1"/>
  <c r="T148"/>
  <c r="U148" s="1"/>
  <c r="Y148"/>
  <c r="V5" i="6"/>
  <c r="T5"/>
  <c r="U5" s="1"/>
  <c r="Y13"/>
  <c r="T13"/>
  <c r="U13" s="1"/>
  <c r="T61" i="3"/>
  <c r="U61" s="1"/>
  <c r="T64"/>
  <c r="U64" s="1"/>
  <c r="W64" s="1"/>
  <c r="Z64" s="1"/>
  <c r="T10" i="4"/>
  <c r="U10" s="1"/>
  <c r="V102"/>
  <c r="W102" s="1"/>
  <c r="Z102" s="1"/>
  <c r="W159"/>
  <c r="Z159" s="1"/>
  <c r="T166"/>
  <c r="U166" s="1"/>
  <c r="V175"/>
  <c r="W175" s="1"/>
  <c r="Z175" s="1"/>
  <c r="T200"/>
  <c r="U200" s="1"/>
  <c r="V185" i="5"/>
  <c r="W185" s="1"/>
  <c r="Z185" s="1"/>
  <c r="W35" i="6"/>
  <c r="Z35" s="1"/>
  <c r="W82"/>
  <c r="Z82" s="1"/>
  <c r="Y8" i="2"/>
  <c r="Y16"/>
  <c r="Z16" s="1"/>
  <c r="Y24"/>
  <c r="Z24" s="1"/>
  <c r="Y32"/>
  <c r="Z32" s="1"/>
  <c r="Y40"/>
  <c r="Y48"/>
  <c r="Z48" s="1"/>
  <c r="Y56"/>
  <c r="Z56" s="1"/>
  <c r="Y64"/>
  <c r="Z64" s="1"/>
  <c r="Y72"/>
  <c r="Y80"/>
  <c r="Z80" s="1"/>
  <c r="Y88"/>
  <c r="Z88" s="1"/>
  <c r="Y96"/>
  <c r="Y104"/>
  <c r="Y112"/>
  <c r="Z112" s="1"/>
  <c r="Y120"/>
  <c r="Z120" s="1"/>
  <c r="Y128"/>
  <c r="Z128" s="1"/>
  <c r="Y136"/>
  <c r="Y144"/>
  <c r="Z144" s="1"/>
  <c r="Y152"/>
  <c r="Z152" s="1"/>
  <c r="Y160"/>
  <c r="Z160" s="1"/>
  <c r="Y168"/>
  <c r="Y176"/>
  <c r="Z176" s="1"/>
  <c r="Y184"/>
  <c r="Z184" s="1"/>
  <c r="Y192"/>
  <c r="Z192" s="1"/>
  <c r="Y200"/>
  <c r="V211"/>
  <c r="W211" s="1"/>
  <c r="Z211" s="1"/>
  <c r="Y98" i="3"/>
  <c r="Y107"/>
  <c r="V140"/>
  <c r="W140" s="1"/>
  <c r="Z140" s="1"/>
  <c r="T149"/>
  <c r="U149" s="1"/>
  <c r="W149" s="1"/>
  <c r="Z149" s="1"/>
  <c r="Y179"/>
  <c r="V10" i="4"/>
  <c r="Y46"/>
  <c r="V68"/>
  <c r="W68" s="1"/>
  <c r="Z68" s="1"/>
  <c r="Y84"/>
  <c r="V116"/>
  <c r="W116" s="1"/>
  <c r="T155"/>
  <c r="U155" s="1"/>
  <c r="W155" s="1"/>
  <c r="Z155" s="1"/>
  <c r="V166"/>
  <c r="W166" s="1"/>
  <c r="Z166" s="1"/>
  <c r="T196"/>
  <c r="U196" s="1"/>
  <c r="W196" s="1"/>
  <c r="Z196" s="1"/>
  <c r="V200"/>
  <c r="W213"/>
  <c r="Z213" s="1"/>
  <c r="T10" i="5"/>
  <c r="U10" s="1"/>
  <c r="W10" s="1"/>
  <c r="Z10" s="1"/>
  <c r="Y49"/>
  <c r="Z49" s="1"/>
  <c r="W54"/>
  <c r="Z54" s="1"/>
  <c r="W96"/>
  <c r="Z96" s="1"/>
  <c r="V134"/>
  <c r="W134" s="1"/>
  <c r="Z134" s="1"/>
  <c r="T157"/>
  <c r="U157" s="1"/>
  <c r="T185"/>
  <c r="U185" s="1"/>
  <c r="W201"/>
  <c r="Z201" s="1"/>
  <c r="T137" i="4"/>
  <c r="U137" s="1"/>
  <c r="W137" s="1"/>
  <c r="Z137" s="1"/>
  <c r="Y137"/>
  <c r="T192"/>
  <c r="U192" s="1"/>
  <c r="W192" s="1"/>
  <c r="Z192" s="1"/>
  <c r="Y192"/>
  <c r="T178" i="5"/>
  <c r="U178" s="1"/>
  <c r="V178"/>
  <c r="W178" s="1"/>
  <c r="Z178" s="1"/>
  <c r="T57" i="6"/>
  <c r="U57" s="1"/>
  <c r="V57"/>
  <c r="W57" s="1"/>
  <c r="Z57" s="1"/>
  <c r="W30" i="5"/>
  <c r="Z30" s="1"/>
  <c r="W157"/>
  <c r="Z157" s="1"/>
  <c r="T207"/>
  <c r="U207" s="1"/>
  <c r="V207"/>
  <c r="W207" s="1"/>
  <c r="Z207" s="1"/>
  <c r="W110" i="3"/>
  <c r="Z110" s="1"/>
  <c r="T125"/>
  <c r="U125" s="1"/>
  <c r="W125" s="1"/>
  <c r="Z125" s="1"/>
  <c r="T137"/>
  <c r="U137" s="1"/>
  <c r="W137" s="1"/>
  <c r="Z137" s="1"/>
  <c r="T152"/>
  <c r="U152" s="1"/>
  <c r="W152" s="1"/>
  <c r="Z152" s="1"/>
  <c r="T173"/>
  <c r="U173" s="1"/>
  <c r="W173" s="1"/>
  <c r="Z173" s="1"/>
  <c r="Y185"/>
  <c r="Y204"/>
  <c r="Y49" i="4"/>
  <c r="Y52"/>
  <c r="W84"/>
  <c r="W105"/>
  <c r="Z105" s="1"/>
  <c r="W170"/>
  <c r="Z170" s="1"/>
  <c r="W182"/>
  <c r="Z182" s="1"/>
  <c r="V207"/>
  <c r="W207" s="1"/>
  <c r="Z207" s="1"/>
  <c r="W58" i="5"/>
  <c r="Z58" s="1"/>
  <c r="W67"/>
  <c r="Z67" s="1"/>
  <c r="W83"/>
  <c r="Z83" s="1"/>
  <c r="W49" i="6"/>
  <c r="Z49" s="1"/>
  <c r="V117" i="5"/>
  <c r="T117"/>
  <c r="U117" s="1"/>
  <c r="W208" i="2"/>
  <c r="Z208" s="1"/>
  <c r="W161" i="3"/>
  <c r="Z161" s="1"/>
  <c r="V179"/>
  <c r="W179" s="1"/>
  <c r="Z179" s="1"/>
  <c r="V46" i="4"/>
  <c r="W46" s="1"/>
  <c r="V49"/>
  <c r="W49" s="1"/>
  <c r="Z49" s="1"/>
  <c r="V88"/>
  <c r="W88" s="1"/>
  <c r="Z88" s="1"/>
  <c r="Y98"/>
  <c r="W78" i="5"/>
  <c r="Z78" s="1"/>
  <c r="T194"/>
  <c r="U194" s="1"/>
  <c r="W194" s="1"/>
  <c r="Z194" s="1"/>
  <c r="W109" i="6"/>
  <c r="Z109" s="1"/>
  <c r="Y44" i="5"/>
  <c r="T44"/>
  <c r="U44" s="1"/>
  <c r="W44" s="1"/>
  <c r="Z44" s="1"/>
  <c r="T106"/>
  <c r="U106" s="1"/>
  <c r="V106"/>
  <c r="T111"/>
  <c r="U111" s="1"/>
  <c r="W111" s="1"/>
  <c r="Z111" s="1"/>
  <c r="Y111"/>
  <c r="V128"/>
  <c r="T128"/>
  <c r="U128" s="1"/>
  <c r="Y4" i="6"/>
  <c r="T4"/>
  <c r="U4" s="1"/>
  <c r="W4" s="1"/>
  <c r="Y5" i="2"/>
  <c r="Y13"/>
  <c r="Z13" s="1"/>
  <c r="Y21"/>
  <c r="Z21" s="1"/>
  <c r="Y29"/>
  <c r="Z29" s="1"/>
  <c r="Y37"/>
  <c r="Y45"/>
  <c r="Z45" s="1"/>
  <c r="Y53"/>
  <c r="Z53" s="1"/>
  <c r="Y61"/>
  <c r="Z61" s="1"/>
  <c r="Y69"/>
  <c r="Y77"/>
  <c r="Z77" s="1"/>
  <c r="Y85"/>
  <c r="Z85" s="1"/>
  <c r="Y93"/>
  <c r="Z93" s="1"/>
  <c r="Y101"/>
  <c r="Y109"/>
  <c r="Z109" s="1"/>
  <c r="Y117"/>
  <c r="Z117" s="1"/>
  <c r="Y125"/>
  <c r="Z125" s="1"/>
  <c r="Y133"/>
  <c r="Y141"/>
  <c r="Z141" s="1"/>
  <c r="Y149"/>
  <c r="Z149" s="1"/>
  <c r="Y157"/>
  <c r="Z157" s="1"/>
  <c r="Y165"/>
  <c r="Y173"/>
  <c r="Z173" s="1"/>
  <c r="Y181"/>
  <c r="Z181" s="1"/>
  <c r="Y189"/>
  <c r="Z189" s="1"/>
  <c r="Y197"/>
  <c r="Y205"/>
  <c r="Z205" s="1"/>
  <c r="V8" i="3"/>
  <c r="W8" s="1"/>
  <c r="Z8" s="1"/>
  <c r="Y27"/>
  <c r="Y38"/>
  <c r="Y49"/>
  <c r="Z49" s="1"/>
  <c r="Y63"/>
  <c r="Y89"/>
  <c r="Z89" s="1"/>
  <c r="T128"/>
  <c r="U128" s="1"/>
  <c r="W128" s="1"/>
  <c r="Z128" s="1"/>
  <c r="V201"/>
  <c r="W201" s="1"/>
  <c r="Z201" s="1"/>
  <c r="Y214"/>
  <c r="Z214" s="1"/>
  <c r="Y6" i="4"/>
  <c r="Z6" s="1"/>
  <c r="Y147"/>
  <c r="Z147" s="1"/>
  <c r="Y199"/>
  <c r="W89" i="5"/>
  <c r="Z89" s="1"/>
  <c r="T193"/>
  <c r="U193" s="1"/>
  <c r="T69" i="3"/>
  <c r="U69" s="1"/>
  <c r="W69" s="1"/>
  <c r="Z69" s="1"/>
  <c r="T72"/>
  <c r="U72" s="1"/>
  <c r="W72" s="1"/>
  <c r="Z72" s="1"/>
  <c r="T176"/>
  <c r="U176" s="1"/>
  <c r="W176" s="1"/>
  <c r="Z176" s="1"/>
  <c r="T185"/>
  <c r="U185" s="1"/>
  <c r="V52" i="4"/>
  <c r="W52" s="1"/>
  <c r="Z52" s="1"/>
  <c r="V98"/>
  <c r="W98" s="1"/>
  <c r="Z98" s="1"/>
  <c r="W126"/>
  <c r="Z126" s="1"/>
  <c r="W140"/>
  <c r="Z140" s="1"/>
  <c r="W203"/>
  <c r="Z203" s="1"/>
  <c r="T22" i="5"/>
  <c r="U22" s="1"/>
  <c r="W22" s="1"/>
  <c r="Z22" s="1"/>
  <c r="V62"/>
  <c r="W62" s="1"/>
  <c r="Z62" s="1"/>
  <c r="T72"/>
  <c r="U72" s="1"/>
  <c r="V95"/>
  <c r="W156"/>
  <c r="Z156" s="1"/>
  <c r="V193"/>
  <c r="W193" s="1"/>
  <c r="Z193" s="1"/>
  <c r="V200"/>
  <c r="W200" s="1"/>
  <c r="Z200" s="1"/>
  <c r="W34" i="6"/>
  <c r="Z34" s="1"/>
  <c r="W56"/>
  <c r="Z56" s="1"/>
  <c r="T95" i="5"/>
  <c r="U95" s="1"/>
  <c r="Y95"/>
  <c r="V144"/>
  <c r="T144"/>
  <c r="U144" s="1"/>
  <c r="T200"/>
  <c r="U200" s="1"/>
  <c r="Y200"/>
  <c r="Y86" i="3"/>
  <c r="T104"/>
  <c r="U104" s="1"/>
  <c r="W104" s="1"/>
  <c r="Z104" s="1"/>
  <c r="Y9" i="4"/>
  <c r="Y12"/>
  <c r="Z12" s="1"/>
  <c r="Y108"/>
  <c r="T140"/>
  <c r="U140" s="1"/>
  <c r="Y173"/>
  <c r="V53" i="5"/>
  <c r="W53" s="1"/>
  <c r="Z53" s="1"/>
  <c r="V72"/>
  <c r="W11" i="6"/>
  <c r="Z11" s="1"/>
  <c r="T18" i="5"/>
  <c r="U18" s="1"/>
  <c r="V18"/>
  <c r="T177"/>
  <c r="U177" s="1"/>
  <c r="W177" s="1"/>
  <c r="Z177" s="1"/>
  <c r="Y177"/>
  <c r="T48" i="6"/>
  <c r="U48" s="1"/>
  <c r="W48" s="1"/>
  <c r="Z48" s="1"/>
  <c r="Y48"/>
  <c r="W185" i="3"/>
  <c r="Z185" s="1"/>
  <c r="W9" i="4"/>
  <c r="W173"/>
  <c r="Z173" s="1"/>
  <c r="W199"/>
  <c r="T77" i="5"/>
  <c r="U77" s="1"/>
  <c r="W77" s="1"/>
  <c r="Z77" s="1"/>
  <c r="Y77"/>
  <c r="V199"/>
  <c r="T199"/>
  <c r="U199" s="1"/>
  <c r="Y10" i="2"/>
  <c r="Y18"/>
  <c r="Y26"/>
  <c r="Y34"/>
  <c r="Y42"/>
  <c r="Y50"/>
  <c r="Y58"/>
  <c r="Y66"/>
  <c r="Y74"/>
  <c r="Y82"/>
  <c r="Y90"/>
  <c r="Y98"/>
  <c r="Y106"/>
  <c r="Y114"/>
  <c r="Y122"/>
  <c r="Y130"/>
  <c r="Y138"/>
  <c r="Y146"/>
  <c r="Y154"/>
  <c r="Y162"/>
  <c r="Y170"/>
  <c r="Y178"/>
  <c r="Y186"/>
  <c r="Y194"/>
  <c r="Y202"/>
  <c r="Y57" i="3"/>
  <c r="Y74"/>
  <c r="Y130"/>
  <c r="Y139"/>
  <c r="Y163"/>
  <c r="Y30" i="4"/>
  <c r="Y70"/>
  <c r="W77"/>
  <c r="Z77" s="1"/>
  <c r="W165"/>
  <c r="Z165" s="1"/>
  <c r="W38" i="5"/>
  <c r="Z38" s="1"/>
  <c r="W149"/>
  <c r="Z149" s="1"/>
  <c r="W33" i="6"/>
  <c r="Z33" s="1"/>
  <c r="T158" i="4"/>
  <c r="U158" s="1"/>
  <c r="V158"/>
  <c r="T195"/>
  <c r="U195" s="1"/>
  <c r="V195"/>
  <c r="W195" s="1"/>
  <c r="Z195" s="1"/>
  <c r="T149" i="5"/>
  <c r="U149" s="1"/>
  <c r="Y149"/>
  <c r="V192"/>
  <c r="T192"/>
  <c r="U192" s="1"/>
  <c r="T55" i="6"/>
  <c r="U55" s="1"/>
  <c r="W55" s="1"/>
  <c r="Z55" s="1"/>
  <c r="Y55"/>
  <c r="Y210" i="2"/>
  <c r="Z210" s="1"/>
  <c r="Y136" i="3"/>
  <c r="Z136" s="1"/>
  <c r="T207"/>
  <c r="U207" s="1"/>
  <c r="W207" s="1"/>
  <c r="Z207" s="1"/>
  <c r="T91" i="4"/>
  <c r="U91" s="1"/>
  <c r="W129"/>
  <c r="Z129" s="1"/>
  <c r="T190"/>
  <c r="U190" s="1"/>
  <c r="W190" s="1"/>
  <c r="Z190" s="1"/>
  <c r="T13" i="5"/>
  <c r="U13" s="1"/>
  <c r="Z66"/>
  <c r="W88"/>
  <c r="Z88" s="1"/>
  <c r="W206"/>
  <c r="Z206" s="1"/>
  <c r="T5"/>
  <c r="U5" s="1"/>
  <c r="V5"/>
  <c r="T94"/>
  <c r="U94" s="1"/>
  <c r="V94"/>
  <c r="W94" s="1"/>
  <c r="Z94" s="1"/>
  <c r="T116"/>
  <c r="U116" s="1"/>
  <c r="V116"/>
  <c r="T16" i="3"/>
  <c r="U16" s="1"/>
  <c r="W16" s="1"/>
  <c r="Z16" s="1"/>
  <c r="T157"/>
  <c r="U157" s="1"/>
  <c r="W157" s="1"/>
  <c r="Z157" s="1"/>
  <c r="Y169"/>
  <c r="Y194"/>
  <c r="Y33" i="4"/>
  <c r="Y36"/>
  <c r="Y73"/>
  <c r="V108"/>
  <c r="W108" s="1"/>
  <c r="Z108" s="1"/>
  <c r="Y125"/>
  <c r="V13" i="5"/>
  <c r="V33"/>
  <c r="W33" s="1"/>
  <c r="Z33" s="1"/>
  <c r="T43"/>
  <c r="U43" s="1"/>
  <c r="W43" s="1"/>
  <c r="Z43" s="1"/>
  <c r="Z97" i="6"/>
  <c r="Y48" i="5"/>
  <c r="T48"/>
  <c r="U48" s="1"/>
  <c r="V48"/>
  <c r="V10" i="2"/>
  <c r="W10" s="1"/>
  <c r="Z10" s="1"/>
  <c r="V18"/>
  <c r="W18" s="1"/>
  <c r="Z18" s="1"/>
  <c r="V26"/>
  <c r="W26" s="1"/>
  <c r="Z26" s="1"/>
  <c r="V34"/>
  <c r="W34" s="1"/>
  <c r="V42"/>
  <c r="W42" s="1"/>
  <c r="Z42" s="1"/>
  <c r="V50"/>
  <c r="W50" s="1"/>
  <c r="Z50" s="1"/>
  <c r="V58"/>
  <c r="W58" s="1"/>
  <c r="Z58" s="1"/>
  <c r="V66"/>
  <c r="W66" s="1"/>
  <c r="V74"/>
  <c r="W74" s="1"/>
  <c r="Z74" s="1"/>
  <c r="V82"/>
  <c r="W82" s="1"/>
  <c r="Z82" s="1"/>
  <c r="V90"/>
  <c r="W90" s="1"/>
  <c r="Z90" s="1"/>
  <c r="V98"/>
  <c r="W98" s="1"/>
  <c r="V106"/>
  <c r="W106" s="1"/>
  <c r="V114"/>
  <c r="W114" s="1"/>
  <c r="Z114" s="1"/>
  <c r="V122"/>
  <c r="W122" s="1"/>
  <c r="Z122" s="1"/>
  <c r="V130"/>
  <c r="W130" s="1"/>
  <c r="V138"/>
  <c r="W138" s="1"/>
  <c r="V146"/>
  <c r="W146" s="1"/>
  <c r="Z146" s="1"/>
  <c r="V154"/>
  <c r="W154" s="1"/>
  <c r="V162"/>
  <c r="W162" s="1"/>
  <c r="V170"/>
  <c r="W170" s="1"/>
  <c r="V178"/>
  <c r="W178" s="1"/>
  <c r="V186"/>
  <c r="W186" s="1"/>
  <c r="V194"/>
  <c r="W194" s="1"/>
  <c r="V202"/>
  <c r="W202" s="1"/>
  <c r="Z202" s="1"/>
  <c r="V57" i="3"/>
  <c r="W57" s="1"/>
  <c r="Z57" s="1"/>
  <c r="V74"/>
  <c r="W74" s="1"/>
  <c r="Z74" s="1"/>
  <c r="V139"/>
  <c r="W139" s="1"/>
  <c r="V163"/>
  <c r="W163" s="1"/>
  <c r="Z163" s="1"/>
  <c r="V30" i="4"/>
  <c r="W30" s="1"/>
  <c r="Z30" s="1"/>
  <c r="V33"/>
  <c r="W33" s="1"/>
  <c r="Z33" s="1"/>
  <c r="V70"/>
  <c r="W70" s="1"/>
  <c r="Z70" s="1"/>
  <c r="V73"/>
  <c r="W73" s="1"/>
  <c r="Z73" s="1"/>
  <c r="W91"/>
  <c r="Z91" s="1"/>
  <c r="V125"/>
  <c r="W125" s="1"/>
  <c r="Z122" i="5"/>
  <c r="W183"/>
  <c r="Z183" s="1"/>
  <c r="W17" i="6"/>
  <c r="Z17" s="1"/>
  <c r="Z54"/>
  <c r="W63"/>
  <c r="Z63" s="1"/>
  <c r="T10"/>
  <c r="U10" s="1"/>
  <c r="V10"/>
  <c r="W10" s="1"/>
  <c r="Z10" s="1"/>
  <c r="V10" i="3"/>
  <c r="W10" s="1"/>
  <c r="Z10" s="1"/>
  <c r="V21"/>
  <c r="W21" s="1"/>
  <c r="Z21" s="1"/>
  <c r="V109"/>
  <c r="W109" s="1"/>
  <c r="Z109" s="1"/>
  <c r="V118"/>
  <c r="W118" s="1"/>
  <c r="Z118" s="1"/>
  <c r="V124"/>
  <c r="W124" s="1"/>
  <c r="Z124" s="1"/>
  <c r="V127"/>
  <c r="W127" s="1"/>
  <c r="Z127" s="1"/>
  <c r="Y184"/>
  <c r="Z184" s="1"/>
  <c r="Y190"/>
  <c r="V27" i="4"/>
  <c r="W27" s="1"/>
  <c r="Z27" s="1"/>
  <c r="Y97"/>
  <c r="Y146"/>
  <c r="T33" i="5"/>
  <c r="U33" s="1"/>
  <c r="V32" i="6"/>
  <c r="T138" i="5"/>
  <c r="U138" s="1"/>
  <c r="V138"/>
  <c r="T32" i="6"/>
  <c r="U32" s="1"/>
  <c r="Y32"/>
  <c r="T24" i="3"/>
  <c r="U24" s="1"/>
  <c r="W24" s="1"/>
  <c r="Z24" s="1"/>
  <c r="Y40"/>
  <c r="Y51"/>
  <c r="T80"/>
  <c r="U80" s="1"/>
  <c r="W80" s="1"/>
  <c r="Z80" s="1"/>
  <c r="T160"/>
  <c r="U160" s="1"/>
  <c r="W160" s="1"/>
  <c r="Z160" s="1"/>
  <c r="T169"/>
  <c r="U169" s="1"/>
  <c r="V194"/>
  <c r="W194" s="1"/>
  <c r="Z194" s="1"/>
  <c r="V36" i="4"/>
  <c r="W36" s="1"/>
  <c r="Z36" s="1"/>
  <c r="V83"/>
  <c r="W83" s="1"/>
  <c r="Z83" s="1"/>
  <c r="V114"/>
  <c r="W114" s="1"/>
  <c r="Z114" s="1"/>
  <c r="W202"/>
  <c r="Z202" s="1"/>
  <c r="W148" i="5"/>
  <c r="Z148" s="1"/>
  <c r="W71" i="6"/>
  <c r="Z71" s="1"/>
  <c r="T118" i="4"/>
  <c r="U118" s="1"/>
  <c r="W118" s="1"/>
  <c r="Z118" s="1"/>
  <c r="Y118"/>
  <c r="T25" i="5"/>
  <c r="U25" s="1"/>
  <c r="V25"/>
  <c r="W25" s="1"/>
  <c r="Z25" s="1"/>
  <c r="Y76"/>
  <c r="T76"/>
  <c r="U76" s="1"/>
  <c r="W76" s="1"/>
  <c r="Z76" s="1"/>
  <c r="T161"/>
  <c r="U161" s="1"/>
  <c r="Y161"/>
  <c r="Y39" i="6"/>
  <c r="T39"/>
  <c r="U39" s="1"/>
  <c r="V39"/>
  <c r="Y94" i="3"/>
  <c r="V100"/>
  <c r="W100" s="1"/>
  <c r="Z100" s="1"/>
  <c r="T181"/>
  <c r="U181" s="1"/>
  <c r="W181" s="1"/>
  <c r="Z181" s="1"/>
  <c r="Y157" i="4"/>
  <c r="V37" i="5"/>
  <c r="W37" s="1"/>
  <c r="Z37" s="1"/>
  <c r="T42"/>
  <c r="U42" s="1"/>
  <c r="W42" s="1"/>
  <c r="Z42" s="1"/>
  <c r="W115"/>
  <c r="Z115" s="1"/>
  <c r="W154"/>
  <c r="Z154" s="1"/>
  <c r="Z175"/>
  <c r="W182"/>
  <c r="Z182" s="1"/>
  <c r="T190"/>
  <c r="U190" s="1"/>
  <c r="W190" s="1"/>
  <c r="Z190" s="1"/>
  <c r="W198"/>
  <c r="Z198" s="1"/>
  <c r="W106" i="6"/>
  <c r="Z106" s="1"/>
  <c r="T185" i="4"/>
  <c r="U185" s="1"/>
  <c r="W185" s="1"/>
  <c r="Z185" s="1"/>
  <c r="Y185"/>
  <c r="W169" i="3"/>
  <c r="Z169" s="1"/>
  <c r="W57" i="4"/>
  <c r="Z57" s="1"/>
  <c r="Y128"/>
  <c r="V172"/>
  <c r="W172" s="1"/>
  <c r="Z172" s="1"/>
  <c r="W177"/>
  <c r="Z177" s="1"/>
  <c r="Y210"/>
  <c r="Z210" s="1"/>
  <c r="V4" i="5"/>
  <c r="W4" s="1"/>
  <c r="Y47"/>
  <c r="W114" i="6"/>
  <c r="Z114" s="1"/>
  <c r="V109" i="5"/>
  <c r="T109"/>
  <c r="U109" s="1"/>
  <c r="T32" i="3"/>
  <c r="U32" s="1"/>
  <c r="W32" s="1"/>
  <c r="Z32" s="1"/>
  <c r="T112"/>
  <c r="U112" s="1"/>
  <c r="W112" s="1"/>
  <c r="Z112" s="1"/>
  <c r="T203"/>
  <c r="U203" s="1"/>
  <c r="W203" s="1"/>
  <c r="Z203" s="1"/>
  <c r="V42" i="4"/>
  <c r="W42" s="1"/>
  <c r="Z42" s="1"/>
  <c r="V76"/>
  <c r="W76" s="1"/>
  <c r="Z76" s="1"/>
  <c r="Y90"/>
  <c r="V107"/>
  <c r="W107" s="1"/>
  <c r="Z107" s="1"/>
  <c r="V153"/>
  <c r="W153" s="1"/>
  <c r="Z153" s="1"/>
  <c r="T164"/>
  <c r="U164" s="1"/>
  <c r="T177"/>
  <c r="U177" s="1"/>
  <c r="Y205"/>
  <c r="T12" i="5"/>
  <c r="U12" s="1"/>
  <c r="T17"/>
  <c r="U17" s="1"/>
  <c r="W17" s="1"/>
  <c r="Z17" s="1"/>
  <c r="V47"/>
  <c r="W47" s="1"/>
  <c r="Z47" s="1"/>
  <c r="V65"/>
  <c r="W65" s="1"/>
  <c r="Z65" s="1"/>
  <c r="V70"/>
  <c r="W70" s="1"/>
  <c r="Z70" s="1"/>
  <c r="V93"/>
  <c r="W93" s="1"/>
  <c r="Z93" s="1"/>
  <c r="W99"/>
  <c r="Z99" s="1"/>
  <c r="W9" i="6"/>
  <c r="Z9" s="1"/>
  <c r="W31"/>
  <c r="V38"/>
  <c r="W38" s="1"/>
  <c r="Z38" s="1"/>
  <c r="T93" i="5"/>
  <c r="U93" s="1"/>
  <c r="Y93"/>
  <c r="T206" i="3"/>
  <c r="U206" s="1"/>
  <c r="W206" s="1"/>
  <c r="Z206" s="1"/>
  <c r="V213"/>
  <c r="W213" s="1"/>
  <c r="Z213" s="1"/>
  <c r="V97" i="4"/>
  <c r="W97" s="1"/>
  <c r="Z97" s="1"/>
  <c r="V128"/>
  <c r="W128" s="1"/>
  <c r="Z128" s="1"/>
  <c r="V146"/>
  <c r="W146" s="1"/>
  <c r="Z146" s="1"/>
  <c r="V164"/>
  <c r="V12" i="5"/>
  <c r="Y75"/>
  <c r="Z75" s="1"/>
  <c r="W86"/>
  <c r="Z86" s="1"/>
  <c r="Y114"/>
  <c r="W166"/>
  <c r="Z166" s="1"/>
  <c r="V189"/>
  <c r="W189" s="1"/>
  <c r="Z189" s="1"/>
  <c r="V16" i="6"/>
  <c r="W16" s="1"/>
  <c r="Z16" s="1"/>
  <c r="W53"/>
  <c r="Z53" s="1"/>
  <c r="T136"/>
  <c r="U136" s="1"/>
  <c r="V136"/>
  <c r="W136" s="1"/>
  <c r="Z136" s="1"/>
  <c r="T202" i="7"/>
  <c r="U202" s="1"/>
  <c r="Y202"/>
  <c r="T118" i="5"/>
  <c r="U118" s="1"/>
  <c r="W118" s="1"/>
  <c r="Z118" s="1"/>
  <c r="T169"/>
  <c r="U169" s="1"/>
  <c r="W169" s="1"/>
  <c r="Z169" s="1"/>
  <c r="T172"/>
  <c r="U172" s="1"/>
  <c r="W172" s="1"/>
  <c r="Z172" s="1"/>
  <c r="T179"/>
  <c r="U179" s="1"/>
  <c r="W179" s="1"/>
  <c r="Z179" s="1"/>
  <c r="V205"/>
  <c r="W205" s="1"/>
  <c r="Z205" s="1"/>
  <c r="T122" i="6"/>
  <c r="U122" s="1"/>
  <c r="W122" s="1"/>
  <c r="Z122" s="1"/>
  <c r="V140"/>
  <c r="W140" s="1"/>
  <c r="V173"/>
  <c r="W173" s="1"/>
  <c r="Z173" s="1"/>
  <c r="W212" i="8"/>
  <c r="Z212" s="1"/>
  <c r="W148" i="6"/>
  <c r="Z148" s="1"/>
  <c r="V78"/>
  <c r="W78" s="1"/>
  <c r="Z78" s="1"/>
  <c r="Y78"/>
  <c r="Y7" i="8"/>
  <c r="T7"/>
  <c r="U7" s="1"/>
  <c r="W7" s="1"/>
  <c r="Z7" s="1"/>
  <c r="T89" i="9"/>
  <c r="U89" s="1"/>
  <c r="Y89"/>
  <c r="V196" i="5"/>
  <c r="W196" s="1"/>
  <c r="Z196" s="1"/>
  <c r="V202"/>
  <c r="W202" s="1"/>
  <c r="V208"/>
  <c r="W208" s="1"/>
  <c r="Z208" s="1"/>
  <c r="T11" i="6"/>
  <c r="U11" s="1"/>
  <c r="T36"/>
  <c r="U36" s="1"/>
  <c r="W36" s="1"/>
  <c r="Z36" s="1"/>
  <c r="T106"/>
  <c r="U106" s="1"/>
  <c r="W110"/>
  <c r="Z110" s="1"/>
  <c r="T114"/>
  <c r="U114" s="1"/>
  <c r="V130"/>
  <c r="W130" s="1"/>
  <c r="Z130" s="1"/>
  <c r="W6" i="7"/>
  <c r="Z6" s="1"/>
  <c r="Z62" i="8"/>
  <c r="T126" i="6"/>
  <c r="U126" s="1"/>
  <c r="V126"/>
  <c r="W126" s="1"/>
  <c r="Z126" s="1"/>
  <c r="T61"/>
  <c r="U61" s="1"/>
  <c r="W61" s="1"/>
  <c r="Z61" s="1"/>
  <c r="V64"/>
  <c r="W64" s="1"/>
  <c r="Z64" s="1"/>
  <c r="W17" i="7"/>
  <c r="Z17" s="1"/>
  <c r="W41"/>
  <c r="Z41" s="1"/>
  <c r="W80" i="8"/>
  <c r="Z80" s="1"/>
  <c r="W19" i="9"/>
  <c r="T192" i="6"/>
  <c r="U192" s="1"/>
  <c r="W192" s="1"/>
  <c r="Z192" s="1"/>
  <c r="Y192"/>
  <c r="T159" i="5"/>
  <c r="U159" s="1"/>
  <c r="W159" s="1"/>
  <c r="Z159" s="1"/>
  <c r="Y26" i="6"/>
  <c r="T85"/>
  <c r="U85" s="1"/>
  <c r="W85" s="1"/>
  <c r="Z85" s="1"/>
  <c r="T101"/>
  <c r="U101" s="1"/>
  <c r="V162"/>
  <c r="W162" s="1"/>
  <c r="Z162" s="1"/>
  <c r="T210"/>
  <c r="U210" s="1"/>
  <c r="W210" s="1"/>
  <c r="Z210" s="1"/>
  <c r="W11" i="7"/>
  <c r="Z11" s="1"/>
  <c r="T106"/>
  <c r="U106" s="1"/>
  <c r="W106" s="1"/>
  <c r="Z106" s="1"/>
  <c r="W101" i="6"/>
  <c r="Z101" s="1"/>
  <c r="Z184"/>
  <c r="W6" i="8"/>
  <c r="Z6" s="1"/>
  <c r="T179" i="4"/>
  <c r="U179" s="1"/>
  <c r="W179" s="1"/>
  <c r="Z179" s="1"/>
  <c r="Y41" i="5"/>
  <c r="Z41" s="1"/>
  <c r="Y73"/>
  <c r="Z73" s="1"/>
  <c r="Y168"/>
  <c r="Z168" s="1"/>
  <c r="Y105" i="6"/>
  <c r="T135"/>
  <c r="U135" s="1"/>
  <c r="W135" s="1"/>
  <c r="Z135" s="1"/>
  <c r="W26" i="7"/>
  <c r="Z26" s="1"/>
  <c r="W202" i="8"/>
  <c r="T157" i="6"/>
  <c r="U157" s="1"/>
  <c r="W157" s="1"/>
  <c r="Z157" s="1"/>
  <c r="Y157"/>
  <c r="Y202" i="8"/>
  <c r="T202"/>
  <c r="U202" s="1"/>
  <c r="V26" i="6"/>
  <c r="W26" s="1"/>
  <c r="Z26" s="1"/>
  <c r="T67"/>
  <c r="U67" s="1"/>
  <c r="W67" s="1"/>
  <c r="Z67" s="1"/>
  <c r="V89"/>
  <c r="W89" s="1"/>
  <c r="Z89" s="1"/>
  <c r="Y93"/>
  <c r="W200" i="7"/>
  <c r="Z200" s="1"/>
  <c r="W202" i="9"/>
  <c r="Z202" s="1"/>
  <c r="T40"/>
  <c r="U40" s="1"/>
  <c r="V40"/>
  <c r="V147" i="6"/>
  <c r="W83" i="7"/>
  <c r="Z83" s="1"/>
  <c r="T120"/>
  <c r="U120" s="1"/>
  <c r="W120" s="1"/>
  <c r="Z120" s="1"/>
  <c r="Y120"/>
  <c r="T187" i="4"/>
  <c r="U187" s="1"/>
  <c r="W187" s="1"/>
  <c r="Z187" s="1"/>
  <c r="T103" i="5"/>
  <c r="U103" s="1"/>
  <c r="W103" s="1"/>
  <c r="Z103" s="1"/>
  <c r="T89" i="6"/>
  <c r="U89" s="1"/>
  <c r="V93"/>
  <c r="W93" s="1"/>
  <c r="Z93" s="1"/>
  <c r="V100"/>
  <c r="W100" s="1"/>
  <c r="Z100" s="1"/>
  <c r="V105"/>
  <c r="W105" s="1"/>
  <c r="V125"/>
  <c r="W125" s="1"/>
  <c r="Z125" s="1"/>
  <c r="T143"/>
  <c r="U143" s="1"/>
  <c r="W143" s="1"/>
  <c r="Z143" s="1"/>
  <c r="T152"/>
  <c r="U152" s="1"/>
  <c r="W183"/>
  <c r="Z5" i="7"/>
  <c r="T40"/>
  <c r="U40" s="1"/>
  <c r="W19" i="8"/>
  <c r="Z19" s="1"/>
  <c r="W172"/>
  <c r="Z172" s="1"/>
  <c r="Z180" i="9"/>
  <c r="T166" i="6"/>
  <c r="U166" s="1"/>
  <c r="W166" s="1"/>
  <c r="Z166" s="1"/>
  <c r="Y166"/>
  <c r="T183"/>
  <c r="U183" s="1"/>
  <c r="Y183"/>
  <c r="T104" i="8"/>
  <c r="U104" s="1"/>
  <c r="V104"/>
  <c r="V97" i="5"/>
  <c r="W97" s="1"/>
  <c r="Z97" s="1"/>
  <c r="T117" i="6"/>
  <c r="U117" s="1"/>
  <c r="W117" s="1"/>
  <c r="Z117" s="1"/>
  <c r="W121"/>
  <c r="Z121" s="1"/>
  <c r="V134"/>
  <c r="W134" s="1"/>
  <c r="Z134" s="1"/>
  <c r="T147"/>
  <c r="U147" s="1"/>
  <c r="V152"/>
  <c r="W178"/>
  <c r="Z178" s="1"/>
  <c r="W208"/>
  <c r="Z208" s="1"/>
  <c r="T16" i="7"/>
  <c r="U16" s="1"/>
  <c r="W16" s="1"/>
  <c r="Z16" s="1"/>
  <c r="V40"/>
  <c r="Z104"/>
  <c r="W189" i="8"/>
  <c r="Z189" s="1"/>
  <c r="T113" i="6"/>
  <c r="U113" s="1"/>
  <c r="V113"/>
  <c r="W113" s="1"/>
  <c r="Z113" s="1"/>
  <c r="V155" i="5"/>
  <c r="W155" s="1"/>
  <c r="Z155" s="1"/>
  <c r="V184"/>
  <c r="W184" s="1"/>
  <c r="Z184" s="1"/>
  <c r="W10" i="7"/>
  <c r="Z10" s="1"/>
  <c r="T198"/>
  <c r="U198" s="1"/>
  <c r="W198" s="1"/>
  <c r="Z198" s="1"/>
  <c r="V204" i="5"/>
  <c r="W204" s="1"/>
  <c r="Z204" s="1"/>
  <c r="Y47" i="6"/>
  <c r="Z47" s="1"/>
  <c r="V171"/>
  <c r="W171" s="1"/>
  <c r="Z171" s="1"/>
  <c r="T189"/>
  <c r="U189" s="1"/>
  <c r="T207"/>
  <c r="U207" s="1"/>
  <c r="V25" i="7"/>
  <c r="W25" s="1"/>
  <c r="Z25" s="1"/>
  <c r="W11" i="8"/>
  <c r="Z11" s="1"/>
  <c r="W7" i="9"/>
  <c r="Z7" s="1"/>
  <c r="V161" i="5"/>
  <c r="W19" i="6"/>
  <c r="Z19" s="1"/>
  <c r="V84"/>
  <c r="W84" s="1"/>
  <c r="Z84" s="1"/>
  <c r="V146"/>
  <c r="W146" s="1"/>
  <c r="Z146" s="1"/>
  <c r="T177"/>
  <c r="U177" s="1"/>
  <c r="W177" s="1"/>
  <c r="Z177" s="1"/>
  <c r="V189"/>
  <c r="V207"/>
  <c r="W99" i="9"/>
  <c r="Z99" s="1"/>
  <c r="T138" i="6"/>
  <c r="U138" s="1"/>
  <c r="V138"/>
  <c r="W138" s="1"/>
  <c r="Z138" s="1"/>
  <c r="T171" i="8"/>
  <c r="U171" s="1"/>
  <c r="V171"/>
  <c r="W171" s="1"/>
  <c r="Y171"/>
  <c r="V130" i="7"/>
  <c r="W130" s="1"/>
  <c r="W150"/>
  <c r="Z150" s="1"/>
  <c r="V172"/>
  <c r="T130"/>
  <c r="U130" s="1"/>
  <c r="Y130"/>
  <c r="T172"/>
  <c r="U172" s="1"/>
  <c r="Y172"/>
  <c r="T17" i="8"/>
  <c r="U17" s="1"/>
  <c r="V17"/>
  <c r="W17" s="1"/>
  <c r="Z17" s="1"/>
  <c r="Y17"/>
  <c r="Y15" i="9"/>
  <c r="T15"/>
  <c r="U15" s="1"/>
  <c r="V15"/>
  <c r="W15" s="1"/>
  <c r="T33"/>
  <c r="U33" s="1"/>
  <c r="Y33"/>
  <c r="T112" i="6"/>
  <c r="U112" s="1"/>
  <c r="W112" s="1"/>
  <c r="Z112" s="1"/>
  <c r="Y112"/>
  <c r="V118" i="8"/>
  <c r="W118" s="1"/>
  <c r="Z118" s="1"/>
  <c r="T118"/>
  <c r="U118" s="1"/>
  <c r="T143" i="5"/>
  <c r="U143" s="1"/>
  <c r="W143" s="1"/>
  <c r="Z143" s="1"/>
  <c r="V25" i="6"/>
  <c r="W25" s="1"/>
  <c r="Z25" s="1"/>
  <c r="Y31"/>
  <c r="W195"/>
  <c r="Z195" s="1"/>
  <c r="V197" i="7"/>
  <c r="W197" s="1"/>
  <c r="Z197" s="1"/>
  <c r="W137" i="8"/>
  <c r="Z137" s="1"/>
  <c r="V165"/>
  <c r="T104" i="6"/>
  <c r="U104" s="1"/>
  <c r="V104"/>
  <c r="W104" s="1"/>
  <c r="Z104" s="1"/>
  <c r="T160"/>
  <c r="U160" s="1"/>
  <c r="Y160"/>
  <c r="Y35" i="7"/>
  <c r="T35"/>
  <c r="U35" s="1"/>
  <c r="V35"/>
  <c r="W35" s="1"/>
  <c r="Z35" s="1"/>
  <c r="T165" i="8"/>
  <c r="U165" s="1"/>
  <c r="Y165"/>
  <c r="T214" i="4"/>
  <c r="U214" s="1"/>
  <c r="W214" s="1"/>
  <c r="Z214" s="1"/>
  <c r="V170" i="5"/>
  <c r="W170" s="1"/>
  <c r="Z170" s="1"/>
  <c r="W170" i="6"/>
  <c r="Z170" s="1"/>
  <c r="W197" i="8"/>
  <c r="Z197" s="1"/>
  <c r="W14" i="9"/>
  <c r="Z14" s="1"/>
  <c r="T206" i="6"/>
  <c r="U206" s="1"/>
  <c r="V206"/>
  <c r="T89" i="7"/>
  <c r="U89" s="1"/>
  <c r="W89" s="1"/>
  <c r="Z89" s="1"/>
  <c r="Y89"/>
  <c r="W99"/>
  <c r="Z99" s="1"/>
  <c r="T124" i="6"/>
  <c r="U124" s="1"/>
  <c r="V124"/>
  <c r="W124" s="1"/>
  <c r="Z124" s="1"/>
  <c r="T133"/>
  <c r="U133" s="1"/>
  <c r="W133" s="1"/>
  <c r="Z133" s="1"/>
  <c r="Y133"/>
  <c r="T14" i="7"/>
  <c r="U14" s="1"/>
  <c r="V14"/>
  <c r="W14" s="1"/>
  <c r="Z14" s="1"/>
  <c r="Y151" i="5"/>
  <c r="Z151" s="1"/>
  <c r="T170"/>
  <c r="U170" s="1"/>
  <c r="V214"/>
  <c r="W214" s="1"/>
  <c r="Z214" s="1"/>
  <c r="T28" i="6"/>
  <c r="U28" s="1"/>
  <c r="W28" s="1"/>
  <c r="Z28" s="1"/>
  <c r="T53"/>
  <c r="U53" s="1"/>
  <c r="T76"/>
  <c r="U76" s="1"/>
  <c r="W76" s="1"/>
  <c r="Z76" s="1"/>
  <c r="T83"/>
  <c r="U83" s="1"/>
  <c r="W83" s="1"/>
  <c r="Z83" s="1"/>
  <c r="Y137"/>
  <c r="Z137" s="1"/>
  <c r="V214"/>
  <c r="V114" i="7"/>
  <c r="V129"/>
  <c r="W129" s="1"/>
  <c r="Z129" s="1"/>
  <c r="W185"/>
  <c r="Z185" s="1"/>
  <c r="T187" i="6"/>
  <c r="U187" s="1"/>
  <c r="W187" s="1"/>
  <c r="Z187" s="1"/>
  <c r="Y187"/>
  <c r="T214"/>
  <c r="U214" s="1"/>
  <c r="Y214"/>
  <c r="T114" i="7"/>
  <c r="U114" s="1"/>
  <c r="Y114"/>
  <c r="T129"/>
  <c r="U129" s="1"/>
  <c r="Y129"/>
  <c r="T69" i="6"/>
  <c r="U69" s="1"/>
  <c r="W69" s="1"/>
  <c r="Z69" s="1"/>
  <c r="Z155"/>
  <c r="T176"/>
  <c r="U176" s="1"/>
  <c r="W176" s="1"/>
  <c r="Z176" s="1"/>
  <c r="W194"/>
  <c r="Z194" s="1"/>
  <c r="W171" i="7"/>
  <c r="Z171" s="1"/>
  <c r="W99" i="10"/>
  <c r="Z99" s="1"/>
  <c r="Y26" i="9"/>
  <c r="T26"/>
  <c r="U26" s="1"/>
  <c r="V26"/>
  <c r="W26" s="1"/>
  <c r="Z26" s="1"/>
  <c r="T59" i="6"/>
  <c r="U59" s="1"/>
  <c r="W59" s="1"/>
  <c r="Z59" s="1"/>
  <c r="W111"/>
  <c r="Z111" s="1"/>
  <c r="T150"/>
  <c r="U150" s="1"/>
  <c r="T172" i="9"/>
  <c r="U172" s="1"/>
  <c r="Y172"/>
  <c r="W150" i="6"/>
  <c r="Z150" s="1"/>
  <c r="W49" i="7"/>
  <c r="W9" i="8"/>
  <c r="T26"/>
  <c r="U26" s="1"/>
  <c r="W26" s="1"/>
  <c r="Z26" s="1"/>
  <c r="T95" i="6"/>
  <c r="U95" s="1"/>
  <c r="V95"/>
  <c r="W95" s="1"/>
  <c r="Z95" s="1"/>
  <c r="T33" i="7"/>
  <c r="U33" s="1"/>
  <c r="V33"/>
  <c r="W33" s="1"/>
  <c r="Z33" s="1"/>
  <c r="T49"/>
  <c r="U49" s="1"/>
  <c r="Y49"/>
  <c r="T212"/>
  <c r="U212" s="1"/>
  <c r="W212" s="1"/>
  <c r="Z212" s="1"/>
  <c r="Y212"/>
  <c r="W103" i="6"/>
  <c r="Z103" s="1"/>
  <c r="W88" i="7"/>
  <c r="Z88" s="1"/>
  <c r="T115" i="6"/>
  <c r="U115" s="1"/>
  <c r="V115"/>
  <c r="W115" s="1"/>
  <c r="Z115" s="1"/>
  <c r="V57" i="5"/>
  <c r="W57" s="1"/>
  <c r="Z57" s="1"/>
  <c r="V107"/>
  <c r="W107" s="1"/>
  <c r="Z107" s="1"/>
  <c r="T145"/>
  <c r="U145" s="1"/>
  <c r="W145" s="1"/>
  <c r="Z145" s="1"/>
  <c r="T183"/>
  <c r="U183" s="1"/>
  <c r="Y213"/>
  <c r="W194" i="7"/>
  <c r="T9" i="8"/>
  <c r="U9" s="1"/>
  <c r="T205" i="6"/>
  <c r="U205" s="1"/>
  <c r="W205" s="1"/>
  <c r="Z205" s="1"/>
  <c r="Y205"/>
  <c r="T13" i="7"/>
  <c r="U13" s="1"/>
  <c r="V13"/>
  <c r="Y13"/>
  <c r="Y194"/>
  <c r="T194"/>
  <c r="U194" s="1"/>
  <c r="V104" i="5"/>
  <c r="W104" s="1"/>
  <c r="Z104" s="1"/>
  <c r="Y121"/>
  <c r="Y176"/>
  <c r="V21" i="6"/>
  <c r="W21" s="1"/>
  <c r="Z21" s="1"/>
  <c r="T43"/>
  <c r="U43" s="1"/>
  <c r="W43" s="1"/>
  <c r="Z43" s="1"/>
  <c r="V46"/>
  <c r="W46" s="1"/>
  <c r="Z46" s="1"/>
  <c r="V65"/>
  <c r="W65" s="1"/>
  <c r="Z65" s="1"/>
  <c r="T103"/>
  <c r="U103" s="1"/>
  <c r="V131"/>
  <c r="W131" s="1"/>
  <c r="Z131" s="1"/>
  <c r="W199"/>
  <c r="Z199" s="1"/>
  <c r="T21" i="7"/>
  <c r="U21" s="1"/>
  <c r="Y48"/>
  <c r="W64" i="8"/>
  <c r="Z64" s="1"/>
  <c r="T136" i="5"/>
  <c r="U136" s="1"/>
  <c r="W136" s="1"/>
  <c r="Z136" s="1"/>
  <c r="Y169"/>
  <c r="V24" i="6"/>
  <c r="W24" s="1"/>
  <c r="Z24" s="1"/>
  <c r="T75"/>
  <c r="U75" s="1"/>
  <c r="W75" s="1"/>
  <c r="Z75" s="1"/>
  <c r="V127"/>
  <c r="W127" s="1"/>
  <c r="Z127" s="1"/>
  <c r="T131"/>
  <c r="U131" s="1"/>
  <c r="V175"/>
  <c r="Y204"/>
  <c r="V21" i="7"/>
  <c r="V48"/>
  <c r="W48" s="1"/>
  <c r="W97"/>
  <c r="Z97" s="1"/>
  <c r="T175" i="6"/>
  <c r="U175" s="1"/>
  <c r="Y175"/>
  <c r="T150" i="8"/>
  <c r="U150" s="1"/>
  <c r="V150"/>
  <c r="T78" i="9"/>
  <c r="U78" s="1"/>
  <c r="V78"/>
  <c r="Y78"/>
  <c r="V80" i="5"/>
  <c r="V133"/>
  <c r="W133" s="1"/>
  <c r="Z133" s="1"/>
  <c r="V213"/>
  <c r="W213" s="1"/>
  <c r="Z213" s="1"/>
  <c r="V27" i="6"/>
  <c r="W27" s="1"/>
  <c r="Z27" s="1"/>
  <c r="Y136"/>
  <c r="T180"/>
  <c r="U180" s="1"/>
  <c r="V204"/>
  <c r="W204" s="1"/>
  <c r="Z204" s="1"/>
  <c r="W165" i="9"/>
  <c r="V86" i="6"/>
  <c r="W86" s="1"/>
  <c r="Y86"/>
  <c r="T180" i="7"/>
  <c r="U180" s="1"/>
  <c r="W180" s="1"/>
  <c r="Z180" s="1"/>
  <c r="Y180"/>
  <c r="V176" i="5"/>
  <c r="W176" s="1"/>
  <c r="V52" i="6"/>
  <c r="W52" s="1"/>
  <c r="Z52" s="1"/>
  <c r="Y140"/>
  <c r="W180"/>
  <c r="Z180" s="1"/>
  <c r="T80" i="5"/>
  <c r="U80" s="1"/>
  <c r="Y202"/>
  <c r="T27" i="6"/>
  <c r="U27" s="1"/>
  <c r="T52"/>
  <c r="U52" s="1"/>
  <c r="Y90"/>
  <c r="Z90" s="1"/>
  <c r="Y114"/>
  <c r="V96" i="7"/>
  <c r="W96" s="1"/>
  <c r="Z96" s="1"/>
  <c r="W129" i="8"/>
  <c r="Z129" s="1"/>
  <c r="T198" i="6"/>
  <c r="U198" s="1"/>
  <c r="V198"/>
  <c r="T165" i="7"/>
  <c r="U165" s="1"/>
  <c r="W165" s="1"/>
  <c r="Z165" s="1"/>
  <c r="Y165"/>
  <c r="V148" i="4"/>
  <c r="W148" s="1"/>
  <c r="Z148" s="1"/>
  <c r="V121" i="5"/>
  <c r="W121" s="1"/>
  <c r="T127"/>
  <c r="U127" s="1"/>
  <c r="W127" s="1"/>
  <c r="Z127" s="1"/>
  <c r="Y159"/>
  <c r="W185" i="6"/>
  <c r="Z185" s="1"/>
  <c r="V202" i="7"/>
  <c r="W202" s="1"/>
  <c r="Z202" s="1"/>
  <c r="W82" i="8"/>
  <c r="Z82" s="1"/>
  <c r="W11" i="9"/>
  <c r="T64" i="11"/>
  <c r="U64" s="1"/>
  <c r="V64"/>
  <c r="W64" s="1"/>
  <c r="Z64" s="1"/>
  <c r="Y85" i="9"/>
  <c r="T82" i="10"/>
  <c r="U82" s="1"/>
  <c r="W82" s="1"/>
  <c r="Z82" s="1"/>
  <c r="Y82"/>
  <c r="T99"/>
  <c r="U99" s="1"/>
  <c r="Y99"/>
  <c r="T7"/>
  <c r="U7" s="1"/>
  <c r="W7" s="1"/>
  <c r="Z7" s="1"/>
  <c r="W10" i="16"/>
  <c r="Z10" s="1"/>
  <c r="Y99" i="9"/>
  <c r="T99"/>
  <c r="U99" s="1"/>
  <c r="T165"/>
  <c r="U165" s="1"/>
  <c r="Y165"/>
  <c r="V4"/>
  <c r="W4" s="1"/>
  <c r="V85"/>
  <c r="W85" s="1"/>
  <c r="Y193"/>
  <c r="Z193" s="1"/>
  <c r="W89" i="10"/>
  <c r="Z89" s="1"/>
  <c r="W104" i="11"/>
  <c r="Z104" s="1"/>
  <c r="W17" i="13"/>
  <c r="Z17" s="1"/>
  <c r="T8" i="9"/>
  <c r="U8" s="1"/>
  <c r="W8" s="1"/>
  <c r="Z8" s="1"/>
  <c r="Y8"/>
  <c r="T104" i="11"/>
  <c r="U104" s="1"/>
  <c r="Y104"/>
  <c r="T149" i="6"/>
  <c r="U149" s="1"/>
  <c r="W149" s="1"/>
  <c r="Z149" s="1"/>
  <c r="V186"/>
  <c r="W186" s="1"/>
  <c r="Z186" s="1"/>
  <c r="Y63" i="9"/>
  <c r="Z63" s="1"/>
  <c r="V137"/>
  <c r="W137" s="1"/>
  <c r="Z137" s="1"/>
  <c r="Y6" i="10"/>
  <c r="T16"/>
  <c r="U16" s="1"/>
  <c r="W16" s="1"/>
  <c r="Z16" s="1"/>
  <c r="T137"/>
  <c r="U137" s="1"/>
  <c r="W137" s="1"/>
  <c r="Z137" s="1"/>
  <c r="W189"/>
  <c r="Z189" s="1"/>
  <c r="V200"/>
  <c r="T172"/>
  <c r="U172" s="1"/>
  <c r="V172"/>
  <c r="Y200"/>
  <c r="T200"/>
  <c r="U200" s="1"/>
  <c r="V63" i="11"/>
  <c r="W63" s="1"/>
  <c r="Z63" s="1"/>
  <c r="T63"/>
  <c r="U63" s="1"/>
  <c r="V197" i="12"/>
  <c r="T197"/>
  <c r="U197" s="1"/>
  <c r="T99" i="13"/>
  <c r="U99" s="1"/>
  <c r="V99"/>
  <c r="Y99"/>
  <c r="T11" i="10"/>
  <c r="U11" s="1"/>
  <c r="V11"/>
  <c r="T89"/>
  <c r="U89" s="1"/>
  <c r="Y89"/>
  <c r="V24" i="8"/>
  <c r="W24" s="1"/>
  <c r="Z24" s="1"/>
  <c r="T89"/>
  <c r="U89" s="1"/>
  <c r="W89" s="1"/>
  <c r="Z89" s="1"/>
  <c r="Y7" i="9"/>
  <c r="Y11"/>
  <c r="Y41"/>
  <c r="V198"/>
  <c r="W198" s="1"/>
  <c r="Z198" s="1"/>
  <c r="W129" i="12"/>
  <c r="Z129" s="1"/>
  <c r="W6" i="10"/>
  <c r="Z6" s="1"/>
  <c r="T80" i="9"/>
  <c r="U80" s="1"/>
  <c r="W80" s="1"/>
  <c r="Z80" s="1"/>
  <c r="Y80"/>
  <c r="T128" i="6"/>
  <c r="U128" s="1"/>
  <c r="W128" s="1"/>
  <c r="Z128" s="1"/>
  <c r="T200"/>
  <c r="U200" s="1"/>
  <c r="W200" s="1"/>
  <c r="Z200" s="1"/>
  <c r="T203"/>
  <c r="U203" s="1"/>
  <c r="Z108" i="10"/>
  <c r="Y83" i="8"/>
  <c r="T83"/>
  <c r="U83" s="1"/>
  <c r="W83" s="1"/>
  <c r="Z83" s="1"/>
  <c r="Y178"/>
  <c r="V178"/>
  <c r="W178" s="1"/>
  <c r="T33" i="10"/>
  <c r="U33" s="1"/>
  <c r="W33" s="1"/>
  <c r="Z33" s="1"/>
  <c r="Y33"/>
  <c r="V150"/>
  <c r="W150" s="1"/>
  <c r="Z150" s="1"/>
  <c r="T150"/>
  <c r="U150" s="1"/>
  <c r="Y198"/>
  <c r="T198"/>
  <c r="U198" s="1"/>
  <c r="W198" s="1"/>
  <c r="Z198" s="1"/>
  <c r="Y17" i="11"/>
  <c r="T17"/>
  <c r="U17" s="1"/>
  <c r="V17"/>
  <c r="W17" s="1"/>
  <c r="Z17" s="1"/>
  <c r="V160" i="6"/>
  <c r="V203"/>
  <c r="T10" i="7"/>
  <c r="U10" s="1"/>
  <c r="T64"/>
  <c r="U64" s="1"/>
  <c r="W64" s="1"/>
  <c r="Z64" s="1"/>
  <c r="T137"/>
  <c r="U137" s="1"/>
  <c r="V41" i="9"/>
  <c r="W41" s="1"/>
  <c r="V106"/>
  <c r="W106" s="1"/>
  <c r="Z106" s="1"/>
  <c r="T24" i="10"/>
  <c r="U24" s="1"/>
  <c r="W24" s="1"/>
  <c r="Z24" s="1"/>
  <c r="V137" i="7"/>
  <c r="W137" s="1"/>
  <c r="Z137" s="1"/>
  <c r="W28" i="8"/>
  <c r="Z28" s="1"/>
  <c r="W33" i="13"/>
  <c r="Z33" s="1"/>
  <c r="W193" i="14"/>
  <c r="Z193" s="1"/>
  <c r="Y10" i="8"/>
  <c r="T10"/>
  <c r="U10" s="1"/>
  <c r="W10" s="1"/>
  <c r="Z10" s="1"/>
  <c r="T19" i="9"/>
  <c r="U19" s="1"/>
  <c r="Y19"/>
  <c r="T142" i="11"/>
  <c r="U142" s="1"/>
  <c r="V142"/>
  <c r="T83" i="7"/>
  <c r="U83" s="1"/>
  <c r="T28" i="8"/>
  <c r="U28" s="1"/>
  <c r="V25" i="9"/>
  <c r="W25" s="1"/>
  <c r="Z25" s="1"/>
  <c r="V33"/>
  <c r="W33" s="1"/>
  <c r="Z33" s="1"/>
  <c r="V172"/>
  <c r="W172" s="1"/>
  <c r="Z172" s="1"/>
  <c r="W5" i="10"/>
  <c r="Z5" s="1"/>
  <c r="V15"/>
  <c r="W15" s="1"/>
  <c r="Z15" s="1"/>
  <c r="W40" i="11"/>
  <c r="Z40" s="1"/>
  <c r="V124" i="13"/>
  <c r="W172"/>
  <c r="Z172" s="1"/>
  <c r="T15" i="10"/>
  <c r="U15" s="1"/>
  <c r="Y15"/>
  <c r="Y26" i="11"/>
  <c r="T26"/>
  <c r="U26" s="1"/>
  <c r="Y124" i="13"/>
  <c r="T124"/>
  <c r="U124" s="1"/>
  <c r="T197" i="10"/>
  <c r="U197" s="1"/>
  <c r="Y197"/>
  <c r="Y171" i="11"/>
  <c r="T171"/>
  <c r="U171" s="1"/>
  <c r="W171" s="1"/>
  <c r="Z171" s="1"/>
  <c r="T80" i="12"/>
  <c r="U80" s="1"/>
  <c r="V80"/>
  <c r="W80" s="1"/>
  <c r="Z80" s="1"/>
  <c r="Y80"/>
  <c r="V49" i="9"/>
  <c r="W145"/>
  <c r="T10" i="11"/>
  <c r="U10" s="1"/>
  <c r="W10" s="1"/>
  <c r="Z10" s="1"/>
  <c r="W120" i="16"/>
  <c r="Z120" s="1"/>
  <c r="T49" i="9"/>
  <c r="U49" s="1"/>
  <c r="Y49"/>
  <c r="Y124"/>
  <c r="T124"/>
  <c r="U124" s="1"/>
  <c r="W124" s="1"/>
  <c r="Z124" s="1"/>
  <c r="T118" i="11"/>
  <c r="U118" s="1"/>
  <c r="W118" s="1"/>
  <c r="Z118" s="1"/>
  <c r="Y118"/>
  <c r="W62" i="9"/>
  <c r="Z62" s="1"/>
  <c r="Y178" i="7"/>
  <c r="V178"/>
  <c r="W178" s="1"/>
  <c r="T179" i="6"/>
  <c r="U179" s="1"/>
  <c r="W179" s="1"/>
  <c r="Z179" s="1"/>
  <c r="T193"/>
  <c r="U193" s="1"/>
  <c r="W193" s="1"/>
  <c r="Z193" s="1"/>
  <c r="W9" i="7"/>
  <c r="Z9" s="1"/>
  <c r="Y82"/>
  <c r="Z82" s="1"/>
  <c r="Y9" i="8"/>
  <c r="Y41"/>
  <c r="Z41" s="1"/>
  <c r="T78"/>
  <c r="U78" s="1"/>
  <c r="W78" s="1"/>
  <c r="Z78" s="1"/>
  <c r="T130"/>
  <c r="U130" s="1"/>
  <c r="W130" s="1"/>
  <c r="Z130" s="1"/>
  <c r="W114" i="9"/>
  <c r="Z114" s="1"/>
  <c r="T189"/>
  <c r="U189" s="1"/>
  <c r="V21" i="10"/>
  <c r="W21" s="1"/>
  <c r="Z21" s="1"/>
  <c r="V66"/>
  <c r="W66" s="1"/>
  <c r="Z66" s="1"/>
  <c r="V106"/>
  <c r="W106" s="1"/>
  <c r="W108" i="15"/>
  <c r="Z108" s="1"/>
  <c r="W74" i="16"/>
  <c r="Z74" s="1"/>
  <c r="Y145" i="9"/>
  <c r="T145"/>
  <c r="U145" s="1"/>
  <c r="T106" i="10"/>
  <c r="U106" s="1"/>
  <c r="Y106"/>
  <c r="T97" i="11"/>
  <c r="U97" s="1"/>
  <c r="V97"/>
  <c r="V89" i="9"/>
  <c r="W89" s="1"/>
  <c r="Z89" s="1"/>
  <c r="V189"/>
  <c r="W14" i="10"/>
  <c r="Z14" s="1"/>
  <c r="V212"/>
  <c r="W40" i="14"/>
  <c r="T212" i="10"/>
  <c r="U212" s="1"/>
  <c r="Y212"/>
  <c r="Y10" i="9"/>
  <c r="T10"/>
  <c r="U10" s="1"/>
  <c r="W10" s="1"/>
  <c r="Z10" s="1"/>
  <c r="Y10" i="12"/>
  <c r="T10"/>
  <c r="U10" s="1"/>
  <c r="W10" s="1"/>
  <c r="Z10" s="1"/>
  <c r="Y213" i="6"/>
  <c r="V12" i="7"/>
  <c r="W12" s="1"/>
  <c r="Z12" s="1"/>
  <c r="Y15"/>
  <c r="Z15" s="1"/>
  <c r="T177" i="8"/>
  <c r="U177" s="1"/>
  <c r="W177" s="1"/>
  <c r="Z177" s="1"/>
  <c r="Y24" i="9"/>
  <c r="Z24" s="1"/>
  <c r="V9" i="10"/>
  <c r="W9" s="1"/>
  <c r="Z9" s="1"/>
  <c r="W28"/>
  <c r="Z28" s="1"/>
  <c r="T180"/>
  <c r="U180" s="1"/>
  <c r="T139" i="6"/>
  <c r="U139" s="1"/>
  <c r="W139" s="1"/>
  <c r="Z139" s="1"/>
  <c r="Y142" i="7"/>
  <c r="Z142" s="1"/>
  <c r="Y5" i="8"/>
  <c r="T16"/>
  <c r="U16" s="1"/>
  <c r="W16" s="1"/>
  <c r="Z16" s="1"/>
  <c r="V21"/>
  <c r="W17" i="9"/>
  <c r="Z17" s="1"/>
  <c r="W66"/>
  <c r="Z66" s="1"/>
  <c r="V4" i="10"/>
  <c r="W4" s="1"/>
  <c r="V180"/>
  <c r="W9" i="11"/>
  <c r="Z9" s="1"/>
  <c r="Y114" i="8"/>
  <c r="T114"/>
  <c r="U114" s="1"/>
  <c r="W114" s="1"/>
  <c r="Z114" s="1"/>
  <c r="T9" i="12"/>
  <c r="U9" s="1"/>
  <c r="Y9"/>
  <c r="W48" i="9"/>
  <c r="Z48" s="1"/>
  <c r="W82" i="11"/>
  <c r="Z82" s="1"/>
  <c r="T200"/>
  <c r="U200" s="1"/>
  <c r="Y200"/>
  <c r="T213" i="6"/>
  <c r="U213" s="1"/>
  <c r="W213" s="1"/>
  <c r="Z213" s="1"/>
  <c r="T150" i="7"/>
  <c r="U150" s="1"/>
  <c r="T21" i="8"/>
  <c r="U21" s="1"/>
  <c r="W82" i="9"/>
  <c r="Z82" s="1"/>
  <c r="W178"/>
  <c r="Z195"/>
  <c r="W49" i="11"/>
  <c r="Z49" s="1"/>
  <c r="W202" i="14"/>
  <c r="Z202" s="1"/>
  <c r="Y49" i="8"/>
  <c r="T49"/>
  <c r="U49" s="1"/>
  <c r="W49" s="1"/>
  <c r="Z49" s="1"/>
  <c r="T64" i="10"/>
  <c r="U64" s="1"/>
  <c r="W64" s="1"/>
  <c r="Z64" s="1"/>
  <c r="Y64"/>
  <c r="V5" i="8"/>
  <c r="W5" s="1"/>
  <c r="Z5" s="1"/>
  <c r="T104" i="9"/>
  <c r="U104" s="1"/>
  <c r="W104" s="1"/>
  <c r="Z104" s="1"/>
  <c r="T130"/>
  <c r="U130" s="1"/>
  <c r="Y142"/>
  <c r="W104" i="10"/>
  <c r="Z104" s="1"/>
  <c r="T178" i="9"/>
  <c r="U178" s="1"/>
  <c r="Y178"/>
  <c r="Y8" i="11"/>
  <c r="T8"/>
  <c r="U8" s="1"/>
  <c r="V200" i="8"/>
  <c r="W200" s="1"/>
  <c r="Z200" s="1"/>
  <c r="T13" i="10"/>
  <c r="U13" s="1"/>
  <c r="W13" s="1"/>
  <c r="Z13" s="1"/>
  <c r="T19"/>
  <c r="U19" s="1"/>
  <c r="W19" s="1"/>
  <c r="Z19" s="1"/>
  <c r="V78"/>
  <c r="W78" s="1"/>
  <c r="Z78" s="1"/>
  <c r="V14" i="11"/>
  <c r="W14" s="1"/>
  <c r="Z14" s="1"/>
  <c r="W13" i="16"/>
  <c r="Z13" s="1"/>
  <c r="T78" i="10"/>
  <c r="U78" s="1"/>
  <c r="Y78"/>
  <c r="T178"/>
  <c r="U178" s="1"/>
  <c r="W178" s="1"/>
  <c r="Z178" s="1"/>
  <c r="Y178"/>
  <c r="T194"/>
  <c r="U194" s="1"/>
  <c r="V194"/>
  <c r="W194" s="1"/>
  <c r="Z194" s="1"/>
  <c r="V81" i="8"/>
  <c r="W81" s="1"/>
  <c r="Z81" s="1"/>
  <c r="W9" i="9"/>
  <c r="Z9" s="1"/>
  <c r="Y90" i="11"/>
  <c r="T90"/>
  <c r="U90" s="1"/>
  <c r="V90"/>
  <c r="T208" i="6"/>
  <c r="U208" s="1"/>
  <c r="T19" i="7"/>
  <c r="U19" s="1"/>
  <c r="W19" s="1"/>
  <c r="Z19" s="1"/>
  <c r="T33" i="8"/>
  <c r="U33" s="1"/>
  <c r="W33" s="1"/>
  <c r="Z33" s="1"/>
  <c r="Y5" i="9"/>
  <c r="Z5" s="1"/>
  <c r="V28"/>
  <c r="W28" s="1"/>
  <c r="Z28" s="1"/>
  <c r="T26" i="10"/>
  <c r="U26" s="1"/>
  <c r="Y26"/>
  <c r="Y201" i="6"/>
  <c r="Y28" i="7"/>
  <c r="W189"/>
  <c r="Z189" s="1"/>
  <c r="W8" i="8"/>
  <c r="Z8" s="1"/>
  <c r="V142" i="9"/>
  <c r="W142" s="1"/>
  <c r="Z142" s="1"/>
  <c r="W142" i="10"/>
  <c r="Z142" s="1"/>
  <c r="W120" i="9"/>
  <c r="Z120" s="1"/>
  <c r="W178" i="11"/>
  <c r="Z178" s="1"/>
  <c r="V161" i="6"/>
  <c r="W161" s="1"/>
  <c r="Z161" s="1"/>
  <c r="V24" i="7"/>
  <c r="W24" s="1"/>
  <c r="Z24" s="1"/>
  <c r="T97"/>
  <c r="U97" s="1"/>
  <c r="V25" i="8"/>
  <c r="W25" s="1"/>
  <c r="Z25" s="1"/>
  <c r="V48"/>
  <c r="W48" s="1"/>
  <c r="Z48" s="1"/>
  <c r="T120" i="9"/>
  <c r="U120" s="1"/>
  <c r="V194"/>
  <c r="W194" s="1"/>
  <c r="Z194" s="1"/>
  <c r="W83" i="10"/>
  <c r="Z83" s="1"/>
  <c r="W90"/>
  <c r="Z90" s="1"/>
  <c r="Z33" i="11"/>
  <c r="Z89"/>
  <c r="W66" i="14"/>
  <c r="Z66" s="1"/>
  <c r="V158" i="6"/>
  <c r="W158" s="1"/>
  <c r="Z158" s="1"/>
  <c r="V201"/>
  <c r="W201" s="1"/>
  <c r="T81" i="7"/>
  <c r="U81" s="1"/>
  <c r="W81" s="1"/>
  <c r="Z81" s="1"/>
  <c r="T74" i="8"/>
  <c r="U74" s="1"/>
  <c r="W74" s="1"/>
  <c r="Z74" s="1"/>
  <c r="V12" i="9"/>
  <c r="W12" s="1"/>
  <c r="Z12" s="1"/>
  <c r="W74"/>
  <c r="Z74" s="1"/>
  <c r="V17" i="10"/>
  <c r="W17" s="1"/>
  <c r="Z17" s="1"/>
  <c r="V48"/>
  <c r="W48" s="1"/>
  <c r="Z48" s="1"/>
  <c r="T114"/>
  <c r="U114" s="1"/>
  <c r="W114" s="1"/>
  <c r="Z114" s="1"/>
  <c r="T195" i="11"/>
  <c r="U195" s="1"/>
  <c r="W195" s="1"/>
  <c r="Z195" s="1"/>
  <c r="W5" i="14"/>
  <c r="Z5" s="1"/>
  <c r="W129" i="15"/>
  <c r="Z129" s="1"/>
  <c r="T16" i="9"/>
  <c r="U16" s="1"/>
  <c r="W16" s="1"/>
  <c r="Z16" s="1"/>
  <c r="Y16"/>
  <c r="Y6" i="12"/>
  <c r="T6"/>
  <c r="U6" s="1"/>
  <c r="V6"/>
  <c r="T141" i="6"/>
  <c r="U141" s="1"/>
  <c r="W141" s="1"/>
  <c r="Z141" s="1"/>
  <c r="Y149"/>
  <c r="V164"/>
  <c r="W164" s="1"/>
  <c r="Z164" s="1"/>
  <c r="T11" i="7"/>
  <c r="U11" s="1"/>
  <c r="V28"/>
  <c r="W28" s="1"/>
  <c r="Z28" s="1"/>
  <c r="T66"/>
  <c r="U66" s="1"/>
  <c r="W66" s="1"/>
  <c r="Z66" s="1"/>
  <c r="T180" i="8"/>
  <c r="U180" s="1"/>
  <c r="W180" s="1"/>
  <c r="Z180" s="1"/>
  <c r="T194"/>
  <c r="U194" s="1"/>
  <c r="W194" s="1"/>
  <c r="Z194" s="1"/>
  <c r="Y150" i="9"/>
  <c r="W202" i="12"/>
  <c r="Z202" s="1"/>
  <c r="Y97" i="8"/>
  <c r="T97"/>
  <c r="U97" s="1"/>
  <c r="W97" s="1"/>
  <c r="Z97" s="1"/>
  <c r="V4"/>
  <c r="W4" s="1"/>
  <c r="T12" i="9"/>
  <c r="U12" s="1"/>
  <c r="Y7" i="10"/>
  <c r="V25"/>
  <c r="W25" s="1"/>
  <c r="Z25" s="1"/>
  <c r="Y62"/>
  <c r="Y81" i="9"/>
  <c r="V81"/>
  <c r="W81" s="1"/>
  <c r="Z81" s="1"/>
  <c r="T35" i="10"/>
  <c r="U35" s="1"/>
  <c r="V35"/>
  <c r="Y150" i="11"/>
  <c r="T150"/>
  <c r="U150" s="1"/>
  <c r="W150" s="1"/>
  <c r="Z150" s="1"/>
  <c r="V212" i="6"/>
  <c r="W212" s="1"/>
  <c r="Z212" s="1"/>
  <c r="V4" i="7"/>
  <c r="W4" s="1"/>
  <c r="V74"/>
  <c r="W74" s="1"/>
  <c r="Z74" s="1"/>
  <c r="T19" i="8"/>
  <c r="U19" s="1"/>
  <c r="W74" i="10"/>
  <c r="Z74" s="1"/>
  <c r="W106" i="11"/>
  <c r="Z106" s="1"/>
  <c r="W104" i="12"/>
  <c r="Z104" s="1"/>
  <c r="V194" i="13"/>
  <c r="V202"/>
  <c r="T194"/>
  <c r="U194" s="1"/>
  <c r="Y194"/>
  <c r="V130" i="9"/>
  <c r="W130" s="1"/>
  <c r="Z130" s="1"/>
  <c r="V12" i="10"/>
  <c r="W12" s="1"/>
  <c r="V120"/>
  <c r="W120" s="1"/>
  <c r="Z120" s="1"/>
  <c r="T145"/>
  <c r="U145" s="1"/>
  <c r="W145" s="1"/>
  <c r="Z145" s="1"/>
  <c r="T62" i="11"/>
  <c r="U62" s="1"/>
  <c r="W62" s="1"/>
  <c r="Z62" s="1"/>
  <c r="T96"/>
  <c r="U96" s="1"/>
  <c r="W96" s="1"/>
  <c r="Z96" s="1"/>
  <c r="T130"/>
  <c r="U130" s="1"/>
  <c r="W130" s="1"/>
  <c r="Z130" s="1"/>
  <c r="W165"/>
  <c r="Z165" s="1"/>
  <c r="Y197"/>
  <c r="Y14" i="12"/>
  <c r="T26"/>
  <c r="U26" s="1"/>
  <c r="W26" s="1"/>
  <c r="Z26" s="1"/>
  <c r="V85"/>
  <c r="W85" s="1"/>
  <c r="Z85" s="1"/>
  <c r="T5" i="14"/>
  <c r="U5" s="1"/>
  <c r="T24"/>
  <c r="U24" s="1"/>
  <c r="W118"/>
  <c r="Z118" s="1"/>
  <c r="W26" i="15"/>
  <c r="Z26" s="1"/>
  <c r="T145"/>
  <c r="U145" s="1"/>
  <c r="Y4" i="16"/>
  <c r="T85" i="12"/>
  <c r="U85" s="1"/>
  <c r="Y85"/>
  <c r="T104"/>
  <c r="U104" s="1"/>
  <c r="Y104"/>
  <c r="V35"/>
  <c r="W24" i="14"/>
  <c r="Z24" s="1"/>
  <c r="W180"/>
  <c r="Z180" s="1"/>
  <c r="W11" i="15"/>
  <c r="Z11" s="1"/>
  <c r="W145"/>
  <c r="Z145" s="1"/>
  <c r="Z78" i="16"/>
  <c r="T104" i="14"/>
  <c r="U104" s="1"/>
  <c r="V104"/>
  <c r="W104" s="1"/>
  <c r="Y104"/>
  <c r="T195" i="15"/>
  <c r="U195" s="1"/>
  <c r="Y195"/>
  <c r="V120" i="11"/>
  <c r="W120" s="1"/>
  <c r="Z120" s="1"/>
  <c r="V19" i="12"/>
  <c r="W19" s="1"/>
  <c r="Z19" s="1"/>
  <c r="W150" i="13"/>
  <c r="Z150" s="1"/>
  <c r="T193"/>
  <c r="U193" s="1"/>
  <c r="W90" i="14"/>
  <c r="Z90" s="1"/>
  <c r="T11" i="15"/>
  <c r="U11" s="1"/>
  <c r="W15"/>
  <c r="Z15" s="1"/>
  <c r="T178" i="12"/>
  <c r="U178" s="1"/>
  <c r="W178" s="1"/>
  <c r="Z178" s="1"/>
  <c r="Y178"/>
  <c r="V197" i="11"/>
  <c r="W197" s="1"/>
  <c r="Z197" s="1"/>
  <c r="V5" i="12"/>
  <c r="V14"/>
  <c r="W14" s="1"/>
  <c r="T35"/>
  <c r="U35" s="1"/>
  <c r="V195"/>
  <c r="W195" s="1"/>
  <c r="Z195" s="1"/>
  <c r="W24" i="13"/>
  <c r="Z24" s="1"/>
  <c r="V108"/>
  <c r="W108" s="1"/>
  <c r="Z108" s="1"/>
  <c r="V193"/>
  <c r="W193" s="1"/>
  <c r="Z193" s="1"/>
  <c r="Y14" i="14"/>
  <c r="T180"/>
  <c r="U180" s="1"/>
  <c r="T202"/>
  <c r="U202" s="1"/>
  <c r="V4" i="16"/>
  <c r="W4" s="1"/>
  <c r="T195" i="10"/>
  <c r="U195" s="1"/>
  <c r="V195"/>
  <c r="T5" i="12"/>
  <c r="U5" s="1"/>
  <c r="Y5"/>
  <c r="V62" i="10"/>
  <c r="W62" s="1"/>
  <c r="T16" i="11"/>
  <c r="U16" s="1"/>
  <c r="W16" s="1"/>
  <c r="Z16" s="1"/>
  <c r="V21"/>
  <c r="W21" s="1"/>
  <c r="Z21" s="1"/>
  <c r="V180"/>
  <c r="V9" i="12"/>
  <c r="Y25"/>
  <c r="Z25" s="1"/>
  <c r="W10" i="13"/>
  <c r="T41"/>
  <c r="U41" s="1"/>
  <c r="W41" s="1"/>
  <c r="Z41" s="1"/>
  <c r="T66"/>
  <c r="U66" s="1"/>
  <c r="W66" s="1"/>
  <c r="Z66" s="1"/>
  <c r="Z118" i="16"/>
  <c r="X4" i="14"/>
  <c r="Z4"/>
  <c r="T80" i="13"/>
  <c r="U80" s="1"/>
  <c r="W14" i="14"/>
  <c r="Z14" s="1"/>
  <c r="W82"/>
  <c r="Z82" s="1"/>
  <c r="W89"/>
  <c r="Z89" s="1"/>
  <c r="W145"/>
  <c r="Z145" s="1"/>
  <c r="T180" i="11"/>
  <c r="U180" s="1"/>
  <c r="V80" i="13"/>
  <c r="W120"/>
  <c r="Z120" s="1"/>
  <c r="W81" i="11"/>
  <c r="Z81" s="1"/>
  <c r="W74" i="15"/>
  <c r="Z74" s="1"/>
  <c r="W212" i="16"/>
  <c r="Z212" s="1"/>
  <c r="T129" i="11"/>
  <c r="U129" s="1"/>
  <c r="V129"/>
  <c r="W78" i="12"/>
  <c r="Z78" s="1"/>
  <c r="Y99"/>
  <c r="V14" i="13"/>
  <c r="V40"/>
  <c r="W24" i="16"/>
  <c r="Z24" s="1"/>
  <c r="V88" i="9"/>
  <c r="W88" s="1"/>
  <c r="Z88" s="1"/>
  <c r="V150"/>
  <c r="W150" s="1"/>
  <c r="T5" i="11"/>
  <c r="U5" s="1"/>
  <c r="W5" s="1"/>
  <c r="Z5" s="1"/>
  <c r="V12"/>
  <c r="W12" s="1"/>
  <c r="Z12" s="1"/>
  <c r="V13" i="12"/>
  <c r="W13" s="1"/>
  <c r="Z13" s="1"/>
  <c r="T33"/>
  <c r="U33" s="1"/>
  <c r="W33" s="1"/>
  <c r="Z33" s="1"/>
  <c r="T78"/>
  <c r="U78" s="1"/>
  <c r="W106" i="13"/>
  <c r="Z106" s="1"/>
  <c r="T19" i="14"/>
  <c r="U19" s="1"/>
  <c r="W178"/>
  <c r="Z178" s="1"/>
  <c r="W200"/>
  <c r="Z200" s="1"/>
  <c r="T189" i="11"/>
  <c r="U189" s="1"/>
  <c r="V189"/>
  <c r="W189" s="1"/>
  <c r="Z189" s="1"/>
  <c r="T165" i="14"/>
  <c r="U165" s="1"/>
  <c r="V165"/>
  <c r="W165" s="1"/>
  <c r="Z165" s="1"/>
  <c r="Y35" i="15"/>
  <c r="T35"/>
  <c r="U35" s="1"/>
  <c r="V35"/>
  <c r="W35" s="1"/>
  <c r="Z35" s="1"/>
  <c r="V108" i="11"/>
  <c r="W108" s="1"/>
  <c r="Z108" s="1"/>
  <c r="W4" i="12"/>
  <c r="Y8"/>
  <c r="T14" i="13"/>
  <c r="U14" s="1"/>
  <c r="T40"/>
  <c r="U40" s="1"/>
  <c r="W19" i="14"/>
  <c r="Z19" s="1"/>
  <c r="Y40"/>
  <c r="Y81"/>
  <c r="V24" i="15"/>
  <c r="V8" i="10"/>
  <c r="W8" s="1"/>
  <c r="Z8" s="1"/>
  <c r="T104"/>
  <c r="U104" s="1"/>
  <c r="V137" i="11"/>
  <c r="W137" s="1"/>
  <c r="Z137" s="1"/>
  <c r="V17" i="12"/>
  <c r="W17" s="1"/>
  <c r="Z17" s="1"/>
  <c r="V99"/>
  <c r="W99" s="1"/>
  <c r="T130" i="13"/>
  <c r="U130" s="1"/>
  <c r="W13" i="14"/>
  <c r="Z13" s="1"/>
  <c r="V81"/>
  <c r="W81" s="1"/>
  <c r="T114"/>
  <c r="U114" s="1"/>
  <c r="W114" s="1"/>
  <c r="Z114" s="1"/>
  <c r="W9" i="15"/>
  <c r="Z9" s="1"/>
  <c r="V96" i="16"/>
  <c r="T165" i="15"/>
  <c r="U165" s="1"/>
  <c r="V165"/>
  <c r="Y165"/>
  <c r="T96" i="16"/>
  <c r="U96" s="1"/>
  <c r="Y96"/>
  <c r="W19" i="13"/>
  <c r="Z19" s="1"/>
  <c r="W85"/>
  <c r="Z85" s="1"/>
  <c r="W130"/>
  <c r="Z130" s="1"/>
  <c r="T24" i="15"/>
  <c r="U24" s="1"/>
  <c r="T90"/>
  <c r="U90" s="1"/>
  <c r="W90" s="1"/>
  <c r="Z90" s="1"/>
  <c r="W8" i="16"/>
  <c r="Z8" s="1"/>
  <c r="W33"/>
  <c r="Z33" s="1"/>
  <c r="T193" i="15"/>
  <c r="U193" s="1"/>
  <c r="V193"/>
  <c r="T118" i="10"/>
  <c r="U118" s="1"/>
  <c r="W118" s="1"/>
  <c r="Z118" s="1"/>
  <c r="Y12" i="12"/>
  <c r="W185"/>
  <c r="Z185" s="1"/>
  <c r="V64" i="13"/>
  <c r="W64" s="1"/>
  <c r="V78"/>
  <c r="W78" s="1"/>
  <c r="Z78" s="1"/>
  <c r="W96"/>
  <c r="Z96" s="1"/>
  <c r="W49" i="15"/>
  <c r="Z49" s="1"/>
  <c r="V82"/>
  <c r="W82" s="1"/>
  <c r="Z82" s="1"/>
  <c r="T177" i="16"/>
  <c r="U177" s="1"/>
  <c r="T49" i="13"/>
  <c r="U49" s="1"/>
  <c r="Y49"/>
  <c r="T64"/>
  <c r="U64" s="1"/>
  <c r="Y64"/>
  <c r="X4" i="15"/>
  <c r="Z4"/>
  <c r="W8" i="12"/>
  <c r="Z8" s="1"/>
  <c r="W48" i="16"/>
  <c r="Z48" s="1"/>
  <c r="W129"/>
  <c r="Z129" s="1"/>
  <c r="W177"/>
  <c r="Z177" s="1"/>
  <c r="W96" i="10"/>
  <c r="Z96" s="1"/>
  <c r="V8" i="11"/>
  <c r="W8" s="1"/>
  <c r="Z8" s="1"/>
  <c r="V202"/>
  <c r="W202" s="1"/>
  <c r="Z202" s="1"/>
  <c r="V12" i="12"/>
  <c r="W12" s="1"/>
  <c r="T41"/>
  <c r="U41" s="1"/>
  <c r="T89"/>
  <c r="U89" s="1"/>
  <c r="Y97"/>
  <c r="Z97" s="1"/>
  <c r="Y108"/>
  <c r="V13" i="13"/>
  <c r="W13" s="1"/>
  <c r="Z13" s="1"/>
  <c r="T118"/>
  <c r="U118" s="1"/>
  <c r="W118" s="1"/>
  <c r="Z118" s="1"/>
  <c r="T8" i="14"/>
  <c r="U8" s="1"/>
  <c r="W8" s="1"/>
  <c r="Z8" s="1"/>
  <c r="T82" i="15"/>
  <c r="U82" s="1"/>
  <c r="T104"/>
  <c r="U104" s="1"/>
  <c r="W104" s="1"/>
  <c r="Z104" s="1"/>
  <c r="Y104"/>
  <c r="V41" i="12"/>
  <c r="V89"/>
  <c r="W189" i="14"/>
  <c r="W19" i="15"/>
  <c r="Z19" s="1"/>
  <c r="Y7" i="16"/>
  <c r="Z7" s="1"/>
  <c r="W118" i="15"/>
  <c r="T145" i="12"/>
  <c r="U145" s="1"/>
  <c r="V145"/>
  <c r="W145" s="1"/>
  <c r="Z145" s="1"/>
  <c r="Y145"/>
  <c r="V80" i="10"/>
  <c r="W80" s="1"/>
  <c r="Z80" s="1"/>
  <c r="V124"/>
  <c r="W124" s="1"/>
  <c r="Z124" s="1"/>
  <c r="V171"/>
  <c r="W171" s="1"/>
  <c r="Z171" s="1"/>
  <c r="V4" i="11"/>
  <c r="W4" s="1"/>
  <c r="V80"/>
  <c r="W80" s="1"/>
  <c r="Z80" s="1"/>
  <c r="T178"/>
  <c r="U178" s="1"/>
  <c r="W16" i="12"/>
  <c r="Z16" s="1"/>
  <c r="T74"/>
  <c r="U74" s="1"/>
  <c r="W74" s="1"/>
  <c r="Z74" s="1"/>
  <c r="W129" i="13"/>
  <c r="Z129" s="1"/>
  <c r="T197" i="14"/>
  <c r="U197" s="1"/>
  <c r="T171" i="10"/>
  <c r="U171" s="1"/>
  <c r="Y171"/>
  <c r="T108" i="16"/>
  <c r="U108" s="1"/>
  <c r="V108"/>
  <c r="Y108"/>
  <c r="T90" i="9"/>
  <c r="U90" s="1"/>
  <c r="W90" s="1"/>
  <c r="Z90" s="1"/>
  <c r="T145" i="11"/>
  <c r="U145" s="1"/>
  <c r="W145" s="1"/>
  <c r="Z145" s="1"/>
  <c r="V7" i="12"/>
  <c r="W7" s="1"/>
  <c r="Z7" s="1"/>
  <c r="V108"/>
  <c r="W108" s="1"/>
  <c r="Z108" s="1"/>
  <c r="T200"/>
  <c r="U200" s="1"/>
  <c r="W200" s="1"/>
  <c r="Z200" s="1"/>
  <c r="W35" i="13"/>
  <c r="Z35" s="1"/>
  <c r="W48"/>
  <c r="Z48" s="1"/>
  <c r="V83"/>
  <c r="V197" i="14"/>
  <c r="W197" s="1"/>
  <c r="Z197" s="1"/>
  <c r="T8" i="15"/>
  <c r="U8" s="1"/>
  <c r="W8" s="1"/>
  <c r="Z8" s="1"/>
  <c r="W33"/>
  <c r="Z33" s="1"/>
  <c r="V66"/>
  <c r="V202"/>
  <c r="W145" i="16"/>
  <c r="T194" i="11"/>
  <c r="U194" s="1"/>
  <c r="V194"/>
  <c r="Y63" i="13"/>
  <c r="T63"/>
  <c r="U63" s="1"/>
  <c r="W63" s="1"/>
  <c r="Z63" s="1"/>
  <c r="T83"/>
  <c r="U83" s="1"/>
  <c r="Y83"/>
  <c r="T66" i="15"/>
  <c r="U66" s="1"/>
  <c r="Y66"/>
  <c r="T202"/>
  <c r="U202" s="1"/>
  <c r="Y202"/>
  <c r="T145" i="16"/>
  <c r="U145" s="1"/>
  <c r="Y145"/>
  <c r="W185" i="13"/>
  <c r="Z185" s="1"/>
  <c r="T212" i="14"/>
  <c r="U212" s="1"/>
  <c r="T185" i="10"/>
  <c r="U185" s="1"/>
  <c r="V185"/>
  <c r="T193"/>
  <c r="U193" s="1"/>
  <c r="W193" s="1"/>
  <c r="Z193" s="1"/>
  <c r="Y7" i="11"/>
  <c r="T106"/>
  <c r="U106" s="1"/>
  <c r="T17" i="13"/>
  <c r="U17" s="1"/>
  <c r="V74"/>
  <c r="W97" i="14"/>
  <c r="Z97" s="1"/>
  <c r="V212"/>
  <c r="V48" i="15"/>
  <c r="W48" s="1"/>
  <c r="Z48" s="1"/>
  <c r="W82" i="16"/>
  <c r="Z82" s="1"/>
  <c r="W171"/>
  <c r="Z171" s="1"/>
  <c r="W40" i="12"/>
  <c r="Z40" s="1"/>
  <c r="Y106"/>
  <c r="Z106" s="1"/>
  <c r="W12" i="13"/>
  <c r="Z12" s="1"/>
  <c r="W124" i="16"/>
  <c r="Z124" s="1"/>
  <c r="T200"/>
  <c r="U200" s="1"/>
  <c r="V200"/>
  <c r="W200" s="1"/>
  <c r="Z200" s="1"/>
  <c r="Y200"/>
  <c r="W185" i="11"/>
  <c r="Z185" s="1"/>
  <c r="Z81" i="12"/>
  <c r="V62" i="13"/>
  <c r="W62" s="1"/>
  <c r="Z62" s="1"/>
  <c r="T74"/>
  <c r="U74" s="1"/>
  <c r="W96" i="14"/>
  <c r="Z96" s="1"/>
  <c r="W89" i="16"/>
  <c r="Z89" s="1"/>
  <c r="T11" i="12"/>
  <c r="U11" s="1"/>
  <c r="V11"/>
  <c r="T114" i="13"/>
  <c r="U114" s="1"/>
  <c r="W114" s="1"/>
  <c r="Y114"/>
  <c r="T200" i="15"/>
  <c r="U200" s="1"/>
  <c r="W200" s="1"/>
  <c r="Y200"/>
  <c r="T81" i="16"/>
  <c r="U81" s="1"/>
  <c r="W81" s="1"/>
  <c r="Z81" s="1"/>
  <c r="Y81"/>
  <c r="V197" i="10"/>
  <c r="W197" s="1"/>
  <c r="Z197" s="1"/>
  <c r="V200" i="11"/>
  <c r="W200" s="1"/>
  <c r="Z200" s="1"/>
  <c r="W49" i="12"/>
  <c r="Z49" s="1"/>
  <c r="V96"/>
  <c r="W96" s="1"/>
  <c r="Z96" s="1"/>
  <c r="T11" i="14"/>
  <c r="U11" s="1"/>
  <c r="W11" s="1"/>
  <c r="Z11" s="1"/>
  <c r="T96"/>
  <c r="U96" s="1"/>
  <c r="W12" i="15"/>
  <c r="Z12" s="1"/>
  <c r="T28"/>
  <c r="U28" s="1"/>
  <c r="Z88"/>
  <c r="W99"/>
  <c r="Z99" s="1"/>
  <c r="W17" i="16"/>
  <c r="Z17" s="1"/>
  <c r="W90" i="13"/>
  <c r="Z90" s="1"/>
  <c r="V64" i="14"/>
  <c r="W28" i="15"/>
  <c r="Z28" s="1"/>
  <c r="T64" i="14"/>
  <c r="U64" s="1"/>
  <c r="Y64"/>
  <c r="T28" i="12"/>
  <c r="U28" s="1"/>
  <c r="W28" s="1"/>
  <c r="Z28" s="1"/>
  <c r="W82" i="13"/>
  <c r="Z82" s="1"/>
  <c r="V106" i="14"/>
  <c r="T15" i="12"/>
  <c r="U15" s="1"/>
  <c r="V15"/>
  <c r="Y15"/>
  <c r="T114" i="11"/>
  <c r="U114" s="1"/>
  <c r="W114" s="1"/>
  <c r="Z114" s="1"/>
  <c r="T118" i="12"/>
  <c r="U118" s="1"/>
  <c r="W118" s="1"/>
  <c r="Z118" s="1"/>
  <c r="T129"/>
  <c r="U129" s="1"/>
  <c r="V16" i="13"/>
  <c r="W16" s="1"/>
  <c r="Z16" s="1"/>
  <c r="T82"/>
  <c r="U82" s="1"/>
  <c r="T25" i="14"/>
  <c r="U25" s="1"/>
  <c r="T129" i="15"/>
  <c r="U129" s="1"/>
  <c r="T171" i="12"/>
  <c r="U171" s="1"/>
  <c r="Y171"/>
  <c r="T16" i="13"/>
  <c r="U16" s="1"/>
  <c r="Y16"/>
  <c r="T78" i="14"/>
  <c r="U78" s="1"/>
  <c r="W78" s="1"/>
  <c r="Z78" s="1"/>
  <c r="Y78"/>
  <c r="T150"/>
  <c r="U150" s="1"/>
  <c r="V150"/>
  <c r="Y150"/>
  <c r="T41" i="15"/>
  <c r="U41" s="1"/>
  <c r="Y41"/>
  <c r="W21" i="12"/>
  <c r="Z21" s="1"/>
  <c r="V180"/>
  <c r="W180" s="1"/>
  <c r="Z180" s="1"/>
  <c r="T25" i="13"/>
  <c r="U25" s="1"/>
  <c r="W25" s="1"/>
  <c r="Z25" s="1"/>
  <c r="V25" i="14"/>
  <c r="T106"/>
  <c r="U106" s="1"/>
  <c r="W26" i="16"/>
  <c r="Z26" s="1"/>
  <c r="T62"/>
  <c r="U62" s="1"/>
  <c r="Y12" i="10"/>
  <c r="V62" i="12"/>
  <c r="W62" s="1"/>
  <c r="Z62" s="1"/>
  <c r="T202" i="13"/>
  <c r="U202" s="1"/>
  <c r="T48" i="14"/>
  <c r="U48" s="1"/>
  <c r="W48" s="1"/>
  <c r="Z48" s="1"/>
  <c r="W63"/>
  <c r="Z63" s="1"/>
  <c r="W97" i="15"/>
  <c r="Z97" s="1"/>
  <c r="V62" i="16"/>
  <c r="Y120" i="12"/>
  <c r="Y97" i="13"/>
  <c r="V104"/>
  <c r="W104" s="1"/>
  <c r="Z104" s="1"/>
  <c r="W83" i="16"/>
  <c r="Z83" s="1"/>
  <c r="V114" i="12"/>
  <c r="W114" s="1"/>
  <c r="Z114" s="1"/>
  <c r="T193"/>
  <c r="U193" s="1"/>
  <c r="W193" s="1"/>
  <c r="Z193" s="1"/>
  <c r="V145" i="13"/>
  <c r="W145" s="1"/>
  <c r="Z145" s="1"/>
  <c r="W195"/>
  <c r="Z195" s="1"/>
  <c r="V62" i="14"/>
  <c r="W62" s="1"/>
  <c r="Z62" s="1"/>
  <c r="V83"/>
  <c r="W83" s="1"/>
  <c r="Z83" s="1"/>
  <c r="V85" i="15"/>
  <c r="W85" s="1"/>
  <c r="Z85" s="1"/>
  <c r="W74" i="14"/>
  <c r="Z74" s="1"/>
  <c r="V96" i="15"/>
  <c r="W96" s="1"/>
  <c r="Z96" s="1"/>
  <c r="V120"/>
  <c r="W120" s="1"/>
  <c r="Z120" s="1"/>
  <c r="V150"/>
  <c r="W150" s="1"/>
  <c r="Z150" s="1"/>
  <c r="V49" i="16"/>
  <c r="W49" s="1"/>
  <c r="Z49" s="1"/>
  <c r="V120" i="12"/>
  <c r="W120" s="1"/>
  <c r="Z120" s="1"/>
  <c r="V97" i="13"/>
  <c r="W97" s="1"/>
  <c r="V88" i="16"/>
  <c r="W88" s="1"/>
  <c r="Z88" s="1"/>
  <c r="W41"/>
  <c r="Z41" s="1"/>
  <c r="V49" i="10"/>
  <c r="W49" s="1"/>
  <c r="Z49" s="1"/>
  <c r="V7" i="11"/>
  <c r="W7" s="1"/>
  <c r="T212"/>
  <c r="U212" s="1"/>
  <c r="W212" s="1"/>
  <c r="Z212" s="1"/>
  <c r="Y10" i="13"/>
  <c r="Y171"/>
  <c r="Y177"/>
  <c r="T200"/>
  <c r="U200" s="1"/>
  <c r="W200" s="1"/>
  <c r="Z200" s="1"/>
  <c r="T178" i="14"/>
  <c r="U178" s="1"/>
  <c r="V62" i="15"/>
  <c r="W62" s="1"/>
  <c r="Z62" s="1"/>
  <c r="Y212"/>
  <c r="V15" i="11"/>
  <c r="W15" s="1"/>
  <c r="Z15" s="1"/>
  <c r="V124" i="14"/>
  <c r="W124" s="1"/>
  <c r="Z124" s="1"/>
  <c r="T16" i="15"/>
  <c r="U16" s="1"/>
  <c r="W16" s="1"/>
  <c r="Z16" s="1"/>
  <c r="T6" i="16"/>
  <c r="U6" s="1"/>
  <c r="W6" s="1"/>
  <c r="Z6" s="1"/>
  <c r="V26" i="10"/>
  <c r="W26" s="1"/>
  <c r="V49" i="13"/>
  <c r="W49" s="1"/>
  <c r="Z49" s="1"/>
  <c r="V171"/>
  <c r="W171" s="1"/>
  <c r="V177"/>
  <c r="W177" s="1"/>
  <c r="Y137" i="14"/>
  <c r="V212" i="15"/>
  <c r="W212" s="1"/>
  <c r="V104" i="16"/>
  <c r="W104" s="1"/>
  <c r="Z104" s="1"/>
  <c r="T193"/>
  <c r="U193" s="1"/>
  <c r="W193" s="1"/>
  <c r="Z193" s="1"/>
  <c r="V26" i="11"/>
  <c r="Y49" i="14"/>
  <c r="Z49" s="1"/>
  <c r="Y97"/>
  <c r="Y189"/>
  <c r="Y118" i="15"/>
  <c r="Y185" i="16"/>
  <c r="V137" i="14"/>
  <c r="W137" s="1"/>
  <c r="Z137" s="1"/>
  <c r="Y19" i="15"/>
  <c r="Y74"/>
  <c r="T97" i="16"/>
  <c r="U97" s="1"/>
  <c r="T4" i="13"/>
  <c r="U4" s="1"/>
  <c r="W4" s="1"/>
  <c r="T48" i="16"/>
  <c r="U48" s="1"/>
  <c r="W97"/>
  <c r="Z97" s="1"/>
  <c r="V124" i="15"/>
  <c r="W124" s="1"/>
  <c r="Z124" s="1"/>
  <c r="V11" i="16"/>
  <c r="W11" s="1"/>
  <c r="Z11" s="1"/>
  <c r="Y40"/>
  <c r="Z40" s="1"/>
  <c r="Y172"/>
  <c r="Z172" s="1"/>
  <c r="Y178"/>
  <c r="Z178" s="1"/>
  <c r="V185"/>
  <c r="W185" s="1"/>
  <c r="Z185" s="1"/>
  <c r="Y197" i="13"/>
  <c r="Z197" s="1"/>
  <c r="Y212"/>
  <c r="Z212" s="1"/>
  <c r="T25" i="15"/>
  <c r="U25" s="1"/>
  <c r="W25" s="1"/>
  <c r="Z25" s="1"/>
  <c r="T80"/>
  <c r="U80" s="1"/>
  <c r="W80" s="1"/>
  <c r="Z80" s="1"/>
  <c r="V130"/>
  <c r="W130" s="1"/>
  <c r="Z130" s="1"/>
  <c r="T185"/>
  <c r="U185" s="1"/>
  <c r="W185" s="1"/>
  <c r="Z185" s="1"/>
  <c r="V14" i="16"/>
  <c r="W14" s="1"/>
  <c r="Z14" s="1"/>
  <c r="V6" i="14"/>
  <c r="W6" s="1"/>
  <c r="Z6" s="1"/>
  <c r="V165" i="16"/>
  <c r="W165" s="1"/>
  <c r="Z165" s="1"/>
  <c r="W88" i="12"/>
  <c r="Z88" s="1"/>
  <c r="T24"/>
  <c r="U24" s="1"/>
  <c r="W24" s="1"/>
  <c r="Z24" s="1"/>
  <c r="T12" i="13"/>
  <c r="U12" s="1"/>
  <c r="T88" i="12"/>
  <c r="U88" s="1"/>
  <c r="T137" i="15"/>
  <c r="U137" s="1"/>
  <c r="W137" s="1"/>
  <c r="Z137" s="1"/>
  <c r="V171" i="12"/>
  <c r="W171" s="1"/>
  <c r="Z171" s="1"/>
  <c r="V41" i="15"/>
  <c r="V195"/>
  <c r="W195" s="1"/>
  <c r="X4" i="6" l="1"/>
  <c r="Z4"/>
  <c r="X4" i="13"/>
  <c r="Z4"/>
  <c r="AA4" i="15"/>
  <c r="AA5" s="1"/>
  <c r="K5"/>
  <c r="X5" s="1"/>
  <c r="Z4" i="9"/>
  <c r="X4"/>
  <c r="AA4" i="4"/>
  <c r="K5"/>
  <c r="X5" s="1"/>
  <c r="Z7" i="11"/>
  <c r="W194"/>
  <c r="Z194" s="1"/>
  <c r="W180"/>
  <c r="Z180" s="1"/>
  <c r="W21" i="7"/>
  <c r="Z21" s="1"/>
  <c r="W165" i="8"/>
  <c r="Z165" s="1"/>
  <c r="W39" i="6"/>
  <c r="Z39" s="1"/>
  <c r="Z178" i="2"/>
  <c r="W61" i="3"/>
  <c r="Z61" s="1"/>
  <c r="Z63"/>
  <c r="Z47"/>
  <c r="Z81" i="14"/>
  <c r="W9" i="12"/>
  <c r="Z9" s="1"/>
  <c r="Z85" i="9"/>
  <c r="Z48" i="7"/>
  <c r="Z105" i="6"/>
  <c r="W32"/>
  <c r="Z32" s="1"/>
  <c r="Z186" i="2"/>
  <c r="W158" i="4"/>
  <c r="Z158" s="1"/>
  <c r="W117" i="5"/>
  <c r="Z117" s="1"/>
  <c r="Z87" i="3"/>
  <c r="Z107"/>
  <c r="Z130" i="7"/>
  <c r="Z194" i="2"/>
  <c r="W72" i="5"/>
  <c r="Z72" s="1"/>
  <c r="Z38" i="3"/>
  <c r="AA4" i="2"/>
  <c r="K5"/>
  <c r="X5" s="1"/>
  <c r="Z10" i="13"/>
  <c r="Z12" i="10"/>
  <c r="Z4" i="11"/>
  <c r="X4"/>
  <c r="W106" i="14"/>
  <c r="Z106" s="1"/>
  <c r="W96" i="16"/>
  <c r="Z96" s="1"/>
  <c r="Z178" i="9"/>
  <c r="W160" i="6"/>
  <c r="Z160" s="1"/>
  <c r="W11" i="10"/>
  <c r="Z11" s="1"/>
  <c r="W198" i="6"/>
  <c r="Z198" s="1"/>
  <c r="W172" i="7"/>
  <c r="Z172" s="1"/>
  <c r="W13" i="5"/>
  <c r="Z13" s="1"/>
  <c r="W153"/>
  <c r="Z153" s="1"/>
  <c r="W8" i="6"/>
  <c r="Z8" s="1"/>
  <c r="W203"/>
  <c r="Z203" s="1"/>
  <c r="W214"/>
  <c r="Z214" s="1"/>
  <c r="Z183"/>
  <c r="W15" i="12"/>
  <c r="Z15" s="1"/>
  <c r="W165" i="15"/>
  <c r="Z165" s="1"/>
  <c r="W150" i="8"/>
  <c r="Z150" s="1"/>
  <c r="W13" i="7"/>
  <c r="Z13" s="1"/>
  <c r="Z49"/>
  <c r="W114"/>
  <c r="Z114" s="1"/>
  <c r="W138" i="5"/>
  <c r="Z138" s="1"/>
  <c r="Z139" i="3"/>
  <c r="W192" i="5"/>
  <c r="Z192" s="1"/>
  <c r="Z46" i="4"/>
  <c r="Z41"/>
  <c r="W212" i="2"/>
  <c r="Z212" s="1"/>
  <c r="Z36" i="3"/>
  <c r="W66" i="4"/>
  <c r="Z66" s="1"/>
  <c r="Z86" i="3"/>
  <c r="AA4" i="14"/>
  <c r="AA5" s="1"/>
  <c r="K5"/>
  <c r="X5" s="1"/>
  <c r="X4" i="8"/>
  <c r="Z4"/>
  <c r="Z121" i="5"/>
  <c r="W78" i="9"/>
  <c r="Z78" s="1"/>
  <c r="Z9" i="8"/>
  <c r="W18" i="5"/>
  <c r="Z18" s="1"/>
  <c r="Z150" i="3"/>
  <c r="Z138" i="4"/>
  <c r="W62" i="16"/>
  <c r="Z62" s="1"/>
  <c r="W11" i="12"/>
  <c r="Z11" s="1"/>
  <c r="Z12"/>
  <c r="W90" i="11"/>
  <c r="Z90" s="1"/>
  <c r="Z41" i="9"/>
  <c r="W145" i="4"/>
  <c r="Z145" s="1"/>
  <c r="W165" i="3"/>
  <c r="Z165" s="1"/>
  <c r="Z114" i="13"/>
  <c r="Z201" i="6"/>
  <c r="Z106" i="10"/>
  <c r="W80" i="5"/>
  <c r="Z80" s="1"/>
  <c r="Z202" i="8"/>
  <c r="W48" i="5"/>
  <c r="Z48" s="1"/>
  <c r="Z81" i="4"/>
  <c r="Z186" i="3"/>
  <c r="W117" i="4"/>
  <c r="Z117" s="1"/>
  <c r="W11"/>
  <c r="Z11" s="1"/>
  <c r="W70" i="6"/>
  <c r="Z70" s="1"/>
  <c r="W149" i="4"/>
  <c r="Z149" s="1"/>
  <c r="Z196" i="3"/>
  <c r="Z190"/>
  <c r="Z200" i="15"/>
  <c r="W160" i="4"/>
  <c r="Z160" s="1"/>
  <c r="Z125"/>
  <c r="W95" i="5"/>
  <c r="Z95" s="1"/>
  <c r="Z68" i="6"/>
  <c r="Z26" i="10"/>
  <c r="W185"/>
  <c r="Z185" s="1"/>
  <c r="W108" i="16"/>
  <c r="Z108" s="1"/>
  <c r="W5" i="12"/>
  <c r="Z5" s="1"/>
  <c r="W21" i="8"/>
  <c r="Z21" s="1"/>
  <c r="Z11" i="9"/>
  <c r="Z140" i="6"/>
  <c r="Z34" i="2"/>
  <c r="Z9" i="4"/>
  <c r="W10"/>
  <c r="Z10" s="1"/>
  <c r="W14" i="6"/>
  <c r="Z14" s="1"/>
  <c r="Z193" i="4"/>
  <c r="Z14" i="12"/>
  <c r="W49" i="9"/>
  <c r="Z49" s="1"/>
  <c r="Z15"/>
  <c r="Z19"/>
  <c r="Z204" i="3"/>
  <c r="Z171" i="13"/>
  <c r="Z145" i="9"/>
  <c r="Z31" i="6"/>
  <c r="W106" i="5"/>
  <c r="Z106" s="1"/>
  <c r="Z4" i="10"/>
  <c r="X4"/>
  <c r="Z177" i="13"/>
  <c r="W80"/>
  <c r="Z80" s="1"/>
  <c r="W35" i="10"/>
  <c r="Z35" s="1"/>
  <c r="Z165" i="9"/>
  <c r="W206" i="6"/>
  <c r="Z206" s="1"/>
  <c r="W104" i="8"/>
  <c r="Z104" s="1"/>
  <c r="Z199" i="4"/>
  <c r="X4" i="12"/>
  <c r="Z4"/>
  <c r="W193" i="15"/>
  <c r="Z193" s="1"/>
  <c r="W97" i="11"/>
  <c r="Z97" s="1"/>
  <c r="Z86" i="6"/>
  <c r="W161" i="5"/>
  <c r="Z161" s="1"/>
  <c r="Z66" i="2"/>
  <c r="Z116" i="4"/>
  <c r="W129" i="5"/>
  <c r="Z129" s="1"/>
  <c r="Z212" i="15"/>
  <c r="W74" i="13"/>
  <c r="Z74" s="1"/>
  <c r="W180" i="10"/>
  <c r="Z180" s="1"/>
  <c r="W200"/>
  <c r="Z200" s="1"/>
  <c r="W128" i="5"/>
  <c r="Z128" s="1"/>
  <c r="Z130" i="3"/>
  <c r="Z131" i="4"/>
  <c r="W189" i="9"/>
  <c r="Z189" s="1"/>
  <c r="Z90" i="4"/>
  <c r="Z96" i="2"/>
  <c r="X4" i="7"/>
  <c r="Z4"/>
  <c r="W212" i="14"/>
  <c r="Z212" s="1"/>
  <c r="W142" i="11"/>
  <c r="Z142" s="1"/>
  <c r="Z35" i="5"/>
  <c r="Z98" i="3"/>
  <c r="X4" i="5"/>
  <c r="Z4"/>
  <c r="X4" i="3"/>
  <c r="Z4"/>
  <c r="W26" i="11"/>
  <c r="Z26" s="1"/>
  <c r="W150" i="14"/>
  <c r="Z150" s="1"/>
  <c r="W41" i="12"/>
  <c r="Z41" s="1"/>
  <c r="Z64" i="13"/>
  <c r="W212" i="10"/>
  <c r="Z212" s="1"/>
  <c r="W172"/>
  <c r="Z172" s="1"/>
  <c r="Z176" i="5"/>
  <c r="W40" i="9"/>
  <c r="Z40" s="1"/>
  <c r="Z98" i="2"/>
  <c r="W5" i="5"/>
  <c r="Z5" s="1"/>
  <c r="W199"/>
  <c r="Z199" s="1"/>
  <c r="W144"/>
  <c r="Z144" s="1"/>
  <c r="Z84" i="4"/>
  <c r="W200"/>
  <c r="Z200" s="1"/>
  <c r="Z158" i="5"/>
  <c r="W152"/>
  <c r="Z152" s="1"/>
  <c r="W79" i="4"/>
  <c r="Z79" s="1"/>
  <c r="Z8" i="2"/>
  <c r="W83" i="13"/>
  <c r="Z83" s="1"/>
  <c r="W89" i="12"/>
  <c r="Z89" s="1"/>
  <c r="W129" i="11"/>
  <c r="Z129" s="1"/>
  <c r="Z40" i="14"/>
  <c r="W189" i="6"/>
  <c r="Z189" s="1"/>
  <c r="W152"/>
  <c r="Z152" s="1"/>
  <c r="W147"/>
  <c r="Z147" s="1"/>
  <c r="Z106" i="2"/>
  <c r="Z201" i="4"/>
  <c r="W165" i="5"/>
  <c r="Z165" s="1"/>
  <c r="W125"/>
  <c r="Z125" s="1"/>
  <c r="Z40" i="2"/>
  <c r="Z4" i="16"/>
  <c r="X4"/>
  <c r="Z189" i="14"/>
  <c r="W35" i="12"/>
  <c r="Z35" s="1"/>
  <c r="W207" i="6"/>
  <c r="Z207" s="1"/>
  <c r="Z5" i="2"/>
  <c r="Z72"/>
  <c r="W24" i="15"/>
  <c r="Z24" s="1"/>
  <c r="Z205" i="4"/>
  <c r="Z37" i="2"/>
  <c r="Z104"/>
  <c r="W195" i="10"/>
  <c r="Z195" s="1"/>
  <c r="W6" i="12"/>
  <c r="Z6" s="1"/>
  <c r="Z178" i="8"/>
  <c r="W164" i="4"/>
  <c r="Z164" s="1"/>
  <c r="Z130" i="2"/>
  <c r="W116" i="5"/>
  <c r="Z116" s="1"/>
  <c r="Z109" i="4"/>
  <c r="W93" i="3"/>
  <c r="Z93" s="1"/>
  <c r="W7" i="6"/>
  <c r="Z7" s="1"/>
  <c r="W147" i="5"/>
  <c r="Z147" s="1"/>
  <c r="Z69" i="2"/>
  <c r="Z136"/>
  <c r="W41" i="15"/>
  <c r="Z41" s="1"/>
  <c r="Z97" i="13"/>
  <c r="W66" i="15"/>
  <c r="Z66" s="1"/>
  <c r="W14" i="13"/>
  <c r="Z14" s="1"/>
  <c r="W197" i="12"/>
  <c r="Z197" s="1"/>
  <c r="W40" i="7"/>
  <c r="Z40" s="1"/>
  <c r="W12" i="5"/>
  <c r="Z12" s="1"/>
  <c r="W109"/>
  <c r="Z109" s="1"/>
  <c r="Z138" i="2"/>
  <c r="Z202" i="3"/>
  <c r="Z101" i="2"/>
  <c r="Z168"/>
  <c r="Z195" i="15"/>
  <c r="W202"/>
  <c r="Z202" s="1"/>
  <c r="W40" i="13"/>
  <c r="Z40" s="1"/>
  <c r="Z202" i="5"/>
  <c r="Z133" i="2"/>
  <c r="Z200"/>
  <c r="W25" i="14"/>
  <c r="Z25" s="1"/>
  <c r="W64"/>
  <c r="Z64" s="1"/>
  <c r="Z145" i="16"/>
  <c r="Z118" i="15"/>
  <c r="Z62" i="10"/>
  <c r="W194" i="13"/>
  <c r="Z194" s="1"/>
  <c r="Z178" i="7"/>
  <c r="Z154" i="2"/>
  <c r="Z114" i="5"/>
  <c r="Z165" i="2"/>
  <c r="Z99" i="12"/>
  <c r="W202" i="13"/>
  <c r="Z202" s="1"/>
  <c r="W124"/>
  <c r="Z124" s="1"/>
  <c r="W99"/>
  <c r="Z99" s="1"/>
  <c r="W175" i="6"/>
  <c r="Z175" s="1"/>
  <c r="Z171" i="8"/>
  <c r="Z162" i="2"/>
  <c r="Z197"/>
  <c r="Z27" i="3"/>
  <c r="Z150" i="9"/>
  <c r="Z104" i="14"/>
  <c r="Z194" i="7"/>
  <c r="Z170" i="2"/>
  <c r="W5" i="6"/>
  <c r="Z5" s="1"/>
  <c r="AB4" l="1"/>
  <c r="K5"/>
  <c r="X5" s="1"/>
  <c r="AA4"/>
  <c r="AA4" i="13"/>
  <c r="AA5" s="1"/>
  <c r="K5"/>
  <c r="X5" s="1"/>
  <c r="AA4" i="10"/>
  <c r="AA5" s="1"/>
  <c r="K5"/>
  <c r="X5" s="1"/>
  <c r="AB4" i="5"/>
  <c r="K5"/>
  <c r="X5" s="1"/>
  <c r="AA4"/>
  <c r="AA5" s="1"/>
  <c r="AA6" i="15"/>
  <c r="AA5" i="2"/>
  <c r="AA6" s="1"/>
  <c r="AB4" i="15"/>
  <c r="AA4" i="3"/>
  <c r="AA5" s="1"/>
  <c r="K5"/>
  <c r="X5" s="1"/>
  <c r="AB5" i="15"/>
  <c r="K6"/>
  <c r="X6" s="1"/>
  <c r="AB4" i="2"/>
  <c r="AA4" i="16"/>
  <c r="AA5" s="1"/>
  <c r="K5"/>
  <c r="X5" s="1"/>
  <c r="K6" i="2"/>
  <c r="X6" s="1"/>
  <c r="AB4" i="9"/>
  <c r="AA4"/>
  <c r="AA5" s="1"/>
  <c r="K5"/>
  <c r="X5" s="1"/>
  <c r="AB4" i="14"/>
  <c r="AA5" i="4"/>
  <c r="AB5" i="14"/>
  <c r="K6"/>
  <c r="X6" s="1"/>
  <c r="AB4" i="4"/>
  <c r="K5" i="12"/>
  <c r="X5" s="1"/>
  <c r="AA4"/>
  <c r="AB4" i="8"/>
  <c r="AA4"/>
  <c r="AA5" s="1"/>
  <c r="K5"/>
  <c r="X5" s="1"/>
  <c r="AA4" i="11"/>
  <c r="AA5" s="1"/>
  <c r="K5"/>
  <c r="X5" s="1"/>
  <c r="AB5" i="4"/>
  <c r="K6"/>
  <c r="X6" s="1"/>
  <c r="AA4" i="7"/>
  <c r="AA5" s="1"/>
  <c r="K5"/>
  <c r="X5" s="1"/>
  <c r="AB6" i="14" l="1"/>
  <c r="K7"/>
  <c r="X7" s="1"/>
  <c r="AB5" i="11"/>
  <c r="K6"/>
  <c r="X6" s="1"/>
  <c r="AA6" s="1"/>
  <c r="AA6" i="8"/>
  <c r="AB5" i="12"/>
  <c r="K6"/>
  <c r="X6" s="1"/>
  <c r="AA7" i="15"/>
  <c r="AB4" i="7"/>
  <c r="AA6" i="3"/>
  <c r="AB4"/>
  <c r="AB5"/>
  <c r="K6"/>
  <c r="X6" s="1"/>
  <c r="AA5" i="12"/>
  <c r="K6" i="13"/>
  <c r="X6" s="1"/>
  <c r="AB5"/>
  <c r="AA6" i="16"/>
  <c r="AB6" i="15"/>
  <c r="K7"/>
  <c r="X7" s="1"/>
  <c r="AA5" i="6"/>
  <c r="AA6" s="1"/>
  <c r="AB4" i="16"/>
  <c r="K6" i="8"/>
  <c r="X6" s="1"/>
  <c r="AB5"/>
  <c r="AB5" i="16"/>
  <c r="K6"/>
  <c r="X6" s="1"/>
  <c r="AB4" i="10"/>
  <c r="AB5" i="2"/>
  <c r="K6" i="6"/>
  <c r="X6" s="1"/>
  <c r="AB6" i="2"/>
  <c r="K7"/>
  <c r="X7" s="1"/>
  <c r="AA7" s="1"/>
  <c r="AB4" i="11"/>
  <c r="AB5" i="10"/>
  <c r="K6"/>
  <c r="X6" s="1"/>
  <c r="K6" i="7"/>
  <c r="X6" s="1"/>
  <c r="AA6" s="1"/>
  <c r="AB5"/>
  <c r="AA6" i="13"/>
  <c r="AB6" i="4"/>
  <c r="K7"/>
  <c r="X7" s="1"/>
  <c r="AB4" i="12"/>
  <c r="AA6" i="9"/>
  <c r="K6"/>
  <c r="X6" s="1"/>
  <c r="AB5"/>
  <c r="K6" i="5"/>
  <c r="X6" s="1"/>
  <c r="AA6" s="1"/>
  <c r="AB5"/>
  <c r="AA6" i="14"/>
  <c r="AB4" i="13"/>
  <c r="AA6" i="4"/>
  <c r="AA7" i="11" l="1"/>
  <c r="AA7" i="5"/>
  <c r="AA8" i="2"/>
  <c r="AB7" i="14"/>
  <c r="K8"/>
  <c r="X8" s="1"/>
  <c r="K7" i="10"/>
  <c r="X7" s="1"/>
  <c r="AB6"/>
  <c r="AA7" i="13"/>
  <c r="K7" i="12"/>
  <c r="X7" s="1"/>
  <c r="AB6" i="3"/>
  <c r="K7"/>
  <c r="X7" s="1"/>
  <c r="AA7" i="14"/>
  <c r="AB6" i="13"/>
  <c r="K7"/>
  <c r="X7" s="1"/>
  <c r="K7" i="8"/>
  <c r="X7" s="1"/>
  <c r="AB6"/>
  <c r="AA6" i="10"/>
  <c r="AB7" i="2"/>
  <c r="K8"/>
  <c r="X8" s="1"/>
  <c r="AA7" i="9"/>
  <c r="AB6" i="16"/>
  <c r="K7"/>
  <c r="X7" s="1"/>
  <c r="AB6" i="11"/>
  <c r="K7"/>
  <c r="X7" s="1"/>
  <c r="AB6" i="9"/>
  <c r="K7"/>
  <c r="X7" s="1"/>
  <c r="AA7" i="4"/>
  <c r="AA8" s="1"/>
  <c r="K7" i="7"/>
  <c r="X7" s="1"/>
  <c r="AA7" s="1"/>
  <c r="AB6"/>
  <c r="AB7" i="15"/>
  <c r="K8"/>
  <c r="X8" s="1"/>
  <c r="AA6" i="12"/>
  <c r="AA7" s="1"/>
  <c r="K8" i="4"/>
  <c r="X8" s="1"/>
  <c r="K7" i="5"/>
  <c r="X7" s="1"/>
  <c r="AB6"/>
  <c r="AA7" i="16"/>
  <c r="AB5" i="6"/>
  <c r="K7"/>
  <c r="X7" s="1"/>
  <c r="AB6"/>
  <c r="AA8" i="7" l="1"/>
  <c r="AB8" i="15"/>
  <c r="K9"/>
  <c r="X9" s="1"/>
  <c r="AB8" i="4"/>
  <c r="K9"/>
  <c r="X9" s="1"/>
  <c r="K8" i="10"/>
  <c r="X8" s="1"/>
  <c r="AB7"/>
  <c r="AB7" i="6"/>
  <c r="K8"/>
  <c r="X8" s="1"/>
  <c r="AB7" i="13"/>
  <c r="K8"/>
  <c r="X8" s="1"/>
  <c r="AB6" i="12"/>
  <c r="AB7" i="3"/>
  <c r="K8"/>
  <c r="X8" s="1"/>
  <c r="AB7" i="8"/>
  <c r="K8"/>
  <c r="X8" s="1"/>
  <c r="AA7" i="3"/>
  <c r="AA7" i="6"/>
  <c r="AB7" i="16"/>
  <c r="K8"/>
  <c r="X8" s="1"/>
  <c r="AA8" i="14"/>
  <c r="AA7" i="8"/>
  <c r="AA8" i="15"/>
  <c r="AA7" i="10"/>
  <c r="K8" i="5"/>
  <c r="X8" s="1"/>
  <c r="AB7"/>
  <c r="AB8" i="2"/>
  <c r="K9"/>
  <c r="X9" s="1"/>
  <c r="AA9" s="1"/>
  <c r="AB7" i="11"/>
  <c r="K8"/>
  <c r="X8" s="1"/>
  <c r="AA8" s="1"/>
  <c r="AB7" i="7"/>
  <c r="K8"/>
  <c r="X8" s="1"/>
  <c r="K9" i="14"/>
  <c r="X9" s="1"/>
  <c r="AB8"/>
  <c r="AB7" i="12"/>
  <c r="K8"/>
  <c r="X8" s="1"/>
  <c r="AA8" s="1"/>
  <c r="AB7" i="9"/>
  <c r="K8"/>
  <c r="X8" s="1"/>
  <c r="AB7" i="4"/>
  <c r="AA9" i="12" l="1"/>
  <c r="AA10" i="2"/>
  <c r="AA9" i="11"/>
  <c r="AB8" i="5"/>
  <c r="K9"/>
  <c r="X9" s="1"/>
  <c r="AB9" i="4"/>
  <c r="K10"/>
  <c r="X10" s="1"/>
  <c r="AB9" i="14"/>
  <c r="K10"/>
  <c r="X10" s="1"/>
  <c r="AA8" i="3"/>
  <c r="AA9" i="7"/>
  <c r="AB8" i="13"/>
  <c r="K9"/>
  <c r="X9" s="1"/>
  <c r="AA8" i="5"/>
  <c r="AB8" i="16"/>
  <c r="K9"/>
  <c r="X9" s="1"/>
  <c r="AA9" i="4"/>
  <c r="AA8" i="16"/>
  <c r="K9" i="9"/>
  <c r="X9" s="1"/>
  <c r="AA9" i="14"/>
  <c r="K10" i="15"/>
  <c r="X10" s="1"/>
  <c r="AB8" i="11"/>
  <c r="K9"/>
  <c r="X9" s="1"/>
  <c r="AB8" i="12"/>
  <c r="K9"/>
  <c r="X9" s="1"/>
  <c r="AA8" i="13"/>
  <c r="AA8" i="8"/>
  <c r="AB8" i="7"/>
  <c r="K9"/>
  <c r="X9" s="1"/>
  <c r="AA8" i="6"/>
  <c r="AA9" i="15"/>
  <c r="AA10" s="1"/>
  <c r="K9" i="10"/>
  <c r="X9" s="1"/>
  <c r="AB8"/>
  <c r="AB8" i="3"/>
  <c r="K9"/>
  <c r="X9" s="1"/>
  <c r="AA8" i="9"/>
  <c r="AA9" s="1"/>
  <c r="AB9" i="2"/>
  <c r="K10"/>
  <c r="X10" s="1"/>
  <c r="K9" i="6"/>
  <c r="X9" s="1"/>
  <c r="AB8"/>
  <c r="AB8" i="8"/>
  <c r="K9"/>
  <c r="X9" s="1"/>
  <c r="AA8" i="10"/>
  <c r="AA11" i="15" l="1"/>
  <c r="AA10" i="9"/>
  <c r="AA11" i="2"/>
  <c r="AA10" i="11"/>
  <c r="AB10" i="4"/>
  <c r="K11"/>
  <c r="X11" s="1"/>
  <c r="AB9" i="11"/>
  <c r="K10"/>
  <c r="X10" s="1"/>
  <c r="AA9" i="5"/>
  <c r="AA10" s="1"/>
  <c r="AA9" i="16"/>
  <c r="AA10" s="1"/>
  <c r="K10" i="8"/>
  <c r="X10" s="1"/>
  <c r="AB9"/>
  <c r="AB10" i="2"/>
  <c r="K11"/>
  <c r="X11" s="1"/>
  <c r="AB9" i="12"/>
  <c r="K10"/>
  <c r="X10" s="1"/>
  <c r="AA10" s="1"/>
  <c r="AA10" i="4"/>
  <c r="K10" i="16"/>
  <c r="X10" s="1"/>
  <c r="AA9" i="3"/>
  <c r="AA9" i="10"/>
  <c r="AA10" s="1"/>
  <c r="AA10" i="14"/>
  <c r="AA11" s="1"/>
  <c r="AA9" i="13"/>
  <c r="K10" i="10"/>
  <c r="X10" s="1"/>
  <c r="K11" i="14"/>
  <c r="X11" s="1"/>
  <c r="AB9" i="15"/>
  <c r="AA9" i="8"/>
  <c r="K10" i="5"/>
  <c r="X10" s="1"/>
  <c r="AA10" i="7"/>
  <c r="AB9" i="13"/>
  <c r="K10"/>
  <c r="X10" s="1"/>
  <c r="K10" i="9"/>
  <c r="X10" s="1"/>
  <c r="AB9"/>
  <c r="AB10" i="15"/>
  <c r="K11"/>
  <c r="X11" s="1"/>
  <c r="K10" i="7"/>
  <c r="X10" s="1"/>
  <c r="AB9"/>
  <c r="K10" i="3"/>
  <c r="X10" s="1"/>
  <c r="AB9"/>
  <c r="K10" i="6"/>
  <c r="X10" s="1"/>
  <c r="AB9"/>
  <c r="AB8" i="9"/>
  <c r="AA9" i="6"/>
  <c r="AA11" i="12" l="1"/>
  <c r="K11" i="8"/>
  <c r="X11" s="1"/>
  <c r="AB10"/>
  <c r="AA12" i="2"/>
  <c r="AB11" i="4"/>
  <c r="K12"/>
  <c r="X12" s="1"/>
  <c r="K11" i="13"/>
  <c r="X11" s="1"/>
  <c r="AB11" i="15"/>
  <c r="K12"/>
  <c r="X12" s="1"/>
  <c r="AB10" i="3"/>
  <c r="K11"/>
  <c r="X11" s="1"/>
  <c r="AA11" i="11"/>
  <c r="AB10" i="9"/>
  <c r="K11"/>
  <c r="X11" s="1"/>
  <c r="AA11" s="1"/>
  <c r="K11" i="11"/>
  <c r="X11" s="1"/>
  <c r="AB10"/>
  <c r="AA11" i="4"/>
  <c r="AB10" i="14"/>
  <c r="AB11"/>
  <c r="K12"/>
  <c r="X12" s="1"/>
  <c r="AA11" i="16"/>
  <c r="AA10" i="6"/>
  <c r="AA11" s="1"/>
  <c r="AB9" i="16"/>
  <c r="K11" i="6"/>
  <c r="X11" s="1"/>
  <c r="AB10" i="12"/>
  <c r="K11"/>
  <c r="X11" s="1"/>
  <c r="AB10" i="16"/>
  <c r="K11"/>
  <c r="X11" s="1"/>
  <c r="AB10" i="10"/>
  <c r="K11"/>
  <c r="X11" s="1"/>
  <c r="AA12" i="15"/>
  <c r="AA11" i="5"/>
  <c r="AA10" i="13"/>
  <c r="AA11" s="1"/>
  <c r="AB10" i="7"/>
  <c r="K11"/>
  <c r="X11" s="1"/>
  <c r="AB11" i="2"/>
  <c r="K12"/>
  <c r="X12" s="1"/>
  <c r="AA12" i="14"/>
  <c r="AA10" i="8"/>
  <c r="AB10" i="5"/>
  <c r="K11"/>
  <c r="X11" s="1"/>
  <c r="AA10" i="3"/>
  <c r="AB9" i="10"/>
  <c r="AB9" i="5"/>
  <c r="AA12" i="9" l="1"/>
  <c r="AB11" i="8"/>
  <c r="K12"/>
  <c r="X12" s="1"/>
  <c r="K12" i="7"/>
  <c r="X12" s="1"/>
  <c r="AB11"/>
  <c r="AA13" i="14"/>
  <c r="AB11" i="5"/>
  <c r="K12"/>
  <c r="X12" s="1"/>
  <c r="K12" i="11"/>
  <c r="X12" s="1"/>
  <c r="AB11"/>
  <c r="K12" i="10"/>
  <c r="X12" s="1"/>
  <c r="AB12" i="15"/>
  <c r="K13"/>
  <c r="X13" s="1"/>
  <c r="AA13" s="1"/>
  <c r="AA12" i="4"/>
  <c r="AA13" s="1"/>
  <c r="AB10" i="13"/>
  <c r="AB10" i="6"/>
  <c r="AB11" i="13"/>
  <c r="K12"/>
  <c r="X12" s="1"/>
  <c r="AA11" i="7"/>
  <c r="K13" i="4"/>
  <c r="X13" s="1"/>
  <c r="K12" i="3"/>
  <c r="X12" s="1"/>
  <c r="AB11" i="6"/>
  <c r="K12"/>
  <c r="X12" s="1"/>
  <c r="AB11" i="12"/>
  <c r="K12"/>
  <c r="X12" s="1"/>
  <c r="AA11" i="3"/>
  <c r="AA12" s="1"/>
  <c r="AA12" i="6"/>
  <c r="AB12" i="14"/>
  <c r="K13"/>
  <c r="X13" s="1"/>
  <c r="AA11" i="10"/>
  <c r="AA12" s="1"/>
  <c r="AA12" i="11"/>
  <c r="AB12" i="2"/>
  <c r="K13"/>
  <c r="X13" s="1"/>
  <c r="AB11" i="9"/>
  <c r="K12"/>
  <c r="X12" s="1"/>
  <c r="AB11" i="16"/>
  <c r="K12"/>
  <c r="X12" s="1"/>
  <c r="AA12" i="13"/>
  <c r="AA11" i="8"/>
  <c r="AA14" i="15" l="1"/>
  <c r="AA13" i="9"/>
  <c r="AB13" i="14"/>
  <c r="K14"/>
  <c r="X14" s="1"/>
  <c r="AB12" i="5"/>
  <c r="K13"/>
  <c r="X13" s="1"/>
  <c r="AB12" i="10"/>
  <c r="K13"/>
  <c r="X13" s="1"/>
  <c r="AB12" i="16"/>
  <c r="K13"/>
  <c r="X13" s="1"/>
  <c r="K13" i="11"/>
  <c r="X13" s="1"/>
  <c r="AB12"/>
  <c r="AA12" i="8"/>
  <c r="AA12" i="16"/>
  <c r="K13" i="7"/>
  <c r="X13" s="1"/>
  <c r="K14" i="2"/>
  <c r="X14" s="1"/>
  <c r="AB12" i="9"/>
  <c r="K13"/>
  <c r="X13" s="1"/>
  <c r="AB12" i="13"/>
  <c r="K13"/>
  <c r="X13" s="1"/>
  <c r="AB13" i="4"/>
  <c r="K14"/>
  <c r="X14" s="1"/>
  <c r="AA14" s="1"/>
  <c r="AA13" i="3"/>
  <c r="AB12"/>
  <c r="K13"/>
  <c r="X13" s="1"/>
  <c r="AB11" i="10"/>
  <c r="AA12" i="5"/>
  <c r="AB12" i="8"/>
  <c r="K13"/>
  <c r="X13" s="1"/>
  <c r="AA13" i="13"/>
  <c r="AA12" i="7"/>
  <c r="AA13" s="1"/>
  <c r="AB12" i="6"/>
  <c r="K13"/>
  <c r="X13" s="1"/>
  <c r="AB12" i="4"/>
  <c r="AB11" i="3"/>
  <c r="K13" i="12"/>
  <c r="X13" s="1"/>
  <c r="AB12"/>
  <c r="AA13" i="2"/>
  <c r="AA14" s="1"/>
  <c r="AB13" i="15"/>
  <c r="K14"/>
  <c r="X14" s="1"/>
  <c r="AA12" i="12"/>
  <c r="AA15" i="4" l="1"/>
  <c r="K14" i="8"/>
  <c r="X14" s="1"/>
  <c r="AB13"/>
  <c r="AA15" i="15"/>
  <c r="AB13" i="10"/>
  <c r="K14"/>
  <c r="X14" s="1"/>
  <c r="AB13" i="6"/>
  <c r="K14"/>
  <c r="X14" s="1"/>
  <c r="AB14" i="15"/>
  <c r="K15"/>
  <c r="X15" s="1"/>
  <c r="AA13" i="12"/>
  <c r="AA14" s="1"/>
  <c r="AB14" i="14"/>
  <c r="K15"/>
  <c r="X15" s="1"/>
  <c r="AB12" i="7"/>
  <c r="K14" i="9"/>
  <c r="X14" s="1"/>
  <c r="AB13"/>
  <c r="AB13" i="11"/>
  <c r="K14"/>
  <c r="X14" s="1"/>
  <c r="AB14" i="2"/>
  <c r="K15"/>
  <c r="X15" s="1"/>
  <c r="AA14" i="7"/>
  <c r="AA14" i="14"/>
  <c r="AA13" i="8"/>
  <c r="K14" i="7"/>
  <c r="X14" s="1"/>
  <c r="AB13"/>
  <c r="AB13" i="13"/>
  <c r="K14"/>
  <c r="X14" s="1"/>
  <c r="AA13" i="6"/>
  <c r="AA13" i="11"/>
  <c r="K14" i="16"/>
  <c r="X14" s="1"/>
  <c r="AA13"/>
  <c r="AB13" i="3"/>
  <c r="K14"/>
  <c r="X14" s="1"/>
  <c r="AA14" i="13"/>
  <c r="AA13" i="10"/>
  <c r="AA14" s="1"/>
  <c r="AA15" i="2"/>
  <c r="AB14" i="4"/>
  <c r="K15"/>
  <c r="X15" s="1"/>
  <c r="AB13" i="2"/>
  <c r="K14" i="5"/>
  <c r="X14" s="1"/>
  <c r="AB13"/>
  <c r="K14" i="12"/>
  <c r="X14" s="1"/>
  <c r="AA13" i="5"/>
  <c r="AA14" i="16" l="1"/>
  <c r="AA15" s="1"/>
  <c r="AB14" i="8"/>
  <c r="K15"/>
  <c r="X15" s="1"/>
  <c r="AB15" i="15"/>
  <c r="K16"/>
  <c r="X16" s="1"/>
  <c r="K15" i="6"/>
  <c r="X15" s="1"/>
  <c r="AB14" i="12"/>
  <c r="K15"/>
  <c r="X15" s="1"/>
  <c r="AA15" i="13"/>
  <c r="AB14" i="10"/>
  <c r="K15"/>
  <c r="X15" s="1"/>
  <c r="AB14" i="5"/>
  <c r="K15"/>
  <c r="X15" s="1"/>
  <c r="AA14"/>
  <c r="AA16" i="4"/>
  <c r="AA16" i="2"/>
  <c r="K15" i="3"/>
  <c r="X15" s="1"/>
  <c r="K16" i="4"/>
  <c r="X16" s="1"/>
  <c r="AB15"/>
  <c r="K15" i="9"/>
  <c r="X15" s="1"/>
  <c r="AB15" i="2"/>
  <c r="K16"/>
  <c r="X16" s="1"/>
  <c r="AB13" i="12"/>
  <c r="K15" i="16"/>
  <c r="X15" s="1"/>
  <c r="AB14" i="13"/>
  <c r="K15"/>
  <c r="X15" s="1"/>
  <c r="AA15" i="14"/>
  <c r="AA16" s="1"/>
  <c r="AA14" i="3"/>
  <c r="AA15" s="1"/>
  <c r="AA14" i="9"/>
  <c r="AA15" s="1"/>
  <c r="AB14" i="7"/>
  <c r="K15"/>
  <c r="X15" s="1"/>
  <c r="AA15" s="1"/>
  <c r="AA14" i="6"/>
  <c r="AA15" s="1"/>
  <c r="K16" i="14"/>
  <c r="X16" s="1"/>
  <c r="AB14" i="11"/>
  <c r="K15"/>
  <c r="X15" s="1"/>
  <c r="AA14"/>
  <c r="AA14" i="8"/>
  <c r="AB13" i="16"/>
  <c r="AA16" i="7" l="1"/>
  <c r="AB16" i="15"/>
  <c r="K17"/>
  <c r="X17" s="1"/>
  <c r="AA17" i="14"/>
  <c r="AA18" s="1"/>
  <c r="AB15"/>
  <c r="AA15" i="11"/>
  <c r="AA16" s="1"/>
  <c r="AA16" i="13"/>
  <c r="AB15" i="8"/>
  <c r="K16"/>
  <c r="X16" s="1"/>
  <c r="AB15" i="10"/>
  <c r="K16"/>
  <c r="X16" s="1"/>
  <c r="AB16" i="2"/>
  <c r="K17"/>
  <c r="X17" s="1"/>
  <c r="AA17" i="4"/>
  <c r="K16" i="5"/>
  <c r="X16" s="1"/>
  <c r="AB16" i="4"/>
  <c r="K17"/>
  <c r="X17" s="1"/>
  <c r="AB14" i="6"/>
  <c r="AB14" i="9"/>
  <c r="AA15" i="10"/>
  <c r="AB15" i="6"/>
  <c r="K16"/>
  <c r="X16" s="1"/>
  <c r="K16" i="11"/>
  <c r="X16" s="1"/>
  <c r="AA16" i="15"/>
  <c r="AB15" i="7"/>
  <c r="K16"/>
  <c r="X16" s="1"/>
  <c r="K17" i="14"/>
  <c r="X17" s="1"/>
  <c r="AB16"/>
  <c r="AB14" i="16"/>
  <c r="AB15" i="9"/>
  <c r="K16"/>
  <c r="X16" s="1"/>
  <c r="AA16" s="1"/>
  <c r="AB15" i="16"/>
  <c r="K16"/>
  <c r="X16" s="1"/>
  <c r="AA15" i="5"/>
  <c r="AA16" s="1"/>
  <c r="AB14" i="3"/>
  <c r="AB15" i="12"/>
  <c r="K16"/>
  <c r="X16" s="1"/>
  <c r="AA16" i="3"/>
  <c r="AA15" i="8"/>
  <c r="AA17" i="2"/>
  <c r="AB15" i="3"/>
  <c r="K16"/>
  <c r="X16" s="1"/>
  <c r="K16" i="13"/>
  <c r="X16" s="1"/>
  <c r="AB15"/>
  <c r="AA16" i="6"/>
  <c r="AA15" i="12"/>
  <c r="AA17" i="9" l="1"/>
  <c r="AA18" s="1"/>
  <c r="AA19" i="14"/>
  <c r="AA20" s="1"/>
  <c r="AA21" s="1"/>
  <c r="AA22" s="1"/>
  <c r="AA23" s="1"/>
  <c r="AA17" i="11"/>
  <c r="AA18" s="1"/>
  <c r="K17" i="8"/>
  <c r="X17" s="1"/>
  <c r="AB16"/>
  <c r="AB16" i="16"/>
  <c r="K17"/>
  <c r="X17" s="1"/>
  <c r="AB16" i="13"/>
  <c r="K17"/>
  <c r="X17" s="1"/>
  <c r="AA17" s="1"/>
  <c r="AA18" s="1"/>
  <c r="AA17" i="5"/>
  <c r="AB16" i="11"/>
  <c r="K17"/>
  <c r="X17" s="1"/>
  <c r="AA17" i="3"/>
  <c r="AB15" i="5"/>
  <c r="AB17" i="15"/>
  <c r="K18"/>
  <c r="X18" s="1"/>
  <c r="K19" s="1"/>
  <c r="X19" s="1"/>
  <c r="AB16" i="3"/>
  <c r="K17"/>
  <c r="X17" s="1"/>
  <c r="AA16" i="8"/>
  <c r="AA16" i="12"/>
  <c r="AB16" i="9"/>
  <c r="K17"/>
  <c r="X17" s="1"/>
  <c r="K17" i="5"/>
  <c r="X17" s="1"/>
  <c r="AB16"/>
  <c r="AB17" i="4"/>
  <c r="K18"/>
  <c r="X18" s="1"/>
  <c r="AA17" i="15"/>
  <c r="AA18" s="1"/>
  <c r="K17" i="10"/>
  <c r="X17" s="1"/>
  <c r="K17" i="6"/>
  <c r="X17" s="1"/>
  <c r="AB16"/>
  <c r="AB17" i="2"/>
  <c r="K18"/>
  <c r="X18" s="1"/>
  <c r="AA18" s="1"/>
  <c r="K17" i="7"/>
  <c r="X17" s="1"/>
  <c r="AA17" s="1"/>
  <c r="AA18" s="1"/>
  <c r="AB16"/>
  <c r="AB17" i="14"/>
  <c r="K18"/>
  <c r="X18" s="1"/>
  <c r="K19" s="1"/>
  <c r="X19" s="1"/>
  <c r="AA16" i="16"/>
  <c r="AA17" i="6"/>
  <c r="AB16" i="12"/>
  <c r="K17"/>
  <c r="X17" s="1"/>
  <c r="AA16" i="10"/>
  <c r="AA17" s="1"/>
  <c r="AA18" s="1"/>
  <c r="AB15" i="11"/>
  <c r="AA19" i="7" l="1"/>
  <c r="AA20" s="1"/>
  <c r="AA19" i="13"/>
  <c r="AA20" s="1"/>
  <c r="AA21" s="1"/>
  <c r="AA22" s="1"/>
  <c r="AA23" s="1"/>
  <c r="AA19" i="2"/>
  <c r="AA19" i="9"/>
  <c r="AA20" s="1"/>
  <c r="AB18" i="2"/>
  <c r="K19"/>
  <c r="X19" s="1"/>
  <c r="AB17" i="11"/>
  <c r="K18"/>
  <c r="X18" s="1"/>
  <c r="K19" s="1"/>
  <c r="X19" s="1"/>
  <c r="AA17" i="16"/>
  <c r="AA18" s="1"/>
  <c r="AA19" s="1"/>
  <c r="AA20" s="1"/>
  <c r="AA21" s="1"/>
  <c r="AA22" s="1"/>
  <c r="AA23" s="1"/>
  <c r="K18"/>
  <c r="X18" s="1"/>
  <c r="K19" s="1"/>
  <c r="X19" s="1"/>
  <c r="K18" i="8"/>
  <c r="X18" s="1"/>
  <c r="K19" s="1"/>
  <c r="X19" s="1"/>
  <c r="AB17" i="13"/>
  <c r="K18"/>
  <c r="X18" s="1"/>
  <c r="K19" s="1"/>
  <c r="X19" s="1"/>
  <c r="K18" i="9"/>
  <c r="X18" s="1"/>
  <c r="K19" s="1"/>
  <c r="X19" s="1"/>
  <c r="AB17"/>
  <c r="AB18" i="4"/>
  <c r="K19"/>
  <c r="X19" s="1"/>
  <c r="AA18"/>
  <c r="K18" i="7"/>
  <c r="X18" s="1"/>
  <c r="K19" s="1"/>
  <c r="X19" s="1"/>
  <c r="AB17"/>
  <c r="K20" i="15"/>
  <c r="X20" s="1"/>
  <c r="K21" s="1"/>
  <c r="X21" s="1"/>
  <c r="K22" s="1"/>
  <c r="X22" s="1"/>
  <c r="K23" s="1"/>
  <c r="X23" s="1"/>
  <c r="K24" s="1"/>
  <c r="X24" s="1"/>
  <c r="AA19"/>
  <c r="AA20" s="1"/>
  <c r="AA21" s="1"/>
  <c r="AA22" s="1"/>
  <c r="AA23" s="1"/>
  <c r="K18" i="12"/>
  <c r="X18" s="1"/>
  <c r="K19" s="1"/>
  <c r="X19" s="1"/>
  <c r="AB17" i="3"/>
  <c r="K18"/>
  <c r="X18" s="1"/>
  <c r="AA18" s="1"/>
  <c r="K18" i="5"/>
  <c r="X18" s="1"/>
  <c r="AB17"/>
  <c r="AB17" i="10"/>
  <c r="K18"/>
  <c r="X18" s="1"/>
  <c r="K19" s="1"/>
  <c r="X19" s="1"/>
  <c r="AB19" i="14"/>
  <c r="K20"/>
  <c r="X20" s="1"/>
  <c r="K21" s="1"/>
  <c r="X21" s="1"/>
  <c r="K22" s="1"/>
  <c r="X22" s="1"/>
  <c r="K23" s="1"/>
  <c r="X23" s="1"/>
  <c r="K24" s="1"/>
  <c r="X24" s="1"/>
  <c r="AA17" i="8"/>
  <c r="AA18" s="1"/>
  <c r="AA19" s="1"/>
  <c r="AA20" s="1"/>
  <c r="AB16" i="10"/>
  <c r="K18" i="6"/>
  <c r="X18" s="1"/>
  <c r="AB17"/>
  <c r="AA17" i="12"/>
  <c r="AA18" s="1"/>
  <c r="AA19" s="1"/>
  <c r="AA20" s="1"/>
  <c r="AA19" i="3" l="1"/>
  <c r="K19" i="6"/>
  <c r="X19" s="1"/>
  <c r="AB18"/>
  <c r="AA21" i="7"/>
  <c r="AA22" s="1"/>
  <c r="AA23" s="1"/>
  <c r="AB19" i="8"/>
  <c r="K20"/>
  <c r="X20" s="1"/>
  <c r="K21" s="1"/>
  <c r="X21" s="1"/>
  <c r="AA21" s="1"/>
  <c r="AA22" s="1"/>
  <c r="AA23" s="1"/>
  <c r="AB24" i="14"/>
  <c r="K25"/>
  <c r="X25" s="1"/>
  <c r="AB19" i="7"/>
  <c r="K20"/>
  <c r="X20" s="1"/>
  <c r="K21" s="1"/>
  <c r="X21" s="1"/>
  <c r="AB17" i="8"/>
  <c r="AB19" i="11"/>
  <c r="K20"/>
  <c r="X20" s="1"/>
  <c r="K21" s="1"/>
  <c r="X21" s="1"/>
  <c r="AB19" i="9"/>
  <c r="K20"/>
  <c r="X20" s="1"/>
  <c r="K21" s="1"/>
  <c r="X21" s="1"/>
  <c r="K20" i="4"/>
  <c r="X20" s="1"/>
  <c r="AB17" i="16"/>
  <c r="K20" i="10"/>
  <c r="X20" s="1"/>
  <c r="K21" s="1"/>
  <c r="X21" s="1"/>
  <c r="K25" i="15"/>
  <c r="X25" s="1"/>
  <c r="AA19" i="11"/>
  <c r="AA20" s="1"/>
  <c r="AB18" i="5"/>
  <c r="K19"/>
  <c r="X19" s="1"/>
  <c r="AA24" i="14"/>
  <c r="AA18" i="5"/>
  <c r="AA18" i="6"/>
  <c r="AB19" i="15"/>
  <c r="AA19" i="4"/>
  <c r="AA20" s="1"/>
  <c r="AA24" i="15"/>
  <c r="AA25" s="1"/>
  <c r="AA21" i="12"/>
  <c r="AA22" s="1"/>
  <c r="AA23" s="1"/>
  <c r="AB17"/>
  <c r="AB19" i="2"/>
  <c r="K20"/>
  <c r="X20" s="1"/>
  <c r="AB19" i="16"/>
  <c r="K20"/>
  <c r="X20" s="1"/>
  <c r="K21" s="1"/>
  <c r="X21" s="1"/>
  <c r="K22" s="1"/>
  <c r="X22" s="1"/>
  <c r="K23" s="1"/>
  <c r="X23" s="1"/>
  <c r="K24" s="1"/>
  <c r="X24" s="1"/>
  <c r="AB19" i="13"/>
  <c r="K20"/>
  <c r="X20" s="1"/>
  <c r="K21" s="1"/>
  <c r="X21" s="1"/>
  <c r="K22" s="1"/>
  <c r="X22" s="1"/>
  <c r="K23" s="1"/>
  <c r="X23" s="1"/>
  <c r="K24" s="1"/>
  <c r="X24" s="1"/>
  <c r="K20" i="12"/>
  <c r="X20" s="1"/>
  <c r="K21" s="1"/>
  <c r="X21" s="1"/>
  <c r="AB19"/>
  <c r="AA19" i="10"/>
  <c r="AA20" s="1"/>
  <c r="AA21" s="1"/>
  <c r="AA22" s="1"/>
  <c r="AA23" s="1"/>
  <c r="AB18" i="3"/>
  <c r="K19"/>
  <c r="X19" s="1"/>
  <c r="AA24" i="8" l="1"/>
  <c r="AA24" i="7"/>
  <c r="AB20" i="2"/>
  <c r="K21"/>
  <c r="X21" s="1"/>
  <c r="AA21" i="4"/>
  <c r="AB25" i="14"/>
  <c r="K26"/>
  <c r="X26" s="1"/>
  <c r="AB19" i="6"/>
  <c r="K20"/>
  <c r="X20" s="1"/>
  <c r="AB24" i="16"/>
  <c r="K25"/>
  <c r="X25" s="1"/>
  <c r="AB19" i="3"/>
  <c r="K20"/>
  <c r="X20" s="1"/>
  <c r="AA20" s="1"/>
  <c r="AA21" i="11"/>
  <c r="AA22" s="1"/>
  <c r="AA23" s="1"/>
  <c r="K22" i="8"/>
  <c r="X22" s="1"/>
  <c r="K23" s="1"/>
  <c r="X23" s="1"/>
  <c r="K24" s="1"/>
  <c r="X24" s="1"/>
  <c r="AB21"/>
  <c r="K22" i="7"/>
  <c r="X22" s="1"/>
  <c r="K23" s="1"/>
  <c r="X23" s="1"/>
  <c r="K24" s="1"/>
  <c r="X24" s="1"/>
  <c r="AB21"/>
  <c r="AB21" i="10"/>
  <c r="K22"/>
  <c r="X22" s="1"/>
  <c r="K23" s="1"/>
  <c r="X23" s="1"/>
  <c r="K24" s="1"/>
  <c r="X24" s="1"/>
  <c r="AB21" i="12"/>
  <c r="K22"/>
  <c r="X22" s="1"/>
  <c r="K23" s="1"/>
  <c r="X23" s="1"/>
  <c r="K24" s="1"/>
  <c r="X24" s="1"/>
  <c r="K22" i="9"/>
  <c r="X22" s="1"/>
  <c r="K23" s="1"/>
  <c r="X23" s="1"/>
  <c r="K24" s="1"/>
  <c r="X24" s="1"/>
  <c r="AB20" i="4"/>
  <c r="K21"/>
  <c r="X21" s="1"/>
  <c r="K20" i="5"/>
  <c r="X20" s="1"/>
  <c r="AA24" i="16"/>
  <c r="AA20" i="2"/>
  <c r="AB24" i="15"/>
  <c r="AB24" i="13"/>
  <c r="K25"/>
  <c r="X25" s="1"/>
  <c r="AB25" i="15"/>
  <c r="K26"/>
  <c r="X26" s="1"/>
  <c r="AB19" i="4"/>
  <c r="AB19" i="10"/>
  <c r="AA25" i="14"/>
  <c r="AA24" i="13"/>
  <c r="AA24" i="10"/>
  <c r="AA21" i="9"/>
  <c r="AA22" s="1"/>
  <c r="AA23" s="1"/>
  <c r="AA24" s="1"/>
  <c r="AA19" i="5"/>
  <c r="AA20" s="1"/>
  <c r="AA24" i="12"/>
  <c r="AA19" i="6"/>
  <c r="K22" i="11"/>
  <c r="X22" s="1"/>
  <c r="K23" s="1"/>
  <c r="X23" s="1"/>
  <c r="K24" s="1"/>
  <c r="X24" s="1"/>
  <c r="AA21" i="3" l="1"/>
  <c r="AA22" i="4"/>
  <c r="AA26" i="14"/>
  <c r="AA27" s="1"/>
  <c r="AA28" s="1"/>
  <c r="AA29" s="1"/>
  <c r="AA30" s="1"/>
  <c r="AA31" s="1"/>
  <c r="AA32" s="1"/>
  <c r="K26" i="16"/>
  <c r="X26" s="1"/>
  <c r="AB25"/>
  <c r="K27" i="14"/>
  <c r="X27" s="1"/>
  <c r="K28" s="1"/>
  <c r="X28" s="1"/>
  <c r="AA21" i="5"/>
  <c r="AB26" i="15"/>
  <c r="K27"/>
  <c r="X27" s="1"/>
  <c r="K28" s="1"/>
  <c r="X28" s="1"/>
  <c r="K21" i="6"/>
  <c r="X21" s="1"/>
  <c r="AA25" i="12"/>
  <c r="AB21" i="2"/>
  <c r="K22"/>
  <c r="X22" s="1"/>
  <c r="AB24" i="11"/>
  <c r="K25"/>
  <c r="X25" s="1"/>
  <c r="AB21" i="4"/>
  <c r="K22"/>
  <c r="X22" s="1"/>
  <c r="AA25" i="13"/>
  <c r="AA26" i="15"/>
  <c r="AA27" s="1"/>
  <c r="AB21" i="9"/>
  <c r="AA24" i="11"/>
  <c r="AB19" i="5"/>
  <c r="AB24" i="12"/>
  <c r="K25"/>
  <c r="X25" s="1"/>
  <c r="K21" i="5"/>
  <c r="X21" s="1"/>
  <c r="AB20"/>
  <c r="AB21" i="11"/>
  <c r="K25" i="8"/>
  <c r="X25" s="1"/>
  <c r="AB24"/>
  <c r="AB25" i="13"/>
  <c r="K26"/>
  <c r="X26" s="1"/>
  <c r="K25" i="7"/>
  <c r="X25" s="1"/>
  <c r="AB24"/>
  <c r="K25" i="9"/>
  <c r="X25" s="1"/>
  <c r="AB24"/>
  <c r="AA25" i="10"/>
  <c r="AA20" i="6"/>
  <c r="AA21" s="1"/>
  <c r="AA25" i="16"/>
  <c r="K21" i="3"/>
  <c r="X21" s="1"/>
  <c r="AB20"/>
  <c r="AB24" i="10"/>
  <c r="K25"/>
  <c r="X25" s="1"/>
  <c r="AA21" i="2"/>
  <c r="AA22" i="3" l="1"/>
  <c r="AB25" i="8"/>
  <c r="K26"/>
  <c r="X26" s="1"/>
  <c r="AA22" i="5"/>
  <c r="AB28" i="14"/>
  <c r="K29"/>
  <c r="X29" s="1"/>
  <c r="K30" s="1"/>
  <c r="X30" s="1"/>
  <c r="K31" s="1"/>
  <c r="X31" s="1"/>
  <c r="K32" s="1"/>
  <c r="X32" s="1"/>
  <c r="K33" s="1"/>
  <c r="X33" s="1"/>
  <c r="AA33" s="1"/>
  <c r="AA34" s="1"/>
  <c r="AB20" i="6"/>
  <c r="AB21" i="3"/>
  <c r="K22"/>
  <c r="X22" s="1"/>
  <c r="K26" i="10"/>
  <c r="X26" s="1"/>
  <c r="AB25"/>
  <c r="AB22" i="4"/>
  <c r="K23"/>
  <c r="X23" s="1"/>
  <c r="AA23" s="1"/>
  <c r="AB26" i="14"/>
  <c r="AA25" i="11"/>
  <c r="AA26" s="1"/>
  <c r="AA27" s="1"/>
  <c r="K26" i="9"/>
  <c r="X26" s="1"/>
  <c r="AB21" i="6"/>
  <c r="K22"/>
  <c r="X22" s="1"/>
  <c r="K26" i="7"/>
  <c r="X26" s="1"/>
  <c r="AB25"/>
  <c r="AA25"/>
  <c r="AA25" i="8"/>
  <c r="K29" i="15"/>
  <c r="X29" s="1"/>
  <c r="K30" s="1"/>
  <c r="X30" s="1"/>
  <c r="K31" s="1"/>
  <c r="X31" s="1"/>
  <c r="K32" s="1"/>
  <c r="X32" s="1"/>
  <c r="K33" s="1"/>
  <c r="X33" s="1"/>
  <c r="K26" i="11"/>
  <c r="X26" s="1"/>
  <c r="AB25" i="12"/>
  <c r="K26"/>
  <c r="X26" s="1"/>
  <c r="K22" i="5"/>
  <c r="X22" s="1"/>
  <c r="AB21"/>
  <c r="AA22" i="6"/>
  <c r="AA26" i="12"/>
  <c r="AA27" s="1"/>
  <c r="AA26" i="13"/>
  <c r="AA27" s="1"/>
  <c r="AA28" s="1"/>
  <c r="AA29" s="1"/>
  <c r="AA30" s="1"/>
  <c r="AA31" s="1"/>
  <c r="AA32" s="1"/>
  <c r="AB26" i="16"/>
  <c r="K27"/>
  <c r="X27" s="1"/>
  <c r="K28" s="1"/>
  <c r="X28" s="1"/>
  <c r="AA26"/>
  <c r="AA27" s="1"/>
  <c r="AA22" i="2"/>
  <c r="AA23" s="1"/>
  <c r="AA28" i="15"/>
  <c r="AA29" s="1"/>
  <c r="AA30" s="1"/>
  <c r="AA31" s="1"/>
  <c r="AA32" s="1"/>
  <c r="AA33" s="1"/>
  <c r="AA34" s="1"/>
  <c r="AA25" i="9"/>
  <c r="AA26" s="1"/>
  <c r="AA27" s="1"/>
  <c r="K27" i="13"/>
  <c r="X27" s="1"/>
  <c r="K28" s="1"/>
  <c r="X28" s="1"/>
  <c r="K23" i="2"/>
  <c r="X23" s="1"/>
  <c r="AA24" i="4" l="1"/>
  <c r="AA23" i="3"/>
  <c r="K27" i="10"/>
  <c r="X27" s="1"/>
  <c r="K28" s="1"/>
  <c r="X28" s="1"/>
  <c r="AB26"/>
  <c r="AA28" i="16"/>
  <c r="AA29" s="1"/>
  <c r="AA30" s="1"/>
  <c r="AA31" s="1"/>
  <c r="AA32" s="1"/>
  <c r="AA33" s="1"/>
  <c r="AA34" s="1"/>
  <c r="AB26" i="13"/>
  <c r="AB26" i="8"/>
  <c r="K27"/>
  <c r="X27" s="1"/>
  <c r="K28" s="1"/>
  <c r="X28" s="1"/>
  <c r="AA24" i="2"/>
  <c r="AB22" i="3"/>
  <c r="K23"/>
  <c r="X23" s="1"/>
  <c r="AB28" i="15"/>
  <c r="AB33"/>
  <c r="K34"/>
  <c r="X34" s="1"/>
  <c r="K35" s="1"/>
  <c r="X35" s="1"/>
  <c r="AA35" s="1"/>
  <c r="AA36" s="1"/>
  <c r="AA37" s="1"/>
  <c r="AA38" s="1"/>
  <c r="AA39" s="1"/>
  <c r="AB22" i="2"/>
  <c r="AA26" i="10"/>
  <c r="AA27" s="1"/>
  <c r="AB23" i="2"/>
  <c r="K24"/>
  <c r="X24" s="1"/>
  <c r="AB25" i="11"/>
  <c r="K23" i="6"/>
  <c r="X23" s="1"/>
  <c r="AA23" s="1"/>
  <c r="AB22"/>
  <c r="AB26" i="11"/>
  <c r="K27"/>
  <c r="X27" s="1"/>
  <c r="K28" s="1"/>
  <c r="X28" s="1"/>
  <c r="AB25" i="9"/>
  <c r="AA26" i="8"/>
  <c r="AA27" s="1"/>
  <c r="K34" i="14"/>
  <c r="X34" s="1"/>
  <c r="K35" s="1"/>
  <c r="X35" s="1"/>
  <c r="AA35" s="1"/>
  <c r="AA36" s="1"/>
  <c r="AA37" s="1"/>
  <c r="AA38" s="1"/>
  <c r="AA39" s="1"/>
  <c r="AB33"/>
  <c r="K29" i="13"/>
  <c r="X29" s="1"/>
  <c r="K30" s="1"/>
  <c r="X30" s="1"/>
  <c r="K31" s="1"/>
  <c r="X31" s="1"/>
  <c r="K32" s="1"/>
  <c r="X32" s="1"/>
  <c r="K33" s="1"/>
  <c r="X33" s="1"/>
  <c r="AA33" s="1"/>
  <c r="AA34" s="1"/>
  <c r="AB28"/>
  <c r="AB26" i="12"/>
  <c r="K27"/>
  <c r="X27" s="1"/>
  <c r="K28" s="1"/>
  <c r="X28" s="1"/>
  <c r="AA28" i="11"/>
  <c r="AA29" s="1"/>
  <c r="AA30" s="1"/>
  <c r="AA31" s="1"/>
  <c r="AA32" s="1"/>
  <c r="AA26" i="7"/>
  <c r="AA27" s="1"/>
  <c r="AA28" s="1"/>
  <c r="AA29" s="1"/>
  <c r="AA30" s="1"/>
  <c r="AA31" s="1"/>
  <c r="AA32" s="1"/>
  <c r="K29" i="16"/>
  <c r="X29" s="1"/>
  <c r="K30" s="1"/>
  <c r="X30" s="1"/>
  <c r="K31" s="1"/>
  <c r="X31" s="1"/>
  <c r="K32" s="1"/>
  <c r="X32" s="1"/>
  <c r="K33" s="1"/>
  <c r="X33" s="1"/>
  <c r="K24" i="4"/>
  <c r="X24" s="1"/>
  <c r="AB23"/>
  <c r="AB26" i="9"/>
  <c r="K27"/>
  <c r="X27" s="1"/>
  <c r="K28" s="1"/>
  <c r="X28" s="1"/>
  <c r="K27" i="7"/>
  <c r="X27" s="1"/>
  <c r="K28" s="1"/>
  <c r="X28" s="1"/>
  <c r="K23" i="5"/>
  <c r="X23" s="1"/>
  <c r="AB22"/>
  <c r="AA24" i="6" l="1"/>
  <c r="AA40" i="15"/>
  <c r="AB24" i="4"/>
  <c r="K25"/>
  <c r="X25" s="1"/>
  <c r="AA24" i="3"/>
  <c r="AB35" i="14"/>
  <c r="K36"/>
  <c r="X36" s="1"/>
  <c r="K37" s="1"/>
  <c r="X37" s="1"/>
  <c r="K38" s="1"/>
  <c r="X38" s="1"/>
  <c r="K39" s="1"/>
  <c r="X39" s="1"/>
  <c r="K40" s="1"/>
  <c r="X40" s="1"/>
  <c r="AA40" s="1"/>
  <c r="K29" i="9"/>
  <c r="X29" s="1"/>
  <c r="K30" s="1"/>
  <c r="X30" s="1"/>
  <c r="K31" s="1"/>
  <c r="X31" s="1"/>
  <c r="K32" s="1"/>
  <c r="X32" s="1"/>
  <c r="K33" s="1"/>
  <c r="X33" s="1"/>
  <c r="AB23" i="5"/>
  <c r="K24"/>
  <c r="X24" s="1"/>
  <c r="AA33" i="7"/>
  <c r="AA34" s="1"/>
  <c r="AB23" i="3"/>
  <c r="K24"/>
  <c r="X24" s="1"/>
  <c r="AA33" i="11"/>
  <c r="AA34" s="1"/>
  <c r="AB28" i="16"/>
  <c r="AB26" i="7"/>
  <c r="K29" i="10"/>
  <c r="X29" s="1"/>
  <c r="K30" s="1"/>
  <c r="X30" s="1"/>
  <c r="K31" s="1"/>
  <c r="X31" s="1"/>
  <c r="K32" s="1"/>
  <c r="X32" s="1"/>
  <c r="K33" s="1"/>
  <c r="X33" s="1"/>
  <c r="AB28" i="7"/>
  <c r="K29"/>
  <c r="X29" s="1"/>
  <c r="K30" s="1"/>
  <c r="X30" s="1"/>
  <c r="K31" s="1"/>
  <c r="X31" s="1"/>
  <c r="K32" s="1"/>
  <c r="X32" s="1"/>
  <c r="K33" s="1"/>
  <c r="X33" s="1"/>
  <c r="AB28" i="11"/>
  <c r="K29"/>
  <c r="X29" s="1"/>
  <c r="K30" s="1"/>
  <c r="X30" s="1"/>
  <c r="K31" s="1"/>
  <c r="X31" s="1"/>
  <c r="K32" s="1"/>
  <c r="X32" s="1"/>
  <c r="K33" s="1"/>
  <c r="X33" s="1"/>
  <c r="K29" i="8"/>
  <c r="X29" s="1"/>
  <c r="K30" s="1"/>
  <c r="X30" s="1"/>
  <c r="K31" s="1"/>
  <c r="X31" s="1"/>
  <c r="K32" s="1"/>
  <c r="X32" s="1"/>
  <c r="K33" s="1"/>
  <c r="X33" s="1"/>
  <c r="AA23" i="5"/>
  <c r="K29" i="12"/>
  <c r="X29" s="1"/>
  <c r="K30" s="1"/>
  <c r="X30" s="1"/>
  <c r="K31" s="1"/>
  <c r="X31" s="1"/>
  <c r="K32" s="1"/>
  <c r="X32" s="1"/>
  <c r="K33" s="1"/>
  <c r="X33" s="1"/>
  <c r="AB28"/>
  <c r="AB24" i="2"/>
  <c r="K25"/>
  <c r="X25" s="1"/>
  <c r="AA28" i="12"/>
  <c r="AA29" s="1"/>
  <c r="AA30" s="1"/>
  <c r="AA31" s="1"/>
  <c r="AA32" s="1"/>
  <c r="AA33" s="1"/>
  <c r="AA34" s="1"/>
  <c r="AB33" i="13"/>
  <c r="K34"/>
  <c r="X34" s="1"/>
  <c r="K35" s="1"/>
  <c r="X35" s="1"/>
  <c r="AA28" i="9"/>
  <c r="AA29" s="1"/>
  <c r="AA30" s="1"/>
  <c r="AA31" s="1"/>
  <c r="AA32" s="1"/>
  <c r="AB33" i="16"/>
  <c r="K34"/>
  <c r="X34" s="1"/>
  <c r="K35" s="1"/>
  <c r="X35" s="1"/>
  <c r="AA35" s="1"/>
  <c r="AA36" s="1"/>
  <c r="AA37" s="1"/>
  <c r="AA38" s="1"/>
  <c r="AA39" s="1"/>
  <c r="AB35" i="15"/>
  <c r="K36"/>
  <c r="X36" s="1"/>
  <c r="K37" s="1"/>
  <c r="X37" s="1"/>
  <c r="K38" s="1"/>
  <c r="X38" s="1"/>
  <c r="K39" s="1"/>
  <c r="X39" s="1"/>
  <c r="K40" s="1"/>
  <c r="X40" s="1"/>
  <c r="K24" i="6"/>
  <c r="X24" s="1"/>
  <c r="AB23"/>
  <c r="AA28" i="10"/>
  <c r="AA29" s="1"/>
  <c r="AA30" s="1"/>
  <c r="AA31" s="1"/>
  <c r="AA32" s="1"/>
  <c r="AA33" s="1"/>
  <c r="AA34" s="1"/>
  <c r="AA28" i="8"/>
  <c r="AA29" s="1"/>
  <c r="AA30" s="1"/>
  <c r="AA31" s="1"/>
  <c r="AA32" s="1"/>
  <c r="AA33" s="1"/>
  <c r="AA34" s="1"/>
  <c r="AA41" i="14" l="1"/>
  <c r="AA42" s="1"/>
  <c r="AA43" s="1"/>
  <c r="AA44" s="1"/>
  <c r="AA45" s="1"/>
  <c r="AA46" s="1"/>
  <c r="AA47" s="1"/>
  <c r="AA41" i="15"/>
  <c r="AA42" s="1"/>
  <c r="AA43" s="1"/>
  <c r="AA44" s="1"/>
  <c r="AA45" s="1"/>
  <c r="AA46" s="1"/>
  <c r="AA47" s="1"/>
  <c r="AB25" i="2"/>
  <c r="K26"/>
  <c r="X26" s="1"/>
  <c r="AB35" i="13"/>
  <c r="K36"/>
  <c r="X36" s="1"/>
  <c r="K37" s="1"/>
  <c r="X37" s="1"/>
  <c r="K38" s="1"/>
  <c r="X38" s="1"/>
  <c r="K39" s="1"/>
  <c r="X39" s="1"/>
  <c r="K40" s="1"/>
  <c r="X40" s="1"/>
  <c r="AB35" i="16"/>
  <c r="K36"/>
  <c r="X36" s="1"/>
  <c r="K37" s="1"/>
  <c r="X37" s="1"/>
  <c r="K38" s="1"/>
  <c r="X38" s="1"/>
  <c r="K39" s="1"/>
  <c r="X39" s="1"/>
  <c r="K40" s="1"/>
  <c r="X40" s="1"/>
  <c r="AA40" s="1"/>
  <c r="AA25" i="3"/>
  <c r="AB40" i="14"/>
  <c r="K41"/>
  <c r="X41" s="1"/>
  <c r="AB25" i="4"/>
  <c r="K26"/>
  <c r="X26" s="1"/>
  <c r="K25" i="6"/>
  <c r="X25" s="1"/>
  <c r="AB24"/>
  <c r="AA35" i="13"/>
  <c r="AA36" s="1"/>
  <c r="AA37" s="1"/>
  <c r="AA38" s="1"/>
  <c r="AA39" s="1"/>
  <c r="AB24" i="3"/>
  <c r="K25"/>
  <c r="X25" s="1"/>
  <c r="K41" i="15"/>
  <c r="X41" s="1"/>
  <c r="AB40"/>
  <c r="K25" i="5"/>
  <c r="X25" s="1"/>
  <c r="AB33" i="11"/>
  <c r="K34"/>
  <c r="X34" s="1"/>
  <c r="K35" s="1"/>
  <c r="X35" s="1"/>
  <c r="K34" i="9"/>
  <c r="X34" s="1"/>
  <c r="K35" s="1"/>
  <c r="X35" s="1"/>
  <c r="AB28" i="10"/>
  <c r="AB28" i="8"/>
  <c r="AB33"/>
  <c r="K34"/>
  <c r="X34" s="1"/>
  <c r="K35" s="1"/>
  <c r="X35" s="1"/>
  <c r="AA33" i="9"/>
  <c r="AA34" s="1"/>
  <c r="AA35" s="1"/>
  <c r="AA36" s="1"/>
  <c r="AA37" s="1"/>
  <c r="AA38" s="1"/>
  <c r="AA39" s="1"/>
  <c r="K34" i="10"/>
  <c r="X34" s="1"/>
  <c r="K35" s="1"/>
  <c r="X35" s="1"/>
  <c r="AB33"/>
  <c r="AA35" i="11"/>
  <c r="AA36" s="1"/>
  <c r="AA37" s="1"/>
  <c r="AA38" s="1"/>
  <c r="AA39" s="1"/>
  <c r="AA24" i="5"/>
  <c r="AA25" s="1"/>
  <c r="AB33" i="7"/>
  <c r="K34"/>
  <c r="X34" s="1"/>
  <c r="K35" s="1"/>
  <c r="X35" s="1"/>
  <c r="AB33" i="12"/>
  <c r="K34"/>
  <c r="X34" s="1"/>
  <c r="K35" s="1"/>
  <c r="X35" s="1"/>
  <c r="AA25" i="2"/>
  <c r="AB28" i="9"/>
  <c r="AA25" i="4"/>
  <c r="AA41" i="16" l="1"/>
  <c r="AA42" s="1"/>
  <c r="AA43" s="1"/>
  <c r="AA44" s="1"/>
  <c r="AA45" s="1"/>
  <c r="AA46" s="1"/>
  <c r="AA47" s="1"/>
  <c r="AB35" i="10"/>
  <c r="K36"/>
  <c r="X36" s="1"/>
  <c r="K37" s="1"/>
  <c r="X37" s="1"/>
  <c r="K38" s="1"/>
  <c r="X38" s="1"/>
  <c r="K39" s="1"/>
  <c r="X39" s="1"/>
  <c r="K40" s="1"/>
  <c r="X40" s="1"/>
  <c r="K27" i="4"/>
  <c r="X27" s="1"/>
  <c r="AB26"/>
  <c r="AA48" i="14"/>
  <c r="AA26" i="3"/>
  <c r="AA40" i="13"/>
  <c r="AA41" s="1"/>
  <c r="AA42" s="1"/>
  <c r="AA43" s="1"/>
  <c r="AA44" s="1"/>
  <c r="AA45" s="1"/>
  <c r="AA46" s="1"/>
  <c r="AA47" s="1"/>
  <c r="AB40" i="16"/>
  <c r="K41"/>
  <c r="X41" s="1"/>
  <c r="AB35" i="12"/>
  <c r="K36"/>
  <c r="X36" s="1"/>
  <c r="K37" s="1"/>
  <c r="X37" s="1"/>
  <c r="K38" s="1"/>
  <c r="X38" s="1"/>
  <c r="K39" s="1"/>
  <c r="X39" s="1"/>
  <c r="K40" s="1"/>
  <c r="X40" s="1"/>
  <c r="AA35" i="10"/>
  <c r="AA36" s="1"/>
  <c r="AA37" s="1"/>
  <c r="AA38" s="1"/>
  <c r="AA39" s="1"/>
  <c r="K41" i="13"/>
  <c r="X41" s="1"/>
  <c r="AB41" i="14"/>
  <c r="K42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K26" i="6"/>
  <c r="X26" s="1"/>
  <c r="AB25"/>
  <c r="AB25" i="3"/>
  <c r="K26"/>
  <c r="X26" s="1"/>
  <c r="AA25" i="6"/>
  <c r="AA26" i="2"/>
  <c r="AA35" i="12"/>
  <c r="AA36" s="1"/>
  <c r="AA37" s="1"/>
  <c r="AA38" s="1"/>
  <c r="AA39" s="1"/>
  <c r="AB24" i="5"/>
  <c r="AB33" i="9"/>
  <c r="K36" i="8"/>
  <c r="X36" s="1"/>
  <c r="K37" s="1"/>
  <c r="X37" s="1"/>
  <c r="K38" s="1"/>
  <c r="X38" s="1"/>
  <c r="K39" s="1"/>
  <c r="X39" s="1"/>
  <c r="K40" s="1"/>
  <c r="X40" s="1"/>
  <c r="K36" i="7"/>
  <c r="X36" s="1"/>
  <c r="K37" s="1"/>
  <c r="X37" s="1"/>
  <c r="K38" s="1"/>
  <c r="X38" s="1"/>
  <c r="K39" s="1"/>
  <c r="X39" s="1"/>
  <c r="K40" s="1"/>
  <c r="X40" s="1"/>
  <c r="AB35"/>
  <c r="AB35" i="11"/>
  <c r="K36"/>
  <c r="X36" s="1"/>
  <c r="K37" s="1"/>
  <c r="X37" s="1"/>
  <c r="K38" s="1"/>
  <c r="X38" s="1"/>
  <c r="K39" s="1"/>
  <c r="X39" s="1"/>
  <c r="K40" s="1"/>
  <c r="X40" s="1"/>
  <c r="AA40" s="1"/>
  <c r="AB35" i="9"/>
  <c r="K36"/>
  <c r="X36" s="1"/>
  <c r="K37" s="1"/>
  <c r="X37" s="1"/>
  <c r="K38" s="1"/>
  <c r="X38" s="1"/>
  <c r="K39" s="1"/>
  <c r="X39" s="1"/>
  <c r="K40" s="1"/>
  <c r="X40" s="1"/>
  <c r="AA35" i="8"/>
  <c r="AA36" s="1"/>
  <c r="AA37" s="1"/>
  <c r="AA38" s="1"/>
  <c r="AA39" s="1"/>
  <c r="AA40" s="1"/>
  <c r="AB26" i="2"/>
  <c r="K27"/>
  <c r="X27" s="1"/>
  <c r="AB41" i="15"/>
  <c r="K42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K26" i="5"/>
  <c r="X26" s="1"/>
  <c r="AA26" s="1"/>
  <c r="AB25"/>
  <c r="AA35" i="7"/>
  <c r="AA36" s="1"/>
  <c r="AA37" s="1"/>
  <c r="AA38" s="1"/>
  <c r="AA39" s="1"/>
  <c r="AA40" s="1"/>
  <c r="AA26" i="4"/>
  <c r="AA41" i="11" l="1"/>
  <c r="AA42" s="1"/>
  <c r="AA43" s="1"/>
  <c r="AA44" s="1"/>
  <c r="AA45" s="1"/>
  <c r="AA46" s="1"/>
  <c r="AA47" s="1"/>
  <c r="AB40" i="10"/>
  <c r="K41"/>
  <c r="X41" s="1"/>
  <c r="AA27" i="3"/>
  <c r="K49" i="15"/>
  <c r="X49" s="1"/>
  <c r="AA48" i="13"/>
  <c r="K41" i="9"/>
  <c r="X41" s="1"/>
  <c r="AB40"/>
  <c r="AB41" i="16"/>
  <c r="K42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AA48" s="1"/>
  <c r="AA27" i="4"/>
  <c r="AA28" s="1"/>
  <c r="AB40" i="11"/>
  <c r="K41"/>
  <c r="X41" s="1"/>
  <c r="K27" i="6"/>
  <c r="X27" s="1"/>
  <c r="AA40" i="10"/>
  <c r="AB40" i="13"/>
  <c r="AA40" i="12"/>
  <c r="AA41" s="1"/>
  <c r="AA42" s="1"/>
  <c r="AA43" s="1"/>
  <c r="AA44" s="1"/>
  <c r="AA45" s="1"/>
  <c r="AA46" s="1"/>
  <c r="AA47" s="1"/>
  <c r="K41"/>
  <c r="X41" s="1"/>
  <c r="AB26" i="3"/>
  <c r="K27"/>
  <c r="X27" s="1"/>
  <c r="AB48" i="14"/>
  <c r="K49"/>
  <c r="X49" s="1"/>
  <c r="K28" i="4"/>
  <c r="X28" s="1"/>
  <c r="K42" i="13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AB41"/>
  <c r="AB40" i="8"/>
  <c r="K41"/>
  <c r="X41" s="1"/>
  <c r="AA48" i="15"/>
  <c r="AA49" s="1"/>
  <c r="AA50" s="1"/>
  <c r="AA51" s="1"/>
  <c r="AA52" s="1"/>
  <c r="AA53" s="1"/>
  <c r="AA54" s="1"/>
  <c r="AA55" s="1"/>
  <c r="AA56" s="1"/>
  <c r="AA57" s="1"/>
  <c r="AA58" s="1"/>
  <c r="AA59" s="1"/>
  <c r="AA60" s="1"/>
  <c r="AA61" s="1"/>
  <c r="K27" i="5"/>
  <c r="X27" s="1"/>
  <c r="AB26"/>
  <c r="AA26" i="6"/>
  <c r="AA27" s="1"/>
  <c r="AB35" i="8"/>
  <c r="AB27" i="2"/>
  <c r="K28"/>
  <c r="X28" s="1"/>
  <c r="AB40" i="7"/>
  <c r="K41"/>
  <c r="X41" s="1"/>
  <c r="AA41" s="1"/>
  <c r="AA42" s="1"/>
  <c r="AA43" s="1"/>
  <c r="AA44" s="1"/>
  <c r="AA45" s="1"/>
  <c r="AA46" s="1"/>
  <c r="AA47" s="1"/>
  <c r="AA40" i="9"/>
  <c r="AA27" i="2"/>
  <c r="AA49" i="16" l="1"/>
  <c r="AA50" s="1"/>
  <c r="AA51" s="1"/>
  <c r="AA52" s="1"/>
  <c r="AA53" s="1"/>
  <c r="AA54" s="1"/>
  <c r="AA55" s="1"/>
  <c r="AA56" s="1"/>
  <c r="AA57" s="1"/>
  <c r="AA58" s="1"/>
  <c r="AA59" s="1"/>
  <c r="AA60" s="1"/>
  <c r="AA61" s="1"/>
  <c r="AB28" i="2"/>
  <c r="K29"/>
  <c r="X29" s="1"/>
  <c r="AB48" i="15"/>
  <c r="AA49" i="13"/>
  <c r="AA50" s="1"/>
  <c r="AA51" s="1"/>
  <c r="AA52" s="1"/>
  <c r="AA53" s="1"/>
  <c r="AA54" s="1"/>
  <c r="AA55" s="1"/>
  <c r="AA56" s="1"/>
  <c r="AA57" s="1"/>
  <c r="AA58" s="1"/>
  <c r="AA59" s="1"/>
  <c r="AA60" s="1"/>
  <c r="AA61" s="1"/>
  <c r="AB41" i="8"/>
  <c r="K42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K42" i="9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AA41"/>
  <c r="AA42" s="1"/>
  <c r="AA43" s="1"/>
  <c r="AA44" s="1"/>
  <c r="AA45" s="1"/>
  <c r="AA46" s="1"/>
  <c r="AA47" s="1"/>
  <c r="AB26" i="6"/>
  <c r="AB41" i="10"/>
  <c r="K42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AB27" i="6"/>
  <c r="K28"/>
  <c r="X28" s="1"/>
  <c r="AB49" i="14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K28" i="5"/>
  <c r="X28" s="1"/>
  <c r="AB40" i="12"/>
  <c r="AA49" i="14"/>
  <c r="AA50" s="1"/>
  <c r="AA51" s="1"/>
  <c r="AA52" s="1"/>
  <c r="AA53" s="1"/>
  <c r="AA54" s="1"/>
  <c r="AA55" s="1"/>
  <c r="AA56" s="1"/>
  <c r="AA57" s="1"/>
  <c r="AA58" s="1"/>
  <c r="AA59" s="1"/>
  <c r="AA60" s="1"/>
  <c r="AA61" s="1"/>
  <c r="AB48" i="16"/>
  <c r="K49"/>
  <c r="X49" s="1"/>
  <c r="AA28" i="2"/>
  <c r="AA41" i="10"/>
  <c r="AA42" s="1"/>
  <c r="AA43" s="1"/>
  <c r="AA44" s="1"/>
  <c r="AA45" s="1"/>
  <c r="AA46" s="1"/>
  <c r="AA47" s="1"/>
  <c r="AA41" i="8"/>
  <c r="AA42" s="1"/>
  <c r="AA43" s="1"/>
  <c r="AA44" s="1"/>
  <c r="AA45" s="1"/>
  <c r="AA46" s="1"/>
  <c r="AA47" s="1"/>
  <c r="AB27" i="4"/>
  <c r="AB27" i="3"/>
  <c r="K28"/>
  <c r="X28" s="1"/>
  <c r="AB28" i="4"/>
  <c r="K29"/>
  <c r="X29" s="1"/>
  <c r="AA27" i="5"/>
  <c r="AA28" s="1"/>
  <c r="AB49" i="15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AA62" s="1"/>
  <c r="AB41" i="11"/>
  <c r="K42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AA48" s="1"/>
  <c r="K42" i="12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AA48" s="1"/>
  <c r="AB41"/>
  <c r="K49" i="13"/>
  <c r="X49" s="1"/>
  <c r="AB48"/>
  <c r="AB41" i="7"/>
  <c r="K42"/>
  <c r="X42" s="1"/>
  <c r="K43" s="1"/>
  <c r="X43" s="1"/>
  <c r="K44" s="1"/>
  <c r="X44" s="1"/>
  <c r="K45" s="1"/>
  <c r="X45" s="1"/>
  <c r="K46" s="1"/>
  <c r="X46" s="1"/>
  <c r="K47" s="1"/>
  <c r="X47" s="1"/>
  <c r="K48" s="1"/>
  <c r="X48" s="1"/>
  <c r="AA48" s="1"/>
  <c r="AA49" i="12" l="1"/>
  <c r="AA50" s="1"/>
  <c r="AA51" s="1"/>
  <c r="AA52" s="1"/>
  <c r="AA53" s="1"/>
  <c r="AA54" s="1"/>
  <c r="AA55" s="1"/>
  <c r="AA56" s="1"/>
  <c r="AA57" s="1"/>
  <c r="AA58" s="1"/>
  <c r="AA59" s="1"/>
  <c r="AA60" s="1"/>
  <c r="AA61" s="1"/>
  <c r="AA49" i="11"/>
  <c r="AA50" s="1"/>
  <c r="AA51" s="1"/>
  <c r="AA52" s="1"/>
  <c r="AA53" s="1"/>
  <c r="AA54" s="1"/>
  <c r="AA55" s="1"/>
  <c r="AA56" s="1"/>
  <c r="AA57" s="1"/>
  <c r="AA58" s="1"/>
  <c r="AA59" s="1"/>
  <c r="AA60" s="1"/>
  <c r="AA61" s="1"/>
  <c r="AA49" i="7"/>
  <c r="AA50" s="1"/>
  <c r="AA51" s="1"/>
  <c r="AA52" s="1"/>
  <c r="AA53" s="1"/>
  <c r="AA54" s="1"/>
  <c r="AA55" s="1"/>
  <c r="AA56" s="1"/>
  <c r="AA57" s="1"/>
  <c r="AA58" s="1"/>
  <c r="AA59" s="1"/>
  <c r="AA60" s="1"/>
  <c r="AA61" s="1"/>
  <c r="AA63" i="15"/>
  <c r="AA64" s="1"/>
  <c r="AA65" s="1"/>
  <c r="AA62" i="16"/>
  <c r="K30" i="4"/>
  <c r="X30" s="1"/>
  <c r="AB28" i="3"/>
  <c r="K29"/>
  <c r="X29" s="1"/>
  <c r="AA28"/>
  <c r="K49" i="8"/>
  <c r="X49" s="1"/>
  <c r="AB48"/>
  <c r="AA29" i="5"/>
  <c r="AB41" i="9"/>
  <c r="AA48"/>
  <c r="AB62" i="15"/>
  <c r="K63"/>
  <c r="X63" s="1"/>
  <c r="K49" i="10"/>
  <c r="X49" s="1"/>
  <c r="K49" i="11"/>
  <c r="X49" s="1"/>
  <c r="AB48"/>
  <c r="K63" i="14"/>
  <c r="X63" s="1"/>
  <c r="K49" i="7"/>
  <c r="X49" s="1"/>
  <c r="AB48"/>
  <c r="K29" i="5"/>
  <c r="X29" s="1"/>
  <c r="AB28"/>
  <c r="AB49" i="16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K49" i="12"/>
  <c r="X49" s="1"/>
  <c r="AB48"/>
  <c r="K29" i="6"/>
  <c r="X29" s="1"/>
  <c r="AA29" i="2"/>
  <c r="AA30" s="1"/>
  <c r="K30"/>
  <c r="X30" s="1"/>
  <c r="AA29" i="4"/>
  <c r="AA30" s="1"/>
  <c r="AA62" i="14"/>
  <c r="AA63" s="1"/>
  <c r="AA48" i="10"/>
  <c r="AA49" s="1"/>
  <c r="AA50" s="1"/>
  <c r="AA51" s="1"/>
  <c r="AA52" s="1"/>
  <c r="AA53" s="1"/>
  <c r="AA54" s="1"/>
  <c r="AA55" s="1"/>
  <c r="AA56" s="1"/>
  <c r="AA57" s="1"/>
  <c r="AA58" s="1"/>
  <c r="AA59" s="1"/>
  <c r="AA60" s="1"/>
  <c r="AA61" s="1"/>
  <c r="AB49" i="13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AA28" i="6"/>
  <c r="AB27" i="5"/>
  <c r="AA48" i="8"/>
  <c r="AB48" i="9"/>
  <c r="K49"/>
  <c r="X49" s="1"/>
  <c r="AA31" i="2" l="1"/>
  <c r="AB29"/>
  <c r="AB29" i="4"/>
  <c r="AB29" i="6"/>
  <c r="K30"/>
  <c r="X30" s="1"/>
  <c r="AB30" i="4"/>
  <c r="K31"/>
  <c r="X31" s="1"/>
  <c r="AA29" i="6"/>
  <c r="AB49" i="8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K50" i="9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AA63" i="16"/>
  <c r="AA64" s="1"/>
  <c r="AA65" s="1"/>
  <c r="K63" i="13"/>
  <c r="X63" s="1"/>
  <c r="AB49" i="11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AB30" i="2"/>
  <c r="K31"/>
  <c r="X31" s="1"/>
  <c r="AA29" i="3"/>
  <c r="AA30" s="1"/>
  <c r="AA49" i="8"/>
  <c r="AA50" s="1"/>
  <c r="AA51" s="1"/>
  <c r="AA52" s="1"/>
  <c r="AA53" s="1"/>
  <c r="AA54" s="1"/>
  <c r="AA55" s="1"/>
  <c r="AA56" s="1"/>
  <c r="AA57" s="1"/>
  <c r="AA58" s="1"/>
  <c r="AA59" s="1"/>
  <c r="AA60" s="1"/>
  <c r="AA61" s="1"/>
  <c r="AB62" i="14"/>
  <c r="AB48" i="10"/>
  <c r="K30" i="3"/>
  <c r="X30" s="1"/>
  <c r="AB49" i="10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K63" i="16"/>
  <c r="X63" s="1"/>
  <c r="AB62"/>
  <c r="AA64" i="14"/>
  <c r="AA65" s="1"/>
  <c r="AA49" i="9"/>
  <c r="AA50" s="1"/>
  <c r="AA51" s="1"/>
  <c r="AA52" s="1"/>
  <c r="AA53" s="1"/>
  <c r="AA54" s="1"/>
  <c r="AA55" s="1"/>
  <c r="AA56" s="1"/>
  <c r="AA57" s="1"/>
  <c r="AA58" s="1"/>
  <c r="AA59" s="1"/>
  <c r="AA60" s="1"/>
  <c r="AA61" s="1"/>
  <c r="AB49" i="7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AA62" s="1"/>
  <c r="AB49" i="12"/>
  <c r="K50"/>
  <c r="X50" s="1"/>
  <c r="K51" s="1"/>
  <c r="X51" s="1"/>
  <c r="K52" s="1"/>
  <c r="X52" s="1"/>
  <c r="K53" s="1"/>
  <c r="X53" s="1"/>
  <c r="K54" s="1"/>
  <c r="X54" s="1"/>
  <c r="K55" s="1"/>
  <c r="X55" s="1"/>
  <c r="K56" s="1"/>
  <c r="X56" s="1"/>
  <c r="K57" s="1"/>
  <c r="X57" s="1"/>
  <c r="K58" s="1"/>
  <c r="X58" s="1"/>
  <c r="K59" s="1"/>
  <c r="X59" s="1"/>
  <c r="K60" s="1"/>
  <c r="X60" s="1"/>
  <c r="K61" s="1"/>
  <c r="X61" s="1"/>
  <c r="K62" s="1"/>
  <c r="X62" s="1"/>
  <c r="AA62" i="11"/>
  <c r="AA62" i="13"/>
  <c r="AA63" s="1"/>
  <c r="AA62" i="10"/>
  <c r="AA30" i="5"/>
  <c r="AB63" i="15"/>
  <c r="K64"/>
  <c r="X64" s="1"/>
  <c r="K65" s="1"/>
  <c r="X65" s="1"/>
  <c r="K66" s="1"/>
  <c r="X66" s="1"/>
  <c r="AB63" i="14"/>
  <c r="K64"/>
  <c r="X64" s="1"/>
  <c r="K30" i="5"/>
  <c r="X30" s="1"/>
  <c r="AB29"/>
  <c r="AB28" i="6"/>
  <c r="AA63" i="7" l="1"/>
  <c r="AA62" i="9"/>
  <c r="AA63" s="1"/>
  <c r="AB62" i="12"/>
  <c r="K63"/>
  <c r="X63" s="1"/>
  <c r="AB66" i="15"/>
  <c r="K67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K31" i="6"/>
  <c r="X31" s="1"/>
  <c r="AB30"/>
  <c r="AA63" i="10"/>
  <c r="K63" i="8"/>
  <c r="X63" s="1"/>
  <c r="K31" i="5"/>
  <c r="X31" s="1"/>
  <c r="AB30"/>
  <c r="AB64" i="14"/>
  <c r="K65"/>
  <c r="X65" s="1"/>
  <c r="K66" s="1"/>
  <c r="X66" s="1"/>
  <c r="AA31" i="3"/>
  <c r="AB29"/>
  <c r="AB62" i="11"/>
  <c r="K63"/>
  <c r="X63" s="1"/>
  <c r="AB30" i="3"/>
  <c r="K31"/>
  <c r="X31" s="1"/>
  <c r="AA64" i="13"/>
  <c r="AA65" s="1"/>
  <c r="K63" i="9"/>
  <c r="X63" s="1"/>
  <c r="AB31" i="2"/>
  <c r="K32"/>
  <c r="X32" s="1"/>
  <c r="AB62" i="13"/>
  <c r="K64"/>
  <c r="X64" s="1"/>
  <c r="AB63"/>
  <c r="K63" i="10"/>
  <c r="X63" s="1"/>
  <c r="AB62"/>
  <c r="AA32" i="2"/>
  <c r="AA63" i="11"/>
  <c r="AA62" i="8"/>
  <c r="AA63" s="1"/>
  <c r="K32" i="4"/>
  <c r="X32" s="1"/>
  <c r="AB31"/>
  <c r="AB63" i="16"/>
  <c r="K64"/>
  <c r="X64" s="1"/>
  <c r="K65" s="1"/>
  <c r="X65" s="1"/>
  <c r="K66" s="1"/>
  <c r="X66" s="1"/>
  <c r="AA66" s="1"/>
  <c r="AA67" s="1"/>
  <c r="AA68" s="1"/>
  <c r="AA69" s="1"/>
  <c r="AA70" s="1"/>
  <c r="AA71" s="1"/>
  <c r="AA72" s="1"/>
  <c r="AA73" s="1"/>
  <c r="AA62" i="12"/>
  <c r="AA66" i="15"/>
  <c r="AA67" s="1"/>
  <c r="AA68" s="1"/>
  <c r="AA69" s="1"/>
  <c r="AA70" s="1"/>
  <c r="AA71" s="1"/>
  <c r="AA72" s="1"/>
  <c r="AA73" s="1"/>
  <c r="AB62" i="7"/>
  <c r="K63"/>
  <c r="X63" s="1"/>
  <c r="AA30" i="6"/>
  <c r="AB49" i="9"/>
  <c r="AA31" i="4"/>
  <c r="AA74" i="16" l="1"/>
  <c r="AA75" s="1"/>
  <c r="AA76" s="1"/>
  <c r="AA77" s="1"/>
  <c r="AA64" i="7"/>
  <c r="AA65" s="1"/>
  <c r="AA33" i="2"/>
  <c r="AA63" i="12"/>
  <c r="AA64" s="1"/>
  <c r="AA65" s="1"/>
  <c r="AB32" i="4"/>
  <c r="K33"/>
  <c r="X33" s="1"/>
  <c r="AB74" i="15"/>
  <c r="K75"/>
  <c r="X75" s="1"/>
  <c r="K76" s="1"/>
  <c r="X76" s="1"/>
  <c r="K77" s="1"/>
  <c r="X77" s="1"/>
  <c r="K78" s="1"/>
  <c r="X78" s="1"/>
  <c r="K64" i="12"/>
  <c r="X64" s="1"/>
  <c r="AB66" i="14"/>
  <c r="K67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AB63" i="8"/>
  <c r="K64"/>
  <c r="X64" s="1"/>
  <c r="AA66" i="14"/>
  <c r="AA67" s="1"/>
  <c r="AA68" s="1"/>
  <c r="AA69" s="1"/>
  <c r="AA70" s="1"/>
  <c r="AA71" s="1"/>
  <c r="AA72" s="1"/>
  <c r="AA73" s="1"/>
  <c r="AB62" i="9"/>
  <c r="K32" i="3"/>
  <c r="X32" s="1"/>
  <c r="AB31"/>
  <c r="AB32" i="2"/>
  <c r="K33"/>
  <c r="X33" s="1"/>
  <c r="K32" i="6"/>
  <c r="X32" s="1"/>
  <c r="K32" i="5"/>
  <c r="X32" s="1"/>
  <c r="AA32" i="4"/>
  <c r="AB66" i="16"/>
  <c r="K67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AB63" i="11"/>
  <c r="K64"/>
  <c r="X64" s="1"/>
  <c r="AA64" s="1"/>
  <c r="AA65" s="1"/>
  <c r="AB63" i="9"/>
  <c r="K64"/>
  <c r="X64" s="1"/>
  <c r="AB64" i="13"/>
  <c r="K65"/>
  <c r="X65" s="1"/>
  <c r="K66" s="1"/>
  <c r="X66" s="1"/>
  <c r="AA66" s="1"/>
  <c r="AA67" s="1"/>
  <c r="AA68" s="1"/>
  <c r="AA69" s="1"/>
  <c r="AA70" s="1"/>
  <c r="AA71" s="1"/>
  <c r="AA72" s="1"/>
  <c r="AA73" s="1"/>
  <c r="AB62" i="8"/>
  <c r="AA31" i="6"/>
  <c r="AA32" s="1"/>
  <c r="AB63" i="7"/>
  <c r="K64"/>
  <c r="X64" s="1"/>
  <c r="AA74" i="15"/>
  <c r="AA75" s="1"/>
  <c r="AA76" s="1"/>
  <c r="AA77" s="1"/>
  <c r="AB63" i="10"/>
  <c r="K64"/>
  <c r="X64" s="1"/>
  <c r="AA31" i="5"/>
  <c r="AA32" s="1"/>
  <c r="AA74" i="13" l="1"/>
  <c r="AA75" s="1"/>
  <c r="AA76" s="1"/>
  <c r="AA77" s="1"/>
  <c r="AA34" i="2"/>
  <c r="AB64" i="9"/>
  <c r="K65"/>
  <c r="X65" s="1"/>
  <c r="K66" s="1"/>
  <c r="X66" s="1"/>
  <c r="AB33" i="4"/>
  <c r="K34"/>
  <c r="X34" s="1"/>
  <c r="AB64" i="7"/>
  <c r="K65"/>
  <c r="X65" s="1"/>
  <c r="K66" s="1"/>
  <c r="X66" s="1"/>
  <c r="AA66" s="1"/>
  <c r="AA67" s="1"/>
  <c r="AA68" s="1"/>
  <c r="AA69" s="1"/>
  <c r="AA70" s="1"/>
  <c r="AA71" s="1"/>
  <c r="AA72" s="1"/>
  <c r="AA73" s="1"/>
  <c r="AA66" i="12"/>
  <c r="AA67" s="1"/>
  <c r="AA68" s="1"/>
  <c r="AA69" s="1"/>
  <c r="AA70" s="1"/>
  <c r="AA71" s="1"/>
  <c r="AA72" s="1"/>
  <c r="AA73" s="1"/>
  <c r="AB63"/>
  <c r="AB64"/>
  <c r="K65"/>
  <c r="X65" s="1"/>
  <c r="K66" s="1"/>
  <c r="X66" s="1"/>
  <c r="AB32" i="3"/>
  <c r="K33"/>
  <c r="X33" s="1"/>
  <c r="K33" i="6"/>
  <c r="X33" s="1"/>
  <c r="AB32"/>
  <c r="AA33" i="5"/>
  <c r="AA64" i="9"/>
  <c r="AA65" s="1"/>
  <c r="AB31" i="5"/>
  <c r="K75" i="14"/>
  <c r="X75" s="1"/>
  <c r="K76" s="1"/>
  <c r="X76" s="1"/>
  <c r="K77" s="1"/>
  <c r="X77" s="1"/>
  <c r="K78" s="1"/>
  <c r="X78" s="1"/>
  <c r="AB32" i="5"/>
  <c r="K33"/>
  <c r="X33" s="1"/>
  <c r="AB66" i="13"/>
  <c r="K67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K65" i="10"/>
  <c r="X65" s="1"/>
  <c r="K66" s="1"/>
  <c r="X66" s="1"/>
  <c r="AA32" i="3"/>
  <c r="AA33" i="4"/>
  <c r="AA78" i="15"/>
  <c r="AA79" s="1"/>
  <c r="AA80" s="1"/>
  <c r="AA74" i="14"/>
  <c r="AA75" s="1"/>
  <c r="AA76" s="1"/>
  <c r="AA77" s="1"/>
  <c r="AA78" s="1"/>
  <c r="AA79" s="1"/>
  <c r="AB64" i="11"/>
  <c r="K65"/>
  <c r="X65" s="1"/>
  <c r="K66" s="1"/>
  <c r="X66" s="1"/>
  <c r="AB64" i="8"/>
  <c r="K65"/>
  <c r="X65" s="1"/>
  <c r="K66" s="1"/>
  <c r="X66" s="1"/>
  <c r="AB74" i="16"/>
  <c r="K75"/>
  <c r="X75" s="1"/>
  <c r="K76" s="1"/>
  <c r="X76" s="1"/>
  <c r="K77" s="1"/>
  <c r="X77" s="1"/>
  <c r="K78" s="1"/>
  <c r="X78" s="1"/>
  <c r="AA78" s="1"/>
  <c r="AA79" s="1"/>
  <c r="AA64" i="10"/>
  <c r="AA65" s="1"/>
  <c r="AA66" s="1"/>
  <c r="AA67" s="1"/>
  <c r="AA68" s="1"/>
  <c r="AA69" s="1"/>
  <c r="AA70" s="1"/>
  <c r="AA71" s="1"/>
  <c r="AA72" s="1"/>
  <c r="AA73" s="1"/>
  <c r="AB31" i="6"/>
  <c r="K79" i="15"/>
  <c r="X79" s="1"/>
  <c r="K80" s="1"/>
  <c r="X80" s="1"/>
  <c r="AB33" i="2"/>
  <c r="K34"/>
  <c r="X34" s="1"/>
  <c r="AA64" i="8"/>
  <c r="AA65" s="1"/>
  <c r="AA80" i="16" l="1"/>
  <c r="AA78" i="13"/>
  <c r="AA79" s="1"/>
  <c r="AB66" i="11"/>
  <c r="K67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AB78" i="15"/>
  <c r="AA66" i="11"/>
  <c r="AA67" s="1"/>
  <c r="AA68" s="1"/>
  <c r="AA69" s="1"/>
  <c r="AA70" s="1"/>
  <c r="AA71" s="1"/>
  <c r="AA72" s="1"/>
  <c r="AA73" s="1"/>
  <c r="K67" i="9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K34" i="6"/>
  <c r="X34" s="1"/>
  <c r="AB33"/>
  <c r="K67" i="7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AA74" s="1"/>
  <c r="AA75" s="1"/>
  <c r="AA76" s="1"/>
  <c r="AA77" s="1"/>
  <c r="AB66"/>
  <c r="K34" i="3"/>
  <c r="X34" s="1"/>
  <c r="K34" i="5"/>
  <c r="X34" s="1"/>
  <c r="AB33"/>
  <c r="AB34" i="2"/>
  <c r="K35"/>
  <c r="X35" s="1"/>
  <c r="K75" i="13"/>
  <c r="X75" s="1"/>
  <c r="K76" s="1"/>
  <c r="X76" s="1"/>
  <c r="K77" s="1"/>
  <c r="X77" s="1"/>
  <c r="K78" s="1"/>
  <c r="X78" s="1"/>
  <c r="AB74"/>
  <c r="AA33" i="6"/>
  <c r="K67" i="8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AB66"/>
  <c r="AA66"/>
  <c r="AA67" s="1"/>
  <c r="AA68" s="1"/>
  <c r="AA69" s="1"/>
  <c r="AA70" s="1"/>
  <c r="AA71" s="1"/>
  <c r="AA72" s="1"/>
  <c r="AA73" s="1"/>
  <c r="AB74" i="14"/>
  <c r="AB64" i="10"/>
  <c r="AB34" i="4"/>
  <c r="K35"/>
  <c r="X35" s="1"/>
  <c r="AB80" i="15"/>
  <c r="K81"/>
  <c r="X81" s="1"/>
  <c r="AB78" i="14"/>
  <c r="K79"/>
  <c r="X79" s="1"/>
  <c r="K80" s="1"/>
  <c r="X80" s="1"/>
  <c r="K67" i="10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AA74" s="1"/>
  <c r="AA75" s="1"/>
  <c r="AA76" s="1"/>
  <c r="AA77" s="1"/>
  <c r="AB66"/>
  <c r="AB78" i="16"/>
  <c r="K79"/>
  <c r="X79" s="1"/>
  <c r="K80" s="1"/>
  <c r="X80" s="1"/>
  <c r="AA66" i="9"/>
  <c r="AA67" s="1"/>
  <c r="AA68" s="1"/>
  <c r="AA69" s="1"/>
  <c r="AA70" s="1"/>
  <c r="AA71" s="1"/>
  <c r="AA72" s="1"/>
  <c r="AA73" s="1"/>
  <c r="AA33" i="3"/>
  <c r="AA34" s="1"/>
  <c r="K67" i="12"/>
  <c r="X67" s="1"/>
  <c r="K68" s="1"/>
  <c r="X68" s="1"/>
  <c r="K69" s="1"/>
  <c r="X69" s="1"/>
  <c r="K70" s="1"/>
  <c r="X70" s="1"/>
  <c r="K71" s="1"/>
  <c r="X71" s="1"/>
  <c r="K72" s="1"/>
  <c r="X72" s="1"/>
  <c r="K73" s="1"/>
  <c r="X73" s="1"/>
  <c r="K74" s="1"/>
  <c r="X74" s="1"/>
  <c r="AA74" s="1"/>
  <c r="AA75" s="1"/>
  <c r="AA76" s="1"/>
  <c r="AA77" s="1"/>
  <c r="AB66"/>
  <c r="AA35" i="2"/>
  <c r="AA34" i="4"/>
  <c r="AA78" i="12" l="1"/>
  <c r="AA79" s="1"/>
  <c r="AA78" i="10"/>
  <c r="AA79" s="1"/>
  <c r="AA81" i="16"/>
  <c r="AB80" i="14"/>
  <c r="K81"/>
  <c r="X81" s="1"/>
  <c r="AB81" i="15"/>
  <c r="K82"/>
  <c r="X82" s="1"/>
  <c r="AA74" i="9"/>
  <c r="AA75" s="1"/>
  <c r="AA76" s="1"/>
  <c r="AA77" s="1"/>
  <c r="AA78" s="1"/>
  <c r="AA79" s="1"/>
  <c r="K36" i="4"/>
  <c r="X36" s="1"/>
  <c r="AB80" i="16"/>
  <c r="K81"/>
  <c r="X81" s="1"/>
  <c r="AA81" i="15"/>
  <c r="K75" i="9"/>
  <c r="X75" s="1"/>
  <c r="K76" s="1"/>
  <c r="X76" s="1"/>
  <c r="K77" s="1"/>
  <c r="X77" s="1"/>
  <c r="K78" s="1"/>
  <c r="X78" s="1"/>
  <c r="AB34" i="5"/>
  <c r="K35"/>
  <c r="X35" s="1"/>
  <c r="K75" i="11"/>
  <c r="X75" s="1"/>
  <c r="K76" s="1"/>
  <c r="X76" s="1"/>
  <c r="K77" s="1"/>
  <c r="X77" s="1"/>
  <c r="K78" s="1"/>
  <c r="X78" s="1"/>
  <c r="K35" i="6"/>
  <c r="X35" s="1"/>
  <c r="AB34"/>
  <c r="AB74" i="12"/>
  <c r="K75"/>
  <c r="X75" s="1"/>
  <c r="K76" s="1"/>
  <c r="X76" s="1"/>
  <c r="K77" s="1"/>
  <c r="X77" s="1"/>
  <c r="K78" s="1"/>
  <c r="X78" s="1"/>
  <c r="AA34" i="5"/>
  <c r="AA34" i="6"/>
  <c r="K75" i="8"/>
  <c r="X75" s="1"/>
  <c r="K76" s="1"/>
  <c r="X76" s="1"/>
  <c r="K77" s="1"/>
  <c r="X77" s="1"/>
  <c r="K78" s="1"/>
  <c r="X78" s="1"/>
  <c r="AA80" i="14"/>
  <c r="AB78" i="13"/>
  <c r="K79"/>
  <c r="X79" s="1"/>
  <c r="K80" s="1"/>
  <c r="X80" s="1"/>
  <c r="AA80"/>
  <c r="AA35" i="3"/>
  <c r="AB74" i="7"/>
  <c r="K75"/>
  <c r="X75" s="1"/>
  <c r="K76" s="1"/>
  <c r="X76" s="1"/>
  <c r="K77" s="1"/>
  <c r="X77" s="1"/>
  <c r="K78" s="1"/>
  <c r="X78" s="1"/>
  <c r="AA78" s="1"/>
  <c r="AA79" s="1"/>
  <c r="AB33" i="3"/>
  <c r="AA74" i="8"/>
  <c r="AA75" s="1"/>
  <c r="AA76" s="1"/>
  <c r="AA77" s="1"/>
  <c r="AA78" s="1"/>
  <c r="AA79" s="1"/>
  <c r="AB35" i="2"/>
  <c r="K36"/>
  <c r="X36" s="1"/>
  <c r="AA74" i="11"/>
  <c r="AA75" s="1"/>
  <c r="AA76" s="1"/>
  <c r="AA77" s="1"/>
  <c r="AA78" s="1"/>
  <c r="AA79" s="1"/>
  <c r="AB66" i="9"/>
  <c r="AA35" i="4"/>
  <c r="AB35" s="1"/>
  <c r="K75" i="10"/>
  <c r="X75" s="1"/>
  <c r="K76" s="1"/>
  <c r="X76" s="1"/>
  <c r="K77" s="1"/>
  <c r="X77" s="1"/>
  <c r="K78" s="1"/>
  <c r="X78" s="1"/>
  <c r="AB74"/>
  <c r="AB34" i="3"/>
  <c r="K35"/>
  <c r="X35" s="1"/>
  <c r="AA80" i="7" l="1"/>
  <c r="AA36" i="3"/>
  <c r="AA80" i="11"/>
  <c r="AA80" i="10"/>
  <c r="AA82" i="16"/>
  <c r="AB35" i="5"/>
  <c r="K36"/>
  <c r="X36" s="1"/>
  <c r="AA81" i="13"/>
  <c r="K79" i="9"/>
  <c r="X79" s="1"/>
  <c r="K80" s="1"/>
  <c r="X80" s="1"/>
  <c r="AB78"/>
  <c r="K79" i="11"/>
  <c r="X79" s="1"/>
  <c r="K80" s="1"/>
  <c r="X80" s="1"/>
  <c r="AB78"/>
  <c r="AA35" i="5"/>
  <c r="K37" i="2"/>
  <c r="X37" s="1"/>
  <c r="AB78" i="10"/>
  <c r="K79"/>
  <c r="X79" s="1"/>
  <c r="K80" s="1"/>
  <c r="X80" s="1"/>
  <c r="AB35" i="3"/>
  <c r="K36"/>
  <c r="X36" s="1"/>
  <c r="AA35" i="6"/>
  <c r="AB81" i="16"/>
  <c r="K82"/>
  <c r="X82" s="1"/>
  <c r="AA80" i="8"/>
  <c r="AB74" i="11"/>
  <c r="AB74" i="8"/>
  <c r="AB78" i="7"/>
  <c r="K79"/>
  <c r="X79" s="1"/>
  <c r="K80" s="1"/>
  <c r="X80" s="1"/>
  <c r="K37" i="4"/>
  <c r="X37" s="1"/>
  <c r="K79" i="8"/>
  <c r="X79" s="1"/>
  <c r="K80" s="1"/>
  <c r="X80" s="1"/>
  <c r="AB78"/>
  <c r="AB78" i="12"/>
  <c r="K79"/>
  <c r="X79" s="1"/>
  <c r="K80" s="1"/>
  <c r="X80" s="1"/>
  <c r="AA81" i="14"/>
  <c r="AA82" s="1"/>
  <c r="K82"/>
  <c r="X82" s="1"/>
  <c r="AA36" i="4"/>
  <c r="AA37" s="1"/>
  <c r="AB74" i="9"/>
  <c r="AA36" i="2"/>
  <c r="AA37" s="1"/>
  <c r="AB82" i="15"/>
  <c r="K83"/>
  <c r="X83" s="1"/>
  <c r="AB35" i="6"/>
  <c r="K36"/>
  <c r="X36" s="1"/>
  <c r="AB80" i="13"/>
  <c r="K81"/>
  <c r="X81" s="1"/>
  <c r="AA82" i="15"/>
  <c r="AB80" i="12" l="1"/>
  <c r="K81"/>
  <c r="X81" s="1"/>
  <c r="AA37" i="3"/>
  <c r="AB81" i="14"/>
  <c r="AA82" i="13"/>
  <c r="AB80" i="11"/>
  <c r="K81"/>
  <c r="X81" s="1"/>
  <c r="AA83" i="14"/>
  <c r="AA84" s="1"/>
  <c r="AB36" i="5"/>
  <c r="K37"/>
  <c r="X37" s="1"/>
  <c r="K82" i="13"/>
  <c r="X82" s="1"/>
  <c r="AB81"/>
  <c r="AB80" i="9"/>
  <c r="K81"/>
  <c r="X81" s="1"/>
  <c r="AB36" i="3"/>
  <c r="K37"/>
  <c r="X37" s="1"/>
  <c r="AA83" i="15"/>
  <c r="AA84" s="1"/>
  <c r="AA85" s="1"/>
  <c r="AA86" s="1"/>
  <c r="AA87" s="1"/>
  <c r="AB82" i="14"/>
  <c r="K83"/>
  <c r="X83" s="1"/>
  <c r="K84" i="15"/>
  <c r="X84" s="1"/>
  <c r="K85" s="1"/>
  <c r="X85" s="1"/>
  <c r="AB80" i="10"/>
  <c r="K81"/>
  <c r="X81" s="1"/>
  <c r="AA80" i="9"/>
  <c r="AB82" i="16"/>
  <c r="K83"/>
  <c r="X83" s="1"/>
  <c r="AA36" i="6"/>
  <c r="AB37" i="2"/>
  <c r="K38"/>
  <c r="X38" s="1"/>
  <c r="AB80" i="7"/>
  <c r="K81"/>
  <c r="X81" s="1"/>
  <c r="AA81" s="1"/>
  <c r="AA38" i="2"/>
  <c r="AB36" i="6"/>
  <c r="K37"/>
  <c r="X37" s="1"/>
  <c r="AA83" i="16"/>
  <c r="AA84" s="1"/>
  <c r="AB36" i="2"/>
  <c r="AB36" i="4"/>
  <c r="AB37"/>
  <c r="K38"/>
  <c r="X38" s="1"/>
  <c r="AA80" i="12"/>
  <c r="AA81" i="8"/>
  <c r="AB80"/>
  <c r="K81"/>
  <c r="X81" s="1"/>
  <c r="AA36" i="5"/>
  <c r="AA82" i="7" l="1"/>
  <c r="AA38" i="3"/>
  <c r="AB81" i="7"/>
  <c r="K82"/>
  <c r="X82" s="1"/>
  <c r="AB38" i="4"/>
  <c r="K39"/>
  <c r="X39" s="1"/>
  <c r="K38" i="6"/>
  <c r="X38" s="1"/>
  <c r="AA39" i="2"/>
  <c r="AA85" i="16"/>
  <c r="AA86" s="1"/>
  <c r="AA87" s="1"/>
  <c r="AA38" i="4"/>
  <c r="AB81" i="11"/>
  <c r="K82"/>
  <c r="X82" s="1"/>
  <c r="AA37" i="5"/>
  <c r="AA81" i="12"/>
  <c r="AA82" s="1"/>
  <c r="AA81" i="11"/>
  <c r="K82" i="12"/>
  <c r="X82" s="1"/>
  <c r="AB82" i="13"/>
  <c r="K83"/>
  <c r="X83" s="1"/>
  <c r="K82" i="9"/>
  <c r="X82" s="1"/>
  <c r="K86" i="15"/>
  <c r="X86" s="1"/>
  <c r="K87" s="1"/>
  <c r="X87" s="1"/>
  <c r="K88" s="1"/>
  <c r="X88" s="1"/>
  <c r="AB85"/>
  <c r="AB83" i="16"/>
  <c r="K84"/>
  <c r="X84" s="1"/>
  <c r="K85" s="1"/>
  <c r="X85" s="1"/>
  <c r="AB81" i="8"/>
  <c r="K82"/>
  <c r="X82" s="1"/>
  <c r="K82" i="10"/>
  <c r="X82" s="1"/>
  <c r="AB81"/>
  <c r="AA81"/>
  <c r="AB83" i="14"/>
  <c r="K84"/>
  <c r="X84" s="1"/>
  <c r="K85" s="1"/>
  <c r="X85" s="1"/>
  <c r="AA85" s="1"/>
  <c r="AA86" s="1"/>
  <c r="AA87" s="1"/>
  <c r="AA81" i="9"/>
  <c r="AA82" s="1"/>
  <c r="AA37" i="6"/>
  <c r="AA38" s="1"/>
  <c r="K38" i="5"/>
  <c r="X38" s="1"/>
  <c r="AB37"/>
  <c r="AB37" i="3"/>
  <c r="K38"/>
  <c r="X38" s="1"/>
  <c r="AB38" i="2"/>
  <c r="K39"/>
  <c r="X39" s="1"/>
  <c r="AA82" i="8"/>
  <c r="AA88" i="15"/>
  <c r="AB83"/>
  <c r="AA88" i="14" l="1"/>
  <c r="AA83" i="7"/>
  <c r="AA84" s="1"/>
  <c r="AB38" i="3"/>
  <c r="K39"/>
  <c r="X39" s="1"/>
  <c r="K40" i="4"/>
  <c r="X40" s="1"/>
  <c r="AA39"/>
  <c r="AA83" i="8"/>
  <c r="AA84" s="1"/>
  <c r="AA83" i="9"/>
  <c r="AA84" s="1"/>
  <c r="AA40" i="2"/>
  <c r="AA82" i="11"/>
  <c r="AA83" s="1"/>
  <c r="AA84" s="1"/>
  <c r="K39" i="6"/>
  <c r="X39" s="1"/>
  <c r="AB38"/>
  <c r="K83" i="11"/>
  <c r="X83" s="1"/>
  <c r="K84" i="13"/>
  <c r="X84" s="1"/>
  <c r="K85" s="1"/>
  <c r="X85" s="1"/>
  <c r="AB85" i="16"/>
  <c r="K86"/>
  <c r="X86" s="1"/>
  <c r="K87" s="1"/>
  <c r="X87" s="1"/>
  <c r="K88" s="1"/>
  <c r="X88" s="1"/>
  <c r="AB81" i="12"/>
  <c r="AA38" i="5"/>
  <c r="AB81" i="9"/>
  <c r="K83"/>
  <c r="X83" s="1"/>
  <c r="AB82"/>
  <c r="K83" i="8"/>
  <c r="X83" s="1"/>
  <c r="AB82"/>
  <c r="K83" i="7"/>
  <c r="X83" s="1"/>
  <c r="AB82"/>
  <c r="K83" i="10"/>
  <c r="X83" s="1"/>
  <c r="AB37" i="6"/>
  <c r="K39" i="5"/>
  <c r="X39" s="1"/>
  <c r="AB38"/>
  <c r="AB82" i="12"/>
  <c r="K83"/>
  <c r="X83" s="1"/>
  <c r="AA83" s="1"/>
  <c r="AA84" s="1"/>
  <c r="AB88" i="15"/>
  <c r="K89"/>
  <c r="X89" s="1"/>
  <c r="AA39" i="6"/>
  <c r="AA88" i="16"/>
  <c r="AA83" i="13"/>
  <c r="AA84" s="1"/>
  <c r="AA85" s="1"/>
  <c r="AA86" s="1"/>
  <c r="AA87" s="1"/>
  <c r="AB85" i="14"/>
  <c r="K86"/>
  <c r="X86" s="1"/>
  <c r="K87" s="1"/>
  <c r="X87" s="1"/>
  <c r="K88" s="1"/>
  <c r="X88" s="1"/>
  <c r="AB39" i="2"/>
  <c r="K40"/>
  <c r="X40" s="1"/>
  <c r="AA82" i="10"/>
  <c r="AA83" s="1"/>
  <c r="AA84" s="1"/>
  <c r="AA85" i="12" l="1"/>
  <c r="AA86" s="1"/>
  <c r="AA87" s="1"/>
  <c r="AB40" i="4"/>
  <c r="K41"/>
  <c r="X41" s="1"/>
  <c r="AA40"/>
  <c r="AA85" i="7"/>
  <c r="AA86" s="1"/>
  <c r="AA87" s="1"/>
  <c r="AB39" i="3"/>
  <c r="K40"/>
  <c r="X40" s="1"/>
  <c r="AA40" i="6"/>
  <c r="AB89" i="15"/>
  <c r="K90"/>
  <c r="X90" s="1"/>
  <c r="AB88" i="14"/>
  <c r="K89"/>
  <c r="X89" s="1"/>
  <c r="AB39" i="6"/>
  <c r="K40"/>
  <c r="X40" s="1"/>
  <c r="AB88" i="16"/>
  <c r="K89"/>
  <c r="X89" s="1"/>
  <c r="AA39" i="3"/>
  <c r="AB82" i="11"/>
  <c r="AB85" i="13"/>
  <c r="K86"/>
  <c r="X86" s="1"/>
  <c r="K87" s="1"/>
  <c r="X87" s="1"/>
  <c r="K88" s="1"/>
  <c r="X88" s="1"/>
  <c r="AA89" i="15"/>
  <c r="AB83" i="12"/>
  <c r="K84"/>
  <c r="X84" s="1"/>
  <c r="K85" s="1"/>
  <c r="X85" s="1"/>
  <c r="K84" i="11"/>
  <c r="X84" s="1"/>
  <c r="K85" s="1"/>
  <c r="X85" s="1"/>
  <c r="AB83"/>
  <c r="AB83" i="9"/>
  <c r="K84"/>
  <c r="X84" s="1"/>
  <c r="K85" s="1"/>
  <c r="X85" s="1"/>
  <c r="AB83" i="7"/>
  <c r="K84"/>
  <c r="X84" s="1"/>
  <c r="K85" s="1"/>
  <c r="X85" s="1"/>
  <c r="AB39" i="5"/>
  <c r="K40"/>
  <c r="X40" s="1"/>
  <c r="AB83" i="8"/>
  <c r="K84"/>
  <c r="X84" s="1"/>
  <c r="K85" s="1"/>
  <c r="X85" s="1"/>
  <c r="AA85" s="1"/>
  <c r="AA86" s="1"/>
  <c r="AA87" s="1"/>
  <c r="AB39" i="4"/>
  <c r="AA89" i="16"/>
  <c r="AA85" i="10"/>
  <c r="AA86" s="1"/>
  <c r="AA87" s="1"/>
  <c r="AA85" i="11"/>
  <c r="AA86" s="1"/>
  <c r="AA87" s="1"/>
  <c r="AB82" i="10"/>
  <c r="AB83"/>
  <c r="K84"/>
  <c r="X84" s="1"/>
  <c r="K85" s="1"/>
  <c r="X85" s="1"/>
  <c r="AA85" i="9"/>
  <c r="AA86" s="1"/>
  <c r="AA87" s="1"/>
  <c r="AB83" i="13"/>
  <c r="AB40" i="2"/>
  <c r="K41"/>
  <c r="X41" s="1"/>
  <c r="AA88" i="13"/>
  <c r="AA39" i="5"/>
  <c r="AA88" i="8" l="1"/>
  <c r="AA88" i="12"/>
  <c r="AB85" i="10"/>
  <c r="K86"/>
  <c r="X86" s="1"/>
  <c r="K87" s="1"/>
  <c r="X87" s="1"/>
  <c r="K88" s="1"/>
  <c r="X88" s="1"/>
  <c r="AB85" i="8"/>
  <c r="K86"/>
  <c r="X86" s="1"/>
  <c r="K87" s="1"/>
  <c r="X87" s="1"/>
  <c r="K88" s="1"/>
  <c r="X88" s="1"/>
  <c r="AA88" i="9"/>
  <c r="K90" i="14"/>
  <c r="X90" s="1"/>
  <c r="AB40" i="5"/>
  <c r="K41"/>
  <c r="X41" s="1"/>
  <c r="K41" i="6"/>
  <c r="X41" s="1"/>
  <c r="AB40"/>
  <c r="AA40" i="3"/>
  <c r="AA90" i="15"/>
  <c r="AA91" s="1"/>
  <c r="AA92" s="1"/>
  <c r="AA93" s="1"/>
  <c r="AA94" s="1"/>
  <c r="AA95" s="1"/>
  <c r="AA96" s="1"/>
  <c r="K91"/>
  <c r="X91" s="1"/>
  <c r="K92" s="1"/>
  <c r="X92" s="1"/>
  <c r="K93" s="1"/>
  <c r="X93" s="1"/>
  <c r="K94" s="1"/>
  <c r="X94" s="1"/>
  <c r="K95" s="1"/>
  <c r="X95" s="1"/>
  <c r="K96" s="1"/>
  <c r="X96" s="1"/>
  <c r="K86" i="12"/>
  <c r="X86" s="1"/>
  <c r="K87" s="1"/>
  <c r="X87" s="1"/>
  <c r="K88" s="1"/>
  <c r="X88" s="1"/>
  <c r="AB85"/>
  <c r="K86" i="9"/>
  <c r="X86" s="1"/>
  <c r="K87" s="1"/>
  <c r="X87" s="1"/>
  <c r="K88" s="1"/>
  <c r="X88" s="1"/>
  <c r="AB85"/>
  <c r="K42" i="4"/>
  <c r="X42" s="1"/>
  <c r="AB85" i="11"/>
  <c r="K86"/>
  <c r="X86" s="1"/>
  <c r="K87" s="1"/>
  <c r="X87" s="1"/>
  <c r="K88" s="1"/>
  <c r="X88" s="1"/>
  <c r="AA40" i="5"/>
  <c r="AB89" i="16"/>
  <c r="K90"/>
  <c r="X90" s="1"/>
  <c r="AA90" s="1"/>
  <c r="AA91" s="1"/>
  <c r="AA92" s="1"/>
  <c r="AA93" s="1"/>
  <c r="AA94" s="1"/>
  <c r="AA95" s="1"/>
  <c r="AB85" i="7"/>
  <c r="K86"/>
  <c r="X86" s="1"/>
  <c r="K87" s="1"/>
  <c r="X87" s="1"/>
  <c r="K88" s="1"/>
  <c r="X88" s="1"/>
  <c r="AB40" i="3"/>
  <c r="K41"/>
  <c r="X41" s="1"/>
  <c r="AB41" i="2"/>
  <c r="K42"/>
  <c r="X42" s="1"/>
  <c r="AA41" i="4"/>
  <c r="AA42" s="1"/>
  <c r="AA89" i="14"/>
  <c r="AB89" s="1"/>
  <c r="AB88" i="13"/>
  <c r="K89"/>
  <c r="X89" s="1"/>
  <c r="AA41" i="2"/>
  <c r="AA96" i="16" l="1"/>
  <c r="K89" i="7"/>
  <c r="X89" s="1"/>
  <c r="AB88"/>
  <c r="AB88" i="8"/>
  <c r="K89"/>
  <c r="X89" s="1"/>
  <c r="K42" i="3"/>
  <c r="X42" s="1"/>
  <c r="AA43" i="4"/>
  <c r="K89" i="10"/>
  <c r="X89" s="1"/>
  <c r="K90" i="13"/>
  <c r="X90" s="1"/>
  <c r="AB89"/>
  <c r="AB90" i="15"/>
  <c r="AA89" i="13"/>
  <c r="AB90" i="14"/>
  <c r="K91"/>
  <c r="X91" s="1"/>
  <c r="K92" s="1"/>
  <c r="X92" s="1"/>
  <c r="K93" s="1"/>
  <c r="X93" s="1"/>
  <c r="K94" s="1"/>
  <c r="X94" s="1"/>
  <c r="K95" s="1"/>
  <c r="X95" s="1"/>
  <c r="K96" s="1"/>
  <c r="X96" s="1"/>
  <c r="K42" i="6"/>
  <c r="X42" s="1"/>
  <c r="AB41" i="4"/>
  <c r="AB88" i="12"/>
  <c r="K89"/>
  <c r="X89" s="1"/>
  <c r="AB42" i="4"/>
  <c r="K43"/>
  <c r="X43" s="1"/>
  <c r="AA90" i="14"/>
  <c r="AA91" s="1"/>
  <c r="AA92" s="1"/>
  <c r="AA93" s="1"/>
  <c r="AA94" s="1"/>
  <c r="AA95" s="1"/>
  <c r="AA42" i="2"/>
  <c r="K42" i="5"/>
  <c r="X42" s="1"/>
  <c r="AB96" i="15"/>
  <c r="K97"/>
  <c r="X97" s="1"/>
  <c r="AA88" i="7"/>
  <c r="AA41" i="3"/>
  <c r="AA42" s="1"/>
  <c r="AB42" i="2"/>
  <c r="K43"/>
  <c r="X43" s="1"/>
  <c r="K89" i="11"/>
  <c r="X89" s="1"/>
  <c r="AB88"/>
  <c r="AA88" i="10"/>
  <c r="AA89" s="1"/>
  <c r="K91" i="16"/>
  <c r="X91" s="1"/>
  <c r="K92" s="1"/>
  <c r="X92" s="1"/>
  <c r="K93" s="1"/>
  <c r="X93" s="1"/>
  <c r="K94" s="1"/>
  <c r="X94" s="1"/>
  <c r="K95" s="1"/>
  <c r="X95" s="1"/>
  <c r="K96" s="1"/>
  <c r="X96" s="1"/>
  <c r="AB90"/>
  <c r="AB88" i="9"/>
  <c r="K89"/>
  <c r="X89" s="1"/>
  <c r="AA97" i="15"/>
  <c r="AA98" s="1"/>
  <c r="AA88" i="11"/>
  <c r="AA41" i="6"/>
  <c r="AA42" s="1"/>
  <c r="AA41" i="5"/>
  <c r="AA42" s="1"/>
  <c r="AB89" i="11" l="1"/>
  <c r="K90"/>
  <c r="X90" s="1"/>
  <c r="AB89" i="8"/>
  <c r="K90"/>
  <c r="X90" s="1"/>
  <c r="AA43" i="3"/>
  <c r="AB96" i="16"/>
  <c r="K97"/>
  <c r="X97" s="1"/>
  <c r="K43" i="6"/>
  <c r="X43" s="1"/>
  <c r="AB42"/>
  <c r="AB88" i="10"/>
  <c r="AB90" i="13"/>
  <c r="K91"/>
  <c r="X91" s="1"/>
  <c r="K92" s="1"/>
  <c r="X92" s="1"/>
  <c r="K93" s="1"/>
  <c r="X93" s="1"/>
  <c r="K94" s="1"/>
  <c r="X94" s="1"/>
  <c r="K95" s="1"/>
  <c r="X95" s="1"/>
  <c r="K96" s="1"/>
  <c r="X96" s="1"/>
  <c r="AA89" i="8"/>
  <c r="AA43" i="2"/>
  <c r="K90" i="10"/>
  <c r="X90" s="1"/>
  <c r="AB89"/>
  <c r="AB96" i="14"/>
  <c r="K97"/>
  <c r="X97" s="1"/>
  <c r="K90" i="12"/>
  <c r="X90" s="1"/>
  <c r="AB42" i="5"/>
  <c r="K43"/>
  <c r="X43" s="1"/>
  <c r="AB42" i="3"/>
  <c r="K43"/>
  <c r="X43" s="1"/>
  <c r="K90" i="9"/>
  <c r="X90" s="1"/>
  <c r="AA90" i="13"/>
  <c r="AA91" s="1"/>
  <c r="AA92" s="1"/>
  <c r="AA93" s="1"/>
  <c r="AA94" s="1"/>
  <c r="AA95" s="1"/>
  <c r="AB41" i="6"/>
  <c r="AA96" i="14"/>
  <c r="AB41" i="5"/>
  <c r="AA89" i="11"/>
  <c r="AB89" i="7"/>
  <c r="K90"/>
  <c r="X90" s="1"/>
  <c r="AB43" i="4"/>
  <c r="K44"/>
  <c r="X44" s="1"/>
  <c r="AA44" s="1"/>
  <c r="AB97" i="15"/>
  <c r="K98"/>
  <c r="X98" s="1"/>
  <c r="K99" s="1"/>
  <c r="X99" s="1"/>
  <c r="AA99" s="1"/>
  <c r="AA100" s="1"/>
  <c r="AA101" s="1"/>
  <c r="AA102" s="1"/>
  <c r="AA103" s="1"/>
  <c r="AB43" i="2"/>
  <c r="K44"/>
  <c r="X44" s="1"/>
  <c r="AB41" i="3"/>
  <c r="AA89" i="9"/>
  <c r="AA90" s="1"/>
  <c r="AA91" s="1"/>
  <c r="AA92" s="1"/>
  <c r="AA93" s="1"/>
  <c r="AA94" s="1"/>
  <c r="AA95" s="1"/>
  <c r="AA89" i="12"/>
  <c r="AA90" s="1"/>
  <c r="AA91" s="1"/>
  <c r="AA92" s="1"/>
  <c r="AA93" s="1"/>
  <c r="AA94" s="1"/>
  <c r="AA95" s="1"/>
  <c r="AA43" i="5"/>
  <c r="AA89" i="7"/>
  <c r="AA45" i="4" l="1"/>
  <c r="K91" i="11"/>
  <c r="X91" s="1"/>
  <c r="K92" s="1"/>
  <c r="X92" s="1"/>
  <c r="K93" s="1"/>
  <c r="X93" s="1"/>
  <c r="K94" s="1"/>
  <c r="X94" s="1"/>
  <c r="K95" s="1"/>
  <c r="X95" s="1"/>
  <c r="K96" s="1"/>
  <c r="X96" s="1"/>
  <c r="AB90" i="8"/>
  <c r="K91"/>
  <c r="X91" s="1"/>
  <c r="K92" s="1"/>
  <c r="X92" s="1"/>
  <c r="K93" s="1"/>
  <c r="X93" s="1"/>
  <c r="K94" s="1"/>
  <c r="X94" s="1"/>
  <c r="K95" s="1"/>
  <c r="X95" s="1"/>
  <c r="K96" s="1"/>
  <c r="X96" s="1"/>
  <c r="AA44" i="3"/>
  <c r="AB90" i="7"/>
  <c r="K91"/>
  <c r="X91" s="1"/>
  <c r="K92" s="1"/>
  <c r="X92" s="1"/>
  <c r="K93" s="1"/>
  <c r="X93" s="1"/>
  <c r="K94" s="1"/>
  <c r="X94" s="1"/>
  <c r="K95" s="1"/>
  <c r="X95" s="1"/>
  <c r="K96" s="1"/>
  <c r="X96" s="1"/>
  <c r="AB43" i="6"/>
  <c r="K44"/>
  <c r="X44" s="1"/>
  <c r="AA43"/>
  <c r="K98" i="16"/>
  <c r="X98" s="1"/>
  <c r="K99" s="1"/>
  <c r="X99" s="1"/>
  <c r="AA90" i="7"/>
  <c r="AA91" s="1"/>
  <c r="AA92" s="1"/>
  <c r="AA93" s="1"/>
  <c r="AA94" s="1"/>
  <c r="AA95" s="1"/>
  <c r="AB43" i="3"/>
  <c r="K44"/>
  <c r="X44" s="1"/>
  <c r="AA44" i="2"/>
  <c r="AA45" s="1"/>
  <c r="K97" i="13"/>
  <c r="X97" s="1"/>
  <c r="K91" i="10"/>
  <c r="X91" s="1"/>
  <c r="K92" s="1"/>
  <c r="X92" s="1"/>
  <c r="K93" s="1"/>
  <c r="X93" s="1"/>
  <c r="K94" s="1"/>
  <c r="X94" s="1"/>
  <c r="K95" s="1"/>
  <c r="X95" s="1"/>
  <c r="K96" s="1"/>
  <c r="X96" s="1"/>
  <c r="K44" i="5"/>
  <c r="X44" s="1"/>
  <c r="AB43"/>
  <c r="AB89" i="12"/>
  <c r="AB89" i="9"/>
  <c r="AB90"/>
  <c r="K91"/>
  <c r="X91" s="1"/>
  <c r="K92" s="1"/>
  <c r="X92" s="1"/>
  <c r="K93" s="1"/>
  <c r="X93" s="1"/>
  <c r="K94" s="1"/>
  <c r="X94" s="1"/>
  <c r="K95" s="1"/>
  <c r="X95" s="1"/>
  <c r="K96" s="1"/>
  <c r="X96" s="1"/>
  <c r="AA90" i="8"/>
  <c r="AA91" s="1"/>
  <c r="AA92" s="1"/>
  <c r="AA93" s="1"/>
  <c r="AA94" s="1"/>
  <c r="AA95" s="1"/>
  <c r="K45" i="2"/>
  <c r="X45" s="1"/>
  <c r="AA90" i="11"/>
  <c r="AA91" s="1"/>
  <c r="AA92" s="1"/>
  <c r="AA93" s="1"/>
  <c r="AA94" s="1"/>
  <c r="AA95" s="1"/>
  <c r="AA96" s="1"/>
  <c r="AA90" i="10"/>
  <c r="AA91" s="1"/>
  <c r="AA92" s="1"/>
  <c r="AA93" s="1"/>
  <c r="AA94" s="1"/>
  <c r="AA95" s="1"/>
  <c r="AA96" s="1"/>
  <c r="AA96" i="13"/>
  <c r="AA97" s="1"/>
  <c r="AA98" s="1"/>
  <c r="AB99" i="15"/>
  <c r="K100"/>
  <c r="X100" s="1"/>
  <c r="K101" s="1"/>
  <c r="X101" s="1"/>
  <c r="K102" s="1"/>
  <c r="X102" s="1"/>
  <c r="K103" s="1"/>
  <c r="X103" s="1"/>
  <c r="K104" s="1"/>
  <c r="X104" s="1"/>
  <c r="AA104" s="1"/>
  <c r="AA105" s="1"/>
  <c r="AA97" i="16"/>
  <c r="AA98" s="1"/>
  <c r="AA99" s="1"/>
  <c r="AA100" s="1"/>
  <c r="AA101" s="1"/>
  <c r="AA102" s="1"/>
  <c r="AA103" s="1"/>
  <c r="AA44" i="5"/>
  <c r="K91" i="12"/>
  <c r="X91" s="1"/>
  <c r="K92" s="1"/>
  <c r="X92" s="1"/>
  <c r="K93" s="1"/>
  <c r="X93" s="1"/>
  <c r="K94" s="1"/>
  <c r="X94" s="1"/>
  <c r="K95" s="1"/>
  <c r="X95" s="1"/>
  <c r="K96" s="1"/>
  <c r="X96" s="1"/>
  <c r="AA96" s="1"/>
  <c r="AB90"/>
  <c r="AA96" i="9"/>
  <c r="AA97" i="14"/>
  <c r="AA98" s="1"/>
  <c r="AA99" s="1"/>
  <c r="AA100" s="1"/>
  <c r="AA101" s="1"/>
  <c r="AA102" s="1"/>
  <c r="AA103" s="1"/>
  <c r="AB44" i="4"/>
  <c r="K45"/>
  <c r="X45" s="1"/>
  <c r="K98" i="14"/>
  <c r="X98" s="1"/>
  <c r="K99" s="1"/>
  <c r="X99" s="1"/>
  <c r="AA97" i="12" l="1"/>
  <c r="AA98" s="1"/>
  <c r="K97" i="7"/>
  <c r="X97" s="1"/>
  <c r="AB96"/>
  <c r="AB104" i="15"/>
  <c r="K105"/>
  <c r="X105" s="1"/>
  <c r="K106" s="1"/>
  <c r="X106" s="1"/>
  <c r="K97" i="8"/>
  <c r="X97" s="1"/>
  <c r="AB44" i="3"/>
  <c r="K45"/>
  <c r="X45" s="1"/>
  <c r="AA99" i="13"/>
  <c r="AA100" s="1"/>
  <c r="AA101" s="1"/>
  <c r="AA102" s="1"/>
  <c r="AA103" s="1"/>
  <c r="AA44" i="6"/>
  <c r="AA45" s="1"/>
  <c r="AB97" i="14"/>
  <c r="AB45" i="4"/>
  <c r="K46"/>
  <c r="X46" s="1"/>
  <c r="K45" i="6"/>
  <c r="X45" s="1"/>
  <c r="K100" i="14"/>
  <c r="X100" s="1"/>
  <c r="K101" s="1"/>
  <c r="X101" s="1"/>
  <c r="K102" s="1"/>
  <c r="X102" s="1"/>
  <c r="K103" s="1"/>
  <c r="X103" s="1"/>
  <c r="K104" s="1"/>
  <c r="X104" s="1"/>
  <c r="AB99"/>
  <c r="AA45" i="5"/>
  <c r="AB96" i="13"/>
  <c r="K100" i="16"/>
  <c r="X100" s="1"/>
  <c r="K101" s="1"/>
  <c r="X101" s="1"/>
  <c r="K102" s="1"/>
  <c r="X102" s="1"/>
  <c r="K103" s="1"/>
  <c r="X103" s="1"/>
  <c r="K104" s="1"/>
  <c r="X104" s="1"/>
  <c r="AB99"/>
  <c r="AB44" i="5"/>
  <c r="K45"/>
  <c r="X45" s="1"/>
  <c r="AB97" i="13"/>
  <c r="K98"/>
  <c r="X98" s="1"/>
  <c r="K99" s="1"/>
  <c r="X99" s="1"/>
  <c r="AB96" i="9"/>
  <c r="K97"/>
  <c r="X97" s="1"/>
  <c r="AA104" i="16"/>
  <c r="AA105" s="1"/>
  <c r="AA106" s="1"/>
  <c r="AA107" s="1"/>
  <c r="AB97"/>
  <c r="AA97" i="11"/>
  <c r="AA98" s="1"/>
  <c r="AB90"/>
  <c r="AA104" i="14"/>
  <c r="AA105" s="1"/>
  <c r="AB90" i="10"/>
  <c r="AA96" i="8"/>
  <c r="AB96" i="11"/>
  <c r="K97"/>
  <c r="X97" s="1"/>
  <c r="AB44" i="2"/>
  <c r="AB96" i="12"/>
  <c r="K97"/>
  <c r="X97" s="1"/>
  <c r="K97" i="10"/>
  <c r="X97" s="1"/>
  <c r="AB96"/>
  <c r="AB45" i="2"/>
  <c r="K46"/>
  <c r="X46" s="1"/>
  <c r="AA96" i="7"/>
  <c r="AA99" i="12" l="1"/>
  <c r="AA100" s="1"/>
  <c r="AA101" s="1"/>
  <c r="AA102" s="1"/>
  <c r="AA103" s="1"/>
  <c r="AB97" i="7"/>
  <c r="K98"/>
  <c r="X98" s="1"/>
  <c r="K99" s="1"/>
  <c r="X99" s="1"/>
  <c r="AB97" i="9"/>
  <c r="K98"/>
  <c r="X98" s="1"/>
  <c r="K99" s="1"/>
  <c r="X99" s="1"/>
  <c r="AB97" i="8"/>
  <c r="K98"/>
  <c r="X98" s="1"/>
  <c r="K99" s="1"/>
  <c r="X99" s="1"/>
  <c r="AB45" i="3"/>
  <c r="K46"/>
  <c r="X46" s="1"/>
  <c r="AB106" i="15"/>
  <c r="K107"/>
  <c r="X107" s="1"/>
  <c r="K108" s="1"/>
  <c r="X108" s="1"/>
  <c r="AA45" i="3"/>
  <c r="AB97" i="12"/>
  <c r="K98"/>
  <c r="X98" s="1"/>
  <c r="K99" s="1"/>
  <c r="X99" s="1"/>
  <c r="AA106" i="14"/>
  <c r="AA107" s="1"/>
  <c r="AA97" i="7"/>
  <c r="AA98" s="1"/>
  <c r="AB46" i="4"/>
  <c r="K47"/>
  <c r="X47" s="1"/>
  <c r="K47" i="2"/>
  <c r="X47" s="1"/>
  <c r="AA97" i="8"/>
  <c r="AA98" s="1"/>
  <c r="K98" i="10"/>
  <c r="X98" s="1"/>
  <c r="K99" s="1"/>
  <c r="X99" s="1"/>
  <c r="AB104" i="14"/>
  <c r="K105"/>
  <c r="X105" s="1"/>
  <c r="K106" s="1"/>
  <c r="X106" s="1"/>
  <c r="K46" i="5"/>
  <c r="X46" s="1"/>
  <c r="AB45"/>
  <c r="AA106" i="15"/>
  <c r="AA107" s="1"/>
  <c r="AA46" i="4"/>
  <c r="AB97" i="11"/>
  <c r="K98"/>
  <c r="X98" s="1"/>
  <c r="K99" s="1"/>
  <c r="X99" s="1"/>
  <c r="AA46" i="2"/>
  <c r="AA47" s="1"/>
  <c r="AA97" i="10"/>
  <c r="AA98" s="1"/>
  <c r="AA99" s="1"/>
  <c r="AA100" s="1"/>
  <c r="AA101" s="1"/>
  <c r="AA102" s="1"/>
  <c r="AA103" s="1"/>
  <c r="AA46" i="5"/>
  <c r="AB45" i="6"/>
  <c r="K46"/>
  <c r="X46" s="1"/>
  <c r="AB99" i="13"/>
  <c r="K100"/>
  <c r="X100" s="1"/>
  <c r="K101" s="1"/>
  <c r="X101" s="1"/>
  <c r="K102" s="1"/>
  <c r="X102" s="1"/>
  <c r="K103" s="1"/>
  <c r="X103" s="1"/>
  <c r="K104" s="1"/>
  <c r="X104" s="1"/>
  <c r="AA97" i="9"/>
  <c r="AA98" s="1"/>
  <c r="AB104" i="16"/>
  <c r="K105"/>
  <c r="X105" s="1"/>
  <c r="K106" s="1"/>
  <c r="X106" s="1"/>
  <c r="K107" s="1"/>
  <c r="X107" s="1"/>
  <c r="K108" s="1"/>
  <c r="X108" s="1"/>
  <c r="AB96" i="8"/>
  <c r="AB44" i="6"/>
  <c r="AA104" i="12" l="1"/>
  <c r="AA105" s="1"/>
  <c r="AB99" i="11"/>
  <c r="K100"/>
  <c r="X100" s="1"/>
  <c r="K101" s="1"/>
  <c r="X101" s="1"/>
  <c r="K102" s="1"/>
  <c r="X102" s="1"/>
  <c r="K103" s="1"/>
  <c r="X103" s="1"/>
  <c r="K104" s="1"/>
  <c r="X104" s="1"/>
  <c r="K47" i="6"/>
  <c r="X47" s="1"/>
  <c r="AA99" i="11"/>
  <c r="AA100" s="1"/>
  <c r="AA101" s="1"/>
  <c r="AA102" s="1"/>
  <c r="AA103" s="1"/>
  <c r="K100" i="8"/>
  <c r="X100" s="1"/>
  <c r="K101" s="1"/>
  <c r="X101" s="1"/>
  <c r="K102" s="1"/>
  <c r="X102" s="1"/>
  <c r="K103" s="1"/>
  <c r="X103" s="1"/>
  <c r="K104" s="1"/>
  <c r="X104" s="1"/>
  <c r="AB99" i="7"/>
  <c r="K100"/>
  <c r="X100" s="1"/>
  <c r="K101" s="1"/>
  <c r="X101" s="1"/>
  <c r="K102" s="1"/>
  <c r="X102" s="1"/>
  <c r="K103" s="1"/>
  <c r="X103" s="1"/>
  <c r="K104" s="1"/>
  <c r="X104" s="1"/>
  <c r="AA46" i="3"/>
  <c r="AA47" s="1"/>
  <c r="AB108" i="16"/>
  <c r="K109"/>
  <c r="X109" s="1"/>
  <c r="K110" s="1"/>
  <c r="X110" s="1"/>
  <c r="K111" s="1"/>
  <c r="X111" s="1"/>
  <c r="K112" s="1"/>
  <c r="X112" s="1"/>
  <c r="K113" s="1"/>
  <c r="X113" s="1"/>
  <c r="K114" s="1"/>
  <c r="X114" s="1"/>
  <c r="AA99" i="7"/>
  <c r="AA100" s="1"/>
  <c r="AA101" s="1"/>
  <c r="AA102" s="1"/>
  <c r="AA103" s="1"/>
  <c r="K109" i="15"/>
  <c r="X109" s="1"/>
  <c r="K110" s="1"/>
  <c r="X110" s="1"/>
  <c r="K111" s="1"/>
  <c r="X111" s="1"/>
  <c r="K112" s="1"/>
  <c r="X112" s="1"/>
  <c r="K113" s="1"/>
  <c r="X113" s="1"/>
  <c r="K114" s="1"/>
  <c r="X114" s="1"/>
  <c r="AA104" i="10"/>
  <c r="AA105" s="1"/>
  <c r="K105" i="13"/>
  <c r="X105" s="1"/>
  <c r="K106" s="1"/>
  <c r="X106" s="1"/>
  <c r="AB47" i="2"/>
  <c r="K48"/>
  <c r="X48" s="1"/>
  <c r="AB106" i="14"/>
  <c r="K107"/>
  <c r="X107" s="1"/>
  <c r="K108" s="1"/>
  <c r="X108" s="1"/>
  <c r="AA108" i="16"/>
  <c r="AA109" s="1"/>
  <c r="AA110" s="1"/>
  <c r="AA111" s="1"/>
  <c r="AA112" s="1"/>
  <c r="AA113" s="1"/>
  <c r="AB99" i="12"/>
  <c r="K100"/>
  <c r="X100" s="1"/>
  <c r="K101" s="1"/>
  <c r="X101" s="1"/>
  <c r="K102" s="1"/>
  <c r="X102" s="1"/>
  <c r="K103" s="1"/>
  <c r="X103" s="1"/>
  <c r="K104" s="1"/>
  <c r="X104" s="1"/>
  <c r="K48" i="4"/>
  <c r="X48" s="1"/>
  <c r="AB99" i="10"/>
  <c r="K100"/>
  <c r="X100" s="1"/>
  <c r="K101" s="1"/>
  <c r="X101" s="1"/>
  <c r="K102" s="1"/>
  <c r="X102" s="1"/>
  <c r="K103" s="1"/>
  <c r="X103" s="1"/>
  <c r="K104" s="1"/>
  <c r="X104" s="1"/>
  <c r="AB46" i="5"/>
  <c r="K47"/>
  <c r="X47" s="1"/>
  <c r="AA48" i="2"/>
  <c r="AA108" i="14"/>
  <c r="AA109" s="1"/>
  <c r="AA110" s="1"/>
  <c r="AA111" s="1"/>
  <c r="AA112" s="1"/>
  <c r="AA113" s="1"/>
  <c r="AB46" i="2"/>
  <c r="AA104" i="13"/>
  <c r="AA105" s="1"/>
  <c r="AA106" s="1"/>
  <c r="AA107" s="1"/>
  <c r="AA99" i="8"/>
  <c r="AA100" s="1"/>
  <c r="AA101" s="1"/>
  <c r="AA102" s="1"/>
  <c r="AA103" s="1"/>
  <c r="AA108" i="15"/>
  <c r="AA109" s="1"/>
  <c r="AA110" s="1"/>
  <c r="AA111" s="1"/>
  <c r="AA112" s="1"/>
  <c r="AA113" s="1"/>
  <c r="AA114" s="1"/>
  <c r="AA115" s="1"/>
  <c r="AA116" s="1"/>
  <c r="AA117" s="1"/>
  <c r="K100" i="9"/>
  <c r="X100" s="1"/>
  <c r="K101" s="1"/>
  <c r="X101" s="1"/>
  <c r="K102" s="1"/>
  <c r="X102" s="1"/>
  <c r="K103" s="1"/>
  <c r="X103" s="1"/>
  <c r="K104" s="1"/>
  <c r="X104" s="1"/>
  <c r="AA99"/>
  <c r="AA100" s="1"/>
  <c r="AA101" s="1"/>
  <c r="AA102" s="1"/>
  <c r="AA103" s="1"/>
  <c r="AA46" i="6"/>
  <c r="AB46" s="1"/>
  <c r="AB97" i="10"/>
  <c r="AA47" i="4"/>
  <c r="AA48" s="1"/>
  <c r="K47" i="3"/>
  <c r="X47" s="1"/>
  <c r="AA47" i="5"/>
  <c r="AA49" i="2" l="1"/>
  <c r="AA106" i="12"/>
  <c r="AA107" s="1"/>
  <c r="K105" i="11"/>
  <c r="X105" s="1"/>
  <c r="K106" s="1"/>
  <c r="X106" s="1"/>
  <c r="AA104"/>
  <c r="AA105" s="1"/>
  <c r="AA47" i="6"/>
  <c r="AA48" s="1"/>
  <c r="AB99" i="9"/>
  <c r="AA49" i="4"/>
  <c r="AA104" i="9"/>
  <c r="AA105" s="1"/>
  <c r="AA106" s="1"/>
  <c r="AA107" s="1"/>
  <c r="AB104" i="7"/>
  <c r="K105"/>
  <c r="X105" s="1"/>
  <c r="K106" s="1"/>
  <c r="X106" s="1"/>
  <c r="AB47" i="3"/>
  <c r="K48"/>
  <c r="X48" s="1"/>
  <c r="K105" i="9"/>
  <c r="X105" s="1"/>
  <c r="K106" s="1"/>
  <c r="X106" s="1"/>
  <c r="K105" i="12"/>
  <c r="X105" s="1"/>
  <c r="K106" s="1"/>
  <c r="X106" s="1"/>
  <c r="AB104"/>
  <c r="K48" i="6"/>
  <c r="X48" s="1"/>
  <c r="AB48" i="4"/>
  <c r="K49"/>
  <c r="X49" s="1"/>
  <c r="AB108" i="15"/>
  <c r="AA104" i="8"/>
  <c r="AA105" s="1"/>
  <c r="AB99"/>
  <c r="AB47" i="4"/>
  <c r="AB48" i="2"/>
  <c r="K49"/>
  <c r="X49" s="1"/>
  <c r="AB46" i="3"/>
  <c r="AB104" i="13"/>
  <c r="AB104" i="8"/>
  <c r="K105"/>
  <c r="X105" s="1"/>
  <c r="K106" s="1"/>
  <c r="X106" s="1"/>
  <c r="AB114" i="15"/>
  <c r="K115"/>
  <c r="X115" s="1"/>
  <c r="K116" s="1"/>
  <c r="X116" s="1"/>
  <c r="K117" s="1"/>
  <c r="X117" s="1"/>
  <c r="K118" s="1"/>
  <c r="X118" s="1"/>
  <c r="AB108" i="14"/>
  <c r="K109"/>
  <c r="X109" s="1"/>
  <c r="K110" s="1"/>
  <c r="X110" s="1"/>
  <c r="K111" s="1"/>
  <c r="X111" s="1"/>
  <c r="K112" s="1"/>
  <c r="X112" s="1"/>
  <c r="K113" s="1"/>
  <c r="X113" s="1"/>
  <c r="K114" s="1"/>
  <c r="X114" s="1"/>
  <c r="AA114" s="1"/>
  <c r="AA115" s="1"/>
  <c r="AA116" s="1"/>
  <c r="AA117" s="1"/>
  <c r="AB104" i="10"/>
  <c r="K105"/>
  <c r="X105" s="1"/>
  <c r="K106" s="1"/>
  <c r="X106" s="1"/>
  <c r="AA108" i="13"/>
  <c r="AA109" s="1"/>
  <c r="AA110" s="1"/>
  <c r="AA111" s="1"/>
  <c r="AA112" s="1"/>
  <c r="AA113" s="1"/>
  <c r="AA104" i="7"/>
  <c r="AA105" s="1"/>
  <c r="AA106" s="1"/>
  <c r="AA107" s="1"/>
  <c r="AA114" i="16"/>
  <c r="AA115" s="1"/>
  <c r="AA116" s="1"/>
  <c r="AA117" s="1"/>
  <c r="K115"/>
  <c r="X115" s="1"/>
  <c r="K116" s="1"/>
  <c r="X116" s="1"/>
  <c r="K117" s="1"/>
  <c r="X117" s="1"/>
  <c r="K118" s="1"/>
  <c r="X118" s="1"/>
  <c r="K107" i="13"/>
  <c r="X107" s="1"/>
  <c r="K108" s="1"/>
  <c r="X108" s="1"/>
  <c r="AB106"/>
  <c r="AB47" i="5"/>
  <c r="K48"/>
  <c r="X48" s="1"/>
  <c r="AA48" s="1"/>
  <c r="AA49" l="1"/>
  <c r="AA118" i="14"/>
  <c r="AA119" s="1"/>
  <c r="AA106" i="11"/>
  <c r="AA107" s="1"/>
  <c r="AA108" s="1"/>
  <c r="AA109" s="1"/>
  <c r="AA110" s="1"/>
  <c r="AA111" s="1"/>
  <c r="AA112" s="1"/>
  <c r="AA113" s="1"/>
  <c r="AA108" i="12"/>
  <c r="AA109" s="1"/>
  <c r="AA110" s="1"/>
  <c r="AA111" s="1"/>
  <c r="AA112" s="1"/>
  <c r="AA113" s="1"/>
  <c r="K119" i="15"/>
  <c r="X119" s="1"/>
  <c r="K120" s="1"/>
  <c r="X120" s="1"/>
  <c r="AB118"/>
  <c r="K107" i="11"/>
  <c r="X107" s="1"/>
  <c r="K108" s="1"/>
  <c r="X108" s="1"/>
  <c r="AA108" i="9"/>
  <c r="AA109" s="1"/>
  <c r="AA110" s="1"/>
  <c r="AA111" s="1"/>
  <c r="AA112" s="1"/>
  <c r="AA113" s="1"/>
  <c r="AA49" i="6"/>
  <c r="K107" i="8"/>
  <c r="X107" s="1"/>
  <c r="K108" s="1"/>
  <c r="X108" s="1"/>
  <c r="AB106"/>
  <c r="AB48" i="3"/>
  <c r="K49"/>
  <c r="X49" s="1"/>
  <c r="AB114" i="16"/>
  <c r="AB106" i="10"/>
  <c r="K107"/>
  <c r="X107" s="1"/>
  <c r="K108" s="1"/>
  <c r="X108" s="1"/>
  <c r="AB106" i="9"/>
  <c r="K107"/>
  <c r="X107" s="1"/>
  <c r="K108" s="1"/>
  <c r="X108" s="1"/>
  <c r="AA106" i="10"/>
  <c r="AA107" s="1"/>
  <c r="AB106" i="12"/>
  <c r="K107"/>
  <c r="X107" s="1"/>
  <c r="K108" s="1"/>
  <c r="X108" s="1"/>
  <c r="K49" i="6"/>
  <c r="X49" s="1"/>
  <c r="AB48"/>
  <c r="AB114" i="14"/>
  <c r="K115"/>
  <c r="X115" s="1"/>
  <c r="K116" s="1"/>
  <c r="X116" s="1"/>
  <c r="K117" s="1"/>
  <c r="X117" s="1"/>
  <c r="K118" s="1"/>
  <c r="X118" s="1"/>
  <c r="AA118" i="16"/>
  <c r="AA119" s="1"/>
  <c r="AB104" i="9"/>
  <c r="AA106" i="8"/>
  <c r="AA107" s="1"/>
  <c r="AB118" i="16"/>
  <c r="K119"/>
  <c r="X119" s="1"/>
  <c r="K120" s="1"/>
  <c r="X120" s="1"/>
  <c r="AB49" i="4"/>
  <c r="K50"/>
  <c r="X50" s="1"/>
  <c r="AB49" i="2"/>
  <c r="K50"/>
  <c r="X50" s="1"/>
  <c r="AB104" i="11"/>
  <c r="AB106" i="7"/>
  <c r="K107"/>
  <c r="X107" s="1"/>
  <c r="K108" s="1"/>
  <c r="X108" s="1"/>
  <c r="AB108" i="13"/>
  <c r="K109"/>
  <c r="X109" s="1"/>
  <c r="K110" s="1"/>
  <c r="X110" s="1"/>
  <c r="K111" s="1"/>
  <c r="X111" s="1"/>
  <c r="K112" s="1"/>
  <c r="X112" s="1"/>
  <c r="K113" s="1"/>
  <c r="X113" s="1"/>
  <c r="K114" s="1"/>
  <c r="X114" s="1"/>
  <c r="AB47" i="6"/>
  <c r="AA118" i="15"/>
  <c r="AA119" s="1"/>
  <c r="AB48" i="5"/>
  <c r="K49"/>
  <c r="X49" s="1"/>
  <c r="AA48" i="3"/>
  <c r="AB114" i="13" l="1"/>
  <c r="K115"/>
  <c r="X115" s="1"/>
  <c r="K116" s="1"/>
  <c r="X116" s="1"/>
  <c r="K117" s="1"/>
  <c r="X117" s="1"/>
  <c r="K118" s="1"/>
  <c r="X118" s="1"/>
  <c r="AB108" i="11"/>
  <c r="K109"/>
  <c r="X109" s="1"/>
  <c r="K110" s="1"/>
  <c r="X110" s="1"/>
  <c r="K111" s="1"/>
  <c r="X111" s="1"/>
  <c r="K112" s="1"/>
  <c r="X112" s="1"/>
  <c r="K113" s="1"/>
  <c r="X113" s="1"/>
  <c r="K114" s="1"/>
  <c r="X114" s="1"/>
  <c r="AA120" i="15"/>
  <c r="AA121" s="1"/>
  <c r="AA122" s="1"/>
  <c r="AA123" s="1"/>
  <c r="K121"/>
  <c r="X121" s="1"/>
  <c r="K122" s="1"/>
  <c r="X122" s="1"/>
  <c r="K123" s="1"/>
  <c r="X123" s="1"/>
  <c r="K124" s="1"/>
  <c r="X124" s="1"/>
  <c r="AB50" i="4"/>
  <c r="K51"/>
  <c r="X51" s="1"/>
  <c r="AB106" i="11"/>
  <c r="AB108" i="7"/>
  <c r="K109"/>
  <c r="X109" s="1"/>
  <c r="K110" s="1"/>
  <c r="X110" s="1"/>
  <c r="K111" s="1"/>
  <c r="X111" s="1"/>
  <c r="K112" s="1"/>
  <c r="X112" s="1"/>
  <c r="K113" s="1"/>
  <c r="X113" s="1"/>
  <c r="K114" s="1"/>
  <c r="X114" s="1"/>
  <c r="AA50" i="5"/>
  <c r="AA50" i="4"/>
  <c r="AA108" i="10"/>
  <c r="AA109" s="1"/>
  <c r="AA110" s="1"/>
  <c r="AA111" s="1"/>
  <c r="AA112" s="1"/>
  <c r="AA113" s="1"/>
  <c r="AA114" s="1"/>
  <c r="AA115" s="1"/>
  <c r="AA116" s="1"/>
  <c r="AA117" s="1"/>
  <c r="AA108" i="7"/>
  <c r="AA109" s="1"/>
  <c r="AA110" s="1"/>
  <c r="AA111" s="1"/>
  <c r="AA112" s="1"/>
  <c r="AA113" s="1"/>
  <c r="K121" i="16"/>
  <c r="X121" s="1"/>
  <c r="K122" s="1"/>
  <c r="X122" s="1"/>
  <c r="K123" s="1"/>
  <c r="X123" s="1"/>
  <c r="K124" s="1"/>
  <c r="X124" s="1"/>
  <c r="K109" i="8"/>
  <c r="X109" s="1"/>
  <c r="K110" s="1"/>
  <c r="X110" s="1"/>
  <c r="K111" s="1"/>
  <c r="X111" s="1"/>
  <c r="K112" s="1"/>
  <c r="X112" s="1"/>
  <c r="K113" s="1"/>
  <c r="X113" s="1"/>
  <c r="K114" s="1"/>
  <c r="X114" s="1"/>
  <c r="K50" i="5"/>
  <c r="X50" s="1"/>
  <c r="AB49"/>
  <c r="K109" i="10"/>
  <c r="X109" s="1"/>
  <c r="K110" s="1"/>
  <c r="X110" s="1"/>
  <c r="K111" s="1"/>
  <c r="X111" s="1"/>
  <c r="K112" s="1"/>
  <c r="X112" s="1"/>
  <c r="K113" s="1"/>
  <c r="X113" s="1"/>
  <c r="K114" s="1"/>
  <c r="X114" s="1"/>
  <c r="K50" i="3"/>
  <c r="X50" s="1"/>
  <c r="AB118" i="14"/>
  <c r="K119"/>
  <c r="X119" s="1"/>
  <c r="K120" s="1"/>
  <c r="X120" s="1"/>
  <c r="AA114" i="13"/>
  <c r="AA115" s="1"/>
  <c r="AA116" s="1"/>
  <c r="AA117" s="1"/>
  <c r="K51" i="2"/>
  <c r="X51" s="1"/>
  <c r="AB108" i="12"/>
  <c r="K109"/>
  <c r="X109" s="1"/>
  <c r="K110" s="1"/>
  <c r="X110" s="1"/>
  <c r="K111" s="1"/>
  <c r="X111" s="1"/>
  <c r="K112" s="1"/>
  <c r="X112" s="1"/>
  <c r="K113" s="1"/>
  <c r="X113" s="1"/>
  <c r="K114" s="1"/>
  <c r="X114" s="1"/>
  <c r="AA120" i="16"/>
  <c r="AA121" s="1"/>
  <c r="AA122" s="1"/>
  <c r="AA123" s="1"/>
  <c r="AA124" s="1"/>
  <c r="AA125" s="1"/>
  <c r="AA126" s="1"/>
  <c r="AA127" s="1"/>
  <c r="AA128" s="1"/>
  <c r="AA120" i="14"/>
  <c r="AA121" s="1"/>
  <c r="AA122" s="1"/>
  <c r="AA123" s="1"/>
  <c r="AA49" i="3"/>
  <c r="AA50" s="1"/>
  <c r="AA50" i="2"/>
  <c r="AB108" i="9"/>
  <c r="K109"/>
  <c r="X109" s="1"/>
  <c r="K110" s="1"/>
  <c r="X110" s="1"/>
  <c r="K111" s="1"/>
  <c r="X111" s="1"/>
  <c r="K112" s="1"/>
  <c r="X112" s="1"/>
  <c r="K113" s="1"/>
  <c r="X113" s="1"/>
  <c r="K114" s="1"/>
  <c r="X114" s="1"/>
  <c r="AA114" s="1"/>
  <c r="AA115" s="1"/>
  <c r="AA116" s="1"/>
  <c r="AA117" s="1"/>
  <c r="K50" i="6"/>
  <c r="X50" s="1"/>
  <c r="AA50" s="1"/>
  <c r="AB49"/>
  <c r="AA108" i="8"/>
  <c r="AA109" s="1"/>
  <c r="AA110" s="1"/>
  <c r="AA111" s="1"/>
  <c r="AA112" s="1"/>
  <c r="AA113" s="1"/>
  <c r="AA114" s="1"/>
  <c r="AA115" s="1"/>
  <c r="AA116" s="1"/>
  <c r="AA117" s="1"/>
  <c r="AA118" i="9" l="1"/>
  <c r="AA119" s="1"/>
  <c r="AA51" i="6"/>
  <c r="AB120" i="15"/>
  <c r="AA51" i="3"/>
  <c r="AA51" i="2"/>
  <c r="AA52" s="1"/>
  <c r="AB114" i="12"/>
  <c r="K115"/>
  <c r="X115" s="1"/>
  <c r="K116" s="1"/>
  <c r="X116" s="1"/>
  <c r="K117" s="1"/>
  <c r="X117" s="1"/>
  <c r="K118" s="1"/>
  <c r="X118" s="1"/>
  <c r="AB124" i="15"/>
  <c r="K125"/>
  <c r="X125" s="1"/>
  <c r="K126" s="1"/>
  <c r="X126" s="1"/>
  <c r="K127" s="1"/>
  <c r="X127" s="1"/>
  <c r="K128" s="1"/>
  <c r="X128" s="1"/>
  <c r="K129" s="1"/>
  <c r="X129" s="1"/>
  <c r="AB114" i="11"/>
  <c r="K115"/>
  <c r="X115" s="1"/>
  <c r="K116" s="1"/>
  <c r="X116" s="1"/>
  <c r="K117" s="1"/>
  <c r="X117" s="1"/>
  <c r="K118" s="1"/>
  <c r="X118" s="1"/>
  <c r="AB124" i="16"/>
  <c r="K125"/>
  <c r="X125" s="1"/>
  <c r="K126" s="1"/>
  <c r="X126" s="1"/>
  <c r="K127" s="1"/>
  <c r="X127" s="1"/>
  <c r="K128" s="1"/>
  <c r="X128" s="1"/>
  <c r="K129" s="1"/>
  <c r="X129" s="1"/>
  <c r="AA129" s="1"/>
  <c r="AB108" i="10"/>
  <c r="AB51" i="4"/>
  <c r="K52"/>
  <c r="X52" s="1"/>
  <c r="K51" i="5"/>
  <c r="X51" s="1"/>
  <c r="AB50"/>
  <c r="AA114" i="12"/>
  <c r="AA115" s="1"/>
  <c r="AA116" s="1"/>
  <c r="AA117" s="1"/>
  <c r="AA51" i="4"/>
  <c r="AB49" i="3"/>
  <c r="K115" i="9"/>
  <c r="X115" s="1"/>
  <c r="K116" s="1"/>
  <c r="X116" s="1"/>
  <c r="K117" s="1"/>
  <c r="X117" s="1"/>
  <c r="K118" s="1"/>
  <c r="X118" s="1"/>
  <c r="AB114"/>
  <c r="AB50" i="3"/>
  <c r="K51"/>
  <c r="X51" s="1"/>
  <c r="AA114" i="7"/>
  <c r="AA115" s="1"/>
  <c r="AA116" s="1"/>
  <c r="AA117" s="1"/>
  <c r="K52" i="2"/>
  <c r="X52" s="1"/>
  <c r="AA124" i="15"/>
  <c r="AA125" s="1"/>
  <c r="AA126" s="1"/>
  <c r="AA127" s="1"/>
  <c r="AA128" s="1"/>
  <c r="AB108" i="8"/>
  <c r="AB118" i="13"/>
  <c r="K119"/>
  <c r="X119" s="1"/>
  <c r="K120" s="1"/>
  <c r="X120" s="1"/>
  <c r="K115" i="8"/>
  <c r="X115" s="1"/>
  <c r="K116" s="1"/>
  <c r="X116" s="1"/>
  <c r="K117" s="1"/>
  <c r="X117" s="1"/>
  <c r="K118" s="1"/>
  <c r="X118" s="1"/>
  <c r="AB114"/>
  <c r="AB120" i="14"/>
  <c r="K121"/>
  <c r="X121" s="1"/>
  <c r="K122" s="1"/>
  <c r="X122" s="1"/>
  <c r="K123" s="1"/>
  <c r="X123" s="1"/>
  <c r="K124" s="1"/>
  <c r="X124" s="1"/>
  <c r="AA124" s="1"/>
  <c r="AA125" s="1"/>
  <c r="AA126" s="1"/>
  <c r="AA127" s="1"/>
  <c r="AA128" s="1"/>
  <c r="K51" i="6"/>
  <c r="X51" s="1"/>
  <c r="AB50"/>
  <c r="AB114" i="10"/>
  <c r="K115"/>
  <c r="X115" s="1"/>
  <c r="K116" s="1"/>
  <c r="X116" s="1"/>
  <c r="K117" s="1"/>
  <c r="X117" s="1"/>
  <c r="K118" s="1"/>
  <c r="X118" s="1"/>
  <c r="AA118" s="1"/>
  <c r="AA119" s="1"/>
  <c r="AA114" i="11"/>
  <c r="AA115" s="1"/>
  <c r="AA116" s="1"/>
  <c r="AA117" s="1"/>
  <c r="AA51" i="5"/>
  <c r="AB120" i="16"/>
  <c r="AA118" i="13"/>
  <c r="AA119" s="1"/>
  <c r="AB114" i="7"/>
  <c r="K115"/>
  <c r="X115" s="1"/>
  <c r="K116" s="1"/>
  <c r="X116" s="1"/>
  <c r="K117" s="1"/>
  <c r="X117" s="1"/>
  <c r="K118" s="1"/>
  <c r="X118" s="1"/>
  <c r="AB50" i="2"/>
  <c r="AA120" i="10" l="1"/>
  <c r="AA121" s="1"/>
  <c r="AA122" s="1"/>
  <c r="AA123" s="1"/>
  <c r="AA52" i="6"/>
  <c r="AA53" i="2"/>
  <c r="AB124" i="14"/>
  <c r="K125"/>
  <c r="X125" s="1"/>
  <c r="K126" s="1"/>
  <c r="X126" s="1"/>
  <c r="K127" s="1"/>
  <c r="X127" s="1"/>
  <c r="K128" s="1"/>
  <c r="X128" s="1"/>
  <c r="K129" s="1"/>
  <c r="X129" s="1"/>
  <c r="AA129" s="1"/>
  <c r="AA52" i="3"/>
  <c r="AB120" i="13"/>
  <c r="K121"/>
  <c r="X121" s="1"/>
  <c r="K122" s="1"/>
  <c r="X122" s="1"/>
  <c r="K123" s="1"/>
  <c r="X123" s="1"/>
  <c r="K124" s="1"/>
  <c r="X124" s="1"/>
  <c r="AB118" i="8"/>
  <c r="K119"/>
  <c r="X119" s="1"/>
  <c r="K120" s="1"/>
  <c r="X120" s="1"/>
  <c r="AB51" i="6"/>
  <c r="K52"/>
  <c r="X52" s="1"/>
  <c r="AB52" i="4"/>
  <c r="K53"/>
  <c r="X53" s="1"/>
  <c r="AA118" i="11"/>
  <c r="AA119" s="1"/>
  <c r="AA120" s="1"/>
  <c r="AA121" s="1"/>
  <c r="AA122" s="1"/>
  <c r="AA123" s="1"/>
  <c r="K119" i="12"/>
  <c r="X119" s="1"/>
  <c r="K120" s="1"/>
  <c r="X120" s="1"/>
  <c r="K119" i="7"/>
  <c r="X119" s="1"/>
  <c r="K120" s="1"/>
  <c r="X120" s="1"/>
  <c r="AA118" i="8"/>
  <c r="AA119" s="1"/>
  <c r="AA52" i="4"/>
  <c r="K119" i="10"/>
  <c r="X119" s="1"/>
  <c r="K120" s="1"/>
  <c r="X120" s="1"/>
  <c r="AB118"/>
  <c r="AB51" i="3"/>
  <c r="K52"/>
  <c r="X52" s="1"/>
  <c r="AA120" i="13"/>
  <c r="AA121" s="1"/>
  <c r="AA122" s="1"/>
  <c r="AA123" s="1"/>
  <c r="K119" i="11"/>
  <c r="X119" s="1"/>
  <c r="K120" s="1"/>
  <c r="X120" s="1"/>
  <c r="AA118" i="12"/>
  <c r="AA119" s="1"/>
  <c r="AA120" s="1"/>
  <c r="AA121" s="1"/>
  <c r="AA122" s="1"/>
  <c r="AA123" s="1"/>
  <c r="AA118" i="7"/>
  <c r="AA119" s="1"/>
  <c r="AA120" s="1"/>
  <c r="AA121" s="1"/>
  <c r="AA122" s="1"/>
  <c r="AA123" s="1"/>
  <c r="AB129" i="16"/>
  <c r="K130"/>
  <c r="X130" s="1"/>
  <c r="K119" i="9"/>
  <c r="X119" s="1"/>
  <c r="K120" s="1"/>
  <c r="X120" s="1"/>
  <c r="AA120" s="1"/>
  <c r="AA121" s="1"/>
  <c r="AA122" s="1"/>
  <c r="AA123" s="1"/>
  <c r="AB118"/>
  <c r="AB51" i="2"/>
  <c r="AB51" i="5"/>
  <c r="K52"/>
  <c r="X52" s="1"/>
  <c r="AB52" i="2"/>
  <c r="K53"/>
  <c r="X53" s="1"/>
  <c r="AB129" i="15"/>
  <c r="K130"/>
  <c r="X130" s="1"/>
  <c r="AA129"/>
  <c r="AA130" i="14" l="1"/>
  <c r="AA131" s="1"/>
  <c r="AA132" s="1"/>
  <c r="AA133" s="1"/>
  <c r="AA134" s="1"/>
  <c r="AA135" s="1"/>
  <c r="AA136" s="1"/>
  <c r="AA124" i="10"/>
  <c r="AA125" s="1"/>
  <c r="AA126" s="1"/>
  <c r="AA127" s="1"/>
  <c r="AA128" s="1"/>
  <c r="K53" i="5"/>
  <c r="X53" s="1"/>
  <c r="AB52"/>
  <c r="AA124" i="7"/>
  <c r="AA125" s="1"/>
  <c r="AA126" s="1"/>
  <c r="AA127" s="1"/>
  <c r="AA128" s="1"/>
  <c r="K121" i="8"/>
  <c r="X121" s="1"/>
  <c r="K122" s="1"/>
  <c r="X122" s="1"/>
  <c r="K123" s="1"/>
  <c r="X123" s="1"/>
  <c r="K124" s="1"/>
  <c r="X124" s="1"/>
  <c r="AB120"/>
  <c r="K125" i="13"/>
  <c r="X125" s="1"/>
  <c r="K126" s="1"/>
  <c r="X126" s="1"/>
  <c r="K127" s="1"/>
  <c r="X127" s="1"/>
  <c r="K128" s="1"/>
  <c r="X128" s="1"/>
  <c r="K129" s="1"/>
  <c r="X129" s="1"/>
  <c r="AB52" i="6"/>
  <c r="K53"/>
  <c r="X53" s="1"/>
  <c r="AA53" s="1"/>
  <c r="K130" i="14"/>
  <c r="X130" s="1"/>
  <c r="AB129"/>
  <c r="AA52" i="5"/>
  <c r="AA130" i="15"/>
  <c r="AA131" s="1"/>
  <c r="AA132" s="1"/>
  <c r="AA133" s="1"/>
  <c r="AA134" s="1"/>
  <c r="AA135" s="1"/>
  <c r="AA136" s="1"/>
  <c r="AA54" i="2"/>
  <c r="AB130" i="16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B53" i="2"/>
  <c r="K54"/>
  <c r="X54" s="1"/>
  <c r="K121" i="7"/>
  <c r="X121" s="1"/>
  <c r="K122" s="1"/>
  <c r="X122" s="1"/>
  <c r="K123" s="1"/>
  <c r="X123" s="1"/>
  <c r="K124" s="1"/>
  <c r="X124" s="1"/>
  <c r="AB120"/>
  <c r="AB120" i="10"/>
  <c r="K121"/>
  <c r="X121" s="1"/>
  <c r="K122" s="1"/>
  <c r="X122" s="1"/>
  <c r="K123" s="1"/>
  <c r="X123" s="1"/>
  <c r="K124" s="1"/>
  <c r="X124" s="1"/>
  <c r="AB52" i="3"/>
  <c r="K53"/>
  <c r="X53" s="1"/>
  <c r="AA130" i="16"/>
  <c r="AA131" s="1"/>
  <c r="AA132" s="1"/>
  <c r="AA133" s="1"/>
  <c r="AA134" s="1"/>
  <c r="AA135" s="1"/>
  <c r="AA136" s="1"/>
  <c r="AB118" i="12"/>
  <c r="AA120" i="8"/>
  <c r="AA121" s="1"/>
  <c r="AA122" s="1"/>
  <c r="AA123" s="1"/>
  <c r="AA124" i="13"/>
  <c r="AA125" s="1"/>
  <c r="AA126" s="1"/>
  <c r="AA127" s="1"/>
  <c r="AA128" s="1"/>
  <c r="AA129" s="1"/>
  <c r="AB130" i="15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B120" i="12"/>
  <c r="K121"/>
  <c r="X121" s="1"/>
  <c r="K122" s="1"/>
  <c r="X122" s="1"/>
  <c r="K123" s="1"/>
  <c r="X123" s="1"/>
  <c r="K124" s="1"/>
  <c r="X124" s="1"/>
  <c r="AB120" i="11"/>
  <c r="K121"/>
  <c r="X121" s="1"/>
  <c r="K122" s="1"/>
  <c r="X122" s="1"/>
  <c r="K123" s="1"/>
  <c r="X123" s="1"/>
  <c r="K124" s="1"/>
  <c r="X124" s="1"/>
  <c r="AB120" i="9"/>
  <c r="K121"/>
  <c r="X121" s="1"/>
  <c r="K122" s="1"/>
  <c r="X122" s="1"/>
  <c r="K123" s="1"/>
  <c r="X123" s="1"/>
  <c r="K124" s="1"/>
  <c r="X124" s="1"/>
  <c r="AA124" s="1"/>
  <c r="AA125" s="1"/>
  <c r="AA126" s="1"/>
  <c r="AA127" s="1"/>
  <c r="AA128" s="1"/>
  <c r="AB53" i="4"/>
  <c r="K54"/>
  <c r="X54" s="1"/>
  <c r="AA53" i="3"/>
  <c r="AB118" i="7"/>
  <c r="AA53" i="4"/>
  <c r="AB118" i="11"/>
  <c r="AA54" i="6" l="1"/>
  <c r="AA129" i="9"/>
  <c r="AA130" i="13"/>
  <c r="AA131" s="1"/>
  <c r="AA132" s="1"/>
  <c r="AA133" s="1"/>
  <c r="AA134" s="1"/>
  <c r="AA135" s="1"/>
  <c r="AA136" s="1"/>
  <c r="K125" i="11"/>
  <c r="X125" s="1"/>
  <c r="K126" s="1"/>
  <c r="X126" s="1"/>
  <c r="K127" s="1"/>
  <c r="X127" s="1"/>
  <c r="K128" s="1"/>
  <c r="X128" s="1"/>
  <c r="K129" s="1"/>
  <c r="X129" s="1"/>
  <c r="AB53" i="6"/>
  <c r="K54"/>
  <c r="X54" s="1"/>
  <c r="AB129" i="13"/>
  <c r="K130"/>
  <c r="X130" s="1"/>
  <c r="AB124" i="12"/>
  <c r="K125"/>
  <c r="X125" s="1"/>
  <c r="K126" s="1"/>
  <c r="X126" s="1"/>
  <c r="K127" s="1"/>
  <c r="X127" s="1"/>
  <c r="K128" s="1"/>
  <c r="X128" s="1"/>
  <c r="K129" s="1"/>
  <c r="X129" s="1"/>
  <c r="AA137" i="15"/>
  <c r="AA138" s="1"/>
  <c r="AA139" s="1"/>
  <c r="AA140" s="1"/>
  <c r="AA141" s="1"/>
  <c r="AA142" s="1"/>
  <c r="AA143" s="1"/>
  <c r="AA144" s="1"/>
  <c r="AA129" i="7"/>
  <c r="AA54" i="3"/>
  <c r="AA124" i="12"/>
  <c r="AA125" s="1"/>
  <c r="AA126" s="1"/>
  <c r="AA127" s="1"/>
  <c r="AA128" s="1"/>
  <c r="AB124" i="7"/>
  <c r="K125"/>
  <c r="X125" s="1"/>
  <c r="K126" s="1"/>
  <c r="X126" s="1"/>
  <c r="K127" s="1"/>
  <c r="X127" s="1"/>
  <c r="K128" s="1"/>
  <c r="X128" s="1"/>
  <c r="K129" s="1"/>
  <c r="X129" s="1"/>
  <c r="AB53" i="3"/>
  <c r="K54"/>
  <c r="X54" s="1"/>
  <c r="AA137" i="14"/>
  <c r="AA138" s="1"/>
  <c r="AA139" s="1"/>
  <c r="AA140" s="1"/>
  <c r="AA141" s="1"/>
  <c r="AA142" s="1"/>
  <c r="AA143" s="1"/>
  <c r="AA144" s="1"/>
  <c r="AB124" i="9"/>
  <c r="K125"/>
  <c r="X125" s="1"/>
  <c r="K126" s="1"/>
  <c r="X126" s="1"/>
  <c r="K127" s="1"/>
  <c r="X127" s="1"/>
  <c r="K128" s="1"/>
  <c r="X128" s="1"/>
  <c r="K129" s="1"/>
  <c r="X129" s="1"/>
  <c r="AB137" i="16"/>
  <c r="K138"/>
  <c r="X138" s="1"/>
  <c r="K139" s="1"/>
  <c r="X139" s="1"/>
  <c r="K140" s="1"/>
  <c r="X140" s="1"/>
  <c r="K141" s="1"/>
  <c r="X141" s="1"/>
  <c r="K142" s="1"/>
  <c r="X142" s="1"/>
  <c r="K143" s="1"/>
  <c r="X143" s="1"/>
  <c r="K144" s="1"/>
  <c r="X144" s="1"/>
  <c r="K145" s="1"/>
  <c r="X145" s="1"/>
  <c r="AA53" i="5"/>
  <c r="AA137" i="16"/>
  <c r="AA138" s="1"/>
  <c r="AA139" s="1"/>
  <c r="AA140" s="1"/>
  <c r="AA141" s="1"/>
  <c r="AA142" s="1"/>
  <c r="AA143" s="1"/>
  <c r="AA144" s="1"/>
  <c r="K125" i="8"/>
  <c r="X125" s="1"/>
  <c r="K126" s="1"/>
  <c r="X126" s="1"/>
  <c r="K127" s="1"/>
  <c r="X127" s="1"/>
  <c r="K128" s="1"/>
  <c r="X128" s="1"/>
  <c r="K129" s="1"/>
  <c r="X129" s="1"/>
  <c r="AB130" i="14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B124" i="13"/>
  <c r="AA124" i="11"/>
  <c r="AA125" s="1"/>
  <c r="AA126" s="1"/>
  <c r="AA127" s="1"/>
  <c r="AA128" s="1"/>
  <c r="AB137" i="15"/>
  <c r="K138"/>
  <c r="X138" s="1"/>
  <c r="K139" s="1"/>
  <c r="X139" s="1"/>
  <c r="K140" s="1"/>
  <c r="X140" s="1"/>
  <c r="K141" s="1"/>
  <c r="X141" s="1"/>
  <c r="K142" s="1"/>
  <c r="X142" s="1"/>
  <c r="K143" s="1"/>
  <c r="X143" s="1"/>
  <c r="K144" s="1"/>
  <c r="X144" s="1"/>
  <c r="K145" s="1"/>
  <c r="X145" s="1"/>
  <c r="AB54" i="4"/>
  <c r="K55"/>
  <c r="X55" s="1"/>
  <c r="K54" i="5"/>
  <c r="X54" s="1"/>
  <c r="AB53"/>
  <c r="AB54" i="2"/>
  <c r="K55"/>
  <c r="X55" s="1"/>
  <c r="AA55" s="1"/>
  <c r="AB124" i="10"/>
  <c r="K125"/>
  <c r="X125" s="1"/>
  <c r="K126" s="1"/>
  <c r="X126" s="1"/>
  <c r="K127" s="1"/>
  <c r="X127" s="1"/>
  <c r="K128" s="1"/>
  <c r="X128" s="1"/>
  <c r="K129" s="1"/>
  <c r="X129" s="1"/>
  <c r="AA54" i="4"/>
  <c r="AA124" i="8"/>
  <c r="AA125" s="1"/>
  <c r="AA126" s="1"/>
  <c r="AA127" s="1"/>
  <c r="AA128" s="1"/>
  <c r="AA129" s="1"/>
  <c r="AA56" i="2" l="1"/>
  <c r="AA129" i="11"/>
  <c r="AA130" s="1"/>
  <c r="AA131" s="1"/>
  <c r="AA132" s="1"/>
  <c r="AA133" s="1"/>
  <c r="AA134" s="1"/>
  <c r="AA135" s="1"/>
  <c r="AA136" s="1"/>
  <c r="AA55" i="6"/>
  <c r="AB145" i="15"/>
  <c r="K146"/>
  <c r="X146" s="1"/>
  <c r="K147" s="1"/>
  <c r="X147" s="1"/>
  <c r="K148" s="1"/>
  <c r="X148" s="1"/>
  <c r="K149" s="1"/>
  <c r="X149" s="1"/>
  <c r="K150" s="1"/>
  <c r="X150" s="1"/>
  <c r="K55" i="6"/>
  <c r="X55" s="1"/>
  <c r="AB54"/>
  <c r="AA55" i="4"/>
  <c r="AB55" s="1"/>
  <c r="K55" i="5"/>
  <c r="X55" s="1"/>
  <c r="AB54"/>
  <c r="AB124" i="11"/>
  <c r="K130"/>
  <c r="X130" s="1"/>
  <c r="AB129" i="12"/>
  <c r="K130"/>
  <c r="X130" s="1"/>
  <c r="AB145" i="16"/>
  <c r="K146"/>
  <c r="X146" s="1"/>
  <c r="K147" s="1"/>
  <c r="X147" s="1"/>
  <c r="K148" s="1"/>
  <c r="X148" s="1"/>
  <c r="K149" s="1"/>
  <c r="X149" s="1"/>
  <c r="K150" s="1"/>
  <c r="X150" s="1"/>
  <c r="AA54" i="5"/>
  <c r="K130" i="10"/>
  <c r="X130" s="1"/>
  <c r="AA129" i="12"/>
  <c r="AA145" i="16"/>
  <c r="AA146" s="1"/>
  <c r="AA147" s="1"/>
  <c r="AA148" s="1"/>
  <c r="AA149" s="1"/>
  <c r="AB130" i="13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B124" i="8"/>
  <c r="AB55" i="2"/>
  <c r="K56"/>
  <c r="X56" s="1"/>
  <c r="AB129" i="7"/>
  <c r="K130"/>
  <c r="X130" s="1"/>
  <c r="AB129" i="9"/>
  <c r="K130"/>
  <c r="X130" s="1"/>
  <c r="K130" i="8"/>
  <c r="X130" s="1"/>
  <c r="AB129"/>
  <c r="AB54" i="3"/>
  <c r="K55"/>
  <c r="X55" s="1"/>
  <c r="AA145" i="15"/>
  <c r="AA146" s="1"/>
  <c r="AA147" s="1"/>
  <c r="AA148" s="1"/>
  <c r="AA149" s="1"/>
  <c r="K56" i="4"/>
  <c r="X56" s="1"/>
  <c r="AB137" i="14"/>
  <c r="K138"/>
  <c r="X138" s="1"/>
  <c r="K139" s="1"/>
  <c r="X139" s="1"/>
  <c r="K140" s="1"/>
  <c r="X140" s="1"/>
  <c r="K141" s="1"/>
  <c r="X141" s="1"/>
  <c r="K142" s="1"/>
  <c r="X142" s="1"/>
  <c r="K143" s="1"/>
  <c r="X143" s="1"/>
  <c r="K144" s="1"/>
  <c r="X144" s="1"/>
  <c r="K145" s="1"/>
  <c r="X145" s="1"/>
  <c r="AA145" s="1"/>
  <c r="AA146" s="1"/>
  <c r="AA147" s="1"/>
  <c r="AA148" s="1"/>
  <c r="AA149" s="1"/>
  <c r="AA129" i="10"/>
  <c r="AA130" s="1"/>
  <c r="AA131" s="1"/>
  <c r="AA132" s="1"/>
  <c r="AA133" s="1"/>
  <c r="AA134" s="1"/>
  <c r="AA135" s="1"/>
  <c r="AA136" s="1"/>
  <c r="AA130" i="7"/>
  <c r="AA131" s="1"/>
  <c r="AA132" s="1"/>
  <c r="AA133" s="1"/>
  <c r="AA134" s="1"/>
  <c r="AA135" s="1"/>
  <c r="AA136" s="1"/>
  <c r="AA150" i="14" l="1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A57" i="2"/>
  <c r="AB130" i="8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A130"/>
  <c r="AA131" s="1"/>
  <c r="AA132" s="1"/>
  <c r="AA133" s="1"/>
  <c r="AA134" s="1"/>
  <c r="AA135" s="1"/>
  <c r="AA136" s="1"/>
  <c r="AB130" i="9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B55" i="6"/>
  <c r="K56"/>
  <c r="X56" s="1"/>
  <c r="AB55" i="5"/>
  <c r="K56"/>
  <c r="X56" s="1"/>
  <c r="AA150" i="15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B129" i="11"/>
  <c r="K151" i="15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B130" i="11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A130" i="9"/>
  <c r="AA131" s="1"/>
  <c r="AA132" s="1"/>
  <c r="AA133" s="1"/>
  <c r="AA134" s="1"/>
  <c r="AA135" s="1"/>
  <c r="AA136" s="1"/>
  <c r="AA56" i="4"/>
  <c r="AB55" i="3"/>
  <c r="K56"/>
  <c r="X56" s="1"/>
  <c r="AA55"/>
  <c r="K151" i="16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B145" i="14"/>
  <c r="K146"/>
  <c r="X146" s="1"/>
  <c r="K147" s="1"/>
  <c r="X147" s="1"/>
  <c r="K148" s="1"/>
  <c r="X148" s="1"/>
  <c r="K149" s="1"/>
  <c r="X149" s="1"/>
  <c r="K150" s="1"/>
  <c r="X150" s="1"/>
  <c r="K138" i="13"/>
  <c r="X138" s="1"/>
  <c r="K139" s="1"/>
  <c r="X139" s="1"/>
  <c r="K140" s="1"/>
  <c r="X140" s="1"/>
  <c r="K141" s="1"/>
  <c r="X141" s="1"/>
  <c r="K142" s="1"/>
  <c r="X142" s="1"/>
  <c r="K143" s="1"/>
  <c r="X143" s="1"/>
  <c r="K144" s="1"/>
  <c r="X144" s="1"/>
  <c r="K145" s="1"/>
  <c r="X145" s="1"/>
  <c r="AB129" i="10"/>
  <c r="AA55" i="5"/>
  <c r="AA130" i="12"/>
  <c r="AA131" s="1"/>
  <c r="AA132" s="1"/>
  <c r="AA133" s="1"/>
  <c r="AA134" s="1"/>
  <c r="AA135" s="1"/>
  <c r="AA136" s="1"/>
  <c r="AA137" s="1"/>
  <c r="AA138" s="1"/>
  <c r="AA139" s="1"/>
  <c r="AA140" s="1"/>
  <c r="AA141" s="1"/>
  <c r="AA142" s="1"/>
  <c r="AA143" s="1"/>
  <c r="AA144" s="1"/>
  <c r="AB56" i="4"/>
  <c r="K57"/>
  <c r="X57" s="1"/>
  <c r="AB130" i="10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B56" i="2"/>
  <c r="K57"/>
  <c r="X57" s="1"/>
  <c r="AA137" i="11"/>
  <c r="AA138" s="1"/>
  <c r="AA139" s="1"/>
  <c r="AA140" s="1"/>
  <c r="AA141" s="1"/>
  <c r="AA150" i="16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A165" s="1"/>
  <c r="AA166" s="1"/>
  <c r="AA167" s="1"/>
  <c r="AA168" s="1"/>
  <c r="AA169" s="1"/>
  <c r="AA170" s="1"/>
  <c r="AA137" i="13"/>
  <c r="AA138" s="1"/>
  <c r="AA139" s="1"/>
  <c r="AA140" s="1"/>
  <c r="AA141" s="1"/>
  <c r="AA142" s="1"/>
  <c r="AA143" s="1"/>
  <c r="AA144" s="1"/>
  <c r="AA145" s="1"/>
  <c r="AA146" s="1"/>
  <c r="AA147" s="1"/>
  <c r="AA148" s="1"/>
  <c r="AA149" s="1"/>
  <c r="K131" i="12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B130" i="7"/>
  <c r="K131"/>
  <c r="X131" s="1"/>
  <c r="K132" s="1"/>
  <c r="X132" s="1"/>
  <c r="K133" s="1"/>
  <c r="X133" s="1"/>
  <c r="K134" s="1"/>
  <c r="X134" s="1"/>
  <c r="K135" s="1"/>
  <c r="X135" s="1"/>
  <c r="K136" s="1"/>
  <c r="X136" s="1"/>
  <c r="K137" s="1"/>
  <c r="X137" s="1"/>
  <c r="AB57" i="4" l="1"/>
  <c r="K58"/>
  <c r="X58" s="1"/>
  <c r="K138" i="8"/>
  <c r="X138" s="1"/>
  <c r="K139" s="1"/>
  <c r="X139" s="1"/>
  <c r="K140" s="1"/>
  <c r="X140" s="1"/>
  <c r="K141" s="1"/>
  <c r="X141" s="1"/>
  <c r="K142" s="1"/>
  <c r="X142" s="1"/>
  <c r="AB137" i="10"/>
  <c r="K138"/>
  <c r="X138" s="1"/>
  <c r="K139" s="1"/>
  <c r="X139" s="1"/>
  <c r="K140" s="1"/>
  <c r="X140" s="1"/>
  <c r="K141" s="1"/>
  <c r="X141" s="1"/>
  <c r="K142" s="1"/>
  <c r="X142" s="1"/>
  <c r="K138" i="9"/>
  <c r="X138" s="1"/>
  <c r="K139" s="1"/>
  <c r="X139" s="1"/>
  <c r="K140" s="1"/>
  <c r="X140" s="1"/>
  <c r="K141" s="1"/>
  <c r="X141" s="1"/>
  <c r="K142" s="1"/>
  <c r="X142" s="1"/>
  <c r="AA171" i="16"/>
  <c r="K138" i="12"/>
  <c r="X138" s="1"/>
  <c r="K139" s="1"/>
  <c r="X139" s="1"/>
  <c r="K140" s="1"/>
  <c r="X140" s="1"/>
  <c r="K141" s="1"/>
  <c r="X141" s="1"/>
  <c r="K142" s="1"/>
  <c r="X142" s="1"/>
  <c r="K143" s="1"/>
  <c r="X143" s="1"/>
  <c r="K144" s="1"/>
  <c r="X144" s="1"/>
  <c r="K145" s="1"/>
  <c r="X145" s="1"/>
  <c r="AB137"/>
  <c r="AA165" i="15"/>
  <c r="AA166" s="1"/>
  <c r="AA167" s="1"/>
  <c r="AA168" s="1"/>
  <c r="AA169" s="1"/>
  <c r="AA170" s="1"/>
  <c r="K57" i="6"/>
  <c r="X57" s="1"/>
  <c r="AB56"/>
  <c r="AB137" i="11"/>
  <c r="K138"/>
  <c r="X138" s="1"/>
  <c r="K139" s="1"/>
  <c r="X139" s="1"/>
  <c r="K140" s="1"/>
  <c r="X140" s="1"/>
  <c r="K141" s="1"/>
  <c r="X141" s="1"/>
  <c r="K142" s="1"/>
  <c r="X142" s="1"/>
  <c r="K138" i="7"/>
  <c r="X138" s="1"/>
  <c r="K139" s="1"/>
  <c r="X139" s="1"/>
  <c r="K140" s="1"/>
  <c r="X140" s="1"/>
  <c r="K141" s="1"/>
  <c r="X141" s="1"/>
  <c r="K142" s="1"/>
  <c r="X142" s="1"/>
  <c r="AA57" i="4"/>
  <c r="AB150" i="14"/>
  <c r="K151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A137" i="10"/>
  <c r="AA138" s="1"/>
  <c r="AA139" s="1"/>
  <c r="AA140" s="1"/>
  <c r="AA141" s="1"/>
  <c r="AB57" i="2"/>
  <c r="K58"/>
  <c r="X58" s="1"/>
  <c r="AB165" i="16"/>
  <c r="K166"/>
  <c r="X166" s="1"/>
  <c r="K167" s="1"/>
  <c r="X167" s="1"/>
  <c r="K168" s="1"/>
  <c r="X168" s="1"/>
  <c r="K169" s="1"/>
  <c r="X169" s="1"/>
  <c r="K170" s="1"/>
  <c r="X170" s="1"/>
  <c r="K171" s="1"/>
  <c r="X171" s="1"/>
  <c r="AA56" i="6"/>
  <c r="AB130" i="12"/>
  <c r="AB137" i="13"/>
  <c r="AB56" i="3"/>
  <c r="K57"/>
  <c r="X57" s="1"/>
  <c r="AB145" i="13"/>
  <c r="K146"/>
  <c r="X146" s="1"/>
  <c r="K147" s="1"/>
  <c r="X147" s="1"/>
  <c r="K148" s="1"/>
  <c r="X148" s="1"/>
  <c r="K149" s="1"/>
  <c r="X149" s="1"/>
  <c r="K150" s="1"/>
  <c r="X150" s="1"/>
  <c r="AA150" s="1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A137" i="8"/>
  <c r="AA138" s="1"/>
  <c r="AA139" s="1"/>
  <c r="AA140" s="1"/>
  <c r="AA141" s="1"/>
  <c r="AA137" i="9"/>
  <c r="AA138" s="1"/>
  <c r="AA139" s="1"/>
  <c r="AA140" s="1"/>
  <c r="AA141" s="1"/>
  <c r="AB150" i="15"/>
  <c r="AB150" i="16"/>
  <c r="AB56" i="5"/>
  <c r="K57"/>
  <c r="X57" s="1"/>
  <c r="AA58" i="2"/>
  <c r="AA56" i="3"/>
  <c r="AA137" i="7"/>
  <c r="AA138" s="1"/>
  <c r="AA139" s="1"/>
  <c r="AA140" s="1"/>
  <c r="AA141" s="1"/>
  <c r="AA142" s="1"/>
  <c r="AA143" s="1"/>
  <c r="AA144" s="1"/>
  <c r="K166" i="15"/>
  <c r="X166" s="1"/>
  <c r="K167" s="1"/>
  <c r="X167" s="1"/>
  <c r="K168" s="1"/>
  <c r="X168" s="1"/>
  <c r="K169" s="1"/>
  <c r="X169" s="1"/>
  <c r="K170" s="1"/>
  <c r="X170" s="1"/>
  <c r="K171" s="1"/>
  <c r="X171" s="1"/>
  <c r="AA56" i="5"/>
  <c r="AB57" i="3" l="1"/>
  <c r="K58"/>
  <c r="X58" s="1"/>
  <c r="AA142" i="9"/>
  <c r="AA143" s="1"/>
  <c r="AA144" s="1"/>
  <c r="AA145" s="1"/>
  <c r="AA146" s="1"/>
  <c r="AA147" s="1"/>
  <c r="AA148" s="1"/>
  <c r="AA149" s="1"/>
  <c r="K143" i="8"/>
  <c r="X143" s="1"/>
  <c r="K144" s="1"/>
  <c r="X144" s="1"/>
  <c r="K145" s="1"/>
  <c r="X145" s="1"/>
  <c r="AB137" i="9"/>
  <c r="AB150" i="13"/>
  <c r="K151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A165" s="1"/>
  <c r="AA166" s="1"/>
  <c r="AA167" s="1"/>
  <c r="AA168" s="1"/>
  <c r="AA169" s="1"/>
  <c r="AA170" s="1"/>
  <c r="AA172" i="16"/>
  <c r="AA173" s="1"/>
  <c r="AA174" s="1"/>
  <c r="AA175" s="1"/>
  <c r="AA176" s="1"/>
  <c r="AA142" i="8"/>
  <c r="AA143" s="1"/>
  <c r="AA144" s="1"/>
  <c r="AB142" i="10"/>
  <c r="K143"/>
  <c r="X143" s="1"/>
  <c r="K144" s="1"/>
  <c r="X144" s="1"/>
  <c r="K145" s="1"/>
  <c r="X145" s="1"/>
  <c r="AA57" i="3"/>
  <c r="K146" i="12"/>
  <c r="X146" s="1"/>
  <c r="K147" s="1"/>
  <c r="X147" s="1"/>
  <c r="K148" s="1"/>
  <c r="X148" s="1"/>
  <c r="K149" s="1"/>
  <c r="X149" s="1"/>
  <c r="K150" s="1"/>
  <c r="X150" s="1"/>
  <c r="AB165" i="15"/>
  <c r="K143" i="9"/>
  <c r="X143" s="1"/>
  <c r="K144" s="1"/>
  <c r="X144" s="1"/>
  <c r="K145" s="1"/>
  <c r="X145" s="1"/>
  <c r="AA59" i="2"/>
  <c r="AB171" i="15"/>
  <c r="K172"/>
  <c r="X172" s="1"/>
  <c r="AB58" i="2"/>
  <c r="K59"/>
  <c r="X59" s="1"/>
  <c r="K143" i="11"/>
  <c r="X143" s="1"/>
  <c r="K144" s="1"/>
  <c r="X144" s="1"/>
  <c r="K145" s="1"/>
  <c r="X145" s="1"/>
  <c r="AA58" i="4"/>
  <c r="AB171" i="16"/>
  <c r="K172"/>
  <c r="X172" s="1"/>
  <c r="AA171" i="15"/>
  <c r="K166" i="14"/>
  <c r="X166" s="1"/>
  <c r="K167" s="1"/>
  <c r="X167" s="1"/>
  <c r="K168" s="1"/>
  <c r="X168" s="1"/>
  <c r="K169" s="1"/>
  <c r="X169" s="1"/>
  <c r="K170" s="1"/>
  <c r="X170" s="1"/>
  <c r="K171" s="1"/>
  <c r="X171" s="1"/>
  <c r="AA145" i="12"/>
  <c r="AA146" s="1"/>
  <c r="AA147" s="1"/>
  <c r="AA148" s="1"/>
  <c r="AA149" s="1"/>
  <c r="AA150" s="1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K58" i="5"/>
  <c r="X58" s="1"/>
  <c r="AB57"/>
  <c r="K58" i="6"/>
  <c r="X58" s="1"/>
  <c r="AB57"/>
  <c r="AA165" i="14"/>
  <c r="AA166" s="1"/>
  <c r="AA167" s="1"/>
  <c r="AA168" s="1"/>
  <c r="AA169" s="1"/>
  <c r="AA170" s="1"/>
  <c r="AB137" i="7"/>
  <c r="AA57" i="6"/>
  <c r="AB58" i="4"/>
  <c r="K59"/>
  <c r="X59" s="1"/>
  <c r="K143" i="7"/>
  <c r="X143" s="1"/>
  <c r="K144" s="1"/>
  <c r="X144" s="1"/>
  <c r="K145" s="1"/>
  <c r="X145" s="1"/>
  <c r="AB142"/>
  <c r="AA142" i="11"/>
  <c r="AA143" s="1"/>
  <c r="AA144" s="1"/>
  <c r="AA145" s="1"/>
  <c r="AA146" s="1"/>
  <c r="AA147" s="1"/>
  <c r="AA148" s="1"/>
  <c r="AA149" s="1"/>
  <c r="AA142" i="10"/>
  <c r="AA143" s="1"/>
  <c r="AA144" s="1"/>
  <c r="AB137" i="8"/>
  <c r="AA57" i="5"/>
  <c r="AA171" i="13" l="1"/>
  <c r="K172" i="14"/>
  <c r="X172" s="1"/>
  <c r="AB171"/>
  <c r="AA150" i="9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K59" i="5"/>
  <c r="X59" s="1"/>
  <c r="AB58"/>
  <c r="AB145" i="8"/>
  <c r="K146"/>
  <c r="X146" s="1"/>
  <c r="K147" s="1"/>
  <c r="X147" s="1"/>
  <c r="K148" s="1"/>
  <c r="X148" s="1"/>
  <c r="K149" s="1"/>
  <c r="X149" s="1"/>
  <c r="K150" s="1"/>
  <c r="X150" s="1"/>
  <c r="K59" i="6"/>
  <c r="X59" s="1"/>
  <c r="AB58"/>
  <c r="K146" i="7"/>
  <c r="X146" s="1"/>
  <c r="K147" s="1"/>
  <c r="X147" s="1"/>
  <c r="K148" s="1"/>
  <c r="X148" s="1"/>
  <c r="K149" s="1"/>
  <c r="X149" s="1"/>
  <c r="K150" s="1"/>
  <c r="X150" s="1"/>
  <c r="AB145" i="11"/>
  <c r="K146"/>
  <c r="X146" s="1"/>
  <c r="K147" s="1"/>
  <c r="X147" s="1"/>
  <c r="K148" s="1"/>
  <c r="X148" s="1"/>
  <c r="K149" s="1"/>
  <c r="X149" s="1"/>
  <c r="K150" s="1"/>
  <c r="X150" s="1"/>
  <c r="AA58" i="5"/>
  <c r="AA171" i="14"/>
  <c r="AA58" i="6"/>
  <c r="AB142" i="11"/>
  <c r="AB165" i="13"/>
  <c r="K166"/>
  <c r="X166" s="1"/>
  <c r="K167" s="1"/>
  <c r="X167" s="1"/>
  <c r="K168" s="1"/>
  <c r="X168" s="1"/>
  <c r="K169" s="1"/>
  <c r="X169" s="1"/>
  <c r="K170" s="1"/>
  <c r="X170" s="1"/>
  <c r="K171" s="1"/>
  <c r="X171" s="1"/>
  <c r="K151" i="12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A165" s="1"/>
  <c r="AA166" s="1"/>
  <c r="AA167" s="1"/>
  <c r="AA168" s="1"/>
  <c r="AA169" s="1"/>
  <c r="AA170" s="1"/>
  <c r="AB150"/>
  <c r="AA59" i="4"/>
  <c r="AB145" i="9"/>
  <c r="K146"/>
  <c r="X146" s="1"/>
  <c r="K147" s="1"/>
  <c r="X147" s="1"/>
  <c r="K148" s="1"/>
  <c r="X148" s="1"/>
  <c r="K149" s="1"/>
  <c r="X149" s="1"/>
  <c r="K150" s="1"/>
  <c r="X150" s="1"/>
  <c r="AA145" i="8"/>
  <c r="AA146" s="1"/>
  <c r="AA147" s="1"/>
  <c r="AA148" s="1"/>
  <c r="AA149" s="1"/>
  <c r="AA145" i="10"/>
  <c r="AA146" s="1"/>
  <c r="AA147" s="1"/>
  <c r="AA148" s="1"/>
  <c r="AA149" s="1"/>
  <c r="K59" i="3"/>
  <c r="X59" s="1"/>
  <c r="K60" i="4"/>
  <c r="X60" s="1"/>
  <c r="AB172" i="16"/>
  <c r="K173"/>
  <c r="X173" s="1"/>
  <c r="K174" s="1"/>
  <c r="X174" s="1"/>
  <c r="K175" s="1"/>
  <c r="X175" s="1"/>
  <c r="K176" s="1"/>
  <c r="X176" s="1"/>
  <c r="K177" s="1"/>
  <c r="X177" s="1"/>
  <c r="AA58" i="3"/>
  <c r="AA59" s="1"/>
  <c r="AB145" i="10"/>
  <c r="K146"/>
  <c r="X146" s="1"/>
  <c r="K147" s="1"/>
  <c r="X147" s="1"/>
  <c r="K148" s="1"/>
  <c r="X148" s="1"/>
  <c r="K149" s="1"/>
  <c r="X149" s="1"/>
  <c r="K150" s="1"/>
  <c r="X150" s="1"/>
  <c r="AB172" i="15"/>
  <c r="K173"/>
  <c r="X173" s="1"/>
  <c r="K174" s="1"/>
  <c r="X174" s="1"/>
  <c r="K175" s="1"/>
  <c r="X175" s="1"/>
  <c r="K176" s="1"/>
  <c r="X176" s="1"/>
  <c r="K177" s="1"/>
  <c r="X177" s="1"/>
  <c r="AB59" i="2"/>
  <c r="K60"/>
  <c r="X60" s="1"/>
  <c r="AA60" s="1"/>
  <c r="AB142" i="8"/>
  <c r="AA145" i="7"/>
  <c r="AA146" s="1"/>
  <c r="AA147" s="1"/>
  <c r="AA148" s="1"/>
  <c r="AA149" s="1"/>
  <c r="AA172" i="15"/>
  <c r="AA173" s="1"/>
  <c r="AA174" s="1"/>
  <c r="AA175" s="1"/>
  <c r="AA176" s="1"/>
  <c r="AB145" i="12"/>
  <c r="AB142" i="9"/>
  <c r="AB165" i="14"/>
  <c r="AA61" i="2" l="1"/>
  <c r="AB60" i="4"/>
  <c r="K61"/>
  <c r="X61" s="1"/>
  <c r="AA165" i="9"/>
  <c r="AA166" s="1"/>
  <c r="AA167" s="1"/>
  <c r="AA168" s="1"/>
  <c r="AA169" s="1"/>
  <c r="AA170" s="1"/>
  <c r="AB177" i="16"/>
  <c r="K178"/>
  <c r="X178" s="1"/>
  <c r="K173" i="14"/>
  <c r="X173" s="1"/>
  <c r="K174" s="1"/>
  <c r="X174" s="1"/>
  <c r="K175" s="1"/>
  <c r="X175" s="1"/>
  <c r="K176" s="1"/>
  <c r="X176" s="1"/>
  <c r="K177" s="1"/>
  <c r="X177" s="1"/>
  <c r="AB172"/>
  <c r="AB60" i="2"/>
  <c r="K61"/>
  <c r="X61" s="1"/>
  <c r="AB150" i="8"/>
  <c r="K151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A150" i="7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K60" i="5"/>
  <c r="X60" s="1"/>
  <c r="AA177" i="15"/>
  <c r="AA178" s="1"/>
  <c r="AA179" s="1"/>
  <c r="AA60" i="4"/>
  <c r="AB150" i="11"/>
  <c r="K151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A172" i="14"/>
  <c r="AA173" s="1"/>
  <c r="AA174" s="1"/>
  <c r="AA175" s="1"/>
  <c r="AA176" s="1"/>
  <c r="K178" i="15"/>
  <c r="X178" s="1"/>
  <c r="AB150" i="9"/>
  <c r="K151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A150" i="11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A59" i="6"/>
  <c r="K151" i="10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A150" i="8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B59" i="6"/>
  <c r="K60"/>
  <c r="X60" s="1"/>
  <c r="AB171" i="13"/>
  <c r="K172"/>
  <c r="X172" s="1"/>
  <c r="AB145" i="7"/>
  <c r="AA150" i="10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A165" s="1"/>
  <c r="AA166" s="1"/>
  <c r="AA167" s="1"/>
  <c r="AA168" s="1"/>
  <c r="AA169" s="1"/>
  <c r="AA170" s="1"/>
  <c r="AA59" i="5"/>
  <c r="AA60" s="1"/>
  <c r="AB58" i="3"/>
  <c r="AB150" i="7"/>
  <c r="K151"/>
  <c r="X151" s="1"/>
  <c r="K152" s="1"/>
  <c r="X152" s="1"/>
  <c r="K153" s="1"/>
  <c r="X153" s="1"/>
  <c r="K154" s="1"/>
  <c r="X154" s="1"/>
  <c r="K155" s="1"/>
  <c r="X155" s="1"/>
  <c r="K156" s="1"/>
  <c r="X156" s="1"/>
  <c r="K157" s="1"/>
  <c r="X157" s="1"/>
  <c r="K158" s="1"/>
  <c r="X158" s="1"/>
  <c r="K159" s="1"/>
  <c r="X159" s="1"/>
  <c r="K160" s="1"/>
  <c r="X160" s="1"/>
  <c r="K161" s="1"/>
  <c r="X161" s="1"/>
  <c r="K162" s="1"/>
  <c r="X162" s="1"/>
  <c r="K163" s="1"/>
  <c r="X163" s="1"/>
  <c r="K164" s="1"/>
  <c r="X164" s="1"/>
  <c r="K165" s="1"/>
  <c r="X165" s="1"/>
  <c r="AB59" i="3"/>
  <c r="K60"/>
  <c r="X60" s="1"/>
  <c r="AA177" i="16"/>
  <c r="K166" i="12"/>
  <c r="X166" s="1"/>
  <c r="K167" s="1"/>
  <c r="X167" s="1"/>
  <c r="K168" s="1"/>
  <c r="X168" s="1"/>
  <c r="K169" s="1"/>
  <c r="X169" s="1"/>
  <c r="K170" s="1"/>
  <c r="X170" s="1"/>
  <c r="K171" s="1"/>
  <c r="X171" s="1"/>
  <c r="AA171" s="1"/>
  <c r="AB165"/>
  <c r="AB59" i="4"/>
  <c r="AA172" i="12" l="1"/>
  <c r="AA173" s="1"/>
  <c r="AA174" s="1"/>
  <c r="AA175" s="1"/>
  <c r="AA176" s="1"/>
  <c r="AA62" i="2"/>
  <c r="K61" i="6"/>
  <c r="X61" s="1"/>
  <c r="K62" i="4"/>
  <c r="X62" s="1"/>
  <c r="AB172" i="13"/>
  <c r="K173"/>
  <c r="X173" s="1"/>
  <c r="K174" s="1"/>
  <c r="X174" s="1"/>
  <c r="K175" s="1"/>
  <c r="X175" s="1"/>
  <c r="K176" s="1"/>
  <c r="X176" s="1"/>
  <c r="K177" s="1"/>
  <c r="X177" s="1"/>
  <c r="AA172"/>
  <c r="AA173" s="1"/>
  <c r="AA174" s="1"/>
  <c r="AA175" s="1"/>
  <c r="AA176" s="1"/>
  <c r="AA171" i="9"/>
  <c r="AB60" i="3"/>
  <c r="K61"/>
  <c r="X61" s="1"/>
  <c r="AB165" i="8"/>
  <c r="K166"/>
  <c r="X166" s="1"/>
  <c r="K167" s="1"/>
  <c r="X167" s="1"/>
  <c r="K168" s="1"/>
  <c r="X168" s="1"/>
  <c r="K169" s="1"/>
  <c r="X169" s="1"/>
  <c r="K170" s="1"/>
  <c r="X170" s="1"/>
  <c r="K171" s="1"/>
  <c r="X171" s="1"/>
  <c r="K166" i="7"/>
  <c r="X166" s="1"/>
  <c r="K167" s="1"/>
  <c r="X167" s="1"/>
  <c r="K168" s="1"/>
  <c r="X168" s="1"/>
  <c r="K169" s="1"/>
  <c r="X169" s="1"/>
  <c r="K170" s="1"/>
  <c r="X170" s="1"/>
  <c r="K171" s="1"/>
  <c r="X171" s="1"/>
  <c r="K61" i="5"/>
  <c r="X61" s="1"/>
  <c r="AB60"/>
  <c r="AB178" i="16"/>
  <c r="K179"/>
  <c r="X179" s="1"/>
  <c r="K180" s="1"/>
  <c r="X180" s="1"/>
  <c r="AB61" i="2"/>
  <c r="K62"/>
  <c r="X62" s="1"/>
  <c r="K179" i="15"/>
  <c r="X179" s="1"/>
  <c r="K180" s="1"/>
  <c r="X180" s="1"/>
  <c r="AB178"/>
  <c r="AB59" i="5"/>
  <c r="AA178" i="16"/>
  <c r="AA179" s="1"/>
  <c r="AB171" i="12"/>
  <c r="K172"/>
  <c r="X172" s="1"/>
  <c r="AB165" i="9"/>
  <c r="K166"/>
  <c r="X166" s="1"/>
  <c r="K167" s="1"/>
  <c r="X167" s="1"/>
  <c r="K168" s="1"/>
  <c r="X168" s="1"/>
  <c r="K169" s="1"/>
  <c r="X169" s="1"/>
  <c r="K170" s="1"/>
  <c r="X170" s="1"/>
  <c r="K171" s="1"/>
  <c r="X171" s="1"/>
  <c r="AA60" i="3"/>
  <c r="AA61" i="4"/>
  <c r="AA62" s="1"/>
  <c r="AB177" i="15"/>
  <c r="AA165" i="11"/>
  <c r="AA166" s="1"/>
  <c r="AA167" s="1"/>
  <c r="AA168" s="1"/>
  <c r="AA169" s="1"/>
  <c r="AA170" s="1"/>
  <c r="AA180" i="15"/>
  <c r="AA181" s="1"/>
  <c r="AA182" s="1"/>
  <c r="AA183" s="1"/>
  <c r="AA184" s="1"/>
  <c r="AA60" i="6"/>
  <c r="AA61" s="1"/>
  <c r="K166" i="11"/>
  <c r="X166" s="1"/>
  <c r="K167" s="1"/>
  <c r="X167" s="1"/>
  <c r="K168" s="1"/>
  <c r="X168" s="1"/>
  <c r="K169" s="1"/>
  <c r="X169" s="1"/>
  <c r="K170" s="1"/>
  <c r="X170" s="1"/>
  <c r="K171" s="1"/>
  <c r="X171" s="1"/>
  <c r="AA61" i="5"/>
  <c r="AB150" i="10"/>
  <c r="K178" i="14"/>
  <c r="X178" s="1"/>
  <c r="AB177"/>
  <c r="AB165" i="10"/>
  <c r="K166"/>
  <c r="X166" s="1"/>
  <c r="K167" s="1"/>
  <c r="X167" s="1"/>
  <c r="K168" s="1"/>
  <c r="X168" s="1"/>
  <c r="K169" s="1"/>
  <c r="X169" s="1"/>
  <c r="K170" s="1"/>
  <c r="X170" s="1"/>
  <c r="K171" s="1"/>
  <c r="X171" s="1"/>
  <c r="AA171" s="1"/>
  <c r="AA177" i="14"/>
  <c r="AA165" i="7"/>
  <c r="AA166" s="1"/>
  <c r="AA167" s="1"/>
  <c r="AA168" s="1"/>
  <c r="AA169" s="1"/>
  <c r="AA170" s="1"/>
  <c r="AA171" s="1"/>
  <c r="AA165" i="8"/>
  <c r="AA166" s="1"/>
  <c r="AA167" s="1"/>
  <c r="AA168" s="1"/>
  <c r="AA169" s="1"/>
  <c r="AA170" s="1"/>
  <c r="AA172" i="10" l="1"/>
  <c r="AA173" s="1"/>
  <c r="AA174" s="1"/>
  <c r="AA175" s="1"/>
  <c r="AA176" s="1"/>
  <c r="AA63" i="2"/>
  <c r="AB61" i="6"/>
  <c r="K62"/>
  <c r="X62" s="1"/>
  <c r="AA171" i="11"/>
  <c r="AA172" s="1"/>
  <c r="AA173" s="1"/>
  <c r="AA174" s="1"/>
  <c r="AA175" s="1"/>
  <c r="AA176" s="1"/>
  <c r="AA63" i="4"/>
  <c r="AB60" i="6"/>
  <c r="AB165" i="11"/>
  <c r="AA185" i="15"/>
  <c r="AA186" s="1"/>
  <c r="AA187" s="1"/>
  <c r="AA188" s="1"/>
  <c r="AB61" i="4"/>
  <c r="AA177" i="13"/>
  <c r="AA178" s="1"/>
  <c r="AA179" s="1"/>
  <c r="K178"/>
  <c r="X178" s="1"/>
  <c r="K172" i="11"/>
  <c r="X172" s="1"/>
  <c r="AA171" i="8"/>
  <c r="AA172" s="1"/>
  <c r="AA173" s="1"/>
  <c r="AA174" s="1"/>
  <c r="AA175" s="1"/>
  <c r="AA176" s="1"/>
  <c r="AB62" i="4"/>
  <c r="K63"/>
  <c r="X63" s="1"/>
  <c r="AB165" i="7"/>
  <c r="K172" i="10"/>
  <c r="X172" s="1"/>
  <c r="AB171"/>
  <c r="AB180" i="15"/>
  <c r="K181"/>
  <c r="X181" s="1"/>
  <c r="K182" s="1"/>
  <c r="X182" s="1"/>
  <c r="K183" s="1"/>
  <c r="X183" s="1"/>
  <c r="K184" s="1"/>
  <c r="X184" s="1"/>
  <c r="K185" s="1"/>
  <c r="X185" s="1"/>
  <c r="AA180" i="16"/>
  <c r="AA181" s="1"/>
  <c r="AA182" s="1"/>
  <c r="AA183" s="1"/>
  <c r="AA184" s="1"/>
  <c r="AB178" i="14"/>
  <c r="K179"/>
  <c r="X179" s="1"/>
  <c r="K180" s="1"/>
  <c r="X180" s="1"/>
  <c r="AA178"/>
  <c r="AA179" s="1"/>
  <c r="K172" i="8"/>
  <c r="X172" s="1"/>
  <c r="K62" i="5"/>
  <c r="X62" s="1"/>
  <c r="AB61"/>
  <c r="AB180" i="16"/>
  <c r="K181"/>
  <c r="X181" s="1"/>
  <c r="K182" s="1"/>
  <c r="X182" s="1"/>
  <c r="K183" s="1"/>
  <c r="X183" s="1"/>
  <c r="K184" s="1"/>
  <c r="X184" s="1"/>
  <c r="K185" s="1"/>
  <c r="X185" s="1"/>
  <c r="AB172" i="12"/>
  <c r="K173"/>
  <c r="X173" s="1"/>
  <c r="K174" s="1"/>
  <c r="X174" s="1"/>
  <c r="K175" s="1"/>
  <c r="X175" s="1"/>
  <c r="K176" s="1"/>
  <c r="X176" s="1"/>
  <c r="K177" s="1"/>
  <c r="X177" s="1"/>
  <c r="AA177" s="1"/>
  <c r="AB61" i="3"/>
  <c r="K62"/>
  <c r="X62" s="1"/>
  <c r="K172" i="7"/>
  <c r="X172" s="1"/>
  <c r="AA172" s="1"/>
  <c r="AA173" s="1"/>
  <c r="AA174" s="1"/>
  <c r="AA175" s="1"/>
  <c r="AA176" s="1"/>
  <c r="AB171"/>
  <c r="K172" i="9"/>
  <c r="X172" s="1"/>
  <c r="AA172" s="1"/>
  <c r="AA173" s="1"/>
  <c r="AA174" s="1"/>
  <c r="AA175" s="1"/>
  <c r="AA176" s="1"/>
  <c r="AB171"/>
  <c r="AA62" i="5"/>
  <c r="AB62" i="2"/>
  <c r="K63"/>
  <c r="X63" s="1"/>
  <c r="AA61" i="3"/>
  <c r="AA177" i="9" l="1"/>
  <c r="AA178" i="12"/>
  <c r="AA179" s="1"/>
  <c r="K63" i="6"/>
  <c r="X63" s="1"/>
  <c r="AB62"/>
  <c r="K186" i="16"/>
  <c r="X186" s="1"/>
  <c r="K187" s="1"/>
  <c r="X187" s="1"/>
  <c r="K188" s="1"/>
  <c r="X188" s="1"/>
  <c r="K189" s="1"/>
  <c r="X189" s="1"/>
  <c r="AB63" i="2"/>
  <c r="K64"/>
  <c r="X64" s="1"/>
  <c r="AB172" i="11"/>
  <c r="K173"/>
  <c r="X173" s="1"/>
  <c r="K174" s="1"/>
  <c r="X174" s="1"/>
  <c r="K175" s="1"/>
  <c r="X175" s="1"/>
  <c r="K176" s="1"/>
  <c r="X176" s="1"/>
  <c r="K177" s="1"/>
  <c r="X177" s="1"/>
  <c r="AA180" i="13"/>
  <c r="AA181" s="1"/>
  <c r="AA182" s="1"/>
  <c r="AA183" s="1"/>
  <c r="AA184" s="1"/>
  <c r="K63" i="3"/>
  <c r="X63" s="1"/>
  <c r="AB178" i="13"/>
  <c r="K179"/>
  <c r="X179" s="1"/>
  <c r="K180" s="1"/>
  <c r="X180" s="1"/>
  <c r="K64" i="4"/>
  <c r="X64" s="1"/>
  <c r="AB63"/>
  <c r="AA177" i="10"/>
  <c r="AB172"/>
  <c r="K173"/>
  <c r="X173" s="1"/>
  <c r="K174" s="1"/>
  <c r="X174" s="1"/>
  <c r="K175" s="1"/>
  <c r="X175" s="1"/>
  <c r="K176" s="1"/>
  <c r="X176" s="1"/>
  <c r="K177" s="1"/>
  <c r="X177" s="1"/>
  <c r="K181" i="14"/>
  <c r="X181" s="1"/>
  <c r="K182" s="1"/>
  <c r="X182" s="1"/>
  <c r="K183" s="1"/>
  <c r="X183" s="1"/>
  <c r="K184" s="1"/>
  <c r="X184" s="1"/>
  <c r="K185" s="1"/>
  <c r="X185" s="1"/>
  <c r="AB180"/>
  <c r="AB171" i="11"/>
  <c r="AA180" i="14"/>
  <c r="AA181" s="1"/>
  <c r="AA182" s="1"/>
  <c r="AA183" s="1"/>
  <c r="AA184" s="1"/>
  <c r="AB172" i="9"/>
  <c r="K173"/>
  <c r="X173" s="1"/>
  <c r="K174" s="1"/>
  <c r="X174" s="1"/>
  <c r="K175" s="1"/>
  <c r="X175" s="1"/>
  <c r="K176" s="1"/>
  <c r="X176" s="1"/>
  <c r="K177" s="1"/>
  <c r="X177" s="1"/>
  <c r="K173" i="8"/>
  <c r="X173" s="1"/>
  <c r="K174" s="1"/>
  <c r="X174" s="1"/>
  <c r="K175" s="1"/>
  <c r="X175" s="1"/>
  <c r="K176" s="1"/>
  <c r="X176" s="1"/>
  <c r="K177" s="1"/>
  <c r="X177" s="1"/>
  <c r="AB172"/>
  <c r="AA62" i="3"/>
  <c r="AA63" s="1"/>
  <c r="AA185" i="16"/>
  <c r="AA186" s="1"/>
  <c r="AA187" s="1"/>
  <c r="AA188" s="1"/>
  <c r="K173" i="7"/>
  <c r="X173" s="1"/>
  <c r="K174" s="1"/>
  <c r="X174" s="1"/>
  <c r="K175" s="1"/>
  <c r="X175" s="1"/>
  <c r="K176" s="1"/>
  <c r="X176" s="1"/>
  <c r="K177" s="1"/>
  <c r="X177" s="1"/>
  <c r="AA177" s="1"/>
  <c r="AB172"/>
  <c r="AB185" i="15"/>
  <c r="K186"/>
  <c r="X186" s="1"/>
  <c r="K187" s="1"/>
  <c r="X187" s="1"/>
  <c r="K188" s="1"/>
  <c r="X188" s="1"/>
  <c r="K189" s="1"/>
  <c r="X189" s="1"/>
  <c r="AA64" i="4"/>
  <c r="AB177" i="13"/>
  <c r="AA62" i="6"/>
  <c r="AB171" i="8"/>
  <c r="AB177" i="12"/>
  <c r="K178"/>
  <c r="X178" s="1"/>
  <c r="AB62" i="5"/>
  <c r="K63"/>
  <c r="X63" s="1"/>
  <c r="AA177" i="8"/>
  <c r="AA178" i="7" l="1"/>
  <c r="AA179" s="1"/>
  <c r="AA189" i="16"/>
  <c r="AA190" s="1"/>
  <c r="AA191" s="1"/>
  <c r="AA192" s="1"/>
  <c r="AA193" s="1"/>
  <c r="AB189" i="15"/>
  <c r="K190"/>
  <c r="X190" s="1"/>
  <c r="K191" s="1"/>
  <c r="X191" s="1"/>
  <c r="K192" s="1"/>
  <c r="X192" s="1"/>
  <c r="K193" s="1"/>
  <c r="X193" s="1"/>
  <c r="AA185" i="13"/>
  <c r="AA186" s="1"/>
  <c r="AA187" s="1"/>
  <c r="AA188" s="1"/>
  <c r="K64" i="5"/>
  <c r="X64" s="1"/>
  <c r="AA180" i="12"/>
  <c r="AA181" s="1"/>
  <c r="AA182" s="1"/>
  <c r="AA183" s="1"/>
  <c r="AA184" s="1"/>
  <c r="AB177" i="7"/>
  <c r="K178"/>
  <c r="X178" s="1"/>
  <c r="K186" i="14"/>
  <c r="X186" s="1"/>
  <c r="K187" s="1"/>
  <c r="X187" s="1"/>
  <c r="K188" s="1"/>
  <c r="X188" s="1"/>
  <c r="K189" s="1"/>
  <c r="X189" s="1"/>
  <c r="AB185" i="16"/>
  <c r="AB177" i="11"/>
  <c r="K178"/>
  <c r="X178" s="1"/>
  <c r="AB64" i="4"/>
  <c r="K65"/>
  <c r="X65" s="1"/>
  <c r="AA65" s="1"/>
  <c r="AA178" i="10"/>
  <c r="AA179" s="1"/>
  <c r="AA189" i="15"/>
  <c r="AA190" s="1"/>
  <c r="AA191" s="1"/>
  <c r="AA192" s="1"/>
  <c r="K190" i="16"/>
  <c r="X190" s="1"/>
  <c r="K191" s="1"/>
  <c r="X191" s="1"/>
  <c r="K192" s="1"/>
  <c r="X192" s="1"/>
  <c r="K193" s="1"/>
  <c r="X193" s="1"/>
  <c r="AA177" i="11"/>
  <c r="K64" i="6"/>
  <c r="X64" s="1"/>
  <c r="AB180" i="13"/>
  <c r="K181"/>
  <c r="X181" s="1"/>
  <c r="K182" s="1"/>
  <c r="X182" s="1"/>
  <c r="K183" s="1"/>
  <c r="X183" s="1"/>
  <c r="K184" s="1"/>
  <c r="X184" s="1"/>
  <c r="K185" s="1"/>
  <c r="X185" s="1"/>
  <c r="AB177" i="10"/>
  <c r="K178"/>
  <c r="X178" s="1"/>
  <c r="AB178" i="12"/>
  <c r="K179"/>
  <c r="X179" s="1"/>
  <c r="K180" s="1"/>
  <c r="X180" s="1"/>
  <c r="AA178" i="9"/>
  <c r="AA179" s="1"/>
  <c r="AA185" i="14"/>
  <c r="AA186" s="1"/>
  <c r="AA187" s="1"/>
  <c r="AA188" s="1"/>
  <c r="AA189" s="1"/>
  <c r="AA190" s="1"/>
  <c r="AA191" s="1"/>
  <c r="AA192" s="1"/>
  <c r="AB62" i="3"/>
  <c r="AA178" i="8"/>
  <c r="AA179" s="1"/>
  <c r="AA63" i="5"/>
  <c r="AA64" s="1"/>
  <c r="AB64" i="2"/>
  <c r="K65"/>
  <c r="X65" s="1"/>
  <c r="AB63" i="3"/>
  <c r="K64"/>
  <c r="X64" s="1"/>
  <c r="AA64" s="1"/>
  <c r="K178" i="9"/>
  <c r="X178" s="1"/>
  <c r="AB177"/>
  <c r="AA64" i="2"/>
  <c r="AB177" i="8"/>
  <c r="K178"/>
  <c r="X178" s="1"/>
  <c r="AA63" i="6"/>
  <c r="AA64" s="1"/>
  <c r="AA66" i="4" l="1"/>
  <c r="AA65" i="3"/>
  <c r="AA180" i="7"/>
  <c r="AA181" s="1"/>
  <c r="AA182" s="1"/>
  <c r="AA183" s="1"/>
  <c r="AA184" s="1"/>
  <c r="AB63" i="5"/>
  <c r="AA194" i="16"/>
  <c r="AA65" i="2"/>
  <c r="AA66" s="1"/>
  <c r="AB178" i="9"/>
  <c r="K179"/>
  <c r="X179" s="1"/>
  <c r="K180" s="1"/>
  <c r="X180" s="1"/>
  <c r="AB178" i="11"/>
  <c r="K179"/>
  <c r="X179" s="1"/>
  <c r="K180" s="1"/>
  <c r="X180" s="1"/>
  <c r="AA189" i="13"/>
  <c r="AA190" s="1"/>
  <c r="AA191" s="1"/>
  <c r="AA192" s="1"/>
  <c r="AA185" i="12"/>
  <c r="AA186" s="1"/>
  <c r="AA187" s="1"/>
  <c r="AA188" s="1"/>
  <c r="AB64" i="5"/>
  <c r="K65"/>
  <c r="X65" s="1"/>
  <c r="AB189" i="16"/>
  <c r="K66" i="2"/>
  <c r="X66" s="1"/>
  <c r="K190" i="14"/>
  <c r="X190" s="1"/>
  <c r="K191" s="1"/>
  <c r="X191" s="1"/>
  <c r="K192" s="1"/>
  <c r="X192" s="1"/>
  <c r="K193" s="1"/>
  <c r="X193" s="1"/>
  <c r="AA193" s="1"/>
  <c r="AB189"/>
  <c r="AB193" i="16"/>
  <c r="K194"/>
  <c r="X194" s="1"/>
  <c r="AB185" i="13"/>
  <c r="K186"/>
  <c r="X186" s="1"/>
  <c r="K187" s="1"/>
  <c r="X187" s="1"/>
  <c r="K188" s="1"/>
  <c r="X188" s="1"/>
  <c r="K189" s="1"/>
  <c r="X189" s="1"/>
  <c r="AB64" i="3"/>
  <c r="K65"/>
  <c r="X65" s="1"/>
  <c r="AB63" i="6"/>
  <c r="AB178" i="8"/>
  <c r="K179"/>
  <c r="X179" s="1"/>
  <c r="K180" s="1"/>
  <c r="X180" s="1"/>
  <c r="AA180" s="1"/>
  <c r="AA181" s="1"/>
  <c r="AA182" s="1"/>
  <c r="AA183" s="1"/>
  <c r="AA184" s="1"/>
  <c r="AB65" i="4"/>
  <c r="K66"/>
  <c r="X66" s="1"/>
  <c r="AB178" i="10"/>
  <c r="K179"/>
  <c r="X179" s="1"/>
  <c r="K180" s="1"/>
  <c r="X180" s="1"/>
  <c r="AA65" i="5"/>
  <c r="AB185" i="14"/>
  <c r="AA193" i="15"/>
  <c r="AA194" s="1"/>
  <c r="AB178" i="7"/>
  <c r="K179"/>
  <c r="X179" s="1"/>
  <c r="K180" s="1"/>
  <c r="X180" s="1"/>
  <c r="K65" i="6"/>
  <c r="X65" s="1"/>
  <c r="AB64"/>
  <c r="K194" i="15"/>
  <c r="X194" s="1"/>
  <c r="AB180" i="12"/>
  <c r="K181"/>
  <c r="X181" s="1"/>
  <c r="K182" s="1"/>
  <c r="X182" s="1"/>
  <c r="K183" s="1"/>
  <c r="X183" s="1"/>
  <c r="K184" s="1"/>
  <c r="X184" s="1"/>
  <c r="K185" s="1"/>
  <c r="X185" s="1"/>
  <c r="AA178" i="11"/>
  <c r="AA179" s="1"/>
  <c r="AA194" i="14" l="1"/>
  <c r="AB180" i="8"/>
  <c r="K181"/>
  <c r="X181" s="1"/>
  <c r="K182" s="1"/>
  <c r="X182" s="1"/>
  <c r="K183" s="1"/>
  <c r="X183" s="1"/>
  <c r="K184" s="1"/>
  <c r="X184" s="1"/>
  <c r="K185" s="1"/>
  <c r="X185" s="1"/>
  <c r="AB180" i="9"/>
  <c r="K181"/>
  <c r="X181" s="1"/>
  <c r="K182" s="1"/>
  <c r="X182" s="1"/>
  <c r="K183" s="1"/>
  <c r="X183" s="1"/>
  <c r="K184" s="1"/>
  <c r="X184" s="1"/>
  <c r="K185" s="1"/>
  <c r="X185" s="1"/>
  <c r="AA67" i="4"/>
  <c r="AB66"/>
  <c r="K67"/>
  <c r="X67" s="1"/>
  <c r="AA193" i="13"/>
  <c r="AB180" i="7"/>
  <c r="K181"/>
  <c r="X181" s="1"/>
  <c r="K182" s="1"/>
  <c r="X182" s="1"/>
  <c r="K183" s="1"/>
  <c r="X183" s="1"/>
  <c r="K184" s="1"/>
  <c r="X184" s="1"/>
  <c r="K185" s="1"/>
  <c r="X185" s="1"/>
  <c r="AA185" s="1"/>
  <c r="AA186" s="1"/>
  <c r="AA187" s="1"/>
  <c r="AA188" s="1"/>
  <c r="AB185" i="12"/>
  <c r="K186"/>
  <c r="X186" s="1"/>
  <c r="K187" s="1"/>
  <c r="X187" s="1"/>
  <c r="K188" s="1"/>
  <c r="X188" s="1"/>
  <c r="K189" s="1"/>
  <c r="X189" s="1"/>
  <c r="AB189" i="13"/>
  <c r="K190"/>
  <c r="X190" s="1"/>
  <c r="K191" s="1"/>
  <c r="X191" s="1"/>
  <c r="K192" s="1"/>
  <c r="X192" s="1"/>
  <c r="K193" s="1"/>
  <c r="X193" s="1"/>
  <c r="AB180" i="11"/>
  <c r="K181"/>
  <c r="X181" s="1"/>
  <c r="K182" s="1"/>
  <c r="X182" s="1"/>
  <c r="K183" s="1"/>
  <c r="X183" s="1"/>
  <c r="K184" s="1"/>
  <c r="X184" s="1"/>
  <c r="K185" s="1"/>
  <c r="X185" s="1"/>
  <c r="AB193" i="15"/>
  <c r="K181" i="10"/>
  <c r="X181" s="1"/>
  <c r="K182" s="1"/>
  <c r="X182" s="1"/>
  <c r="K183" s="1"/>
  <c r="X183" s="1"/>
  <c r="K184" s="1"/>
  <c r="X184" s="1"/>
  <c r="K185" s="1"/>
  <c r="X185" s="1"/>
  <c r="AA180" i="9"/>
  <c r="AA181" s="1"/>
  <c r="AA182" s="1"/>
  <c r="AA183" s="1"/>
  <c r="AA184" s="1"/>
  <c r="AB193" i="14"/>
  <c r="K194"/>
  <c r="X194" s="1"/>
  <c r="AB65" i="3"/>
  <c r="K66"/>
  <c r="X66" s="1"/>
  <c r="AA180" i="11"/>
  <c r="AA181" s="1"/>
  <c r="AA182" s="1"/>
  <c r="AA183" s="1"/>
  <c r="AA184" s="1"/>
  <c r="K66" i="6"/>
  <c r="X66" s="1"/>
  <c r="AB65"/>
  <c r="K66" i="5"/>
  <c r="X66" s="1"/>
  <c r="AA66" s="1"/>
  <c r="AB65"/>
  <c r="AB66" i="2"/>
  <c r="K67"/>
  <c r="X67" s="1"/>
  <c r="AA67" s="1"/>
  <c r="AB194" i="16"/>
  <c r="K195"/>
  <c r="X195" s="1"/>
  <c r="AA195" s="1"/>
  <c r="AA196" s="1"/>
  <c r="AA66" i="3"/>
  <c r="AA180" i="10"/>
  <c r="AA181" s="1"/>
  <c r="AA182" s="1"/>
  <c r="AA183" s="1"/>
  <c r="AA184" s="1"/>
  <c r="AA185" s="1"/>
  <c r="AA186" s="1"/>
  <c r="AA187" s="1"/>
  <c r="AA188" s="1"/>
  <c r="AB194" i="15"/>
  <c r="K195"/>
  <c r="X195" s="1"/>
  <c r="AA65" i="6"/>
  <c r="AA66" s="1"/>
  <c r="AB65" i="2"/>
  <c r="AA189" i="7" l="1"/>
  <c r="AA190" s="1"/>
  <c r="AA191" s="1"/>
  <c r="AA192" s="1"/>
  <c r="AA67" i="5"/>
  <c r="AA68" i="2"/>
  <c r="AB185" i="8"/>
  <c r="K186"/>
  <c r="X186" s="1"/>
  <c r="K187" s="1"/>
  <c r="X187" s="1"/>
  <c r="K188" s="1"/>
  <c r="X188" s="1"/>
  <c r="K189" s="1"/>
  <c r="X189" s="1"/>
  <c r="AA185"/>
  <c r="AA186" s="1"/>
  <c r="AA187" s="1"/>
  <c r="AA188" s="1"/>
  <c r="AA67" i="3"/>
  <c r="AB67" i="2"/>
  <c r="K68"/>
  <c r="X68" s="1"/>
  <c r="AB189" i="12"/>
  <c r="K190"/>
  <c r="X190" s="1"/>
  <c r="K191" s="1"/>
  <c r="X191" s="1"/>
  <c r="K192" s="1"/>
  <c r="X192" s="1"/>
  <c r="K193" s="1"/>
  <c r="X193" s="1"/>
  <c r="AB66" i="5"/>
  <c r="K67"/>
  <c r="X67" s="1"/>
  <c r="AB195" i="15"/>
  <c r="K196"/>
  <c r="X196" s="1"/>
  <c r="K197" s="1"/>
  <c r="X197" s="1"/>
  <c r="K186" i="11"/>
  <c r="X186" s="1"/>
  <c r="K187" s="1"/>
  <c r="X187" s="1"/>
  <c r="K188" s="1"/>
  <c r="X188" s="1"/>
  <c r="K189" s="1"/>
  <c r="X189" s="1"/>
  <c r="AB66" i="3"/>
  <c r="K67"/>
  <c r="X67" s="1"/>
  <c r="AB180" i="10"/>
  <c r="AA189" i="12"/>
  <c r="AA190" s="1"/>
  <c r="AA191" s="1"/>
  <c r="AA192" s="1"/>
  <c r="AB185" i="7"/>
  <c r="K186"/>
  <c r="X186" s="1"/>
  <c r="K187" s="1"/>
  <c r="X187" s="1"/>
  <c r="K188" s="1"/>
  <c r="X188" s="1"/>
  <c r="K189" s="1"/>
  <c r="X189" s="1"/>
  <c r="AA185" i="9"/>
  <c r="AA186" s="1"/>
  <c r="AA187" s="1"/>
  <c r="AA188" s="1"/>
  <c r="AA195" i="15"/>
  <c r="AA196" s="1"/>
  <c r="AB195" i="16"/>
  <c r="K196"/>
  <c r="X196" s="1"/>
  <c r="K197" s="1"/>
  <c r="X197" s="1"/>
  <c r="K186" i="10"/>
  <c r="X186" s="1"/>
  <c r="K187" s="1"/>
  <c r="X187" s="1"/>
  <c r="K188" s="1"/>
  <c r="X188" s="1"/>
  <c r="K189" s="1"/>
  <c r="X189" s="1"/>
  <c r="AA189" s="1"/>
  <c r="AA190" s="1"/>
  <c r="AA191" s="1"/>
  <c r="AA192" s="1"/>
  <c r="AB185"/>
  <c r="AB194" i="14"/>
  <c r="K195"/>
  <c r="X195" s="1"/>
  <c r="AA185" i="11"/>
  <c r="AA186" s="1"/>
  <c r="AA187" s="1"/>
  <c r="AA188" s="1"/>
  <c r="AA189" s="1"/>
  <c r="AA190" s="1"/>
  <c r="AA191" s="1"/>
  <c r="AA192" s="1"/>
  <c r="K186" i="9"/>
  <c r="X186" s="1"/>
  <c r="K187" s="1"/>
  <c r="X187" s="1"/>
  <c r="K188" s="1"/>
  <c r="X188" s="1"/>
  <c r="K189" s="1"/>
  <c r="X189" s="1"/>
  <c r="AB185"/>
  <c r="AB67" i="4"/>
  <c r="K68"/>
  <c r="X68" s="1"/>
  <c r="AB193" i="13"/>
  <c r="K194"/>
  <c r="X194" s="1"/>
  <c r="AA194" s="1"/>
  <c r="K67" i="6"/>
  <c r="X67" s="1"/>
  <c r="AA67" s="1"/>
  <c r="AB66"/>
  <c r="AA195" i="13" l="1"/>
  <c r="AA196" s="1"/>
  <c r="AA193" i="7"/>
  <c r="AB197" i="16"/>
  <c r="K198"/>
  <c r="X198" s="1"/>
  <c r="K199" s="1"/>
  <c r="X199" s="1"/>
  <c r="K200" s="1"/>
  <c r="X200" s="1"/>
  <c r="AA189" i="8"/>
  <c r="AA190" s="1"/>
  <c r="AA191" s="1"/>
  <c r="AA192" s="1"/>
  <c r="AA68" i="5"/>
  <c r="AB68" i="4"/>
  <c r="K69"/>
  <c r="X69" s="1"/>
  <c r="K190" i="8"/>
  <c r="X190" s="1"/>
  <c r="K191" s="1"/>
  <c r="X191" s="1"/>
  <c r="K192" s="1"/>
  <c r="X192" s="1"/>
  <c r="K193" s="1"/>
  <c r="X193" s="1"/>
  <c r="AB68" i="2"/>
  <c r="K69"/>
  <c r="X69" s="1"/>
  <c r="AB195" i="14"/>
  <c r="K196"/>
  <c r="X196" s="1"/>
  <c r="K197" s="1"/>
  <c r="X197" s="1"/>
  <c r="K190" i="7"/>
  <c r="X190" s="1"/>
  <c r="K191" s="1"/>
  <c r="X191" s="1"/>
  <c r="K192" s="1"/>
  <c r="X192" s="1"/>
  <c r="K193" s="1"/>
  <c r="X193" s="1"/>
  <c r="AB189"/>
  <c r="AB185" i="11"/>
  <c r="AB67" i="3"/>
  <c r="K68"/>
  <c r="X68" s="1"/>
  <c r="AA197" i="16"/>
  <c r="AA198" s="1"/>
  <c r="AA199" s="1"/>
  <c r="AA195" i="14"/>
  <c r="AA196" s="1"/>
  <c r="AB194" i="13"/>
  <c r="K195"/>
  <c r="X195" s="1"/>
  <c r="AB67" i="5"/>
  <c r="K68"/>
  <c r="X68" s="1"/>
  <c r="K198" i="15"/>
  <c r="X198" s="1"/>
  <c r="K199" s="1"/>
  <c r="X199" s="1"/>
  <c r="K200" s="1"/>
  <c r="X200" s="1"/>
  <c r="K190" i="9"/>
  <c r="X190" s="1"/>
  <c r="K191" s="1"/>
  <c r="X191" s="1"/>
  <c r="K192" s="1"/>
  <c r="X192" s="1"/>
  <c r="K193" s="1"/>
  <c r="X193" s="1"/>
  <c r="K68" i="6"/>
  <c r="X68" s="1"/>
  <c r="AA68" s="1"/>
  <c r="AB67"/>
  <c r="AA189" i="9"/>
  <c r="AA190" s="1"/>
  <c r="AA191" s="1"/>
  <c r="AA192" s="1"/>
  <c r="AA193" s="1"/>
  <c r="AA197" i="15"/>
  <c r="AA198" s="1"/>
  <c r="AA199" s="1"/>
  <c r="AA200" s="1"/>
  <c r="AA201" s="1"/>
  <c r="K190" i="10"/>
  <c r="X190" s="1"/>
  <c r="K191" s="1"/>
  <c r="X191" s="1"/>
  <c r="K192" s="1"/>
  <c r="X192" s="1"/>
  <c r="K193" s="1"/>
  <c r="X193" s="1"/>
  <c r="AB189"/>
  <c r="AB193" i="12"/>
  <c r="K194"/>
  <c r="X194" s="1"/>
  <c r="K190" i="11"/>
  <c r="X190" s="1"/>
  <c r="K191" s="1"/>
  <c r="X191" s="1"/>
  <c r="K192" s="1"/>
  <c r="X192" s="1"/>
  <c r="K193" s="1"/>
  <c r="X193" s="1"/>
  <c r="AB189"/>
  <c r="AA68" i="4"/>
  <c r="AA193" i="12"/>
  <c r="AA69" i="6" l="1"/>
  <c r="AA194" i="9"/>
  <c r="K70" i="4"/>
  <c r="X70" s="1"/>
  <c r="AB69"/>
  <c r="AA194" i="7"/>
  <c r="AA193" i="8"/>
  <c r="K194" i="11"/>
  <c r="X194" s="1"/>
  <c r="AB189" i="9"/>
  <c r="AA69" i="5"/>
  <c r="AA194" i="12"/>
  <c r="AA195" s="1"/>
  <c r="AA196" s="1"/>
  <c r="AA202" i="15"/>
  <c r="AA203" s="1"/>
  <c r="AA204" s="1"/>
  <c r="AA205" s="1"/>
  <c r="AA206" s="1"/>
  <c r="AA207" s="1"/>
  <c r="AA208" s="1"/>
  <c r="AA209" s="1"/>
  <c r="AA210" s="1"/>
  <c r="AA211" s="1"/>
  <c r="AB193" i="10"/>
  <c r="K194"/>
  <c r="X194" s="1"/>
  <c r="AB68" i="5"/>
  <c r="K69"/>
  <c r="X69" s="1"/>
  <c r="AA200" i="16"/>
  <c r="AA201" s="1"/>
  <c r="AB68" i="6"/>
  <c r="K69"/>
  <c r="X69" s="1"/>
  <c r="AA193" i="10"/>
  <c r="AA69" i="4"/>
  <c r="AA197" i="14"/>
  <c r="AA198" s="1"/>
  <c r="AA199" s="1"/>
  <c r="AB197" i="15"/>
  <c r="K195" i="12"/>
  <c r="X195" s="1"/>
  <c r="AB193" i="7"/>
  <c r="K194"/>
  <c r="X194" s="1"/>
  <c r="K69" i="3"/>
  <c r="X69" s="1"/>
  <c r="AB200" i="15"/>
  <c r="K201"/>
  <c r="X201" s="1"/>
  <c r="K202" s="1"/>
  <c r="X202" s="1"/>
  <c r="AA193" i="11"/>
  <c r="AA194" s="1"/>
  <c r="AB193" i="8"/>
  <c r="K194"/>
  <c r="X194" s="1"/>
  <c r="AB69" i="2"/>
  <c r="K70"/>
  <c r="X70" s="1"/>
  <c r="AB195" i="13"/>
  <c r="K196"/>
  <c r="X196" s="1"/>
  <c r="K197" s="1"/>
  <c r="X197" s="1"/>
  <c r="AA69" i="2"/>
  <c r="AB200" i="16"/>
  <c r="K201"/>
  <c r="X201" s="1"/>
  <c r="K202" s="1"/>
  <c r="X202" s="1"/>
  <c r="AB189" i="8"/>
  <c r="AA68" i="3"/>
  <c r="AA69" s="1"/>
  <c r="AB197" i="14"/>
  <c r="K198"/>
  <c r="X198" s="1"/>
  <c r="K199" s="1"/>
  <c r="X199" s="1"/>
  <c r="K200" s="1"/>
  <c r="X200" s="1"/>
  <c r="K194" i="9"/>
  <c r="X194" s="1"/>
  <c r="AB193"/>
  <c r="AA195" i="11" l="1"/>
  <c r="AA196" s="1"/>
  <c r="AA70" i="6"/>
  <c r="K198" i="13"/>
  <c r="X198" s="1"/>
  <c r="K199" s="1"/>
  <c r="X199" s="1"/>
  <c r="K200" s="1"/>
  <c r="X200" s="1"/>
  <c r="AB197"/>
  <c r="AA195" i="7"/>
  <c r="AA196" s="1"/>
  <c r="AB194" i="11"/>
  <c r="K195"/>
  <c r="X195" s="1"/>
  <c r="AA195" i="9"/>
  <c r="AA196" s="1"/>
  <c r="K195" i="8"/>
  <c r="X195" s="1"/>
  <c r="K195" i="10"/>
  <c r="X195" s="1"/>
  <c r="AB193" i="11"/>
  <c r="K201" i="14"/>
  <c r="X201" s="1"/>
  <c r="K202" s="1"/>
  <c r="X202" s="1"/>
  <c r="K203" i="16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AB70" i="4"/>
  <c r="K71"/>
  <c r="X71" s="1"/>
  <c r="K195" i="9"/>
  <c r="X195" s="1"/>
  <c r="AB194"/>
  <c r="AB194" i="7"/>
  <c r="K195"/>
  <c r="X195" s="1"/>
  <c r="AA70" i="5"/>
  <c r="K70"/>
  <c r="X70" s="1"/>
  <c r="AB69"/>
  <c r="AB69" i="6"/>
  <c r="K70"/>
  <c r="X70" s="1"/>
  <c r="AA70" i="2"/>
  <c r="AA70" i="4"/>
  <c r="AB68" i="3"/>
  <c r="AB195" i="12"/>
  <c r="K196"/>
  <c r="X196" s="1"/>
  <c r="K197" s="1"/>
  <c r="X197" s="1"/>
  <c r="AA197" s="1"/>
  <c r="AA198" s="1"/>
  <c r="AA199" s="1"/>
  <c r="AB69" i="3"/>
  <c r="K70"/>
  <c r="X70" s="1"/>
  <c r="AA194" i="8"/>
  <c r="AA195" s="1"/>
  <c r="AA196" s="1"/>
  <c r="AA202" i="16"/>
  <c r="AA203" s="1"/>
  <c r="AA204" s="1"/>
  <c r="AA205" s="1"/>
  <c r="AA206" s="1"/>
  <c r="AA207" s="1"/>
  <c r="AA208" s="1"/>
  <c r="AA209" s="1"/>
  <c r="AA210" s="1"/>
  <c r="AA211" s="1"/>
  <c r="AA212" s="1"/>
  <c r="AA213" s="1"/>
  <c r="AA214" s="1"/>
  <c r="AA194" i="10"/>
  <c r="AA195" s="1"/>
  <c r="AA196" s="1"/>
  <c r="AB70" i="2"/>
  <c r="K71"/>
  <c r="X71" s="1"/>
  <c r="AB202" i="15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AA200" i="14"/>
  <c r="AA201" s="1"/>
  <c r="AA202" s="1"/>
  <c r="AA203" s="1"/>
  <c r="AA204" s="1"/>
  <c r="AA205" s="1"/>
  <c r="AA206" s="1"/>
  <c r="AA207" s="1"/>
  <c r="AA208" s="1"/>
  <c r="AA209" s="1"/>
  <c r="AA210" s="1"/>
  <c r="AA211" s="1"/>
  <c r="AB194" i="12"/>
  <c r="AA197" i="13"/>
  <c r="AA198" s="1"/>
  <c r="AA199" s="1"/>
  <c r="AA200" i="12" l="1"/>
  <c r="AA201" s="1"/>
  <c r="AA71" i="6"/>
  <c r="AB200" i="13"/>
  <c r="K201"/>
  <c r="X201" s="1"/>
  <c r="K202" s="1"/>
  <c r="X202" s="1"/>
  <c r="AA197" i="8"/>
  <c r="AB70" i="3"/>
  <c r="K71"/>
  <c r="X71" s="1"/>
  <c r="K72" i="2"/>
  <c r="X72" s="1"/>
  <c r="K213" i="15"/>
  <c r="X213" s="1"/>
  <c r="K214" s="1"/>
  <c r="X214" s="1"/>
  <c r="AB202" i="16"/>
  <c r="AB197" i="12"/>
  <c r="K198"/>
  <c r="X198" s="1"/>
  <c r="K199" s="1"/>
  <c r="X199" s="1"/>
  <c r="K200" s="1"/>
  <c r="X200" s="1"/>
  <c r="K72" i="4"/>
  <c r="X72" s="1"/>
  <c r="K71" i="5"/>
  <c r="X71" s="1"/>
  <c r="AB70"/>
  <c r="AA70" i="3"/>
  <c r="AB200" i="14"/>
  <c r="AB202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AB194" i="8"/>
  <c r="AB194" i="10"/>
  <c r="AB195" i="8"/>
  <c r="K196"/>
  <c r="X196" s="1"/>
  <c r="K197" s="1"/>
  <c r="X197" s="1"/>
  <c r="AB212" i="16"/>
  <c r="K213"/>
  <c r="X213" s="1"/>
  <c r="K214" s="1"/>
  <c r="X214" s="1"/>
  <c r="AB195" i="9"/>
  <c r="K196"/>
  <c r="X196" s="1"/>
  <c r="K197" s="1"/>
  <c r="X197" s="1"/>
  <c r="K71" i="6"/>
  <c r="X71" s="1"/>
  <c r="AB70"/>
  <c r="AA197" i="9"/>
  <c r="AA71" i="5"/>
  <c r="AA212" i="15"/>
  <c r="AA213" s="1"/>
  <c r="AA214" s="1"/>
  <c r="AA71" i="2"/>
  <c r="AB71" s="1"/>
  <c r="AB195" i="11"/>
  <c r="K196"/>
  <c r="X196" s="1"/>
  <c r="K197" s="1"/>
  <c r="X197" s="1"/>
  <c r="AB195" i="10"/>
  <c r="K196"/>
  <c r="X196" s="1"/>
  <c r="K197" s="1"/>
  <c r="X197" s="1"/>
  <c r="AA197" s="1"/>
  <c r="AA200" i="13"/>
  <c r="AA201" s="1"/>
  <c r="AA71" i="4"/>
  <c r="AA72" s="1"/>
  <c r="AB195" i="7"/>
  <c r="K196"/>
  <c r="X196" s="1"/>
  <c r="K197" s="1"/>
  <c r="X197" s="1"/>
  <c r="AA197" s="1"/>
  <c r="AA212" i="14"/>
  <c r="AA213" s="1"/>
  <c r="AA214" s="1"/>
  <c r="AA198" i="10" l="1"/>
  <c r="AA199" s="1"/>
  <c r="AB202" i="13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AA72" i="6"/>
  <c r="K72" i="3"/>
  <c r="X72" s="1"/>
  <c r="AB72" i="2"/>
  <c r="K73"/>
  <c r="X73" s="1"/>
  <c r="AB197" i="10"/>
  <c r="K198"/>
  <c r="X198" s="1"/>
  <c r="AA202" i="12"/>
  <c r="AA203" s="1"/>
  <c r="AA204" s="1"/>
  <c r="AA205" s="1"/>
  <c r="AA206" s="1"/>
  <c r="AA207" s="1"/>
  <c r="AA208" s="1"/>
  <c r="AA209" s="1"/>
  <c r="AA210" s="1"/>
  <c r="AA211" s="1"/>
  <c r="AA202" i="13"/>
  <c r="AA203" s="1"/>
  <c r="AA204" s="1"/>
  <c r="AA205" s="1"/>
  <c r="AA206" s="1"/>
  <c r="AA207" s="1"/>
  <c r="AA208" s="1"/>
  <c r="AA209" s="1"/>
  <c r="AA210" s="1"/>
  <c r="AA211" s="1"/>
  <c r="AA72" i="5"/>
  <c r="AB197" i="11"/>
  <c r="K198"/>
  <c r="X198" s="1"/>
  <c r="K199" s="1"/>
  <c r="X199" s="1"/>
  <c r="K200" s="1"/>
  <c r="X200" s="1"/>
  <c r="AB71" i="4"/>
  <c r="K198" i="8"/>
  <c r="X198" s="1"/>
  <c r="AA198" s="1"/>
  <c r="AA199" s="1"/>
  <c r="AB197"/>
  <c r="AA198" i="9"/>
  <c r="AA199" s="1"/>
  <c r="AA197" i="11"/>
  <c r="AA198" s="1"/>
  <c r="AA199" s="1"/>
  <c r="AB200" i="12"/>
  <c r="K201"/>
  <c r="X201" s="1"/>
  <c r="K202" s="1"/>
  <c r="X202" s="1"/>
  <c r="AA72" i="2"/>
  <c r="AB72" i="4"/>
  <c r="K73"/>
  <c r="X73" s="1"/>
  <c r="AB71" i="5"/>
  <c r="K72"/>
  <c r="X72" s="1"/>
  <c r="AB197" i="9"/>
  <c r="K198"/>
  <c r="X198" s="1"/>
  <c r="AB212" i="15"/>
  <c r="AB212" i="14"/>
  <c r="K213"/>
  <c r="X213" s="1"/>
  <c r="K214" s="1"/>
  <c r="X214" s="1"/>
  <c r="AA73" i="4"/>
  <c r="AB197" i="7"/>
  <c r="K198"/>
  <c r="X198" s="1"/>
  <c r="AA198" s="1"/>
  <c r="AA199" s="1"/>
  <c r="AB71" i="6"/>
  <c r="K72"/>
  <c r="X72" s="1"/>
  <c r="AA71" i="3"/>
  <c r="AA200" i="7" l="1"/>
  <c r="AA201" s="1"/>
  <c r="AA200" i="8"/>
  <c r="AA201" s="1"/>
  <c r="K73" i="6"/>
  <c r="X73" s="1"/>
  <c r="AB72"/>
  <c r="AA72" i="3"/>
  <c r="AB198" i="10"/>
  <c r="K199"/>
  <c r="X199" s="1"/>
  <c r="K200" s="1"/>
  <c r="X200" s="1"/>
  <c r="AB71" i="3"/>
  <c r="AB73" i="4"/>
  <c r="K74"/>
  <c r="X74" s="1"/>
  <c r="AA212" i="13"/>
  <c r="AA213" s="1"/>
  <c r="AA214" s="1"/>
  <c r="AB200" i="11"/>
  <c r="K201"/>
  <c r="X201" s="1"/>
  <c r="K202" s="1"/>
  <c r="X202" s="1"/>
  <c r="K199" i="8"/>
  <c r="X199" s="1"/>
  <c r="K200" s="1"/>
  <c r="X200" s="1"/>
  <c r="AB198"/>
  <c r="AA212" i="12"/>
  <c r="AA213" s="1"/>
  <c r="AA214" s="1"/>
  <c r="AA200" i="11"/>
  <c r="AA201" s="1"/>
  <c r="AA73" i="2"/>
  <c r="AA74" s="1"/>
  <c r="K199" i="7"/>
  <c r="X199" s="1"/>
  <c r="K200" s="1"/>
  <c r="X200" s="1"/>
  <c r="AB198"/>
  <c r="AB72" i="5"/>
  <c r="K73"/>
  <c r="X73" s="1"/>
  <c r="K74" i="2"/>
  <c r="X74" s="1"/>
  <c r="K213" i="13"/>
  <c r="X213" s="1"/>
  <c r="K214" s="1"/>
  <c r="X214" s="1"/>
  <c r="AB202" i="12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AB198" i="9"/>
  <c r="K199"/>
  <c r="X199" s="1"/>
  <c r="K200" s="1"/>
  <c r="X200" s="1"/>
  <c r="AA200" s="1"/>
  <c r="AA201" s="1"/>
  <c r="AA73" i="5"/>
  <c r="AB72" i="3"/>
  <c r="K73"/>
  <c r="X73" s="1"/>
  <c r="AA202" i="9" l="1"/>
  <c r="AA203" s="1"/>
  <c r="AA204" s="1"/>
  <c r="AA205" s="1"/>
  <c r="AA206" s="1"/>
  <c r="AA207" s="1"/>
  <c r="AA208" s="1"/>
  <c r="AA209" s="1"/>
  <c r="AA210" s="1"/>
  <c r="AA211" s="1"/>
  <c r="AA202" i="8"/>
  <c r="AA203" s="1"/>
  <c r="AA204" s="1"/>
  <c r="AA205" s="1"/>
  <c r="AA206" s="1"/>
  <c r="AA207" s="1"/>
  <c r="AA208" s="1"/>
  <c r="AA209" s="1"/>
  <c r="AA210" s="1"/>
  <c r="AA211" s="1"/>
  <c r="K74" i="6"/>
  <c r="X74" s="1"/>
  <c r="AB73"/>
  <c r="AB74" i="4"/>
  <c r="K75"/>
  <c r="X75" s="1"/>
  <c r="AB200" i="10"/>
  <c r="K201"/>
  <c r="X201" s="1"/>
  <c r="K202" s="1"/>
  <c r="X202" s="1"/>
  <c r="AA202" i="7"/>
  <c r="AA203" s="1"/>
  <c r="AA204" s="1"/>
  <c r="AA205" s="1"/>
  <c r="AA206" s="1"/>
  <c r="AA207" s="1"/>
  <c r="AA208" s="1"/>
  <c r="AA209" s="1"/>
  <c r="AA210" s="1"/>
  <c r="AA211" s="1"/>
  <c r="AA73" i="6"/>
  <c r="AB73" i="2"/>
  <c r="K201" i="9"/>
  <c r="X201" s="1"/>
  <c r="K202" s="1"/>
  <c r="X202" s="1"/>
  <c r="AB200"/>
  <c r="AB200" i="8"/>
  <c r="K201"/>
  <c r="X201" s="1"/>
  <c r="K202" s="1"/>
  <c r="X202" s="1"/>
  <c r="AB74" i="2"/>
  <c r="K75"/>
  <c r="X75" s="1"/>
  <c r="AA75" s="1"/>
  <c r="AA73" i="3"/>
  <c r="AB200" i="7"/>
  <c r="K201"/>
  <c r="X201" s="1"/>
  <c r="K202" s="1"/>
  <c r="X202" s="1"/>
  <c r="AA74" i="4"/>
  <c r="AA200" i="10"/>
  <c r="AA201" s="1"/>
  <c r="AB212" i="13"/>
  <c r="AB202" i="11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AA74" i="5"/>
  <c r="AA202" i="11"/>
  <c r="AA203" s="1"/>
  <c r="AA204" s="1"/>
  <c r="AA205" s="1"/>
  <c r="AA206" s="1"/>
  <c r="AA207" s="1"/>
  <c r="AA208" s="1"/>
  <c r="AA209" s="1"/>
  <c r="AA210" s="1"/>
  <c r="AA211" s="1"/>
  <c r="K74" i="5"/>
  <c r="X74" s="1"/>
  <c r="AB73"/>
  <c r="AB212" i="12"/>
  <c r="K213"/>
  <c r="X213" s="1"/>
  <c r="K214" s="1"/>
  <c r="X214" s="1"/>
  <c r="AB73" i="3"/>
  <c r="K74"/>
  <c r="X74" s="1"/>
  <c r="AA76" i="2" l="1"/>
  <c r="AA212" i="9"/>
  <c r="AA213" s="1"/>
  <c r="AA214" s="1"/>
  <c r="AA74" i="6"/>
  <c r="AA75" s="1"/>
  <c r="AA212" i="7"/>
  <c r="AA213" s="1"/>
  <c r="AA214" s="1"/>
  <c r="K76" i="4"/>
  <c r="X76" s="1"/>
  <c r="AA74" i="3"/>
  <c r="AA75" s="1"/>
  <c r="AA75" i="4"/>
  <c r="AB75" s="1"/>
  <c r="AB202" i="8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AA212" s="1"/>
  <c r="AA213" s="1"/>
  <c r="AA214" s="1"/>
  <c r="AA212" i="11"/>
  <c r="AA213" s="1"/>
  <c r="AA214" s="1"/>
  <c r="AB202" i="10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AB74" i="5"/>
  <c r="K75"/>
  <c r="X75" s="1"/>
  <c r="AA202" i="10"/>
  <c r="AA203" s="1"/>
  <c r="AA204" s="1"/>
  <c r="AA205" s="1"/>
  <c r="AA206" s="1"/>
  <c r="AA207" s="1"/>
  <c r="AA208" s="1"/>
  <c r="AA209" s="1"/>
  <c r="AA210" s="1"/>
  <c r="AA211" s="1"/>
  <c r="AB202" i="9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K213" i="11"/>
  <c r="X213" s="1"/>
  <c r="K214" s="1"/>
  <c r="X214" s="1"/>
  <c r="K75" i="3"/>
  <c r="X75" s="1"/>
  <c r="AB202" i="7"/>
  <c r="K203"/>
  <c r="X203" s="1"/>
  <c r="K204" s="1"/>
  <c r="X204" s="1"/>
  <c r="K205" s="1"/>
  <c r="X205" s="1"/>
  <c r="K206" s="1"/>
  <c r="X206" s="1"/>
  <c r="K207" s="1"/>
  <c r="X207" s="1"/>
  <c r="K208" s="1"/>
  <c r="X208" s="1"/>
  <c r="K209" s="1"/>
  <c r="X209" s="1"/>
  <c r="K210" s="1"/>
  <c r="X210" s="1"/>
  <c r="K211" s="1"/>
  <c r="X211" s="1"/>
  <c r="K212" s="1"/>
  <c r="X212" s="1"/>
  <c r="K75" i="6"/>
  <c r="X75" s="1"/>
  <c r="AB75" i="2"/>
  <c r="K76"/>
  <c r="X76" s="1"/>
  <c r="AB76" i="4" l="1"/>
  <c r="K77"/>
  <c r="X77" s="1"/>
  <c r="AA76"/>
  <c r="K76" i="5"/>
  <c r="X76" s="1"/>
  <c r="AB75"/>
  <c r="AA77" i="2"/>
  <c r="AB212" i="9"/>
  <c r="K213"/>
  <c r="X213" s="1"/>
  <c r="K214" s="1"/>
  <c r="X214" s="1"/>
  <c r="K76" i="6"/>
  <c r="X76" s="1"/>
  <c r="AB75"/>
  <c r="K213" i="8"/>
  <c r="X213" s="1"/>
  <c r="K214" s="1"/>
  <c r="X214" s="1"/>
  <c r="AB212"/>
  <c r="AB74" i="6"/>
  <c r="K213" i="10"/>
  <c r="X213" s="1"/>
  <c r="K214" s="1"/>
  <c r="X214" s="1"/>
  <c r="AB212"/>
  <c r="AB75" i="3"/>
  <c r="K76"/>
  <c r="X76" s="1"/>
  <c r="AB76" i="2"/>
  <c r="K77"/>
  <c r="X77" s="1"/>
  <c r="AA212" i="10"/>
  <c r="AA213" s="1"/>
  <c r="AA214" s="1"/>
  <c r="AB212" i="11"/>
  <c r="AB74" i="3"/>
  <c r="AA75" i="5"/>
  <c r="AB212" i="7"/>
  <c r="K213"/>
  <c r="X213" s="1"/>
  <c r="K214" s="1"/>
  <c r="X214" s="1"/>
  <c r="AB76" i="5" l="1"/>
  <c r="K77"/>
  <c r="X77" s="1"/>
  <c r="K78" i="4"/>
  <c r="X78" s="1"/>
  <c r="AB77"/>
  <c r="AA78" i="2"/>
  <c r="AB76" i="6"/>
  <c r="K77"/>
  <c r="X77" s="1"/>
  <c r="AB76" i="3"/>
  <c r="K77"/>
  <c r="X77" s="1"/>
  <c r="AA76"/>
  <c r="AA76" i="5"/>
  <c r="AA77" i="4"/>
  <c r="AA76" i="6"/>
  <c r="AB77" i="2"/>
  <c r="K78"/>
  <c r="X78" s="1"/>
  <c r="AA78" i="4" l="1"/>
  <c r="AA79" s="1"/>
  <c r="K78" i="5"/>
  <c r="X78" s="1"/>
  <c r="AB77"/>
  <c r="AB77" i="6"/>
  <c r="K78"/>
  <c r="X78" s="1"/>
  <c r="AA77" i="3"/>
  <c r="AA78" s="1"/>
  <c r="K79" i="4"/>
  <c r="X79" s="1"/>
  <c r="AB78" i="2"/>
  <c r="K79"/>
  <c r="X79" s="1"/>
  <c r="AA79" s="1"/>
  <c r="AA77" i="5"/>
  <c r="K78" i="3"/>
  <c r="X78" s="1"/>
  <c r="AA77" i="6"/>
  <c r="AA80" i="2" l="1"/>
  <c r="AA79" i="3"/>
  <c r="AA78" i="5"/>
  <c r="AA79" s="1"/>
  <c r="AA78" i="6"/>
  <c r="AA79" s="1"/>
  <c r="AB78" i="4"/>
  <c r="AB77" i="3"/>
  <c r="AB78"/>
  <c r="K79"/>
  <c r="X79" s="1"/>
  <c r="K80" i="4"/>
  <c r="X80" s="1"/>
  <c r="AA80" s="1"/>
  <c r="AB79"/>
  <c r="K79" i="6"/>
  <c r="X79" s="1"/>
  <c r="K79" i="5"/>
  <c r="X79" s="1"/>
  <c r="AB79" i="2"/>
  <c r="K80"/>
  <c r="X80" s="1"/>
  <c r="AA81" i="4" l="1"/>
  <c r="AA80" i="3"/>
  <c r="AA80" i="5"/>
  <c r="AB78" i="6"/>
  <c r="AB80" i="4"/>
  <c r="K81"/>
  <c r="X81" s="1"/>
  <c r="AB78" i="5"/>
  <c r="AB80" i="2"/>
  <c r="K81"/>
  <c r="X81" s="1"/>
  <c r="AB79" i="5"/>
  <c r="K80"/>
  <c r="X80" s="1"/>
  <c r="AB79" i="6"/>
  <c r="K80"/>
  <c r="X80" s="1"/>
  <c r="AB79" i="3"/>
  <c r="K80"/>
  <c r="X80" s="1"/>
  <c r="AA82" i="4" l="1"/>
  <c r="AB81" i="2"/>
  <c r="K82"/>
  <c r="X82" s="1"/>
  <c r="AB80" i="3"/>
  <c r="K81"/>
  <c r="X81" s="1"/>
  <c r="AA81" s="1"/>
  <c r="K81" i="6"/>
  <c r="X81" s="1"/>
  <c r="AB80"/>
  <c r="AA81" i="5"/>
  <c r="AA80" i="6"/>
  <c r="AA81" i="2"/>
  <c r="AB81" i="4"/>
  <c r="K82"/>
  <c r="X82" s="1"/>
  <c r="AB80" i="5"/>
  <c r="K81"/>
  <c r="X81" s="1"/>
  <c r="AA82" i="3" l="1"/>
  <c r="K82" i="6"/>
  <c r="X82" s="1"/>
  <c r="AB81"/>
  <c r="AB82" i="2"/>
  <c r="K83"/>
  <c r="X83" s="1"/>
  <c r="K83" i="4"/>
  <c r="X83" s="1"/>
  <c r="AB82"/>
  <c r="AA82" i="5"/>
  <c r="K82"/>
  <c r="X82" s="1"/>
  <c r="AB81"/>
  <c r="AA81" i="6"/>
  <c r="AA82" i="2"/>
  <c r="AB81" i="3"/>
  <c r="K82"/>
  <c r="X82" s="1"/>
  <c r="K83" i="5" l="1"/>
  <c r="X83" s="1"/>
  <c r="AB82"/>
  <c r="AB83" i="4"/>
  <c r="K84"/>
  <c r="X84" s="1"/>
  <c r="K83" i="6"/>
  <c r="X83" s="1"/>
  <c r="AB82"/>
  <c r="AA83" i="2"/>
  <c r="AA84" s="1"/>
  <c r="AA83" i="4"/>
  <c r="K84" i="2"/>
  <c r="X84" s="1"/>
  <c r="AA82" i="6"/>
  <c r="AA83" i="3"/>
  <c r="AB82"/>
  <c r="K83"/>
  <c r="X83" s="1"/>
  <c r="K84" i="5" l="1"/>
  <c r="X84" s="1"/>
  <c r="AB83"/>
  <c r="AA83"/>
  <c r="AB83" i="2"/>
  <c r="AA84" i="3"/>
  <c r="AB84" i="4"/>
  <c r="K85"/>
  <c r="X85" s="1"/>
  <c r="AA84"/>
  <c r="AB84" i="2"/>
  <c r="K85"/>
  <c r="X85" s="1"/>
  <c r="K84" i="6"/>
  <c r="X84" s="1"/>
  <c r="AB83"/>
  <c r="AB83" i="3"/>
  <c r="K84"/>
  <c r="X84" s="1"/>
  <c r="AA83" i="6"/>
  <c r="K86" i="4" l="1"/>
  <c r="X86" s="1"/>
  <c r="AB85"/>
  <c r="AB85" i="2"/>
  <c r="K86"/>
  <c r="X86" s="1"/>
  <c r="AB84" i="3"/>
  <c r="K85"/>
  <c r="X85" s="1"/>
  <c r="AA85" s="1"/>
  <c r="AA84" i="5"/>
  <c r="AA85" s="1"/>
  <c r="K85"/>
  <c r="X85" s="1"/>
  <c r="AA85" i="4"/>
  <c r="AA85" i="2"/>
  <c r="K85" i="6"/>
  <c r="X85" s="1"/>
  <c r="AB84"/>
  <c r="AA84"/>
  <c r="AA86" i="3" l="1"/>
  <c r="AB86" i="2"/>
  <c r="K87"/>
  <c r="X87" s="1"/>
  <c r="AA86" i="5"/>
  <c r="AA87" s="1"/>
  <c r="AA85" i="6"/>
  <c r="AA86" s="1"/>
  <c r="AA87" s="1"/>
  <c r="AB84" i="5"/>
  <c r="AA86" i="2"/>
  <c r="K86" i="5"/>
  <c r="X86" s="1"/>
  <c r="AB85"/>
  <c r="AB85" i="3"/>
  <c r="K86"/>
  <c r="X86" s="1"/>
  <c r="K86" i="6"/>
  <c r="X86" s="1"/>
  <c r="AB86" i="4"/>
  <c r="K87"/>
  <c r="X87" s="1"/>
  <c r="K88" s="1"/>
  <c r="X88" s="1"/>
  <c r="AA86"/>
  <c r="AA87" s="1"/>
  <c r="AA88" i="5" l="1"/>
  <c r="AB87" i="2"/>
  <c r="K88"/>
  <c r="X88" s="1"/>
  <c r="AB86" i="6"/>
  <c r="K87"/>
  <c r="X87" s="1"/>
  <c r="K88" s="1"/>
  <c r="X88" s="1"/>
  <c r="AA88" s="1"/>
  <c r="AB86" i="3"/>
  <c r="K87"/>
  <c r="X87" s="1"/>
  <c r="AA88" i="4"/>
  <c r="AA89" s="1"/>
  <c r="AB86" i="5"/>
  <c r="K87"/>
  <c r="X87" s="1"/>
  <c r="K88" s="1"/>
  <c r="X88" s="1"/>
  <c r="AB85" i="6"/>
  <c r="K89" i="4"/>
  <c r="X89" s="1"/>
  <c r="AA87" i="2"/>
  <c r="AB87" i="3" l="1"/>
  <c r="K88"/>
  <c r="X88" s="1"/>
  <c r="AB88" i="2"/>
  <c r="K89"/>
  <c r="X89" s="1"/>
  <c r="AB88" i="6"/>
  <c r="K89"/>
  <c r="X89" s="1"/>
  <c r="AA89" s="1"/>
  <c r="AB88" i="5"/>
  <c r="K89"/>
  <c r="X89" s="1"/>
  <c r="AB89" i="4"/>
  <c r="K90"/>
  <c r="X90" s="1"/>
  <c r="AA90" s="1"/>
  <c r="AB88"/>
  <c r="AA88" i="2"/>
  <c r="AA87" i="3"/>
  <c r="AA90" i="6" l="1"/>
  <c r="AA91" i="4"/>
  <c r="AB89" i="2"/>
  <c r="K90"/>
  <c r="X90" s="1"/>
  <c r="AB89" i="5"/>
  <c r="K90"/>
  <c r="X90" s="1"/>
  <c r="AB88" i="3"/>
  <c r="K89"/>
  <c r="X89" s="1"/>
  <c r="AB89" i="6"/>
  <c r="K90"/>
  <c r="X90" s="1"/>
  <c r="AA88" i="3"/>
  <c r="AA89" i="2"/>
  <c r="AB90" i="4"/>
  <c r="K91"/>
  <c r="X91" s="1"/>
  <c r="AA89" i="5"/>
  <c r="AA92" i="4" l="1"/>
  <c r="AB90" i="6"/>
  <c r="K91"/>
  <c r="X91" s="1"/>
  <c r="AB91" i="4"/>
  <c r="K92"/>
  <c r="X92" s="1"/>
  <c r="AB90" i="2"/>
  <c r="K91"/>
  <c r="X91" s="1"/>
  <c r="AB90" i="5"/>
  <c r="K91"/>
  <c r="X91" s="1"/>
  <c r="AA89" i="3"/>
  <c r="AA90" s="1"/>
  <c r="AA90" i="5"/>
  <c r="K90" i="3"/>
  <c r="X90" s="1"/>
  <c r="AA90" i="2"/>
  <c r="AA93" i="4" l="1"/>
  <c r="AB91" i="6"/>
  <c r="K92"/>
  <c r="X92" s="1"/>
  <c r="AB91" i="2"/>
  <c r="K92"/>
  <c r="X92" s="1"/>
  <c r="AA91" i="6"/>
  <c r="K92" i="5"/>
  <c r="X92" s="1"/>
  <c r="AB91"/>
  <c r="AB90" i="3"/>
  <c r="K91"/>
  <c r="X91" s="1"/>
  <c r="AA91" i="5"/>
  <c r="AB92" i="4"/>
  <c r="K93"/>
  <c r="X93" s="1"/>
  <c r="AA91" i="2"/>
  <c r="AB89" i="3"/>
  <c r="AB92" i="5" l="1"/>
  <c r="K93"/>
  <c r="X93" s="1"/>
  <c r="AA94" i="4"/>
  <c r="AA92" i="2"/>
  <c r="AA93" s="1"/>
  <c r="AB91" i="3"/>
  <c r="K92"/>
  <c r="X92" s="1"/>
  <c r="AB92" i="6"/>
  <c r="K93"/>
  <c r="X93" s="1"/>
  <c r="AB93" i="4"/>
  <c r="K94"/>
  <c r="X94" s="1"/>
  <c r="AA92" i="6"/>
  <c r="K93" i="2"/>
  <c r="X93" s="1"/>
  <c r="AA92" i="5"/>
  <c r="AA91" i="3"/>
  <c r="AB92" i="2" l="1"/>
  <c r="AB93" i="5"/>
  <c r="K94"/>
  <c r="X94" s="1"/>
  <c r="AA92" i="3"/>
  <c r="AA93" s="1"/>
  <c r="AA95" i="4"/>
  <c r="AA93" i="6"/>
  <c r="AA94" s="1"/>
  <c r="K94"/>
  <c r="X94" s="1"/>
  <c r="AB93" i="2"/>
  <c r="K94"/>
  <c r="X94" s="1"/>
  <c r="K93" i="3"/>
  <c r="X93" s="1"/>
  <c r="AB94" i="4"/>
  <c r="K95"/>
  <c r="X95" s="1"/>
  <c r="AA93" i="5"/>
  <c r="AB94" l="1"/>
  <c r="K95"/>
  <c r="X95" s="1"/>
  <c r="AB93" i="3"/>
  <c r="K94"/>
  <c r="X94" s="1"/>
  <c r="AA95" i="6"/>
  <c r="AB95" i="4"/>
  <c r="K96"/>
  <c r="X96" s="1"/>
  <c r="AA96" s="1"/>
  <c r="AB92" i="3"/>
  <c r="AB94" i="2"/>
  <c r="K95"/>
  <c r="X95" s="1"/>
  <c r="AA94" i="5"/>
  <c r="AB94" i="6"/>
  <c r="K95"/>
  <c r="X95" s="1"/>
  <c r="AB93"/>
  <c r="AA94" i="2"/>
  <c r="AA97" i="4" l="1"/>
  <c r="AB94" i="3"/>
  <c r="K95"/>
  <c r="X95" s="1"/>
  <c r="AA96" i="6"/>
  <c r="AA94" i="3"/>
  <c r="AB95" i="5"/>
  <c r="K96"/>
  <c r="X96" s="1"/>
  <c r="AB96" i="4"/>
  <c r="K97"/>
  <c r="X97" s="1"/>
  <c r="AA95" i="5"/>
  <c r="AA95" i="2"/>
  <c r="AA96" s="1"/>
  <c r="K96"/>
  <c r="X96" s="1"/>
  <c r="K96" i="6"/>
  <c r="X96" s="1"/>
  <c r="AB95"/>
  <c r="AA95" i="3" l="1"/>
  <c r="AA96" s="1"/>
  <c r="AA98" i="4"/>
  <c r="AB95" i="2"/>
  <c r="AA97"/>
  <c r="AB97" i="4"/>
  <c r="K98"/>
  <c r="X98" s="1"/>
  <c r="AB96" i="6"/>
  <c r="K97"/>
  <c r="X97" s="1"/>
  <c r="AA96" i="5"/>
  <c r="AA97" s="1"/>
  <c r="K96" i="3"/>
  <c r="X96" s="1"/>
  <c r="K97" i="5"/>
  <c r="X97" s="1"/>
  <c r="AB96" i="2"/>
  <c r="K97"/>
  <c r="X97" s="1"/>
  <c r="AA97" i="3" l="1"/>
  <c r="K98" i="6"/>
  <c r="X98" s="1"/>
  <c r="AB97"/>
  <c r="AB97" i="2"/>
  <c r="K98"/>
  <c r="X98" s="1"/>
  <c r="AB95" i="3"/>
  <c r="AB97" i="5"/>
  <c r="K98"/>
  <c r="X98" s="1"/>
  <c r="AA98" s="1"/>
  <c r="AA99" i="4"/>
  <c r="AA97" i="6"/>
  <c r="AB96" i="3"/>
  <c r="K97"/>
  <c r="X97" s="1"/>
  <c r="AB98" i="4"/>
  <c r="K99"/>
  <c r="X99" s="1"/>
  <c r="AB96" i="5"/>
  <c r="AA99" l="1"/>
  <c r="AB98" i="2"/>
  <c r="K99"/>
  <c r="X99" s="1"/>
  <c r="AA98" i="3"/>
  <c r="AB97"/>
  <c r="K98"/>
  <c r="X98" s="1"/>
  <c r="AB99" i="4"/>
  <c r="K100"/>
  <c r="X100" s="1"/>
  <c r="AA100" s="1"/>
  <c r="AA98" i="6"/>
  <c r="AA99" s="1"/>
  <c r="AA98" i="2"/>
  <c r="AB98" i="5"/>
  <c r="K99"/>
  <c r="X99" s="1"/>
  <c r="K99" i="6"/>
  <c r="X99" s="1"/>
  <c r="AA101" i="4" l="1"/>
  <c r="AB99" i="2"/>
  <c r="K100"/>
  <c r="X100" s="1"/>
  <c r="AA99"/>
  <c r="AB98" i="3"/>
  <c r="K99"/>
  <c r="X99" s="1"/>
  <c r="AA99" s="1"/>
  <c r="K100" i="5"/>
  <c r="X100" s="1"/>
  <c r="AA100" s="1"/>
  <c r="AB99"/>
  <c r="AB98" i="6"/>
  <c r="K100"/>
  <c r="X100" s="1"/>
  <c r="AB99"/>
  <c r="K101" i="4"/>
  <c r="X101" s="1"/>
  <c r="AB100"/>
  <c r="AA101" i="5" l="1"/>
  <c r="AA100" i="3"/>
  <c r="AB100" i="6"/>
  <c r="K101"/>
  <c r="X101" s="1"/>
  <c r="K101" i="5"/>
  <c r="X101" s="1"/>
  <c r="AB100"/>
  <c r="AA100" i="6"/>
  <c r="AA100" i="2"/>
  <c r="AA101" s="1"/>
  <c r="K101"/>
  <c r="X101" s="1"/>
  <c r="AB101" i="4"/>
  <c r="K102"/>
  <c r="X102" s="1"/>
  <c r="AB99" i="3"/>
  <c r="K100"/>
  <c r="X100" s="1"/>
  <c r="AB101" i="6" l="1"/>
  <c r="K102"/>
  <c r="X102" s="1"/>
  <c r="K103" s="1"/>
  <c r="X103" s="1"/>
  <c r="AB102" i="4"/>
  <c r="K103"/>
  <c r="X103" s="1"/>
  <c r="AB101" i="2"/>
  <c r="K102"/>
  <c r="X102" s="1"/>
  <c r="AA102" s="1"/>
  <c r="AA102" i="4"/>
  <c r="AB101" i="5"/>
  <c r="K102"/>
  <c r="X102" s="1"/>
  <c r="AA102" s="1"/>
  <c r="AA101" i="6"/>
  <c r="AA102" s="1"/>
  <c r="AA101" i="3"/>
  <c r="AB100" i="2"/>
  <c r="AB100" i="3"/>
  <c r="K101"/>
  <c r="X101" s="1"/>
  <c r="AA103" i="5" l="1"/>
  <c r="AA103" i="2"/>
  <c r="K104" i="4"/>
  <c r="X104" s="1"/>
  <c r="AB103"/>
  <c r="AA103"/>
  <c r="AB101" i="3"/>
  <c r="K102"/>
  <c r="X102" s="1"/>
  <c r="AA102" s="1"/>
  <c r="AA103" i="6"/>
  <c r="AA104" s="1"/>
  <c r="AB102" i="2"/>
  <c r="K103"/>
  <c r="X103" s="1"/>
  <c r="K104" i="6"/>
  <c r="X104" s="1"/>
  <c r="AB102" i="5"/>
  <c r="K103"/>
  <c r="X103" s="1"/>
  <c r="AA103" i="3" l="1"/>
  <c r="AB103" i="2"/>
  <c r="K104"/>
  <c r="X104" s="1"/>
  <c r="AA104" i="5"/>
  <c r="AA104" i="4"/>
  <c r="AA105" s="1"/>
  <c r="AB104" i="6"/>
  <c r="K105"/>
  <c r="X105" s="1"/>
  <c r="K104" i="5"/>
  <c r="X104" s="1"/>
  <c r="AB103"/>
  <c r="AB102" i="3"/>
  <c r="K103"/>
  <c r="X103" s="1"/>
  <c r="AB103" i="6"/>
  <c r="K105" i="4"/>
  <c r="X105" s="1"/>
  <c r="AA105" i="5" l="1"/>
  <c r="K106" i="6"/>
  <c r="X106" s="1"/>
  <c r="AB105"/>
  <c r="AB104" i="5"/>
  <c r="K105"/>
  <c r="X105" s="1"/>
  <c r="AB104" i="2"/>
  <c r="K105"/>
  <c r="X105" s="1"/>
  <c r="AA105" i="6"/>
  <c r="AB105" i="4"/>
  <c r="K106"/>
  <c r="X106" s="1"/>
  <c r="AA106" s="1"/>
  <c r="AB103" i="3"/>
  <c r="K104"/>
  <c r="X104" s="1"/>
  <c r="AB104" i="4"/>
  <c r="AA104" i="2"/>
  <c r="AA107" i="4" l="1"/>
  <c r="AB105" i="2"/>
  <c r="K106"/>
  <c r="X106" s="1"/>
  <c r="AA106" i="5"/>
  <c r="AA106" i="6"/>
  <c r="AA107" s="1"/>
  <c r="AB104" i="3"/>
  <c r="K105"/>
  <c r="X105" s="1"/>
  <c r="K107" i="6"/>
  <c r="X107" s="1"/>
  <c r="AB105" i="5"/>
  <c r="K106"/>
  <c r="X106" s="1"/>
  <c r="AB106" i="4"/>
  <c r="K107"/>
  <c r="X107" s="1"/>
  <c r="AA104" i="3"/>
  <c r="AA105" i="2"/>
  <c r="AB106" l="1"/>
  <c r="K107"/>
  <c r="X107" s="1"/>
  <c r="AA108" i="4"/>
  <c r="AA108" i="6"/>
  <c r="AB105" i="3"/>
  <c r="K106"/>
  <c r="X106" s="1"/>
  <c r="AA105"/>
  <c r="AB107" i="6"/>
  <c r="K108"/>
  <c r="X108" s="1"/>
  <c r="AB106" i="5"/>
  <c r="K107"/>
  <c r="X107" s="1"/>
  <c r="AA106" i="2"/>
  <c r="AB107" i="4"/>
  <c r="K108"/>
  <c r="X108" s="1"/>
  <c r="AB106" i="6"/>
  <c r="K109" l="1"/>
  <c r="X109" s="1"/>
  <c r="AA109" s="1"/>
  <c r="AB108"/>
  <c r="AB108" i="4"/>
  <c r="K109"/>
  <c r="X109" s="1"/>
  <c r="K108" i="5"/>
  <c r="X108" s="1"/>
  <c r="AB107"/>
  <c r="AB107" i="2"/>
  <c r="K108"/>
  <c r="X108" s="1"/>
  <c r="AB106" i="3"/>
  <c r="K107"/>
  <c r="X107" s="1"/>
  <c r="AA107" i="2"/>
  <c r="AA106" i="3"/>
  <c r="AA107" i="5"/>
  <c r="AA110" i="6" l="1"/>
  <c r="AB108" i="2"/>
  <c r="K109"/>
  <c r="X109" s="1"/>
  <c r="AB109" i="4"/>
  <c r="K110"/>
  <c r="X110" s="1"/>
  <c r="AB107" i="3"/>
  <c r="K108"/>
  <c r="X108" s="1"/>
  <c r="AA108" i="5"/>
  <c r="AA109" s="1"/>
  <c r="AB109" i="6"/>
  <c r="K110"/>
  <c r="X110" s="1"/>
  <c r="AA108" i="2"/>
  <c r="AA109" i="4"/>
  <c r="K109" i="5"/>
  <c r="X109" s="1"/>
  <c r="AA107" i="3"/>
  <c r="K111" i="4" l="1"/>
  <c r="X111" s="1"/>
  <c r="AB110"/>
  <c r="AA109" i="2"/>
  <c r="AA110" s="1"/>
  <c r="AA110" i="5"/>
  <c r="K110" i="2"/>
  <c r="X110" s="1"/>
  <c r="K109" i="3"/>
  <c r="X109" s="1"/>
  <c r="AB108"/>
  <c r="AA110" i="4"/>
  <c r="AA108" i="3"/>
  <c r="AB110" i="6"/>
  <c r="K111"/>
  <c r="X111" s="1"/>
  <c r="AA111" s="1"/>
  <c r="AB108" i="5"/>
  <c r="AB109"/>
  <c r="K110"/>
  <c r="X110" s="1"/>
  <c r="AA112" i="6" l="1"/>
  <c r="AB111" i="4"/>
  <c r="K112"/>
  <c r="X112" s="1"/>
  <c r="AB109" i="3"/>
  <c r="K110"/>
  <c r="X110" s="1"/>
  <c r="AB110" i="5"/>
  <c r="K111"/>
  <c r="X111" s="1"/>
  <c r="AB109" i="2"/>
  <c r="AA111" i="4"/>
  <c r="AB110" i="2"/>
  <c r="K111"/>
  <c r="X111" s="1"/>
  <c r="AA111" s="1"/>
  <c r="AB111" i="6"/>
  <c r="K112"/>
  <c r="X112" s="1"/>
  <c r="AA109" i="3"/>
  <c r="AA112" i="2" l="1"/>
  <c r="K113" i="4"/>
  <c r="X113" s="1"/>
  <c r="AA112"/>
  <c r="AB112" s="1"/>
  <c r="AB111" i="5"/>
  <c r="K112"/>
  <c r="X112" s="1"/>
  <c r="AB112" i="6"/>
  <c r="K113"/>
  <c r="X113" s="1"/>
  <c r="AA111" i="5"/>
  <c r="AB111" i="2"/>
  <c r="K112"/>
  <c r="X112" s="1"/>
  <c r="AA110" i="3"/>
  <c r="AA111" s="1"/>
  <c r="K111"/>
  <c r="X111" s="1"/>
  <c r="AA113" i="2" l="1"/>
  <c r="AB113" i="6"/>
  <c r="K114"/>
  <c r="X114" s="1"/>
  <c r="AA113"/>
  <c r="AA112" i="3"/>
  <c r="AB112" i="2"/>
  <c r="K113"/>
  <c r="X113" s="1"/>
  <c r="AB110" i="3"/>
  <c r="AA112" i="5"/>
  <c r="AA113" s="1"/>
  <c r="AA113" i="4"/>
  <c r="AA114" s="1"/>
  <c r="K114"/>
  <c r="X114" s="1"/>
  <c r="K112" i="3"/>
  <c r="X112" s="1"/>
  <c r="AB111"/>
  <c r="K113" i="5"/>
  <c r="X113" s="1"/>
  <c r="AB114" i="6" l="1"/>
  <c r="K115"/>
  <c r="X115" s="1"/>
  <c r="AA114" i="2"/>
  <c r="AB113"/>
  <c r="K114"/>
  <c r="X114" s="1"/>
  <c r="AB114" i="4"/>
  <c r="K115"/>
  <c r="X115" s="1"/>
  <c r="AA115" s="1"/>
  <c r="AB112" i="3"/>
  <c r="K113"/>
  <c r="X113" s="1"/>
  <c r="AA113" s="1"/>
  <c r="AB113" i="5"/>
  <c r="K114"/>
  <c r="X114" s="1"/>
  <c r="AA114" i="6"/>
  <c r="AB113" i="4"/>
  <c r="AB112" i="5"/>
  <c r="AA116" i="4" l="1"/>
  <c r="AA114" i="3"/>
  <c r="AB115" i="6"/>
  <c r="K116"/>
  <c r="X116" s="1"/>
  <c r="AA115" i="2"/>
  <c r="AA115" i="6"/>
  <c r="AB114" i="5"/>
  <c r="K115"/>
  <c r="X115" s="1"/>
  <c r="AB113" i="3"/>
  <c r="K114"/>
  <c r="X114" s="1"/>
  <c r="AB115" i="4"/>
  <c r="K116"/>
  <c r="X116" s="1"/>
  <c r="AB114" i="2"/>
  <c r="K115"/>
  <c r="X115" s="1"/>
  <c r="AA114" i="5"/>
  <c r="AA116" i="2" l="1"/>
  <c r="K117" i="6"/>
  <c r="X117" s="1"/>
  <c r="AB116"/>
  <c r="AB115" i="5"/>
  <c r="K116"/>
  <c r="X116" s="1"/>
  <c r="AA117" i="4"/>
  <c r="AA115" i="5"/>
  <c r="AB114" i="3"/>
  <c r="K115"/>
  <c r="X115" s="1"/>
  <c r="AA115" s="1"/>
  <c r="AB115" i="2"/>
  <c r="K116"/>
  <c r="X116" s="1"/>
  <c r="AB116" i="4"/>
  <c r="K117"/>
  <c r="X117" s="1"/>
  <c r="AA116" i="6"/>
  <c r="AA116" i="3" l="1"/>
  <c r="K118" i="6"/>
  <c r="X118" s="1"/>
  <c r="AB117"/>
  <c r="AB116" i="2"/>
  <c r="K117"/>
  <c r="X117" s="1"/>
  <c r="AA118" i="4"/>
  <c r="AB116" i="5"/>
  <c r="K117"/>
  <c r="X117" s="1"/>
  <c r="AA116"/>
  <c r="AA117" i="6"/>
  <c r="AB115" i="3"/>
  <c r="K116"/>
  <c r="X116" s="1"/>
  <c r="AB117" i="4"/>
  <c r="K118"/>
  <c r="X118" s="1"/>
  <c r="AB117" i="2" l="1"/>
  <c r="K118"/>
  <c r="X118" s="1"/>
  <c r="AA117" i="5"/>
  <c r="AA118" s="1"/>
  <c r="AA119" i="4"/>
  <c r="AA118" i="6"/>
  <c r="AA119" s="1"/>
  <c r="K119"/>
  <c r="X119" s="1"/>
  <c r="K118" i="5"/>
  <c r="X118" s="1"/>
  <c r="AB118" i="4"/>
  <c r="K119"/>
  <c r="X119" s="1"/>
  <c r="AA117" i="3"/>
  <c r="AB116"/>
  <c r="K117"/>
  <c r="X117" s="1"/>
  <c r="AA117" i="2"/>
  <c r="AB118" i="6" l="1"/>
  <c r="AB118" i="2"/>
  <c r="K119"/>
  <c r="X119" s="1"/>
  <c r="AB118" i="5"/>
  <c r="K119"/>
  <c r="X119" s="1"/>
  <c r="AA120" i="6"/>
  <c r="AA118" i="3"/>
  <c r="K120" i="4"/>
  <c r="X120" s="1"/>
  <c r="AB119"/>
  <c r="AB117" i="5"/>
  <c r="AA118" i="2"/>
  <c r="K120" i="6"/>
  <c r="X120" s="1"/>
  <c r="AB119"/>
  <c r="K118" i="3"/>
  <c r="X118" s="1"/>
  <c r="AB117"/>
  <c r="AB118" l="1"/>
  <c r="K119"/>
  <c r="X119" s="1"/>
  <c r="AA119" s="1"/>
  <c r="K120" i="5"/>
  <c r="X120" s="1"/>
  <c r="AB119"/>
  <c r="AA119"/>
  <c r="AB120" i="4"/>
  <c r="K121"/>
  <c r="X121" s="1"/>
  <c r="AB120" i="6"/>
  <c r="K121"/>
  <c r="X121" s="1"/>
  <c r="AA121" s="1"/>
  <c r="AB119" i="2"/>
  <c r="K120"/>
  <c r="X120" s="1"/>
  <c r="AA119"/>
  <c r="AA120" i="4"/>
  <c r="AA120" i="3" l="1"/>
  <c r="AA122" i="6"/>
  <c r="AB121" i="4"/>
  <c r="K122"/>
  <c r="X122" s="1"/>
  <c r="AB120" i="5"/>
  <c r="K121"/>
  <c r="X121" s="1"/>
  <c r="AA121" i="4"/>
  <c r="AA120" i="5"/>
  <c r="AB121" i="6"/>
  <c r="K122"/>
  <c r="X122" s="1"/>
  <c r="AA120" i="2"/>
  <c r="AA121" s="1"/>
  <c r="AB119" i="3"/>
  <c r="K120"/>
  <c r="X120" s="1"/>
  <c r="K121" i="2"/>
  <c r="X121" s="1"/>
  <c r="AA121" i="3" l="1"/>
  <c r="AB122" i="4"/>
  <c r="K123"/>
  <c r="X123" s="1"/>
  <c r="AA122"/>
  <c r="AA123" i="6"/>
  <c r="AA121" i="5"/>
  <c r="AA122" s="1"/>
  <c r="K121" i="3"/>
  <c r="X121" s="1"/>
  <c r="AB120"/>
  <c r="AA122" i="2"/>
  <c r="AB120"/>
  <c r="K122" i="5"/>
  <c r="X122" s="1"/>
  <c r="AB122" i="6"/>
  <c r="K123"/>
  <c r="X123" s="1"/>
  <c r="AB121" i="2"/>
  <c r="K122"/>
  <c r="X122" s="1"/>
  <c r="AA123" i="4" l="1"/>
  <c r="AA124" s="1"/>
  <c r="AB121" i="3"/>
  <c r="K122"/>
  <c r="X122" s="1"/>
  <c r="AA122" s="1"/>
  <c r="AB121" i="5"/>
  <c r="AA124" i="6"/>
  <c r="AB123"/>
  <c r="K124"/>
  <c r="X124" s="1"/>
  <c r="AB122" i="2"/>
  <c r="K123"/>
  <c r="X123" s="1"/>
  <c r="AA123" i="5"/>
  <c r="K124" i="4"/>
  <c r="X124" s="1"/>
  <c r="AB122" i="5"/>
  <c r="K123"/>
  <c r="X123" s="1"/>
  <c r="AA123" i="3" l="1"/>
  <c r="AB124" i="6"/>
  <c r="K125"/>
  <c r="X125" s="1"/>
  <c r="AA125" s="1"/>
  <c r="AA125" i="4"/>
  <c r="AB123"/>
  <c r="AB123" i="2"/>
  <c r="K124"/>
  <c r="X124" s="1"/>
  <c r="AA124" i="5"/>
  <c r="K124"/>
  <c r="X124" s="1"/>
  <c r="AB123"/>
  <c r="AA123" i="2"/>
  <c r="AB122" i="3"/>
  <c r="K123"/>
  <c r="X123" s="1"/>
  <c r="AB124" i="4"/>
  <c r="K125"/>
  <c r="X125" s="1"/>
  <c r="AA126" i="6" l="1"/>
  <c r="AA126" i="4"/>
  <c r="AA125" i="5"/>
  <c r="AB124" i="2"/>
  <c r="K125"/>
  <c r="X125" s="1"/>
  <c r="AA124"/>
  <c r="AB124" i="5"/>
  <c r="K125"/>
  <c r="X125" s="1"/>
  <c r="AB125" i="4"/>
  <c r="K126"/>
  <c r="X126" s="1"/>
  <c r="AA124" i="3"/>
  <c r="AB125" i="6"/>
  <c r="K126"/>
  <c r="X126" s="1"/>
  <c r="K124" i="3"/>
  <c r="X124" s="1"/>
  <c r="AB123"/>
  <c r="AA125" i="2" l="1"/>
  <c r="AA126" s="1"/>
  <c r="AB126" i="6"/>
  <c r="K127"/>
  <c r="X127" s="1"/>
  <c r="AA126" i="5"/>
  <c r="AA125" i="3"/>
  <c r="K126" i="2"/>
  <c r="X126" s="1"/>
  <c r="AB124" i="3"/>
  <c r="K125"/>
  <c r="X125" s="1"/>
  <c r="AA127" i="4"/>
  <c r="AB126"/>
  <c r="K127"/>
  <c r="X127" s="1"/>
  <c r="K126" i="5"/>
  <c r="X126" s="1"/>
  <c r="AB125"/>
  <c r="K128" i="6" l="1"/>
  <c r="X128" s="1"/>
  <c r="AA127"/>
  <c r="AB127" s="1"/>
  <c r="AB125" i="3"/>
  <c r="K126"/>
  <c r="X126" s="1"/>
  <c r="AA127" i="2"/>
  <c r="AB125"/>
  <c r="AA127" i="5"/>
  <c r="AB126" i="2"/>
  <c r="K127"/>
  <c r="X127" s="1"/>
  <c r="K127" i="5"/>
  <c r="X127" s="1"/>
  <c r="AB126"/>
  <c r="AA128" i="4"/>
  <c r="AB127"/>
  <c r="K128"/>
  <c r="X128" s="1"/>
  <c r="AA128" i="6" l="1"/>
  <c r="AA129" s="1"/>
  <c r="AA128" i="2"/>
  <c r="K127" i="3"/>
  <c r="X127" s="1"/>
  <c r="AB126"/>
  <c r="AB127" i="2"/>
  <c r="K128"/>
  <c r="X128" s="1"/>
  <c r="AB128" i="4"/>
  <c r="K129"/>
  <c r="X129" s="1"/>
  <c r="AA128" i="5"/>
  <c r="K129" i="6"/>
  <c r="X129" s="1"/>
  <c r="AB127" i="5"/>
  <c r="K128"/>
  <c r="X128" s="1"/>
  <c r="AA126" i="3"/>
  <c r="AB128" i="2" l="1"/>
  <c r="K129"/>
  <c r="X129" s="1"/>
  <c r="AA129" s="1"/>
  <c r="AB128" i="6"/>
  <c r="AA130"/>
  <c r="AA127" i="3"/>
  <c r="AA128" s="1"/>
  <c r="AB129" i="4"/>
  <c r="K130"/>
  <c r="X130" s="1"/>
  <c r="AA129"/>
  <c r="AB128" i="5"/>
  <c r="K129"/>
  <c r="X129" s="1"/>
  <c r="K130" i="6"/>
  <c r="X130" s="1"/>
  <c r="AB129"/>
  <c r="K128" i="3"/>
  <c r="X128" s="1"/>
  <c r="AA130" i="2" l="1"/>
  <c r="AB127" i="3"/>
  <c r="AB129" i="5"/>
  <c r="K130"/>
  <c r="X130" s="1"/>
  <c r="AB130" i="4"/>
  <c r="K131"/>
  <c r="X131" s="1"/>
  <c r="AB130" i="6"/>
  <c r="K131"/>
  <c r="X131" s="1"/>
  <c r="AB128" i="3"/>
  <c r="K129"/>
  <c r="X129" s="1"/>
  <c r="AA130" i="4"/>
  <c r="AB129" i="2"/>
  <c r="K130"/>
  <c r="X130" s="1"/>
  <c r="AA129" i="5"/>
  <c r="AB131" i="4" l="1"/>
  <c r="K132"/>
  <c r="X132" s="1"/>
  <c r="AB130" i="5"/>
  <c r="K131"/>
  <c r="X131" s="1"/>
  <c r="AB131" i="6"/>
  <c r="K132"/>
  <c r="X132" s="1"/>
  <c r="K133" s="1"/>
  <c r="X133" s="1"/>
  <c r="AB129" i="3"/>
  <c r="K130"/>
  <c r="X130" s="1"/>
  <c r="AA129"/>
  <c r="AB130" i="2"/>
  <c r="K131"/>
  <c r="X131" s="1"/>
  <c r="AA131" i="6"/>
  <c r="AA132" s="1"/>
  <c r="AA131" i="4"/>
  <c r="AA130" i="5"/>
  <c r="AB131" l="1"/>
  <c r="K132"/>
  <c r="X132" s="1"/>
  <c r="AB131" i="2"/>
  <c r="K132"/>
  <c r="X132" s="1"/>
  <c r="AA130" i="3"/>
  <c r="AA131" s="1"/>
  <c r="AA131" i="2"/>
  <c r="AB132" i="4"/>
  <c r="K133"/>
  <c r="X133" s="1"/>
  <c r="AB133" i="6"/>
  <c r="K134"/>
  <c r="X134" s="1"/>
  <c r="AA133"/>
  <c r="K131" i="3"/>
  <c r="X131" s="1"/>
  <c r="AA132" i="4"/>
  <c r="AA131" i="5"/>
  <c r="AA132" i="2" l="1"/>
  <c r="AA133" s="1"/>
  <c r="AB130" i="3"/>
  <c r="AA132"/>
  <c r="AA134" i="6"/>
  <c r="AA135" s="1"/>
  <c r="AA132" i="5"/>
  <c r="AA133" s="1"/>
  <c r="K133" i="2"/>
  <c r="X133" s="1"/>
  <c r="AB131" i="3"/>
  <c r="K132"/>
  <c r="X132" s="1"/>
  <c r="K135" i="6"/>
  <c r="X135" s="1"/>
  <c r="AA133" i="4"/>
  <c r="AA134" s="1"/>
  <c r="K133" i="5"/>
  <c r="X133" s="1"/>
  <c r="K134" i="4"/>
  <c r="X134" s="1"/>
  <c r="AB132" i="2" l="1"/>
  <c r="AA134"/>
  <c r="AB132" i="5"/>
  <c r="AB133" i="4"/>
  <c r="AB135" i="6"/>
  <c r="K136"/>
  <c r="X136" s="1"/>
  <c r="AA136" s="1"/>
  <c r="AB132" i="3"/>
  <c r="K133"/>
  <c r="X133" s="1"/>
  <c r="AA134" i="5"/>
  <c r="AA135" i="4"/>
  <c r="AB133" i="5"/>
  <c r="K134"/>
  <c r="X134" s="1"/>
  <c r="AB133" i="2"/>
  <c r="K134"/>
  <c r="X134" s="1"/>
  <c r="AB134" i="4"/>
  <c r="K135"/>
  <c r="X135" s="1"/>
  <c r="AB134" i="6"/>
  <c r="AA137" l="1"/>
  <c r="AB133" i="3"/>
  <c r="K134"/>
  <c r="X134" s="1"/>
  <c r="AB134" i="5"/>
  <c r="K135"/>
  <c r="X135" s="1"/>
  <c r="AA136" i="4"/>
  <c r="AA133" i="3"/>
  <c r="AB135" i="4"/>
  <c r="K136"/>
  <c r="X136" s="1"/>
  <c r="AA135" i="2"/>
  <c r="K137" i="6"/>
  <c r="X137" s="1"/>
  <c r="AB136"/>
  <c r="AB134" i="2"/>
  <c r="K135"/>
  <c r="X135" s="1"/>
  <c r="AB134" i="3" l="1"/>
  <c r="K135"/>
  <c r="X135" s="1"/>
  <c r="AB136" i="4"/>
  <c r="K137"/>
  <c r="X137" s="1"/>
  <c r="AA137" s="1"/>
  <c r="AB135" i="5"/>
  <c r="K136"/>
  <c r="X136" s="1"/>
  <c r="AA136" i="2"/>
  <c r="AB137" i="6"/>
  <c r="K138"/>
  <c r="X138" s="1"/>
  <c r="AA138" s="1"/>
  <c r="AA135" i="5"/>
  <c r="AB135" i="2"/>
  <c r="K136"/>
  <c r="X136" s="1"/>
  <c r="AA134" i="3"/>
  <c r="AA139" i="6" l="1"/>
  <c r="AA138" i="4"/>
  <c r="AB135" i="3"/>
  <c r="K136"/>
  <c r="X136" s="1"/>
  <c r="AB136" i="5"/>
  <c r="K137"/>
  <c r="X137" s="1"/>
  <c r="AA135" i="3"/>
  <c r="K139" i="6"/>
  <c r="X139" s="1"/>
  <c r="AB138"/>
  <c r="AB136" i="2"/>
  <c r="K137"/>
  <c r="X137" s="1"/>
  <c r="AB137" i="4"/>
  <c r="K138"/>
  <c r="X138" s="1"/>
  <c r="AA136" i="5"/>
  <c r="AB137" l="1"/>
  <c r="K138"/>
  <c r="X138" s="1"/>
  <c r="K140" i="6"/>
  <c r="X140" s="1"/>
  <c r="AA140" s="1"/>
  <c r="AB139"/>
  <c r="AB137" i="2"/>
  <c r="K138"/>
  <c r="X138" s="1"/>
  <c r="AA137" i="5"/>
  <c r="AA136" i="3"/>
  <c r="AA137" s="1"/>
  <c r="K137"/>
  <c r="X137" s="1"/>
  <c r="AA137" i="2"/>
  <c r="AA139" i="4"/>
  <c r="K139"/>
  <c r="X139" s="1"/>
  <c r="AB138"/>
  <c r="AA141" i="6" l="1"/>
  <c r="AB138" i="2"/>
  <c r="K139"/>
  <c r="X139" s="1"/>
  <c r="AA138" i="3"/>
  <c r="AA138" i="5"/>
  <c r="AA139" s="1"/>
  <c r="AB140" i="6"/>
  <c r="K141"/>
  <c r="X141" s="1"/>
  <c r="K140" i="4"/>
  <c r="X140" s="1"/>
  <c r="AB139"/>
  <c r="AB136" i="3"/>
  <c r="K139" i="5"/>
  <c r="X139" s="1"/>
  <c r="AA138" i="2"/>
  <c r="AB137" i="3"/>
  <c r="K138"/>
  <c r="X138" s="1"/>
  <c r="AB139" i="2" l="1"/>
  <c r="K140"/>
  <c r="X140" s="1"/>
  <c r="K141" i="4"/>
  <c r="X141" s="1"/>
  <c r="K140" i="5"/>
  <c r="X140" s="1"/>
  <c r="AB139"/>
  <c r="AA140" i="4"/>
  <c r="AA142" i="6"/>
  <c r="AA139" i="2"/>
  <c r="AB141" i="6"/>
  <c r="K142"/>
  <c r="X142" s="1"/>
  <c r="AB138" i="5"/>
  <c r="AB138" i="3"/>
  <c r="K139"/>
  <c r="X139" s="1"/>
  <c r="AA141" i="4" l="1"/>
  <c r="AA142" s="1"/>
  <c r="AA143" i="6"/>
  <c r="K141" i="5"/>
  <c r="X141" s="1"/>
  <c r="AB140"/>
  <c r="AB140" i="2"/>
  <c r="K141"/>
  <c r="X141" s="1"/>
  <c r="K143" i="6"/>
  <c r="X143" s="1"/>
  <c r="AB142"/>
  <c r="AB140" i="4"/>
  <c r="AA140" i="5"/>
  <c r="K142" i="4"/>
  <c r="X142" s="1"/>
  <c r="AB139" i="3"/>
  <c r="K140"/>
  <c r="X140" s="1"/>
  <c r="AA140" i="2"/>
  <c r="AA139" i="3"/>
  <c r="AB141" i="5" l="1"/>
  <c r="K142"/>
  <c r="X142" s="1"/>
  <c r="AA143" i="4"/>
  <c r="AA141" i="2"/>
  <c r="AA142" s="1"/>
  <c r="K142"/>
  <c r="X142" s="1"/>
  <c r="AA141" i="5"/>
  <c r="AB140" i="3"/>
  <c r="K141"/>
  <c r="X141" s="1"/>
  <c r="AB141" i="4"/>
  <c r="AB143" i="6"/>
  <c r="K144"/>
  <c r="X144" s="1"/>
  <c r="K143" i="4"/>
  <c r="X143" s="1"/>
  <c r="AB142"/>
  <c r="AA140" i="3"/>
  <c r="AB141" i="2" l="1"/>
  <c r="K145" i="6"/>
  <c r="X145" s="1"/>
  <c r="AB144"/>
  <c r="AB143" i="4"/>
  <c r="K144"/>
  <c r="X144" s="1"/>
  <c r="K143" i="5"/>
  <c r="X143" s="1"/>
  <c r="AB142"/>
  <c r="AB142" i="2"/>
  <c r="K143"/>
  <c r="X143" s="1"/>
  <c r="AA143" s="1"/>
  <c r="AA144" i="6"/>
  <c r="AA142" i="5"/>
  <c r="AA141" i="3"/>
  <c r="AA142" s="1"/>
  <c r="K142"/>
  <c r="X142" s="1"/>
  <c r="AA144" i="2" l="1"/>
  <c r="AB144" i="4"/>
  <c r="K145"/>
  <c r="X145" s="1"/>
  <c r="AA143" i="5"/>
  <c r="AA144" s="1"/>
  <c r="AB145" i="6"/>
  <c r="K146"/>
  <c r="X146" s="1"/>
  <c r="AA145"/>
  <c r="AB143" i="2"/>
  <c r="K144"/>
  <c r="X144" s="1"/>
  <c r="AB142" i="3"/>
  <c r="K143"/>
  <c r="X143" s="1"/>
  <c r="K144" i="5"/>
  <c r="X144" s="1"/>
  <c r="AA144" i="4"/>
  <c r="AB141" i="3"/>
  <c r="AB145" i="4" l="1"/>
  <c r="K146"/>
  <c r="X146" s="1"/>
  <c r="AA145" i="5"/>
  <c r="AA145" i="4"/>
  <c r="AB143" i="3"/>
  <c r="K144"/>
  <c r="X144" s="1"/>
  <c r="AB143" i="5"/>
  <c r="AB146" i="6"/>
  <c r="K147"/>
  <c r="X147" s="1"/>
  <c r="AB144" i="2"/>
  <c r="K145"/>
  <c r="X145" s="1"/>
  <c r="AA145" s="1"/>
  <c r="AA143" i="3"/>
  <c r="AB144" i="5"/>
  <c r="K145"/>
  <c r="X145" s="1"/>
  <c r="AA146" i="6"/>
  <c r="AA146" i="2" l="1"/>
  <c r="AB144" i="3"/>
  <c r="K145"/>
  <c r="X145" s="1"/>
  <c r="AB146" i="4"/>
  <c r="K147"/>
  <c r="X147" s="1"/>
  <c r="AB147" i="6"/>
  <c r="K148"/>
  <c r="X148" s="1"/>
  <c r="AB145" i="2"/>
  <c r="K146"/>
  <c r="X146" s="1"/>
  <c r="AA146" i="4"/>
  <c r="AA144" i="3"/>
  <c r="AA147" i="6"/>
  <c r="AA146" i="5"/>
  <c r="AB145"/>
  <c r="K146"/>
  <c r="X146" s="1"/>
  <c r="AA147" i="2" l="1"/>
  <c r="AB147" i="4"/>
  <c r="K148"/>
  <c r="X148" s="1"/>
  <c r="AB146" i="2"/>
  <c r="K147"/>
  <c r="X147" s="1"/>
  <c r="AA147" i="4"/>
  <c r="AB148" i="6"/>
  <c r="K149"/>
  <c r="X149" s="1"/>
  <c r="AA147" i="5"/>
  <c r="K147"/>
  <c r="X147" s="1"/>
  <c r="AB146"/>
  <c r="AA145" i="3"/>
  <c r="AA146" s="1"/>
  <c r="K146"/>
  <c r="X146" s="1"/>
  <c r="AA148" i="6"/>
  <c r="AA148" i="2" l="1"/>
  <c r="AA148" i="4"/>
  <c r="AA149" s="1"/>
  <c r="K149"/>
  <c r="X149" s="1"/>
  <c r="K150" i="6"/>
  <c r="X150" s="1"/>
  <c r="AB149"/>
  <c r="AB147" i="2"/>
  <c r="K148"/>
  <c r="X148" s="1"/>
  <c r="AA147" i="3"/>
  <c r="AB145"/>
  <c r="AB146"/>
  <c r="K147"/>
  <c r="X147" s="1"/>
  <c r="AA148" i="5"/>
  <c r="AB147"/>
  <c r="K148"/>
  <c r="X148" s="1"/>
  <c r="AA149" i="6"/>
  <c r="AB148" i="5" l="1"/>
  <c r="K149"/>
  <c r="X149" s="1"/>
  <c r="AA149" s="1"/>
  <c r="AA148" i="3"/>
  <c r="AB147"/>
  <c r="K148"/>
  <c r="X148" s="1"/>
  <c r="AA150" i="6"/>
  <c r="AA151" s="1"/>
  <c r="AB148" i="2"/>
  <c r="K149"/>
  <c r="X149" s="1"/>
  <c r="AA149" s="1"/>
  <c r="AA150" i="4"/>
  <c r="K151" i="6"/>
  <c r="X151" s="1"/>
  <c r="AB148" i="4"/>
  <c r="K150"/>
  <c r="X150" s="1"/>
  <c r="AB149"/>
  <c r="AA150" i="5" l="1"/>
  <c r="AA150" i="2"/>
  <c r="AA149" i="3"/>
  <c r="AB150" i="6"/>
  <c r="AA152"/>
  <c r="AB149" i="2"/>
  <c r="K150"/>
  <c r="X150" s="1"/>
  <c r="AB151" i="6"/>
  <c r="K152"/>
  <c r="X152" s="1"/>
  <c r="AB148" i="3"/>
  <c r="K149"/>
  <c r="X149" s="1"/>
  <c r="AB150" i="4"/>
  <c r="K151"/>
  <c r="X151" s="1"/>
  <c r="AB149" i="5"/>
  <c r="K150"/>
  <c r="X150" s="1"/>
  <c r="AA151" i="2" l="1"/>
  <c r="AA153" i="6"/>
  <c r="AB151" i="4"/>
  <c r="K152"/>
  <c r="X152" s="1"/>
  <c r="AB150" i="2"/>
  <c r="K151"/>
  <c r="X151" s="1"/>
  <c r="AB149" i="3"/>
  <c r="K150"/>
  <c r="X150" s="1"/>
  <c r="K153" i="6"/>
  <c r="X153" s="1"/>
  <c r="AB152"/>
  <c r="AA151" i="4"/>
  <c r="AB150" i="5"/>
  <c r="K151"/>
  <c r="X151" s="1"/>
  <c r="AA151" s="1"/>
  <c r="AA152" l="1"/>
  <c r="AA152" i="2"/>
  <c r="AB152" i="4"/>
  <c r="K153"/>
  <c r="X153" s="1"/>
  <c r="AB150" i="3"/>
  <c r="K151"/>
  <c r="X151" s="1"/>
  <c r="AA152" i="4"/>
  <c r="K154" i="6"/>
  <c r="X154" s="1"/>
  <c r="AA154" s="1"/>
  <c r="AB153"/>
  <c r="AA150" i="3"/>
  <c r="AB151" i="2"/>
  <c r="K152"/>
  <c r="X152" s="1"/>
  <c r="AB151" i="5"/>
  <c r="K152"/>
  <c r="X152" s="1"/>
  <c r="AA155" i="6" l="1"/>
  <c r="AB153" i="4"/>
  <c r="K154"/>
  <c r="X154" s="1"/>
  <c r="AA151" i="3"/>
  <c r="AA152" s="1"/>
  <c r="K152"/>
  <c r="X152" s="1"/>
  <c r="AB152" i="2"/>
  <c r="K153"/>
  <c r="X153" s="1"/>
  <c r="AA153" s="1"/>
  <c r="AA153" i="5"/>
  <c r="AA153" i="4"/>
  <c r="AB154" i="6"/>
  <c r="K155"/>
  <c r="X155" s="1"/>
  <c r="AB152" i="5"/>
  <c r="K153"/>
  <c r="X153" s="1"/>
  <c r="AA154" i="2" l="1"/>
  <c r="AB154" i="4"/>
  <c r="K155"/>
  <c r="X155" s="1"/>
  <c r="AB151" i="3"/>
  <c r="AA154" i="4"/>
  <c r="AA156" i="6"/>
  <c r="K156"/>
  <c r="X156" s="1"/>
  <c r="AB155"/>
  <c r="AA154" i="5"/>
  <c r="AA153" i="3"/>
  <c r="AB152"/>
  <c r="K153"/>
  <c r="X153" s="1"/>
  <c r="AB153" i="2"/>
  <c r="K154"/>
  <c r="X154" s="1"/>
  <c r="AB153" i="5"/>
  <c r="K154"/>
  <c r="X154" s="1"/>
  <c r="AB155" i="4" l="1"/>
  <c r="K156"/>
  <c r="X156" s="1"/>
  <c r="AA155"/>
  <c r="AA154" i="3"/>
  <c r="AB153"/>
  <c r="K154"/>
  <c r="X154" s="1"/>
  <c r="AA157" i="6"/>
  <c r="AA155" i="5"/>
  <c r="AB154" i="2"/>
  <c r="K155"/>
  <c r="X155" s="1"/>
  <c r="AA155" s="1"/>
  <c r="K157" i="6"/>
  <c r="X157" s="1"/>
  <c r="AB156"/>
  <c r="AB154" i="5"/>
  <c r="K155"/>
  <c r="X155" s="1"/>
  <c r="AA156" i="2" l="1"/>
  <c r="AB155"/>
  <c r="K156"/>
  <c r="X156" s="1"/>
  <c r="AA156" i="4"/>
  <c r="AA157" s="1"/>
  <c r="K157"/>
  <c r="X157" s="1"/>
  <c r="AB154" i="3"/>
  <c r="K155"/>
  <c r="X155" s="1"/>
  <c r="AA155" s="1"/>
  <c r="K156" i="5"/>
  <c r="X156" s="1"/>
  <c r="AB155"/>
  <c r="AB157" i="6"/>
  <c r="K158"/>
  <c r="X158" s="1"/>
  <c r="AA156" i="3" l="1"/>
  <c r="AA158" i="4"/>
  <c r="AB156" i="2"/>
  <c r="K157"/>
  <c r="X157" s="1"/>
  <c r="AB158" i="6"/>
  <c r="K159"/>
  <c r="X159" s="1"/>
  <c r="AB156" i="4"/>
  <c r="AB156" i="5"/>
  <c r="K157"/>
  <c r="X157" s="1"/>
  <c r="AB155" i="3"/>
  <c r="K156"/>
  <c r="X156" s="1"/>
  <c r="AA156" i="5"/>
  <c r="AB157" i="4"/>
  <c r="K158"/>
  <c r="X158" s="1"/>
  <c r="AA158" i="6"/>
  <c r="AB157" i="2" l="1"/>
  <c r="K158"/>
  <c r="X158" s="1"/>
  <c r="AB159" i="6"/>
  <c r="K160"/>
  <c r="X160" s="1"/>
  <c r="AA157" i="3"/>
  <c r="AB157" i="5"/>
  <c r="K158"/>
  <c r="X158" s="1"/>
  <c r="AA159" i="4"/>
  <c r="AA157" i="5"/>
  <c r="AB156" i="3"/>
  <c r="K157"/>
  <c r="X157" s="1"/>
  <c r="AA157" i="2"/>
  <c r="AA159" i="6"/>
  <c r="AB158" i="4"/>
  <c r="K159"/>
  <c r="X159" s="1"/>
  <c r="AB158" i="2" l="1"/>
  <c r="K159"/>
  <c r="X159" s="1"/>
  <c r="AA160" i="4"/>
  <c r="AA158" i="2"/>
  <c r="AA160" i="6"/>
  <c r="AA161" s="1"/>
  <c r="AA158" i="3"/>
  <c r="AA158" i="5"/>
  <c r="AA159" s="1"/>
  <c r="K159"/>
  <c r="X159" s="1"/>
  <c r="AB157" i="3"/>
  <c r="K158"/>
  <c r="X158" s="1"/>
  <c r="K161" i="6"/>
  <c r="X161" s="1"/>
  <c r="K160" i="4"/>
  <c r="X160" s="1"/>
  <c r="AB159"/>
  <c r="AA159" i="2" l="1"/>
  <c r="AA160" s="1"/>
  <c r="AB161" i="6"/>
  <c r="K162"/>
  <c r="X162" s="1"/>
  <c r="AA162" s="1"/>
  <c r="AB159" i="5"/>
  <c r="K160"/>
  <c r="X160" s="1"/>
  <c r="AB158" i="3"/>
  <c r="K159"/>
  <c r="X159" s="1"/>
  <c r="AB160" i="6"/>
  <c r="AB160" i="4"/>
  <c r="K161"/>
  <c r="X161" s="1"/>
  <c r="AB158" i="5"/>
  <c r="K160" i="2"/>
  <c r="X160" s="1"/>
  <c r="AA163" i="6" l="1"/>
  <c r="AA161" i="2"/>
  <c r="AB160" i="5"/>
  <c r="K161"/>
  <c r="X161" s="1"/>
  <c r="AA160"/>
  <c r="AB159" i="3"/>
  <c r="K160"/>
  <c r="X160" s="1"/>
  <c r="K163" i="6"/>
  <c r="X163" s="1"/>
  <c r="AB162"/>
  <c r="AB161" i="4"/>
  <c r="K162"/>
  <c r="X162" s="1"/>
  <c r="AA161"/>
  <c r="AA159" i="3"/>
  <c r="AB160" i="2"/>
  <c r="K161"/>
  <c r="X161" s="1"/>
  <c r="AB159"/>
  <c r="AA161" i="5" l="1"/>
  <c r="AA162" s="1"/>
  <c r="K162"/>
  <c r="X162" s="1"/>
  <c r="AA160" i="3"/>
  <c r="AA161" s="1"/>
  <c r="AB162" i="4"/>
  <c r="K163"/>
  <c r="X163" s="1"/>
  <c r="K164" i="6"/>
  <c r="X164" s="1"/>
  <c r="AA164" s="1"/>
  <c r="AB163"/>
  <c r="AB161" i="2"/>
  <c r="K162"/>
  <c r="X162" s="1"/>
  <c r="AA162" s="1"/>
  <c r="AA162" i="4"/>
  <c r="K161" i="3"/>
  <c r="X161" s="1"/>
  <c r="AA163" i="2" l="1"/>
  <c r="AA165" i="6"/>
  <c r="AB162" i="5"/>
  <c r="K163"/>
  <c r="X163" s="1"/>
  <c r="AB163" i="4"/>
  <c r="K164"/>
  <c r="X164" s="1"/>
  <c r="AB161" i="5"/>
  <c r="AA163" i="4"/>
  <c r="AA162" i="3"/>
  <c r="AB160"/>
  <c r="AB164" i="6"/>
  <c r="K165"/>
  <c r="X165" s="1"/>
  <c r="AB162" i="2"/>
  <c r="K163"/>
  <c r="X163" s="1"/>
  <c r="AB161" i="3"/>
  <c r="K162"/>
  <c r="X162" s="1"/>
  <c r="AB164" i="4" l="1"/>
  <c r="K165"/>
  <c r="X165" s="1"/>
  <c r="AA166" i="6"/>
  <c r="AA167" s="1"/>
  <c r="K166"/>
  <c r="X166" s="1"/>
  <c r="AB165"/>
  <c r="AA164" i="2"/>
  <c r="AB163" i="5"/>
  <c r="K164"/>
  <c r="X164" s="1"/>
  <c r="AB162" i="3"/>
  <c r="K163"/>
  <c r="X163" s="1"/>
  <c r="AA163" s="1"/>
  <c r="AB163" i="2"/>
  <c r="K164"/>
  <c r="X164" s="1"/>
  <c r="AA164" i="4"/>
  <c r="AA163" i="5"/>
  <c r="AA164" i="3" l="1"/>
  <c r="K167" i="6"/>
  <c r="X167" s="1"/>
  <c r="K168" s="1"/>
  <c r="X168" s="1"/>
  <c r="AA168" s="1"/>
  <c r="AB166"/>
  <c r="AA165" i="2"/>
  <c r="AB163" i="3"/>
  <c r="K164"/>
  <c r="X164" s="1"/>
  <c r="AB165" i="4"/>
  <c r="K166"/>
  <c r="X166" s="1"/>
  <c r="AA164" i="5"/>
  <c r="AA165" s="1"/>
  <c r="K165"/>
  <c r="X165" s="1"/>
  <c r="AA165" i="4"/>
  <c r="AB164" i="2"/>
  <c r="K165"/>
  <c r="X165" s="1"/>
  <c r="AA169" i="6" l="1"/>
  <c r="AA165" i="3"/>
  <c r="AB164"/>
  <c r="K165"/>
  <c r="X165" s="1"/>
  <c r="AB165" i="2"/>
  <c r="K166"/>
  <c r="X166" s="1"/>
  <c r="AB165" i="5"/>
  <c r="K166"/>
  <c r="X166" s="1"/>
  <c r="AB166" i="4"/>
  <c r="K167"/>
  <c r="X167" s="1"/>
  <c r="K168" s="1"/>
  <c r="X168" s="1"/>
  <c r="AA166"/>
  <c r="AA167" s="1"/>
  <c r="K169" i="6"/>
  <c r="X169" s="1"/>
  <c r="AB168"/>
  <c r="AB164" i="5"/>
  <c r="AB166" l="1"/>
  <c r="K167"/>
  <c r="X167" s="1"/>
  <c r="K168" s="1"/>
  <c r="X168" s="1"/>
  <c r="K169" i="4"/>
  <c r="X169" s="1"/>
  <c r="AB168"/>
  <c r="AB166" i="2"/>
  <c r="K167"/>
  <c r="X167" s="1"/>
  <c r="AA166"/>
  <c r="AB169" i="6"/>
  <c r="K170"/>
  <c r="X170" s="1"/>
  <c r="AB165" i="3"/>
  <c r="K166"/>
  <c r="X166" s="1"/>
  <c r="AA168" i="4"/>
  <c r="AA166" i="5"/>
  <c r="AA167" s="1"/>
  <c r="AB168" l="1"/>
  <c r="K169"/>
  <c r="X169" s="1"/>
  <c r="AB169" i="4"/>
  <c r="K170"/>
  <c r="X170" s="1"/>
  <c r="AB167" i="2"/>
  <c r="K168"/>
  <c r="X168" s="1"/>
  <c r="AB170" i="6"/>
  <c r="K171"/>
  <c r="X171" s="1"/>
  <c r="AA169" i="4"/>
  <c r="AA168" i="5"/>
  <c r="AA170" i="6"/>
  <c r="AB166" i="3"/>
  <c r="K167"/>
  <c r="X167" s="1"/>
  <c r="AA167" i="2"/>
  <c r="AA166" i="3"/>
  <c r="AB168" i="2" l="1"/>
  <c r="K169"/>
  <c r="X169" s="1"/>
  <c r="AA170" i="4"/>
  <c r="AA171" s="1"/>
  <c r="AA167" i="3"/>
  <c r="AA168" s="1"/>
  <c r="AA169" i="5"/>
  <c r="AA170" s="1"/>
  <c r="AA168" i="2"/>
  <c r="K168" i="3"/>
  <c r="X168" s="1"/>
  <c r="K171" i="4"/>
  <c r="X171" s="1"/>
  <c r="AA171" i="6"/>
  <c r="AA172" s="1"/>
  <c r="K170" i="5"/>
  <c r="X170" s="1"/>
  <c r="K172" i="6"/>
  <c r="X172" s="1"/>
  <c r="AB168" i="3" l="1"/>
  <c r="K169"/>
  <c r="X169" s="1"/>
  <c r="AA169" s="1"/>
  <c r="AA171" i="5"/>
  <c r="AA173" i="6"/>
  <c r="AA174" s="1"/>
  <c r="AB169" i="2"/>
  <c r="K170"/>
  <c r="X170" s="1"/>
  <c r="AB170" i="4"/>
  <c r="AB172" i="6"/>
  <c r="K173"/>
  <c r="X173" s="1"/>
  <c r="AA172" i="4"/>
  <c r="AB167" i="3"/>
  <c r="AB169" i="5"/>
  <c r="AB171" i="6"/>
  <c r="AB170" i="5"/>
  <c r="K171"/>
  <c r="X171" s="1"/>
  <c r="AA169" i="2"/>
  <c r="AB171" i="4"/>
  <c r="K172"/>
  <c r="X172" s="1"/>
  <c r="AA170" i="3" l="1"/>
  <c r="AA173" i="4"/>
  <c r="AA174" s="1"/>
  <c r="AB170" i="2"/>
  <c r="K171"/>
  <c r="X171" s="1"/>
  <c r="AB169" i="3"/>
  <c r="K170"/>
  <c r="X170" s="1"/>
  <c r="AB171" i="5"/>
  <c r="K172"/>
  <c r="X172" s="1"/>
  <c r="K174" i="6"/>
  <c r="X174" s="1"/>
  <c r="K175" s="1"/>
  <c r="X175" s="1"/>
  <c r="AB173"/>
  <c r="AB172" i="4"/>
  <c r="K173"/>
  <c r="X173" s="1"/>
  <c r="AA170" i="2"/>
  <c r="AA175" i="4" l="1"/>
  <c r="AB170" i="3"/>
  <c r="K171"/>
  <c r="X171" s="1"/>
  <c r="AB173" i="4"/>
  <c r="K174"/>
  <c r="X174" s="1"/>
  <c r="K175" s="1"/>
  <c r="X175" s="1"/>
  <c r="AB172" i="5"/>
  <c r="K173"/>
  <c r="X173" s="1"/>
  <c r="AA172"/>
  <c r="AB171" i="2"/>
  <c r="K172"/>
  <c r="X172" s="1"/>
  <c r="AA171"/>
  <c r="AB175" i="6"/>
  <c r="K176"/>
  <c r="X176" s="1"/>
  <c r="AA175"/>
  <c r="K172" i="3" l="1"/>
  <c r="X172" s="1"/>
  <c r="AB171"/>
  <c r="K174" i="5"/>
  <c r="X174" s="1"/>
  <c r="K175" s="1"/>
  <c r="X175" s="1"/>
  <c r="AB173"/>
  <c r="K176" i="4"/>
  <c r="X176" s="1"/>
  <c r="AA176" s="1"/>
  <c r="AB175"/>
  <c r="AB176" i="6"/>
  <c r="K177"/>
  <c r="X177" s="1"/>
  <c r="AA171" i="3"/>
  <c r="AA172" i="2"/>
  <c r="AA173" s="1"/>
  <c r="AA173" i="5"/>
  <c r="AA174" s="1"/>
  <c r="K173" i="2"/>
  <c r="X173" s="1"/>
  <c r="AA176" i="6"/>
  <c r="AA177" i="4" l="1"/>
  <c r="AB175" i="5"/>
  <c r="K176"/>
  <c r="X176" s="1"/>
  <c r="AB172" i="3"/>
  <c r="K173"/>
  <c r="X173" s="1"/>
  <c r="AA172"/>
  <c r="AB177" i="6"/>
  <c r="K178"/>
  <c r="X178" s="1"/>
  <c r="AB172" i="2"/>
  <c r="AA175" i="5"/>
  <c r="AB173" i="2"/>
  <c r="K174"/>
  <c r="X174" s="1"/>
  <c r="AA177" i="6"/>
  <c r="K177" i="4"/>
  <c r="X177" s="1"/>
  <c r="AB176"/>
  <c r="AB173" i="3" l="1"/>
  <c r="K174"/>
  <c r="X174" s="1"/>
  <c r="AA176" i="5"/>
  <c r="AA177" s="1"/>
  <c r="K177"/>
  <c r="X177" s="1"/>
  <c r="AB174" i="2"/>
  <c r="K175"/>
  <c r="X175" s="1"/>
  <c r="AA178" i="6"/>
  <c r="AA179" s="1"/>
  <c r="AA174" i="2"/>
  <c r="K179" i="6"/>
  <c r="X179" s="1"/>
  <c r="AB177" i="4"/>
  <c r="K178"/>
  <c r="X178" s="1"/>
  <c r="AA173" i="3"/>
  <c r="AB177" i="5" l="1"/>
  <c r="K178"/>
  <c r="X178" s="1"/>
  <c r="AA178" s="1"/>
  <c r="AB178" i="6"/>
  <c r="AB176" i="5"/>
  <c r="AA174" i="3"/>
  <c r="AA175" s="1"/>
  <c r="AA180" i="6"/>
  <c r="K175" i="3"/>
  <c r="X175" s="1"/>
  <c r="AB175" i="2"/>
  <c r="K176"/>
  <c r="X176" s="1"/>
  <c r="K179" i="4"/>
  <c r="X179" s="1"/>
  <c r="AB178"/>
  <c r="AB179" i="6"/>
  <c r="K180"/>
  <c r="X180" s="1"/>
  <c r="AA175" i="2"/>
  <c r="AA178" i="4"/>
  <c r="AA179" i="5" l="1"/>
  <c r="AB178"/>
  <c r="K179"/>
  <c r="X179" s="1"/>
  <c r="AB175" i="3"/>
  <c r="K176"/>
  <c r="X176" s="1"/>
  <c r="AA176" s="1"/>
  <c r="AA176" i="2"/>
  <c r="AA177" s="1"/>
  <c r="K181" i="6"/>
  <c r="X181" s="1"/>
  <c r="AB180"/>
  <c r="K177" i="2"/>
  <c r="X177" s="1"/>
  <c r="AA179" i="4"/>
  <c r="AA180" s="1"/>
  <c r="K180"/>
  <c r="X180" s="1"/>
  <c r="AB174" i="3"/>
  <c r="AA177" l="1"/>
  <c r="AB181" i="6"/>
  <c r="K182"/>
  <c r="X182" s="1"/>
  <c r="AB179" i="5"/>
  <c r="K180"/>
  <c r="X180" s="1"/>
  <c r="AB177" i="2"/>
  <c r="K178"/>
  <c r="X178" s="1"/>
  <c r="AB176" i="3"/>
  <c r="K177"/>
  <c r="X177" s="1"/>
  <c r="AB176" i="2"/>
  <c r="AB179" i="4"/>
  <c r="AA181" i="6"/>
  <c r="AB180" i="4"/>
  <c r="K181"/>
  <c r="X181" s="1"/>
  <c r="AA178" i="3" l="1"/>
  <c r="AB180" i="5"/>
  <c r="K181"/>
  <c r="X181" s="1"/>
  <c r="K183" i="6"/>
  <c r="X183" s="1"/>
  <c r="AB182"/>
  <c r="AB178" i="2"/>
  <c r="K179"/>
  <c r="X179" s="1"/>
  <c r="AA178"/>
  <c r="AB181" i="4"/>
  <c r="K182"/>
  <c r="X182" s="1"/>
  <c r="AB177" i="3"/>
  <c r="K178"/>
  <c r="X178" s="1"/>
  <c r="AA181" i="4"/>
  <c r="AA182" i="6"/>
  <c r="AA180" i="5"/>
  <c r="K182" l="1"/>
  <c r="X182" s="1"/>
  <c r="AB181"/>
  <c r="AB179" i="2"/>
  <c r="K180"/>
  <c r="X180" s="1"/>
  <c r="AA182" i="4"/>
  <c r="AA183" s="1"/>
  <c r="AB183" i="6"/>
  <c r="K184"/>
  <c r="X184" s="1"/>
  <c r="AB178" i="3"/>
  <c r="K179"/>
  <c r="X179" s="1"/>
  <c r="AA179" i="2"/>
  <c r="K183" i="4"/>
  <c r="X183" s="1"/>
  <c r="AA183" i="6"/>
  <c r="AA181" i="5"/>
  <c r="AB179" i="3" l="1"/>
  <c r="K180"/>
  <c r="X180" s="1"/>
  <c r="AA182" i="5"/>
  <c r="AA183" s="1"/>
  <c r="AB184" i="6"/>
  <c r="K185"/>
  <c r="X185" s="1"/>
  <c r="AB183" i="4"/>
  <c r="K184"/>
  <c r="X184" s="1"/>
  <c r="AA184" s="1"/>
  <c r="AA180" i="2"/>
  <c r="AA181" s="1"/>
  <c r="AA179" i="3"/>
  <c r="K183" i="5"/>
  <c r="X183" s="1"/>
  <c r="AB182" i="4"/>
  <c r="AA184" i="6"/>
  <c r="K181" i="2"/>
  <c r="X181" s="1"/>
  <c r="AA185" i="4" l="1"/>
  <c r="K181" i="3"/>
  <c r="X181" s="1"/>
  <c r="AB180"/>
  <c r="AA184" i="5"/>
  <c r="AB182"/>
  <c r="AA185" i="6"/>
  <c r="AA186" s="1"/>
  <c r="AB184" i="4"/>
  <c r="K185"/>
  <c r="X185" s="1"/>
  <c r="AB181" i="2"/>
  <c r="K182"/>
  <c r="X182" s="1"/>
  <c r="AA182" s="1"/>
  <c r="AB183" i="5"/>
  <c r="K184"/>
  <c r="X184" s="1"/>
  <c r="AB180" i="2"/>
  <c r="K186" i="6"/>
  <c r="X186" s="1"/>
  <c r="AA180" i="3"/>
  <c r="AA183" i="2" l="1"/>
  <c r="AA185" i="5"/>
  <c r="AB185" i="6"/>
  <c r="AB181" i="3"/>
  <c r="K182"/>
  <c r="X182" s="1"/>
  <c r="AB185" i="4"/>
  <c r="K186"/>
  <c r="X186" s="1"/>
  <c r="AB184" i="5"/>
  <c r="K185"/>
  <c r="X185" s="1"/>
  <c r="AA181" i="3"/>
  <c r="AB182" i="2"/>
  <c r="K183"/>
  <c r="X183" s="1"/>
  <c r="AA187" i="6"/>
  <c r="AA188" s="1"/>
  <c r="AB186"/>
  <c r="K187"/>
  <c r="X187" s="1"/>
  <c r="K187" i="4" l="1"/>
  <c r="X187" s="1"/>
  <c r="AB186"/>
  <c r="AB182" i="3"/>
  <c r="K183"/>
  <c r="X183" s="1"/>
  <c r="AB183" i="2"/>
  <c r="K184"/>
  <c r="X184" s="1"/>
  <c r="AB187" i="6"/>
  <c r="K188"/>
  <c r="X188" s="1"/>
  <c r="K189" s="1"/>
  <c r="X189" s="1"/>
  <c r="AB185" i="5"/>
  <c r="K186"/>
  <c r="X186" s="1"/>
  <c r="AA186" s="1"/>
  <c r="AA186" i="4"/>
  <c r="AA182" i="3"/>
  <c r="AA187" i="5" l="1"/>
  <c r="AA188" s="1"/>
  <c r="AB189" i="6"/>
  <c r="K190"/>
  <c r="X190" s="1"/>
  <c r="K188" i="4"/>
  <c r="X188" s="1"/>
  <c r="K189" s="1"/>
  <c r="X189" s="1"/>
  <c r="AB187"/>
  <c r="AB184" i="2"/>
  <c r="K185"/>
  <c r="X185" s="1"/>
  <c r="AA184"/>
  <c r="AA187" i="4"/>
  <c r="AA188" s="1"/>
  <c r="AB183" i="3"/>
  <c r="K184"/>
  <c r="X184" s="1"/>
  <c r="AB186" i="5"/>
  <c r="K187"/>
  <c r="X187" s="1"/>
  <c r="AA183" i="3"/>
  <c r="AA189" i="6"/>
  <c r="AB185" i="2" l="1"/>
  <c r="K186"/>
  <c r="X186" s="1"/>
  <c r="AB184" i="3"/>
  <c r="K185"/>
  <c r="X185" s="1"/>
  <c r="AA189" i="5"/>
  <c r="K188"/>
  <c r="X188" s="1"/>
  <c r="K189" s="1"/>
  <c r="X189" s="1"/>
  <c r="AB187"/>
  <c r="AA184" i="3"/>
  <c r="AA185" i="2"/>
  <c r="AB189" i="4"/>
  <c r="K190"/>
  <c r="X190" s="1"/>
  <c r="AA189"/>
  <c r="AB190" i="6"/>
  <c r="K191"/>
  <c r="X191" s="1"/>
  <c r="K192" s="1"/>
  <c r="X192" s="1"/>
  <c r="AA190"/>
  <c r="AA191" s="1"/>
  <c r="AB185" i="3" l="1"/>
  <c r="K186"/>
  <c r="X186" s="1"/>
  <c r="AA186" i="2"/>
  <c r="AA187" s="1"/>
  <c r="K193" i="6"/>
  <c r="X193" s="1"/>
  <c r="AB192"/>
  <c r="AB189" i="5"/>
  <c r="K190"/>
  <c r="X190" s="1"/>
  <c r="AA190" s="1"/>
  <c r="AA191" s="1"/>
  <c r="AA190" i="4"/>
  <c r="AA191" s="1"/>
  <c r="AA192" s="1"/>
  <c r="K191"/>
  <c r="X191" s="1"/>
  <c r="K192" s="1"/>
  <c r="X192" s="1"/>
  <c r="AA192" i="6"/>
  <c r="K187" i="2"/>
  <c r="X187" s="1"/>
  <c r="AA185" i="3"/>
  <c r="AA192" i="5" l="1"/>
  <c r="AB186" i="3"/>
  <c r="K187"/>
  <c r="X187" s="1"/>
  <c r="AA193" i="4"/>
  <c r="AB186" i="2"/>
  <c r="K194" i="6"/>
  <c r="X194" s="1"/>
  <c r="AB193"/>
  <c r="AA193"/>
  <c r="AA186" i="3"/>
  <c r="AB190" i="4"/>
  <c r="AB192"/>
  <c r="K193"/>
  <c r="X193" s="1"/>
  <c r="K191" i="5"/>
  <c r="X191" s="1"/>
  <c r="K192" s="1"/>
  <c r="X192" s="1"/>
  <c r="AB190"/>
  <c r="AB187" i="2"/>
  <c r="K188"/>
  <c r="X188" s="1"/>
  <c r="K188" i="3" l="1"/>
  <c r="X188" s="1"/>
  <c r="AA187"/>
  <c r="AA194" i="4"/>
  <c r="AB188" i="2"/>
  <c r="K189"/>
  <c r="X189" s="1"/>
  <c r="AA193" i="5"/>
  <c r="K194" i="4"/>
  <c r="X194" s="1"/>
  <c r="AB193"/>
  <c r="AA194" i="6"/>
  <c r="AA195" s="1"/>
  <c r="K195"/>
  <c r="X195" s="1"/>
  <c r="AA188" i="2"/>
  <c r="K193" i="5"/>
  <c r="X193" s="1"/>
  <c r="AB192"/>
  <c r="AA195" i="4" l="1"/>
  <c r="AB195" i="6"/>
  <c r="K196"/>
  <c r="X196" s="1"/>
  <c r="AA188" i="3"/>
  <c r="AA189" s="1"/>
  <c r="AB187"/>
  <c r="AB194" i="6"/>
  <c r="AB194" i="4"/>
  <c r="K195"/>
  <c r="X195" s="1"/>
  <c r="AB193" i="5"/>
  <c r="K194"/>
  <c r="X194" s="1"/>
  <c r="AA194" s="1"/>
  <c r="K189" i="3"/>
  <c r="X189" s="1"/>
  <c r="AB189" i="2"/>
  <c r="K190"/>
  <c r="X190" s="1"/>
  <c r="AA189"/>
  <c r="AA195" i="5" l="1"/>
  <c r="AB196" i="6"/>
  <c r="K197"/>
  <c r="X197" s="1"/>
  <c r="AA196" i="4"/>
  <c r="AB189" i="3"/>
  <c r="K190"/>
  <c r="X190" s="1"/>
  <c r="AB194" i="5"/>
  <c r="K195"/>
  <c r="X195" s="1"/>
  <c r="AB190" i="2"/>
  <c r="K191"/>
  <c r="X191" s="1"/>
  <c r="AB188" i="3"/>
  <c r="AA196" i="6"/>
  <c r="K196" i="4"/>
  <c r="X196" s="1"/>
  <c r="AB195"/>
  <c r="AA190" i="2"/>
  <c r="AB190" i="3" l="1"/>
  <c r="K191"/>
  <c r="X191" s="1"/>
  <c r="K192" s="1"/>
  <c r="X192" s="1"/>
  <c r="AA196" i="5"/>
  <c r="AA190" i="3"/>
  <c r="AA191" s="1"/>
  <c r="AB191" i="2"/>
  <c r="K192"/>
  <c r="X192" s="1"/>
  <c r="K196" i="5"/>
  <c r="X196" s="1"/>
  <c r="AB195"/>
  <c r="AB197" i="6"/>
  <c r="K198"/>
  <c r="X198" s="1"/>
  <c r="AA197"/>
  <c r="AA191" i="2"/>
  <c r="K197" i="4"/>
  <c r="X197" s="1"/>
  <c r="AB196"/>
  <c r="AB192" i="2" l="1"/>
  <c r="K193"/>
  <c r="X193" s="1"/>
  <c r="K199" i="6"/>
  <c r="X199" s="1"/>
  <c r="AB198"/>
  <c r="AB196" i="5"/>
  <c r="K197"/>
  <c r="X197" s="1"/>
  <c r="AA197" s="1"/>
  <c r="AA198" i="6"/>
  <c r="AA192" i="2"/>
  <c r="AA192" i="3"/>
  <c r="AA193" s="1"/>
  <c r="AB197" i="4"/>
  <c r="K198"/>
  <c r="X198" s="1"/>
  <c r="K193" i="3"/>
  <c r="X193" s="1"/>
  <c r="AA197" i="4"/>
  <c r="AA198" i="5" l="1"/>
  <c r="K200" i="6"/>
  <c r="X200" s="1"/>
  <c r="AB199"/>
  <c r="AB193" i="3"/>
  <c r="K194"/>
  <c r="X194" s="1"/>
  <c r="AA199" i="6"/>
  <c r="AA193" i="2"/>
  <c r="AA194" s="1"/>
  <c r="AA198" i="4"/>
  <c r="AA199" s="1"/>
  <c r="K194" i="2"/>
  <c r="X194" s="1"/>
  <c r="K199" i="4"/>
  <c r="X199" s="1"/>
  <c r="AB192" i="3"/>
  <c r="AB197" i="5"/>
  <c r="K198"/>
  <c r="X198" s="1"/>
  <c r="AB194" i="3" l="1"/>
  <c r="K195"/>
  <c r="X195" s="1"/>
  <c r="AB198" i="4"/>
  <c r="AB194" i="2"/>
  <c r="K195"/>
  <c r="X195" s="1"/>
  <c r="AA195" s="1"/>
  <c r="AA200" i="4"/>
  <c r="K201" i="6"/>
  <c r="X201" s="1"/>
  <c r="AB200"/>
  <c r="AB199" i="4"/>
  <c r="K200"/>
  <c r="X200" s="1"/>
  <c r="AA200" i="6"/>
  <c r="AA194" i="3"/>
  <c r="AA199" i="5"/>
  <c r="AB198"/>
  <c r="K199"/>
  <c r="X199" s="1"/>
  <c r="AB193" i="2"/>
  <c r="AA196" l="1"/>
  <c r="AB200" i="4"/>
  <c r="K201"/>
  <c r="X201" s="1"/>
  <c r="AA200" i="5"/>
  <c r="AB201" i="6"/>
  <c r="K202"/>
  <c r="X202" s="1"/>
  <c r="AA201"/>
  <c r="AB195" i="2"/>
  <c r="K196"/>
  <c r="X196" s="1"/>
  <c r="AB199" i="5"/>
  <c r="K200"/>
  <c r="X200" s="1"/>
  <c r="AA195" i="3"/>
  <c r="AA196" s="1"/>
  <c r="K196"/>
  <c r="X196" s="1"/>
  <c r="AB201" i="4" l="1"/>
  <c r="K202"/>
  <c r="X202" s="1"/>
  <c r="AB196" i="2"/>
  <c r="K197"/>
  <c r="X197" s="1"/>
  <c r="AA197" s="1"/>
  <c r="AA201" i="5"/>
  <c r="AA197" i="3"/>
  <c r="AB195"/>
  <c r="AB202" i="6"/>
  <c r="K203"/>
  <c r="X203" s="1"/>
  <c r="AA201" i="4"/>
  <c r="AB200" i="5"/>
  <c r="K201"/>
  <c r="X201" s="1"/>
  <c r="AB196" i="3"/>
  <c r="K197"/>
  <c r="X197" s="1"/>
  <c r="AA202" i="6"/>
  <c r="AA198" i="2" l="1"/>
  <c r="AB203" i="6"/>
  <c r="K204"/>
  <c r="X204" s="1"/>
  <c r="AA198" i="3"/>
  <c r="AA202" i="4"/>
  <c r="AA203" s="1"/>
  <c r="AA202" i="5"/>
  <c r="AB197" i="3"/>
  <c r="K198"/>
  <c r="X198" s="1"/>
  <c r="AB197" i="2"/>
  <c r="K198"/>
  <c r="X198" s="1"/>
  <c r="K202" i="5"/>
  <c r="X202" s="1"/>
  <c r="AB201"/>
  <c r="K203" i="4"/>
  <c r="X203" s="1"/>
  <c r="AA203" i="6"/>
  <c r="AA203" i="5" l="1"/>
  <c r="AB202"/>
  <c r="K203"/>
  <c r="X203" s="1"/>
  <c r="AA204" i="4"/>
  <c r="AB204" i="6"/>
  <c r="K205"/>
  <c r="X205" s="1"/>
  <c r="AA199" i="3"/>
  <c r="AB198" i="2"/>
  <c r="K199"/>
  <c r="X199" s="1"/>
  <c r="AA199" s="1"/>
  <c r="K204" i="4"/>
  <c r="X204" s="1"/>
  <c r="AB203"/>
  <c r="AB198" i="3"/>
  <c r="K199"/>
  <c r="X199" s="1"/>
  <c r="AA204" i="6"/>
  <c r="AB202" i="4"/>
  <c r="AA200" i="2" l="1"/>
  <c r="AA204" i="5"/>
  <c r="AA200" i="3"/>
  <c r="AB205" i="6"/>
  <c r="K206"/>
  <c r="X206" s="1"/>
  <c r="AA205" i="4"/>
  <c r="AB204"/>
  <c r="K205"/>
  <c r="X205" s="1"/>
  <c r="AB203" i="5"/>
  <c r="K204"/>
  <c r="X204" s="1"/>
  <c r="AA205" i="6"/>
  <c r="AB199" i="2"/>
  <c r="K200"/>
  <c r="X200" s="1"/>
  <c r="AB199" i="3"/>
  <c r="K200"/>
  <c r="X200" s="1"/>
  <c r="AA201" l="1"/>
  <c r="AA206" i="6"/>
  <c r="AA207" s="1"/>
  <c r="K207"/>
  <c r="X207" s="1"/>
  <c r="AB205" i="4"/>
  <c r="K206"/>
  <c r="X206" s="1"/>
  <c r="AA205" i="5"/>
  <c r="AB200" i="2"/>
  <c r="K201"/>
  <c r="X201" s="1"/>
  <c r="K201" i="3"/>
  <c r="X201" s="1"/>
  <c r="AB200"/>
  <c r="AB204" i="5"/>
  <c r="K205"/>
  <c r="X205" s="1"/>
  <c r="AA206" l="1"/>
  <c r="AB201" i="2"/>
  <c r="K202"/>
  <c r="X202" s="1"/>
  <c r="AB206" i="6"/>
  <c r="K208"/>
  <c r="X208" s="1"/>
  <c r="AA208" s="1"/>
  <c r="AA209" s="1"/>
  <c r="AB207"/>
  <c r="AB201" i="3"/>
  <c r="K202"/>
  <c r="X202" s="1"/>
  <c r="AA202" s="1"/>
  <c r="AB206" i="4"/>
  <c r="K207"/>
  <c r="X207" s="1"/>
  <c r="AB205" i="5"/>
  <c r="K206"/>
  <c r="X206" s="1"/>
  <c r="AA201" i="2"/>
  <c r="AA206" i="4"/>
  <c r="AA203" i="3" l="1"/>
  <c r="AA210" i="6"/>
  <c r="AA211" s="1"/>
  <c r="AA207" i="5"/>
  <c r="AB207" i="4"/>
  <c r="K208"/>
  <c r="X208" s="1"/>
  <c r="AA202" i="2"/>
  <c r="AA203" s="1"/>
  <c r="AB202" i="3"/>
  <c r="K203"/>
  <c r="X203" s="1"/>
  <c r="K207" i="5"/>
  <c r="X207" s="1"/>
  <c r="AB206"/>
  <c r="K203" i="2"/>
  <c r="X203" s="1"/>
  <c r="K209" i="6"/>
  <c r="X209" s="1"/>
  <c r="K210" s="1"/>
  <c r="X210" s="1"/>
  <c r="AB208"/>
  <c r="AA207" i="4"/>
  <c r="AA212" i="6" l="1"/>
  <c r="AA204" i="2"/>
  <c r="AA208" i="5"/>
  <c r="AA209" s="1"/>
  <c r="AB202" i="2"/>
  <c r="AA208" i="4"/>
  <c r="AA209" s="1"/>
  <c r="K209"/>
  <c r="X209" s="1"/>
  <c r="K210" s="1"/>
  <c r="X210" s="1"/>
  <c r="AB203" i="3"/>
  <c r="K204"/>
  <c r="X204" s="1"/>
  <c r="AA204" s="1"/>
  <c r="AB203" i="2"/>
  <c r="K204"/>
  <c r="X204" s="1"/>
  <c r="K208" i="5"/>
  <c r="X208" s="1"/>
  <c r="AB207"/>
  <c r="AB210" i="6"/>
  <c r="K211"/>
  <c r="X211" s="1"/>
  <c r="K212" s="1"/>
  <c r="X212" s="1"/>
  <c r="AA205" i="3" l="1"/>
  <c r="AB210" i="4"/>
  <c r="K211"/>
  <c r="X211" s="1"/>
  <c r="K212" s="1"/>
  <c r="X212" s="1"/>
  <c r="AA205" i="2"/>
  <c r="AB204"/>
  <c r="K205"/>
  <c r="X205" s="1"/>
  <c r="AA210" i="4"/>
  <c r="AA211" s="1"/>
  <c r="AA213" i="6"/>
  <c r="AB204" i="3"/>
  <c r="K205"/>
  <c r="X205" s="1"/>
  <c r="AB208" i="5"/>
  <c r="K209"/>
  <c r="X209" s="1"/>
  <c r="K210" s="1"/>
  <c r="X210" s="1"/>
  <c r="AB208" i="4"/>
  <c r="AB212" i="6"/>
  <c r="K213"/>
  <c r="X213" s="1"/>
  <c r="K211" i="5" l="1"/>
  <c r="X211" s="1"/>
  <c r="K212" s="1"/>
  <c r="X212" s="1"/>
  <c r="AB210"/>
  <c r="AA212" i="4"/>
  <c r="AA213" s="1"/>
  <c r="K213"/>
  <c r="X213" s="1"/>
  <c r="AA214" i="6"/>
  <c r="AA210" i="5"/>
  <c r="AA211" s="1"/>
  <c r="AA206" i="3"/>
  <c r="AB205" i="2"/>
  <c r="K206"/>
  <c r="X206" s="1"/>
  <c r="AA206" s="1"/>
  <c r="AB213" i="6"/>
  <c r="K214"/>
  <c r="X214" s="1"/>
  <c r="AB205" i="3"/>
  <c r="K206"/>
  <c r="X206" s="1"/>
  <c r="AA207" i="2" l="1"/>
  <c r="AB214" i="6"/>
  <c r="AA214" i="4"/>
  <c r="AA212" i="5"/>
  <c r="AA213" s="1"/>
  <c r="AB212" i="4"/>
  <c r="AB206" i="3"/>
  <c r="K207"/>
  <c r="X207" s="1"/>
  <c r="AA207" s="1"/>
  <c r="K213" i="5"/>
  <c r="X213" s="1"/>
  <c r="AB213" i="4"/>
  <c r="K214"/>
  <c r="X214" s="1"/>
  <c r="AB206" i="2"/>
  <c r="K207"/>
  <c r="X207" s="1"/>
  <c r="AA208" i="3" l="1"/>
  <c r="AA209" s="1"/>
  <c r="AB207"/>
  <c r="K208"/>
  <c r="X208" s="1"/>
  <c r="AB207" i="2"/>
  <c r="K208"/>
  <c r="X208" s="1"/>
  <c r="AA214" i="5"/>
  <c r="AB213"/>
  <c r="K214"/>
  <c r="X214" s="1"/>
  <c r="AB214" i="4"/>
  <c r="AB212" i="5"/>
  <c r="AB214" l="1"/>
  <c r="AB208" i="2"/>
  <c r="K209"/>
  <c r="X209" s="1"/>
  <c r="K209" i="3"/>
  <c r="X209" s="1"/>
  <c r="K210" s="1"/>
  <c r="X210" s="1"/>
  <c r="AB208"/>
  <c r="AA208" i="2"/>
  <c r="AB210" i="3" l="1"/>
  <c r="K211"/>
  <c r="X211" s="1"/>
  <c r="AA210"/>
  <c r="K210" i="2"/>
  <c r="X210" s="1"/>
  <c r="AA209"/>
  <c r="AB209" s="1"/>
  <c r="AB211" i="3" l="1"/>
  <c r="K212"/>
  <c r="X212" s="1"/>
  <c r="AA211"/>
  <c r="AA210" i="2"/>
  <c r="AA211" s="1"/>
  <c r="K211"/>
  <c r="X211" s="1"/>
  <c r="AA212" i="3" l="1"/>
  <c r="AA213" s="1"/>
  <c r="AB211" i="2"/>
  <c r="K212"/>
  <c r="X212" s="1"/>
  <c r="K213" i="3"/>
  <c r="X213" s="1"/>
  <c r="AB210" i="2"/>
  <c r="AB212" l="1"/>
  <c r="K213"/>
  <c r="X213" s="1"/>
  <c r="AB212" i="3"/>
  <c r="AA212" i="2"/>
  <c r="AB213" i="3"/>
  <c r="K214"/>
  <c r="X214" s="1"/>
  <c r="AA213" i="2" l="1"/>
  <c r="AA214" s="1"/>
  <c r="K214"/>
  <c r="X214" s="1"/>
  <c r="AA214" i="3"/>
  <c r="AB214" s="1"/>
  <c r="AB213" i="2" l="1"/>
  <c r="AB214"/>
</calcChain>
</file>

<file path=xl/sharedStrings.xml><?xml version="1.0" encoding="utf-8"?>
<sst xmlns="http://schemas.openxmlformats.org/spreadsheetml/2006/main" count="52751" uniqueCount="2646">
  <si>
    <t>NIFTY 211 STOCKS - PAST 15 QUARTERS COMBINED BEST FUTURES SUMMARY (WITH EXPLICIT N/A)</t>
  </si>
  <si>
    <t>TOTAL PORTFOLIO MARGIN CAPITAL
₹42,511,150.11</t>
  </si>
  <si>
    <t>ENDING REINVESTED CAPITAL
₹62,751,998.52</t>
  </si>
  <si>
    <t>15-QUARTER CUMULATIVE RETURN %
47.61%</t>
  </si>
  <si>
    <t>15-QUARTER NET REALISED P&amp;L
₹20,240,848.41</t>
  </si>
  <si>
    <t>GLOBAL EMPIRICAL WIN RATE %
61.72%</t>
  </si>
  <si>
    <t>NIFTY 211 STOCKS - Q2 2026-27 COMBINED BEST FUTURES MASTER (EXPLICIT N/A FOR UNLISTED QUARTERS)</t>
  </si>
  <si>
    <t>Sr. No.</t>
  </si>
  <si>
    <t>Stock Symbol</t>
  </si>
  <si>
    <t>Quarter</t>
  </si>
  <si>
    <t>Strategy</t>
  </si>
  <si>
    <t>Trading Status / Action</t>
  </si>
  <si>
    <t>Historical Quarters Count</t>
  </si>
  <si>
    <t>Position Taking Window</t>
  </si>
  <si>
    <t>Predicted Return %</t>
  </si>
  <si>
    <t>Actual Realised Return %</t>
  </si>
  <si>
    <t>Prediction Variance %</t>
  </si>
  <si>
    <t>Starting Portfolio Fund (₹)</t>
  </si>
  <si>
    <t>Entry Date</t>
  </si>
  <si>
    <t>Exit Date</t>
  </si>
  <si>
    <t>Result Date</t>
  </si>
  <si>
    <t>Lot Size</t>
  </si>
  <si>
    <t>Buy Price (₹)</t>
  </si>
  <si>
    <t>Sell Price (₹)</t>
  </si>
  <si>
    <t>Turnover Buy (₹)</t>
  </si>
  <si>
    <t>Turnover Sell (₹)</t>
  </si>
  <si>
    <t>Combined Turnover (₹)</t>
  </si>
  <si>
    <t>Transaction Cost (0.05%)</t>
  </si>
  <si>
    <t>Gross P&amp;L (₹)</t>
  </si>
  <si>
    <t>Trade Net Realised P&amp;L (₹)</t>
  </si>
  <si>
    <t>Ending Reinvested Fund (₹)</t>
  </si>
  <si>
    <t>Margin Required (20% ₹)</t>
  </si>
  <si>
    <t>Return on Margin %</t>
  </si>
  <si>
    <t>Peak Portfolio Capital (₹)</t>
  </si>
  <si>
    <t>Portfolio Drawdown (₹)</t>
  </si>
  <si>
    <t>360ONE</t>
  </si>
  <si>
    <t>Q2 2026-27</t>
  </si>
  <si>
    <t>FUTURE LONG</t>
  </si>
  <si>
    <t>QUALIFIED</t>
  </si>
  <si>
    <t>198 Quarters</t>
  </si>
  <si>
    <t>T-7 to T+4</t>
  </si>
  <si>
    <t>2.07%</t>
  </si>
  <si>
    <t>0.0%</t>
  </si>
  <si>
    <t>2026-07-21</t>
  </si>
  <si>
    <t>2026-07-30</t>
  </si>
  <si>
    <t>2026-08-11</t>
  </si>
  <si>
    <t>ABB</t>
  </si>
  <si>
    <t>272 Quarters</t>
  </si>
  <si>
    <t>0.61%</t>
  </si>
  <si>
    <t>-3.19%</t>
  </si>
  <si>
    <t>-3.8%</t>
  </si>
  <si>
    <t>2026-07-31</t>
  </si>
  <si>
    <t>ABCAPITAL</t>
  </si>
  <si>
    <t>135 Quarters</t>
  </si>
  <si>
    <t>T-3 to T+4</t>
  </si>
  <si>
    <t>1.32%</t>
  </si>
  <si>
    <t>-1.6%</t>
  </si>
  <si>
    <t>-2.92%</t>
  </si>
  <si>
    <t>2026-07-27</t>
  </si>
  <si>
    <t>2026-08-14</t>
  </si>
  <si>
    <t>ADANIENSOL</t>
  </si>
  <si>
    <t>FUTURE SHORT</t>
  </si>
  <si>
    <t>151 Quarters</t>
  </si>
  <si>
    <t>T-1 to T+1</t>
  </si>
  <si>
    <t>0.72%</t>
  </si>
  <si>
    <t>-0.58%</t>
  </si>
  <si>
    <t>-1.3%</t>
  </si>
  <si>
    <t>2026-07-28</t>
  </si>
  <si>
    <t>ADANIENT</t>
  </si>
  <si>
    <t>193 Quarters</t>
  </si>
  <si>
    <t>0.62%</t>
  </si>
  <si>
    <t>-1.13%</t>
  </si>
  <si>
    <t>-1.75%</t>
  </si>
  <si>
    <t>2025-01-31</t>
  </si>
  <si>
    <t>2025-02-03</t>
  </si>
  <si>
    <t>ADANIGREEN</t>
  </si>
  <si>
    <t>123 Quarters</t>
  </si>
  <si>
    <t>T-3 to T+1</t>
  </si>
  <si>
    <t>1.43%</t>
  </si>
  <si>
    <t>-2.93%</t>
  </si>
  <si>
    <t>-4.36%</t>
  </si>
  <si>
    <t>2026-08-10</t>
  </si>
  <si>
    <t>ADANIPORTS</t>
  </si>
  <si>
    <t>162 Quarters</t>
  </si>
  <si>
    <t>0.66%</t>
  </si>
  <si>
    <t>3.82%</t>
  </si>
  <si>
    <t>3.16%</t>
  </si>
  <si>
    <t>2025-01-22</t>
  </si>
  <si>
    <t>2025-02-05</t>
  </si>
  <si>
    <t>2025-01-30</t>
  </si>
  <si>
    <t>ADANIPOWER</t>
  </si>
  <si>
    <t>269 Quarters</t>
  </si>
  <si>
    <t>0.16%</t>
  </si>
  <si>
    <t>2.33%</t>
  </si>
  <si>
    <t>2.17%</t>
  </si>
  <si>
    <t>ALKEM</t>
  </si>
  <si>
    <t>172 Quarters</t>
  </si>
  <si>
    <t>T-2 to T+1</t>
  </si>
  <si>
    <t>0.31%</t>
  </si>
  <si>
    <t>2.92%</t>
  </si>
  <si>
    <t>2.61%</t>
  </si>
  <si>
    <t>2026-08-27</t>
  </si>
  <si>
    <t>AMBER</t>
  </si>
  <si>
    <t>T-5 to T+4</t>
  </si>
  <si>
    <t>-1.04%</t>
  </si>
  <si>
    <t>0.39%</t>
  </si>
  <si>
    <t>2026-07-23</t>
  </si>
  <si>
    <t>2026-08-25</t>
  </si>
  <si>
    <t>AMBUJACEM</t>
  </si>
  <si>
    <t>304 Quarters</t>
  </si>
  <si>
    <t>0.25%</t>
  </si>
  <si>
    <t>1.51%</t>
  </si>
  <si>
    <t>1.26%</t>
  </si>
  <si>
    <t>ANGELONE</t>
  </si>
  <si>
    <t>148 Quarters</t>
  </si>
  <si>
    <t>4.91%</t>
  </si>
  <si>
    <t>-7.96%</t>
  </si>
  <si>
    <t>-12.87%</t>
  </si>
  <si>
    <t>2026-07-14</t>
  </si>
  <si>
    <t>2026-07-16</t>
  </si>
  <si>
    <t>APLAPOLLO</t>
  </si>
  <si>
    <t>216 Quarters</t>
  </si>
  <si>
    <t>1.0%</t>
  </si>
  <si>
    <t>2.34%</t>
  </si>
  <si>
    <t>1.34%</t>
  </si>
  <si>
    <t>2026-08-21</t>
  </si>
  <si>
    <t>APOLLOHOSP</t>
  </si>
  <si>
    <t>T-1 to T+4</t>
  </si>
  <si>
    <t>2.63%</t>
  </si>
  <si>
    <t>1.08%</t>
  </si>
  <si>
    <t>-1.55%</t>
  </si>
  <si>
    <t>2025-02-11</t>
  </si>
  <si>
    <t>2025-02-18</t>
  </si>
  <si>
    <t>ASHOKLEY</t>
  </si>
  <si>
    <t>AVOID BUT MONITOR IT</t>
  </si>
  <si>
    <t>5 Quarters</t>
  </si>
  <si>
    <t>4.48%</t>
  </si>
  <si>
    <t>6.56%</t>
  </si>
  <si>
    <t>2.08%</t>
  </si>
  <si>
    <t>2025-02-13</t>
  </si>
  <si>
    <t>2025-02-12</t>
  </si>
  <si>
    <t>ASIANPAINT</t>
  </si>
  <si>
    <t>195 Quarters</t>
  </si>
  <si>
    <t>T-5 to T+1</t>
  </si>
  <si>
    <t>-0.16%</t>
  </si>
  <si>
    <t>-0.6%</t>
  </si>
  <si>
    <t>-0.44%</t>
  </si>
  <si>
    <t>2025-02-06</t>
  </si>
  <si>
    <t>2025-02-04</t>
  </si>
  <si>
    <t>ASTRAL</t>
  </si>
  <si>
    <t>T-8 to T+4</t>
  </si>
  <si>
    <t>-1.46%</t>
  </si>
  <si>
    <t>2.89%</t>
  </si>
  <si>
    <t>2025-01-20</t>
  </si>
  <si>
    <t>ATHERENERG</t>
  </si>
  <si>
    <t>11 Quarters</t>
  </si>
  <si>
    <t>15.26%</t>
  </si>
  <si>
    <t>19.22%</t>
  </si>
  <si>
    <t>3.96%</t>
  </si>
  <si>
    <t>2026-08-03</t>
  </si>
  <si>
    <t>AUBANK</t>
  </si>
  <si>
    <t>T-8 to T+1</t>
  </si>
  <si>
    <t>8.2%</t>
  </si>
  <si>
    <t>2.03%</t>
  </si>
  <si>
    <t>-6.17%</t>
  </si>
  <si>
    <t>2025-01-14</t>
  </si>
  <si>
    <t>2025-01-27</t>
  </si>
  <si>
    <t>2025-01-24</t>
  </si>
  <si>
    <t>AUROPHARMA</t>
  </si>
  <si>
    <t>T-4 to T+1</t>
  </si>
  <si>
    <t>0.3%</t>
  </si>
  <si>
    <t>4.3%</t>
  </si>
  <si>
    <t>4.0%</t>
  </si>
  <si>
    <t>2025-02-01</t>
  </si>
  <si>
    <t>2025-02-07</t>
  </si>
  <si>
    <t>AXISBANK</t>
  </si>
  <si>
    <t>130 Quarters</t>
  </si>
  <si>
    <t>T-2 to T+4</t>
  </si>
  <si>
    <t>1.33%</t>
  </si>
  <si>
    <t>-7.38%</t>
  </si>
  <si>
    <t>-8.71%</t>
  </si>
  <si>
    <t>2025-01-15</t>
  </si>
  <si>
    <t>2025-01-23</t>
  </si>
  <si>
    <t>2025-01-16</t>
  </si>
  <si>
    <t>BAJAJ-AUTO</t>
  </si>
  <si>
    <t>145 Quarters</t>
  </si>
  <si>
    <t>1.65%</t>
  </si>
  <si>
    <t>5.33%</t>
  </si>
  <si>
    <t>3.68%</t>
  </si>
  <si>
    <t>2025-01-29</t>
  </si>
  <si>
    <t>BAJAJFINSV</t>
  </si>
  <si>
    <t>170 Quarters</t>
  </si>
  <si>
    <t>0.53%</t>
  </si>
  <si>
    <t>0.5%</t>
  </si>
  <si>
    <t>-0.03%</t>
  </si>
  <si>
    <t>BAJAJHLDNG</t>
  </si>
  <si>
    <t>3.78%</t>
  </si>
  <si>
    <t>4.8%</t>
  </si>
  <si>
    <t>1.02%</t>
  </si>
  <si>
    <t>BAJFINANCE</t>
  </si>
  <si>
    <t>132 Quarters</t>
  </si>
  <si>
    <t>2.06%</t>
  </si>
  <si>
    <t>11.42%</t>
  </si>
  <si>
    <t>9.36%</t>
  </si>
  <si>
    <t>2025-01-28</t>
  </si>
  <si>
    <t>BANDHANBNK</t>
  </si>
  <si>
    <t>1.04%</t>
  </si>
  <si>
    <t>1.88%</t>
  </si>
  <si>
    <t>0.84%</t>
  </si>
  <si>
    <t>BANKBARODA</t>
  </si>
  <si>
    <t>0.36%</t>
  </si>
  <si>
    <t>7.1%</t>
  </si>
  <si>
    <t>6.74%</t>
  </si>
  <si>
    <t>BANKINDIA</t>
  </si>
  <si>
    <t>2.97%</t>
  </si>
  <si>
    <t>-11.16%</t>
  </si>
  <si>
    <t>-14.13%</t>
  </si>
  <si>
    <t>2025-01-21</t>
  </si>
  <si>
    <t>BDL</t>
  </si>
  <si>
    <t>-4.94%</t>
  </si>
  <si>
    <t>-13.03%</t>
  </si>
  <si>
    <t>-8.09%</t>
  </si>
  <si>
    <t>2025-02-24</t>
  </si>
  <si>
    <t>2025-03-10</t>
  </si>
  <si>
    <t>2025-03-07</t>
  </si>
  <si>
    <t>BEL</t>
  </si>
  <si>
    <t>139 Quarters</t>
  </si>
  <si>
    <t>-1.63%</t>
  </si>
  <si>
    <t>-6.88%</t>
  </si>
  <si>
    <t>-5.25%</t>
  </si>
  <si>
    <t>BHARATFORG</t>
  </si>
  <si>
    <t>T-7 to T+1</t>
  </si>
  <si>
    <t>5.63%</t>
  </si>
  <si>
    <t>7.98%</t>
  </si>
  <si>
    <t>2.35%</t>
  </si>
  <si>
    <t>2025-02-14</t>
  </si>
  <si>
    <t>BHARTIARTL</t>
  </si>
  <si>
    <t>165 Quarters</t>
  </si>
  <si>
    <t>1.5%</t>
  </si>
  <si>
    <t>7.13%</t>
  </si>
  <si>
    <t>BHEL</t>
  </si>
  <si>
    <t>T-4 to T+4</t>
  </si>
  <si>
    <t>1.07%</t>
  </si>
  <si>
    <t>2.65%</t>
  </si>
  <si>
    <t>1.58%</t>
  </si>
  <si>
    <t>BIOCON</t>
  </si>
  <si>
    <t>4.54%</t>
  </si>
  <si>
    <t>1.62%</t>
  </si>
  <si>
    <t>BLUESTARCO</t>
  </si>
  <si>
    <t>6.52%</t>
  </si>
  <si>
    <t>5.99%</t>
  </si>
  <si>
    <t>2025-01-17</t>
  </si>
  <si>
    <t>BOSCHLTD</t>
  </si>
  <si>
    <t>-0.39%</t>
  </si>
  <si>
    <t>8.5%</t>
  </si>
  <si>
    <t>8.89%</t>
  </si>
  <si>
    <t>BPCL</t>
  </si>
  <si>
    <t>4.16%</t>
  </si>
  <si>
    <t>5.29%</t>
  </si>
  <si>
    <t>BRITANNIA</t>
  </si>
  <si>
    <t>155 Quarters</t>
  </si>
  <si>
    <t>0.6%</t>
  </si>
  <si>
    <t>-0.94%</t>
  </si>
  <si>
    <t>-1.54%</t>
  </si>
  <si>
    <t>2025-02-10</t>
  </si>
  <si>
    <t>BSE</t>
  </si>
  <si>
    <t>3.06%</t>
  </si>
  <si>
    <t>6.78%</t>
  </si>
  <si>
    <t>3.72%</t>
  </si>
  <si>
    <t>CAMS</t>
  </si>
  <si>
    <t>4.11%</t>
  </si>
  <si>
    <t>4.5%</t>
  </si>
  <si>
    <t>CANBK</t>
  </si>
  <si>
    <t>2.59%</t>
  </si>
  <si>
    <t>4.17%</t>
  </si>
  <si>
    <t>CDSL</t>
  </si>
  <si>
    <t>2.9%</t>
  </si>
  <si>
    <t>14.53%</t>
  </si>
  <si>
    <t>11.63%</t>
  </si>
  <si>
    <t>2025-01-25</t>
  </si>
  <si>
    <t>CGPOWER</t>
  </si>
  <si>
    <t>-0.87%</t>
  </si>
  <si>
    <t>-6.75%</t>
  </si>
  <si>
    <t>-5.88%</t>
  </si>
  <si>
    <t>CHOLAFIN</t>
  </si>
  <si>
    <t>-1.06%</t>
  </si>
  <si>
    <t>7.63%</t>
  </si>
  <si>
    <t>8.69%</t>
  </si>
  <si>
    <t>2024-10-24</t>
  </si>
  <si>
    <t>2024-10-28</t>
  </si>
  <si>
    <t>2024-10-26</t>
  </si>
  <si>
    <t>CIPLA</t>
  </si>
  <si>
    <t>0.06%</t>
  </si>
  <si>
    <t>-3.79%</t>
  </si>
  <si>
    <t>-3.85%</t>
  </si>
  <si>
    <t>COALINDIA</t>
  </si>
  <si>
    <t>150 Quarters</t>
  </si>
  <si>
    <t>0.96%</t>
  </si>
  <si>
    <t>-0.8%</t>
  </si>
  <si>
    <t>COCHINSHIP</t>
  </si>
  <si>
    <t>-6.01%</t>
  </si>
  <si>
    <t>6.69%</t>
  </si>
  <si>
    <t>12.7%</t>
  </si>
  <si>
    <t>COFORGE</t>
  </si>
  <si>
    <t>1.59%</t>
  </si>
  <si>
    <t>6.3%</t>
  </si>
  <si>
    <t>4.71%</t>
  </si>
  <si>
    <t>COLPAL</t>
  </si>
  <si>
    <t>-0.01%</t>
  </si>
  <si>
    <t>6.1%</t>
  </si>
  <si>
    <t>6.11%</t>
  </si>
  <si>
    <t>CONCOR</t>
  </si>
  <si>
    <t>3.07%</t>
  </si>
  <si>
    <t>2.41%</t>
  </si>
  <si>
    <t>-0.66%</t>
  </si>
  <si>
    <t>CROMPTON</t>
  </si>
  <si>
    <t>-1.81%</t>
  </si>
  <si>
    <t>7.44%</t>
  </si>
  <si>
    <t>CUMMINSIND</t>
  </si>
  <si>
    <t>0.79%</t>
  </si>
  <si>
    <t>-0.48%</t>
  </si>
  <si>
    <t>-1.27%</t>
  </si>
  <si>
    <t>DABUR</t>
  </si>
  <si>
    <t>-0.5%</t>
  </si>
  <si>
    <t>DELHIVERY</t>
  </si>
  <si>
    <t>4.89%</t>
  </si>
  <si>
    <t>9.47%</t>
  </si>
  <si>
    <t>4.58%</t>
  </si>
  <si>
    <t>DIVISLAB</t>
  </si>
  <si>
    <t>4.67%</t>
  </si>
  <si>
    <t>12.68%</t>
  </si>
  <si>
    <t>8.01%</t>
  </si>
  <si>
    <t>DIXON</t>
  </si>
  <si>
    <t>3.38%</t>
  </si>
  <si>
    <t>10.14%</t>
  </si>
  <si>
    <t>6.76%</t>
  </si>
  <si>
    <t>2025-01-09</t>
  </si>
  <si>
    <t>DLF</t>
  </si>
  <si>
    <t>1.53%</t>
  </si>
  <si>
    <t>4.61%</t>
  </si>
  <si>
    <t>3.08%</t>
  </si>
  <si>
    <t>DMART</t>
  </si>
  <si>
    <t>8.73%</t>
  </si>
  <si>
    <t>5.81%</t>
  </si>
  <si>
    <t>2025-01-08</t>
  </si>
  <si>
    <t>2025-01-13</t>
  </si>
  <si>
    <t>2025-01-11</t>
  </si>
  <si>
    <t>DRREDDY</t>
  </si>
  <si>
    <t>0.73%</t>
  </si>
  <si>
    <t>10.44%</t>
  </si>
  <si>
    <t>9.71%</t>
  </si>
  <si>
    <t>EICHERMOT</t>
  </si>
  <si>
    <t>186 Quarters</t>
  </si>
  <si>
    <t>2.3%</t>
  </si>
  <si>
    <t>-10.57%</t>
  </si>
  <si>
    <t>ETERNAL</t>
  </si>
  <si>
    <t>13 Quarters</t>
  </si>
  <si>
    <t>5.83%</t>
  </si>
  <si>
    <t>-10.87%</t>
  </si>
  <si>
    <t>-16.7%</t>
  </si>
  <si>
    <t>FEDERALBNK</t>
  </si>
  <si>
    <t>1.98%</t>
  </si>
  <si>
    <t>-2.4%</t>
  </si>
  <si>
    <t>-4.38%</t>
  </si>
  <si>
    <t>FORCEMOT</t>
  </si>
  <si>
    <t>15 Quarters</t>
  </si>
  <si>
    <t>2.45%</t>
  </si>
  <si>
    <t>0.04%</t>
  </si>
  <si>
    <t>2026-07-29</t>
  </si>
  <si>
    <t>FORTIS</t>
  </si>
  <si>
    <t>0.55%</t>
  </si>
  <si>
    <t>-2.95%</t>
  </si>
  <si>
    <t>GAIL</t>
  </si>
  <si>
    <t>2.46%</t>
  </si>
  <si>
    <t>8.64%</t>
  </si>
  <si>
    <t>6.18%</t>
  </si>
  <si>
    <t>GLENMARK</t>
  </si>
  <si>
    <t>4.36%</t>
  </si>
  <si>
    <t>-4.07%</t>
  </si>
  <si>
    <t>-8.43%</t>
  </si>
  <si>
    <t>2025-02-20</t>
  </si>
  <si>
    <t>GMRAIRPORT</t>
  </si>
  <si>
    <t>-1.23%</t>
  </si>
  <si>
    <t>-4.21%</t>
  </si>
  <si>
    <t>-2.98%</t>
  </si>
  <si>
    <t>GODFRYPHLP</t>
  </si>
  <si>
    <t>3.18%</t>
  </si>
  <si>
    <t>17.53%</t>
  </si>
  <si>
    <t>14.35%</t>
  </si>
  <si>
    <t>2025-02-19</t>
  </si>
  <si>
    <t>GODREJCP</t>
  </si>
  <si>
    <t>-5.14%</t>
  </si>
  <si>
    <t>-7.79%</t>
  </si>
  <si>
    <t>GODREJPROP</t>
  </si>
  <si>
    <t>-2.32%</t>
  </si>
  <si>
    <t>-9.81%</t>
  </si>
  <si>
    <t>-7.49%</t>
  </si>
  <si>
    <t>GRASIM</t>
  </si>
  <si>
    <t>188 Quarters</t>
  </si>
  <si>
    <t>-0.04%</t>
  </si>
  <si>
    <t>1.05%</t>
  </si>
  <si>
    <t>1.09%</t>
  </si>
  <si>
    <t>2025-02-17</t>
  </si>
  <si>
    <t>GVT&amp;D</t>
  </si>
  <si>
    <t>-9.17%</t>
  </si>
  <si>
    <t>-15.28%</t>
  </si>
  <si>
    <t>HAL</t>
  </si>
  <si>
    <t>3.25%</t>
  </si>
  <si>
    <t>-10.69%</t>
  </si>
  <si>
    <t>-13.94%</t>
  </si>
  <si>
    <t>HAVELLS</t>
  </si>
  <si>
    <t>4.55%</t>
  </si>
  <si>
    <t>4.45%</t>
  </si>
  <si>
    <t>-0.1%</t>
  </si>
  <si>
    <t>HCLTECH</t>
  </si>
  <si>
    <t>149 Quarters</t>
  </si>
  <si>
    <t>0.34%</t>
  </si>
  <si>
    <t>-5.9%</t>
  </si>
  <si>
    <t>-6.24%</t>
  </si>
  <si>
    <t>HDFCAMC</t>
  </si>
  <si>
    <t>-2.29%</t>
  </si>
  <si>
    <t>0.37%</t>
  </si>
  <si>
    <t>2.66%</t>
  </si>
  <si>
    <t>HDFCBANK</t>
  </si>
  <si>
    <t>129 Quarters</t>
  </si>
  <si>
    <t>0.24%</t>
  </si>
  <si>
    <t>2.95%</t>
  </si>
  <si>
    <t>2.71%</t>
  </si>
  <si>
    <t>HDFCLIFE</t>
  </si>
  <si>
    <t>28 Quarters</t>
  </si>
  <si>
    <t>0.71%</t>
  </si>
  <si>
    <t>-4.04%</t>
  </si>
  <si>
    <t>-4.75%</t>
  </si>
  <si>
    <t>HEROMOTOCO</t>
  </si>
  <si>
    <t>128 Quarters</t>
  </si>
  <si>
    <t>1.29%</t>
  </si>
  <si>
    <t>-4.28%</t>
  </si>
  <si>
    <t>-5.57%</t>
  </si>
  <si>
    <t>HINDALCO</t>
  </si>
  <si>
    <t>138 Quarters</t>
  </si>
  <si>
    <t>-0.14%</t>
  </si>
  <si>
    <t>-2.52%</t>
  </si>
  <si>
    <t>-2.38%</t>
  </si>
  <si>
    <t>HINDPETRO</t>
  </si>
  <si>
    <t>1.35%</t>
  </si>
  <si>
    <t>6.71%</t>
  </si>
  <si>
    <t>5.36%</t>
  </si>
  <si>
    <t>HINDUNILVR</t>
  </si>
  <si>
    <t>-0.11%</t>
  </si>
  <si>
    <t>-0.68%</t>
  </si>
  <si>
    <t>-0.57%</t>
  </si>
  <si>
    <t>HINDZINC</t>
  </si>
  <si>
    <t>1.71%</t>
  </si>
  <si>
    <t>5.93%</t>
  </si>
  <si>
    <t>4.22%</t>
  </si>
  <si>
    <t>HYUNDAI</t>
  </si>
  <si>
    <t>2 Quarters</t>
  </si>
  <si>
    <t>3.27%</t>
  </si>
  <si>
    <t>0.09%</t>
  </si>
  <si>
    <t>ICICIBANK</t>
  </si>
  <si>
    <t>141 Quarters</t>
  </si>
  <si>
    <t>1.18%</t>
  </si>
  <si>
    <t>-1.28%</t>
  </si>
  <si>
    <t>ICICIGI</t>
  </si>
  <si>
    <t>73 Quarters</t>
  </si>
  <si>
    <t>2.02%</t>
  </si>
  <si>
    <t>10.84%</t>
  </si>
  <si>
    <t>8.82%</t>
  </si>
  <si>
    <t>2026-07-06</t>
  </si>
  <si>
    <t>2026-07-22</t>
  </si>
  <si>
    <t>2026-07-15</t>
  </si>
  <si>
    <t>ICICIPRULI</t>
  </si>
  <si>
    <t>78 Quarters</t>
  </si>
  <si>
    <t>-0.49%</t>
  </si>
  <si>
    <t>-2.97%</t>
  </si>
  <si>
    <t>-2.48%</t>
  </si>
  <si>
    <t>IDEA</t>
  </si>
  <si>
    <t>3.9%</t>
  </si>
  <si>
    <t>12.02%</t>
  </si>
  <si>
    <t>8.12%</t>
  </si>
  <si>
    <t>IDFCFIRSTB</t>
  </si>
  <si>
    <t>8.53%</t>
  </si>
  <si>
    <t>3.86%</t>
  </si>
  <si>
    <t>IEX</t>
  </si>
  <si>
    <t>1.81%</t>
  </si>
  <si>
    <t>0.68%</t>
  </si>
  <si>
    <t>INDHOTEL</t>
  </si>
  <si>
    <t>2.96%</t>
  </si>
  <si>
    <t>-0.81%</t>
  </si>
  <si>
    <t>-3.77%</t>
  </si>
  <si>
    <t>INDIANB</t>
  </si>
  <si>
    <t>6.31%</t>
  </si>
  <si>
    <t>-2.49%</t>
  </si>
  <si>
    <t>INDIGO</t>
  </si>
  <si>
    <t>35 Quarters</t>
  </si>
  <si>
    <t>-0.56%</t>
  </si>
  <si>
    <t>2.7%</t>
  </si>
  <si>
    <t>3.26%</t>
  </si>
  <si>
    <t>INDUSINDBK</t>
  </si>
  <si>
    <t>112 Quarters</t>
  </si>
  <si>
    <t>0.9%</t>
  </si>
  <si>
    <t>11.34%</t>
  </si>
  <si>
    <t>INDUSTOWER</t>
  </si>
  <si>
    <t>2.26%</t>
  </si>
  <si>
    <t>3.51%</t>
  </si>
  <si>
    <t>1.25%</t>
  </si>
  <si>
    <t>INFY</t>
  </si>
  <si>
    <t>163 Quarters</t>
  </si>
  <si>
    <t>7.81%</t>
  </si>
  <si>
    <t>6.97%</t>
  </si>
  <si>
    <t>2025-01-10</t>
  </si>
  <si>
    <t>INOXWIND</t>
  </si>
  <si>
    <t>5.35%</t>
  </si>
  <si>
    <t>5.24%</t>
  </si>
  <si>
    <t>2025-02-27</t>
  </si>
  <si>
    <t>2025-03-11</t>
  </si>
  <si>
    <t>IOC</t>
  </si>
  <si>
    <t>2.12%</t>
  </si>
  <si>
    <t>1.54%</t>
  </si>
  <si>
    <t>IREDA</t>
  </si>
  <si>
    <t>4 Quarters</t>
  </si>
  <si>
    <t>20.37%</t>
  </si>
  <si>
    <t>-6.82%</t>
  </si>
  <si>
    <t>-27.19%</t>
  </si>
  <si>
    <t>2024-12-30</t>
  </si>
  <si>
    <t>IRFC</t>
  </si>
  <si>
    <t>0.86%</t>
  </si>
  <si>
    <t>ITC</t>
  </si>
  <si>
    <t>137 Quarters</t>
  </si>
  <si>
    <t>1.42%</t>
  </si>
  <si>
    <t>JINDALSTEL</t>
  </si>
  <si>
    <t>2.1%</t>
  </si>
  <si>
    <t>-7.7%</t>
  </si>
  <si>
    <t>-9.8%</t>
  </si>
  <si>
    <t>JIOFIN</t>
  </si>
  <si>
    <t>14 Quarters</t>
  </si>
  <si>
    <t>3.7%</t>
  </si>
  <si>
    <t>7.57%</t>
  </si>
  <si>
    <t>3.87%</t>
  </si>
  <si>
    <t>JSWENERGY</t>
  </si>
  <si>
    <t>14.85%</t>
  </si>
  <si>
    <t>10.69%</t>
  </si>
  <si>
    <t>JSWSTEEL</t>
  </si>
  <si>
    <t>194 Quarters</t>
  </si>
  <si>
    <t>1.67%</t>
  </si>
  <si>
    <t>4.65%</t>
  </si>
  <si>
    <t>2.98%</t>
  </si>
  <si>
    <t>JUBLFOOD</t>
  </si>
  <si>
    <t>1.24%</t>
  </si>
  <si>
    <t>-4.41%</t>
  </si>
  <si>
    <t>-5.65%</t>
  </si>
  <si>
    <t>KALYANKJIL</t>
  </si>
  <si>
    <t>-15.39%</t>
  </si>
  <si>
    <t>-14.79%</t>
  </si>
  <si>
    <t>KAYNES</t>
  </si>
  <si>
    <t>6.09%</t>
  </si>
  <si>
    <t>-12.56%</t>
  </si>
  <si>
    <t>-18.65%</t>
  </si>
  <si>
    <t>KEI</t>
  </si>
  <si>
    <t>3.74%</t>
  </si>
  <si>
    <t>4.77%</t>
  </si>
  <si>
    <t>1.03%</t>
  </si>
  <si>
    <t>KFINTECH</t>
  </si>
  <si>
    <t>2.5%</t>
  </si>
  <si>
    <t>-7.19%</t>
  </si>
  <si>
    <t>-9.69%</t>
  </si>
  <si>
    <t>KOTAKBANK</t>
  </si>
  <si>
    <t>182 Quarters</t>
  </si>
  <si>
    <t>0.1%</t>
  </si>
  <si>
    <t>-1.16%</t>
  </si>
  <si>
    <t>KPITTECH</t>
  </si>
  <si>
    <t>-1.15%</t>
  </si>
  <si>
    <t>10.64%</t>
  </si>
  <si>
    <t>11.79%</t>
  </si>
  <si>
    <t>LAURUSLABS</t>
  </si>
  <si>
    <t>2.81%</t>
  </si>
  <si>
    <t>8.49%</t>
  </si>
  <si>
    <t>5.68%</t>
  </si>
  <si>
    <t>LICHSGFIN</t>
  </si>
  <si>
    <t>-0.09%</t>
  </si>
  <si>
    <t>0.49%</t>
  </si>
  <si>
    <t>LICI</t>
  </si>
  <si>
    <t>30 Quarters</t>
  </si>
  <si>
    <t>0.95%</t>
  </si>
  <si>
    <t>-0.61%</t>
  </si>
  <si>
    <t>2026-08-06</t>
  </si>
  <si>
    <t>LODHA</t>
  </si>
  <si>
    <t>4.25%</t>
  </si>
  <si>
    <t>6.14%</t>
  </si>
  <si>
    <t>1.89%</t>
  </si>
  <si>
    <t>2025-03-05</t>
  </si>
  <si>
    <t>2025-03-12</t>
  </si>
  <si>
    <t>LT</t>
  </si>
  <si>
    <t>159 Quarters</t>
  </si>
  <si>
    <t>0.56%</t>
  </si>
  <si>
    <t>-7.8%</t>
  </si>
  <si>
    <t>-8.36%</t>
  </si>
  <si>
    <t>LTF</t>
  </si>
  <si>
    <t>1.46%</t>
  </si>
  <si>
    <t>-2.13%</t>
  </si>
  <si>
    <t>-3.59%</t>
  </si>
  <si>
    <t>LTM</t>
  </si>
  <si>
    <t>2.57%</t>
  </si>
  <si>
    <t>-0.21%</t>
  </si>
  <si>
    <t>-2.78%</t>
  </si>
  <si>
    <t>LUPIN</t>
  </si>
  <si>
    <t>3.79%</t>
  </si>
  <si>
    <t>-0.05%</t>
  </si>
  <si>
    <t>-3.84%</t>
  </si>
  <si>
    <t>M&amp;M</t>
  </si>
  <si>
    <t>2.27%</t>
  </si>
  <si>
    <t>-1.14%</t>
  </si>
  <si>
    <t>-3.41%</t>
  </si>
  <si>
    <t>MAHABANK</t>
  </si>
  <si>
    <t>4.38%</t>
  </si>
  <si>
    <t>4.52%</t>
  </si>
  <si>
    <t>0.14%</t>
  </si>
  <si>
    <t>MANAPPURAM</t>
  </si>
  <si>
    <t>0.57%</t>
  </si>
  <si>
    <t>0.98%</t>
  </si>
  <si>
    <t>0.41%</t>
  </si>
  <si>
    <t>MANKIND</t>
  </si>
  <si>
    <t>3.1%</t>
  </si>
  <si>
    <t>9.27%</t>
  </si>
  <si>
    <t>6.17%</t>
  </si>
  <si>
    <t>MARICO</t>
  </si>
  <si>
    <t>1.39%</t>
  </si>
  <si>
    <t>0.38%</t>
  </si>
  <si>
    <t>-1.01%</t>
  </si>
  <si>
    <t>MARUTI</t>
  </si>
  <si>
    <t>-2.64%</t>
  </si>
  <si>
    <t>-3.35%</t>
  </si>
  <si>
    <t>MAXHEALTH</t>
  </si>
  <si>
    <t>16 Quarters</t>
  </si>
  <si>
    <t>2.62%</t>
  </si>
  <si>
    <t>0.52%</t>
  </si>
  <si>
    <t>-2.1%</t>
  </si>
  <si>
    <t>MAZDOCK</t>
  </si>
  <si>
    <t>4.99%</t>
  </si>
  <si>
    <t>-3.97%</t>
  </si>
  <si>
    <t>MCX</t>
  </si>
  <si>
    <t>10.36%</t>
  </si>
  <si>
    <t>5.12%</t>
  </si>
  <si>
    <t>-5.24%</t>
  </si>
  <si>
    <t>2016-06-22</t>
  </si>
  <si>
    <t>2016-07-04</t>
  </si>
  <si>
    <t>2016-06-30</t>
  </si>
  <si>
    <t>MFSL</t>
  </si>
  <si>
    <t>-1.48%</t>
  </si>
  <si>
    <t>0.42%</t>
  </si>
  <si>
    <t>1.9%</t>
  </si>
  <si>
    <t>MOTHERSON</t>
  </si>
  <si>
    <t>2.72%</t>
  </si>
  <si>
    <t>0.74%</t>
  </si>
  <si>
    <t>MOTILALOFS</t>
  </si>
  <si>
    <t>-5.15%</t>
  </si>
  <si>
    <t>MPHASIS</t>
  </si>
  <si>
    <t>2.91%</t>
  </si>
  <si>
    <t>MUTHOOTFIN</t>
  </si>
  <si>
    <t>111 Quarters</t>
  </si>
  <si>
    <t>-1.43%</t>
  </si>
  <si>
    <t>NAM-INDIA</t>
  </si>
  <si>
    <t>0.51%</t>
  </si>
  <si>
    <t>3.41%</t>
  </si>
  <si>
    <t>NATIONALUM</t>
  </si>
  <si>
    <t>5.52%</t>
  </si>
  <si>
    <t>8.18%</t>
  </si>
  <si>
    <t>NAUKRI</t>
  </si>
  <si>
    <t>1.61%</t>
  </si>
  <si>
    <t>4.24%</t>
  </si>
  <si>
    <t>NBCC</t>
  </si>
  <si>
    <t>2.09%</t>
  </si>
  <si>
    <t>4.94%</t>
  </si>
  <si>
    <t>2.85%</t>
  </si>
  <si>
    <t>NESTLEIND</t>
  </si>
  <si>
    <t>10 Quarters</t>
  </si>
  <si>
    <t>-0.13%</t>
  </si>
  <si>
    <t>0.17%</t>
  </si>
  <si>
    <t>NHPC</t>
  </si>
  <si>
    <t>2.78%</t>
  </si>
  <si>
    <t>-2.81%</t>
  </si>
  <si>
    <t>NMDC</t>
  </si>
  <si>
    <t>-0.85%</t>
  </si>
  <si>
    <t>3.54%</t>
  </si>
  <si>
    <t>4.39%</t>
  </si>
  <si>
    <t>NTPC</t>
  </si>
  <si>
    <t>-1.49%</t>
  </si>
  <si>
    <t>-0.32%</t>
  </si>
  <si>
    <t>1.17%</t>
  </si>
  <si>
    <t>NYKAA</t>
  </si>
  <si>
    <t>2.86%</t>
  </si>
  <si>
    <t>2.05%</t>
  </si>
  <si>
    <t>OBEROIRLTY</t>
  </si>
  <si>
    <t>-1.76%</t>
  </si>
  <si>
    <t>-14.6%</t>
  </si>
  <si>
    <t>-12.84%</t>
  </si>
  <si>
    <t>OFSS</t>
  </si>
  <si>
    <t>-4.55%</t>
  </si>
  <si>
    <t>21.99%</t>
  </si>
  <si>
    <t>26.54%</t>
  </si>
  <si>
    <t>2025-01-03</t>
  </si>
  <si>
    <t>OIL</t>
  </si>
  <si>
    <t>8.09%</t>
  </si>
  <si>
    <t>-8.14%</t>
  </si>
  <si>
    <t>2025-02-08</t>
  </si>
  <si>
    <t>ONGC</t>
  </si>
  <si>
    <t>0.75%</t>
  </si>
  <si>
    <t>1.87%</t>
  </si>
  <si>
    <t>PAGEIND</t>
  </si>
  <si>
    <t>5.21%</t>
  </si>
  <si>
    <t>PATANJALI</t>
  </si>
  <si>
    <t>1.44%</t>
  </si>
  <si>
    <t>-1.42%</t>
  </si>
  <si>
    <t>-2.86%</t>
  </si>
  <si>
    <t>PAYTM</t>
  </si>
  <si>
    <t>-1.59%</t>
  </si>
  <si>
    <t>1.28%</t>
  </si>
  <si>
    <t>2.87%</t>
  </si>
  <si>
    <t>PERSISTENT</t>
  </si>
  <si>
    <t>-3.6%</t>
  </si>
  <si>
    <t>PETRONET</t>
  </si>
  <si>
    <t>5.1%</t>
  </si>
  <si>
    <t>5.58%</t>
  </si>
  <si>
    <t>PFC</t>
  </si>
  <si>
    <t>-1.31%</t>
  </si>
  <si>
    <t>7.07%</t>
  </si>
  <si>
    <t>8.38%</t>
  </si>
  <si>
    <t>PGEL</t>
  </si>
  <si>
    <t>10.2%</t>
  </si>
  <si>
    <t>PHOENIXLTD</t>
  </si>
  <si>
    <t>-12.26%</t>
  </si>
  <si>
    <t>-11.22%</t>
  </si>
  <si>
    <t>PIDILITIND</t>
  </si>
  <si>
    <t>-0.73%</t>
  </si>
  <si>
    <t>2.4%</t>
  </si>
  <si>
    <t>3.13%</t>
  </si>
  <si>
    <t>PIIND</t>
  </si>
  <si>
    <t>1.96%</t>
  </si>
  <si>
    <t>PNB</t>
  </si>
  <si>
    <t>0.97%</t>
  </si>
  <si>
    <t>-1.74%</t>
  </si>
  <si>
    <t>PNBHOUSING</t>
  </si>
  <si>
    <t>2.24%</t>
  </si>
  <si>
    <t>POLICYBZR</t>
  </si>
  <si>
    <t>3.53%</t>
  </si>
  <si>
    <t>2.37%</t>
  </si>
  <si>
    <t>POLYCAB</t>
  </si>
  <si>
    <t>0.02%</t>
  </si>
  <si>
    <t>7.8%</t>
  </si>
  <si>
    <t>7.78%</t>
  </si>
  <si>
    <t>POWERGRID</t>
  </si>
  <si>
    <t>-0.53%</t>
  </si>
  <si>
    <t>6.8%</t>
  </si>
  <si>
    <t>7.33%</t>
  </si>
  <si>
    <t>POWERINDIA</t>
  </si>
  <si>
    <t>0.03%</t>
  </si>
  <si>
    <t>2025-10-01</t>
  </si>
  <si>
    <t>2025-10-03</t>
  </si>
  <si>
    <t>PREMIERENE</t>
  </si>
  <si>
    <t>4.62%</t>
  </si>
  <si>
    <t>PRESTIGE</t>
  </si>
  <si>
    <t>-9.85%</t>
  </si>
  <si>
    <t>-13.63%</t>
  </si>
  <si>
    <t>RADICO</t>
  </si>
  <si>
    <t>RBLBANK</t>
  </si>
  <si>
    <t>5.64%</t>
  </si>
  <si>
    <t>-2.77%</t>
  </si>
  <si>
    <t>-8.41%</t>
  </si>
  <si>
    <t>2025-01-18</t>
  </si>
  <si>
    <t>RECLTD</t>
  </si>
  <si>
    <t>142 Quarters</t>
  </si>
  <si>
    <t>1.52%</t>
  </si>
  <si>
    <t>2026-07-24</t>
  </si>
  <si>
    <t>RELIANCE</t>
  </si>
  <si>
    <t>160 Quarters</t>
  </si>
  <si>
    <t>1.23%</t>
  </si>
  <si>
    <t>-0.91%</t>
  </si>
  <si>
    <t>-2.14%</t>
  </si>
  <si>
    <t>RVNL</t>
  </si>
  <si>
    <t>2.11%</t>
  </si>
  <si>
    <t>14.41%</t>
  </si>
  <si>
    <t>12.3%</t>
  </si>
  <si>
    <t>SAGILITY</t>
  </si>
  <si>
    <t>4.79%</t>
  </si>
  <si>
    <t>SAIL</t>
  </si>
  <si>
    <t>4.12%</t>
  </si>
  <si>
    <t>3.32%</t>
  </si>
  <si>
    <t>SBICARD</t>
  </si>
  <si>
    <t>4.21%</t>
  </si>
  <si>
    <t>-4.22%</t>
  </si>
  <si>
    <t>SBILIFE</t>
  </si>
  <si>
    <t>0.99%</t>
  </si>
  <si>
    <t>-0.92%</t>
  </si>
  <si>
    <t>-1.91%</t>
  </si>
  <si>
    <t>SBIN</t>
  </si>
  <si>
    <t>174 Quarters</t>
  </si>
  <si>
    <t>0.47%</t>
  </si>
  <si>
    <t>-2.05%</t>
  </si>
  <si>
    <t>SHREECEM</t>
  </si>
  <si>
    <t>10.54%</t>
  </si>
  <si>
    <t>7.48%</t>
  </si>
  <si>
    <t>SHRIRAMFIN</t>
  </si>
  <si>
    <t>146 Quarters</t>
  </si>
  <si>
    <t>1.97%</t>
  </si>
  <si>
    <t>1.6%</t>
  </si>
  <si>
    <t>-0.37%</t>
  </si>
  <si>
    <t>SIEMENS</t>
  </si>
  <si>
    <t>-11.19%</t>
  </si>
  <si>
    <t>-13.31%</t>
  </si>
  <si>
    <t>SOLARINDS</t>
  </si>
  <si>
    <t>2.39%</t>
  </si>
  <si>
    <t>-6.39%</t>
  </si>
  <si>
    <t>-8.78%</t>
  </si>
  <si>
    <t>SONACOMS</t>
  </si>
  <si>
    <t>4.84%</t>
  </si>
  <si>
    <t>13.81%</t>
  </si>
  <si>
    <t>8.97%</t>
  </si>
  <si>
    <t>SRF</t>
  </si>
  <si>
    <t>-13.88%</t>
  </si>
  <si>
    <t>-13.9%</t>
  </si>
  <si>
    <t>SUNPHARMA</t>
  </si>
  <si>
    <t>-4.42%</t>
  </si>
  <si>
    <t>-4.98%</t>
  </si>
  <si>
    <t>SUPREMEIND</t>
  </si>
  <si>
    <t>3.31%</t>
  </si>
  <si>
    <t>15.24%</t>
  </si>
  <si>
    <t>11.93%</t>
  </si>
  <si>
    <t>SUZLON</t>
  </si>
  <si>
    <t>6.65%</t>
  </si>
  <si>
    <t>2.32%</t>
  </si>
  <si>
    <t>-4.33%</t>
  </si>
  <si>
    <t>SWIGGY</t>
  </si>
  <si>
    <t>-2.91%</t>
  </si>
  <si>
    <t>-15.21%</t>
  </si>
  <si>
    <t>-12.3%</t>
  </si>
  <si>
    <t>TATACONSUM</t>
  </si>
  <si>
    <t>189 Quarters</t>
  </si>
  <si>
    <t>-0.15%</t>
  </si>
  <si>
    <t>-5.62%</t>
  </si>
  <si>
    <t>-5.47%</t>
  </si>
  <si>
    <t>TATAELXSI</t>
  </si>
  <si>
    <t>7.5%</t>
  </si>
  <si>
    <t>10.02%</t>
  </si>
  <si>
    <t>2.52%</t>
  </si>
  <si>
    <t>2024-12-31</t>
  </si>
  <si>
    <t>TATAMOTORS</t>
  </si>
  <si>
    <t>1 Quarters</t>
  </si>
  <si>
    <t>3.22%</t>
  </si>
  <si>
    <t>TATAPOWER</t>
  </si>
  <si>
    <t>-2.07%</t>
  </si>
  <si>
    <t>-4.39%</t>
  </si>
  <si>
    <t>TATASTEEL</t>
  </si>
  <si>
    <t>184 Quarters</t>
  </si>
  <si>
    <t>-3.38%</t>
  </si>
  <si>
    <t>TCS</t>
  </si>
  <si>
    <t>192 Quarters</t>
  </si>
  <si>
    <t>-0.28%</t>
  </si>
  <si>
    <t>-4.79%</t>
  </si>
  <si>
    <t>-4.51%</t>
  </si>
  <si>
    <t>2025-01-06</t>
  </si>
  <si>
    <t>TECHM</t>
  </si>
  <si>
    <t>185 Quarters</t>
  </si>
  <si>
    <t>1.16%</t>
  </si>
  <si>
    <t>-2.23%</t>
  </si>
  <si>
    <t>-3.39%</t>
  </si>
  <si>
    <t>TIINDIA</t>
  </si>
  <si>
    <t>5.82%</t>
  </si>
  <si>
    <t>3.34%</t>
  </si>
  <si>
    <t>TITAN</t>
  </si>
  <si>
    <t>143 Quarters</t>
  </si>
  <si>
    <t>0.22%</t>
  </si>
  <si>
    <t>5.2%</t>
  </si>
  <si>
    <t>4.98%</t>
  </si>
  <si>
    <t>TMPV</t>
  </si>
  <si>
    <t>9 Quarters</t>
  </si>
  <si>
    <t>2012-11-06</t>
  </si>
  <si>
    <t>2012-11-16</t>
  </si>
  <si>
    <t>2012-11-07</t>
  </si>
  <si>
    <t>TORNTPHARM</t>
  </si>
  <si>
    <t>1.78%</t>
  </si>
  <si>
    <t>1.12%</t>
  </si>
  <si>
    <t>TRENT</t>
  </si>
  <si>
    <t>133 Quarters</t>
  </si>
  <si>
    <t>1.38%</t>
  </si>
  <si>
    <t>-8.58%</t>
  </si>
  <si>
    <t>-9.96%</t>
  </si>
  <si>
    <t>TVSMOTOR</t>
  </si>
  <si>
    <t>0.28%</t>
  </si>
  <si>
    <t>-8.42%</t>
  </si>
  <si>
    <t>-8.7%</t>
  </si>
  <si>
    <t>ULTRACEMCO</t>
  </si>
  <si>
    <t>158 Quarters</t>
  </si>
  <si>
    <t>-8.5%</t>
  </si>
  <si>
    <t>-9.48%</t>
  </si>
  <si>
    <t>UNIONBANK</t>
  </si>
  <si>
    <t>1.55%</t>
  </si>
  <si>
    <t>3.24%</t>
  </si>
  <si>
    <t>UNITDSPR</t>
  </si>
  <si>
    <t>-0.2%</t>
  </si>
  <si>
    <t>UNOMINDA</t>
  </si>
  <si>
    <t>10.75%</t>
  </si>
  <si>
    <t>5.76%</t>
  </si>
  <si>
    <t>UPL</t>
  </si>
  <si>
    <t>-0.69%</t>
  </si>
  <si>
    <t>-19.01%</t>
  </si>
  <si>
    <t>-18.32%</t>
  </si>
  <si>
    <t>VBL</t>
  </si>
  <si>
    <t>0.85%</t>
  </si>
  <si>
    <t>10.85%</t>
  </si>
  <si>
    <t>10.0%</t>
  </si>
  <si>
    <t>VEDL</t>
  </si>
  <si>
    <t>1.27%</t>
  </si>
  <si>
    <t>1.95%</t>
  </si>
  <si>
    <t>VMM</t>
  </si>
  <si>
    <t>12.11%</t>
  </si>
  <si>
    <t>VOLTAS</t>
  </si>
  <si>
    <t>3.8%</t>
  </si>
  <si>
    <t>2.18%</t>
  </si>
  <si>
    <t>WAAREEENER</t>
  </si>
  <si>
    <t>20.61%</t>
  </si>
  <si>
    <t>10.68%</t>
  </si>
  <si>
    <t>-9.93%</t>
  </si>
  <si>
    <t>WIPRO</t>
  </si>
  <si>
    <t>5.71%</t>
  </si>
  <si>
    <t>4.86%</t>
  </si>
  <si>
    <t>YESBANK</t>
  </si>
  <si>
    <t>-5.16%</t>
  </si>
  <si>
    <t>-5.68%</t>
  </si>
  <si>
    <t>ZYDUSLIFE</t>
  </si>
  <si>
    <t>-2.6%</t>
  </si>
  <si>
    <t>5.49%</t>
  </si>
  <si>
    <t>NIFTY 211 STOCKS - Q1 2026-27 COMBINED BEST FUTURES MASTER (EXPLICIT N/A FOR UNLISTED QUARTERS)</t>
  </si>
  <si>
    <t>Q1 2026-27</t>
  </si>
  <si>
    <t>2026-07-20</t>
  </si>
  <si>
    <t>2.38%</t>
  </si>
  <si>
    <t>2026-07-25</t>
  </si>
  <si>
    <t>-8.82%</t>
  </si>
  <si>
    <t>-10.25%</t>
  </si>
  <si>
    <t>2026-08-17</t>
  </si>
  <si>
    <t>2026-08-22</t>
  </si>
  <si>
    <t>2026-08-26</t>
  </si>
  <si>
    <t>-7.9%</t>
  </si>
  <si>
    <t>-12.81%</t>
  </si>
  <si>
    <t>2026-07-13</t>
  </si>
  <si>
    <t>2026-08-01</t>
  </si>
  <si>
    <t>3.91%</t>
  </si>
  <si>
    <t>2024-11-07</t>
  </si>
  <si>
    <t>2024-11-11</t>
  </si>
  <si>
    <t>2024-11-08</t>
  </si>
  <si>
    <t>-3.63%</t>
  </si>
  <si>
    <t>-2.17%</t>
  </si>
  <si>
    <t>2024-11-13</t>
  </si>
  <si>
    <t>14.86%</t>
  </si>
  <si>
    <t>-0.4%</t>
  </si>
  <si>
    <t>13.77%</t>
  </si>
  <si>
    <t>5.57%</t>
  </si>
  <si>
    <t>2024-10-14</t>
  </si>
  <si>
    <t>2024-10-25</t>
  </si>
  <si>
    <t>-8.4%</t>
  </si>
  <si>
    <t>2024-11-04</t>
  </si>
  <si>
    <t>2024-11-09</t>
  </si>
  <si>
    <t>8.91%</t>
  </si>
  <si>
    <t>5.13%</t>
  </si>
  <si>
    <t>2019-01-25</t>
  </si>
  <si>
    <t>2019-02-07</t>
  </si>
  <si>
    <t>2019-02-01</t>
  </si>
  <si>
    <t>2024-10-22</t>
  </si>
  <si>
    <t>2024-10-31</t>
  </si>
  <si>
    <t>-1.21%</t>
  </si>
  <si>
    <t>-1.57%</t>
  </si>
  <si>
    <t>2024-10-18</t>
  </si>
  <si>
    <t>9.4%</t>
  </si>
  <si>
    <t>6.43%</t>
  </si>
  <si>
    <t>2024-11-06</t>
  </si>
  <si>
    <t>2024-11-18</t>
  </si>
  <si>
    <t>2.44%</t>
  </si>
  <si>
    <t>7.38%</t>
  </si>
  <si>
    <t>10.7%</t>
  </si>
  <si>
    <t>5.07%</t>
  </si>
  <si>
    <t>2024-11-05</t>
  </si>
  <si>
    <t>2024-11-14</t>
  </si>
  <si>
    <t>-3.94%</t>
  </si>
  <si>
    <t>-5.01%</t>
  </si>
  <si>
    <t>2024-11-01</t>
  </si>
  <si>
    <t>3.39%</t>
  </si>
  <si>
    <t>2024-10-21</t>
  </si>
  <si>
    <t>2024-10-30</t>
  </si>
  <si>
    <t>3.29%</t>
  </si>
  <si>
    <t>2024-11-19</t>
  </si>
  <si>
    <t>2024-11-12</t>
  </si>
  <si>
    <t>0.63%</t>
  </si>
  <si>
    <t>-2.43%</t>
  </si>
  <si>
    <t>3.77%</t>
  </si>
  <si>
    <t>-0.34%</t>
  </si>
  <si>
    <t>2024-10-29</t>
  </si>
  <si>
    <t>2.64%</t>
  </si>
  <si>
    <t>0.05%</t>
  </si>
  <si>
    <t>6.48%</t>
  </si>
  <si>
    <t>3.58%</t>
  </si>
  <si>
    <t>2024-10-15</t>
  </si>
  <si>
    <t>-10.71%</t>
  </si>
  <si>
    <t>-9.84%</t>
  </si>
  <si>
    <t>-5.11%</t>
  </si>
  <si>
    <t>-4.05%</t>
  </si>
  <si>
    <t>2024-07-25</t>
  </si>
  <si>
    <t>2024-07-29</t>
  </si>
  <si>
    <t>2024-07-27</t>
  </si>
  <si>
    <t>8.77%</t>
  </si>
  <si>
    <t>14.78%</t>
  </si>
  <si>
    <t>14.02%</t>
  </si>
  <si>
    <t>12.43%</t>
  </si>
  <si>
    <t>2024-10-23</t>
  </si>
  <si>
    <t>-8.28%</t>
  </si>
  <si>
    <t>-8.27%</t>
  </si>
  <si>
    <t>2024-10-17</t>
  </si>
  <si>
    <t>6.51%</t>
  </si>
  <si>
    <t>3.44%</t>
  </si>
  <si>
    <t>3.6%</t>
  </si>
  <si>
    <t>5.41%</t>
  </si>
  <si>
    <t>4.2%</t>
  </si>
  <si>
    <t>-4.85%</t>
  </si>
  <si>
    <t>-0.06%</t>
  </si>
  <si>
    <t>-4.73%</t>
  </si>
  <si>
    <t>9.52%</t>
  </si>
  <si>
    <t>-0.95%</t>
  </si>
  <si>
    <t>9.94%</t>
  </si>
  <si>
    <t>7.02%</t>
  </si>
  <si>
    <t>2024-10-09</t>
  </si>
  <si>
    <t>2024-10-12</t>
  </si>
  <si>
    <t>-1.36%</t>
  </si>
  <si>
    <t>6.35%</t>
  </si>
  <si>
    <t>4.37%</t>
  </si>
  <si>
    <t>0.59%</t>
  </si>
  <si>
    <t>7.15%</t>
  </si>
  <si>
    <t>4.69%</t>
  </si>
  <si>
    <t>-6.27%</t>
  </si>
  <si>
    <t>-10.63%</t>
  </si>
  <si>
    <t>2024-11-22</t>
  </si>
  <si>
    <t>2024-11-15</t>
  </si>
  <si>
    <t>-15.35%</t>
  </si>
  <si>
    <t>-18.53%</t>
  </si>
  <si>
    <t>-4.16%</t>
  </si>
  <si>
    <t>-6.81%</t>
  </si>
  <si>
    <t>7.73%</t>
  </si>
  <si>
    <t>-4.76%</t>
  </si>
  <si>
    <t>-6.57%</t>
  </si>
  <si>
    <t>-9.82%</t>
  </si>
  <si>
    <t>9.73%</t>
  </si>
  <si>
    <t>5.18%</t>
  </si>
  <si>
    <t>2024-10-10</t>
  </si>
  <si>
    <t>-10.48%</t>
  </si>
  <si>
    <t>-8.19%</t>
  </si>
  <si>
    <t>2024-10-16</t>
  </si>
  <si>
    <t>-3.04%</t>
  </si>
  <si>
    <t>-3.75%</t>
  </si>
  <si>
    <t>2024-10-11</t>
  </si>
  <si>
    <t>5.89%</t>
  </si>
  <si>
    <t>-4.88%</t>
  </si>
  <si>
    <t>-6.59%</t>
  </si>
  <si>
    <t>3.09%</t>
  </si>
  <si>
    <t>-8.03%</t>
  </si>
  <si>
    <t>-10.05%</t>
  </si>
  <si>
    <t>2026-04-02</t>
  </si>
  <si>
    <t>2026-04-22</t>
  </si>
  <si>
    <t>2026-04-15</t>
  </si>
  <si>
    <t>-5.83%</t>
  </si>
  <si>
    <t>-5.34%</t>
  </si>
  <si>
    <t>2026-06-25</t>
  </si>
  <si>
    <t>15.42%</t>
  </si>
  <si>
    <t>11.52%</t>
  </si>
  <si>
    <t>2024-11-21</t>
  </si>
  <si>
    <t>7.05%</t>
  </si>
  <si>
    <t>-2.94%</t>
  </si>
  <si>
    <t>7.14%</t>
  </si>
  <si>
    <t>4.18%</t>
  </si>
  <si>
    <t>16.85%</t>
  </si>
  <si>
    <t>-14.56%</t>
  </si>
  <si>
    <t>-14.0%</t>
  </si>
  <si>
    <t>8.92%</t>
  </si>
  <si>
    <t>6.66%</t>
  </si>
  <si>
    <t>9.45%</t>
  </si>
  <si>
    <t>20.95%</t>
  </si>
  <si>
    <t>0.58%</t>
  </si>
  <si>
    <t>2024-07-03</t>
  </si>
  <si>
    <t>2024-07-22</t>
  </si>
  <si>
    <t>2024-07-15</t>
  </si>
  <si>
    <t>0.12%</t>
  </si>
  <si>
    <t>1.13%</t>
  </si>
  <si>
    <t>-3.03%</t>
  </si>
  <si>
    <t>7.06%</t>
  </si>
  <si>
    <t>4.56%</t>
  </si>
  <si>
    <t>5.16%</t>
  </si>
  <si>
    <t>-1.78%</t>
  </si>
  <si>
    <t>-7.87%</t>
  </si>
  <si>
    <t>6.6%</t>
  </si>
  <si>
    <t>2024-10-04</t>
  </si>
  <si>
    <t>-12.66%</t>
  </si>
  <si>
    <t>-15.16%</t>
  </si>
  <si>
    <t>-5.79%</t>
  </si>
  <si>
    <t>-5.89%</t>
  </si>
  <si>
    <t>-19.9%</t>
  </si>
  <si>
    <t>-18.75%</t>
  </si>
  <si>
    <t>-0.84%</t>
  </si>
  <si>
    <t>6.21%</t>
  </si>
  <si>
    <t>2026-05-15</t>
  </si>
  <si>
    <t>2026-05-28</t>
  </si>
  <si>
    <t>2026-05-21</t>
  </si>
  <si>
    <t>8.71%</t>
  </si>
  <si>
    <t>4.46%</t>
  </si>
  <si>
    <t>6.67%</t>
  </si>
  <si>
    <t>4.1%</t>
  </si>
  <si>
    <t>-4.54%</t>
  </si>
  <si>
    <t>-8.33%</t>
  </si>
  <si>
    <t>-4.52%</t>
  </si>
  <si>
    <t>-8.9%</t>
  </si>
  <si>
    <t>-4.61%</t>
  </si>
  <si>
    <t>-7.71%</t>
  </si>
  <si>
    <t>-3.36%</t>
  </si>
  <si>
    <t>6.2%</t>
  </si>
  <si>
    <t>-0.42%</t>
  </si>
  <si>
    <t>-5.41%</t>
  </si>
  <si>
    <t>-6.29%</t>
  </si>
  <si>
    <t>-4.81%</t>
  </si>
  <si>
    <t>9.95%</t>
  </si>
  <si>
    <t>3.57%</t>
  </si>
  <si>
    <t>7.54%</t>
  </si>
  <si>
    <t>4.63%</t>
  </si>
  <si>
    <t>2024-10-08</t>
  </si>
  <si>
    <t>-2.41%</t>
  </si>
  <si>
    <t>-3.27%</t>
  </si>
  <si>
    <t>2026-05-12</t>
  </si>
  <si>
    <t>2026-05-14</t>
  </si>
  <si>
    <t>7.96%</t>
  </si>
  <si>
    <t>3.71%</t>
  </si>
  <si>
    <t>5.91%</t>
  </si>
  <si>
    <t>-4.25%</t>
  </si>
  <si>
    <t>-3.4%</t>
  </si>
  <si>
    <t>6.49%</t>
  </si>
  <si>
    <t>3.63%</t>
  </si>
  <si>
    <t>3.43%</t>
  </si>
  <si>
    <t>5.19%</t>
  </si>
  <si>
    <t>8.51%</t>
  </si>
  <si>
    <t>10.9%</t>
  </si>
  <si>
    <t>-11.13%</t>
  </si>
  <si>
    <t>3.47%</t>
  </si>
  <si>
    <t>-1.56%</t>
  </si>
  <si>
    <t>5.01%</t>
  </si>
  <si>
    <t>-6.42%</t>
  </si>
  <si>
    <t>0.81%</t>
  </si>
  <si>
    <t>-7.62%</t>
  </si>
  <si>
    <t>0.83%</t>
  </si>
  <si>
    <t>-3.68%</t>
  </si>
  <si>
    <t>-3.02%</t>
  </si>
  <si>
    <t>-1.44%</t>
  </si>
  <si>
    <t>4.85%</t>
  </si>
  <si>
    <t>4.83%</t>
  </si>
  <si>
    <t>7.0%</t>
  </si>
  <si>
    <t>-3.9%</t>
  </si>
  <si>
    <t>-4.92%</t>
  </si>
  <si>
    <t>15.61%</t>
  </si>
  <si>
    <t>9.97%</t>
  </si>
  <si>
    <t>2024-10-19</t>
  </si>
  <si>
    <t>-0.23%</t>
  </si>
  <si>
    <t>2026-06-30</t>
  </si>
  <si>
    <t>2026-06-28</t>
  </si>
  <si>
    <t>-3.62%</t>
  </si>
  <si>
    <t>-5.73%</t>
  </si>
  <si>
    <t>11.61%</t>
  </si>
  <si>
    <t>2024-11-26</t>
  </si>
  <si>
    <t>2024-11-25</t>
  </si>
  <si>
    <t>-2.31%</t>
  </si>
  <si>
    <t>3.75%</t>
  </si>
  <si>
    <t>-3.7%</t>
  </si>
  <si>
    <t>-4.69%</t>
  </si>
  <si>
    <t>-3.86%</t>
  </si>
  <si>
    <t>-6.92%</t>
  </si>
  <si>
    <t>9.37%</t>
  </si>
  <si>
    <t>7.25%</t>
  </si>
  <si>
    <t>2024-11-27</t>
  </si>
  <si>
    <t>0.19%</t>
  </si>
  <si>
    <t>-2.2%</t>
  </si>
  <si>
    <t>-3.57%</t>
  </si>
  <si>
    <t>0.23%</t>
  </si>
  <si>
    <t>12.09%</t>
  </si>
  <si>
    <t>8.78%</t>
  </si>
  <si>
    <t>-6.67%</t>
  </si>
  <si>
    <t>-13.32%</t>
  </si>
  <si>
    <t>9.38%</t>
  </si>
  <si>
    <t>12.29%</t>
  </si>
  <si>
    <t>2024-12-02</t>
  </si>
  <si>
    <t>2024-12-05</t>
  </si>
  <si>
    <t>2024-12-04</t>
  </si>
  <si>
    <t>5.15%</t>
  </si>
  <si>
    <t>-2.35%</t>
  </si>
  <si>
    <t>2024-10-01</t>
  </si>
  <si>
    <t>N/A</t>
  </si>
  <si>
    <t>0.82%</t>
  </si>
  <si>
    <t>-1.5%</t>
  </si>
  <si>
    <t>8.33%</t>
  </si>
  <si>
    <t>2.51%</t>
  </si>
  <si>
    <t>10.97%</t>
  </si>
  <si>
    <t>10.13%</t>
  </si>
  <si>
    <t>2011-11-11</t>
  </si>
  <si>
    <t>2011-11-21</t>
  </si>
  <si>
    <t>2011-11-14</t>
  </si>
  <si>
    <t>-5.35%</t>
  </si>
  <si>
    <t>7.35%</t>
  </si>
  <si>
    <t>-0.97%</t>
  </si>
  <si>
    <t>5.03%</t>
  </si>
  <si>
    <t>6.36%</t>
  </si>
  <si>
    <t>1.37%</t>
  </si>
  <si>
    <t>7.88%</t>
  </si>
  <si>
    <t>8.57%</t>
  </si>
  <si>
    <t>-6.86%</t>
  </si>
  <si>
    <t>-8.57%</t>
  </si>
  <si>
    <t>30.54%</t>
  </si>
  <si>
    <t>9.93%</t>
  </si>
  <si>
    <t>7.37%</t>
  </si>
  <si>
    <t>NIFTY 211 STOCKS - Q4 2025-26 COMBINED BEST FUTURES MASTER (EXPLICIT N/A FOR UNLISTED QUARTERS)</t>
  </si>
  <si>
    <t>Q4 2025-26</t>
  </si>
  <si>
    <t>-0.78%</t>
  </si>
  <si>
    <t>-2.85%</t>
  </si>
  <si>
    <t>2026-07-08</t>
  </si>
  <si>
    <t>-4.23%</t>
  </si>
  <si>
    <t>-4.84%</t>
  </si>
  <si>
    <t>2026-06-17</t>
  </si>
  <si>
    <t>2026-07-02</t>
  </si>
  <si>
    <t>2026-06-26</t>
  </si>
  <si>
    <t>2.6%</t>
  </si>
  <si>
    <t>-0.67%</t>
  </si>
  <si>
    <t>-1.29%</t>
  </si>
  <si>
    <t>-2.01%</t>
  </si>
  <si>
    <t>2026-06-23</t>
  </si>
  <si>
    <t>2026-06-29</t>
  </si>
  <si>
    <t>-4.02%</t>
  </si>
  <si>
    <t>3.19%</t>
  </si>
  <si>
    <t>-1.72%</t>
  </si>
  <si>
    <t>-3.05%</t>
  </si>
  <si>
    <t>2026-06-24</t>
  </si>
  <si>
    <t>2026-06-27</t>
  </si>
  <si>
    <t>-7.6%</t>
  </si>
  <si>
    <t>-10.23%</t>
  </si>
  <si>
    <t>5.97%</t>
  </si>
  <si>
    <t>1.49%</t>
  </si>
  <si>
    <t>2024-07-24</t>
  </si>
  <si>
    <t>2024-07-26</t>
  </si>
  <si>
    <t>15.11%</t>
  </si>
  <si>
    <t>15.27%</t>
  </si>
  <si>
    <t>-15.43%</t>
  </si>
  <si>
    <t>-13.97%</t>
  </si>
  <si>
    <t>2024-08-14</t>
  </si>
  <si>
    <t>2024-08-08</t>
  </si>
  <si>
    <t>-9.64%</t>
  </si>
  <si>
    <t>2.55%</t>
  </si>
  <si>
    <t>2024-08-05</t>
  </si>
  <si>
    <t>2024-08-12</t>
  </si>
  <si>
    <t>2024-08-10</t>
  </si>
  <si>
    <t>-14.94%</t>
  </si>
  <si>
    <t>-16.59%</t>
  </si>
  <si>
    <t>-1.2%</t>
  </si>
  <si>
    <t>-3.22%</t>
  </si>
  <si>
    <t>-7.0%</t>
  </si>
  <si>
    <t>2019-01-21</t>
  </si>
  <si>
    <t>2019-01-28</t>
  </si>
  <si>
    <t>3.56%</t>
  </si>
  <si>
    <t>9.3%</t>
  </si>
  <si>
    <t>8.26%</t>
  </si>
  <si>
    <t>2024-07-23</t>
  </si>
  <si>
    <t>2024-08-01</t>
  </si>
  <si>
    <t>2024-08-06</t>
  </si>
  <si>
    <t>2024-07-31</t>
  </si>
  <si>
    <t>2.15%</t>
  </si>
  <si>
    <t>2024-07-30</t>
  </si>
  <si>
    <t>2024-08-03</t>
  </si>
  <si>
    <t>10.82%</t>
  </si>
  <si>
    <t>15.76%</t>
  </si>
  <si>
    <t>1.91%</t>
  </si>
  <si>
    <t>6.15%</t>
  </si>
  <si>
    <t>2024-08-09</t>
  </si>
  <si>
    <t>-6.46%</t>
  </si>
  <si>
    <t>7.7%</t>
  </si>
  <si>
    <t>6.63%</t>
  </si>
  <si>
    <t>3.84%</t>
  </si>
  <si>
    <t>2024-08-07</t>
  </si>
  <si>
    <t>9.07%</t>
  </si>
  <si>
    <t>9.46%</t>
  </si>
  <si>
    <t>10.4%</t>
  </si>
  <si>
    <t>-2.83%</t>
  </si>
  <si>
    <t>6.54%</t>
  </si>
  <si>
    <t>3.48%</t>
  </si>
  <si>
    <t>11.98%</t>
  </si>
  <si>
    <t>7.87%</t>
  </si>
  <si>
    <t>2024-08-02</t>
  </si>
  <si>
    <t>-2.37%</t>
  </si>
  <si>
    <t>7.29%</t>
  </si>
  <si>
    <t>8.16%</t>
  </si>
  <si>
    <t>2024-07-18</t>
  </si>
  <si>
    <t>-10.1%</t>
  </si>
  <si>
    <t>2024-04-29</t>
  </si>
  <si>
    <t>2024-05-02</t>
  </si>
  <si>
    <t>2024-05-01</t>
  </si>
  <si>
    <t>-7.54%</t>
  </si>
  <si>
    <t>-10.68%</t>
  </si>
  <si>
    <t>-11.64%</t>
  </si>
  <si>
    <t>14.39%</t>
  </si>
  <si>
    <t>2.31%</t>
  </si>
  <si>
    <t>7.26%</t>
  </si>
  <si>
    <t>-0.24%</t>
  </si>
  <si>
    <t>-3.31%</t>
  </si>
  <si>
    <t>-0.88%</t>
  </si>
  <si>
    <t>0.93%</t>
  </si>
  <si>
    <t>2.88%</t>
  </si>
  <si>
    <t>2024-08-13</t>
  </si>
  <si>
    <t>-2.08%</t>
  </si>
  <si>
    <t>-0.52%</t>
  </si>
  <si>
    <t>-3.29%</t>
  </si>
  <si>
    <t>-7.45%</t>
  </si>
  <si>
    <t>-10.83%</t>
  </si>
  <si>
    <t>2024-07-19</t>
  </si>
  <si>
    <t>0.26%</t>
  </si>
  <si>
    <t>-6.11%</t>
  </si>
  <si>
    <t>2024-07-10</t>
  </si>
  <si>
    <t>2024-07-13</t>
  </si>
  <si>
    <t>1.84%</t>
  </si>
  <si>
    <t>1.11%</t>
  </si>
  <si>
    <t>0.91%</t>
  </si>
  <si>
    <t>-1.39%</t>
  </si>
  <si>
    <t>16.97%</t>
  </si>
  <si>
    <t>11.14%</t>
  </si>
  <si>
    <t>6.89%</t>
  </si>
  <si>
    <t>-0.55%</t>
  </si>
  <si>
    <t>-1.1%</t>
  </si>
  <si>
    <t>-3.5%</t>
  </si>
  <si>
    <t>11.86%</t>
  </si>
  <si>
    <t>2024-08-21</t>
  </si>
  <si>
    <t>1.8%</t>
  </si>
  <si>
    <t>5.86%</t>
  </si>
  <si>
    <t>-2.11%</t>
  </si>
  <si>
    <t>6.9%</t>
  </si>
  <si>
    <t>1.64%</t>
  </si>
  <si>
    <t>-1.61%</t>
  </si>
  <si>
    <t>4.66%</t>
  </si>
  <si>
    <t>2024-07-09</t>
  </si>
  <si>
    <t>2024-07-16</t>
  </si>
  <si>
    <t>4.87%</t>
  </si>
  <si>
    <t>2024-10-20</t>
  </si>
  <si>
    <t>2024-07-11</t>
  </si>
  <si>
    <t>0.77%</t>
  </si>
  <si>
    <t>3.46%</t>
  </si>
  <si>
    <t>-3.37%</t>
  </si>
  <si>
    <t>-4.72%</t>
  </si>
  <si>
    <t>8.14%</t>
  </si>
  <si>
    <t>8.25%</t>
  </si>
  <si>
    <t>1.45%</t>
  </si>
  <si>
    <t>-7.16%</t>
  </si>
  <si>
    <t>2026-04-01</t>
  </si>
  <si>
    <t>2026-04-21</t>
  </si>
  <si>
    <t>2026-04-14</t>
  </si>
  <si>
    <t>-7.74%</t>
  </si>
  <si>
    <t>2024-08-19</t>
  </si>
  <si>
    <t>5.37%</t>
  </si>
  <si>
    <t>-1.68%</t>
  </si>
  <si>
    <t>-17.16%</t>
  </si>
  <si>
    <t>-18.06%</t>
  </si>
  <si>
    <t>3.62%</t>
  </si>
  <si>
    <t>1.36%</t>
  </si>
  <si>
    <t>4.26%</t>
  </si>
  <si>
    <t>3.42%</t>
  </si>
  <si>
    <t>-3.06%</t>
  </si>
  <si>
    <t>-2.88%</t>
  </si>
  <si>
    <t>-5.0%</t>
  </si>
  <si>
    <t>-5.21%</t>
  </si>
  <si>
    <t>-25.58%</t>
  </si>
  <si>
    <t>2024-04-05</t>
  </si>
  <si>
    <t>2024-04-25</t>
  </si>
  <si>
    <t>2024-04-19</t>
  </si>
  <si>
    <t>0.45%</t>
  </si>
  <si>
    <t>-3.71%</t>
  </si>
  <si>
    <t>-4.59%</t>
  </si>
  <si>
    <t>2024-08-16</t>
  </si>
  <si>
    <t>4.92%</t>
  </si>
  <si>
    <t>8.08%</t>
  </si>
  <si>
    <t>1.99%</t>
  </si>
  <si>
    <t>5.22%</t>
  </si>
  <si>
    <t>1.48%</t>
  </si>
  <si>
    <t>5.5%</t>
  </si>
  <si>
    <t>3.0%</t>
  </si>
  <si>
    <t>6.03%</t>
  </si>
  <si>
    <t>-5.07%</t>
  </si>
  <si>
    <t>-3.92%</t>
  </si>
  <si>
    <t>-1.96%</t>
  </si>
  <si>
    <t>-4.77%</t>
  </si>
  <si>
    <t>-16.01%</t>
  </si>
  <si>
    <t>6.85%</t>
  </si>
  <si>
    <t>5.9%</t>
  </si>
  <si>
    <t>2026-01-30</t>
  </si>
  <si>
    <t>2026-02-12</t>
  </si>
  <si>
    <t>2026-02-05</t>
  </si>
  <si>
    <t>-1.7%</t>
  </si>
  <si>
    <t>-1.32%</t>
  </si>
  <si>
    <t>-1.88%</t>
  </si>
  <si>
    <t>0.69%</t>
  </si>
  <si>
    <t>-0.77%</t>
  </si>
  <si>
    <t>-6.41%</t>
  </si>
  <si>
    <t>2024-07-17</t>
  </si>
  <si>
    <t>10.78%</t>
  </si>
  <si>
    <t>6.99%</t>
  </si>
  <si>
    <t>-0.65%</t>
  </si>
  <si>
    <t>2.76%</t>
  </si>
  <si>
    <t>-1.62%</t>
  </si>
  <si>
    <t>-2.16%</t>
  </si>
  <si>
    <t>-4.4%</t>
  </si>
  <si>
    <t>28.59%</t>
  </si>
  <si>
    <t>18.23%</t>
  </si>
  <si>
    <t>2013-08-30</t>
  </si>
  <si>
    <t>2013-09-12</t>
  </si>
  <si>
    <t>2013-09-10</t>
  </si>
  <si>
    <t>4.76%</t>
  </si>
  <si>
    <t>6.24%</t>
  </si>
  <si>
    <t>-5.22%</t>
  </si>
  <si>
    <t>-7.2%</t>
  </si>
  <si>
    <t>2024-08-20</t>
  </si>
  <si>
    <t>-1.12%</t>
  </si>
  <si>
    <t>-0.93%</t>
  </si>
  <si>
    <t>5.27%</t>
  </si>
  <si>
    <t>-0.25%</t>
  </si>
  <si>
    <t>2.94%</t>
  </si>
  <si>
    <t>-2.65%</t>
  </si>
  <si>
    <t>8.99%</t>
  </si>
  <si>
    <t>3.2%</t>
  </si>
  <si>
    <t>5.42%</t>
  </si>
  <si>
    <t>2.56%</t>
  </si>
  <si>
    <t>2.8%</t>
  </si>
  <si>
    <t>-9.39%</t>
  </si>
  <si>
    <t>16.8%</t>
  </si>
  <si>
    <t>5.74%</t>
  </si>
  <si>
    <t>-0.35%</t>
  </si>
  <si>
    <t>2024-07-12</t>
  </si>
  <si>
    <t>2024-07-08</t>
  </si>
  <si>
    <t>-3.32%</t>
  </si>
  <si>
    <t>-2.84%</t>
  </si>
  <si>
    <t>10.45%</t>
  </si>
  <si>
    <t>11.76%</t>
  </si>
  <si>
    <t>23.59%</t>
  </si>
  <si>
    <t>13.39%</t>
  </si>
  <si>
    <t>9.87%</t>
  </si>
  <si>
    <t>10.91%</t>
  </si>
  <si>
    <t>1.82%</t>
  </si>
  <si>
    <t>1.06%</t>
  </si>
  <si>
    <t>2024-08-22</t>
  </si>
  <si>
    <t>2024-09-04</t>
  </si>
  <si>
    <t>2024-09-03</t>
  </si>
  <si>
    <t>3.93%</t>
  </si>
  <si>
    <t>0.4%</t>
  </si>
  <si>
    <t>3.49%</t>
  </si>
  <si>
    <t>10.99%</t>
  </si>
  <si>
    <t>7.21%</t>
  </si>
  <si>
    <t>2024-07-20</t>
  </si>
  <si>
    <t>-4.03%</t>
  </si>
  <si>
    <t>-5.55%</t>
  </si>
  <si>
    <t>2026-05-19</t>
  </si>
  <si>
    <t>2026-05-16</t>
  </si>
  <si>
    <t>0.21%</t>
  </si>
  <si>
    <t>-1.02%</t>
  </si>
  <si>
    <t>14.54%</t>
  </si>
  <si>
    <t>-4.26%</t>
  </si>
  <si>
    <t>2024-04-15</t>
  </si>
  <si>
    <t>2024-04-26</t>
  </si>
  <si>
    <t>5.31%</t>
  </si>
  <si>
    <t>-1.86%</t>
  </si>
  <si>
    <t>-8.68%</t>
  </si>
  <si>
    <t>-11.74%</t>
  </si>
  <si>
    <t>-3.55%</t>
  </si>
  <si>
    <t>0.08%</t>
  </si>
  <si>
    <t>-4.35%</t>
  </si>
  <si>
    <t>-4.37%</t>
  </si>
  <si>
    <t>-5.31%</t>
  </si>
  <si>
    <t>-5.87%</t>
  </si>
  <si>
    <t>6.91%</t>
  </si>
  <si>
    <t>12.75%</t>
  </si>
  <si>
    <t>10.65%</t>
  </si>
  <si>
    <t>10.8%</t>
  </si>
  <si>
    <t>0.33%</t>
  </si>
  <si>
    <t>-7.17%</t>
  </si>
  <si>
    <t>2024-07-02</t>
  </si>
  <si>
    <t>5.84%</t>
  </si>
  <si>
    <t>3.52%</t>
  </si>
  <si>
    <t>6.83%</t>
  </si>
  <si>
    <t>7.49%</t>
  </si>
  <si>
    <t>2024-10-07</t>
  </si>
  <si>
    <t>-1.03%</t>
  </si>
  <si>
    <t>-2.19%</t>
  </si>
  <si>
    <t>-3.11%</t>
  </si>
  <si>
    <t>3.17%</t>
  </si>
  <si>
    <t>5.02%</t>
  </si>
  <si>
    <t>2010-11-08</t>
  </si>
  <si>
    <t>2010-11-16</t>
  </si>
  <si>
    <t>2010-11-09</t>
  </si>
  <si>
    <t>5.56%</t>
  </si>
  <si>
    <t>-7.08%</t>
  </si>
  <si>
    <t>-8.46%</t>
  </si>
  <si>
    <t>-2.0%</t>
  </si>
  <si>
    <t>2.84%</t>
  </si>
  <si>
    <t>1.86%</t>
  </si>
  <si>
    <t>-2.96%</t>
  </si>
  <si>
    <t>-9.43%</t>
  </si>
  <si>
    <t>-9.23%</t>
  </si>
  <si>
    <t>-6.05%</t>
  </si>
  <si>
    <t>1.66%</t>
  </si>
  <si>
    <t>3.67%</t>
  </si>
  <si>
    <t>-9.38%</t>
  </si>
  <si>
    <t>-11.0%</t>
  </si>
  <si>
    <t>2.67%</t>
  </si>
  <si>
    <t>4.13%</t>
  </si>
  <si>
    <t>3.61%</t>
  </si>
  <si>
    <t>NIFTY 211 STOCKS - Q3 2025-26 COMBINED BEST FUTURES MASTER (EXPLICIT N/A FOR UNLISTED QUARTERS)</t>
  </si>
  <si>
    <t>Q3 2025-26</t>
  </si>
  <si>
    <t>10.81%</t>
  </si>
  <si>
    <t>2026-05-18</t>
  </si>
  <si>
    <t>2026-06-02</t>
  </si>
  <si>
    <t>2026-05-26</t>
  </si>
  <si>
    <t>-3.07%</t>
  </si>
  <si>
    <t>2026-07-17</t>
  </si>
  <si>
    <t>-4.95%</t>
  </si>
  <si>
    <t>1.83%</t>
  </si>
  <si>
    <t>2026-04-28</t>
  </si>
  <si>
    <t>2026-05-04</t>
  </si>
  <si>
    <t>2026-04-30</t>
  </si>
  <si>
    <t>-4.12%</t>
  </si>
  <si>
    <t>2026-06-19</t>
  </si>
  <si>
    <t>-4.06%</t>
  </si>
  <si>
    <t>-8.97%</t>
  </si>
  <si>
    <t>2026-06-22</t>
  </si>
  <si>
    <t>2026-07-01</t>
  </si>
  <si>
    <t>4.04%</t>
  </si>
  <si>
    <t>3.04%</t>
  </si>
  <si>
    <t>2026-05-08</t>
  </si>
  <si>
    <t>2026-05-06</t>
  </si>
  <si>
    <t>2.28%</t>
  </si>
  <si>
    <t>2024-05-23</t>
  </si>
  <si>
    <t>2024-05-27</t>
  </si>
  <si>
    <t>2024-05-25</t>
  </si>
  <si>
    <t>3.89%</t>
  </si>
  <si>
    <t>2024-05-07</t>
  </si>
  <si>
    <t>2024-05-24</t>
  </si>
  <si>
    <t>2024-05-17</t>
  </si>
  <si>
    <t>2026-06-12</t>
  </si>
  <si>
    <t>2024-04-12</t>
  </si>
  <si>
    <t>2.69%</t>
  </si>
  <si>
    <t>9.03%</t>
  </si>
  <si>
    <t>5.25%</t>
  </si>
  <si>
    <t>2018-10-17</t>
  </si>
  <si>
    <t>2018-10-31</t>
  </si>
  <si>
    <t>2018-10-25</t>
  </si>
  <si>
    <t>-1.19%</t>
  </si>
  <si>
    <t>2024-05-14</t>
  </si>
  <si>
    <t>2024-05-18</t>
  </si>
  <si>
    <t>2024-05-03</t>
  </si>
  <si>
    <t>2024-05-16</t>
  </si>
  <si>
    <t>2024-05-10</t>
  </si>
  <si>
    <t>13.66%</t>
  </si>
  <si>
    <t>9.09%</t>
  </si>
  <si>
    <t>14.03%</t>
  </si>
  <si>
    <t>-7.85%</t>
  </si>
  <si>
    <t>-13.48%</t>
  </si>
  <si>
    <t>2024-05-09</t>
  </si>
  <si>
    <t>2024-05-08</t>
  </si>
  <si>
    <t>-4.64%</t>
  </si>
  <si>
    <t>2024-05-21</t>
  </si>
  <si>
    <t>-3.66%</t>
  </si>
  <si>
    <t>-6.58%</t>
  </si>
  <si>
    <t>-1.79%</t>
  </si>
  <si>
    <t>2024-05-13</t>
  </si>
  <si>
    <t>2024-05-30</t>
  </si>
  <si>
    <t>-15.58%</t>
  </si>
  <si>
    <t>-18.64%</t>
  </si>
  <si>
    <t>-0.86%</t>
  </si>
  <si>
    <t>-4.97%</t>
  </si>
  <si>
    <t>8.27%</t>
  </si>
  <si>
    <t>-9.57%</t>
  </si>
  <si>
    <t>2024-04-22</t>
  </si>
  <si>
    <t>2024-05-06</t>
  </si>
  <si>
    <t>2024-05-04</t>
  </si>
  <si>
    <t>1.2%</t>
  </si>
  <si>
    <t>2024-01-24</t>
  </si>
  <si>
    <t>2024-01-29</t>
  </si>
  <si>
    <t>2024-01-25</t>
  </si>
  <si>
    <t>-46.49%</t>
  </si>
  <si>
    <t>-40.48%</t>
  </si>
  <si>
    <t>-13.59%</t>
  </si>
  <si>
    <t>-15.18%</t>
  </si>
  <si>
    <t>2024-04-30</t>
  </si>
  <si>
    <t>-5.28%</t>
  </si>
  <si>
    <t>-5.27%</t>
  </si>
  <si>
    <t>6.5%</t>
  </si>
  <si>
    <t>-18.79%</t>
  </si>
  <si>
    <t>-16.98%</t>
  </si>
  <si>
    <t>8.34%</t>
  </si>
  <si>
    <t>7.55%</t>
  </si>
  <si>
    <t>2024-06-05</t>
  </si>
  <si>
    <t>4.81%</t>
  </si>
  <si>
    <t>13.2%</t>
  </si>
  <si>
    <t>8.31%</t>
  </si>
  <si>
    <t>2024-05-15</t>
  </si>
  <si>
    <t>8.24%</t>
  </si>
  <si>
    <t>0.07%</t>
  </si>
  <si>
    <t>-6.03%</t>
  </si>
  <si>
    <t>2026-04-29</t>
  </si>
  <si>
    <t>4.34%</t>
  </si>
  <si>
    <t>2024-05-29</t>
  </si>
  <si>
    <t>-2.63%</t>
  </si>
  <si>
    <t>-5.09%</t>
  </si>
  <si>
    <t>12.74%</t>
  </si>
  <si>
    <t>2024-05-22</t>
  </si>
  <si>
    <t>6.57%</t>
  </si>
  <si>
    <t>2024-05-28</t>
  </si>
  <si>
    <t>-7.43%</t>
  </si>
  <si>
    <t>-10.61%</t>
  </si>
  <si>
    <t>7.32%</t>
  </si>
  <si>
    <t>-12.1%</t>
  </si>
  <si>
    <t>-9.78%</t>
  </si>
  <si>
    <t>2024-04-23</t>
  </si>
  <si>
    <t>10.58%</t>
  </si>
  <si>
    <t>4.47%</t>
  </si>
  <si>
    <t>27.81%</t>
  </si>
  <si>
    <t>24.56%</t>
  </si>
  <si>
    <t>-8.08%</t>
  </si>
  <si>
    <t>-12.63%</t>
  </si>
  <si>
    <t>0.89%</t>
  </si>
  <si>
    <t>2024-04-24</t>
  </si>
  <si>
    <t>2024-04-18</t>
  </si>
  <si>
    <t>-2.75%</t>
  </si>
  <si>
    <t>2026-01-02</t>
  </si>
  <si>
    <t>2026-01-21</t>
  </si>
  <si>
    <t>2026-01-13</t>
  </si>
  <si>
    <t>2026-01-27</t>
  </si>
  <si>
    <t>-11.07%</t>
  </si>
  <si>
    <t>-14.97%</t>
  </si>
  <si>
    <t>2024-04-16</t>
  </si>
  <si>
    <t>2024-04-27</t>
  </si>
  <si>
    <t>-6.36%</t>
  </si>
  <si>
    <t>-6.19%</t>
  </si>
  <si>
    <t>-12.5%</t>
  </si>
  <si>
    <t>4.27%</t>
  </si>
  <si>
    <t>13.58%</t>
  </si>
  <si>
    <t>8.23%</t>
  </si>
  <si>
    <t>4.82%</t>
  </si>
  <si>
    <t>72.56%</t>
  </si>
  <si>
    <t>52.19%</t>
  </si>
  <si>
    <t>2024-01-09</t>
  </si>
  <si>
    <t>2024-01-20</t>
  </si>
  <si>
    <t>2024-05-20</t>
  </si>
  <si>
    <t>7.84%</t>
  </si>
  <si>
    <t>5.06%</t>
  </si>
  <si>
    <t>-2.99%</t>
  </si>
  <si>
    <t>-2.39%</t>
  </si>
  <si>
    <t>35.56%</t>
  </si>
  <si>
    <t>29.47%</t>
  </si>
  <si>
    <t>21.24%</t>
  </si>
  <si>
    <t>18.74%</t>
  </si>
  <si>
    <t>9.53%</t>
  </si>
  <si>
    <t>-2.45%</t>
  </si>
  <si>
    <t>-5.26%</t>
  </si>
  <si>
    <t>4.88%</t>
  </si>
  <si>
    <t>5.46%</t>
  </si>
  <si>
    <t>-0.72%</t>
  </si>
  <si>
    <t>2025-10-30</t>
  </si>
  <si>
    <t>2025-11-13</t>
  </si>
  <si>
    <t>2025-11-06</t>
  </si>
  <si>
    <t>6.53%</t>
  </si>
  <si>
    <t>-0.63%</t>
  </si>
  <si>
    <t>-2.09%</t>
  </si>
  <si>
    <t>-2.21%</t>
  </si>
  <si>
    <t>2.29%</t>
  </si>
  <si>
    <t>3.05%</t>
  </si>
  <si>
    <t>2.48%</t>
  </si>
  <si>
    <t>2019-02-08</t>
  </si>
  <si>
    <t>2019-02-14</t>
  </si>
  <si>
    <t>2019-02-12</t>
  </si>
  <si>
    <t>13.38%</t>
  </si>
  <si>
    <t>11.99%</t>
  </si>
  <si>
    <t>-5.81%</t>
  </si>
  <si>
    <t>14.28%</t>
  </si>
  <si>
    <t>9.29%</t>
  </si>
  <si>
    <t>2024-06-04</t>
  </si>
  <si>
    <t>-7.73%</t>
  </si>
  <si>
    <t>2013-04-30</t>
  </si>
  <si>
    <t>2013-05-13</t>
  </si>
  <si>
    <t>2013-05-09</t>
  </si>
  <si>
    <t>3.36%</t>
  </si>
  <si>
    <t>-3.49%</t>
  </si>
  <si>
    <t>-3.88%</t>
  </si>
  <si>
    <t>-0.7%</t>
  </si>
  <si>
    <t>-3.61%</t>
  </si>
  <si>
    <t>13.19%</t>
  </si>
  <si>
    <t>12.33%</t>
  </si>
  <si>
    <t>2026-04-07</t>
  </si>
  <si>
    <t>-3.34%</t>
  </si>
  <si>
    <t>3.23%</t>
  </si>
  <si>
    <t>-9.28%</t>
  </si>
  <si>
    <t>-12.06%</t>
  </si>
  <si>
    <t>-5.51%</t>
  </si>
  <si>
    <t>-4.66%</t>
  </si>
  <si>
    <t>-2.47%</t>
  </si>
  <si>
    <t>-5.33%</t>
  </si>
  <si>
    <t>18.47%</t>
  </si>
  <si>
    <t>20.23%</t>
  </si>
  <si>
    <t>8.79%</t>
  </si>
  <si>
    <t>13.34%</t>
  </si>
  <si>
    <t>2024-04-10</t>
  </si>
  <si>
    <t>3.69%</t>
  </si>
  <si>
    <t>-1.8%</t>
  </si>
  <si>
    <t>-1.71%</t>
  </si>
  <si>
    <t>4.74%</t>
  </si>
  <si>
    <t>3.3%</t>
  </si>
  <si>
    <t>1.85%</t>
  </si>
  <si>
    <t>-14.14%</t>
  </si>
  <si>
    <t>-16.19%</t>
  </si>
  <si>
    <t>2024-04-09</t>
  </si>
  <si>
    <t>2024-04-21</t>
  </si>
  <si>
    <t>2024-01-30</t>
  </si>
  <si>
    <t>2024-02-15</t>
  </si>
  <si>
    <t>2024-02-09</t>
  </si>
  <si>
    <t>23.08%</t>
  </si>
  <si>
    <t>12.88%</t>
  </si>
  <si>
    <t>-3.91%</t>
  </si>
  <si>
    <t>-3.18%</t>
  </si>
  <si>
    <t>-5.02%</t>
  </si>
  <si>
    <t>2.25%</t>
  </si>
  <si>
    <t>-6.02%</t>
  </si>
  <si>
    <t>-10.73%</t>
  </si>
  <si>
    <t>5.72%</t>
  </si>
  <si>
    <t>1.94%</t>
  </si>
  <si>
    <t>8.29%</t>
  </si>
  <si>
    <t>7.27%</t>
  </si>
  <si>
    <t>-5.64%</t>
  </si>
  <si>
    <t>-6.28%</t>
  </si>
  <si>
    <t>2026-04-27</t>
  </si>
  <si>
    <t>-28.07%</t>
  </si>
  <si>
    <t>-30.18%</t>
  </si>
  <si>
    <t>2024-01-15</t>
  </si>
  <si>
    <t>-1.53%</t>
  </si>
  <si>
    <t>0.94%</t>
  </si>
  <si>
    <t>7.16%</t>
  </si>
  <si>
    <t>5.04%</t>
  </si>
  <si>
    <t>12.85%</t>
  </si>
  <si>
    <t>7.64%</t>
  </si>
  <si>
    <t>16.58%</t>
  </si>
  <si>
    <t>16.56%</t>
  </si>
  <si>
    <t>-21.0%</t>
  </si>
  <si>
    <t>-24.31%</t>
  </si>
  <si>
    <t>12.94%</t>
  </si>
  <si>
    <t>6.29%</t>
  </si>
  <si>
    <t>9.05%</t>
  </si>
  <si>
    <t>-2.36%</t>
  </si>
  <si>
    <t>1.15%</t>
  </si>
  <si>
    <t>11.57%</t>
  </si>
  <si>
    <t>-6.48%</t>
  </si>
  <si>
    <t>8.4%</t>
  </si>
  <si>
    <t>12.56%</t>
  </si>
  <si>
    <t>10.94%</t>
  </si>
  <si>
    <t>-4.18%</t>
  </si>
  <si>
    <t>-4.7%</t>
  </si>
  <si>
    <t>NIFTY 211 STOCKS - Q2 2025-26 COMBINED BEST FUTURES MASTER (EXPLICIT N/A FOR UNLISTED QUARTERS)</t>
  </si>
  <si>
    <t>Q2 2025-26</t>
  </si>
  <si>
    <t>2026-06-09</t>
  </si>
  <si>
    <t>-12.35%</t>
  </si>
  <si>
    <t>2026-05-09</t>
  </si>
  <si>
    <t>5.48%</t>
  </si>
  <si>
    <t>2026-06-18</t>
  </si>
  <si>
    <t>-3.12%</t>
  </si>
  <si>
    <t>2026-07-03</t>
  </si>
  <si>
    <t>6.93%</t>
  </si>
  <si>
    <t>2026-04-24</t>
  </si>
  <si>
    <t>-0.59%</t>
  </si>
  <si>
    <t>2026-05-05</t>
  </si>
  <si>
    <t>2026-05-02</t>
  </si>
  <si>
    <t>-5.29%</t>
  </si>
  <si>
    <t>2024-02-05</t>
  </si>
  <si>
    <t>2024-02-07</t>
  </si>
  <si>
    <t>2024-02-06</t>
  </si>
  <si>
    <t>1.68%</t>
  </si>
  <si>
    <t>7.89%</t>
  </si>
  <si>
    <t>2024-01-17</t>
  </si>
  <si>
    <t>2024-01-31</t>
  </si>
  <si>
    <t>20.55%</t>
  </si>
  <si>
    <t>12.35%</t>
  </si>
  <si>
    <t>2024-01-12</t>
  </si>
  <si>
    <t>-0.26%</t>
  </si>
  <si>
    <t>2024-02-12</t>
  </si>
  <si>
    <t>2024-02-10</t>
  </si>
  <si>
    <t>-5.4%</t>
  </si>
  <si>
    <t>-6.73%</t>
  </si>
  <si>
    <t>-0.64%</t>
  </si>
  <si>
    <t>2018-07-27</t>
  </si>
  <si>
    <t>2018-08-09</t>
  </si>
  <si>
    <t>2018-08-03</t>
  </si>
  <si>
    <t>-12.54%</t>
  </si>
  <si>
    <t>-12.9%</t>
  </si>
  <si>
    <t>2024-01-23</t>
  </si>
  <si>
    <t>-5.13%</t>
  </si>
  <si>
    <t>2024-02-08</t>
  </si>
  <si>
    <t>2024-02-02</t>
  </si>
  <si>
    <t>-34.01%</t>
  </si>
  <si>
    <t>-29.07%</t>
  </si>
  <si>
    <t>2024-05-31</t>
  </si>
  <si>
    <t>6.87%</t>
  </si>
  <si>
    <t>11.15%</t>
  </si>
  <si>
    <t>2024-02-01</t>
  </si>
  <si>
    <t>2024-02-13</t>
  </si>
  <si>
    <t>1.21%</t>
  </si>
  <si>
    <t>-0.29%</t>
  </si>
  <si>
    <t>2.53%</t>
  </si>
  <si>
    <t>2024-02-19</t>
  </si>
  <si>
    <t>-8.93%</t>
  </si>
  <si>
    <t>2024-01-16</t>
  </si>
  <si>
    <t>-22.44%</t>
  </si>
  <si>
    <t>-22.05%</t>
  </si>
  <si>
    <t>-6.38%</t>
  </si>
  <si>
    <t>0.13%</t>
  </si>
  <si>
    <t>16.91%</t>
  </si>
  <si>
    <t>13.85%</t>
  </si>
  <si>
    <t>-4.27%</t>
  </si>
  <si>
    <t>2024-01-19</t>
  </si>
  <si>
    <t>2024-02-03</t>
  </si>
  <si>
    <t>2.13%</t>
  </si>
  <si>
    <t>2023-11-02</t>
  </si>
  <si>
    <t>2023-11-06</t>
  </si>
  <si>
    <t>2023-11-03</t>
  </si>
  <si>
    <t>-3.28%</t>
  </si>
  <si>
    <t>-7.42%</t>
  </si>
  <si>
    <t>-1.41%</t>
  </si>
  <si>
    <t>-2.66%</t>
  </si>
  <si>
    <t>2024-01-22</t>
  </si>
  <si>
    <t>0.15%</t>
  </si>
  <si>
    <t>2024-02-14</t>
  </si>
  <si>
    <t>-10.97%</t>
  </si>
  <si>
    <t>-11.76%</t>
  </si>
  <si>
    <t>4.14%</t>
  </si>
  <si>
    <t>-6.35%</t>
  </si>
  <si>
    <t>1.1%</t>
  </si>
  <si>
    <t>-0.54%</t>
  </si>
  <si>
    <t>2024-01-18</t>
  </si>
  <si>
    <t>0.64%</t>
  </si>
  <si>
    <t>-3.87%</t>
  </si>
  <si>
    <t>2024-01-10</t>
  </si>
  <si>
    <t>2024-01-13</t>
  </si>
  <si>
    <t>-4.11%</t>
  </si>
  <si>
    <t>2024-01-11</t>
  </si>
  <si>
    <t>0.76%</t>
  </si>
  <si>
    <t>0.2%</t>
  </si>
  <si>
    <t>-2.26%</t>
  </si>
  <si>
    <t>2024-02-20</t>
  </si>
  <si>
    <t>-15.23%</t>
  </si>
  <si>
    <t>16.17%</t>
  </si>
  <si>
    <t>12.99%</t>
  </si>
  <si>
    <t>10.98%</t>
  </si>
  <si>
    <t>0.11%</t>
  </si>
  <si>
    <t>20.91%</t>
  </si>
  <si>
    <t>14.8%</t>
  </si>
  <si>
    <t>4.07%</t>
  </si>
  <si>
    <t>2024-02-16</t>
  </si>
  <si>
    <t>9.5%</t>
  </si>
  <si>
    <t>4.95%</t>
  </si>
  <si>
    <t>3.99%</t>
  </si>
  <si>
    <t>3.65%</t>
  </si>
  <si>
    <t>-4.58%</t>
  </si>
  <si>
    <t>2024-01-05</t>
  </si>
  <si>
    <t>2024-07-21</t>
  </si>
  <si>
    <t>5.05%</t>
  </si>
  <si>
    <t>-1.67%</t>
  </si>
  <si>
    <t>-2.53%</t>
  </si>
  <si>
    <t>0.35%</t>
  </si>
  <si>
    <t>-5.96%</t>
  </si>
  <si>
    <t>-5.05%</t>
  </si>
  <si>
    <t>-7.07%</t>
  </si>
  <si>
    <t>2025-10-21</t>
  </si>
  <si>
    <t>2025-10-14</t>
  </si>
  <si>
    <t>4.4%</t>
  </si>
  <si>
    <t>2026-01-20</t>
  </si>
  <si>
    <t>6.95%</t>
  </si>
  <si>
    <t>6.47%</t>
  </si>
  <si>
    <t>12.47%</t>
  </si>
  <si>
    <t>6.16%</t>
  </si>
  <si>
    <t>-6.66%</t>
  </si>
  <si>
    <t>-10.41%</t>
  </si>
  <si>
    <t>-2.33%</t>
  </si>
  <si>
    <t>-4.45%</t>
  </si>
  <si>
    <t>6.19%</t>
  </si>
  <si>
    <t>4.09%</t>
  </si>
  <si>
    <t>5.77%</t>
  </si>
  <si>
    <t>-3.24%</t>
  </si>
  <si>
    <t>-7.4%</t>
  </si>
  <si>
    <t>-5.46%</t>
  </si>
  <si>
    <t>-7.13%</t>
  </si>
  <si>
    <t>-7.83%</t>
  </si>
  <si>
    <t>-9.07%</t>
  </si>
  <si>
    <t>-4.96%</t>
  </si>
  <si>
    <t>2.74%</t>
  </si>
  <si>
    <t>-1.0%</t>
  </si>
  <si>
    <t>5.59%</t>
  </si>
  <si>
    <t>7.99%</t>
  </si>
  <si>
    <t>-0.62%</t>
  </si>
  <si>
    <t>2025-08-01</t>
  </si>
  <si>
    <t>2025-08-14</t>
  </si>
  <si>
    <t>2025-08-07</t>
  </si>
  <si>
    <t>-2.7%</t>
  </si>
  <si>
    <t>-6.95%</t>
  </si>
  <si>
    <t>4.19%</t>
  </si>
  <si>
    <t>2.73%</t>
  </si>
  <si>
    <t>9.88%</t>
  </si>
  <si>
    <t>7.31%</t>
  </si>
  <si>
    <t>10.48%</t>
  </si>
  <si>
    <t>-4.78%</t>
  </si>
  <si>
    <t>-7.05%</t>
  </si>
  <si>
    <t>12.93%</t>
  </si>
  <si>
    <t>8.55%</t>
  </si>
  <si>
    <t>-0.18%</t>
  </si>
  <si>
    <t>-0.75%</t>
  </si>
  <si>
    <t>2018-11-26</t>
  </si>
  <si>
    <t>2018-11-29</t>
  </si>
  <si>
    <t>2018-11-28</t>
  </si>
  <si>
    <t>0.7%</t>
  </si>
  <si>
    <t>4.33%</t>
  </si>
  <si>
    <t>8.96%</t>
  </si>
  <si>
    <t>6.34%</t>
  </si>
  <si>
    <t>3.01%</t>
  </si>
  <si>
    <t>-1.98%</t>
  </si>
  <si>
    <t>-6.71%</t>
  </si>
  <si>
    <t>11.71%</t>
  </si>
  <si>
    <t>6.59%</t>
  </si>
  <si>
    <t>2.54%</t>
  </si>
  <si>
    <t>-12.14%</t>
  </si>
  <si>
    <t>-13.0%</t>
  </si>
  <si>
    <t>2026-02-10</t>
  </si>
  <si>
    <t>2026-02-19</t>
  </si>
  <si>
    <t>3.11%</t>
  </si>
  <si>
    <t>-5.06%</t>
  </si>
  <si>
    <t>8.3%</t>
  </si>
  <si>
    <t>-11.11%</t>
  </si>
  <si>
    <t>-9.62%</t>
  </si>
  <si>
    <t>2.82%</t>
  </si>
  <si>
    <t>-17.12%</t>
  </si>
  <si>
    <t>-15.36%</t>
  </si>
  <si>
    <t>-48.11%</t>
  </si>
  <si>
    <t>-43.56%</t>
  </si>
  <si>
    <t>9.11%</t>
  </si>
  <si>
    <t>-0.9%</t>
  </si>
  <si>
    <t>-1.65%</t>
  </si>
  <si>
    <t>4.9%</t>
  </si>
  <si>
    <t>2024-03-05</t>
  </si>
  <si>
    <t>2024-03-19</t>
  </si>
  <si>
    <t>2024-03-18</t>
  </si>
  <si>
    <t>-8.61%</t>
  </si>
  <si>
    <t>-7.02%</t>
  </si>
  <si>
    <t>17.02%</t>
  </si>
  <si>
    <t>14.97%</t>
  </si>
  <si>
    <t>-12.19%</t>
  </si>
  <si>
    <t>-11.71%</t>
  </si>
  <si>
    <t>-29.86%</t>
  </si>
  <si>
    <t>-28.55%</t>
  </si>
  <si>
    <t>2023-10-30</t>
  </si>
  <si>
    <t>2023-11-16</t>
  </si>
  <si>
    <t>2023-11-09</t>
  </si>
  <si>
    <t>-20.02%</t>
  </si>
  <si>
    <t>1.79%</t>
  </si>
  <si>
    <t>-4.01%</t>
  </si>
  <si>
    <t>10.31%</t>
  </si>
  <si>
    <t>7.6%</t>
  </si>
  <si>
    <t>1.56%</t>
  </si>
  <si>
    <t>11.75%</t>
  </si>
  <si>
    <t>8.22%</t>
  </si>
  <si>
    <t>-5.37%</t>
  </si>
  <si>
    <t>-7.1%</t>
  </si>
  <si>
    <t>-5.61%</t>
  </si>
  <si>
    <t>13.74%</t>
  </si>
  <si>
    <t>8.1%</t>
  </si>
  <si>
    <t>7.58%</t>
  </si>
  <si>
    <t>6.06%</t>
  </si>
  <si>
    <t>2026-04-13</t>
  </si>
  <si>
    <t>2026-04-17</t>
  </si>
  <si>
    <t>5.32%</t>
  </si>
  <si>
    <t>13.31%</t>
  </si>
  <si>
    <t>11.2%</t>
  </si>
  <si>
    <t>10.56%</t>
  </si>
  <si>
    <t>6.44%</t>
  </si>
  <si>
    <t>2023-10-16</t>
  </si>
  <si>
    <t>2023-10-27</t>
  </si>
  <si>
    <t>-0.43%</t>
  </si>
  <si>
    <t>-5.91%</t>
  </si>
  <si>
    <t>13.3%</t>
  </si>
  <si>
    <t>10.24%</t>
  </si>
  <si>
    <t>11.58%</t>
  </si>
  <si>
    <t>9.61%</t>
  </si>
  <si>
    <t>4.57%</t>
  </si>
  <si>
    <t>10.46%</t>
  </si>
  <si>
    <t>8.07%</t>
  </si>
  <si>
    <t>1.4%</t>
  </si>
  <si>
    <t>-3.44%</t>
  </si>
  <si>
    <t>6.7%</t>
  </si>
  <si>
    <t>3.33%</t>
  </si>
  <si>
    <t>11.89%</t>
  </si>
  <si>
    <t>12.96%</t>
  </si>
  <si>
    <t>4.03%</t>
  </si>
  <si>
    <t>-4.13%</t>
  </si>
  <si>
    <t>-1.89%</t>
  </si>
  <si>
    <t>8.62%</t>
  </si>
  <si>
    <t>-10.53%</t>
  </si>
  <si>
    <t>2009-11-25</t>
  </si>
  <si>
    <t>2009-12-03</t>
  </si>
  <si>
    <t>2009-11-27</t>
  </si>
  <si>
    <t>18.82%</t>
  </si>
  <si>
    <t>17.44%</t>
  </si>
  <si>
    <t>7.69%</t>
  </si>
  <si>
    <t>-7.65%</t>
  </si>
  <si>
    <t>-12.64%</t>
  </si>
  <si>
    <t>13.86%</t>
  </si>
  <si>
    <t>14.55%</t>
  </si>
  <si>
    <t>-6.06%</t>
  </si>
  <si>
    <t>3.81%</t>
  </si>
  <si>
    <t>-3.93%</t>
  </si>
  <si>
    <t>-5.1%</t>
  </si>
  <si>
    <t>-5.95%</t>
  </si>
  <si>
    <t>4.02%</t>
  </si>
  <si>
    <t>3.5%</t>
  </si>
  <si>
    <t>2024-01-27</t>
  </si>
  <si>
    <t>-15.51%</t>
  </si>
  <si>
    <t>-12.91%</t>
  </si>
  <si>
    <t>NIFTY 211 STOCKS - Q1 2025-26 COMBINED BEST FUTURES MASTER (EXPLICIT N/A FOR UNLISTED QUARTERS)</t>
  </si>
  <si>
    <t>Q1 2025-26</t>
  </si>
  <si>
    <t>-4.32%</t>
  </si>
  <si>
    <t>2026-05-27</t>
  </si>
  <si>
    <t>2026-06-11</t>
  </si>
  <si>
    <t>2026-06-05</t>
  </si>
  <si>
    <t>-11.14%</t>
  </si>
  <si>
    <t>-11.75%</t>
  </si>
  <si>
    <t>2.79%</t>
  </si>
  <si>
    <t>2026-06-04</t>
  </si>
  <si>
    <t>2026-06-15</t>
  </si>
  <si>
    <t>2026-06-08</t>
  </si>
  <si>
    <t>2026-01-29</t>
  </si>
  <si>
    <t>2026-02-04</t>
  </si>
  <si>
    <t>2026-02-02</t>
  </si>
  <si>
    <t>-3.01%</t>
  </si>
  <si>
    <t>-3.26%</t>
  </si>
  <si>
    <t>10.86%</t>
  </si>
  <si>
    <t>5.95%</t>
  </si>
  <si>
    <t>2026-05-20</t>
  </si>
  <si>
    <t>17.5%</t>
  </si>
  <si>
    <t>11.67%</t>
  </si>
  <si>
    <t>2023-11-01</t>
  </si>
  <si>
    <t>24.59%</t>
  </si>
  <si>
    <t>22.18%</t>
  </si>
  <si>
    <t>2026-02-03</t>
  </si>
  <si>
    <t>2026-02-11</t>
  </si>
  <si>
    <t>-2.82%</t>
  </si>
  <si>
    <t>-3.53%</t>
  </si>
  <si>
    <t>2023-10-11</t>
  </si>
  <si>
    <t>2023-10-19</t>
  </si>
  <si>
    <t>2023-10-13</t>
  </si>
  <si>
    <t>2025-07-04</t>
  </si>
  <si>
    <t>2025-07-22</t>
  </si>
  <si>
    <t>2025-07-15</t>
  </si>
  <si>
    <t>2023-10-25</t>
  </si>
  <si>
    <t>-2.27%</t>
  </si>
  <si>
    <t>2025-07-17</t>
  </si>
  <si>
    <t>2025-07-11</t>
  </si>
  <si>
    <t>2023-10-31</t>
  </si>
  <si>
    <t>2023-11-07</t>
  </si>
  <si>
    <t>-2.06%</t>
  </si>
  <si>
    <t>-1.93%</t>
  </si>
  <si>
    <t>-0.89%</t>
  </si>
  <si>
    <t>2026-03-23</t>
  </si>
  <si>
    <t>2026-03-27</t>
  </si>
  <si>
    <t>2026-03-25</t>
  </si>
  <si>
    <t>2023-10-26</t>
  </si>
  <si>
    <t>-5.19%</t>
  </si>
  <si>
    <t>2009-10-23</t>
  </si>
  <si>
    <t>2009-11-03</t>
  </si>
  <si>
    <t>2009-10-26</t>
  </si>
  <si>
    <t>NIFTY 211 STOCKS - Q4 2024-25 COMBINED BEST FUTURES MASTER (EXPLICIT N/A FOR UNLISTED QUARTERS)</t>
  </si>
  <si>
    <t>Q4 2024-25</t>
  </si>
  <si>
    <t>-3.21%</t>
  </si>
  <si>
    <t>2026-05-29</t>
  </si>
  <si>
    <t>18.31%</t>
  </si>
  <si>
    <t>17.7%</t>
  </si>
  <si>
    <t>2026-03-30</t>
  </si>
  <si>
    <t>2026-04-09</t>
  </si>
  <si>
    <t>-5.43%</t>
  </si>
  <si>
    <t>-9.52%</t>
  </si>
  <si>
    <t>-10.95%</t>
  </si>
  <si>
    <t>2026-01-23</t>
  </si>
  <si>
    <t>-6.53%</t>
  </si>
  <si>
    <t>1.72%</t>
  </si>
  <si>
    <t>-2.51%</t>
  </si>
  <si>
    <t>2026-06-01</t>
  </si>
  <si>
    <t>4.08%</t>
  </si>
  <si>
    <t>2026-05-30</t>
  </si>
  <si>
    <t>9.62%</t>
  </si>
  <si>
    <t>2026-04-23</t>
  </si>
  <si>
    <t>2026-04-16</t>
  </si>
  <si>
    <t>8.11%</t>
  </si>
  <si>
    <t>7.11%</t>
  </si>
  <si>
    <t>2026-01-22</t>
  </si>
  <si>
    <t>2024-06-06</t>
  </si>
  <si>
    <t>2025-11-10</t>
  </si>
  <si>
    <t>7.36%</t>
  </si>
  <si>
    <t>-3.98%</t>
  </si>
  <si>
    <t>-30.17%</t>
  </si>
  <si>
    <t>-28.54%</t>
  </si>
  <si>
    <t>1.76%</t>
  </si>
  <si>
    <t>8.45%</t>
  </si>
  <si>
    <t>-1.09%</t>
  </si>
  <si>
    <t>2024-05-11</t>
  </si>
  <si>
    <t>3.98%</t>
  </si>
  <si>
    <t>3.02%</t>
  </si>
  <si>
    <t>5.26%</t>
  </si>
  <si>
    <t>11.03%</t>
  </si>
  <si>
    <t>2023-08-01</t>
  </si>
  <si>
    <t>2023-08-09</t>
  </si>
  <si>
    <t>2023-08-03</t>
  </si>
  <si>
    <t>-6.44%</t>
  </si>
  <si>
    <t>-8.85%</t>
  </si>
  <si>
    <t>2025-11-04</t>
  </si>
  <si>
    <t>2025-11-07</t>
  </si>
  <si>
    <t>3.28%</t>
  </si>
  <si>
    <t>-8.04%</t>
  </si>
  <si>
    <t>-8.38%</t>
  </si>
  <si>
    <t>-2.5%</t>
  </si>
  <si>
    <t>-2.74%</t>
  </si>
  <si>
    <t>2023-07-19</t>
  </si>
  <si>
    <t>2023-07-27</t>
  </si>
  <si>
    <t>2023-07-21</t>
  </si>
  <si>
    <t>12.14%</t>
  </si>
  <si>
    <t>-1.47%</t>
  </si>
  <si>
    <t>7.43%</t>
  </si>
  <si>
    <t>4.97%</t>
  </si>
  <si>
    <t>-2.89%</t>
  </si>
  <si>
    <t>-4.91%</t>
  </si>
  <si>
    <t>2025-04-02</t>
  </si>
  <si>
    <t>2025-04-23</t>
  </si>
  <si>
    <t>2025-04-15</t>
  </si>
  <si>
    <t>-8.35%</t>
  </si>
  <si>
    <t>2023-07-24</t>
  </si>
  <si>
    <t>2023-08-02</t>
  </si>
  <si>
    <t>6.45%</t>
  </si>
  <si>
    <t>4.78%</t>
  </si>
  <si>
    <t>-1.33%</t>
  </si>
  <si>
    <t>11.69%</t>
  </si>
  <si>
    <t>10.74%</t>
  </si>
  <si>
    <t>2025-05-21</t>
  </si>
  <si>
    <t>2025-06-03</t>
  </si>
  <si>
    <t>2025-05-27</t>
  </si>
  <si>
    <t>15.49%</t>
  </si>
  <si>
    <t>13.22%</t>
  </si>
  <si>
    <t>0.27%</t>
  </si>
  <si>
    <t>-2.24%</t>
  </si>
  <si>
    <t>-4.86%</t>
  </si>
  <si>
    <t>2023-08-08</t>
  </si>
  <si>
    <t>2023-08-07</t>
  </si>
  <si>
    <t>2025-11-11</t>
  </si>
  <si>
    <t>2025-11-20</t>
  </si>
  <si>
    <t>0.65%</t>
  </si>
  <si>
    <t>2.14%</t>
  </si>
  <si>
    <t>-2.25%</t>
  </si>
  <si>
    <t>5.85%</t>
  </si>
  <si>
    <t>6.38%</t>
  </si>
  <si>
    <t>2026-02-09</t>
  </si>
  <si>
    <t>2026-02-06</t>
  </si>
  <si>
    <t>2023-07-26</t>
  </si>
  <si>
    <t>2023-07-25</t>
  </si>
  <si>
    <t>-1.34%</t>
  </si>
  <si>
    <t>3.88%</t>
  </si>
  <si>
    <t>6.81%</t>
  </si>
  <si>
    <t>6.96%</t>
  </si>
  <si>
    <t>-1.11%</t>
  </si>
  <si>
    <t>-0.45%</t>
  </si>
  <si>
    <t>-6.62%</t>
  </si>
  <si>
    <t>7.86%</t>
  </si>
  <si>
    <t>-13.34%</t>
  </si>
  <si>
    <t>2008-10-27</t>
  </si>
  <si>
    <t>2008-11-06</t>
  </si>
  <si>
    <t>2008-10-31</t>
  </si>
  <si>
    <t>1.47%</t>
  </si>
  <si>
    <t>-3.42%</t>
  </si>
  <si>
    <t>NIFTY 211 STOCKS - Q3 2024-25 COMBINED BEST FUTURES MASTER (EXPLICIT N/A FOR UNLISTED QUARTERS)</t>
  </si>
  <si>
    <t>Q3 2024-25</t>
  </si>
  <si>
    <t>2026-04-10</t>
  </si>
  <si>
    <t>4.42%</t>
  </si>
  <si>
    <t>2026-03-20</t>
  </si>
  <si>
    <t>2.58%</t>
  </si>
  <si>
    <t>2026-05-31</t>
  </si>
  <si>
    <t>5.0%</t>
  </si>
  <si>
    <t>2025-10-27</t>
  </si>
  <si>
    <t>2025-10-31</t>
  </si>
  <si>
    <t>2025-10-29</t>
  </si>
  <si>
    <t>2025-08-04</t>
  </si>
  <si>
    <t>2023-05-17</t>
  </si>
  <si>
    <t>2023-05-25</t>
  </si>
  <si>
    <t>2023-05-19</t>
  </si>
  <si>
    <t>2025-07-30</t>
  </si>
  <si>
    <t>2025-07-23</t>
  </si>
  <si>
    <t>2023-04-24</t>
  </si>
  <si>
    <t>2023-05-03</t>
  </si>
  <si>
    <t>2023-04-26</t>
  </si>
  <si>
    <t>0.46%</t>
  </si>
  <si>
    <t>2025-01-07</t>
  </si>
  <si>
    <t>2023-05-09</t>
  </si>
  <si>
    <t>2023-05-18</t>
  </si>
  <si>
    <t>-7.47%</t>
  </si>
  <si>
    <t>8.84%</t>
  </si>
  <si>
    <t>6.22%</t>
  </si>
  <si>
    <t>2023-05-10</t>
  </si>
  <si>
    <t>2023-05-16</t>
  </si>
  <si>
    <t>-3.81%</t>
  </si>
  <si>
    <t>2026-01-28</t>
  </si>
  <si>
    <t>2023-04-25</t>
  </si>
  <si>
    <t>2023-04-27</t>
  </si>
  <si>
    <t>-3.58%</t>
  </si>
  <si>
    <t>5.34%</t>
  </si>
  <si>
    <t>2007-10-30</t>
  </si>
  <si>
    <t>2007-11-07</t>
  </si>
  <si>
    <t>2007-10-31</t>
  </si>
  <si>
    <t>NIFTY 211 STOCKS - Q2 2024-25 COMBINED BEST FUTURES MASTER (EXPLICIT N/A FOR UNLISTED QUARTERS)</t>
  </si>
  <si>
    <t>Q2 2024-25</t>
  </si>
  <si>
    <t>-9.47%</t>
  </si>
  <si>
    <t>2026-03-06</t>
  </si>
  <si>
    <t>2026-03-16</t>
  </si>
  <si>
    <t>2026-02-18</t>
  </si>
  <si>
    <t>2026-02-27</t>
  </si>
  <si>
    <t>4.23%</t>
  </si>
  <si>
    <t>-6.84%</t>
  </si>
  <si>
    <t>2026-01-08</t>
  </si>
  <si>
    <t>2026-01-14</t>
  </si>
  <si>
    <t>2026-01-12</t>
  </si>
  <si>
    <t>-1.9%</t>
  </si>
  <si>
    <t>2026-05-01</t>
  </si>
  <si>
    <t>2026-04-08</t>
  </si>
  <si>
    <t>2026-05-13</t>
  </si>
  <si>
    <t>9.22%</t>
  </si>
  <si>
    <t>4.31%</t>
  </si>
  <si>
    <t>2026-03-17</t>
  </si>
  <si>
    <t>-0.38%</t>
  </si>
  <si>
    <t>-1.38%</t>
  </si>
  <si>
    <t>2025-09-12</t>
  </si>
  <si>
    <t>2025-09-18</t>
  </si>
  <si>
    <t>2025-09-16</t>
  </si>
  <si>
    <t>2023-02-07</t>
  </si>
  <si>
    <t>2023-02-15</t>
  </si>
  <si>
    <t>2023-02-09</t>
  </si>
  <si>
    <t>9.28%</t>
  </si>
  <si>
    <t>2025-05-02</t>
  </si>
  <si>
    <t>2025-04-25</t>
  </si>
  <si>
    <t>2.22%</t>
  </si>
  <si>
    <t>2023-01-18</t>
  </si>
  <si>
    <t>2023-01-27</t>
  </si>
  <si>
    <t>2023-01-20</t>
  </si>
  <si>
    <t>2025-09-02</t>
  </si>
  <si>
    <t>2023-01-24</t>
  </si>
  <si>
    <t>2023-02-06</t>
  </si>
  <si>
    <t>2023-02-03</t>
  </si>
  <si>
    <t>-1.99%</t>
  </si>
  <si>
    <t>-4.2%</t>
  </si>
  <si>
    <t>2023-02-02</t>
  </si>
  <si>
    <t>2025-08-11</t>
  </si>
  <si>
    <t>2025-08-21</t>
  </si>
  <si>
    <t>2025-08-13</t>
  </si>
  <si>
    <t>-3.08%</t>
  </si>
  <si>
    <t>2023-01-19</t>
  </si>
  <si>
    <t>2023-01-23</t>
  </si>
  <si>
    <t>2023-01-21</t>
  </si>
  <si>
    <t>-2.54%</t>
  </si>
  <si>
    <t>NIFTY 211 STOCKS - Q1 2024-25 COMBINED BEST FUTURES MASTER (EXPLICIT N/A FOR UNLISTED QUARTERS)</t>
  </si>
  <si>
    <t>Q1 2024-25</t>
  </si>
  <si>
    <t>-6.8%</t>
  </si>
  <si>
    <t>-8.87%</t>
  </si>
  <si>
    <t>2026-01-06</t>
  </si>
  <si>
    <t>2026-01-15</t>
  </si>
  <si>
    <t>5.28%</t>
  </si>
  <si>
    <t>2026-02-26</t>
  </si>
  <si>
    <t>2.16%</t>
  </si>
  <si>
    <t>2026-05-11</t>
  </si>
  <si>
    <t>-5.48%</t>
  </si>
  <si>
    <t>-6.2%</t>
  </si>
  <si>
    <t>2025-12-30</t>
  </si>
  <si>
    <t>2026-01-05</t>
  </si>
  <si>
    <t>-7.58%</t>
  </si>
  <si>
    <t>2026-04-06</t>
  </si>
  <si>
    <t>2026-07-11</t>
  </si>
  <si>
    <t>2026-03-12</t>
  </si>
  <si>
    <t>2025-09-11</t>
  </si>
  <si>
    <t>2025-09-17</t>
  </si>
  <si>
    <t>2025-09-15</t>
  </si>
  <si>
    <t>2025-05-29</t>
  </si>
  <si>
    <t>12.1%</t>
  </si>
  <si>
    <t>6.27%</t>
  </si>
  <si>
    <t>2022-05-19</t>
  </si>
  <si>
    <t>2022-05-27</t>
  </si>
  <si>
    <t>2022-05-23</t>
  </si>
  <si>
    <t>2022-04-22</t>
  </si>
  <si>
    <t>2022-05-02</t>
  </si>
  <si>
    <t>2022-04-26</t>
  </si>
  <si>
    <t>2024-11-29</t>
  </si>
  <si>
    <t>2024-12-17</t>
  </si>
  <si>
    <t>2024-12-10</t>
  </si>
  <si>
    <t>9.77%</t>
  </si>
  <si>
    <t>10.33%</t>
  </si>
  <si>
    <t>2022-05-16</t>
  </si>
  <si>
    <t>2022-05-26</t>
  </si>
  <si>
    <t>2022-05-25</t>
  </si>
  <si>
    <t>0.92%</t>
  </si>
  <si>
    <t>2010-06-16</t>
  </si>
  <si>
    <t>2010-06-18</t>
  </si>
  <si>
    <t>1.92%</t>
  </si>
  <si>
    <t>2022-04-27</t>
  </si>
  <si>
    <t>2022-04-29</t>
  </si>
  <si>
    <t>2022-04-28</t>
  </si>
  <si>
    <t>NIFTY 211 STOCKS - Q4 2023-24 COMBINED BEST FUTURES MASTER (EXPLICIT N/A FOR UNLISTED QUARTERS)</t>
  </si>
  <si>
    <t>Q4 2023-24</t>
  </si>
  <si>
    <t>2025-12-29</t>
  </si>
  <si>
    <t>9.42%</t>
  </si>
  <si>
    <t>2026-02-25</t>
  </si>
  <si>
    <t>0.01%</t>
  </si>
  <si>
    <t>9.51%</t>
  </si>
  <si>
    <t>8.85%</t>
  </si>
  <si>
    <t>-6.07%</t>
  </si>
  <si>
    <t>-6.23%</t>
  </si>
  <si>
    <t>-7.26%</t>
  </si>
  <si>
    <t>2026-02-16</t>
  </si>
  <si>
    <t>2026-02-13</t>
  </si>
  <si>
    <t>3.83%</t>
  </si>
  <si>
    <t>2026-07-07</t>
  </si>
  <si>
    <t>-8.13%</t>
  </si>
  <si>
    <t>2025-08-19</t>
  </si>
  <si>
    <t>2025-08-25</t>
  </si>
  <si>
    <t>2025-08-22</t>
  </si>
  <si>
    <t>3.73%</t>
  </si>
  <si>
    <t>2025-05-12</t>
  </si>
  <si>
    <t>-0.46%</t>
  </si>
  <si>
    <t>-6.74%</t>
  </si>
  <si>
    <t>-8.8%</t>
  </si>
  <si>
    <t>2.21%</t>
  </si>
  <si>
    <t>-5.99%</t>
  </si>
  <si>
    <t>-31.58%</t>
  </si>
  <si>
    <t>-30.45%</t>
  </si>
  <si>
    <t>-1.85%</t>
  </si>
  <si>
    <t>14.67%</t>
  </si>
  <si>
    <t>13.71%</t>
  </si>
  <si>
    <t>-9.19%</t>
  </si>
  <si>
    <t>-15.02%</t>
  </si>
  <si>
    <t>2022-02-08</t>
  </si>
  <si>
    <t>2022-02-16</t>
  </si>
  <si>
    <t>2022-02-10</t>
  </si>
  <si>
    <t>15.21%</t>
  </si>
  <si>
    <t>12.8%</t>
  </si>
  <si>
    <t>7.92%</t>
  </si>
  <si>
    <t>2024-01-08</t>
  </si>
  <si>
    <t>-12.48%</t>
  </si>
  <si>
    <t>-12.72%</t>
  </si>
  <si>
    <t>5.43%</t>
  </si>
  <si>
    <t>4.72%</t>
  </si>
  <si>
    <t>2022-01-19</t>
  </si>
  <si>
    <t>2022-01-28</t>
  </si>
  <si>
    <t>2022-01-21</t>
  </si>
  <si>
    <t>13.21%</t>
  </si>
  <si>
    <t>13.35%</t>
  </si>
  <si>
    <t>7.01%</t>
  </si>
  <si>
    <t>3.97%</t>
  </si>
  <si>
    <t>10.34%</t>
  </si>
  <si>
    <t>2022-01-25</t>
  </si>
  <si>
    <t>2022-02-07</t>
  </si>
  <si>
    <t>2022-02-04</t>
  </si>
  <si>
    <t>-7.12%</t>
  </si>
  <si>
    <t>-8.02%</t>
  </si>
  <si>
    <t>-8.64%</t>
  </si>
  <si>
    <t>2.04%</t>
  </si>
  <si>
    <t>-1.35%</t>
  </si>
  <si>
    <t>-10.36%</t>
  </si>
  <si>
    <t>-11.31%</t>
  </si>
  <si>
    <t>-3.54%</t>
  </si>
  <si>
    <t>11.49%</t>
  </si>
  <si>
    <t>-6.65%</t>
  </si>
  <si>
    <t>-7.36%</t>
  </si>
  <si>
    <t>2022-02-14</t>
  </si>
  <si>
    <t>2022-02-12</t>
  </si>
  <si>
    <t>2025-07-24</t>
  </si>
  <si>
    <t>2025-07-28</t>
  </si>
  <si>
    <t>-8.66%</t>
  </si>
  <si>
    <t>-9.08%</t>
  </si>
  <si>
    <t>-6.87%</t>
  </si>
  <si>
    <t>-6.34%</t>
  </si>
  <si>
    <t>2025-10-15</t>
  </si>
  <si>
    <t>2025-10-20</t>
  </si>
  <si>
    <t>2025-10-17</t>
  </si>
  <si>
    <t>2022-01-20</t>
  </si>
  <si>
    <t>2022-01-24</t>
  </si>
  <si>
    <t>-6.13%</t>
  </si>
  <si>
    <t>-5.85%</t>
  </si>
  <si>
    <t>29.19%</t>
  </si>
  <si>
    <t>NIFTY 211 STOCKS - Q3 2023-24 COMBINED BEST FUTURES MASTER (EXPLICIT N/A FOR UNLISTED QUARTERS)</t>
  </si>
  <si>
    <t>Q3 2023-24</t>
  </si>
  <si>
    <t>2025-11-21</t>
  </si>
  <si>
    <t>2025-12-08</t>
  </si>
  <si>
    <t>2025-12-01</t>
  </si>
  <si>
    <t>23.75%</t>
  </si>
  <si>
    <t>23.14%</t>
  </si>
  <si>
    <t>8.19%</t>
  </si>
  <si>
    <t>7.47%</t>
  </si>
  <si>
    <t>-3.76%</t>
  </si>
  <si>
    <t>2025-12-04</t>
  </si>
  <si>
    <t>2025-12-10</t>
  </si>
  <si>
    <t>-0.07%</t>
  </si>
  <si>
    <t>2026-06-13</t>
  </si>
  <si>
    <t>-3.46%</t>
  </si>
  <si>
    <t>-9.37%</t>
  </si>
  <si>
    <t>-10.37%</t>
  </si>
  <si>
    <t>20.17%</t>
  </si>
  <si>
    <t>14.34%</t>
  </si>
  <si>
    <t>2021-11-08</t>
  </si>
  <si>
    <t>2021-11-16</t>
  </si>
  <si>
    <t>2021-11-10</t>
  </si>
  <si>
    <t>-5.72%</t>
  </si>
  <si>
    <t>2021-10-20</t>
  </si>
  <si>
    <t>2021-10-28</t>
  </si>
  <si>
    <t>2021-10-22</t>
  </si>
  <si>
    <t>-6.51%</t>
  </si>
  <si>
    <t>-8.53%</t>
  </si>
  <si>
    <t>8.43%</t>
  </si>
  <si>
    <t>2021-10-19</t>
  </si>
  <si>
    <t>2021-10-29</t>
  </si>
  <si>
    <t>4.51%</t>
  </si>
  <si>
    <t>2021-11-15</t>
  </si>
  <si>
    <t>2021-11-12</t>
  </si>
  <si>
    <t>-7.39%</t>
  </si>
  <si>
    <t>-8.25%</t>
  </si>
  <si>
    <t>2025-05-14</t>
  </si>
  <si>
    <t>2021-10-27</t>
  </si>
  <si>
    <t>11.46%</t>
  </si>
  <si>
    <t>NIFTY 211 STOCKS - Q2 2023-24 COMBINED BEST FUTURES MASTER (EXPLICIT N/A FOR UNLISTED QUARTERS)</t>
  </si>
  <si>
    <t>Q2 2023-24</t>
  </si>
  <si>
    <t>2025-11-12</t>
  </si>
  <si>
    <t>2025-11-27</t>
  </si>
  <si>
    <t>18.28%</t>
  </si>
  <si>
    <t>17.67%</t>
  </si>
  <si>
    <t>2026-01-19</t>
  </si>
  <si>
    <t>5.54%</t>
  </si>
  <si>
    <t>2026-03-26</t>
  </si>
  <si>
    <t>10.57%</t>
  </si>
  <si>
    <t>9.14%</t>
  </si>
  <si>
    <t>2025-10-24</t>
  </si>
  <si>
    <t>2025-10-28</t>
  </si>
  <si>
    <t>2023-11-17</t>
  </si>
  <si>
    <t>-4.62%</t>
  </si>
  <si>
    <t>2025-12-26</t>
  </si>
  <si>
    <t>2026-01-01</t>
  </si>
  <si>
    <t>-1.83%</t>
  </si>
  <si>
    <t>-0.79%</t>
  </si>
  <si>
    <t>11.5%</t>
  </si>
  <si>
    <t>2026-03-09</t>
  </si>
  <si>
    <t>2026-03-02</t>
  </si>
  <si>
    <t>3.92%</t>
  </si>
  <si>
    <t>2025-05-08</t>
  </si>
  <si>
    <t>2023-11-10</t>
  </si>
  <si>
    <t>2023-10-12</t>
  </si>
  <si>
    <t>2023-10-20</t>
  </si>
  <si>
    <t>2023-10-18</t>
  </si>
  <si>
    <t>-0.33%</t>
  </si>
  <si>
    <t>2023-10-28</t>
  </si>
  <si>
    <t>-6.31%</t>
  </si>
  <si>
    <t>2023-10-17</t>
  </si>
  <si>
    <t>0.8%</t>
  </si>
  <si>
    <t>2.43%</t>
  </si>
  <si>
    <t>-2.12%</t>
  </si>
  <si>
    <t>-5.71%</t>
  </si>
  <si>
    <t>2023-10-23</t>
  </si>
  <si>
    <t>11.17%</t>
  </si>
  <si>
    <t>10.21%</t>
  </si>
  <si>
    <t>2023-11-13</t>
  </si>
  <si>
    <t>17.25%</t>
  </si>
  <si>
    <t>14.95%</t>
  </si>
  <si>
    <t>2023-11-15</t>
  </si>
  <si>
    <t>2023-11-11</t>
  </si>
  <si>
    <t>-3.09%</t>
  </si>
  <si>
    <t>2021-08-06</t>
  </si>
  <si>
    <t>2021-08-16</t>
  </si>
  <si>
    <t>2021-08-10</t>
  </si>
  <si>
    <t>2023-11-20</t>
  </si>
  <si>
    <t>2023-10-09</t>
  </si>
  <si>
    <t>2021-07-15</t>
  </si>
  <si>
    <t>2021-07-26</t>
  </si>
  <si>
    <t>2021-07-19</t>
  </si>
  <si>
    <t>2.77%</t>
  </si>
  <si>
    <t>-0.47%</t>
  </si>
  <si>
    <t>-5.42%</t>
  </si>
  <si>
    <t>2023-10-21</t>
  </si>
  <si>
    <t>-7.75%</t>
  </si>
  <si>
    <t>-8.62%</t>
  </si>
  <si>
    <t>-8.06%</t>
  </si>
  <si>
    <t>2021-07-28</t>
  </si>
  <si>
    <t>2021-07-27</t>
  </si>
  <si>
    <t>2023-10-06</t>
  </si>
  <si>
    <t>2023-10-10</t>
  </si>
  <si>
    <t>1.19%</t>
  </si>
  <si>
    <t>-5.82%</t>
  </si>
  <si>
    <t>4.29%</t>
  </si>
  <si>
    <t>2024-06-03</t>
  </si>
  <si>
    <t>1.22%</t>
  </si>
  <si>
    <t>2021-08-04</t>
  </si>
  <si>
    <t>2021-08-11</t>
  </si>
  <si>
    <t>2.23%</t>
  </si>
  <si>
    <t>-5.17%</t>
  </si>
  <si>
    <t>-5.92%</t>
  </si>
  <si>
    <t>2023-11-08</t>
  </si>
  <si>
    <t>-2.76%</t>
  </si>
  <si>
    <t>-3.99%</t>
  </si>
  <si>
    <t>2021-07-23</t>
  </si>
  <si>
    <t>-0.19%</t>
  </si>
  <si>
    <t>2023-11-04</t>
  </si>
  <si>
    <t>8.75%</t>
  </si>
  <si>
    <t>-3.47%</t>
  </si>
  <si>
    <t>3.95%</t>
  </si>
  <si>
    <t>-0.31%</t>
  </si>
  <si>
    <t>14.33%</t>
  </si>
  <si>
    <t>12.95%</t>
  </si>
  <si>
    <t>-9.31%</t>
  </si>
  <si>
    <t>-10.16%</t>
  </si>
  <si>
    <t>NIFTY 211 STOCKS - Q1 2023-24 COMBINED BEST FUTURES MASTER (EXPLICIT N/A FOR UNLISTED QUARTERS)</t>
  </si>
  <si>
    <t>Q1 2023-24</t>
  </si>
  <si>
    <t>-10.92%</t>
  </si>
  <si>
    <t>-6.76%</t>
  </si>
  <si>
    <t>2026-02-20</t>
  </si>
  <si>
    <t>2026-03-04</t>
  </si>
  <si>
    <t>2026-02-24</t>
  </si>
  <si>
    <t>2025-11-25</t>
  </si>
  <si>
    <t>11.33%</t>
  </si>
  <si>
    <t>12.37%</t>
  </si>
  <si>
    <t>2026-05-22</t>
  </si>
  <si>
    <t>1.31%</t>
  </si>
  <si>
    <t>2025-05-05</t>
  </si>
  <si>
    <t>2025-05-09</t>
  </si>
  <si>
    <t>2025-05-07</t>
  </si>
  <si>
    <t>-4.5%</t>
  </si>
  <si>
    <t>-6.91%</t>
  </si>
  <si>
    <t>2021-04-22</t>
  </si>
  <si>
    <t>2021-04-30</t>
  </si>
  <si>
    <t>2021-04-26</t>
  </si>
  <si>
    <t>-5.78%</t>
  </si>
  <si>
    <t>2024-04-04</t>
  </si>
  <si>
    <t>2024-04-17</t>
  </si>
  <si>
    <t>2021-05-27</t>
  </si>
  <si>
    <t>2021-06-08</t>
  </si>
  <si>
    <t>2021-06-07</t>
  </si>
  <si>
    <t>-5.18%</t>
  </si>
  <si>
    <t>2021-05-24</t>
  </si>
  <si>
    <t>2021-05-31</t>
  </si>
  <si>
    <t>2021-05-28</t>
  </si>
  <si>
    <t>-10.08%</t>
  </si>
  <si>
    <t>-10.94%</t>
  </si>
  <si>
    <t>2025-04-04</t>
  </si>
  <si>
    <t>2025-04-17</t>
  </si>
  <si>
    <t>2025-04-08</t>
  </si>
  <si>
    <t>2021-05-04</t>
  </si>
  <si>
    <t>2021-05-03</t>
  </si>
  <si>
    <t>NIFTY 211 STOCKS - Q4 2022-23 COMBINED BEST FUTURES MASTER (EXPLICIT N/A FOR UNLISTED QUARTERS)</t>
  </si>
  <si>
    <t>Q4 2022-23</t>
  </si>
  <si>
    <t>9.25%</t>
  </si>
  <si>
    <t>7.18%</t>
  </si>
  <si>
    <t>2025-10-08</t>
  </si>
  <si>
    <t>-12.32%</t>
  </si>
  <si>
    <t>2025-08-08</t>
  </si>
  <si>
    <t>2025-08-02</t>
  </si>
  <si>
    <t>-2.57%</t>
  </si>
  <si>
    <t>2025-12-09</t>
  </si>
  <si>
    <t>2025-12-11</t>
  </si>
  <si>
    <t>2023-08-04</t>
  </si>
  <si>
    <t>2025-08-28</t>
  </si>
  <si>
    <t>2025-08-26</t>
  </si>
  <si>
    <t>-0.22%</t>
  </si>
  <si>
    <t>2023-07-31</t>
  </si>
  <si>
    <t>2023-08-16</t>
  </si>
  <si>
    <t>2.75%</t>
  </si>
  <si>
    <t>2025-11-18</t>
  </si>
  <si>
    <t>2025-11-24</t>
  </si>
  <si>
    <t>-1.08%</t>
  </si>
  <si>
    <t>2025-11-17</t>
  </si>
  <si>
    <t>13.82%</t>
  </si>
  <si>
    <t>-4.43%</t>
  </si>
  <si>
    <t>-4.68%</t>
  </si>
  <si>
    <t>2025-12-19</t>
  </si>
  <si>
    <t>-3.95%</t>
  </si>
  <si>
    <t>2023-08-10</t>
  </si>
  <si>
    <t>2023-08-18</t>
  </si>
  <si>
    <t>2023-08-11</t>
  </si>
  <si>
    <t>-5.3%</t>
  </si>
  <si>
    <t>1.77%</t>
  </si>
  <si>
    <t>3.4%</t>
  </si>
  <si>
    <t>2023-07-20</t>
  </si>
  <si>
    <t>-4.63%</t>
  </si>
  <si>
    <t>2023-08-05</t>
  </si>
  <si>
    <t>-11.38%</t>
  </si>
  <si>
    <t>-11.44%</t>
  </si>
  <si>
    <t>2.47%</t>
  </si>
  <si>
    <t>2023-07-28</t>
  </si>
  <si>
    <t>-7.55%</t>
  </si>
  <si>
    <t>2023-07-18</t>
  </si>
  <si>
    <t>2024-03-26</t>
  </si>
  <si>
    <t>2024-03-29</t>
  </si>
  <si>
    <t>2.99%</t>
  </si>
  <si>
    <t>2023-07-07</t>
  </si>
  <si>
    <t>2023-07-12</t>
  </si>
  <si>
    <t>2023-07-17</t>
  </si>
  <si>
    <t>2021-01-20</t>
  </si>
  <si>
    <t>2021-01-29</t>
  </si>
  <si>
    <t>2021-01-22</t>
  </si>
  <si>
    <t>-4.56%</t>
  </si>
  <si>
    <t>-2.46%</t>
  </si>
  <si>
    <t>2023-07-22</t>
  </si>
  <si>
    <t>-2.9%</t>
  </si>
  <si>
    <t>-2.34%</t>
  </si>
  <si>
    <t>2021-01-18</t>
  </si>
  <si>
    <t>2021-01-28</t>
  </si>
  <si>
    <t>2023-07-14</t>
  </si>
  <si>
    <t>2023-08-14</t>
  </si>
  <si>
    <t>1.63%</t>
  </si>
  <si>
    <t>11.7%</t>
  </si>
  <si>
    <t>5.87%</t>
  </si>
  <si>
    <t>2021-02-01</t>
  </si>
  <si>
    <t>2021-02-08</t>
  </si>
  <si>
    <t>2021-02-06</t>
  </si>
  <si>
    <t>2.83%</t>
  </si>
  <si>
    <t>-12.99%</t>
  </si>
  <si>
    <t>-11.5%</t>
  </si>
  <si>
    <t>2023-07-29</t>
  </si>
  <si>
    <t>7.45%</t>
  </si>
  <si>
    <t>2025-06-06</t>
  </si>
  <si>
    <t>2025-06-04</t>
  </si>
  <si>
    <t>4.59%</t>
  </si>
  <si>
    <t>2021-01-21</t>
  </si>
  <si>
    <t>2021-01-25</t>
  </si>
  <si>
    <t>-3.83%</t>
  </si>
  <si>
    <t>-4.3%</t>
  </si>
  <si>
    <t>-7.23%</t>
  </si>
  <si>
    <t>2023-07-13</t>
  </si>
  <si>
    <t>2023-05-11</t>
  </si>
  <si>
    <t>2023-08-17</t>
  </si>
  <si>
    <t>5.51%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</si>
</sst>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5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color rgb="FF276A3C"/>
      <name val="Calibri"/>
      <family val="2"/>
    </font>
    <font>
      <b/>
      <sz val="11"/>
      <color rgb="FF9C0006"/>
      <name val="Calibri"/>
      <family val="2"/>
    </font>
    <font>
      <b/>
      <sz val="11"/>
      <color rgb="FFB25900"/>
      <name val="Calibri"/>
      <family val="2"/>
    </font>
    <font>
      <i/>
      <sz val="11"/>
      <color rgb="FF7F7F7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4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>
      <selection sqref="A1:AE1"/>
    </sheetView>
  </sheetViews>
  <sheetFormatPr defaultRowHeight="15"/>
  <sheetData>
    <row r="1" spans="1:31" ht="38.1" customHeight="1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3" spans="1:31">
      <c r="A3" s="7" t="s">
        <v>1</v>
      </c>
      <c r="B3" s="8"/>
      <c r="C3" s="8"/>
      <c r="D3" s="8"/>
      <c r="E3" s="7" t="s">
        <v>2</v>
      </c>
      <c r="F3" s="8"/>
      <c r="G3" s="8"/>
      <c r="H3" s="8"/>
      <c r="I3" s="7" t="s">
        <v>3</v>
      </c>
      <c r="J3" s="8"/>
      <c r="K3" s="8"/>
      <c r="L3" s="8"/>
      <c r="M3" s="7" t="s">
        <v>4</v>
      </c>
      <c r="N3" s="8"/>
      <c r="O3" s="8"/>
      <c r="P3" s="8"/>
      <c r="Q3" s="7" t="s">
        <v>5</v>
      </c>
      <c r="R3" s="8"/>
      <c r="S3" s="8"/>
      <c r="T3" s="8"/>
    </row>
    <row r="4" spans="1:3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</sheetData>
  <mergeCells count="6">
    <mergeCell ref="E3:H4"/>
    <mergeCell ref="I3:L4"/>
    <mergeCell ref="A1:AE1"/>
    <mergeCell ref="A3:D4"/>
    <mergeCell ref="M3:P4"/>
    <mergeCell ref="Q3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14"/>
  <sheetViews>
    <sheetView workbookViewId="0">
      <selection sqref="A1:AC1"/>
    </sheetView>
  </sheetViews>
  <sheetFormatPr defaultRowHeight="15"/>
  <sheetData>
    <row r="1" spans="1:29" ht="35.1" customHeight="1">
      <c r="A1" s="9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36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41</v>
      </c>
      <c r="J4" s="2" t="s">
        <v>42</v>
      </c>
      <c r="K4" s="2">
        <v>42511150.109999999</v>
      </c>
      <c r="L4" s="2" t="s">
        <v>43</v>
      </c>
      <c r="M4" s="2" t="s">
        <v>44</v>
      </c>
      <c r="N4" s="2" t="s">
        <v>45</v>
      </c>
      <c r="O4" s="2">
        <v>874</v>
      </c>
      <c r="P4" s="2">
        <v>1119.699951171875</v>
      </c>
      <c r="Q4" s="2">
        <v>1142.900024414062</v>
      </c>
      <c r="R4" s="2">
        <f t="shared" ref="R4:R67" si="0">O4*P4</f>
        <v>978617.75732421875</v>
      </c>
      <c r="S4" s="2">
        <f t="shared" ref="S4:S67" si="1">O4*Q4</f>
        <v>998894.62133789028</v>
      </c>
      <c r="T4" s="2">
        <f t="shared" ref="T4:T67" si="2">R4+S4</f>
        <v>1977512.3786621089</v>
      </c>
      <c r="U4" s="2">
        <f t="shared" ref="U4:U67" si="3">ROUND(T4*0.0005, 2)</f>
        <v>988.76</v>
      </c>
      <c r="V4" s="2">
        <f t="shared" ref="V4:V67" si="4">S4-R4</f>
        <v>20276.864013671526</v>
      </c>
      <c r="W4" s="2">
        <f t="shared" ref="W4:W67" si="5">V4-U4</f>
        <v>19288.104013671527</v>
      </c>
      <c r="X4" s="2">
        <f t="shared" ref="X4:X67" si="6">K4+W4</f>
        <v>42530438.214013673</v>
      </c>
      <c r="Y4" s="2">
        <f t="shared" ref="Y4:Y67" si="7">ROUND(0.2*R4, 2)</f>
        <v>195723.55</v>
      </c>
      <c r="Z4" s="2">
        <f t="shared" ref="Z4:Z67" si="8">ROUND((W4/Y4)*100, 2)</f>
        <v>9.85</v>
      </c>
      <c r="AA4" s="2">
        <f>MAX(42511150.11, X4)</f>
        <v>42530438.214013673</v>
      </c>
      <c r="AB4" s="2">
        <f t="shared" ref="AB4:AB67" si="9">X4-AA4</f>
        <v>0</v>
      </c>
    </row>
    <row r="5" spans="1:29">
      <c r="A5" s="2">
        <v>2</v>
      </c>
      <c r="B5" s="2" t="s">
        <v>46</v>
      </c>
      <c r="C5" s="2" t="s">
        <v>36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49</v>
      </c>
      <c r="J5" s="2" t="s">
        <v>50</v>
      </c>
      <c r="K5" s="2">
        <f t="shared" ref="K5:K68" si="10">X4</f>
        <v>42530438.214013673</v>
      </c>
      <c r="L5" s="2" t="s">
        <v>43</v>
      </c>
      <c r="M5" s="2" t="s">
        <v>44</v>
      </c>
      <c r="N5" s="2" t="s">
        <v>51</v>
      </c>
      <c r="O5" s="2">
        <v>137</v>
      </c>
      <c r="P5" s="2">
        <v>7532</v>
      </c>
      <c r="Q5" s="2">
        <v>7291.5</v>
      </c>
      <c r="R5" s="2">
        <f t="shared" si="0"/>
        <v>1031884</v>
      </c>
      <c r="S5" s="2">
        <f t="shared" si="1"/>
        <v>998935.5</v>
      </c>
      <c r="T5" s="2">
        <f t="shared" si="2"/>
        <v>2030819.5</v>
      </c>
      <c r="U5" s="2">
        <f t="shared" si="3"/>
        <v>1015.41</v>
      </c>
      <c r="V5" s="2">
        <f t="shared" si="4"/>
        <v>-32948.5</v>
      </c>
      <c r="W5" s="2">
        <f t="shared" si="5"/>
        <v>-33963.910000000003</v>
      </c>
      <c r="X5" s="2">
        <f t="shared" si="6"/>
        <v>42496474.304013677</v>
      </c>
      <c r="Y5" s="2">
        <f t="shared" si="7"/>
        <v>206376.8</v>
      </c>
      <c r="Z5" s="2">
        <f t="shared" si="8"/>
        <v>-16.46</v>
      </c>
      <c r="AA5" s="2">
        <f t="shared" ref="AA5:AA68" si="11">MAX(AA4, X5)</f>
        <v>42530438.214013673</v>
      </c>
      <c r="AB5" s="2">
        <f t="shared" si="9"/>
        <v>-33963.909999996424</v>
      </c>
    </row>
    <row r="6" spans="1:29">
      <c r="A6" s="2">
        <v>3</v>
      </c>
      <c r="B6" s="2" t="s">
        <v>52</v>
      </c>
      <c r="C6" s="2" t="s">
        <v>36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>
        <f t="shared" si="10"/>
        <v>42496474.304013677</v>
      </c>
      <c r="L6" s="2" t="s">
        <v>58</v>
      </c>
      <c r="M6" s="2" t="s">
        <v>44</v>
      </c>
      <c r="N6" s="2" t="s">
        <v>59</v>
      </c>
      <c r="O6" s="2">
        <v>2537</v>
      </c>
      <c r="P6" s="2">
        <v>400.45001220703131</v>
      </c>
      <c r="Q6" s="2">
        <v>394.04998779296881</v>
      </c>
      <c r="R6" s="2">
        <f t="shared" si="0"/>
        <v>1015941.6809692384</v>
      </c>
      <c r="S6" s="2">
        <f t="shared" si="1"/>
        <v>999704.81903076184</v>
      </c>
      <c r="T6" s="2">
        <f t="shared" si="2"/>
        <v>2015646.5000000002</v>
      </c>
      <c r="U6" s="2">
        <f t="shared" si="3"/>
        <v>1007.82</v>
      </c>
      <c r="V6" s="2">
        <f t="shared" si="4"/>
        <v>-16236.861938476563</v>
      </c>
      <c r="W6" s="2">
        <f t="shared" si="5"/>
        <v>-17244.681938476562</v>
      </c>
      <c r="X6" s="2">
        <f t="shared" si="6"/>
        <v>42479229.6220752</v>
      </c>
      <c r="Y6" s="2">
        <f t="shared" si="7"/>
        <v>203188.34</v>
      </c>
      <c r="Z6" s="2">
        <f t="shared" si="8"/>
        <v>-8.49</v>
      </c>
      <c r="AA6" s="2">
        <f t="shared" si="11"/>
        <v>42530438.214013673</v>
      </c>
      <c r="AB6" s="2">
        <f t="shared" si="9"/>
        <v>-51208.591938473284</v>
      </c>
    </row>
    <row r="7" spans="1:29">
      <c r="A7" s="2">
        <v>4</v>
      </c>
      <c r="B7" s="2" t="s">
        <v>60</v>
      </c>
      <c r="C7" s="2" t="s">
        <v>36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>
        <f t="shared" si="10"/>
        <v>42479229.6220752</v>
      </c>
      <c r="L7" s="2" t="s">
        <v>67</v>
      </c>
      <c r="M7" s="2" t="s">
        <v>44</v>
      </c>
      <c r="N7" s="2" t="s">
        <v>67</v>
      </c>
      <c r="O7" s="2">
        <v>602</v>
      </c>
      <c r="P7" s="2">
        <v>1659</v>
      </c>
      <c r="Q7" s="2">
        <v>1649.5</v>
      </c>
      <c r="R7" s="2">
        <f t="shared" si="0"/>
        <v>998718</v>
      </c>
      <c r="S7" s="2">
        <f t="shared" si="1"/>
        <v>992999</v>
      </c>
      <c r="T7" s="2">
        <f t="shared" si="2"/>
        <v>1991717</v>
      </c>
      <c r="U7" s="2">
        <f t="shared" si="3"/>
        <v>995.86</v>
      </c>
      <c r="V7" s="2">
        <f t="shared" si="4"/>
        <v>-5719</v>
      </c>
      <c r="W7" s="2">
        <f t="shared" si="5"/>
        <v>-6714.86</v>
      </c>
      <c r="X7" s="2">
        <f t="shared" si="6"/>
        <v>42472514.762075201</v>
      </c>
      <c r="Y7" s="2">
        <f t="shared" si="7"/>
        <v>199743.6</v>
      </c>
      <c r="Z7" s="2">
        <f t="shared" si="8"/>
        <v>-3.36</v>
      </c>
      <c r="AA7" s="2">
        <f t="shared" si="11"/>
        <v>42530438.214013673</v>
      </c>
      <c r="AB7" s="2">
        <f t="shared" si="9"/>
        <v>-57923.451938472688</v>
      </c>
    </row>
    <row r="8" spans="1:29">
      <c r="A8" s="2">
        <v>5</v>
      </c>
      <c r="B8" s="2" t="s">
        <v>68</v>
      </c>
      <c r="C8" s="2" t="s">
        <v>36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71</v>
      </c>
      <c r="J8" s="2" t="s">
        <v>72</v>
      </c>
      <c r="K8" s="2">
        <f t="shared" si="10"/>
        <v>42472514.762075201</v>
      </c>
      <c r="L8" s="2" t="s">
        <v>73</v>
      </c>
      <c r="M8" s="2" t="s">
        <v>74</v>
      </c>
      <c r="N8" s="2" t="s">
        <v>73</v>
      </c>
      <c r="O8" s="2">
        <v>300</v>
      </c>
      <c r="P8" s="2">
        <v>2285.64453125</v>
      </c>
      <c r="Q8" s="2">
        <v>2259.718994140625</v>
      </c>
      <c r="R8" s="2">
        <f t="shared" si="0"/>
        <v>685693.359375</v>
      </c>
      <c r="S8" s="2">
        <f t="shared" si="1"/>
        <v>677915.6982421875</v>
      </c>
      <c r="T8" s="2">
        <f t="shared" si="2"/>
        <v>1363609.0576171875</v>
      </c>
      <c r="U8" s="2">
        <f t="shared" si="3"/>
        <v>681.8</v>
      </c>
      <c r="V8" s="2">
        <f t="shared" si="4"/>
        <v>-7777.6611328125</v>
      </c>
      <c r="W8" s="2">
        <f t="shared" si="5"/>
        <v>-8459.4611328124993</v>
      </c>
      <c r="X8" s="2">
        <f t="shared" si="6"/>
        <v>42464055.300942391</v>
      </c>
      <c r="Y8" s="2">
        <f t="shared" si="7"/>
        <v>137138.67000000001</v>
      </c>
      <c r="Z8" s="2">
        <f t="shared" si="8"/>
        <v>-6.17</v>
      </c>
      <c r="AA8" s="2">
        <f t="shared" si="11"/>
        <v>42530438.214013673</v>
      </c>
      <c r="AB8" s="2">
        <f t="shared" si="9"/>
        <v>-66382.913071282208</v>
      </c>
    </row>
    <row r="9" spans="1:29">
      <c r="A9" s="2">
        <v>6</v>
      </c>
      <c r="B9" s="2" t="s">
        <v>75</v>
      </c>
      <c r="C9" s="2" t="s">
        <v>36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>
        <f t="shared" si="10"/>
        <v>42464055.300942391</v>
      </c>
      <c r="L9" s="2" t="s">
        <v>58</v>
      </c>
      <c r="M9" s="2" t="s">
        <v>44</v>
      </c>
      <c r="N9" s="2" t="s">
        <v>81</v>
      </c>
      <c r="O9" s="2">
        <v>500</v>
      </c>
      <c r="P9" s="2">
        <v>1399.699951171875</v>
      </c>
      <c r="Q9" s="2">
        <v>1358.699951171875</v>
      </c>
      <c r="R9" s="2">
        <f t="shared" si="0"/>
        <v>699849.9755859375</v>
      </c>
      <c r="S9" s="2">
        <f t="shared" si="1"/>
        <v>679349.9755859375</v>
      </c>
      <c r="T9" s="2">
        <f t="shared" si="2"/>
        <v>1379199.951171875</v>
      </c>
      <c r="U9" s="2">
        <f t="shared" si="3"/>
        <v>689.6</v>
      </c>
      <c r="V9" s="2">
        <f t="shared" si="4"/>
        <v>-20500</v>
      </c>
      <c r="W9" s="2">
        <f t="shared" si="5"/>
        <v>-21189.599999999999</v>
      </c>
      <c r="X9" s="2">
        <f t="shared" si="6"/>
        <v>42442865.70094239</v>
      </c>
      <c r="Y9" s="2">
        <f t="shared" si="7"/>
        <v>139970</v>
      </c>
      <c r="Z9" s="2">
        <f t="shared" si="8"/>
        <v>-15.14</v>
      </c>
      <c r="AA9" s="2">
        <f t="shared" si="11"/>
        <v>42530438.214013673</v>
      </c>
      <c r="AB9" s="2">
        <f t="shared" si="9"/>
        <v>-87572.513071283698</v>
      </c>
    </row>
    <row r="10" spans="1:29">
      <c r="A10" s="2">
        <v>7</v>
      </c>
      <c r="B10" s="2" t="s">
        <v>82</v>
      </c>
      <c r="C10" s="2" t="s">
        <v>36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85</v>
      </c>
      <c r="J10" s="2" t="s">
        <v>86</v>
      </c>
      <c r="K10" s="2">
        <f t="shared" si="10"/>
        <v>42442865.70094239</v>
      </c>
      <c r="L10" s="2" t="s">
        <v>87</v>
      </c>
      <c r="M10" s="2" t="s">
        <v>88</v>
      </c>
      <c r="N10" s="2" t="s">
        <v>89</v>
      </c>
      <c r="O10" s="2">
        <v>625</v>
      </c>
      <c r="P10" s="2">
        <v>1092.309814453125</v>
      </c>
      <c r="Q10" s="2">
        <v>1134.030151367188</v>
      </c>
      <c r="R10" s="2">
        <f t="shared" si="0"/>
        <v>682693.63403320312</v>
      </c>
      <c r="S10" s="2">
        <f t="shared" si="1"/>
        <v>708768.84460449242</v>
      </c>
      <c r="T10" s="2">
        <f t="shared" si="2"/>
        <v>1391462.4786376955</v>
      </c>
      <c r="U10" s="2">
        <f t="shared" si="3"/>
        <v>695.73</v>
      </c>
      <c r="V10" s="2">
        <f t="shared" si="4"/>
        <v>26075.210571289295</v>
      </c>
      <c r="W10" s="2">
        <f t="shared" si="5"/>
        <v>25379.480571289296</v>
      </c>
      <c r="X10" s="2">
        <f t="shared" si="6"/>
        <v>42468245.181513682</v>
      </c>
      <c r="Y10" s="2">
        <f t="shared" si="7"/>
        <v>136538.73000000001</v>
      </c>
      <c r="Z10" s="2">
        <f t="shared" si="8"/>
        <v>18.59</v>
      </c>
      <c r="AA10" s="2">
        <f t="shared" si="11"/>
        <v>42530438.214013673</v>
      </c>
      <c r="AB10" s="2">
        <f t="shared" si="9"/>
        <v>-62193.032499991357</v>
      </c>
    </row>
    <row r="11" spans="1:29">
      <c r="A11" s="2">
        <v>8</v>
      </c>
      <c r="B11" s="2" t="s">
        <v>90</v>
      </c>
      <c r="C11" s="2" t="s">
        <v>36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93</v>
      </c>
      <c r="J11" s="2" t="s">
        <v>94</v>
      </c>
      <c r="K11" s="2">
        <f t="shared" si="10"/>
        <v>42468245.181513682</v>
      </c>
      <c r="L11" s="2" t="s">
        <v>58</v>
      </c>
      <c r="M11" s="2" t="s">
        <v>44</v>
      </c>
      <c r="N11" s="2" t="s">
        <v>59</v>
      </c>
      <c r="O11" s="2">
        <v>4785</v>
      </c>
      <c r="P11" s="2">
        <v>208.9700012207031</v>
      </c>
      <c r="Q11" s="2">
        <v>213.96000671386719</v>
      </c>
      <c r="R11" s="2">
        <f t="shared" si="0"/>
        <v>999921.45584106434</v>
      </c>
      <c r="S11" s="2">
        <f t="shared" si="1"/>
        <v>1023798.6321258545</v>
      </c>
      <c r="T11" s="2">
        <f t="shared" si="2"/>
        <v>2023720.0879669189</v>
      </c>
      <c r="U11" s="2">
        <f t="shared" si="3"/>
        <v>1011.86</v>
      </c>
      <c r="V11" s="2">
        <f t="shared" si="4"/>
        <v>23877.176284790155</v>
      </c>
      <c r="W11" s="2">
        <f t="shared" si="5"/>
        <v>22865.316284790155</v>
      </c>
      <c r="X11" s="2">
        <f t="shared" si="6"/>
        <v>42491110.497798473</v>
      </c>
      <c r="Y11" s="2">
        <f t="shared" si="7"/>
        <v>199984.29</v>
      </c>
      <c r="Z11" s="2">
        <f t="shared" si="8"/>
        <v>11.43</v>
      </c>
      <c r="AA11" s="2">
        <f t="shared" si="11"/>
        <v>42530438.214013673</v>
      </c>
      <c r="AB11" s="2">
        <f t="shared" si="9"/>
        <v>-39327.716215200722</v>
      </c>
    </row>
    <row r="12" spans="1:29">
      <c r="A12" s="2">
        <v>9</v>
      </c>
      <c r="B12" s="2" t="s">
        <v>95</v>
      </c>
      <c r="C12" s="2" t="s">
        <v>36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>
        <f t="shared" si="10"/>
        <v>42491110.497798473</v>
      </c>
      <c r="L12" s="2" t="s">
        <v>67</v>
      </c>
      <c r="M12" s="2" t="s">
        <v>44</v>
      </c>
      <c r="N12" s="2" t="s">
        <v>101</v>
      </c>
      <c r="O12" s="2">
        <v>171</v>
      </c>
      <c r="P12" s="2">
        <v>5651.5</v>
      </c>
      <c r="Q12" s="2">
        <v>5816.5</v>
      </c>
      <c r="R12" s="2">
        <f t="shared" si="0"/>
        <v>966406.5</v>
      </c>
      <c r="S12" s="2">
        <f t="shared" si="1"/>
        <v>994621.5</v>
      </c>
      <c r="T12" s="2">
        <f t="shared" si="2"/>
        <v>1961028</v>
      </c>
      <c r="U12" s="2">
        <f t="shared" si="3"/>
        <v>980.51</v>
      </c>
      <c r="V12" s="2">
        <f t="shared" si="4"/>
        <v>28215</v>
      </c>
      <c r="W12" s="2">
        <f t="shared" si="5"/>
        <v>27234.49</v>
      </c>
      <c r="X12" s="2">
        <f t="shared" si="6"/>
        <v>42518344.987798475</v>
      </c>
      <c r="Y12" s="2">
        <f t="shared" si="7"/>
        <v>193281.3</v>
      </c>
      <c r="Z12" s="2">
        <f t="shared" si="8"/>
        <v>14.09</v>
      </c>
      <c r="AA12" s="2">
        <f t="shared" si="11"/>
        <v>42530438.214013673</v>
      </c>
      <c r="AB12" s="2">
        <f t="shared" si="9"/>
        <v>-12093.226215198636</v>
      </c>
    </row>
    <row r="13" spans="1:29">
      <c r="A13" s="2">
        <v>10</v>
      </c>
      <c r="B13" s="2" t="s">
        <v>102</v>
      </c>
      <c r="C13" s="2" t="s">
        <v>36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42518344.987798475</v>
      </c>
      <c r="L13" s="2" t="s">
        <v>106</v>
      </c>
      <c r="M13" s="2" t="s">
        <v>44</v>
      </c>
      <c r="N13" s="2" t="s">
        <v>107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42521258.897798471</v>
      </c>
      <c r="Y13" s="2">
        <f t="shared" si="7"/>
        <v>199827</v>
      </c>
      <c r="Z13" s="2">
        <f t="shared" si="8"/>
        <v>1.46</v>
      </c>
      <c r="AA13" s="2">
        <f t="shared" si="11"/>
        <v>42530438.214013673</v>
      </c>
      <c r="AB13" s="2">
        <f t="shared" si="9"/>
        <v>-9179.3162152022123</v>
      </c>
    </row>
    <row r="14" spans="1:29">
      <c r="A14" s="2">
        <v>11</v>
      </c>
      <c r="B14" s="2" t="s">
        <v>108</v>
      </c>
      <c r="C14" s="2" t="s">
        <v>36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111</v>
      </c>
      <c r="J14" s="2" t="s">
        <v>112</v>
      </c>
      <c r="K14" s="2">
        <f t="shared" si="10"/>
        <v>42521258.897798471</v>
      </c>
      <c r="L14" s="2" t="s">
        <v>43</v>
      </c>
      <c r="M14" s="2" t="s">
        <v>44</v>
      </c>
      <c r="N14" s="2" t="s">
        <v>101</v>
      </c>
      <c r="O14" s="2">
        <v>2303</v>
      </c>
      <c r="P14" s="2">
        <v>434.20001220703131</v>
      </c>
      <c r="Q14" s="2">
        <v>440.85000610351562</v>
      </c>
      <c r="R14" s="2">
        <f t="shared" si="0"/>
        <v>999962.62811279309</v>
      </c>
      <c r="S14" s="2">
        <f t="shared" si="1"/>
        <v>1015277.5640563965</v>
      </c>
      <c r="T14" s="2">
        <f t="shared" si="2"/>
        <v>2015240.1921691895</v>
      </c>
      <c r="U14" s="2">
        <f t="shared" si="3"/>
        <v>1007.62</v>
      </c>
      <c r="V14" s="2">
        <f t="shared" si="4"/>
        <v>15314.935943603399</v>
      </c>
      <c r="W14" s="2">
        <f t="shared" si="5"/>
        <v>14307.315943603398</v>
      </c>
      <c r="X14" s="2">
        <f t="shared" si="6"/>
        <v>42535566.213742077</v>
      </c>
      <c r="Y14" s="2">
        <f t="shared" si="7"/>
        <v>199992.53</v>
      </c>
      <c r="Z14" s="2">
        <f t="shared" si="8"/>
        <v>7.15</v>
      </c>
      <c r="AA14" s="2">
        <f t="shared" si="11"/>
        <v>42535566.213742077</v>
      </c>
      <c r="AB14" s="2">
        <f t="shared" si="9"/>
        <v>0</v>
      </c>
    </row>
    <row r="15" spans="1:29">
      <c r="A15" s="2">
        <v>12</v>
      </c>
      <c r="B15" s="2" t="s">
        <v>113</v>
      </c>
      <c r="C15" s="2" t="s">
        <v>36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116</v>
      </c>
      <c r="J15" s="2" t="s">
        <v>117</v>
      </c>
      <c r="K15" s="2">
        <f t="shared" si="10"/>
        <v>42535566.213742077</v>
      </c>
      <c r="L15" s="2" t="s">
        <v>118</v>
      </c>
      <c r="M15" s="2" t="s">
        <v>106</v>
      </c>
      <c r="N15" s="2" t="s">
        <v>119</v>
      </c>
      <c r="O15" s="2">
        <v>3428</v>
      </c>
      <c r="P15" s="2">
        <v>332.5216064453125</v>
      </c>
      <c r="Q15" s="2">
        <v>306.04998779296881</v>
      </c>
      <c r="R15" s="2">
        <f t="shared" si="0"/>
        <v>1139884.0668945312</v>
      </c>
      <c r="S15" s="2">
        <f t="shared" si="1"/>
        <v>1049139.3581542971</v>
      </c>
      <c r="T15" s="2">
        <f t="shared" si="2"/>
        <v>2189023.4250488281</v>
      </c>
      <c r="U15" s="2">
        <f t="shared" si="3"/>
        <v>1094.51</v>
      </c>
      <c r="V15" s="2">
        <f t="shared" si="4"/>
        <v>-90744.708740234142</v>
      </c>
      <c r="W15" s="2">
        <f t="shared" si="5"/>
        <v>-91839.218740234137</v>
      </c>
      <c r="X15" s="2">
        <f t="shared" si="6"/>
        <v>42443726.995001845</v>
      </c>
      <c r="Y15" s="2">
        <f t="shared" si="7"/>
        <v>227976.81</v>
      </c>
      <c r="Z15" s="2">
        <f t="shared" si="8"/>
        <v>-40.28</v>
      </c>
      <c r="AA15" s="2">
        <f t="shared" si="11"/>
        <v>42535566.213742077</v>
      </c>
      <c r="AB15" s="2">
        <f t="shared" si="9"/>
        <v>-91839.218740232289</v>
      </c>
    </row>
    <row r="16" spans="1:29">
      <c r="A16" s="2">
        <v>13</v>
      </c>
      <c r="B16" s="2" t="s">
        <v>120</v>
      </c>
      <c r="C16" s="2" t="s">
        <v>36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123</v>
      </c>
      <c r="J16" s="2" t="s">
        <v>124</v>
      </c>
      <c r="K16" s="2">
        <f t="shared" si="10"/>
        <v>42443726.995001845</v>
      </c>
      <c r="L16" s="2" t="s">
        <v>58</v>
      </c>
      <c r="M16" s="2" t="s">
        <v>44</v>
      </c>
      <c r="N16" s="2" t="s">
        <v>125</v>
      </c>
      <c r="O16" s="2">
        <v>528</v>
      </c>
      <c r="P16" s="2">
        <v>1849.900024414062</v>
      </c>
      <c r="Q16" s="2">
        <v>1893.099975585937</v>
      </c>
      <c r="R16" s="2">
        <f t="shared" si="0"/>
        <v>976747.21289062477</v>
      </c>
      <c r="S16" s="2">
        <f t="shared" si="1"/>
        <v>999556.78710937477</v>
      </c>
      <c r="T16" s="2">
        <f t="shared" si="2"/>
        <v>1976303.9999999995</v>
      </c>
      <c r="U16" s="2">
        <f t="shared" si="3"/>
        <v>988.15</v>
      </c>
      <c r="V16" s="2">
        <f t="shared" si="4"/>
        <v>22809.57421875</v>
      </c>
      <c r="W16" s="2">
        <f t="shared" si="5"/>
        <v>21821.424218749999</v>
      </c>
      <c r="X16" s="2">
        <f t="shared" si="6"/>
        <v>42465548.419220597</v>
      </c>
      <c r="Y16" s="2">
        <f t="shared" si="7"/>
        <v>195349.44</v>
      </c>
      <c r="Z16" s="2">
        <f t="shared" si="8"/>
        <v>11.17</v>
      </c>
      <c r="AA16" s="2">
        <f t="shared" si="11"/>
        <v>42535566.213742077</v>
      </c>
      <c r="AB16" s="2">
        <f t="shared" si="9"/>
        <v>-70017.794521480799</v>
      </c>
    </row>
    <row r="17" spans="1:28">
      <c r="A17" s="2">
        <v>14</v>
      </c>
      <c r="B17" s="2" t="s">
        <v>126</v>
      </c>
      <c r="C17" s="2" t="s">
        <v>36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129</v>
      </c>
      <c r="J17" s="2" t="s">
        <v>130</v>
      </c>
      <c r="K17" s="2">
        <f t="shared" si="10"/>
        <v>42465548.419220597</v>
      </c>
      <c r="L17" s="2" t="s">
        <v>131</v>
      </c>
      <c r="M17" s="2" t="s">
        <v>132</v>
      </c>
      <c r="N17" s="2" t="s">
        <v>131</v>
      </c>
      <c r="O17" s="2">
        <v>125</v>
      </c>
      <c r="P17" s="2">
        <v>6292.009765625</v>
      </c>
      <c r="Q17" s="2">
        <v>6360.25439453125</v>
      </c>
      <c r="R17" s="2">
        <f t="shared" si="0"/>
        <v>786501.220703125</v>
      </c>
      <c r="S17" s="2">
        <f t="shared" si="1"/>
        <v>795031.79931640625</v>
      </c>
      <c r="T17" s="2">
        <f t="shared" si="2"/>
        <v>1581533.0200195313</v>
      </c>
      <c r="U17" s="2">
        <f t="shared" si="3"/>
        <v>790.77</v>
      </c>
      <c r="V17" s="2">
        <f t="shared" si="4"/>
        <v>8530.57861328125</v>
      </c>
      <c r="W17" s="2">
        <f t="shared" si="5"/>
        <v>7739.8086132812496</v>
      </c>
      <c r="X17" s="2">
        <f t="shared" si="6"/>
        <v>42473288.227833875</v>
      </c>
      <c r="Y17" s="2">
        <f t="shared" si="7"/>
        <v>157300.24</v>
      </c>
      <c r="Z17" s="2">
        <f t="shared" si="8"/>
        <v>4.92</v>
      </c>
      <c r="AA17" s="2">
        <f t="shared" si="11"/>
        <v>42535566.213742077</v>
      </c>
      <c r="AB17" s="2">
        <f t="shared" si="9"/>
        <v>-62277.985908202827</v>
      </c>
    </row>
    <row r="18" spans="1:28">
      <c r="A18" s="2">
        <v>15</v>
      </c>
      <c r="B18" s="2" t="s">
        <v>133</v>
      </c>
      <c r="C18" s="2" t="s">
        <v>36</v>
      </c>
      <c r="D18" s="3" t="s">
        <v>37</v>
      </c>
      <c r="E18" s="5" t="s">
        <v>134</v>
      </c>
      <c r="F18" s="2" t="s">
        <v>135</v>
      </c>
      <c r="G18" s="2" t="s">
        <v>63</v>
      </c>
      <c r="H18" s="2" t="s">
        <v>136</v>
      </c>
      <c r="I18" s="2" t="s">
        <v>137</v>
      </c>
      <c r="J18" s="2" t="s">
        <v>138</v>
      </c>
      <c r="K18" s="2">
        <f t="shared" si="10"/>
        <v>42473288.227833875</v>
      </c>
      <c r="L18" s="2" t="s">
        <v>131</v>
      </c>
      <c r="M18" s="2" t="s">
        <v>139</v>
      </c>
      <c r="N18" s="2" t="s">
        <v>140</v>
      </c>
      <c r="O18" s="2">
        <v>5000</v>
      </c>
      <c r="P18" s="2">
        <v>97.743705749511719</v>
      </c>
      <c r="Q18" s="2">
        <v>104.15406799316411</v>
      </c>
      <c r="R18" s="2">
        <f t="shared" si="0"/>
        <v>488718.52874755859</v>
      </c>
      <c r="S18" s="2">
        <f t="shared" si="1"/>
        <v>520770.33996582055</v>
      </c>
      <c r="T18" s="2">
        <f t="shared" si="2"/>
        <v>1009488.8687133791</v>
      </c>
      <c r="U18" s="2">
        <f t="shared" si="3"/>
        <v>504.74</v>
      </c>
      <c r="V18" s="2">
        <f t="shared" si="4"/>
        <v>32051.811218261952</v>
      </c>
      <c r="W18" s="2">
        <f t="shared" si="5"/>
        <v>31547.07121826195</v>
      </c>
      <c r="X18" s="2">
        <f t="shared" si="6"/>
        <v>42504835.299052134</v>
      </c>
      <c r="Y18" s="2">
        <f t="shared" si="7"/>
        <v>97743.71</v>
      </c>
      <c r="Z18" s="2">
        <f t="shared" si="8"/>
        <v>32.28</v>
      </c>
      <c r="AA18" s="2">
        <f t="shared" si="11"/>
        <v>42535566.213742077</v>
      </c>
      <c r="AB18" s="2">
        <f t="shared" si="9"/>
        <v>-30730.914689943194</v>
      </c>
    </row>
    <row r="19" spans="1:28">
      <c r="A19" s="2">
        <v>16</v>
      </c>
      <c r="B19" s="2" t="s">
        <v>141</v>
      </c>
      <c r="C19" s="2" t="s">
        <v>36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145</v>
      </c>
      <c r="J19" s="2" t="s">
        <v>146</v>
      </c>
      <c r="K19" s="2">
        <f t="shared" si="10"/>
        <v>42504835.299052134</v>
      </c>
      <c r="L19" s="2" t="s">
        <v>89</v>
      </c>
      <c r="M19" s="2" t="s">
        <v>147</v>
      </c>
      <c r="N19" s="2" t="s">
        <v>148</v>
      </c>
      <c r="O19" s="2">
        <v>200</v>
      </c>
      <c r="P19" s="2">
        <v>2219.953369140625</v>
      </c>
      <c r="Q19" s="2">
        <v>2206.66357421875</v>
      </c>
      <c r="R19" s="2">
        <f t="shared" si="0"/>
        <v>443990.673828125</v>
      </c>
      <c r="S19" s="2">
        <f t="shared" si="1"/>
        <v>441332.71484375</v>
      </c>
      <c r="T19" s="2">
        <f t="shared" si="2"/>
        <v>885323.388671875</v>
      </c>
      <c r="U19" s="2">
        <f t="shared" si="3"/>
        <v>442.66</v>
      </c>
      <c r="V19" s="2">
        <f t="shared" si="4"/>
        <v>-2657.958984375</v>
      </c>
      <c r="W19" s="2">
        <f t="shared" si="5"/>
        <v>-3100.6189843749999</v>
      </c>
      <c r="X19" s="2">
        <f t="shared" si="6"/>
        <v>42501734.680067763</v>
      </c>
      <c r="Y19" s="2">
        <f t="shared" si="7"/>
        <v>88798.13</v>
      </c>
      <c r="Z19" s="2">
        <f t="shared" si="8"/>
        <v>-3.49</v>
      </c>
      <c r="AA19" s="2">
        <f t="shared" si="11"/>
        <v>42535566.213742077</v>
      </c>
      <c r="AB19" s="2">
        <f t="shared" si="9"/>
        <v>-33831.533674314618</v>
      </c>
    </row>
    <row r="20" spans="1:28">
      <c r="A20" s="2">
        <v>17</v>
      </c>
      <c r="B20" s="2" t="s">
        <v>149</v>
      </c>
      <c r="C20" s="2" t="s">
        <v>36</v>
      </c>
      <c r="D20" s="3" t="s">
        <v>37</v>
      </c>
      <c r="E20" s="5" t="s">
        <v>134</v>
      </c>
      <c r="F20" s="2" t="s">
        <v>135</v>
      </c>
      <c r="G20" s="2" t="s">
        <v>150</v>
      </c>
      <c r="H20" s="2" t="s">
        <v>151</v>
      </c>
      <c r="I20" s="2" t="s">
        <v>78</v>
      </c>
      <c r="J20" s="2" t="s">
        <v>152</v>
      </c>
      <c r="K20" s="2">
        <f t="shared" si="10"/>
        <v>42501734.680067763</v>
      </c>
      <c r="L20" s="2" t="s">
        <v>153</v>
      </c>
      <c r="M20" s="2" t="s">
        <v>148</v>
      </c>
      <c r="N20" s="2" t="s">
        <v>89</v>
      </c>
      <c r="O20" s="2">
        <v>679</v>
      </c>
      <c r="P20" s="2">
        <v>1479.450439453125</v>
      </c>
      <c r="Q20" s="2">
        <v>1500.643188476562</v>
      </c>
      <c r="R20" s="2">
        <f t="shared" si="0"/>
        <v>1004546.8483886719</v>
      </c>
      <c r="S20" s="2">
        <f t="shared" si="1"/>
        <v>1018936.7249755856</v>
      </c>
      <c r="T20" s="2">
        <f t="shared" si="2"/>
        <v>2023483.5733642573</v>
      </c>
      <c r="U20" s="2">
        <f t="shared" si="3"/>
        <v>1011.74</v>
      </c>
      <c r="V20" s="2">
        <f t="shared" si="4"/>
        <v>14389.876586913713</v>
      </c>
      <c r="W20" s="2">
        <f t="shared" si="5"/>
        <v>13378.136586913713</v>
      </c>
      <c r="X20" s="2">
        <f t="shared" si="6"/>
        <v>42515112.816654675</v>
      </c>
      <c r="Y20" s="2">
        <f t="shared" si="7"/>
        <v>200909.37</v>
      </c>
      <c r="Z20" s="2">
        <f t="shared" si="8"/>
        <v>6.66</v>
      </c>
      <c r="AA20" s="2">
        <f t="shared" si="11"/>
        <v>42535566.213742077</v>
      </c>
      <c r="AB20" s="2">
        <f t="shared" si="9"/>
        <v>-20453.397087402642</v>
      </c>
    </row>
    <row r="21" spans="1:28">
      <c r="A21" s="2">
        <v>18</v>
      </c>
      <c r="B21" s="2" t="s">
        <v>154</v>
      </c>
      <c r="C21" s="2" t="s">
        <v>36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157</v>
      </c>
      <c r="J21" s="2" t="s">
        <v>158</v>
      </c>
      <c r="K21" s="2">
        <f t="shared" si="10"/>
        <v>42515112.816654675</v>
      </c>
      <c r="L21" s="2" t="s">
        <v>159</v>
      </c>
      <c r="M21" s="2" t="s">
        <v>45</v>
      </c>
      <c r="N21" s="2" t="s">
        <v>159</v>
      </c>
      <c r="O21" s="2">
        <v>668</v>
      </c>
      <c r="P21" s="2">
        <v>1280</v>
      </c>
      <c r="Q21" s="2">
        <v>1526</v>
      </c>
      <c r="R21" s="2">
        <f t="shared" si="0"/>
        <v>855040</v>
      </c>
      <c r="S21" s="2">
        <f t="shared" si="1"/>
        <v>1019368</v>
      </c>
      <c r="T21" s="2">
        <f t="shared" si="2"/>
        <v>1874408</v>
      </c>
      <c r="U21" s="2">
        <f t="shared" si="3"/>
        <v>937.2</v>
      </c>
      <c r="V21" s="2">
        <f t="shared" si="4"/>
        <v>164328</v>
      </c>
      <c r="W21" s="2">
        <f t="shared" si="5"/>
        <v>163390.79999999999</v>
      </c>
      <c r="X21" s="2">
        <f t="shared" si="6"/>
        <v>42678503.616654672</v>
      </c>
      <c r="Y21" s="2">
        <f t="shared" si="7"/>
        <v>171008</v>
      </c>
      <c r="Z21" s="2">
        <f t="shared" si="8"/>
        <v>95.55</v>
      </c>
      <c r="AA21" s="2">
        <f t="shared" si="11"/>
        <v>42678503.616654672</v>
      </c>
      <c r="AB21" s="2">
        <f t="shared" si="9"/>
        <v>0</v>
      </c>
    </row>
    <row r="22" spans="1:28">
      <c r="A22" s="2">
        <v>19</v>
      </c>
      <c r="B22" s="2" t="s">
        <v>160</v>
      </c>
      <c r="C22" s="2" t="s">
        <v>36</v>
      </c>
      <c r="D22" s="4" t="s">
        <v>61</v>
      </c>
      <c r="E22" s="5" t="s">
        <v>134</v>
      </c>
      <c r="F22" s="2" t="s">
        <v>135</v>
      </c>
      <c r="G22" s="2" t="s">
        <v>161</v>
      </c>
      <c r="H22" s="2" t="s">
        <v>162</v>
      </c>
      <c r="I22" s="2" t="s">
        <v>163</v>
      </c>
      <c r="J22" s="2" t="s">
        <v>164</v>
      </c>
      <c r="K22" s="2">
        <f t="shared" si="10"/>
        <v>42678503.616654672</v>
      </c>
      <c r="L22" s="2" t="s">
        <v>165</v>
      </c>
      <c r="M22" s="2" t="s">
        <v>166</v>
      </c>
      <c r="N22" s="2" t="s">
        <v>167</v>
      </c>
      <c r="O22" s="2">
        <v>970</v>
      </c>
      <c r="P22" s="2">
        <v>562.7559814453125</v>
      </c>
      <c r="Q22" s="2">
        <v>574.3916015625</v>
      </c>
      <c r="R22" s="2">
        <f t="shared" si="0"/>
        <v>545873.30200195313</v>
      </c>
      <c r="S22" s="2">
        <f t="shared" si="1"/>
        <v>557159.853515625</v>
      </c>
      <c r="T22" s="2">
        <f t="shared" si="2"/>
        <v>1103033.1555175781</v>
      </c>
      <c r="U22" s="2">
        <f t="shared" si="3"/>
        <v>551.52</v>
      </c>
      <c r="V22" s="2">
        <f t="shared" si="4"/>
        <v>11286.551513671875</v>
      </c>
      <c r="W22" s="2">
        <f t="shared" si="5"/>
        <v>10735.031513671875</v>
      </c>
      <c r="X22" s="2">
        <f t="shared" si="6"/>
        <v>42689238.64816834</v>
      </c>
      <c r="Y22" s="2">
        <f t="shared" si="7"/>
        <v>109174.66</v>
      </c>
      <c r="Z22" s="2">
        <f t="shared" si="8"/>
        <v>9.83</v>
      </c>
      <c r="AA22" s="2">
        <f t="shared" si="11"/>
        <v>42689238.64816834</v>
      </c>
      <c r="AB22" s="2">
        <f t="shared" si="9"/>
        <v>0</v>
      </c>
    </row>
    <row r="23" spans="1:28">
      <c r="A23" s="2">
        <v>20</v>
      </c>
      <c r="B23" s="2" t="s">
        <v>168</v>
      </c>
      <c r="C23" s="2" t="s">
        <v>36</v>
      </c>
      <c r="D23" s="3" t="s">
        <v>37</v>
      </c>
      <c r="E23" s="5" t="s">
        <v>134</v>
      </c>
      <c r="F23" s="2" t="s">
        <v>135</v>
      </c>
      <c r="G23" s="2" t="s">
        <v>169</v>
      </c>
      <c r="H23" s="2" t="s">
        <v>170</v>
      </c>
      <c r="I23" s="2" t="s">
        <v>171</v>
      </c>
      <c r="J23" s="2" t="s">
        <v>172</v>
      </c>
      <c r="K23" s="2">
        <f t="shared" si="10"/>
        <v>42689238.64816834</v>
      </c>
      <c r="L23" s="2" t="s">
        <v>173</v>
      </c>
      <c r="M23" s="2" t="s">
        <v>174</v>
      </c>
      <c r="N23" s="2" t="s">
        <v>147</v>
      </c>
      <c r="O23" s="2">
        <v>634</v>
      </c>
      <c r="P23" s="2">
        <v>1138.327026367188</v>
      </c>
      <c r="Q23" s="2">
        <v>1187.243286132812</v>
      </c>
      <c r="R23" s="2">
        <f t="shared" si="0"/>
        <v>721699.33471679711</v>
      </c>
      <c r="S23" s="2">
        <f t="shared" si="1"/>
        <v>752712.24340820289</v>
      </c>
      <c r="T23" s="2">
        <f t="shared" si="2"/>
        <v>1474411.578125</v>
      </c>
      <c r="U23" s="2">
        <f t="shared" si="3"/>
        <v>737.21</v>
      </c>
      <c r="V23" s="2">
        <f t="shared" si="4"/>
        <v>31012.908691405784</v>
      </c>
      <c r="W23" s="2">
        <f t="shared" si="5"/>
        <v>30275.698691405785</v>
      </c>
      <c r="X23" s="2">
        <f t="shared" si="6"/>
        <v>42719514.346859746</v>
      </c>
      <c r="Y23" s="2">
        <f t="shared" si="7"/>
        <v>144339.87</v>
      </c>
      <c r="Z23" s="2">
        <f t="shared" si="8"/>
        <v>20.98</v>
      </c>
      <c r="AA23" s="2">
        <f t="shared" si="11"/>
        <v>42719514.346859746</v>
      </c>
      <c r="AB23" s="2">
        <f t="shared" si="9"/>
        <v>0</v>
      </c>
    </row>
    <row r="24" spans="1:28">
      <c r="A24" s="2">
        <v>21</v>
      </c>
      <c r="B24" s="2" t="s">
        <v>175</v>
      </c>
      <c r="C24" s="2" t="s">
        <v>36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179</v>
      </c>
      <c r="J24" s="2" t="s">
        <v>180</v>
      </c>
      <c r="K24" s="2">
        <f t="shared" si="10"/>
        <v>42719514.346859746</v>
      </c>
      <c r="L24" s="2" t="s">
        <v>181</v>
      </c>
      <c r="M24" s="2" t="s">
        <v>182</v>
      </c>
      <c r="N24" s="2" t="s">
        <v>183</v>
      </c>
      <c r="O24" s="2">
        <v>625</v>
      </c>
      <c r="P24" s="2">
        <v>1025.132568359375</v>
      </c>
      <c r="Q24" s="2">
        <v>949.505615234375</v>
      </c>
      <c r="R24" s="2">
        <f t="shared" si="0"/>
        <v>640707.85522460938</v>
      </c>
      <c r="S24" s="2">
        <f t="shared" si="1"/>
        <v>593441.00952148438</v>
      </c>
      <c r="T24" s="2">
        <f t="shared" si="2"/>
        <v>1234148.8647460938</v>
      </c>
      <c r="U24" s="2">
        <f t="shared" si="3"/>
        <v>617.07000000000005</v>
      </c>
      <c r="V24" s="2">
        <f t="shared" si="4"/>
        <v>-47266.845703125</v>
      </c>
      <c r="W24" s="2">
        <f t="shared" si="5"/>
        <v>-47883.915703125</v>
      </c>
      <c r="X24" s="2">
        <f t="shared" si="6"/>
        <v>42671630.43115662</v>
      </c>
      <c r="Y24" s="2">
        <f t="shared" si="7"/>
        <v>128141.57</v>
      </c>
      <c r="Z24" s="2">
        <f t="shared" si="8"/>
        <v>-37.369999999999997</v>
      </c>
      <c r="AA24" s="2">
        <f t="shared" si="11"/>
        <v>42719514.346859746</v>
      </c>
      <c r="AB24" s="2">
        <f t="shared" si="9"/>
        <v>-47883.915703125298</v>
      </c>
    </row>
    <row r="25" spans="1:28">
      <c r="A25" s="2">
        <v>22</v>
      </c>
      <c r="B25" s="2" t="s">
        <v>184</v>
      </c>
      <c r="C25" s="2" t="s">
        <v>36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187</v>
      </c>
      <c r="J25" s="2" t="s">
        <v>188</v>
      </c>
      <c r="K25" s="2">
        <f t="shared" si="10"/>
        <v>42671630.43115662</v>
      </c>
      <c r="L25" s="2" t="s">
        <v>182</v>
      </c>
      <c r="M25" s="2" t="s">
        <v>73</v>
      </c>
      <c r="N25" s="2" t="s">
        <v>189</v>
      </c>
      <c r="O25" s="2">
        <v>125</v>
      </c>
      <c r="P25" s="2">
        <v>8078.63134765625</v>
      </c>
      <c r="Q25" s="2">
        <v>8509.349609375</v>
      </c>
      <c r="R25" s="2">
        <f t="shared" si="0"/>
        <v>1009828.9184570312</v>
      </c>
      <c r="S25" s="2">
        <f t="shared" si="1"/>
        <v>1063668.701171875</v>
      </c>
      <c r="T25" s="2">
        <f t="shared" si="2"/>
        <v>2073497.6196289063</v>
      </c>
      <c r="U25" s="2">
        <f t="shared" si="3"/>
        <v>1036.75</v>
      </c>
      <c r="V25" s="2">
        <f t="shared" si="4"/>
        <v>53839.78271484375</v>
      </c>
      <c r="W25" s="2">
        <f t="shared" si="5"/>
        <v>52803.03271484375</v>
      </c>
      <c r="X25" s="2">
        <f t="shared" si="6"/>
        <v>42724433.463871464</v>
      </c>
      <c r="Y25" s="2">
        <f t="shared" si="7"/>
        <v>201965.78</v>
      </c>
      <c r="Z25" s="2">
        <f t="shared" si="8"/>
        <v>26.14</v>
      </c>
      <c r="AA25" s="2">
        <f t="shared" si="11"/>
        <v>42724433.463871464</v>
      </c>
      <c r="AB25" s="2">
        <f t="shared" si="9"/>
        <v>0</v>
      </c>
    </row>
    <row r="26" spans="1:28">
      <c r="A26" s="2">
        <v>23</v>
      </c>
      <c r="B26" s="2" t="s">
        <v>190</v>
      </c>
      <c r="C26" s="2" t="s">
        <v>36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193</v>
      </c>
      <c r="J26" s="2" t="s">
        <v>194</v>
      </c>
      <c r="K26" s="2">
        <f t="shared" si="10"/>
        <v>42724433.463871464</v>
      </c>
      <c r="L26" s="2" t="s">
        <v>89</v>
      </c>
      <c r="M26" s="2" t="s">
        <v>173</v>
      </c>
      <c r="N26" s="2" t="s">
        <v>89</v>
      </c>
      <c r="O26" s="2">
        <v>500</v>
      </c>
      <c r="P26" s="2">
        <v>1742.862915039062</v>
      </c>
      <c r="Q26" s="2">
        <v>1751.651123046875</v>
      </c>
      <c r="R26" s="2">
        <f t="shared" si="0"/>
        <v>871431.45751953102</v>
      </c>
      <c r="S26" s="2">
        <f t="shared" si="1"/>
        <v>875825.5615234375</v>
      </c>
      <c r="T26" s="2">
        <f t="shared" si="2"/>
        <v>1747257.0190429685</v>
      </c>
      <c r="U26" s="2">
        <f t="shared" si="3"/>
        <v>873.63</v>
      </c>
      <c r="V26" s="2">
        <f t="shared" si="4"/>
        <v>4394.1040039064828</v>
      </c>
      <c r="W26" s="2">
        <f t="shared" si="5"/>
        <v>3520.4740039064827</v>
      </c>
      <c r="X26" s="2">
        <f t="shared" si="6"/>
        <v>42727953.937875368</v>
      </c>
      <c r="Y26" s="2">
        <f t="shared" si="7"/>
        <v>174286.29</v>
      </c>
      <c r="Z26" s="2">
        <f t="shared" si="8"/>
        <v>2.02</v>
      </c>
      <c r="AA26" s="2">
        <f t="shared" si="11"/>
        <v>42727953.937875368</v>
      </c>
      <c r="AB26" s="2">
        <f t="shared" si="9"/>
        <v>0</v>
      </c>
    </row>
    <row r="27" spans="1:28">
      <c r="A27" s="2">
        <v>24</v>
      </c>
      <c r="B27" s="2" t="s">
        <v>195</v>
      </c>
      <c r="C27" s="2" t="s">
        <v>36</v>
      </c>
      <c r="D27" s="3" t="s">
        <v>37</v>
      </c>
      <c r="E27" s="5" t="s">
        <v>134</v>
      </c>
      <c r="F27" s="2" t="s">
        <v>135</v>
      </c>
      <c r="G27" s="2" t="s">
        <v>103</v>
      </c>
      <c r="H27" s="2" t="s">
        <v>196</v>
      </c>
      <c r="I27" s="2" t="s">
        <v>197</v>
      </c>
      <c r="J27" s="2" t="s">
        <v>198</v>
      </c>
      <c r="K27" s="2">
        <f t="shared" si="10"/>
        <v>42727953.937875368</v>
      </c>
      <c r="L27" s="2" t="s">
        <v>182</v>
      </c>
      <c r="M27" s="2" t="s">
        <v>148</v>
      </c>
      <c r="N27" s="2" t="s">
        <v>89</v>
      </c>
      <c r="O27" s="2">
        <v>100</v>
      </c>
      <c r="P27" s="2">
        <v>10984.197265625</v>
      </c>
      <c r="Q27" s="2">
        <v>11511.4697265625</v>
      </c>
      <c r="R27" s="2">
        <f t="shared" si="0"/>
        <v>1098419.7265625</v>
      </c>
      <c r="S27" s="2">
        <f t="shared" si="1"/>
        <v>1151146.97265625</v>
      </c>
      <c r="T27" s="2">
        <f t="shared" si="2"/>
        <v>2249566.69921875</v>
      </c>
      <c r="U27" s="2">
        <f t="shared" si="3"/>
        <v>1124.78</v>
      </c>
      <c r="V27" s="2">
        <f t="shared" si="4"/>
        <v>52727.24609375</v>
      </c>
      <c r="W27" s="2">
        <f t="shared" si="5"/>
        <v>51602.466093750001</v>
      </c>
      <c r="X27" s="2">
        <f t="shared" si="6"/>
        <v>42779556.403969117</v>
      </c>
      <c r="Y27" s="2">
        <f t="shared" si="7"/>
        <v>219683.95</v>
      </c>
      <c r="Z27" s="2">
        <f t="shared" si="8"/>
        <v>23.49</v>
      </c>
      <c r="AA27" s="2">
        <f t="shared" si="11"/>
        <v>42779556.403969117</v>
      </c>
      <c r="AB27" s="2">
        <f t="shared" si="9"/>
        <v>0</v>
      </c>
    </row>
    <row r="28" spans="1:28">
      <c r="A28" s="2">
        <v>25</v>
      </c>
      <c r="B28" s="2" t="s">
        <v>199</v>
      </c>
      <c r="C28" s="2" t="s">
        <v>36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202</v>
      </c>
      <c r="J28" s="2" t="s">
        <v>203</v>
      </c>
      <c r="K28" s="2">
        <f t="shared" si="10"/>
        <v>42779556.403969117</v>
      </c>
      <c r="L28" s="2" t="s">
        <v>204</v>
      </c>
      <c r="M28" s="2" t="s">
        <v>148</v>
      </c>
      <c r="N28" s="2" t="s">
        <v>189</v>
      </c>
      <c r="O28" s="2">
        <v>125</v>
      </c>
      <c r="P28" s="2">
        <v>751.376220703125</v>
      </c>
      <c r="Q28" s="2">
        <v>837.19091796875</v>
      </c>
      <c r="R28" s="2">
        <f t="shared" si="0"/>
        <v>93922.027587890625</v>
      </c>
      <c r="S28" s="2">
        <f t="shared" si="1"/>
        <v>104648.86474609375</v>
      </c>
      <c r="T28" s="2">
        <f t="shared" si="2"/>
        <v>198570.89233398437</v>
      </c>
      <c r="U28" s="2">
        <f t="shared" si="3"/>
        <v>99.29</v>
      </c>
      <c r="V28" s="2">
        <f t="shared" si="4"/>
        <v>10726.837158203125</v>
      </c>
      <c r="W28" s="2">
        <f t="shared" si="5"/>
        <v>10627.547158203124</v>
      </c>
      <c r="X28" s="2">
        <f t="shared" si="6"/>
        <v>42790183.951127321</v>
      </c>
      <c r="Y28" s="2">
        <f t="shared" si="7"/>
        <v>18784.41</v>
      </c>
      <c r="Z28" s="2">
        <f t="shared" si="8"/>
        <v>56.58</v>
      </c>
      <c r="AA28" s="2">
        <f t="shared" si="11"/>
        <v>42790183.951127321</v>
      </c>
      <c r="AB28" s="2">
        <f t="shared" si="9"/>
        <v>0</v>
      </c>
    </row>
    <row r="29" spans="1:28">
      <c r="A29" s="2">
        <v>26</v>
      </c>
      <c r="B29" s="2" t="s">
        <v>205</v>
      </c>
      <c r="C29" s="2" t="s">
        <v>36</v>
      </c>
      <c r="D29" s="3" t="s">
        <v>37</v>
      </c>
      <c r="E29" s="5" t="s">
        <v>134</v>
      </c>
      <c r="F29" s="2" t="s">
        <v>135</v>
      </c>
      <c r="G29" s="2" t="s">
        <v>54</v>
      </c>
      <c r="H29" s="2" t="s">
        <v>206</v>
      </c>
      <c r="I29" s="2" t="s">
        <v>207</v>
      </c>
      <c r="J29" s="2" t="s">
        <v>208</v>
      </c>
      <c r="K29" s="2">
        <f t="shared" si="10"/>
        <v>42790183.951127321</v>
      </c>
      <c r="L29" s="2" t="s">
        <v>204</v>
      </c>
      <c r="M29" s="2" t="s">
        <v>88</v>
      </c>
      <c r="N29" s="2" t="s">
        <v>73</v>
      </c>
      <c r="O29" s="2">
        <v>6099</v>
      </c>
      <c r="P29" s="2">
        <v>148.465087890625</v>
      </c>
      <c r="Q29" s="2">
        <v>151.25520324707031</v>
      </c>
      <c r="R29" s="2">
        <f t="shared" si="0"/>
        <v>905488.57104492188</v>
      </c>
      <c r="S29" s="2">
        <f t="shared" si="1"/>
        <v>922505.48460388184</v>
      </c>
      <c r="T29" s="2">
        <f t="shared" si="2"/>
        <v>1827994.0556488037</v>
      </c>
      <c r="U29" s="2">
        <f t="shared" si="3"/>
        <v>914</v>
      </c>
      <c r="V29" s="2">
        <f t="shared" si="4"/>
        <v>17016.913558959961</v>
      </c>
      <c r="W29" s="2">
        <f t="shared" si="5"/>
        <v>16102.913558959961</v>
      </c>
      <c r="X29" s="2">
        <f t="shared" si="6"/>
        <v>42806286.86468628</v>
      </c>
      <c r="Y29" s="2">
        <f t="shared" si="7"/>
        <v>181097.71</v>
      </c>
      <c r="Z29" s="2">
        <f t="shared" si="8"/>
        <v>8.89</v>
      </c>
      <c r="AA29" s="2">
        <f t="shared" si="11"/>
        <v>42806286.86468628</v>
      </c>
      <c r="AB29" s="2">
        <f t="shared" si="9"/>
        <v>0</v>
      </c>
    </row>
    <row r="30" spans="1:28">
      <c r="A30" s="2">
        <v>27</v>
      </c>
      <c r="B30" s="2" t="s">
        <v>209</v>
      </c>
      <c r="C30" s="2" t="s">
        <v>36</v>
      </c>
      <c r="D30" s="4" t="s">
        <v>61</v>
      </c>
      <c r="E30" s="5" t="s">
        <v>134</v>
      </c>
      <c r="F30" s="2" t="s">
        <v>135</v>
      </c>
      <c r="G30" s="2" t="s">
        <v>103</v>
      </c>
      <c r="H30" s="2" t="s">
        <v>210</v>
      </c>
      <c r="I30" s="2" t="s">
        <v>211</v>
      </c>
      <c r="J30" s="2" t="s">
        <v>212</v>
      </c>
      <c r="K30" s="2">
        <f t="shared" si="10"/>
        <v>42806286.86468628</v>
      </c>
      <c r="L30" s="2" t="s">
        <v>182</v>
      </c>
      <c r="M30" s="2" t="s">
        <v>148</v>
      </c>
      <c r="N30" s="2" t="s">
        <v>89</v>
      </c>
      <c r="O30" s="2">
        <v>4138</v>
      </c>
      <c r="P30" s="2">
        <v>199.34986877441409</v>
      </c>
      <c r="Q30" s="2">
        <v>214.58506774902341</v>
      </c>
      <c r="R30" s="2">
        <f t="shared" si="0"/>
        <v>824909.75698852551</v>
      </c>
      <c r="S30" s="2">
        <f t="shared" si="1"/>
        <v>887953.01034545887</v>
      </c>
      <c r="T30" s="2">
        <f t="shared" si="2"/>
        <v>1712862.7673339844</v>
      </c>
      <c r="U30" s="2">
        <f t="shared" si="3"/>
        <v>856.43</v>
      </c>
      <c r="V30" s="2">
        <f t="shared" si="4"/>
        <v>63043.253356933361</v>
      </c>
      <c r="W30" s="2">
        <f t="shared" si="5"/>
        <v>62186.823356933361</v>
      </c>
      <c r="X30" s="2">
        <f t="shared" si="6"/>
        <v>42868473.688043214</v>
      </c>
      <c r="Y30" s="2">
        <f t="shared" si="7"/>
        <v>164981.95000000001</v>
      </c>
      <c r="Z30" s="2">
        <f t="shared" si="8"/>
        <v>37.69</v>
      </c>
      <c r="AA30" s="2">
        <f t="shared" si="11"/>
        <v>42868473.688043214</v>
      </c>
      <c r="AB30" s="2">
        <f t="shared" si="9"/>
        <v>0</v>
      </c>
    </row>
    <row r="31" spans="1:28">
      <c r="A31" s="2">
        <v>28</v>
      </c>
      <c r="B31" s="2" t="s">
        <v>213</v>
      </c>
      <c r="C31" s="2" t="s">
        <v>36</v>
      </c>
      <c r="D31" s="4" t="s">
        <v>61</v>
      </c>
      <c r="E31" s="5" t="s">
        <v>134</v>
      </c>
      <c r="F31" s="2" t="s">
        <v>135</v>
      </c>
      <c r="G31" s="2" t="s">
        <v>54</v>
      </c>
      <c r="H31" s="2" t="s">
        <v>214</v>
      </c>
      <c r="I31" s="2" t="s">
        <v>215</v>
      </c>
      <c r="J31" s="2" t="s">
        <v>216</v>
      </c>
      <c r="K31" s="2">
        <f t="shared" si="10"/>
        <v>42868473.688043214</v>
      </c>
      <c r="L31" s="2" t="s">
        <v>217</v>
      </c>
      <c r="M31" s="2" t="s">
        <v>89</v>
      </c>
      <c r="N31" s="2" t="s">
        <v>167</v>
      </c>
      <c r="O31" s="2">
        <v>7287</v>
      </c>
      <c r="P31" s="2">
        <v>103.9404830932617</v>
      </c>
      <c r="Q31" s="2">
        <v>93.502502441406236</v>
      </c>
      <c r="R31" s="2">
        <f t="shared" si="0"/>
        <v>757414.30030059803</v>
      </c>
      <c r="S31" s="2">
        <f t="shared" si="1"/>
        <v>681352.73529052723</v>
      </c>
      <c r="T31" s="2">
        <f t="shared" si="2"/>
        <v>1438767.0355911253</v>
      </c>
      <c r="U31" s="2">
        <f t="shared" si="3"/>
        <v>719.38</v>
      </c>
      <c r="V31" s="2">
        <f t="shared" si="4"/>
        <v>-76061.565010070801</v>
      </c>
      <c r="W31" s="2">
        <f t="shared" si="5"/>
        <v>-76780.945010070805</v>
      </c>
      <c r="X31" s="2">
        <f t="shared" si="6"/>
        <v>42791692.743033141</v>
      </c>
      <c r="Y31" s="2">
        <f t="shared" si="7"/>
        <v>151482.85999999999</v>
      </c>
      <c r="Z31" s="2">
        <f t="shared" si="8"/>
        <v>-50.69</v>
      </c>
      <c r="AA31" s="2">
        <f t="shared" si="11"/>
        <v>42868473.688043214</v>
      </c>
      <c r="AB31" s="2">
        <f t="shared" si="9"/>
        <v>-76780.945010073483</v>
      </c>
    </row>
    <row r="32" spans="1:28">
      <c r="A32" s="2">
        <v>29</v>
      </c>
      <c r="B32" s="2" t="s">
        <v>218</v>
      </c>
      <c r="C32" s="2" t="s">
        <v>36</v>
      </c>
      <c r="D32" s="4" t="s">
        <v>61</v>
      </c>
      <c r="E32" s="5" t="s">
        <v>134</v>
      </c>
      <c r="F32" s="2" t="s">
        <v>135</v>
      </c>
      <c r="G32" s="2" t="s">
        <v>161</v>
      </c>
      <c r="H32" s="2" t="s">
        <v>219</v>
      </c>
      <c r="I32" s="2" t="s">
        <v>220</v>
      </c>
      <c r="J32" s="2" t="s">
        <v>221</v>
      </c>
      <c r="K32" s="2">
        <f t="shared" si="10"/>
        <v>42791692.743033141</v>
      </c>
      <c r="L32" s="2" t="s">
        <v>222</v>
      </c>
      <c r="M32" s="2" t="s">
        <v>223</v>
      </c>
      <c r="N32" s="2" t="s">
        <v>224</v>
      </c>
      <c r="O32" s="2">
        <v>793</v>
      </c>
      <c r="P32" s="2">
        <v>1138.883544921875</v>
      </c>
      <c r="Q32" s="2">
        <v>1007.554260253906</v>
      </c>
      <c r="R32" s="2">
        <f t="shared" si="0"/>
        <v>903134.65112304687</v>
      </c>
      <c r="S32" s="2">
        <f t="shared" si="1"/>
        <v>798990.52838134742</v>
      </c>
      <c r="T32" s="2">
        <f t="shared" si="2"/>
        <v>1702125.1795043943</v>
      </c>
      <c r="U32" s="2">
        <f t="shared" si="3"/>
        <v>851.06</v>
      </c>
      <c r="V32" s="2">
        <f t="shared" si="4"/>
        <v>-104144.12274169945</v>
      </c>
      <c r="W32" s="2">
        <f t="shared" si="5"/>
        <v>-104995.18274169945</v>
      </c>
      <c r="X32" s="2">
        <f t="shared" si="6"/>
        <v>42686697.560291439</v>
      </c>
      <c r="Y32" s="2">
        <f t="shared" si="7"/>
        <v>180626.93</v>
      </c>
      <c r="Z32" s="2">
        <f t="shared" si="8"/>
        <v>-58.13</v>
      </c>
      <c r="AA32" s="2">
        <f t="shared" si="11"/>
        <v>42868473.688043214</v>
      </c>
      <c r="AB32" s="2">
        <f t="shared" si="9"/>
        <v>-181776.12775177509</v>
      </c>
    </row>
    <row r="33" spans="1:28">
      <c r="A33" s="2">
        <v>30</v>
      </c>
      <c r="B33" s="2" t="s">
        <v>225</v>
      </c>
      <c r="C33" s="2" t="s">
        <v>36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228</v>
      </c>
      <c r="J33" s="2" t="s">
        <v>229</v>
      </c>
      <c r="K33" s="2">
        <f t="shared" si="10"/>
        <v>42686697.560291439</v>
      </c>
      <c r="L33" s="2" t="s">
        <v>87</v>
      </c>
      <c r="M33" s="2" t="s">
        <v>88</v>
      </c>
      <c r="N33" s="2" t="s">
        <v>89</v>
      </c>
      <c r="O33" s="2">
        <v>2438</v>
      </c>
      <c r="P33" s="2">
        <v>285.47805786132813</v>
      </c>
      <c r="Q33" s="2">
        <v>267.10150146484369</v>
      </c>
      <c r="R33" s="2">
        <f t="shared" si="0"/>
        <v>695995.50506591797</v>
      </c>
      <c r="S33" s="2">
        <f t="shared" si="1"/>
        <v>651193.46057128895</v>
      </c>
      <c r="T33" s="2">
        <f t="shared" si="2"/>
        <v>1347188.965637207</v>
      </c>
      <c r="U33" s="2">
        <f t="shared" si="3"/>
        <v>673.59</v>
      </c>
      <c r="V33" s="2">
        <f t="shared" si="4"/>
        <v>-44802.044494629023</v>
      </c>
      <c r="W33" s="2">
        <f t="shared" si="5"/>
        <v>-45475.634494629019</v>
      </c>
      <c r="X33" s="2">
        <f t="shared" si="6"/>
        <v>42641221.925796807</v>
      </c>
      <c r="Y33" s="2">
        <f t="shared" si="7"/>
        <v>139199.1</v>
      </c>
      <c r="Z33" s="2">
        <f t="shared" si="8"/>
        <v>-32.67</v>
      </c>
      <c r="AA33" s="2">
        <f t="shared" si="11"/>
        <v>42868473.688043214</v>
      </c>
      <c r="AB33" s="2">
        <f t="shared" si="9"/>
        <v>-227251.76224640757</v>
      </c>
    </row>
    <row r="34" spans="1:28">
      <c r="A34" s="2">
        <v>31</v>
      </c>
      <c r="B34" s="2" t="s">
        <v>230</v>
      </c>
      <c r="C34" s="2" t="s">
        <v>36</v>
      </c>
      <c r="D34" s="4" t="s">
        <v>61</v>
      </c>
      <c r="E34" s="5" t="s">
        <v>134</v>
      </c>
      <c r="F34" s="2" t="s">
        <v>135</v>
      </c>
      <c r="G34" s="2" t="s">
        <v>231</v>
      </c>
      <c r="H34" s="2" t="s">
        <v>232</v>
      </c>
      <c r="I34" s="2" t="s">
        <v>233</v>
      </c>
      <c r="J34" s="2" t="s">
        <v>234</v>
      </c>
      <c r="K34" s="2">
        <f t="shared" si="10"/>
        <v>42641221.925796807</v>
      </c>
      <c r="L34" s="2" t="s">
        <v>148</v>
      </c>
      <c r="M34" s="2" t="s">
        <v>235</v>
      </c>
      <c r="N34" s="2" t="s">
        <v>139</v>
      </c>
      <c r="O34" s="2">
        <v>461</v>
      </c>
      <c r="P34" s="2">
        <v>1066.430786132812</v>
      </c>
      <c r="Q34" s="2">
        <v>1158.946899414062</v>
      </c>
      <c r="R34" s="2">
        <f t="shared" si="0"/>
        <v>491624.59240722633</v>
      </c>
      <c r="S34" s="2">
        <f t="shared" si="1"/>
        <v>534274.52062988258</v>
      </c>
      <c r="T34" s="2">
        <f t="shared" si="2"/>
        <v>1025899.1130371089</v>
      </c>
      <c r="U34" s="2">
        <f t="shared" si="3"/>
        <v>512.95000000000005</v>
      </c>
      <c r="V34" s="2">
        <f t="shared" si="4"/>
        <v>42649.92822265625</v>
      </c>
      <c r="W34" s="2">
        <f t="shared" si="5"/>
        <v>42136.978222656253</v>
      </c>
      <c r="X34" s="2">
        <f t="shared" si="6"/>
        <v>42683358.90401946</v>
      </c>
      <c r="Y34" s="2">
        <f t="shared" si="7"/>
        <v>98324.92</v>
      </c>
      <c r="Z34" s="2">
        <f t="shared" si="8"/>
        <v>42.85</v>
      </c>
      <c r="AA34" s="2">
        <f t="shared" si="11"/>
        <v>42868473.688043214</v>
      </c>
      <c r="AB34" s="2">
        <f t="shared" si="9"/>
        <v>-185114.7840237543</v>
      </c>
    </row>
    <row r="35" spans="1:28">
      <c r="A35" s="2">
        <v>32</v>
      </c>
      <c r="B35" s="2" t="s">
        <v>236</v>
      </c>
      <c r="C35" s="2" t="s">
        <v>36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239</v>
      </c>
      <c r="J35" s="2" t="s">
        <v>232</v>
      </c>
      <c r="K35" s="2">
        <f t="shared" si="10"/>
        <v>42683358.90401946</v>
      </c>
      <c r="L35" s="2" t="s">
        <v>189</v>
      </c>
      <c r="M35" s="2" t="s">
        <v>139</v>
      </c>
      <c r="N35" s="2" t="s">
        <v>147</v>
      </c>
      <c r="O35" s="2">
        <v>950</v>
      </c>
      <c r="P35" s="2">
        <v>1587.181274414062</v>
      </c>
      <c r="Q35" s="2">
        <v>1700.384887695312</v>
      </c>
      <c r="R35" s="2">
        <f t="shared" si="0"/>
        <v>1507822.2106933589</v>
      </c>
      <c r="S35" s="2">
        <f t="shared" si="1"/>
        <v>1615365.6433105464</v>
      </c>
      <c r="T35" s="2">
        <f t="shared" si="2"/>
        <v>3123187.8540039053</v>
      </c>
      <c r="U35" s="2">
        <f t="shared" si="3"/>
        <v>1561.59</v>
      </c>
      <c r="V35" s="2">
        <f t="shared" si="4"/>
        <v>107543.4326171875</v>
      </c>
      <c r="W35" s="2">
        <f t="shared" si="5"/>
        <v>105981.8426171875</v>
      </c>
      <c r="X35" s="2">
        <f t="shared" si="6"/>
        <v>42789340.746636644</v>
      </c>
      <c r="Y35" s="2">
        <f t="shared" si="7"/>
        <v>301564.44</v>
      </c>
      <c r="Z35" s="2">
        <f t="shared" si="8"/>
        <v>35.14</v>
      </c>
      <c r="AA35" s="2">
        <f t="shared" si="11"/>
        <v>42868473.688043214</v>
      </c>
      <c r="AB35" s="2">
        <f t="shared" si="9"/>
        <v>-79132.941406570375</v>
      </c>
    </row>
    <row r="36" spans="1:28">
      <c r="A36" s="2">
        <v>33</v>
      </c>
      <c r="B36" s="2" t="s">
        <v>240</v>
      </c>
      <c r="C36" s="2" t="s">
        <v>36</v>
      </c>
      <c r="D36" s="4" t="s">
        <v>61</v>
      </c>
      <c r="E36" s="5" t="s">
        <v>134</v>
      </c>
      <c r="F36" s="2" t="s">
        <v>135</v>
      </c>
      <c r="G36" s="2" t="s">
        <v>241</v>
      </c>
      <c r="H36" s="2" t="s">
        <v>242</v>
      </c>
      <c r="I36" s="2" t="s">
        <v>243</v>
      </c>
      <c r="J36" s="2" t="s">
        <v>244</v>
      </c>
      <c r="K36" s="2">
        <f t="shared" si="10"/>
        <v>42789340.746636644</v>
      </c>
      <c r="L36" s="2" t="s">
        <v>87</v>
      </c>
      <c r="M36" s="2" t="s">
        <v>173</v>
      </c>
      <c r="N36" s="2" t="s">
        <v>204</v>
      </c>
      <c r="O36" s="2">
        <v>2481</v>
      </c>
      <c r="P36" s="2">
        <v>198.9587707519531</v>
      </c>
      <c r="Q36" s="2">
        <v>204.36991882324219</v>
      </c>
      <c r="R36" s="2">
        <f t="shared" si="0"/>
        <v>493616.71023559564</v>
      </c>
      <c r="S36" s="2">
        <f t="shared" si="1"/>
        <v>507041.76860046387</v>
      </c>
      <c r="T36" s="2">
        <f t="shared" si="2"/>
        <v>1000658.4788360596</v>
      </c>
      <c r="U36" s="2">
        <f t="shared" si="3"/>
        <v>500.33</v>
      </c>
      <c r="V36" s="2">
        <f t="shared" si="4"/>
        <v>13425.058364868222</v>
      </c>
      <c r="W36" s="2">
        <f t="shared" si="5"/>
        <v>12924.728364868222</v>
      </c>
      <c r="X36" s="2">
        <f t="shared" si="6"/>
        <v>42802265.475001514</v>
      </c>
      <c r="Y36" s="2">
        <f t="shared" si="7"/>
        <v>98723.34</v>
      </c>
      <c r="Z36" s="2">
        <f t="shared" si="8"/>
        <v>13.09</v>
      </c>
      <c r="AA36" s="2">
        <f t="shared" si="11"/>
        <v>42868473.688043214</v>
      </c>
      <c r="AB36" s="2">
        <f t="shared" si="9"/>
        <v>-66208.213041700423</v>
      </c>
    </row>
    <row r="37" spans="1:28">
      <c r="A37" s="2">
        <v>34</v>
      </c>
      <c r="B37" s="2" t="s">
        <v>245</v>
      </c>
      <c r="C37" s="2" t="s">
        <v>36</v>
      </c>
      <c r="D37" s="4" t="s">
        <v>61</v>
      </c>
      <c r="E37" s="5" t="s">
        <v>134</v>
      </c>
      <c r="F37" s="2" t="s">
        <v>135</v>
      </c>
      <c r="G37" s="2" t="s">
        <v>231</v>
      </c>
      <c r="H37" s="2" t="s">
        <v>99</v>
      </c>
      <c r="I37" s="2" t="s">
        <v>246</v>
      </c>
      <c r="J37" s="2" t="s">
        <v>247</v>
      </c>
      <c r="K37" s="2">
        <f t="shared" si="10"/>
        <v>42802265.475001514</v>
      </c>
      <c r="L37" s="2" t="s">
        <v>87</v>
      </c>
      <c r="M37" s="2" t="s">
        <v>173</v>
      </c>
      <c r="N37" s="2" t="s">
        <v>73</v>
      </c>
      <c r="O37" s="2">
        <v>2351</v>
      </c>
      <c r="P37" s="2">
        <v>369.51345825195312</v>
      </c>
      <c r="Q37" s="2">
        <v>387.06893920898437</v>
      </c>
      <c r="R37" s="2">
        <f t="shared" si="0"/>
        <v>868726.1403503418</v>
      </c>
      <c r="S37" s="2">
        <f t="shared" si="1"/>
        <v>909999.07608032227</v>
      </c>
      <c r="T37" s="2">
        <f t="shared" si="2"/>
        <v>1778725.2164306641</v>
      </c>
      <c r="U37" s="2">
        <f t="shared" si="3"/>
        <v>889.36</v>
      </c>
      <c r="V37" s="2">
        <f t="shared" si="4"/>
        <v>41272.935729980469</v>
      </c>
      <c r="W37" s="2">
        <f t="shared" si="5"/>
        <v>40383.575729980468</v>
      </c>
      <c r="X37" s="2">
        <f t="shared" si="6"/>
        <v>42842649.050731495</v>
      </c>
      <c r="Y37" s="2">
        <f t="shared" si="7"/>
        <v>173745.23</v>
      </c>
      <c r="Z37" s="2">
        <f t="shared" si="8"/>
        <v>23.24</v>
      </c>
      <c r="AA37" s="2">
        <f t="shared" si="11"/>
        <v>42868473.688043214</v>
      </c>
      <c r="AB37" s="2">
        <f t="shared" si="9"/>
        <v>-25824.637311719358</v>
      </c>
    </row>
    <row r="38" spans="1:28">
      <c r="A38" s="2">
        <v>35</v>
      </c>
      <c r="B38" s="2" t="s">
        <v>248</v>
      </c>
      <c r="C38" s="2" t="s">
        <v>36</v>
      </c>
      <c r="D38" s="4" t="s">
        <v>61</v>
      </c>
      <c r="E38" s="5" t="s">
        <v>134</v>
      </c>
      <c r="F38" s="2" t="s">
        <v>135</v>
      </c>
      <c r="G38" s="2" t="s">
        <v>161</v>
      </c>
      <c r="H38" s="2" t="s">
        <v>192</v>
      </c>
      <c r="I38" s="2" t="s">
        <v>249</v>
      </c>
      <c r="J38" s="2" t="s">
        <v>250</v>
      </c>
      <c r="K38" s="2">
        <f t="shared" si="10"/>
        <v>42842649.050731495</v>
      </c>
      <c r="L38" s="2" t="s">
        <v>251</v>
      </c>
      <c r="M38" s="2" t="s">
        <v>89</v>
      </c>
      <c r="N38" s="2" t="s">
        <v>189</v>
      </c>
      <c r="O38" s="2">
        <v>591</v>
      </c>
      <c r="P38" s="2">
        <v>1780.671630859375</v>
      </c>
      <c r="Q38" s="2">
        <v>1904.8134765625</v>
      </c>
      <c r="R38" s="2">
        <f t="shared" si="0"/>
        <v>1052376.9338378906</v>
      </c>
      <c r="S38" s="2">
        <f t="shared" si="1"/>
        <v>1125744.7646484375</v>
      </c>
      <c r="T38" s="2">
        <f t="shared" si="2"/>
        <v>2178121.6984863281</v>
      </c>
      <c r="U38" s="2">
        <f t="shared" si="3"/>
        <v>1089.06</v>
      </c>
      <c r="V38" s="2">
        <f t="shared" si="4"/>
        <v>73367.830810546875</v>
      </c>
      <c r="W38" s="2">
        <f t="shared" si="5"/>
        <v>72278.770810546877</v>
      </c>
      <c r="X38" s="2">
        <f t="shared" si="6"/>
        <v>42914927.82154204</v>
      </c>
      <c r="Y38" s="2">
        <f t="shared" si="7"/>
        <v>210475.39</v>
      </c>
      <c r="Z38" s="2">
        <f t="shared" si="8"/>
        <v>34.340000000000003</v>
      </c>
      <c r="AA38" s="2">
        <f t="shared" si="11"/>
        <v>42914927.82154204</v>
      </c>
      <c r="AB38" s="2">
        <f t="shared" si="9"/>
        <v>0</v>
      </c>
    </row>
    <row r="39" spans="1:28">
      <c r="A39" s="2">
        <v>36</v>
      </c>
      <c r="B39" s="2" t="s">
        <v>252</v>
      </c>
      <c r="C39" s="2" t="s">
        <v>36</v>
      </c>
      <c r="D39" s="4" t="s">
        <v>61</v>
      </c>
      <c r="E39" s="5" t="s">
        <v>134</v>
      </c>
      <c r="F39" s="2" t="s">
        <v>135</v>
      </c>
      <c r="G39" s="2" t="s">
        <v>150</v>
      </c>
      <c r="H39" s="2" t="s">
        <v>253</v>
      </c>
      <c r="I39" s="2" t="s">
        <v>254</v>
      </c>
      <c r="J39" s="2" t="s">
        <v>255</v>
      </c>
      <c r="K39" s="2">
        <f t="shared" si="10"/>
        <v>42914927.82154204</v>
      </c>
      <c r="L39" s="2" t="s">
        <v>183</v>
      </c>
      <c r="M39" s="2" t="s">
        <v>173</v>
      </c>
      <c r="N39" s="2" t="s">
        <v>204</v>
      </c>
      <c r="O39" s="2">
        <v>100</v>
      </c>
      <c r="P39" s="2">
        <v>28305.07421875</v>
      </c>
      <c r="Q39" s="2">
        <v>30934.486328125</v>
      </c>
      <c r="R39" s="2">
        <f t="shared" si="0"/>
        <v>2830507.421875</v>
      </c>
      <c r="S39" s="2">
        <f t="shared" si="1"/>
        <v>3093448.6328125</v>
      </c>
      <c r="T39" s="2">
        <f t="shared" si="2"/>
        <v>5923956.0546875</v>
      </c>
      <c r="U39" s="2">
        <f t="shared" si="3"/>
        <v>2961.98</v>
      </c>
      <c r="V39" s="2">
        <f t="shared" si="4"/>
        <v>262941.2109375</v>
      </c>
      <c r="W39" s="2">
        <f t="shared" si="5"/>
        <v>259979.23093749999</v>
      </c>
      <c r="X39" s="2">
        <f t="shared" si="6"/>
        <v>43174907.052479543</v>
      </c>
      <c r="Y39" s="2">
        <f t="shared" si="7"/>
        <v>566101.48</v>
      </c>
      <c r="Z39" s="2">
        <f t="shared" si="8"/>
        <v>45.92</v>
      </c>
      <c r="AA39" s="2">
        <f t="shared" si="11"/>
        <v>43174907.052479543</v>
      </c>
      <c r="AB39" s="2">
        <f t="shared" si="9"/>
        <v>0</v>
      </c>
    </row>
    <row r="40" spans="1:28">
      <c r="A40" s="2">
        <v>37</v>
      </c>
      <c r="B40" s="2" t="s">
        <v>256</v>
      </c>
      <c r="C40" s="2" t="s">
        <v>36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257</v>
      </c>
      <c r="J40" s="2" t="s">
        <v>258</v>
      </c>
      <c r="K40" s="2">
        <f t="shared" si="10"/>
        <v>43174907.052479543</v>
      </c>
      <c r="L40" s="2" t="s">
        <v>251</v>
      </c>
      <c r="M40" s="2" t="s">
        <v>89</v>
      </c>
      <c r="N40" s="2" t="s">
        <v>182</v>
      </c>
      <c r="O40" s="2">
        <v>1800</v>
      </c>
      <c r="P40" s="2">
        <v>241.36296081542969</v>
      </c>
      <c r="Q40" s="2">
        <v>251.82722473144531</v>
      </c>
      <c r="R40" s="2">
        <f t="shared" si="0"/>
        <v>434453.32946777344</v>
      </c>
      <c r="S40" s="2">
        <f t="shared" si="1"/>
        <v>453289.00451660156</v>
      </c>
      <c r="T40" s="2">
        <f t="shared" si="2"/>
        <v>887742.333984375</v>
      </c>
      <c r="U40" s="2">
        <f t="shared" si="3"/>
        <v>443.87</v>
      </c>
      <c r="V40" s="2">
        <f t="shared" si="4"/>
        <v>18835.675048828125</v>
      </c>
      <c r="W40" s="2">
        <f t="shared" si="5"/>
        <v>18391.805048828126</v>
      </c>
      <c r="X40" s="2">
        <f t="shared" si="6"/>
        <v>43193298.857528374</v>
      </c>
      <c r="Y40" s="2">
        <f t="shared" si="7"/>
        <v>86890.67</v>
      </c>
      <c r="Z40" s="2">
        <f t="shared" si="8"/>
        <v>21.17</v>
      </c>
      <c r="AA40" s="2">
        <f t="shared" si="11"/>
        <v>43193298.857528374</v>
      </c>
      <c r="AB40" s="2">
        <f t="shared" si="9"/>
        <v>0</v>
      </c>
    </row>
    <row r="41" spans="1:28">
      <c r="A41" s="2">
        <v>38</v>
      </c>
      <c r="B41" s="2" t="s">
        <v>259</v>
      </c>
      <c r="C41" s="2" t="s">
        <v>36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262</v>
      </c>
      <c r="J41" s="2" t="s">
        <v>263</v>
      </c>
      <c r="K41" s="2">
        <f t="shared" si="10"/>
        <v>43193298.857528374</v>
      </c>
      <c r="L41" s="2" t="s">
        <v>147</v>
      </c>
      <c r="M41" s="2" t="s">
        <v>264</v>
      </c>
      <c r="N41" s="2" t="s">
        <v>147</v>
      </c>
      <c r="O41" s="2">
        <v>200</v>
      </c>
      <c r="P41" s="2">
        <v>4891.94091796875</v>
      </c>
      <c r="Q41" s="2">
        <v>4846.14111328125</v>
      </c>
      <c r="R41" s="2">
        <f t="shared" si="0"/>
        <v>978388.18359375</v>
      </c>
      <c r="S41" s="2">
        <f t="shared" si="1"/>
        <v>969228.22265625</v>
      </c>
      <c r="T41" s="2">
        <f t="shared" si="2"/>
        <v>1947616.40625</v>
      </c>
      <c r="U41" s="2">
        <f t="shared" si="3"/>
        <v>973.81</v>
      </c>
      <c r="V41" s="2">
        <f t="shared" si="4"/>
        <v>-9159.9609375</v>
      </c>
      <c r="W41" s="2">
        <f t="shared" si="5"/>
        <v>-10133.770937499999</v>
      </c>
      <c r="X41" s="2">
        <f t="shared" si="6"/>
        <v>43183165.086590871</v>
      </c>
      <c r="Y41" s="2">
        <f t="shared" si="7"/>
        <v>195677.64</v>
      </c>
      <c r="Z41" s="2">
        <f t="shared" si="8"/>
        <v>-5.18</v>
      </c>
      <c r="AA41" s="2">
        <f t="shared" si="11"/>
        <v>43193298.857528374</v>
      </c>
      <c r="AB41" s="2">
        <f t="shared" si="9"/>
        <v>-10133.770937502384</v>
      </c>
    </row>
    <row r="42" spans="1:28">
      <c r="A42" s="2">
        <v>39</v>
      </c>
      <c r="B42" s="2" t="s">
        <v>265</v>
      </c>
      <c r="C42" s="2" t="s">
        <v>36</v>
      </c>
      <c r="D42" s="3" t="s">
        <v>37</v>
      </c>
      <c r="E42" s="5" t="s">
        <v>134</v>
      </c>
      <c r="F42" s="2" t="s">
        <v>135</v>
      </c>
      <c r="G42" s="2" t="s">
        <v>231</v>
      </c>
      <c r="H42" s="2" t="s">
        <v>266</v>
      </c>
      <c r="I42" s="2" t="s">
        <v>267</v>
      </c>
      <c r="J42" s="2" t="s">
        <v>268</v>
      </c>
      <c r="K42" s="2">
        <f t="shared" si="10"/>
        <v>43183165.086590871</v>
      </c>
      <c r="L42" s="2" t="s">
        <v>189</v>
      </c>
      <c r="M42" s="2" t="s">
        <v>174</v>
      </c>
      <c r="N42" s="2" t="s">
        <v>147</v>
      </c>
      <c r="O42" s="2">
        <v>283</v>
      </c>
      <c r="P42" s="2">
        <v>1777.280883789062</v>
      </c>
      <c r="Q42" s="2">
        <v>1897.699462890625</v>
      </c>
      <c r="R42" s="2">
        <f t="shared" si="0"/>
        <v>502970.49011230457</v>
      </c>
      <c r="S42" s="2">
        <f t="shared" si="1"/>
        <v>537048.94799804687</v>
      </c>
      <c r="T42" s="2">
        <f t="shared" si="2"/>
        <v>1040019.4381103514</v>
      </c>
      <c r="U42" s="2">
        <f t="shared" si="3"/>
        <v>520.01</v>
      </c>
      <c r="V42" s="2">
        <f t="shared" si="4"/>
        <v>34078.457885742304</v>
      </c>
      <c r="W42" s="2">
        <f t="shared" si="5"/>
        <v>33558.447885742302</v>
      </c>
      <c r="X42" s="2">
        <f t="shared" si="6"/>
        <v>43216723.534476615</v>
      </c>
      <c r="Y42" s="2">
        <f t="shared" si="7"/>
        <v>100594.1</v>
      </c>
      <c r="Z42" s="2">
        <f t="shared" si="8"/>
        <v>33.36</v>
      </c>
      <c r="AA42" s="2">
        <f t="shared" si="11"/>
        <v>43216723.534476615</v>
      </c>
      <c r="AB42" s="2">
        <f t="shared" si="9"/>
        <v>0</v>
      </c>
    </row>
    <row r="43" spans="1:28">
      <c r="A43" s="2">
        <v>40</v>
      </c>
      <c r="B43" s="2" t="s">
        <v>269</v>
      </c>
      <c r="C43" s="2" t="s">
        <v>36</v>
      </c>
      <c r="D43" s="4" t="s">
        <v>61</v>
      </c>
      <c r="E43" s="5" t="s">
        <v>134</v>
      </c>
      <c r="F43" s="2" t="s">
        <v>135</v>
      </c>
      <c r="G43" s="2" t="s">
        <v>97</v>
      </c>
      <c r="H43" s="2" t="s">
        <v>270</v>
      </c>
      <c r="I43" s="2" t="s">
        <v>271</v>
      </c>
      <c r="J43" s="2" t="s">
        <v>105</v>
      </c>
      <c r="K43" s="2">
        <f t="shared" si="10"/>
        <v>43216723.534476615</v>
      </c>
      <c r="L43" s="2" t="s">
        <v>166</v>
      </c>
      <c r="M43" s="2" t="s">
        <v>89</v>
      </c>
      <c r="N43" s="2" t="s">
        <v>189</v>
      </c>
      <c r="O43" s="2">
        <v>1260</v>
      </c>
      <c r="P43" s="2">
        <v>708.65380859375</v>
      </c>
      <c r="Q43" s="2">
        <v>742.05828857421875</v>
      </c>
      <c r="R43" s="2">
        <f t="shared" si="0"/>
        <v>892903.798828125</v>
      </c>
      <c r="S43" s="2">
        <f t="shared" si="1"/>
        <v>934993.44360351563</v>
      </c>
      <c r="T43" s="2">
        <f t="shared" si="2"/>
        <v>1827897.2424316406</v>
      </c>
      <c r="U43" s="2">
        <f t="shared" si="3"/>
        <v>913.95</v>
      </c>
      <c r="V43" s="2">
        <f t="shared" si="4"/>
        <v>42089.644775390625</v>
      </c>
      <c r="W43" s="2">
        <f t="shared" si="5"/>
        <v>41175.694775390628</v>
      </c>
      <c r="X43" s="2">
        <f t="shared" si="6"/>
        <v>43257899.229252003</v>
      </c>
      <c r="Y43" s="2">
        <f t="shared" si="7"/>
        <v>178580.76</v>
      </c>
      <c r="Z43" s="2">
        <f t="shared" si="8"/>
        <v>23.06</v>
      </c>
      <c r="AA43" s="2">
        <f t="shared" si="11"/>
        <v>43257899.229252003</v>
      </c>
      <c r="AB43" s="2">
        <f t="shared" si="9"/>
        <v>0</v>
      </c>
    </row>
    <row r="44" spans="1:28">
      <c r="A44" s="2">
        <v>41</v>
      </c>
      <c r="B44" s="2" t="s">
        <v>272</v>
      </c>
      <c r="C44" s="2" t="s">
        <v>36</v>
      </c>
      <c r="D44" s="4" t="s">
        <v>61</v>
      </c>
      <c r="E44" s="5" t="s">
        <v>134</v>
      </c>
      <c r="F44" s="2" t="s">
        <v>135</v>
      </c>
      <c r="G44" s="2" t="s">
        <v>40</v>
      </c>
      <c r="H44" s="2" t="s">
        <v>273</v>
      </c>
      <c r="I44" s="2" t="s">
        <v>274</v>
      </c>
      <c r="J44" s="2" t="s">
        <v>244</v>
      </c>
      <c r="K44" s="2">
        <f t="shared" si="10"/>
        <v>43257899.229252003</v>
      </c>
      <c r="L44" s="2" t="s">
        <v>183</v>
      </c>
      <c r="M44" s="2" t="s">
        <v>73</v>
      </c>
      <c r="N44" s="2" t="s">
        <v>166</v>
      </c>
      <c r="O44" s="2">
        <v>8046</v>
      </c>
      <c r="P44" s="2">
        <v>87.168289184570313</v>
      </c>
      <c r="Q44" s="2">
        <v>90.962692260742202</v>
      </c>
      <c r="R44" s="2">
        <f t="shared" si="0"/>
        <v>701356.05477905273</v>
      </c>
      <c r="S44" s="2">
        <f t="shared" si="1"/>
        <v>731885.82192993176</v>
      </c>
      <c r="T44" s="2">
        <f t="shared" si="2"/>
        <v>1433241.8767089844</v>
      </c>
      <c r="U44" s="2">
        <f t="shared" si="3"/>
        <v>716.62</v>
      </c>
      <c r="V44" s="2">
        <f t="shared" si="4"/>
        <v>30529.767150879023</v>
      </c>
      <c r="W44" s="2">
        <f t="shared" si="5"/>
        <v>29813.147150879024</v>
      </c>
      <c r="X44" s="2">
        <f t="shared" si="6"/>
        <v>43287712.376402885</v>
      </c>
      <c r="Y44" s="2">
        <f t="shared" si="7"/>
        <v>140271.21</v>
      </c>
      <c r="Z44" s="2">
        <f t="shared" si="8"/>
        <v>21.25</v>
      </c>
      <c r="AA44" s="2">
        <f t="shared" si="11"/>
        <v>43287712.376402885</v>
      </c>
      <c r="AB44" s="2">
        <f t="shared" si="9"/>
        <v>0</v>
      </c>
    </row>
    <row r="45" spans="1:28">
      <c r="A45" s="2">
        <v>42</v>
      </c>
      <c r="B45" s="2" t="s">
        <v>275</v>
      </c>
      <c r="C45" s="2" t="s">
        <v>36</v>
      </c>
      <c r="D45" s="4" t="s">
        <v>61</v>
      </c>
      <c r="E45" s="5" t="s">
        <v>134</v>
      </c>
      <c r="F45" s="2" t="s">
        <v>135</v>
      </c>
      <c r="G45" s="2" t="s">
        <v>161</v>
      </c>
      <c r="H45" s="2" t="s">
        <v>276</v>
      </c>
      <c r="I45" s="2" t="s">
        <v>277</v>
      </c>
      <c r="J45" s="2" t="s">
        <v>278</v>
      </c>
      <c r="K45" s="2">
        <f t="shared" si="10"/>
        <v>43287712.376402885</v>
      </c>
      <c r="L45" s="2" t="s">
        <v>165</v>
      </c>
      <c r="M45" s="2" t="s">
        <v>166</v>
      </c>
      <c r="N45" s="2" t="s">
        <v>279</v>
      </c>
      <c r="O45" s="2">
        <v>748</v>
      </c>
      <c r="P45" s="2">
        <v>1321.129028320312</v>
      </c>
      <c r="Q45" s="2">
        <v>1545.68310546875</v>
      </c>
      <c r="R45" s="2">
        <f t="shared" si="0"/>
        <v>988204.5131835934</v>
      </c>
      <c r="S45" s="2">
        <f t="shared" si="1"/>
        <v>1156170.962890625</v>
      </c>
      <c r="T45" s="2">
        <f t="shared" si="2"/>
        <v>2144375.4760742183</v>
      </c>
      <c r="U45" s="2">
        <f t="shared" si="3"/>
        <v>1072.19</v>
      </c>
      <c r="V45" s="2">
        <f t="shared" si="4"/>
        <v>167966.4497070316</v>
      </c>
      <c r="W45" s="2">
        <f t="shared" si="5"/>
        <v>166894.2597070316</v>
      </c>
      <c r="X45" s="2">
        <f t="shared" si="6"/>
        <v>43454606.636109918</v>
      </c>
      <c r="Y45" s="2">
        <f t="shared" si="7"/>
        <v>197640.9</v>
      </c>
      <c r="Z45" s="2">
        <f t="shared" si="8"/>
        <v>84.44</v>
      </c>
      <c r="AA45" s="2">
        <f t="shared" si="11"/>
        <v>43454606.636109918</v>
      </c>
      <c r="AB45" s="2">
        <f t="shared" si="9"/>
        <v>0</v>
      </c>
    </row>
    <row r="46" spans="1:28">
      <c r="A46" s="2">
        <v>43</v>
      </c>
      <c r="B46" s="2" t="s">
        <v>280</v>
      </c>
      <c r="C46" s="2" t="s">
        <v>36</v>
      </c>
      <c r="D46" s="3" t="s">
        <v>37</v>
      </c>
      <c r="E46" s="5" t="s">
        <v>134</v>
      </c>
      <c r="F46" s="2" t="s">
        <v>135</v>
      </c>
      <c r="G46" s="2" t="s">
        <v>241</v>
      </c>
      <c r="H46" s="2" t="s">
        <v>281</v>
      </c>
      <c r="I46" s="2" t="s">
        <v>282</v>
      </c>
      <c r="J46" s="2" t="s">
        <v>283</v>
      </c>
      <c r="K46" s="2">
        <f t="shared" si="10"/>
        <v>43454606.636109918</v>
      </c>
      <c r="L46" s="2" t="s">
        <v>182</v>
      </c>
      <c r="M46" s="2" t="s">
        <v>74</v>
      </c>
      <c r="N46" s="2" t="s">
        <v>189</v>
      </c>
      <c r="O46" s="2">
        <v>1201</v>
      </c>
      <c r="P46" s="2">
        <v>625.27294921875</v>
      </c>
      <c r="Q46" s="2">
        <v>583.05035400390625</v>
      </c>
      <c r="R46" s="2">
        <f t="shared" si="0"/>
        <v>750952.81201171875</v>
      </c>
      <c r="S46" s="2">
        <f t="shared" si="1"/>
        <v>700243.47515869141</v>
      </c>
      <c r="T46" s="2">
        <f t="shared" si="2"/>
        <v>1451196.2871704102</v>
      </c>
      <c r="U46" s="2">
        <f t="shared" si="3"/>
        <v>725.6</v>
      </c>
      <c r="V46" s="2">
        <f t="shared" si="4"/>
        <v>-50709.336853027344</v>
      </c>
      <c r="W46" s="2">
        <f t="shared" si="5"/>
        <v>-51434.936853027342</v>
      </c>
      <c r="X46" s="2">
        <f t="shared" si="6"/>
        <v>43403171.69925689</v>
      </c>
      <c r="Y46" s="2">
        <f t="shared" si="7"/>
        <v>150190.56</v>
      </c>
      <c r="Z46" s="2">
        <f t="shared" si="8"/>
        <v>-34.25</v>
      </c>
      <c r="AA46" s="2">
        <f t="shared" si="11"/>
        <v>43454606.636109918</v>
      </c>
      <c r="AB46" s="2">
        <f t="shared" si="9"/>
        <v>-51434.936853028834</v>
      </c>
    </row>
    <row r="47" spans="1:28">
      <c r="A47" s="2">
        <v>44</v>
      </c>
      <c r="B47" s="2" t="s">
        <v>284</v>
      </c>
      <c r="C47" s="2" t="s">
        <v>36</v>
      </c>
      <c r="D47" s="4" t="s">
        <v>61</v>
      </c>
      <c r="E47" s="5" t="s">
        <v>134</v>
      </c>
      <c r="F47" s="2" t="s">
        <v>135</v>
      </c>
      <c r="G47" s="2" t="s">
        <v>63</v>
      </c>
      <c r="H47" s="2" t="s">
        <v>285</v>
      </c>
      <c r="I47" s="2" t="s">
        <v>286</v>
      </c>
      <c r="J47" s="2" t="s">
        <v>287</v>
      </c>
      <c r="K47" s="2">
        <f t="shared" si="10"/>
        <v>43403171.69925689</v>
      </c>
      <c r="L47" s="2" t="s">
        <v>288</v>
      </c>
      <c r="M47" s="2" t="s">
        <v>289</v>
      </c>
      <c r="N47" s="2" t="s">
        <v>290</v>
      </c>
      <c r="O47" s="2">
        <v>563</v>
      </c>
      <c r="P47" s="2">
        <v>1277.113037109375</v>
      </c>
      <c r="Q47" s="2">
        <v>1382.645629882812</v>
      </c>
      <c r="R47" s="2">
        <f t="shared" si="0"/>
        <v>719014.63989257813</v>
      </c>
      <c r="S47" s="2">
        <f t="shared" si="1"/>
        <v>778429.4896240232</v>
      </c>
      <c r="T47" s="2">
        <f t="shared" si="2"/>
        <v>1497444.1295166013</v>
      </c>
      <c r="U47" s="2">
        <f t="shared" si="3"/>
        <v>748.72</v>
      </c>
      <c r="V47" s="2">
        <f t="shared" si="4"/>
        <v>59414.84973144508</v>
      </c>
      <c r="W47" s="2">
        <f t="shared" si="5"/>
        <v>58666.129731445079</v>
      </c>
      <c r="X47" s="2">
        <f t="shared" si="6"/>
        <v>43461837.828988336</v>
      </c>
      <c r="Y47" s="2">
        <f t="shared" si="7"/>
        <v>143802.93</v>
      </c>
      <c r="Z47" s="2">
        <f t="shared" si="8"/>
        <v>40.799999999999997</v>
      </c>
      <c r="AA47" s="2">
        <f t="shared" si="11"/>
        <v>43461837.828988336</v>
      </c>
      <c r="AB47" s="2">
        <f t="shared" si="9"/>
        <v>0</v>
      </c>
    </row>
    <row r="48" spans="1:28">
      <c r="A48" s="2">
        <v>45</v>
      </c>
      <c r="B48" s="2" t="s">
        <v>291</v>
      </c>
      <c r="C48" s="2" t="s">
        <v>36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293</v>
      </c>
      <c r="J48" s="2" t="s">
        <v>294</v>
      </c>
      <c r="K48" s="2">
        <f t="shared" si="10"/>
        <v>43461837.828988336</v>
      </c>
      <c r="L48" s="2" t="s">
        <v>166</v>
      </c>
      <c r="M48" s="2" t="s">
        <v>148</v>
      </c>
      <c r="N48" s="2" t="s">
        <v>189</v>
      </c>
      <c r="O48" s="2">
        <v>650</v>
      </c>
      <c r="P48" s="2">
        <v>1420.408813476562</v>
      </c>
      <c r="Q48" s="2">
        <v>1368.50537109375</v>
      </c>
      <c r="R48" s="2">
        <f t="shared" si="0"/>
        <v>923265.72875976528</v>
      </c>
      <c r="S48" s="2">
        <f t="shared" si="1"/>
        <v>889528.4912109375</v>
      </c>
      <c r="T48" s="2">
        <f t="shared" si="2"/>
        <v>1812794.2199707027</v>
      </c>
      <c r="U48" s="2">
        <f t="shared" si="3"/>
        <v>906.4</v>
      </c>
      <c r="V48" s="2">
        <f t="shared" si="4"/>
        <v>-33737.237548827776</v>
      </c>
      <c r="W48" s="2">
        <f t="shared" si="5"/>
        <v>-34643.637548827777</v>
      </c>
      <c r="X48" s="2">
        <f t="shared" si="6"/>
        <v>43427194.191439509</v>
      </c>
      <c r="Y48" s="2">
        <f t="shared" si="7"/>
        <v>184653.15</v>
      </c>
      <c r="Z48" s="2">
        <f t="shared" si="8"/>
        <v>-18.760000000000002</v>
      </c>
      <c r="AA48" s="2">
        <f t="shared" si="11"/>
        <v>43461837.828988336</v>
      </c>
      <c r="AB48" s="2">
        <f t="shared" si="9"/>
        <v>-34643.637548826635</v>
      </c>
    </row>
    <row r="49" spans="1:28">
      <c r="A49" s="2">
        <v>46</v>
      </c>
      <c r="B49" s="2" t="s">
        <v>295</v>
      </c>
      <c r="C49" s="2" t="s">
        <v>36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92</v>
      </c>
      <c r="J49" s="2" t="s">
        <v>298</v>
      </c>
      <c r="K49" s="2">
        <f t="shared" si="10"/>
        <v>43427194.191439509</v>
      </c>
      <c r="L49" s="2" t="s">
        <v>183</v>
      </c>
      <c r="M49" s="2" t="s">
        <v>189</v>
      </c>
      <c r="N49" s="2" t="s">
        <v>166</v>
      </c>
      <c r="O49" s="2">
        <v>2100</v>
      </c>
      <c r="P49" s="2">
        <v>348.816650390625</v>
      </c>
      <c r="Q49" s="2">
        <v>349.36911010742188</v>
      </c>
      <c r="R49" s="2">
        <f t="shared" si="0"/>
        <v>732514.9658203125</v>
      </c>
      <c r="S49" s="2">
        <f t="shared" si="1"/>
        <v>733675.13122558594</v>
      </c>
      <c r="T49" s="2">
        <f t="shared" si="2"/>
        <v>1466190.0970458984</v>
      </c>
      <c r="U49" s="2">
        <f t="shared" si="3"/>
        <v>733.1</v>
      </c>
      <c r="V49" s="2">
        <f t="shared" si="4"/>
        <v>1160.1654052734375</v>
      </c>
      <c r="W49" s="2">
        <f t="shared" si="5"/>
        <v>427.06540527343748</v>
      </c>
      <c r="X49" s="2">
        <f t="shared" si="6"/>
        <v>43427621.256844781</v>
      </c>
      <c r="Y49" s="2">
        <f t="shared" si="7"/>
        <v>146502.99</v>
      </c>
      <c r="Z49" s="2">
        <f t="shared" si="8"/>
        <v>0.28999999999999998</v>
      </c>
      <c r="AA49" s="2">
        <f t="shared" si="11"/>
        <v>43461837.828988336</v>
      </c>
      <c r="AB49" s="2">
        <f t="shared" si="9"/>
        <v>-34216.572143554688</v>
      </c>
    </row>
    <row r="50" spans="1:28">
      <c r="A50" s="2">
        <v>47</v>
      </c>
      <c r="B50" s="2" t="s">
        <v>299</v>
      </c>
      <c r="C50" s="2" t="s">
        <v>36</v>
      </c>
      <c r="D50" s="4" t="s">
        <v>61</v>
      </c>
      <c r="E50" s="5" t="s">
        <v>134</v>
      </c>
      <c r="F50" s="2" t="s">
        <v>135</v>
      </c>
      <c r="G50" s="2" t="s">
        <v>143</v>
      </c>
      <c r="H50" s="2" t="s">
        <v>300</v>
      </c>
      <c r="I50" s="2" t="s">
        <v>301</v>
      </c>
      <c r="J50" s="2" t="s">
        <v>302</v>
      </c>
      <c r="K50" s="2">
        <f t="shared" si="10"/>
        <v>43427621.256844781</v>
      </c>
      <c r="L50" s="2" t="s">
        <v>173</v>
      </c>
      <c r="M50" s="2" t="s">
        <v>264</v>
      </c>
      <c r="N50" s="2" t="s">
        <v>174</v>
      </c>
      <c r="O50" s="2">
        <v>713</v>
      </c>
      <c r="P50" s="2">
        <v>1358.994995117188</v>
      </c>
      <c r="Q50" s="2">
        <v>1456.448364257812</v>
      </c>
      <c r="R50" s="2">
        <f t="shared" si="0"/>
        <v>968963.43151855504</v>
      </c>
      <c r="S50" s="2">
        <f t="shared" si="1"/>
        <v>1038447.68371582</v>
      </c>
      <c r="T50" s="2">
        <f t="shared" si="2"/>
        <v>2007411.115234375</v>
      </c>
      <c r="U50" s="2">
        <f t="shared" si="3"/>
        <v>1003.71</v>
      </c>
      <c r="V50" s="2">
        <f t="shared" si="4"/>
        <v>69484.252197264927</v>
      </c>
      <c r="W50" s="2">
        <f t="shared" si="5"/>
        <v>68480.54219726492</v>
      </c>
      <c r="X50" s="2">
        <f t="shared" si="6"/>
        <v>43496101.799042046</v>
      </c>
      <c r="Y50" s="2">
        <f t="shared" si="7"/>
        <v>193792.69</v>
      </c>
      <c r="Z50" s="2">
        <f t="shared" si="8"/>
        <v>35.340000000000003</v>
      </c>
      <c r="AA50" s="2">
        <f t="shared" si="11"/>
        <v>43496101.799042046</v>
      </c>
      <c r="AB50" s="2">
        <f t="shared" si="9"/>
        <v>0</v>
      </c>
    </row>
    <row r="51" spans="1:28">
      <c r="A51" s="2">
        <v>48</v>
      </c>
      <c r="B51" s="2" t="s">
        <v>303</v>
      </c>
      <c r="C51" s="2" t="s">
        <v>36</v>
      </c>
      <c r="D51" s="3" t="s">
        <v>37</v>
      </c>
      <c r="E51" s="5" t="s">
        <v>134</v>
      </c>
      <c r="F51" s="2" t="s">
        <v>135</v>
      </c>
      <c r="G51" s="2" t="s">
        <v>127</v>
      </c>
      <c r="H51" s="2" t="s">
        <v>304</v>
      </c>
      <c r="I51" s="2" t="s">
        <v>305</v>
      </c>
      <c r="J51" s="2" t="s">
        <v>306</v>
      </c>
      <c r="K51" s="2">
        <f t="shared" si="10"/>
        <v>43496101.799042046</v>
      </c>
      <c r="L51" s="2" t="s">
        <v>87</v>
      </c>
      <c r="M51" s="2" t="s">
        <v>189</v>
      </c>
      <c r="N51" s="2" t="s">
        <v>182</v>
      </c>
      <c r="O51" s="2">
        <v>572</v>
      </c>
      <c r="P51" s="2">
        <v>1626.79345703125</v>
      </c>
      <c r="Q51" s="2">
        <v>1729.276123046875</v>
      </c>
      <c r="R51" s="2">
        <f t="shared" si="0"/>
        <v>930525.857421875</v>
      </c>
      <c r="S51" s="2">
        <f t="shared" si="1"/>
        <v>989145.9423828125</v>
      </c>
      <c r="T51" s="2">
        <f t="shared" si="2"/>
        <v>1919671.7998046875</v>
      </c>
      <c r="U51" s="2">
        <f t="shared" si="3"/>
        <v>959.84</v>
      </c>
      <c r="V51" s="2">
        <f t="shared" si="4"/>
        <v>58620.0849609375</v>
      </c>
      <c r="W51" s="2">
        <f t="shared" si="5"/>
        <v>57660.244960937503</v>
      </c>
      <c r="X51" s="2">
        <f t="shared" si="6"/>
        <v>43553762.04400298</v>
      </c>
      <c r="Y51" s="2">
        <f t="shared" si="7"/>
        <v>186105.17</v>
      </c>
      <c r="Z51" s="2">
        <f t="shared" si="8"/>
        <v>30.98</v>
      </c>
      <c r="AA51" s="2">
        <f t="shared" si="11"/>
        <v>43553762.04400298</v>
      </c>
      <c r="AB51" s="2">
        <f t="shared" si="9"/>
        <v>0</v>
      </c>
    </row>
    <row r="52" spans="1:28">
      <c r="A52" s="2">
        <v>49</v>
      </c>
      <c r="B52" s="2" t="s">
        <v>307</v>
      </c>
      <c r="C52" s="2" t="s">
        <v>36</v>
      </c>
      <c r="D52" s="3" t="s">
        <v>37</v>
      </c>
      <c r="E52" s="5" t="s">
        <v>134</v>
      </c>
      <c r="F52" s="2" t="s">
        <v>135</v>
      </c>
      <c r="G52" s="2" t="s">
        <v>103</v>
      </c>
      <c r="H52" s="2" t="s">
        <v>308</v>
      </c>
      <c r="I52" s="2" t="s">
        <v>309</v>
      </c>
      <c r="J52" s="2" t="s">
        <v>310</v>
      </c>
      <c r="K52" s="2">
        <f t="shared" si="10"/>
        <v>43553762.04400298</v>
      </c>
      <c r="L52" s="2" t="s">
        <v>217</v>
      </c>
      <c r="M52" s="2" t="s">
        <v>173</v>
      </c>
      <c r="N52" s="2" t="s">
        <v>204</v>
      </c>
      <c r="O52" s="2">
        <v>479</v>
      </c>
      <c r="P52" s="2">
        <v>2642.43359375</v>
      </c>
      <c r="Q52" s="2">
        <v>2803.725341796875</v>
      </c>
      <c r="R52" s="2">
        <f t="shared" si="0"/>
        <v>1265725.69140625</v>
      </c>
      <c r="S52" s="2">
        <f t="shared" si="1"/>
        <v>1342984.4387207031</v>
      </c>
      <c r="T52" s="2">
        <f t="shared" si="2"/>
        <v>2608710.1301269531</v>
      </c>
      <c r="U52" s="2">
        <f t="shared" si="3"/>
        <v>1304.3599999999999</v>
      </c>
      <c r="V52" s="2">
        <f t="shared" si="4"/>
        <v>77258.747314453125</v>
      </c>
      <c r="W52" s="2">
        <f t="shared" si="5"/>
        <v>75954.387314453124</v>
      </c>
      <c r="X52" s="2">
        <f t="shared" si="6"/>
        <v>43629716.431317434</v>
      </c>
      <c r="Y52" s="2">
        <f t="shared" si="7"/>
        <v>253145.14</v>
      </c>
      <c r="Z52" s="2">
        <f t="shared" si="8"/>
        <v>30</v>
      </c>
      <c r="AA52" s="2">
        <f t="shared" si="11"/>
        <v>43629716.431317434</v>
      </c>
      <c r="AB52" s="2">
        <f t="shared" si="9"/>
        <v>0</v>
      </c>
    </row>
    <row r="53" spans="1:28">
      <c r="A53" s="2">
        <v>50</v>
      </c>
      <c r="B53" s="2" t="s">
        <v>311</v>
      </c>
      <c r="C53" s="2" t="s">
        <v>36</v>
      </c>
      <c r="D53" s="3" t="s">
        <v>37</v>
      </c>
      <c r="E53" s="5" t="s">
        <v>134</v>
      </c>
      <c r="F53" s="2" t="s">
        <v>135</v>
      </c>
      <c r="G53" s="2" t="s">
        <v>77</v>
      </c>
      <c r="H53" s="2" t="s">
        <v>312</v>
      </c>
      <c r="I53" s="2" t="s">
        <v>313</v>
      </c>
      <c r="J53" s="2" t="s">
        <v>314</v>
      </c>
      <c r="K53" s="2">
        <f t="shared" si="10"/>
        <v>43629716.431317434</v>
      </c>
      <c r="L53" s="2" t="s">
        <v>204</v>
      </c>
      <c r="M53" s="2" t="s">
        <v>173</v>
      </c>
      <c r="N53" s="2" t="s">
        <v>73</v>
      </c>
      <c r="O53" s="2">
        <v>1904</v>
      </c>
      <c r="P53" s="2">
        <v>577.1287841796875</v>
      </c>
      <c r="Q53" s="2">
        <v>591.04583740234375</v>
      </c>
      <c r="R53" s="2">
        <f t="shared" si="0"/>
        <v>1098853.205078125</v>
      </c>
      <c r="S53" s="2">
        <f t="shared" si="1"/>
        <v>1125351.2744140625</v>
      </c>
      <c r="T53" s="2">
        <f t="shared" si="2"/>
        <v>2224204.4794921875</v>
      </c>
      <c r="U53" s="2">
        <f t="shared" si="3"/>
        <v>1112.0999999999999</v>
      </c>
      <c r="V53" s="2">
        <f t="shared" si="4"/>
        <v>26498.0693359375</v>
      </c>
      <c r="W53" s="2">
        <f t="shared" si="5"/>
        <v>25385.969335937501</v>
      </c>
      <c r="X53" s="2">
        <f t="shared" si="6"/>
        <v>43655102.40065337</v>
      </c>
      <c r="Y53" s="2">
        <f t="shared" si="7"/>
        <v>219770.64</v>
      </c>
      <c r="Z53" s="2">
        <f t="shared" si="8"/>
        <v>11.55</v>
      </c>
      <c r="AA53" s="2">
        <f t="shared" si="11"/>
        <v>43655102.40065337</v>
      </c>
      <c r="AB53" s="2">
        <f t="shared" si="9"/>
        <v>0</v>
      </c>
    </row>
    <row r="54" spans="1:28">
      <c r="A54" s="2">
        <v>51</v>
      </c>
      <c r="B54" s="2" t="s">
        <v>315</v>
      </c>
      <c r="C54" s="2" t="s">
        <v>36</v>
      </c>
      <c r="D54" s="4" t="s">
        <v>61</v>
      </c>
      <c r="E54" s="5" t="s">
        <v>134</v>
      </c>
      <c r="F54" s="2" t="s">
        <v>135</v>
      </c>
      <c r="G54" s="2" t="s">
        <v>169</v>
      </c>
      <c r="H54" s="2" t="s">
        <v>316</v>
      </c>
      <c r="I54" s="2" t="s">
        <v>232</v>
      </c>
      <c r="J54" s="2" t="s">
        <v>317</v>
      </c>
      <c r="K54" s="2">
        <f t="shared" si="10"/>
        <v>43655102.40065337</v>
      </c>
      <c r="L54" s="2" t="s">
        <v>147</v>
      </c>
      <c r="M54" s="2" t="s">
        <v>139</v>
      </c>
      <c r="N54" s="2" t="s">
        <v>140</v>
      </c>
      <c r="O54" s="2">
        <v>3841</v>
      </c>
      <c r="P54" s="2">
        <v>335.19891357421881</v>
      </c>
      <c r="Q54" s="2">
        <v>355.1785888671875</v>
      </c>
      <c r="R54" s="2">
        <f t="shared" si="0"/>
        <v>1287499.0270385745</v>
      </c>
      <c r="S54" s="2">
        <f t="shared" si="1"/>
        <v>1364240.9598388672</v>
      </c>
      <c r="T54" s="2">
        <f t="shared" si="2"/>
        <v>2651739.9868774414</v>
      </c>
      <c r="U54" s="2">
        <f t="shared" si="3"/>
        <v>1325.87</v>
      </c>
      <c r="V54" s="2">
        <f t="shared" si="4"/>
        <v>76741.932800292736</v>
      </c>
      <c r="W54" s="2">
        <f t="shared" si="5"/>
        <v>75416.062800292741</v>
      </c>
      <c r="X54" s="2">
        <f t="shared" si="6"/>
        <v>43730518.463453665</v>
      </c>
      <c r="Y54" s="2">
        <f t="shared" si="7"/>
        <v>257499.81</v>
      </c>
      <c r="Z54" s="2">
        <f t="shared" si="8"/>
        <v>29.29</v>
      </c>
      <c r="AA54" s="2">
        <f t="shared" si="11"/>
        <v>43730518.463453665</v>
      </c>
      <c r="AB54" s="2">
        <f t="shared" si="9"/>
        <v>0</v>
      </c>
    </row>
    <row r="55" spans="1:28">
      <c r="A55" s="2">
        <v>52</v>
      </c>
      <c r="B55" s="2" t="s">
        <v>318</v>
      </c>
      <c r="C55" s="2" t="s">
        <v>36</v>
      </c>
      <c r="D55" s="4" t="s">
        <v>61</v>
      </c>
      <c r="E55" s="5" t="s">
        <v>134</v>
      </c>
      <c r="F55" s="2" t="s">
        <v>135</v>
      </c>
      <c r="G55" s="2" t="s">
        <v>241</v>
      </c>
      <c r="H55" s="2" t="s">
        <v>319</v>
      </c>
      <c r="I55" s="2" t="s">
        <v>320</v>
      </c>
      <c r="J55" s="2" t="s">
        <v>321</v>
      </c>
      <c r="K55" s="2">
        <f t="shared" si="10"/>
        <v>43730518.463453665</v>
      </c>
      <c r="L55" s="2" t="s">
        <v>173</v>
      </c>
      <c r="M55" s="2" t="s">
        <v>140</v>
      </c>
      <c r="N55" s="2" t="s">
        <v>147</v>
      </c>
      <c r="O55" s="2">
        <v>185</v>
      </c>
      <c r="P55" s="2">
        <v>2731.55908203125</v>
      </c>
      <c r="Q55" s="2">
        <v>2718.488525390625</v>
      </c>
      <c r="R55" s="2">
        <f t="shared" si="0"/>
        <v>505338.43017578125</v>
      </c>
      <c r="S55" s="2">
        <f t="shared" si="1"/>
        <v>502920.37719726563</v>
      </c>
      <c r="T55" s="2">
        <f t="shared" si="2"/>
        <v>1008258.8073730469</v>
      </c>
      <c r="U55" s="2">
        <f t="shared" si="3"/>
        <v>504.13</v>
      </c>
      <c r="V55" s="2">
        <f t="shared" si="4"/>
        <v>-2418.052978515625</v>
      </c>
      <c r="W55" s="2">
        <f t="shared" si="5"/>
        <v>-2922.1829785156251</v>
      </c>
      <c r="X55" s="2">
        <f t="shared" si="6"/>
        <v>43727596.280475147</v>
      </c>
      <c r="Y55" s="2">
        <f t="shared" si="7"/>
        <v>101067.69</v>
      </c>
      <c r="Z55" s="2">
        <f t="shared" si="8"/>
        <v>-2.89</v>
      </c>
      <c r="AA55" s="2">
        <f t="shared" si="11"/>
        <v>43730518.463453665</v>
      </c>
      <c r="AB55" s="2">
        <f t="shared" si="9"/>
        <v>-2922.1829785183072</v>
      </c>
    </row>
    <row r="56" spans="1:28">
      <c r="A56" s="2">
        <v>53</v>
      </c>
      <c r="B56" s="2" t="s">
        <v>322</v>
      </c>
      <c r="C56" s="2" t="s">
        <v>36</v>
      </c>
      <c r="D56" s="3" t="s">
        <v>37</v>
      </c>
      <c r="E56" s="5" t="s">
        <v>134</v>
      </c>
      <c r="F56" s="2" t="s">
        <v>135</v>
      </c>
      <c r="G56" s="2" t="s">
        <v>143</v>
      </c>
      <c r="H56" s="2" t="s">
        <v>238</v>
      </c>
      <c r="I56" s="2" t="s">
        <v>122</v>
      </c>
      <c r="J56" s="2" t="s">
        <v>323</v>
      </c>
      <c r="K56" s="2">
        <f t="shared" si="10"/>
        <v>43727596.280475147</v>
      </c>
      <c r="L56" s="2" t="s">
        <v>182</v>
      </c>
      <c r="M56" s="2" t="s">
        <v>73</v>
      </c>
      <c r="N56" s="2" t="s">
        <v>89</v>
      </c>
      <c r="O56" s="2">
        <v>2346</v>
      </c>
      <c r="P56" s="2">
        <v>510.04635620117187</v>
      </c>
      <c r="Q56" s="2">
        <v>515.1507568359375</v>
      </c>
      <c r="R56" s="2">
        <f t="shared" si="0"/>
        <v>1196568.7516479492</v>
      </c>
      <c r="S56" s="2">
        <f t="shared" si="1"/>
        <v>1208543.6755371094</v>
      </c>
      <c r="T56" s="2">
        <f t="shared" si="2"/>
        <v>2405112.4271850586</v>
      </c>
      <c r="U56" s="2">
        <f t="shared" si="3"/>
        <v>1202.56</v>
      </c>
      <c r="V56" s="2">
        <f t="shared" si="4"/>
        <v>11974.923889160156</v>
      </c>
      <c r="W56" s="2">
        <f t="shared" si="5"/>
        <v>10772.363889160157</v>
      </c>
      <c r="X56" s="2">
        <f t="shared" si="6"/>
        <v>43738368.644364305</v>
      </c>
      <c r="Y56" s="2">
        <f t="shared" si="7"/>
        <v>239313.75</v>
      </c>
      <c r="Z56" s="2">
        <f t="shared" si="8"/>
        <v>4.5</v>
      </c>
      <c r="AA56" s="2">
        <f t="shared" si="11"/>
        <v>43738368.644364305</v>
      </c>
      <c r="AB56" s="2">
        <f t="shared" si="9"/>
        <v>0</v>
      </c>
    </row>
    <row r="57" spans="1:28">
      <c r="A57" s="2">
        <v>54</v>
      </c>
      <c r="B57" s="2" t="s">
        <v>324</v>
      </c>
      <c r="C57" s="2" t="s">
        <v>36</v>
      </c>
      <c r="D57" s="4" t="s">
        <v>61</v>
      </c>
      <c r="E57" s="5" t="s">
        <v>134</v>
      </c>
      <c r="F57" s="2" t="s">
        <v>135</v>
      </c>
      <c r="G57" s="2" t="s">
        <v>97</v>
      </c>
      <c r="H57" s="2" t="s">
        <v>325</v>
      </c>
      <c r="I57" s="2" t="s">
        <v>326</v>
      </c>
      <c r="J57" s="2" t="s">
        <v>327</v>
      </c>
      <c r="K57" s="2">
        <f t="shared" si="10"/>
        <v>43738368.644364305</v>
      </c>
      <c r="L57" s="2" t="s">
        <v>88</v>
      </c>
      <c r="M57" s="2" t="s">
        <v>264</v>
      </c>
      <c r="N57" s="2" t="s">
        <v>174</v>
      </c>
      <c r="O57" s="2">
        <v>2135</v>
      </c>
      <c r="P57" s="2">
        <v>297.25</v>
      </c>
      <c r="Q57" s="2">
        <v>328.35000610351562</v>
      </c>
      <c r="R57" s="2">
        <f t="shared" si="0"/>
        <v>634628.75</v>
      </c>
      <c r="S57" s="2">
        <f t="shared" si="1"/>
        <v>701027.26303100586</v>
      </c>
      <c r="T57" s="2">
        <f t="shared" si="2"/>
        <v>1335656.0130310059</v>
      </c>
      <c r="U57" s="2">
        <f t="shared" si="3"/>
        <v>667.83</v>
      </c>
      <c r="V57" s="2">
        <f t="shared" si="4"/>
        <v>66398.513031005859</v>
      </c>
      <c r="W57" s="2">
        <f t="shared" si="5"/>
        <v>65730.683031005858</v>
      </c>
      <c r="X57" s="2">
        <f t="shared" si="6"/>
        <v>43804099.327395312</v>
      </c>
      <c r="Y57" s="2">
        <f t="shared" si="7"/>
        <v>126925.75</v>
      </c>
      <c r="Z57" s="2">
        <f t="shared" si="8"/>
        <v>51.79</v>
      </c>
      <c r="AA57" s="2">
        <f t="shared" si="11"/>
        <v>43804099.327395312</v>
      </c>
      <c r="AB57" s="2">
        <f t="shared" si="9"/>
        <v>0</v>
      </c>
    </row>
    <row r="58" spans="1:28">
      <c r="A58" s="2">
        <v>55</v>
      </c>
      <c r="B58" s="2" t="s">
        <v>328</v>
      </c>
      <c r="C58" s="2" t="s">
        <v>36</v>
      </c>
      <c r="D58" s="3" t="s">
        <v>37</v>
      </c>
      <c r="E58" s="5" t="s">
        <v>134</v>
      </c>
      <c r="F58" s="2" t="s">
        <v>135</v>
      </c>
      <c r="G58" s="2" t="s">
        <v>143</v>
      </c>
      <c r="H58" s="2" t="s">
        <v>329</v>
      </c>
      <c r="I58" s="2" t="s">
        <v>330</v>
      </c>
      <c r="J58" s="2" t="s">
        <v>331</v>
      </c>
      <c r="K58" s="2">
        <f t="shared" si="10"/>
        <v>43804099.327395312</v>
      </c>
      <c r="L58" s="2" t="s">
        <v>204</v>
      </c>
      <c r="M58" s="2" t="s">
        <v>148</v>
      </c>
      <c r="N58" s="2" t="s">
        <v>74</v>
      </c>
      <c r="O58" s="2">
        <v>200</v>
      </c>
      <c r="P58" s="2">
        <v>5363.5595703125</v>
      </c>
      <c r="Q58" s="2">
        <v>6043.69482421875</v>
      </c>
      <c r="R58" s="2">
        <f t="shared" si="0"/>
        <v>1072711.9140625</v>
      </c>
      <c r="S58" s="2">
        <f t="shared" si="1"/>
        <v>1208738.96484375</v>
      </c>
      <c r="T58" s="2">
        <f t="shared" si="2"/>
        <v>2281450.87890625</v>
      </c>
      <c r="U58" s="2">
        <f t="shared" si="3"/>
        <v>1140.73</v>
      </c>
      <c r="V58" s="2">
        <f t="shared" si="4"/>
        <v>136027.05078125</v>
      </c>
      <c r="W58" s="2">
        <f t="shared" si="5"/>
        <v>134886.32078124999</v>
      </c>
      <c r="X58" s="2">
        <f t="shared" si="6"/>
        <v>43938985.648176566</v>
      </c>
      <c r="Y58" s="2">
        <f t="shared" si="7"/>
        <v>214542.38</v>
      </c>
      <c r="Z58" s="2">
        <f t="shared" si="8"/>
        <v>62.87</v>
      </c>
      <c r="AA58" s="2">
        <f t="shared" si="11"/>
        <v>43938985.648176566</v>
      </c>
      <c r="AB58" s="2">
        <f t="shared" si="9"/>
        <v>0</v>
      </c>
    </row>
    <row r="59" spans="1:28">
      <c r="A59" s="2">
        <v>56</v>
      </c>
      <c r="B59" s="2" t="s">
        <v>332</v>
      </c>
      <c r="C59" s="2" t="s">
        <v>36</v>
      </c>
      <c r="D59" s="4" t="s">
        <v>61</v>
      </c>
      <c r="E59" s="5" t="s">
        <v>134</v>
      </c>
      <c r="F59" s="2" t="s">
        <v>135</v>
      </c>
      <c r="G59" s="2" t="s">
        <v>231</v>
      </c>
      <c r="H59" s="2" t="s">
        <v>333</v>
      </c>
      <c r="I59" s="2" t="s">
        <v>334</v>
      </c>
      <c r="J59" s="2" t="s">
        <v>335</v>
      </c>
      <c r="K59" s="2">
        <f t="shared" si="10"/>
        <v>43938985.648176566</v>
      </c>
      <c r="L59" s="2" t="s">
        <v>336</v>
      </c>
      <c r="M59" s="2" t="s">
        <v>217</v>
      </c>
      <c r="N59" s="2" t="s">
        <v>153</v>
      </c>
      <c r="O59" s="2">
        <v>100</v>
      </c>
      <c r="P59" s="2">
        <v>15137.61328125</v>
      </c>
      <c r="Q59" s="2">
        <v>16845.203125</v>
      </c>
      <c r="R59" s="2">
        <f t="shared" si="0"/>
        <v>1513761.328125</v>
      </c>
      <c r="S59" s="2">
        <f t="shared" si="1"/>
        <v>1684520.3125</v>
      </c>
      <c r="T59" s="2">
        <f t="shared" si="2"/>
        <v>3198281.640625</v>
      </c>
      <c r="U59" s="2">
        <f t="shared" si="3"/>
        <v>1599.14</v>
      </c>
      <c r="V59" s="2">
        <f t="shared" si="4"/>
        <v>170758.984375</v>
      </c>
      <c r="W59" s="2">
        <f t="shared" si="5"/>
        <v>169159.84437499999</v>
      </c>
      <c r="X59" s="2">
        <f t="shared" si="6"/>
        <v>44108145.492551565</v>
      </c>
      <c r="Y59" s="2">
        <f t="shared" si="7"/>
        <v>302752.27</v>
      </c>
      <c r="Z59" s="2">
        <f t="shared" si="8"/>
        <v>55.87</v>
      </c>
      <c r="AA59" s="2">
        <f t="shared" si="11"/>
        <v>44108145.492551565</v>
      </c>
      <c r="AB59" s="2">
        <f t="shared" si="9"/>
        <v>0</v>
      </c>
    </row>
    <row r="60" spans="1:28">
      <c r="A60" s="2">
        <v>57</v>
      </c>
      <c r="B60" s="2" t="s">
        <v>337</v>
      </c>
      <c r="C60" s="2" t="s">
        <v>36</v>
      </c>
      <c r="D60" s="4" t="s">
        <v>61</v>
      </c>
      <c r="E60" s="5" t="s">
        <v>134</v>
      </c>
      <c r="F60" s="2" t="s">
        <v>135</v>
      </c>
      <c r="G60" s="2" t="s">
        <v>77</v>
      </c>
      <c r="H60" s="2" t="s">
        <v>338</v>
      </c>
      <c r="I60" s="2" t="s">
        <v>339</v>
      </c>
      <c r="J60" s="2" t="s">
        <v>340</v>
      </c>
      <c r="K60" s="2">
        <f t="shared" si="10"/>
        <v>44108145.492551565</v>
      </c>
      <c r="L60" s="2" t="s">
        <v>217</v>
      </c>
      <c r="M60" s="2" t="s">
        <v>166</v>
      </c>
      <c r="N60" s="2" t="s">
        <v>167</v>
      </c>
      <c r="O60" s="2">
        <v>1527</v>
      </c>
      <c r="P60" s="2">
        <v>690.12432861328125</v>
      </c>
      <c r="Q60" s="2">
        <v>723.458984375</v>
      </c>
      <c r="R60" s="2">
        <f t="shared" si="0"/>
        <v>1053819.8497924805</v>
      </c>
      <c r="S60" s="2">
        <f t="shared" si="1"/>
        <v>1104721.869140625</v>
      </c>
      <c r="T60" s="2">
        <f t="shared" si="2"/>
        <v>2158541.7189331055</v>
      </c>
      <c r="U60" s="2">
        <f t="shared" si="3"/>
        <v>1079.27</v>
      </c>
      <c r="V60" s="2">
        <f t="shared" si="4"/>
        <v>50902.019348144531</v>
      </c>
      <c r="W60" s="2">
        <f t="shared" si="5"/>
        <v>49822.749348144534</v>
      </c>
      <c r="X60" s="2">
        <f t="shared" si="6"/>
        <v>44157968.241899706</v>
      </c>
      <c r="Y60" s="2">
        <f t="shared" si="7"/>
        <v>210763.97</v>
      </c>
      <c r="Z60" s="2">
        <f t="shared" si="8"/>
        <v>23.64</v>
      </c>
      <c r="AA60" s="2">
        <f t="shared" si="11"/>
        <v>44157968.241899706</v>
      </c>
      <c r="AB60" s="2">
        <f t="shared" si="9"/>
        <v>0</v>
      </c>
    </row>
    <row r="61" spans="1:28">
      <c r="A61" s="2">
        <v>58</v>
      </c>
      <c r="B61" s="2" t="s">
        <v>341</v>
      </c>
      <c r="C61" s="2" t="s">
        <v>36</v>
      </c>
      <c r="D61" s="4" t="s">
        <v>61</v>
      </c>
      <c r="E61" s="5" t="s">
        <v>134</v>
      </c>
      <c r="F61" s="2" t="s">
        <v>135</v>
      </c>
      <c r="G61" s="2" t="s">
        <v>97</v>
      </c>
      <c r="H61" s="2" t="s">
        <v>99</v>
      </c>
      <c r="I61" s="2" t="s">
        <v>342</v>
      </c>
      <c r="J61" s="2" t="s">
        <v>343</v>
      </c>
      <c r="K61" s="2">
        <f t="shared" si="10"/>
        <v>44157968.241899706</v>
      </c>
      <c r="L61" s="2" t="s">
        <v>344</v>
      </c>
      <c r="M61" s="2" t="s">
        <v>345</v>
      </c>
      <c r="N61" s="2" t="s">
        <v>346</v>
      </c>
      <c r="O61" s="2">
        <v>258</v>
      </c>
      <c r="P61" s="2">
        <v>3507.449951171875</v>
      </c>
      <c r="Q61" s="2">
        <v>3843</v>
      </c>
      <c r="R61" s="2">
        <f t="shared" si="0"/>
        <v>904922.08740234375</v>
      </c>
      <c r="S61" s="2">
        <f t="shared" si="1"/>
        <v>991494</v>
      </c>
      <c r="T61" s="2">
        <f t="shared" si="2"/>
        <v>1896416.0874023438</v>
      </c>
      <c r="U61" s="2">
        <f t="shared" si="3"/>
        <v>948.21</v>
      </c>
      <c r="V61" s="2">
        <f t="shared" si="4"/>
        <v>86571.91259765625</v>
      </c>
      <c r="W61" s="2">
        <f t="shared" si="5"/>
        <v>85623.702597656244</v>
      </c>
      <c r="X61" s="2">
        <f t="shared" si="6"/>
        <v>44243591.944497362</v>
      </c>
      <c r="Y61" s="2">
        <f t="shared" si="7"/>
        <v>180984.42</v>
      </c>
      <c r="Z61" s="2">
        <f t="shared" si="8"/>
        <v>47.31</v>
      </c>
      <c r="AA61" s="2">
        <f t="shared" si="11"/>
        <v>44243591.944497362</v>
      </c>
      <c r="AB61" s="2">
        <f t="shared" si="9"/>
        <v>0</v>
      </c>
    </row>
    <row r="62" spans="1:28">
      <c r="A62" s="2">
        <v>59</v>
      </c>
      <c r="B62" s="2" t="s">
        <v>347</v>
      </c>
      <c r="C62" s="2" t="s">
        <v>36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349</v>
      </c>
      <c r="J62" s="2" t="s">
        <v>350</v>
      </c>
      <c r="K62" s="2">
        <f t="shared" si="10"/>
        <v>44243591.944497362</v>
      </c>
      <c r="L62" s="2" t="s">
        <v>181</v>
      </c>
      <c r="M62" s="2" t="s">
        <v>166</v>
      </c>
      <c r="N62" s="2" t="s">
        <v>167</v>
      </c>
      <c r="O62" s="2">
        <v>125</v>
      </c>
      <c r="P62" s="2">
        <v>1182.6025390625</v>
      </c>
      <c r="Q62" s="2">
        <v>1320.399169921875</v>
      </c>
      <c r="R62" s="2">
        <f t="shared" si="0"/>
        <v>147825.3173828125</v>
      </c>
      <c r="S62" s="2">
        <f t="shared" si="1"/>
        <v>165049.89624023437</v>
      </c>
      <c r="T62" s="2">
        <f t="shared" si="2"/>
        <v>312875.21362304688</v>
      </c>
      <c r="U62" s="2">
        <f t="shared" si="3"/>
        <v>156.44</v>
      </c>
      <c r="V62" s="2">
        <f t="shared" si="4"/>
        <v>17224.578857421875</v>
      </c>
      <c r="W62" s="2">
        <f t="shared" si="5"/>
        <v>17068.138857421876</v>
      </c>
      <c r="X62" s="2">
        <f t="shared" si="6"/>
        <v>44260660.083354786</v>
      </c>
      <c r="Y62" s="2">
        <f t="shared" si="7"/>
        <v>29565.06</v>
      </c>
      <c r="Z62" s="2">
        <f t="shared" si="8"/>
        <v>57.73</v>
      </c>
      <c r="AA62" s="2">
        <f t="shared" si="11"/>
        <v>44260660.083354786</v>
      </c>
      <c r="AB62" s="2">
        <f t="shared" si="9"/>
        <v>0</v>
      </c>
    </row>
    <row r="63" spans="1:28">
      <c r="A63" s="2">
        <v>60</v>
      </c>
      <c r="B63" s="2" t="s">
        <v>351</v>
      </c>
      <c r="C63" s="2" t="s">
        <v>36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354</v>
      </c>
      <c r="J63" s="2" t="s">
        <v>117</v>
      </c>
      <c r="K63" s="2">
        <f t="shared" si="10"/>
        <v>44260660.083354786</v>
      </c>
      <c r="L63" s="2" t="s">
        <v>173</v>
      </c>
      <c r="M63" s="2" t="s">
        <v>139</v>
      </c>
      <c r="N63" s="2" t="s">
        <v>131</v>
      </c>
      <c r="O63" s="2">
        <v>175</v>
      </c>
      <c r="P63" s="2">
        <v>5321.15283203125</v>
      </c>
      <c r="Q63" s="2">
        <v>4758.69580078125</v>
      </c>
      <c r="R63" s="2">
        <f t="shared" si="0"/>
        <v>931201.74560546875</v>
      </c>
      <c r="S63" s="2">
        <f t="shared" si="1"/>
        <v>832771.76513671875</v>
      </c>
      <c r="T63" s="2">
        <f t="shared" si="2"/>
        <v>1763973.5107421875</v>
      </c>
      <c r="U63" s="2">
        <f t="shared" si="3"/>
        <v>881.99</v>
      </c>
      <c r="V63" s="2">
        <f t="shared" si="4"/>
        <v>-98429.98046875</v>
      </c>
      <c r="W63" s="2">
        <f t="shared" si="5"/>
        <v>-99311.970468750005</v>
      </c>
      <c r="X63" s="2">
        <f t="shared" si="6"/>
        <v>44161348.112886034</v>
      </c>
      <c r="Y63" s="2">
        <f t="shared" si="7"/>
        <v>186240.35</v>
      </c>
      <c r="Z63" s="2">
        <f t="shared" si="8"/>
        <v>-53.32</v>
      </c>
      <c r="AA63" s="2">
        <f t="shared" si="11"/>
        <v>44260660.083354786</v>
      </c>
      <c r="AB63" s="2">
        <f t="shared" si="9"/>
        <v>-99311.970468752086</v>
      </c>
    </row>
    <row r="64" spans="1:28">
      <c r="A64" s="2">
        <v>61</v>
      </c>
      <c r="B64" s="2" t="s">
        <v>355</v>
      </c>
      <c r="C64" s="2" t="s">
        <v>36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358</v>
      </c>
      <c r="J64" s="2" t="s">
        <v>359</v>
      </c>
      <c r="K64" s="2">
        <f t="shared" si="10"/>
        <v>44161348.112886034</v>
      </c>
      <c r="L64" s="2" t="s">
        <v>183</v>
      </c>
      <c r="M64" s="2" t="s">
        <v>167</v>
      </c>
      <c r="N64" s="2" t="s">
        <v>153</v>
      </c>
      <c r="O64" s="2">
        <v>3399</v>
      </c>
      <c r="P64" s="2">
        <v>241.8999938964844</v>
      </c>
      <c r="Q64" s="2">
        <v>215.6000061035156</v>
      </c>
      <c r="R64" s="2">
        <f t="shared" si="0"/>
        <v>822218.07925415051</v>
      </c>
      <c r="S64" s="2">
        <f t="shared" si="1"/>
        <v>732824.42074584949</v>
      </c>
      <c r="T64" s="2">
        <f t="shared" si="2"/>
        <v>1555042.5</v>
      </c>
      <c r="U64" s="2">
        <f t="shared" si="3"/>
        <v>777.52</v>
      </c>
      <c r="V64" s="2">
        <f t="shared" si="4"/>
        <v>-89393.658508301014</v>
      </c>
      <c r="W64" s="2">
        <f t="shared" si="5"/>
        <v>-90171.178508301018</v>
      </c>
      <c r="X64" s="2">
        <f t="shared" si="6"/>
        <v>44071176.93437773</v>
      </c>
      <c r="Y64" s="2">
        <f t="shared" si="7"/>
        <v>164443.62</v>
      </c>
      <c r="Z64" s="2">
        <f t="shared" si="8"/>
        <v>-54.83</v>
      </c>
      <c r="AA64" s="2">
        <f t="shared" si="11"/>
        <v>44260660.083354786</v>
      </c>
      <c r="AB64" s="2">
        <f t="shared" si="9"/>
        <v>-189483.14897705615</v>
      </c>
    </row>
    <row r="65" spans="1:28">
      <c r="A65" s="2">
        <v>62</v>
      </c>
      <c r="B65" s="2" t="s">
        <v>360</v>
      </c>
      <c r="C65" s="2" t="s">
        <v>36</v>
      </c>
      <c r="D65" s="3" t="s">
        <v>37</v>
      </c>
      <c r="E65" s="5" t="s">
        <v>134</v>
      </c>
      <c r="F65" s="2" t="s">
        <v>135</v>
      </c>
      <c r="G65" s="2" t="s">
        <v>77</v>
      </c>
      <c r="H65" s="2" t="s">
        <v>361</v>
      </c>
      <c r="I65" s="2" t="s">
        <v>362</v>
      </c>
      <c r="J65" s="2" t="s">
        <v>363</v>
      </c>
      <c r="K65" s="2">
        <f t="shared" si="10"/>
        <v>44071176.93437773</v>
      </c>
      <c r="L65" s="2" t="s">
        <v>182</v>
      </c>
      <c r="M65" s="2" t="s">
        <v>189</v>
      </c>
      <c r="N65" s="2" t="s">
        <v>204</v>
      </c>
      <c r="O65" s="2">
        <v>2823</v>
      </c>
      <c r="P65" s="2">
        <v>189.60223388671881</v>
      </c>
      <c r="Q65" s="2">
        <v>185.05972290039071</v>
      </c>
      <c r="R65" s="2">
        <f t="shared" si="0"/>
        <v>535247.10626220715</v>
      </c>
      <c r="S65" s="2">
        <f t="shared" si="1"/>
        <v>522423.59774780297</v>
      </c>
      <c r="T65" s="2">
        <f t="shared" si="2"/>
        <v>1057670.7040100102</v>
      </c>
      <c r="U65" s="2">
        <f t="shared" si="3"/>
        <v>528.84</v>
      </c>
      <c r="V65" s="2">
        <f t="shared" si="4"/>
        <v>-12823.50851440418</v>
      </c>
      <c r="W65" s="2">
        <f t="shared" si="5"/>
        <v>-13352.348514404181</v>
      </c>
      <c r="X65" s="2">
        <f t="shared" si="6"/>
        <v>44057824.585863322</v>
      </c>
      <c r="Y65" s="2">
        <f t="shared" si="7"/>
        <v>107049.42</v>
      </c>
      <c r="Z65" s="2">
        <f t="shared" si="8"/>
        <v>-12.47</v>
      </c>
      <c r="AA65" s="2">
        <f t="shared" si="11"/>
        <v>44260660.083354786</v>
      </c>
      <c r="AB65" s="2">
        <f t="shared" si="9"/>
        <v>-202835.49749146402</v>
      </c>
    </row>
    <row r="66" spans="1:28">
      <c r="A66" s="2">
        <v>63</v>
      </c>
      <c r="B66" s="2" t="s">
        <v>364</v>
      </c>
      <c r="C66" s="2" t="s">
        <v>36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366</v>
      </c>
      <c r="J66" s="2" t="s">
        <v>367</v>
      </c>
      <c r="K66" s="2">
        <f t="shared" si="10"/>
        <v>44057824.585863322</v>
      </c>
      <c r="L66" s="2" t="s">
        <v>67</v>
      </c>
      <c r="M66" s="2" t="s">
        <v>44</v>
      </c>
      <c r="N66" s="2" t="s">
        <v>368</v>
      </c>
      <c r="O66" s="2">
        <v>100</v>
      </c>
      <c r="P66" s="2">
        <v>17197</v>
      </c>
      <c r="Q66" s="2">
        <v>17618</v>
      </c>
      <c r="R66" s="2">
        <f t="shared" si="0"/>
        <v>1719700</v>
      </c>
      <c r="S66" s="2">
        <f t="shared" si="1"/>
        <v>1761800</v>
      </c>
      <c r="T66" s="2">
        <f t="shared" si="2"/>
        <v>3481500</v>
      </c>
      <c r="U66" s="2">
        <f t="shared" si="3"/>
        <v>1740.75</v>
      </c>
      <c r="V66" s="2">
        <f t="shared" si="4"/>
        <v>42100</v>
      </c>
      <c r="W66" s="2">
        <f t="shared" si="5"/>
        <v>40359.25</v>
      </c>
      <c r="X66" s="2">
        <f t="shared" si="6"/>
        <v>44098183.835863322</v>
      </c>
      <c r="Y66" s="2">
        <f t="shared" si="7"/>
        <v>343940</v>
      </c>
      <c r="Z66" s="2">
        <f t="shared" si="8"/>
        <v>11.73</v>
      </c>
      <c r="AA66" s="2">
        <f t="shared" si="11"/>
        <v>44260660.083354786</v>
      </c>
      <c r="AB66" s="2">
        <f t="shared" si="9"/>
        <v>-162476.24749146402</v>
      </c>
    </row>
    <row r="67" spans="1:28">
      <c r="A67" s="2">
        <v>64</v>
      </c>
      <c r="B67" s="2" t="s">
        <v>369</v>
      </c>
      <c r="C67" s="2" t="s">
        <v>36</v>
      </c>
      <c r="D67" s="3" t="s">
        <v>37</v>
      </c>
      <c r="E67" s="5" t="s">
        <v>134</v>
      </c>
      <c r="F67" s="2" t="s">
        <v>135</v>
      </c>
      <c r="G67" s="2" t="s">
        <v>103</v>
      </c>
      <c r="H67" s="2" t="s">
        <v>370</v>
      </c>
      <c r="I67" s="2" t="s">
        <v>362</v>
      </c>
      <c r="J67" s="2" t="s">
        <v>371</v>
      </c>
      <c r="K67" s="2">
        <f t="shared" si="10"/>
        <v>44098183.835863322</v>
      </c>
      <c r="L67" s="2" t="s">
        <v>173</v>
      </c>
      <c r="M67" s="2" t="s">
        <v>139</v>
      </c>
      <c r="N67" s="2" t="s">
        <v>174</v>
      </c>
      <c r="O67" s="2">
        <v>1053</v>
      </c>
      <c r="P67" s="2">
        <v>625.44598388671875</v>
      </c>
      <c r="Q67" s="2">
        <v>610.42974853515625</v>
      </c>
      <c r="R67" s="2">
        <f t="shared" si="0"/>
        <v>658594.62103271484</v>
      </c>
      <c r="S67" s="2">
        <f t="shared" si="1"/>
        <v>642782.52520751953</v>
      </c>
      <c r="T67" s="2">
        <f t="shared" si="2"/>
        <v>1301377.1462402344</v>
      </c>
      <c r="U67" s="2">
        <f t="shared" si="3"/>
        <v>650.69000000000005</v>
      </c>
      <c r="V67" s="2">
        <f t="shared" si="4"/>
        <v>-15812.095825195313</v>
      </c>
      <c r="W67" s="2">
        <f t="shared" si="5"/>
        <v>-16462.785825195311</v>
      </c>
      <c r="X67" s="2">
        <f t="shared" si="6"/>
        <v>44081721.050038129</v>
      </c>
      <c r="Y67" s="2">
        <f t="shared" si="7"/>
        <v>131718.92000000001</v>
      </c>
      <c r="Z67" s="2">
        <f t="shared" si="8"/>
        <v>-12.5</v>
      </c>
      <c r="AA67" s="2">
        <f t="shared" si="11"/>
        <v>44260660.083354786</v>
      </c>
      <c r="AB67" s="2">
        <f t="shared" si="9"/>
        <v>-178939.03331665695</v>
      </c>
    </row>
    <row r="68" spans="1:28">
      <c r="A68" s="2">
        <v>65</v>
      </c>
      <c r="B68" s="2" t="s">
        <v>372</v>
      </c>
      <c r="C68" s="2" t="s">
        <v>36</v>
      </c>
      <c r="D68" s="3" t="s">
        <v>37</v>
      </c>
      <c r="E68" s="5" t="s">
        <v>134</v>
      </c>
      <c r="F68" s="2" t="s">
        <v>135</v>
      </c>
      <c r="G68" s="2" t="s">
        <v>177</v>
      </c>
      <c r="H68" s="2" t="s">
        <v>373</v>
      </c>
      <c r="I68" s="2" t="s">
        <v>374</v>
      </c>
      <c r="J68" s="2" t="s">
        <v>375</v>
      </c>
      <c r="K68" s="2">
        <f t="shared" si="10"/>
        <v>44081721.050038129</v>
      </c>
      <c r="L68" s="2" t="s">
        <v>189</v>
      </c>
      <c r="M68" s="2" t="s">
        <v>88</v>
      </c>
      <c r="N68" s="2" t="s">
        <v>73</v>
      </c>
      <c r="O68" s="2">
        <v>5759</v>
      </c>
      <c r="P68" s="2">
        <v>153.5029602050781</v>
      </c>
      <c r="Q68" s="2">
        <v>166.77024841308591</v>
      </c>
      <c r="R68" s="2">
        <f t="shared" ref="R68:R131" si="12">O68*P68</f>
        <v>884023.54782104481</v>
      </c>
      <c r="S68" s="2">
        <f t="shared" ref="S68:S131" si="13">O68*Q68</f>
        <v>960429.8606109618</v>
      </c>
      <c r="T68" s="2">
        <f t="shared" ref="T68:T131" si="14">R68+S68</f>
        <v>1844453.4084320066</v>
      </c>
      <c r="U68" s="2">
        <f t="shared" ref="U68:U131" si="15">ROUND(T68*0.0005, 2)</f>
        <v>922.23</v>
      </c>
      <c r="V68" s="2">
        <f t="shared" ref="V68:V131" si="16">S68-R68</f>
        <v>76406.312789916992</v>
      </c>
      <c r="W68" s="2">
        <f t="shared" ref="W68:W131" si="17">V68-U68</f>
        <v>75484.082789916996</v>
      </c>
      <c r="X68" s="2">
        <f t="shared" ref="X68:X131" si="18">K68+W68</f>
        <v>44157205.132828049</v>
      </c>
      <c r="Y68" s="2">
        <f t="shared" ref="Y68:Y131" si="19">ROUND(0.2*R68, 2)</f>
        <v>176804.71</v>
      </c>
      <c r="Z68" s="2">
        <f t="shared" ref="Z68:Z131" si="20">ROUND((W68/Y68)*100, 2)</f>
        <v>42.69</v>
      </c>
      <c r="AA68" s="2">
        <f t="shared" si="11"/>
        <v>44260660.083354786</v>
      </c>
      <c r="AB68" s="2">
        <f t="shared" ref="AB68:AB131" si="21">X68-AA68</f>
        <v>-103454.95052673668</v>
      </c>
    </row>
    <row r="69" spans="1:28">
      <c r="A69" s="2">
        <v>66</v>
      </c>
      <c r="B69" s="2" t="s">
        <v>376</v>
      </c>
      <c r="C69" s="2" t="s">
        <v>36</v>
      </c>
      <c r="D69" s="3" t="s">
        <v>37</v>
      </c>
      <c r="E69" s="5" t="s">
        <v>134</v>
      </c>
      <c r="F69" s="2" t="s">
        <v>135</v>
      </c>
      <c r="G69" s="2" t="s">
        <v>177</v>
      </c>
      <c r="H69" s="2" t="s">
        <v>377</v>
      </c>
      <c r="I69" s="2" t="s">
        <v>378</v>
      </c>
      <c r="J69" s="2" t="s">
        <v>379</v>
      </c>
      <c r="K69" s="2">
        <f t="shared" ref="K69:K132" si="22">X68</f>
        <v>44157205.132828049</v>
      </c>
      <c r="L69" s="2" t="s">
        <v>140</v>
      </c>
      <c r="M69" s="2" t="s">
        <v>380</v>
      </c>
      <c r="N69" s="2" t="s">
        <v>235</v>
      </c>
      <c r="O69" s="2">
        <v>456</v>
      </c>
      <c r="P69" s="2">
        <v>1402.709350585938</v>
      </c>
      <c r="Q69" s="2">
        <v>1345.649291992188</v>
      </c>
      <c r="R69" s="2">
        <f t="shared" si="12"/>
        <v>639635.46386718773</v>
      </c>
      <c r="S69" s="2">
        <f t="shared" si="13"/>
        <v>613616.07714843773</v>
      </c>
      <c r="T69" s="2">
        <f t="shared" si="14"/>
        <v>1253251.5410156255</v>
      </c>
      <c r="U69" s="2">
        <f t="shared" si="15"/>
        <v>626.63</v>
      </c>
      <c r="V69" s="2">
        <f t="shared" si="16"/>
        <v>-26019.38671875</v>
      </c>
      <c r="W69" s="2">
        <f t="shared" si="17"/>
        <v>-26646.016718750001</v>
      </c>
      <c r="X69" s="2">
        <f t="shared" si="18"/>
        <v>44130559.116109297</v>
      </c>
      <c r="Y69" s="2">
        <f t="shared" si="19"/>
        <v>127927.09</v>
      </c>
      <c r="Z69" s="2">
        <f t="shared" si="20"/>
        <v>-20.83</v>
      </c>
      <c r="AA69" s="2">
        <f t="shared" ref="AA69:AA132" si="23">MAX(AA68, X69)</f>
        <v>44260660.083354786</v>
      </c>
      <c r="AB69" s="2">
        <f t="shared" si="21"/>
        <v>-130100.96724548936</v>
      </c>
    </row>
    <row r="70" spans="1:28">
      <c r="A70" s="2">
        <v>67</v>
      </c>
      <c r="B70" s="2" t="s">
        <v>381</v>
      </c>
      <c r="C70" s="2" t="s">
        <v>36</v>
      </c>
      <c r="D70" s="4" t="s">
        <v>61</v>
      </c>
      <c r="E70" s="5" t="s">
        <v>134</v>
      </c>
      <c r="F70" s="2" t="s">
        <v>135</v>
      </c>
      <c r="G70" s="2" t="s">
        <v>177</v>
      </c>
      <c r="H70" s="2" t="s">
        <v>382</v>
      </c>
      <c r="I70" s="2" t="s">
        <v>383</v>
      </c>
      <c r="J70" s="2" t="s">
        <v>384</v>
      </c>
      <c r="K70" s="2">
        <f t="shared" si="22"/>
        <v>44130559.116109297</v>
      </c>
      <c r="L70" s="2" t="s">
        <v>166</v>
      </c>
      <c r="M70" s="2" t="s">
        <v>74</v>
      </c>
      <c r="N70" s="2" t="s">
        <v>189</v>
      </c>
      <c r="O70" s="2">
        <v>9623</v>
      </c>
      <c r="P70" s="2">
        <v>73.480003356933594</v>
      </c>
      <c r="Q70" s="2">
        <v>70.510002136230469</v>
      </c>
      <c r="R70" s="2">
        <f t="shared" si="12"/>
        <v>707098.07230377197</v>
      </c>
      <c r="S70" s="2">
        <f t="shared" si="13"/>
        <v>678517.7505569458</v>
      </c>
      <c r="T70" s="2">
        <f t="shared" si="14"/>
        <v>1385615.8228607178</v>
      </c>
      <c r="U70" s="2">
        <f t="shared" si="15"/>
        <v>692.81</v>
      </c>
      <c r="V70" s="2">
        <f t="shared" si="16"/>
        <v>-28580.321746826172</v>
      </c>
      <c r="W70" s="2">
        <f t="shared" si="17"/>
        <v>-29273.131746826173</v>
      </c>
      <c r="X70" s="2">
        <f t="shared" si="18"/>
        <v>44101285.984362468</v>
      </c>
      <c r="Y70" s="2">
        <f t="shared" si="19"/>
        <v>141419.60999999999</v>
      </c>
      <c r="Z70" s="2">
        <f t="shared" si="20"/>
        <v>-20.7</v>
      </c>
      <c r="AA70" s="2">
        <f t="shared" si="23"/>
        <v>44260660.083354786</v>
      </c>
      <c r="AB70" s="2">
        <f t="shared" si="21"/>
        <v>-159374.09899231791</v>
      </c>
    </row>
    <row r="71" spans="1:28">
      <c r="A71" s="2">
        <v>68</v>
      </c>
      <c r="B71" s="2" t="s">
        <v>385</v>
      </c>
      <c r="C71" s="2" t="s">
        <v>36</v>
      </c>
      <c r="D71" s="3" t="s">
        <v>37</v>
      </c>
      <c r="E71" s="5" t="s">
        <v>134</v>
      </c>
      <c r="F71" s="2" t="s">
        <v>135</v>
      </c>
      <c r="G71" s="2" t="s">
        <v>54</v>
      </c>
      <c r="H71" s="2" t="s">
        <v>386</v>
      </c>
      <c r="I71" s="2" t="s">
        <v>387</v>
      </c>
      <c r="J71" s="2" t="s">
        <v>388</v>
      </c>
      <c r="K71" s="2">
        <f t="shared" si="22"/>
        <v>44101285.984362468</v>
      </c>
      <c r="L71" s="2" t="s">
        <v>264</v>
      </c>
      <c r="M71" s="2" t="s">
        <v>389</v>
      </c>
      <c r="N71" s="2" t="s">
        <v>139</v>
      </c>
      <c r="O71" s="2">
        <v>469</v>
      </c>
      <c r="P71" s="2">
        <v>1839.918212890625</v>
      </c>
      <c r="Q71" s="2">
        <v>2162.44287109375</v>
      </c>
      <c r="R71" s="2">
        <f t="shared" si="12"/>
        <v>862921.64184570312</v>
      </c>
      <c r="S71" s="2">
        <f t="shared" si="13"/>
        <v>1014185.7065429688</v>
      </c>
      <c r="T71" s="2">
        <f t="shared" si="14"/>
        <v>1877107.3483886719</v>
      </c>
      <c r="U71" s="2">
        <f t="shared" si="15"/>
        <v>938.55</v>
      </c>
      <c r="V71" s="2">
        <f t="shared" si="16"/>
        <v>151264.06469726563</v>
      </c>
      <c r="W71" s="2">
        <f t="shared" si="17"/>
        <v>150325.51469726564</v>
      </c>
      <c r="X71" s="2">
        <f t="shared" si="18"/>
        <v>44251611.499059737</v>
      </c>
      <c r="Y71" s="2">
        <f t="shared" si="19"/>
        <v>172584.33</v>
      </c>
      <c r="Z71" s="2">
        <f t="shared" si="20"/>
        <v>87.1</v>
      </c>
      <c r="AA71" s="2">
        <f t="shared" si="23"/>
        <v>44260660.083354786</v>
      </c>
      <c r="AB71" s="2">
        <f t="shared" si="21"/>
        <v>-9048.5842950493097</v>
      </c>
    </row>
    <row r="72" spans="1:28">
      <c r="A72" s="2">
        <v>69</v>
      </c>
      <c r="B72" s="2" t="s">
        <v>390</v>
      </c>
      <c r="C72" s="2" t="s">
        <v>36</v>
      </c>
      <c r="D72" s="3" t="s">
        <v>37</v>
      </c>
      <c r="E72" s="5" t="s">
        <v>134</v>
      </c>
      <c r="F72" s="2" t="s">
        <v>135</v>
      </c>
      <c r="G72" s="2" t="s">
        <v>143</v>
      </c>
      <c r="H72" s="2" t="s">
        <v>243</v>
      </c>
      <c r="I72" s="2" t="s">
        <v>391</v>
      </c>
      <c r="J72" s="2" t="s">
        <v>392</v>
      </c>
      <c r="K72" s="2">
        <f t="shared" si="22"/>
        <v>44251611.499059737</v>
      </c>
      <c r="L72" s="2" t="s">
        <v>251</v>
      </c>
      <c r="M72" s="2" t="s">
        <v>166</v>
      </c>
      <c r="N72" s="2" t="s">
        <v>167</v>
      </c>
      <c r="O72" s="2">
        <v>932</v>
      </c>
      <c r="P72" s="2">
        <v>1157.346069335938</v>
      </c>
      <c r="Q72" s="2">
        <v>1097.809936523438</v>
      </c>
      <c r="R72" s="2">
        <f t="shared" si="12"/>
        <v>1078646.5366210942</v>
      </c>
      <c r="S72" s="2">
        <f t="shared" si="13"/>
        <v>1023158.8608398442</v>
      </c>
      <c r="T72" s="2">
        <f t="shared" si="14"/>
        <v>2101805.3974609384</v>
      </c>
      <c r="U72" s="2">
        <f t="shared" si="15"/>
        <v>1050.9000000000001</v>
      </c>
      <c r="V72" s="2">
        <f t="shared" si="16"/>
        <v>-55487.67578125</v>
      </c>
      <c r="W72" s="2">
        <f t="shared" si="17"/>
        <v>-56538.575781250001</v>
      </c>
      <c r="X72" s="2">
        <f t="shared" si="18"/>
        <v>44195072.923278488</v>
      </c>
      <c r="Y72" s="2">
        <f t="shared" si="19"/>
        <v>215729.31</v>
      </c>
      <c r="Z72" s="2">
        <f t="shared" si="20"/>
        <v>-26.21</v>
      </c>
      <c r="AA72" s="2">
        <f t="shared" si="23"/>
        <v>44260660.083354786</v>
      </c>
      <c r="AB72" s="2">
        <f t="shared" si="21"/>
        <v>-65587.16007629782</v>
      </c>
    </row>
    <row r="73" spans="1:28">
      <c r="A73" s="2">
        <v>70</v>
      </c>
      <c r="B73" s="2" t="s">
        <v>393</v>
      </c>
      <c r="C73" s="2" t="s">
        <v>36</v>
      </c>
      <c r="D73" s="4" t="s">
        <v>61</v>
      </c>
      <c r="E73" s="5" t="s">
        <v>134</v>
      </c>
      <c r="F73" s="2" t="s">
        <v>135</v>
      </c>
      <c r="G73" s="2" t="s">
        <v>231</v>
      </c>
      <c r="H73" s="2" t="s">
        <v>394</v>
      </c>
      <c r="I73" s="2" t="s">
        <v>395</v>
      </c>
      <c r="J73" s="2" t="s">
        <v>396</v>
      </c>
      <c r="K73" s="2">
        <f t="shared" si="22"/>
        <v>44195072.923278488</v>
      </c>
      <c r="L73" s="2" t="s">
        <v>166</v>
      </c>
      <c r="M73" s="2" t="s">
        <v>88</v>
      </c>
      <c r="N73" s="2" t="s">
        <v>148</v>
      </c>
      <c r="O73" s="2">
        <v>473</v>
      </c>
      <c r="P73" s="2">
        <v>2290.279541015625</v>
      </c>
      <c r="Q73" s="2">
        <v>2085.66845703125</v>
      </c>
      <c r="R73" s="2">
        <f t="shared" si="12"/>
        <v>1083302.2229003906</v>
      </c>
      <c r="S73" s="2">
        <f t="shared" si="13"/>
        <v>986521.18017578125</v>
      </c>
      <c r="T73" s="2">
        <f t="shared" si="14"/>
        <v>2069823.4030761719</v>
      </c>
      <c r="U73" s="2">
        <f t="shared" si="15"/>
        <v>1034.9100000000001</v>
      </c>
      <c r="V73" s="2">
        <f t="shared" si="16"/>
        <v>-96781.042724609375</v>
      </c>
      <c r="W73" s="2">
        <f t="shared" si="17"/>
        <v>-97815.952724609378</v>
      </c>
      <c r="X73" s="2">
        <f t="shared" si="18"/>
        <v>44097256.970553882</v>
      </c>
      <c r="Y73" s="2">
        <f t="shared" si="19"/>
        <v>216660.44</v>
      </c>
      <c r="Z73" s="2">
        <f t="shared" si="20"/>
        <v>-45.15</v>
      </c>
      <c r="AA73" s="2">
        <f t="shared" si="23"/>
        <v>44260660.083354786</v>
      </c>
      <c r="AB73" s="2">
        <f t="shared" si="21"/>
        <v>-163403.11280090362</v>
      </c>
    </row>
    <row r="74" spans="1:28">
      <c r="A74" s="2">
        <v>71</v>
      </c>
      <c r="B74" s="2" t="s">
        <v>397</v>
      </c>
      <c r="C74" s="2" t="s">
        <v>36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400</v>
      </c>
      <c r="J74" s="2" t="s">
        <v>401</v>
      </c>
      <c r="K74" s="2">
        <f t="shared" si="22"/>
        <v>44097256.970553882</v>
      </c>
      <c r="L74" s="2" t="s">
        <v>88</v>
      </c>
      <c r="M74" s="2" t="s">
        <v>402</v>
      </c>
      <c r="N74" s="2" t="s">
        <v>264</v>
      </c>
      <c r="O74" s="2">
        <v>250</v>
      </c>
      <c r="P74" s="2">
        <v>2454.919677734375</v>
      </c>
      <c r="Q74" s="2">
        <v>2480.974609375</v>
      </c>
      <c r="R74" s="2">
        <f t="shared" si="12"/>
        <v>613729.91943359375</v>
      </c>
      <c r="S74" s="2">
        <f t="shared" si="13"/>
        <v>620243.65234375</v>
      </c>
      <c r="T74" s="2">
        <f t="shared" si="14"/>
        <v>1233973.5717773438</v>
      </c>
      <c r="U74" s="2">
        <f t="shared" si="15"/>
        <v>616.99</v>
      </c>
      <c r="V74" s="2">
        <f t="shared" si="16"/>
        <v>6513.73291015625</v>
      </c>
      <c r="W74" s="2">
        <f t="shared" si="17"/>
        <v>5896.7429101562502</v>
      </c>
      <c r="X74" s="2">
        <f t="shared" si="18"/>
        <v>44103153.713464037</v>
      </c>
      <c r="Y74" s="2">
        <f t="shared" si="19"/>
        <v>122745.98</v>
      </c>
      <c r="Z74" s="2">
        <f t="shared" si="20"/>
        <v>4.8</v>
      </c>
      <c r="AA74" s="2">
        <f t="shared" si="23"/>
        <v>44260660.083354786</v>
      </c>
      <c r="AB74" s="2">
        <f t="shared" si="21"/>
        <v>-157506.36989074945</v>
      </c>
    </row>
    <row r="75" spans="1:28">
      <c r="A75" s="2">
        <v>72</v>
      </c>
      <c r="B75" s="2" t="s">
        <v>403</v>
      </c>
      <c r="C75" s="2" t="s">
        <v>36</v>
      </c>
      <c r="D75" s="3" t="s">
        <v>37</v>
      </c>
      <c r="E75" s="5" t="s">
        <v>134</v>
      </c>
      <c r="F75" s="2" t="s">
        <v>135</v>
      </c>
      <c r="G75" s="2" t="s">
        <v>54</v>
      </c>
      <c r="H75" s="2" t="s">
        <v>310</v>
      </c>
      <c r="I75" s="2" t="s">
        <v>404</v>
      </c>
      <c r="J75" s="2" t="s">
        <v>405</v>
      </c>
      <c r="K75" s="2">
        <f t="shared" si="22"/>
        <v>44103153.713464037</v>
      </c>
      <c r="L75" s="2" t="s">
        <v>173</v>
      </c>
      <c r="M75" s="2" t="s">
        <v>131</v>
      </c>
      <c r="N75" s="2" t="s">
        <v>88</v>
      </c>
      <c r="O75" s="2">
        <v>237</v>
      </c>
      <c r="P75" s="2">
        <v>1767.86083984375</v>
      </c>
      <c r="Q75" s="2">
        <v>1605.757934570312</v>
      </c>
      <c r="R75" s="2">
        <f t="shared" si="12"/>
        <v>418983.01904296875</v>
      </c>
      <c r="S75" s="2">
        <f t="shared" si="13"/>
        <v>380564.63049316395</v>
      </c>
      <c r="T75" s="2">
        <f t="shared" si="14"/>
        <v>799547.6495361327</v>
      </c>
      <c r="U75" s="2">
        <f t="shared" si="15"/>
        <v>399.77</v>
      </c>
      <c r="V75" s="2">
        <f t="shared" si="16"/>
        <v>-38418.388549804804</v>
      </c>
      <c r="W75" s="2">
        <f t="shared" si="17"/>
        <v>-38818.158549804801</v>
      </c>
      <c r="X75" s="2">
        <f t="shared" si="18"/>
        <v>44064335.554914229</v>
      </c>
      <c r="Y75" s="2">
        <f t="shared" si="19"/>
        <v>83796.600000000006</v>
      </c>
      <c r="Z75" s="2">
        <f t="shared" si="20"/>
        <v>-46.32</v>
      </c>
      <c r="AA75" s="2">
        <f t="shared" si="23"/>
        <v>44260660.083354786</v>
      </c>
      <c r="AB75" s="2">
        <f t="shared" si="21"/>
        <v>-196324.52844055742</v>
      </c>
    </row>
    <row r="76" spans="1:28">
      <c r="A76" s="2">
        <v>73</v>
      </c>
      <c r="B76" s="2" t="s">
        <v>406</v>
      </c>
      <c r="C76" s="2" t="s">
        <v>36</v>
      </c>
      <c r="D76" s="3" t="s">
        <v>37</v>
      </c>
      <c r="E76" s="5" t="s">
        <v>134</v>
      </c>
      <c r="F76" s="2" t="s">
        <v>135</v>
      </c>
      <c r="G76" s="2" t="s">
        <v>241</v>
      </c>
      <c r="H76" s="2" t="s">
        <v>407</v>
      </c>
      <c r="I76" s="2" t="s">
        <v>408</v>
      </c>
      <c r="J76" s="2" t="s">
        <v>409</v>
      </c>
      <c r="K76" s="2">
        <f t="shared" si="22"/>
        <v>44064335.554914229</v>
      </c>
      <c r="L76" s="2" t="s">
        <v>147</v>
      </c>
      <c r="M76" s="2" t="s">
        <v>132</v>
      </c>
      <c r="N76" s="2" t="s">
        <v>140</v>
      </c>
      <c r="O76" s="2">
        <v>218</v>
      </c>
      <c r="P76" s="2">
        <v>3701.4453125</v>
      </c>
      <c r="Q76" s="2">
        <v>3305.90576171875</v>
      </c>
      <c r="R76" s="2">
        <f t="shared" si="12"/>
        <v>806915.078125</v>
      </c>
      <c r="S76" s="2">
        <f t="shared" si="13"/>
        <v>720687.4560546875</v>
      </c>
      <c r="T76" s="2">
        <f t="shared" si="14"/>
        <v>1527602.5341796875</v>
      </c>
      <c r="U76" s="2">
        <f t="shared" si="15"/>
        <v>763.8</v>
      </c>
      <c r="V76" s="2">
        <f t="shared" si="16"/>
        <v>-86227.6220703125</v>
      </c>
      <c r="W76" s="2">
        <f t="shared" si="17"/>
        <v>-86991.422070312503</v>
      </c>
      <c r="X76" s="2">
        <f t="shared" si="18"/>
        <v>43977344.132843919</v>
      </c>
      <c r="Y76" s="2">
        <f t="shared" si="19"/>
        <v>161383.01999999999</v>
      </c>
      <c r="Z76" s="2">
        <f t="shared" si="20"/>
        <v>-53.9</v>
      </c>
      <c r="AA76" s="2">
        <f t="shared" si="23"/>
        <v>44260660.083354786</v>
      </c>
      <c r="AB76" s="2">
        <f t="shared" si="21"/>
        <v>-283315.95051086694</v>
      </c>
    </row>
    <row r="77" spans="1:28">
      <c r="A77" s="2">
        <v>74</v>
      </c>
      <c r="B77" s="2" t="s">
        <v>410</v>
      </c>
      <c r="C77" s="2" t="s">
        <v>36</v>
      </c>
      <c r="D77" s="4" t="s">
        <v>61</v>
      </c>
      <c r="E77" s="5" t="s">
        <v>134</v>
      </c>
      <c r="F77" s="2" t="s">
        <v>135</v>
      </c>
      <c r="G77" s="2" t="s">
        <v>103</v>
      </c>
      <c r="H77" s="2" t="s">
        <v>411</v>
      </c>
      <c r="I77" s="2" t="s">
        <v>412</v>
      </c>
      <c r="J77" s="2" t="s">
        <v>413</v>
      </c>
      <c r="K77" s="2">
        <f t="shared" si="22"/>
        <v>43977344.132843919</v>
      </c>
      <c r="L77" s="2" t="s">
        <v>336</v>
      </c>
      <c r="M77" s="2" t="s">
        <v>87</v>
      </c>
      <c r="N77" s="2" t="s">
        <v>183</v>
      </c>
      <c r="O77" s="2">
        <v>792</v>
      </c>
      <c r="P77" s="2">
        <v>1535.32666015625</v>
      </c>
      <c r="Q77" s="2">
        <v>1606.88623046875</v>
      </c>
      <c r="R77" s="2">
        <f t="shared" si="12"/>
        <v>1215978.71484375</v>
      </c>
      <c r="S77" s="2">
        <f t="shared" si="13"/>
        <v>1272653.89453125</v>
      </c>
      <c r="T77" s="2">
        <f t="shared" si="14"/>
        <v>2488632.609375</v>
      </c>
      <c r="U77" s="2">
        <f t="shared" si="15"/>
        <v>1244.32</v>
      </c>
      <c r="V77" s="2">
        <f t="shared" si="16"/>
        <v>56675.1796875</v>
      </c>
      <c r="W77" s="2">
        <f t="shared" si="17"/>
        <v>55430.8596875</v>
      </c>
      <c r="X77" s="2">
        <f t="shared" si="18"/>
        <v>44032774.992531419</v>
      </c>
      <c r="Y77" s="2">
        <f t="shared" si="19"/>
        <v>243195.74</v>
      </c>
      <c r="Z77" s="2">
        <f t="shared" si="20"/>
        <v>22.79</v>
      </c>
      <c r="AA77" s="2">
        <f t="shared" si="23"/>
        <v>44260660.083354786</v>
      </c>
      <c r="AB77" s="2">
        <f t="shared" si="21"/>
        <v>-227885.09082336724</v>
      </c>
    </row>
    <row r="78" spans="1:28">
      <c r="A78" s="2">
        <v>75</v>
      </c>
      <c r="B78" s="2" t="s">
        <v>414</v>
      </c>
      <c r="C78" s="2" t="s">
        <v>36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417</v>
      </c>
      <c r="J78" s="2" t="s">
        <v>418</v>
      </c>
      <c r="K78" s="2">
        <f t="shared" si="22"/>
        <v>44032774.992531419</v>
      </c>
      <c r="L78" s="2" t="s">
        <v>336</v>
      </c>
      <c r="M78" s="2" t="s">
        <v>217</v>
      </c>
      <c r="N78" s="2" t="s">
        <v>165</v>
      </c>
      <c r="O78" s="2">
        <v>350</v>
      </c>
      <c r="P78" s="2">
        <v>1815.755859375</v>
      </c>
      <c r="Q78" s="2">
        <v>1708.662719726562</v>
      </c>
      <c r="R78" s="2">
        <f t="shared" si="12"/>
        <v>635514.55078125</v>
      </c>
      <c r="S78" s="2">
        <f t="shared" si="13"/>
        <v>598031.95190429676</v>
      </c>
      <c r="T78" s="2">
        <f t="shared" si="14"/>
        <v>1233546.5026855469</v>
      </c>
      <c r="U78" s="2">
        <f t="shared" si="15"/>
        <v>616.77</v>
      </c>
      <c r="V78" s="2">
        <f t="shared" si="16"/>
        <v>-37482.598876953241</v>
      </c>
      <c r="W78" s="2">
        <f t="shared" si="17"/>
        <v>-38099.368876953238</v>
      </c>
      <c r="X78" s="2">
        <f t="shared" si="18"/>
        <v>43994675.623654462</v>
      </c>
      <c r="Y78" s="2">
        <f t="shared" si="19"/>
        <v>127102.91</v>
      </c>
      <c r="Z78" s="2">
        <f t="shared" si="20"/>
        <v>-29.98</v>
      </c>
      <c r="AA78" s="2">
        <f t="shared" si="23"/>
        <v>44260660.083354786</v>
      </c>
      <c r="AB78" s="2">
        <f t="shared" si="21"/>
        <v>-265984.45970032364</v>
      </c>
    </row>
    <row r="79" spans="1:28">
      <c r="A79" s="2">
        <v>76</v>
      </c>
      <c r="B79" s="2" t="s">
        <v>419</v>
      </c>
      <c r="C79" s="2" t="s">
        <v>36</v>
      </c>
      <c r="D79" s="4" t="s">
        <v>61</v>
      </c>
      <c r="E79" s="5" t="s">
        <v>134</v>
      </c>
      <c r="F79" s="2" t="s">
        <v>135</v>
      </c>
      <c r="G79" s="2" t="s">
        <v>169</v>
      </c>
      <c r="H79" s="2" t="s">
        <v>420</v>
      </c>
      <c r="I79" s="2" t="s">
        <v>421</v>
      </c>
      <c r="J79" s="2" t="s">
        <v>422</v>
      </c>
      <c r="K79" s="2">
        <f t="shared" si="22"/>
        <v>43994675.623654462</v>
      </c>
      <c r="L79" s="2" t="s">
        <v>344</v>
      </c>
      <c r="M79" s="2" t="s">
        <v>181</v>
      </c>
      <c r="N79" s="2" t="s">
        <v>165</v>
      </c>
      <c r="O79" s="2">
        <v>392</v>
      </c>
      <c r="P79" s="2">
        <v>1943.95263671875</v>
      </c>
      <c r="Q79" s="2">
        <v>1951.1328125</v>
      </c>
      <c r="R79" s="2">
        <f t="shared" si="12"/>
        <v>762029.43359375</v>
      </c>
      <c r="S79" s="2">
        <f t="shared" si="13"/>
        <v>764844.0625</v>
      </c>
      <c r="T79" s="2">
        <f t="shared" si="14"/>
        <v>1526873.49609375</v>
      </c>
      <c r="U79" s="2">
        <f t="shared" si="15"/>
        <v>763.44</v>
      </c>
      <c r="V79" s="2">
        <f t="shared" si="16"/>
        <v>2814.62890625</v>
      </c>
      <c r="W79" s="2">
        <f t="shared" si="17"/>
        <v>2051.1889062499999</v>
      </c>
      <c r="X79" s="2">
        <f t="shared" si="18"/>
        <v>43996726.812560715</v>
      </c>
      <c r="Y79" s="2">
        <f t="shared" si="19"/>
        <v>152405.89000000001</v>
      </c>
      <c r="Z79" s="2">
        <f t="shared" si="20"/>
        <v>1.35</v>
      </c>
      <c r="AA79" s="2">
        <f t="shared" si="23"/>
        <v>44260660.083354786</v>
      </c>
      <c r="AB79" s="2">
        <f t="shared" si="21"/>
        <v>-263933.27079407126</v>
      </c>
    </row>
    <row r="80" spans="1:28">
      <c r="A80" s="2">
        <v>77</v>
      </c>
      <c r="B80" s="2" t="s">
        <v>423</v>
      </c>
      <c r="C80" s="2" t="s">
        <v>36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426</v>
      </c>
      <c r="J80" s="2" t="s">
        <v>427</v>
      </c>
      <c r="K80" s="2">
        <f t="shared" si="22"/>
        <v>43996726.812560715</v>
      </c>
      <c r="L80" s="2" t="s">
        <v>181</v>
      </c>
      <c r="M80" s="2" t="s">
        <v>89</v>
      </c>
      <c r="N80" s="2" t="s">
        <v>182</v>
      </c>
      <c r="O80" s="2">
        <v>550</v>
      </c>
      <c r="P80" s="2">
        <v>797.38031005859375</v>
      </c>
      <c r="Q80" s="2">
        <v>820.89337158203125</v>
      </c>
      <c r="R80" s="2">
        <f t="shared" si="12"/>
        <v>438559.17053222656</v>
      </c>
      <c r="S80" s="2">
        <f t="shared" si="13"/>
        <v>451491.35437011719</v>
      </c>
      <c r="T80" s="2">
        <f t="shared" si="14"/>
        <v>890050.52490234375</v>
      </c>
      <c r="U80" s="2">
        <f t="shared" si="15"/>
        <v>445.03</v>
      </c>
      <c r="V80" s="2">
        <f t="shared" si="16"/>
        <v>12932.183837890625</v>
      </c>
      <c r="W80" s="2">
        <f t="shared" si="17"/>
        <v>12487.153837890624</v>
      </c>
      <c r="X80" s="2">
        <f t="shared" si="18"/>
        <v>44009213.966398604</v>
      </c>
      <c r="Y80" s="2">
        <f t="shared" si="19"/>
        <v>87711.83</v>
      </c>
      <c r="Z80" s="2">
        <f t="shared" si="20"/>
        <v>14.24</v>
      </c>
      <c r="AA80" s="2">
        <f t="shared" si="23"/>
        <v>44260660.083354786</v>
      </c>
      <c r="AB80" s="2">
        <f t="shared" si="21"/>
        <v>-251446.11695618182</v>
      </c>
    </row>
    <row r="81" spans="1:28">
      <c r="A81" s="2">
        <v>78</v>
      </c>
      <c r="B81" s="2" t="s">
        <v>428</v>
      </c>
      <c r="C81" s="2" t="s">
        <v>36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431</v>
      </c>
      <c r="J81" s="2" t="s">
        <v>432</v>
      </c>
      <c r="K81" s="2">
        <f t="shared" si="22"/>
        <v>44009213.966398604</v>
      </c>
      <c r="L81" s="2" t="s">
        <v>345</v>
      </c>
      <c r="M81" s="2" t="s">
        <v>217</v>
      </c>
      <c r="N81" s="2" t="s">
        <v>181</v>
      </c>
      <c r="O81" s="2">
        <v>1100</v>
      </c>
      <c r="P81" s="2">
        <v>620.0699462890625</v>
      </c>
      <c r="Q81" s="2">
        <v>595.97265625</v>
      </c>
      <c r="R81" s="2">
        <f t="shared" si="12"/>
        <v>682076.94091796875</v>
      </c>
      <c r="S81" s="2">
        <f t="shared" si="13"/>
        <v>655569.921875</v>
      </c>
      <c r="T81" s="2">
        <f t="shared" si="14"/>
        <v>1337646.8627929688</v>
      </c>
      <c r="U81" s="2">
        <f t="shared" si="15"/>
        <v>668.82</v>
      </c>
      <c r="V81" s="2">
        <f t="shared" si="16"/>
        <v>-26507.01904296875</v>
      </c>
      <c r="W81" s="2">
        <f t="shared" si="17"/>
        <v>-27175.83904296875</v>
      </c>
      <c r="X81" s="2">
        <f t="shared" si="18"/>
        <v>43982038.127355635</v>
      </c>
      <c r="Y81" s="2">
        <f t="shared" si="19"/>
        <v>136415.39000000001</v>
      </c>
      <c r="Z81" s="2">
        <f t="shared" si="20"/>
        <v>-19.920000000000002</v>
      </c>
      <c r="AA81" s="2">
        <f t="shared" si="23"/>
        <v>44260660.083354786</v>
      </c>
      <c r="AB81" s="2">
        <f t="shared" si="21"/>
        <v>-278621.95599915087</v>
      </c>
    </row>
    <row r="82" spans="1:28">
      <c r="A82" s="2">
        <v>79</v>
      </c>
      <c r="B82" s="2" t="s">
        <v>433</v>
      </c>
      <c r="C82" s="2" t="s">
        <v>36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436</v>
      </c>
      <c r="J82" s="2" t="s">
        <v>437</v>
      </c>
      <c r="K82" s="2">
        <f t="shared" si="22"/>
        <v>43982038.127355635</v>
      </c>
      <c r="L82" s="2" t="s">
        <v>148</v>
      </c>
      <c r="M82" s="2" t="s">
        <v>139</v>
      </c>
      <c r="N82" s="2" t="s">
        <v>147</v>
      </c>
      <c r="O82" s="2">
        <v>150</v>
      </c>
      <c r="P82" s="2">
        <v>3993.972900390625</v>
      </c>
      <c r="Q82" s="2">
        <v>3823.09716796875</v>
      </c>
      <c r="R82" s="2">
        <f t="shared" si="12"/>
        <v>599095.93505859375</v>
      </c>
      <c r="S82" s="2">
        <f t="shared" si="13"/>
        <v>573464.5751953125</v>
      </c>
      <c r="T82" s="2">
        <f t="shared" si="14"/>
        <v>1172560.5102539063</v>
      </c>
      <c r="U82" s="2">
        <f t="shared" si="15"/>
        <v>586.28</v>
      </c>
      <c r="V82" s="2">
        <f t="shared" si="16"/>
        <v>-25631.35986328125</v>
      </c>
      <c r="W82" s="2">
        <f t="shared" si="17"/>
        <v>-26217.639863281249</v>
      </c>
      <c r="X82" s="2">
        <f t="shared" si="18"/>
        <v>43955820.487492353</v>
      </c>
      <c r="Y82" s="2">
        <f t="shared" si="19"/>
        <v>119819.19</v>
      </c>
      <c r="Z82" s="2">
        <f t="shared" si="20"/>
        <v>-21.88</v>
      </c>
      <c r="AA82" s="2">
        <f t="shared" si="23"/>
        <v>44260660.083354786</v>
      </c>
      <c r="AB82" s="2">
        <f t="shared" si="21"/>
        <v>-304839.59586243331</v>
      </c>
    </row>
    <row r="83" spans="1:28">
      <c r="A83" s="2">
        <v>80</v>
      </c>
      <c r="B83" s="2" t="s">
        <v>438</v>
      </c>
      <c r="C83" s="2" t="s">
        <v>36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441</v>
      </c>
      <c r="J83" s="2" t="s">
        <v>442</v>
      </c>
      <c r="K83" s="2">
        <f t="shared" si="22"/>
        <v>43955820.487492353</v>
      </c>
      <c r="L83" s="2" t="s">
        <v>131</v>
      </c>
      <c r="M83" s="2" t="s">
        <v>402</v>
      </c>
      <c r="N83" s="2" t="s">
        <v>139</v>
      </c>
      <c r="O83" s="2">
        <v>1400</v>
      </c>
      <c r="P83" s="2">
        <v>603.255859375</v>
      </c>
      <c r="Q83" s="2">
        <v>588.4423828125</v>
      </c>
      <c r="R83" s="2">
        <f t="shared" si="12"/>
        <v>844558.203125</v>
      </c>
      <c r="S83" s="2">
        <f t="shared" si="13"/>
        <v>823819.3359375</v>
      </c>
      <c r="T83" s="2">
        <f t="shared" si="14"/>
        <v>1668377.5390625</v>
      </c>
      <c r="U83" s="2">
        <f t="shared" si="15"/>
        <v>834.19</v>
      </c>
      <c r="V83" s="2">
        <f t="shared" si="16"/>
        <v>-20738.8671875</v>
      </c>
      <c r="W83" s="2">
        <f t="shared" si="17"/>
        <v>-21573.057187499999</v>
      </c>
      <c r="X83" s="2">
        <f t="shared" si="18"/>
        <v>43934247.430304855</v>
      </c>
      <c r="Y83" s="2">
        <f t="shared" si="19"/>
        <v>168911.64</v>
      </c>
      <c r="Z83" s="2">
        <f t="shared" si="20"/>
        <v>-12.77</v>
      </c>
      <c r="AA83" s="2">
        <f t="shared" si="23"/>
        <v>44260660.083354786</v>
      </c>
      <c r="AB83" s="2">
        <f t="shared" si="21"/>
        <v>-326412.65304993093</v>
      </c>
    </row>
    <row r="84" spans="1:28">
      <c r="A84" s="2">
        <v>81</v>
      </c>
      <c r="B84" s="2" t="s">
        <v>443</v>
      </c>
      <c r="C84" s="2" t="s">
        <v>36</v>
      </c>
      <c r="D84" s="4" t="s">
        <v>61</v>
      </c>
      <c r="E84" s="5" t="s">
        <v>134</v>
      </c>
      <c r="F84" s="2" t="s">
        <v>135</v>
      </c>
      <c r="G84" s="2" t="s">
        <v>127</v>
      </c>
      <c r="H84" s="2" t="s">
        <v>444</v>
      </c>
      <c r="I84" s="2" t="s">
        <v>445</v>
      </c>
      <c r="J84" s="2" t="s">
        <v>446</v>
      </c>
      <c r="K84" s="2">
        <f t="shared" si="22"/>
        <v>43934247.430304855</v>
      </c>
      <c r="L84" s="2" t="s">
        <v>87</v>
      </c>
      <c r="M84" s="2" t="s">
        <v>189</v>
      </c>
      <c r="N84" s="2" t="s">
        <v>182</v>
      </c>
      <c r="O84" s="2">
        <v>2574</v>
      </c>
      <c r="P84" s="2">
        <v>332.96246337890619</v>
      </c>
      <c r="Q84" s="2">
        <v>356.92803955078119</v>
      </c>
      <c r="R84" s="2">
        <f t="shared" si="12"/>
        <v>857045.38073730457</v>
      </c>
      <c r="S84" s="2">
        <f t="shared" si="13"/>
        <v>918732.77380371082</v>
      </c>
      <c r="T84" s="2">
        <f t="shared" si="14"/>
        <v>1775778.1545410154</v>
      </c>
      <c r="U84" s="2">
        <f t="shared" si="15"/>
        <v>887.89</v>
      </c>
      <c r="V84" s="2">
        <f t="shared" si="16"/>
        <v>61687.39306640625</v>
      </c>
      <c r="W84" s="2">
        <f t="shared" si="17"/>
        <v>60799.503066406251</v>
      </c>
      <c r="X84" s="2">
        <f t="shared" si="18"/>
        <v>43995046.933371261</v>
      </c>
      <c r="Y84" s="2">
        <f t="shared" si="19"/>
        <v>171409.08</v>
      </c>
      <c r="Z84" s="2">
        <f t="shared" si="20"/>
        <v>35.47</v>
      </c>
      <c r="AA84" s="2">
        <f t="shared" si="23"/>
        <v>44260660.083354786</v>
      </c>
      <c r="AB84" s="2">
        <f t="shared" si="21"/>
        <v>-265613.14998352528</v>
      </c>
    </row>
    <row r="85" spans="1:28">
      <c r="A85" s="2">
        <v>82</v>
      </c>
      <c r="B85" s="2" t="s">
        <v>447</v>
      </c>
      <c r="C85" s="2" t="s">
        <v>36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449</v>
      </c>
      <c r="J85" s="2" t="s">
        <v>450</v>
      </c>
      <c r="K85" s="2">
        <f t="shared" si="22"/>
        <v>43995046.933371261</v>
      </c>
      <c r="L85" s="2" t="s">
        <v>165</v>
      </c>
      <c r="M85" s="2" t="s">
        <v>189</v>
      </c>
      <c r="N85" s="2" t="s">
        <v>87</v>
      </c>
      <c r="O85" s="2">
        <v>300</v>
      </c>
      <c r="P85" s="2">
        <v>2317.1708984375</v>
      </c>
      <c r="Q85" s="2">
        <v>2301.619140625</v>
      </c>
      <c r="R85" s="2">
        <f t="shared" si="12"/>
        <v>695151.26953125</v>
      </c>
      <c r="S85" s="2">
        <f t="shared" si="13"/>
        <v>690485.7421875</v>
      </c>
      <c r="T85" s="2">
        <f t="shared" si="14"/>
        <v>1385637.01171875</v>
      </c>
      <c r="U85" s="2">
        <f t="shared" si="15"/>
        <v>692.82</v>
      </c>
      <c r="V85" s="2">
        <f t="shared" si="16"/>
        <v>-4665.52734375</v>
      </c>
      <c r="W85" s="2">
        <f t="shared" si="17"/>
        <v>-5358.3473437499997</v>
      </c>
      <c r="X85" s="2">
        <f t="shared" si="18"/>
        <v>43989688.58602751</v>
      </c>
      <c r="Y85" s="2">
        <f t="shared" si="19"/>
        <v>139030.25</v>
      </c>
      <c r="Z85" s="2">
        <f t="shared" si="20"/>
        <v>-3.85</v>
      </c>
      <c r="AA85" s="2">
        <f t="shared" si="23"/>
        <v>44260660.083354786</v>
      </c>
      <c r="AB85" s="2">
        <f t="shared" si="21"/>
        <v>-270971.49732727557</v>
      </c>
    </row>
    <row r="86" spans="1:28">
      <c r="A86" s="2">
        <v>83</v>
      </c>
      <c r="B86" s="2" t="s">
        <v>451</v>
      </c>
      <c r="C86" s="2" t="s">
        <v>36</v>
      </c>
      <c r="D86" s="4" t="s">
        <v>61</v>
      </c>
      <c r="E86" s="5" t="s">
        <v>134</v>
      </c>
      <c r="F86" s="2" t="s">
        <v>135</v>
      </c>
      <c r="G86" s="2" t="s">
        <v>54</v>
      </c>
      <c r="H86" s="2" t="s">
        <v>452</v>
      </c>
      <c r="I86" s="2" t="s">
        <v>453</v>
      </c>
      <c r="J86" s="2" t="s">
        <v>454</v>
      </c>
      <c r="K86" s="2">
        <f t="shared" si="22"/>
        <v>43989688.58602751</v>
      </c>
      <c r="L86" s="2" t="s">
        <v>182</v>
      </c>
      <c r="M86" s="2" t="s">
        <v>173</v>
      </c>
      <c r="N86" s="2" t="s">
        <v>204</v>
      </c>
      <c r="O86" s="2">
        <v>1866</v>
      </c>
      <c r="P86" s="2">
        <v>429.45858764648437</v>
      </c>
      <c r="Q86" s="2">
        <v>456.51641845703131</v>
      </c>
      <c r="R86" s="2">
        <f t="shared" si="12"/>
        <v>801369.72454833984</v>
      </c>
      <c r="S86" s="2">
        <f t="shared" si="13"/>
        <v>851859.63684082043</v>
      </c>
      <c r="T86" s="2">
        <f t="shared" si="14"/>
        <v>1653229.3613891602</v>
      </c>
      <c r="U86" s="2">
        <f t="shared" si="15"/>
        <v>826.61</v>
      </c>
      <c r="V86" s="2">
        <f t="shared" si="16"/>
        <v>50489.912292480585</v>
      </c>
      <c r="W86" s="2">
        <f t="shared" si="17"/>
        <v>49663.302292480585</v>
      </c>
      <c r="X86" s="2">
        <f t="shared" si="18"/>
        <v>44039351.888319992</v>
      </c>
      <c r="Y86" s="2">
        <f t="shared" si="19"/>
        <v>160273.94</v>
      </c>
      <c r="Z86" s="2">
        <f t="shared" si="20"/>
        <v>30.99</v>
      </c>
      <c r="AA86" s="2">
        <f t="shared" si="23"/>
        <v>44260660.083354786</v>
      </c>
      <c r="AB86" s="2">
        <f t="shared" si="21"/>
        <v>-221308.19503479451</v>
      </c>
    </row>
    <row r="87" spans="1:28">
      <c r="A87" s="2">
        <v>84</v>
      </c>
      <c r="B87" s="2" t="s">
        <v>455</v>
      </c>
      <c r="C87" s="2" t="s">
        <v>36</v>
      </c>
      <c r="D87" s="4" t="s">
        <v>61</v>
      </c>
      <c r="E87" s="5" t="s">
        <v>134</v>
      </c>
      <c r="F87" s="2" t="s">
        <v>456</v>
      </c>
      <c r="G87" s="2" t="s">
        <v>97</v>
      </c>
      <c r="H87" s="2" t="s">
        <v>386</v>
      </c>
      <c r="I87" s="2" t="s">
        <v>457</v>
      </c>
      <c r="J87" s="2" t="s">
        <v>458</v>
      </c>
      <c r="K87" s="2">
        <f t="shared" si="22"/>
        <v>44039351.888319992</v>
      </c>
      <c r="L87" s="2" t="s">
        <v>167</v>
      </c>
      <c r="M87" s="2" t="s">
        <v>189</v>
      </c>
      <c r="N87" s="2" t="s">
        <v>204</v>
      </c>
      <c r="O87" s="2">
        <v>495</v>
      </c>
      <c r="P87" s="2">
        <v>1633.677124023438</v>
      </c>
      <c r="Q87" s="2">
        <v>1688.94189453125</v>
      </c>
      <c r="R87" s="2">
        <f t="shared" si="12"/>
        <v>808670.1763916018</v>
      </c>
      <c r="S87" s="2">
        <f t="shared" si="13"/>
        <v>836026.23779296875</v>
      </c>
      <c r="T87" s="2">
        <f t="shared" si="14"/>
        <v>1644696.4141845705</v>
      </c>
      <c r="U87" s="2">
        <f t="shared" si="15"/>
        <v>822.35</v>
      </c>
      <c r="V87" s="2">
        <f t="shared" si="16"/>
        <v>27356.061401366955</v>
      </c>
      <c r="W87" s="2">
        <f t="shared" si="17"/>
        <v>26533.711401366956</v>
      </c>
      <c r="X87" s="2">
        <f t="shared" si="18"/>
        <v>44065885.599721357</v>
      </c>
      <c r="Y87" s="2">
        <f t="shared" si="19"/>
        <v>161734.04</v>
      </c>
      <c r="Z87" s="2">
        <f t="shared" si="20"/>
        <v>16.41</v>
      </c>
      <c r="AA87" s="2">
        <f t="shared" si="23"/>
        <v>44260660.083354786</v>
      </c>
      <c r="AB87" s="2">
        <f t="shared" si="21"/>
        <v>-194774.48363342881</v>
      </c>
    </row>
    <row r="88" spans="1:28">
      <c r="A88" s="2">
        <v>85</v>
      </c>
      <c r="B88" s="2" t="s">
        <v>459</v>
      </c>
      <c r="C88" s="2" t="s">
        <v>36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461</v>
      </c>
      <c r="J88" s="2" t="s">
        <v>462</v>
      </c>
      <c r="K88" s="2">
        <f t="shared" si="22"/>
        <v>44065885.599721357</v>
      </c>
      <c r="L88" s="2" t="s">
        <v>181</v>
      </c>
      <c r="M88" s="2" t="s">
        <v>73</v>
      </c>
      <c r="N88" s="2" t="s">
        <v>279</v>
      </c>
      <c r="O88" s="2">
        <v>700</v>
      </c>
      <c r="P88" s="2">
        <v>1228.768676757812</v>
      </c>
      <c r="Q88" s="2">
        <v>1243.207397460938</v>
      </c>
      <c r="R88" s="2">
        <f t="shared" si="12"/>
        <v>860138.0737304684</v>
      </c>
      <c r="S88" s="2">
        <f t="shared" si="13"/>
        <v>870245.1782226566</v>
      </c>
      <c r="T88" s="2">
        <f t="shared" si="14"/>
        <v>1730383.251953125</v>
      </c>
      <c r="U88" s="2">
        <f t="shared" si="15"/>
        <v>865.19</v>
      </c>
      <c r="V88" s="2">
        <f t="shared" si="16"/>
        <v>10107.104492188198</v>
      </c>
      <c r="W88" s="2">
        <f t="shared" si="17"/>
        <v>9241.914492188198</v>
      </c>
      <c r="X88" s="2">
        <f t="shared" si="18"/>
        <v>44075127.514213547</v>
      </c>
      <c r="Y88" s="2">
        <f t="shared" si="19"/>
        <v>172027.61</v>
      </c>
      <c r="Z88" s="2">
        <f t="shared" si="20"/>
        <v>5.37</v>
      </c>
      <c r="AA88" s="2">
        <f t="shared" si="23"/>
        <v>44260660.083354786</v>
      </c>
      <c r="AB88" s="2">
        <f t="shared" si="21"/>
        <v>-185532.56914123893</v>
      </c>
    </row>
    <row r="89" spans="1:28">
      <c r="A89" s="2">
        <v>86</v>
      </c>
      <c r="B89" s="2" t="s">
        <v>463</v>
      </c>
      <c r="C89" s="2" t="s">
        <v>36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466</v>
      </c>
      <c r="J89" s="2" t="s">
        <v>467</v>
      </c>
      <c r="K89" s="2">
        <f t="shared" si="22"/>
        <v>44075127.514213547</v>
      </c>
      <c r="L89" s="2" t="s">
        <v>468</v>
      </c>
      <c r="M89" s="2" t="s">
        <v>469</v>
      </c>
      <c r="N89" s="2" t="s">
        <v>470</v>
      </c>
      <c r="O89" s="2">
        <v>629</v>
      </c>
      <c r="P89" s="2">
        <v>1590.6</v>
      </c>
      <c r="Q89" s="2">
        <v>1784</v>
      </c>
      <c r="R89" s="2">
        <f t="shared" si="12"/>
        <v>1000487.3999999999</v>
      </c>
      <c r="S89" s="2">
        <f t="shared" si="13"/>
        <v>1122136</v>
      </c>
      <c r="T89" s="2">
        <f t="shared" si="14"/>
        <v>2122623.4</v>
      </c>
      <c r="U89" s="2">
        <f t="shared" si="15"/>
        <v>1061.31</v>
      </c>
      <c r="V89" s="2">
        <f t="shared" si="16"/>
        <v>121648.60000000009</v>
      </c>
      <c r="W89" s="2">
        <f t="shared" si="17"/>
        <v>120587.2900000001</v>
      </c>
      <c r="X89" s="2">
        <f t="shared" si="18"/>
        <v>44195714.804213546</v>
      </c>
      <c r="Y89" s="2">
        <f t="shared" si="19"/>
        <v>200097.48</v>
      </c>
      <c r="Z89" s="2">
        <f t="shared" si="20"/>
        <v>60.26</v>
      </c>
      <c r="AA89" s="2">
        <f t="shared" si="23"/>
        <v>44260660.083354786</v>
      </c>
      <c r="AB89" s="2">
        <f t="shared" si="21"/>
        <v>-64945.279141239822</v>
      </c>
    </row>
    <row r="90" spans="1:28">
      <c r="A90" s="2">
        <v>87</v>
      </c>
      <c r="B90" s="2" t="s">
        <v>471</v>
      </c>
      <c r="C90" s="2" t="s">
        <v>36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474</v>
      </c>
      <c r="J90" s="2" t="s">
        <v>475</v>
      </c>
      <c r="K90" s="2">
        <f t="shared" si="22"/>
        <v>44195714.804213546</v>
      </c>
      <c r="L90" s="2" t="s">
        <v>468</v>
      </c>
      <c r="M90" s="2" t="s">
        <v>469</v>
      </c>
      <c r="N90" s="2" t="s">
        <v>470</v>
      </c>
      <c r="O90" s="2">
        <v>1958</v>
      </c>
      <c r="P90" s="2">
        <v>499.5</v>
      </c>
      <c r="Q90" s="2">
        <v>485.10000610351562</v>
      </c>
      <c r="R90" s="2">
        <f t="shared" si="12"/>
        <v>978021</v>
      </c>
      <c r="S90" s="2">
        <f t="shared" si="13"/>
        <v>949825.81195068359</v>
      </c>
      <c r="T90" s="2">
        <f t="shared" si="14"/>
        <v>1927846.8119506836</v>
      </c>
      <c r="U90" s="2">
        <f t="shared" si="15"/>
        <v>963.92</v>
      </c>
      <c r="V90" s="2">
        <f t="shared" si="16"/>
        <v>-28195.188049316406</v>
      </c>
      <c r="W90" s="2">
        <f t="shared" si="17"/>
        <v>-29159.108049316405</v>
      </c>
      <c r="X90" s="2">
        <f t="shared" si="18"/>
        <v>44166555.696164228</v>
      </c>
      <c r="Y90" s="2">
        <f t="shared" si="19"/>
        <v>195604.2</v>
      </c>
      <c r="Z90" s="2">
        <f t="shared" si="20"/>
        <v>-14.91</v>
      </c>
      <c r="AA90" s="2">
        <f t="shared" si="23"/>
        <v>44260660.083354786</v>
      </c>
      <c r="AB90" s="2">
        <f t="shared" si="21"/>
        <v>-94104.387190558016</v>
      </c>
    </row>
    <row r="91" spans="1:28">
      <c r="A91" s="2">
        <v>88</v>
      </c>
      <c r="B91" s="2" t="s">
        <v>476</v>
      </c>
      <c r="C91" s="2" t="s">
        <v>36</v>
      </c>
      <c r="D91" s="4" t="s">
        <v>61</v>
      </c>
      <c r="E91" s="5" t="s">
        <v>134</v>
      </c>
      <c r="F91" s="2" t="s">
        <v>135</v>
      </c>
      <c r="G91" s="2" t="s">
        <v>103</v>
      </c>
      <c r="H91" s="2" t="s">
        <v>477</v>
      </c>
      <c r="I91" s="2" t="s">
        <v>478</v>
      </c>
      <c r="J91" s="2" t="s">
        <v>479</v>
      </c>
      <c r="K91" s="2">
        <f t="shared" si="22"/>
        <v>44166555.696164228</v>
      </c>
      <c r="L91" s="2" t="s">
        <v>148</v>
      </c>
      <c r="M91" s="2" t="s">
        <v>402</v>
      </c>
      <c r="N91" s="2" t="s">
        <v>131</v>
      </c>
      <c r="O91" s="2">
        <v>77700</v>
      </c>
      <c r="P91" s="2">
        <v>8.2700004577636719</v>
      </c>
      <c r="Q91" s="2">
        <v>9.3999996185302717</v>
      </c>
      <c r="R91" s="2">
        <f t="shared" si="12"/>
        <v>642579.0355682373</v>
      </c>
      <c r="S91" s="2">
        <f t="shared" si="13"/>
        <v>730379.97035980213</v>
      </c>
      <c r="T91" s="2">
        <f t="shared" si="14"/>
        <v>1372959.0059280396</v>
      </c>
      <c r="U91" s="2">
        <f t="shared" si="15"/>
        <v>686.48</v>
      </c>
      <c r="V91" s="2">
        <f t="shared" si="16"/>
        <v>87800.934791564825</v>
      </c>
      <c r="W91" s="2">
        <f t="shared" si="17"/>
        <v>87114.454791564829</v>
      </c>
      <c r="X91" s="2">
        <f t="shared" si="18"/>
        <v>44253670.150955796</v>
      </c>
      <c r="Y91" s="2">
        <f t="shared" si="19"/>
        <v>128515.81</v>
      </c>
      <c r="Z91" s="2">
        <f t="shared" si="20"/>
        <v>67.790000000000006</v>
      </c>
      <c r="AA91" s="2">
        <f t="shared" si="23"/>
        <v>44260660.083354786</v>
      </c>
      <c r="AB91" s="2">
        <f t="shared" si="21"/>
        <v>-6989.9323989897966</v>
      </c>
    </row>
    <row r="92" spans="1:28">
      <c r="A92" s="2">
        <v>89</v>
      </c>
      <c r="B92" s="2" t="s">
        <v>480</v>
      </c>
      <c r="C92" s="2" t="s">
        <v>36</v>
      </c>
      <c r="D92" s="4" t="s">
        <v>61</v>
      </c>
      <c r="E92" s="5" t="s">
        <v>134</v>
      </c>
      <c r="F92" s="2" t="s">
        <v>135</v>
      </c>
      <c r="G92" s="2" t="s">
        <v>231</v>
      </c>
      <c r="H92" s="2" t="s">
        <v>329</v>
      </c>
      <c r="I92" s="2" t="s">
        <v>481</v>
      </c>
      <c r="J92" s="2" t="s">
        <v>482</v>
      </c>
      <c r="K92" s="2">
        <f t="shared" si="22"/>
        <v>44253670.150955796</v>
      </c>
      <c r="L92" s="2" t="s">
        <v>181</v>
      </c>
      <c r="M92" s="2" t="s">
        <v>166</v>
      </c>
      <c r="N92" s="2" t="s">
        <v>279</v>
      </c>
      <c r="O92" s="2">
        <v>11798</v>
      </c>
      <c r="P92" s="2">
        <v>56.544921875</v>
      </c>
      <c r="Q92" s="2">
        <v>61.817665100097663</v>
      </c>
      <c r="R92" s="2">
        <f t="shared" si="12"/>
        <v>667116.98828125</v>
      </c>
      <c r="S92" s="2">
        <f t="shared" si="13"/>
        <v>729324.81285095226</v>
      </c>
      <c r="T92" s="2">
        <f t="shared" si="14"/>
        <v>1396441.8011322021</v>
      </c>
      <c r="U92" s="2">
        <f t="shared" si="15"/>
        <v>698.22</v>
      </c>
      <c r="V92" s="2">
        <f t="shared" si="16"/>
        <v>62207.824569702265</v>
      </c>
      <c r="W92" s="2">
        <f t="shared" si="17"/>
        <v>61509.604569702264</v>
      </c>
      <c r="X92" s="2">
        <f t="shared" si="18"/>
        <v>44315179.7555255</v>
      </c>
      <c r="Y92" s="2">
        <f t="shared" si="19"/>
        <v>133423.4</v>
      </c>
      <c r="Z92" s="2">
        <f t="shared" si="20"/>
        <v>46.1</v>
      </c>
      <c r="AA92" s="2">
        <f t="shared" si="23"/>
        <v>44315179.7555255</v>
      </c>
      <c r="AB92" s="2">
        <f t="shared" si="21"/>
        <v>0</v>
      </c>
    </row>
    <row r="93" spans="1:28">
      <c r="A93" s="2">
        <v>90</v>
      </c>
      <c r="B93" s="2" t="s">
        <v>483</v>
      </c>
      <c r="C93" s="2" t="s">
        <v>36</v>
      </c>
      <c r="D93" s="3" t="s">
        <v>37</v>
      </c>
      <c r="E93" s="5" t="s">
        <v>134</v>
      </c>
      <c r="F93" s="2" t="s">
        <v>135</v>
      </c>
      <c r="G93" s="2" t="s">
        <v>63</v>
      </c>
      <c r="H93" s="2" t="s">
        <v>484</v>
      </c>
      <c r="I93" s="2" t="s">
        <v>485</v>
      </c>
      <c r="J93" s="2" t="s">
        <v>71</v>
      </c>
      <c r="K93" s="2">
        <f t="shared" si="22"/>
        <v>44315179.7555255</v>
      </c>
      <c r="L93" s="2" t="s">
        <v>87</v>
      </c>
      <c r="M93" s="2" t="s">
        <v>167</v>
      </c>
      <c r="N93" s="2" t="s">
        <v>182</v>
      </c>
      <c r="O93" s="2">
        <v>7610</v>
      </c>
      <c r="P93" s="2">
        <v>160.96238708496091</v>
      </c>
      <c r="Q93" s="2">
        <v>162.06304931640619</v>
      </c>
      <c r="R93" s="2">
        <f t="shared" si="12"/>
        <v>1224923.7657165525</v>
      </c>
      <c r="S93" s="2">
        <f t="shared" si="13"/>
        <v>1233299.8052978511</v>
      </c>
      <c r="T93" s="2">
        <f t="shared" si="14"/>
        <v>2458223.5710144034</v>
      </c>
      <c r="U93" s="2">
        <f t="shared" si="15"/>
        <v>1229.1099999999999</v>
      </c>
      <c r="V93" s="2">
        <f t="shared" si="16"/>
        <v>8376.0395812985953</v>
      </c>
      <c r="W93" s="2">
        <f t="shared" si="17"/>
        <v>7146.9295812985956</v>
      </c>
      <c r="X93" s="2">
        <f t="shared" si="18"/>
        <v>44322326.685106799</v>
      </c>
      <c r="Y93" s="2">
        <f t="shared" si="19"/>
        <v>244984.75</v>
      </c>
      <c r="Z93" s="2">
        <f t="shared" si="20"/>
        <v>2.92</v>
      </c>
      <c r="AA93" s="2">
        <f t="shared" si="23"/>
        <v>44322326.685106799</v>
      </c>
      <c r="AB93" s="2">
        <f t="shared" si="21"/>
        <v>0</v>
      </c>
    </row>
    <row r="94" spans="1:28">
      <c r="A94" s="2">
        <v>91</v>
      </c>
      <c r="B94" s="2" t="s">
        <v>486</v>
      </c>
      <c r="C94" s="2" t="s">
        <v>36</v>
      </c>
      <c r="D94" s="3" t="s">
        <v>37</v>
      </c>
      <c r="E94" s="5" t="s">
        <v>134</v>
      </c>
      <c r="F94" s="2" t="s">
        <v>135</v>
      </c>
      <c r="G94" s="2" t="s">
        <v>54</v>
      </c>
      <c r="H94" s="2" t="s">
        <v>487</v>
      </c>
      <c r="I94" s="2" t="s">
        <v>488</v>
      </c>
      <c r="J94" s="2" t="s">
        <v>489</v>
      </c>
      <c r="K94" s="2">
        <f t="shared" si="22"/>
        <v>44322326.685106799</v>
      </c>
      <c r="L94" s="2" t="s">
        <v>165</v>
      </c>
      <c r="M94" s="2" t="s">
        <v>182</v>
      </c>
      <c r="N94" s="2" t="s">
        <v>251</v>
      </c>
      <c r="O94" s="2">
        <v>1334</v>
      </c>
      <c r="P94" s="2">
        <v>775.654541015625</v>
      </c>
      <c r="Q94" s="2">
        <v>769.40087890625</v>
      </c>
      <c r="R94" s="2">
        <f t="shared" si="12"/>
        <v>1034723.1577148438</v>
      </c>
      <c r="S94" s="2">
        <f t="shared" si="13"/>
        <v>1026380.7724609375</v>
      </c>
      <c r="T94" s="2">
        <f t="shared" si="14"/>
        <v>2061103.9301757813</v>
      </c>
      <c r="U94" s="2">
        <f t="shared" si="15"/>
        <v>1030.55</v>
      </c>
      <c r="V94" s="2">
        <f t="shared" si="16"/>
        <v>-8342.38525390625</v>
      </c>
      <c r="W94" s="2">
        <f t="shared" si="17"/>
        <v>-9372.9352539062493</v>
      </c>
      <c r="X94" s="2">
        <f t="shared" si="18"/>
        <v>44312953.749852896</v>
      </c>
      <c r="Y94" s="2">
        <f t="shared" si="19"/>
        <v>206944.63</v>
      </c>
      <c r="Z94" s="2">
        <f t="shared" si="20"/>
        <v>-4.53</v>
      </c>
      <c r="AA94" s="2">
        <f t="shared" si="23"/>
        <v>44322326.685106799</v>
      </c>
      <c r="AB94" s="2">
        <f t="shared" si="21"/>
        <v>-9372.9352539032698</v>
      </c>
    </row>
    <row r="95" spans="1:28">
      <c r="A95" s="2">
        <v>92</v>
      </c>
      <c r="B95" s="2" t="s">
        <v>490</v>
      </c>
      <c r="C95" s="2" t="s">
        <v>36</v>
      </c>
      <c r="D95" s="3" t="s">
        <v>37</v>
      </c>
      <c r="E95" s="5" t="s">
        <v>134</v>
      </c>
      <c r="F95" s="2" t="s">
        <v>135</v>
      </c>
      <c r="G95" s="2" t="s">
        <v>54</v>
      </c>
      <c r="H95" s="2" t="s">
        <v>491</v>
      </c>
      <c r="I95" s="2" t="s">
        <v>85</v>
      </c>
      <c r="J95" s="2" t="s">
        <v>492</v>
      </c>
      <c r="K95" s="2">
        <f t="shared" si="22"/>
        <v>44312953.749852896</v>
      </c>
      <c r="L95" s="2" t="s">
        <v>167</v>
      </c>
      <c r="M95" s="2" t="s">
        <v>74</v>
      </c>
      <c r="N95" s="2" t="s">
        <v>189</v>
      </c>
      <c r="O95" s="2">
        <v>1208</v>
      </c>
      <c r="P95" s="2">
        <v>478.55877685546881</v>
      </c>
      <c r="Q95" s="2">
        <v>496.84188842773437</v>
      </c>
      <c r="R95" s="2">
        <f t="shared" si="12"/>
        <v>578099.00244140637</v>
      </c>
      <c r="S95" s="2">
        <f t="shared" si="13"/>
        <v>600185.00122070312</v>
      </c>
      <c r="T95" s="2">
        <f t="shared" si="14"/>
        <v>1178284.0036621094</v>
      </c>
      <c r="U95" s="2">
        <f t="shared" si="15"/>
        <v>589.14</v>
      </c>
      <c r="V95" s="2">
        <f t="shared" si="16"/>
        <v>22085.998779296759</v>
      </c>
      <c r="W95" s="2">
        <f t="shared" si="17"/>
        <v>21496.858779296759</v>
      </c>
      <c r="X95" s="2">
        <f t="shared" si="18"/>
        <v>44334450.608632192</v>
      </c>
      <c r="Y95" s="2">
        <f t="shared" si="19"/>
        <v>115619.8</v>
      </c>
      <c r="Z95" s="2">
        <f t="shared" si="20"/>
        <v>18.59</v>
      </c>
      <c r="AA95" s="2">
        <f t="shared" si="23"/>
        <v>44334450.608632192</v>
      </c>
      <c r="AB95" s="2">
        <f t="shared" si="21"/>
        <v>0</v>
      </c>
    </row>
    <row r="96" spans="1:28">
      <c r="A96" s="2">
        <v>93</v>
      </c>
      <c r="B96" s="2" t="s">
        <v>493</v>
      </c>
      <c r="C96" s="2" t="s">
        <v>36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496</v>
      </c>
      <c r="J96" s="2" t="s">
        <v>497</v>
      </c>
      <c r="K96" s="2">
        <f t="shared" si="22"/>
        <v>44334450.608632192</v>
      </c>
      <c r="L96" s="2" t="s">
        <v>181</v>
      </c>
      <c r="M96" s="2" t="s">
        <v>166</v>
      </c>
      <c r="N96" s="2" t="s">
        <v>167</v>
      </c>
      <c r="O96" s="2">
        <v>196</v>
      </c>
      <c r="P96" s="2">
        <v>4059.140380859375</v>
      </c>
      <c r="Q96" s="2">
        <v>4168.705078125</v>
      </c>
      <c r="R96" s="2">
        <f t="shared" si="12"/>
        <v>795591.5146484375</v>
      </c>
      <c r="S96" s="2">
        <f t="shared" si="13"/>
        <v>817066.1953125</v>
      </c>
      <c r="T96" s="2">
        <f t="shared" si="14"/>
        <v>1612657.7099609375</v>
      </c>
      <c r="U96" s="2">
        <f t="shared" si="15"/>
        <v>806.33</v>
      </c>
      <c r="V96" s="2">
        <f t="shared" si="16"/>
        <v>21474.6806640625</v>
      </c>
      <c r="W96" s="2">
        <f t="shared" si="17"/>
        <v>20668.350664062498</v>
      </c>
      <c r="X96" s="2">
        <f t="shared" si="18"/>
        <v>44355118.959296256</v>
      </c>
      <c r="Y96" s="2">
        <f t="shared" si="19"/>
        <v>159118.29999999999</v>
      </c>
      <c r="Z96" s="2">
        <f t="shared" si="20"/>
        <v>12.99</v>
      </c>
      <c r="AA96" s="2">
        <f t="shared" si="23"/>
        <v>44355118.959296256</v>
      </c>
      <c r="AB96" s="2">
        <f t="shared" si="21"/>
        <v>0</v>
      </c>
    </row>
    <row r="97" spans="1:28">
      <c r="A97" s="2">
        <v>94</v>
      </c>
      <c r="B97" s="2" t="s">
        <v>498</v>
      </c>
      <c r="C97" s="2" t="s">
        <v>36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501</v>
      </c>
      <c r="J97" s="2" t="s">
        <v>349</v>
      </c>
      <c r="K97" s="2">
        <f t="shared" si="22"/>
        <v>44355118.959296256</v>
      </c>
      <c r="L97" s="2" t="s">
        <v>89</v>
      </c>
      <c r="M97" s="2" t="s">
        <v>147</v>
      </c>
      <c r="N97" s="2" t="s">
        <v>73</v>
      </c>
      <c r="O97" s="2">
        <v>500</v>
      </c>
      <c r="P97" s="2">
        <v>955.50238037109375</v>
      </c>
      <c r="Q97" s="2">
        <v>1063.827026367188</v>
      </c>
      <c r="R97" s="2">
        <f t="shared" si="12"/>
        <v>477751.19018554687</v>
      </c>
      <c r="S97" s="2">
        <f t="shared" si="13"/>
        <v>531913.51318359398</v>
      </c>
      <c r="T97" s="2">
        <f t="shared" si="14"/>
        <v>1009664.7033691409</v>
      </c>
      <c r="U97" s="2">
        <f t="shared" si="15"/>
        <v>504.83</v>
      </c>
      <c r="V97" s="2">
        <f t="shared" si="16"/>
        <v>54162.322998047108</v>
      </c>
      <c r="W97" s="2">
        <f t="shared" si="17"/>
        <v>53657.492998047106</v>
      </c>
      <c r="X97" s="2">
        <f t="shared" si="18"/>
        <v>44408776.452294305</v>
      </c>
      <c r="Y97" s="2">
        <f t="shared" si="19"/>
        <v>95550.24</v>
      </c>
      <c r="Z97" s="2">
        <f t="shared" si="20"/>
        <v>56.16</v>
      </c>
      <c r="AA97" s="2">
        <f t="shared" si="23"/>
        <v>44408776.452294305</v>
      </c>
      <c r="AB97" s="2">
        <f t="shared" si="21"/>
        <v>0</v>
      </c>
    </row>
    <row r="98" spans="1:28">
      <c r="A98" s="2">
        <v>95</v>
      </c>
      <c r="B98" s="2" t="s">
        <v>502</v>
      </c>
      <c r="C98" s="2" t="s">
        <v>36</v>
      </c>
      <c r="D98" s="4" t="s">
        <v>61</v>
      </c>
      <c r="E98" s="5" t="s">
        <v>134</v>
      </c>
      <c r="F98" s="2" t="s">
        <v>135</v>
      </c>
      <c r="G98" s="2" t="s">
        <v>77</v>
      </c>
      <c r="H98" s="2" t="s">
        <v>503</v>
      </c>
      <c r="I98" s="2" t="s">
        <v>504</v>
      </c>
      <c r="J98" s="2" t="s">
        <v>505</v>
      </c>
      <c r="K98" s="2">
        <f t="shared" si="22"/>
        <v>44408776.452294305</v>
      </c>
      <c r="L98" s="2" t="s">
        <v>217</v>
      </c>
      <c r="M98" s="2" t="s">
        <v>166</v>
      </c>
      <c r="N98" s="2" t="s">
        <v>167</v>
      </c>
      <c r="O98" s="2">
        <v>2545</v>
      </c>
      <c r="P98" s="2">
        <v>348.95001220703119</v>
      </c>
      <c r="Q98" s="2">
        <v>361.64999389648437</v>
      </c>
      <c r="R98" s="2">
        <f t="shared" si="12"/>
        <v>888077.78106689441</v>
      </c>
      <c r="S98" s="2">
        <f t="shared" si="13"/>
        <v>920399.23446655273</v>
      </c>
      <c r="T98" s="2">
        <f t="shared" si="14"/>
        <v>1808477.0155334473</v>
      </c>
      <c r="U98" s="2">
        <f t="shared" si="15"/>
        <v>904.24</v>
      </c>
      <c r="V98" s="2">
        <f t="shared" si="16"/>
        <v>32321.45339965832</v>
      </c>
      <c r="W98" s="2">
        <f t="shared" si="17"/>
        <v>31417.213399658318</v>
      </c>
      <c r="X98" s="2">
        <f t="shared" si="18"/>
        <v>44440193.665693961</v>
      </c>
      <c r="Y98" s="2">
        <f t="shared" si="19"/>
        <v>177615.56</v>
      </c>
      <c r="Z98" s="2">
        <f t="shared" si="20"/>
        <v>17.690000000000001</v>
      </c>
      <c r="AA98" s="2">
        <f t="shared" si="23"/>
        <v>44440193.665693961</v>
      </c>
      <c r="AB98" s="2">
        <f t="shared" si="21"/>
        <v>0</v>
      </c>
    </row>
    <row r="99" spans="1:28">
      <c r="A99" s="2">
        <v>96</v>
      </c>
      <c r="B99" s="2" t="s">
        <v>506</v>
      </c>
      <c r="C99" s="2" t="s">
        <v>36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508</v>
      </c>
      <c r="J99" s="2" t="s">
        <v>509</v>
      </c>
      <c r="K99" s="2">
        <f t="shared" si="22"/>
        <v>44440193.665693961</v>
      </c>
      <c r="L99" s="2" t="s">
        <v>510</v>
      </c>
      <c r="M99" s="2" t="s">
        <v>153</v>
      </c>
      <c r="N99" s="2" t="s">
        <v>183</v>
      </c>
      <c r="O99" s="2">
        <v>400</v>
      </c>
      <c r="P99" s="2">
        <v>1723.87548828125</v>
      </c>
      <c r="Q99" s="2">
        <v>1869.947998046875</v>
      </c>
      <c r="R99" s="2">
        <f t="shared" si="12"/>
        <v>689550.1953125</v>
      </c>
      <c r="S99" s="2">
        <f t="shared" si="13"/>
        <v>747979.19921875</v>
      </c>
      <c r="T99" s="2">
        <f t="shared" si="14"/>
        <v>1437529.39453125</v>
      </c>
      <c r="U99" s="2">
        <f t="shared" si="15"/>
        <v>718.76</v>
      </c>
      <c r="V99" s="2">
        <f t="shared" si="16"/>
        <v>58429.00390625</v>
      </c>
      <c r="W99" s="2">
        <f t="shared" si="17"/>
        <v>57710.243906249998</v>
      </c>
      <c r="X99" s="2">
        <f t="shared" si="18"/>
        <v>44497903.909600213</v>
      </c>
      <c r="Y99" s="2">
        <f t="shared" si="19"/>
        <v>137910.04</v>
      </c>
      <c r="Z99" s="2">
        <f t="shared" si="20"/>
        <v>41.85</v>
      </c>
      <c r="AA99" s="2">
        <f t="shared" si="23"/>
        <v>44497903.909600213</v>
      </c>
      <c r="AB99" s="2">
        <f t="shared" si="21"/>
        <v>0</v>
      </c>
    </row>
    <row r="100" spans="1:28">
      <c r="A100" s="2">
        <v>97</v>
      </c>
      <c r="B100" s="2" t="s">
        <v>511</v>
      </c>
      <c r="C100" s="2" t="s">
        <v>36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2" t="s">
        <v>512</v>
      </c>
      <c r="I100" s="2" t="s">
        <v>513</v>
      </c>
      <c r="J100" s="2" t="s">
        <v>448</v>
      </c>
      <c r="K100" s="2">
        <f t="shared" si="22"/>
        <v>44497903.909600213</v>
      </c>
      <c r="L100" s="2" t="s">
        <v>514</v>
      </c>
      <c r="M100" s="2" t="s">
        <v>515</v>
      </c>
      <c r="N100" s="2" t="s">
        <v>223</v>
      </c>
      <c r="O100" s="2">
        <v>13336</v>
      </c>
      <c r="P100" s="2">
        <v>156.3999938964844</v>
      </c>
      <c r="Q100" s="2">
        <v>164.5899963378906</v>
      </c>
      <c r="R100" s="2">
        <f t="shared" si="12"/>
        <v>2085750.3186035161</v>
      </c>
      <c r="S100" s="2">
        <f t="shared" si="13"/>
        <v>2194972.1911621089</v>
      </c>
      <c r="T100" s="2">
        <f t="shared" si="14"/>
        <v>4280722.509765625</v>
      </c>
      <c r="U100" s="2">
        <f t="shared" si="15"/>
        <v>2140.36</v>
      </c>
      <c r="V100" s="2">
        <f t="shared" si="16"/>
        <v>109221.87255859282</v>
      </c>
      <c r="W100" s="2">
        <f t="shared" si="17"/>
        <v>107081.51255859282</v>
      </c>
      <c r="X100" s="2">
        <f t="shared" si="18"/>
        <v>44604985.422158808</v>
      </c>
      <c r="Y100" s="2">
        <f t="shared" si="19"/>
        <v>417150.06</v>
      </c>
      <c r="Z100" s="2">
        <f t="shared" si="20"/>
        <v>25.67</v>
      </c>
      <c r="AA100" s="2">
        <f t="shared" si="23"/>
        <v>44604985.422158808</v>
      </c>
      <c r="AB100" s="2">
        <f t="shared" si="21"/>
        <v>0</v>
      </c>
    </row>
    <row r="101" spans="1:28">
      <c r="A101" s="2">
        <v>98</v>
      </c>
      <c r="B101" s="2" t="s">
        <v>516</v>
      </c>
      <c r="C101" s="2" t="s">
        <v>36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2" t="s">
        <v>517</v>
      </c>
      <c r="I101" s="2" t="s">
        <v>518</v>
      </c>
      <c r="J101" s="2" t="s">
        <v>65</v>
      </c>
      <c r="K101" s="2">
        <f t="shared" si="22"/>
        <v>44604985.422158808</v>
      </c>
      <c r="L101" s="2" t="s">
        <v>153</v>
      </c>
      <c r="M101" s="2" t="s">
        <v>73</v>
      </c>
      <c r="N101" s="2" t="s">
        <v>166</v>
      </c>
      <c r="O101" s="2">
        <v>7145</v>
      </c>
      <c r="P101" s="2">
        <v>120.51014709472661</v>
      </c>
      <c r="Q101" s="2">
        <v>122.3953094482422</v>
      </c>
      <c r="R101" s="2">
        <f t="shared" si="12"/>
        <v>861045.00099182164</v>
      </c>
      <c r="S101" s="2">
        <f t="shared" si="13"/>
        <v>874514.48600769055</v>
      </c>
      <c r="T101" s="2">
        <f t="shared" si="14"/>
        <v>1735559.4869995122</v>
      </c>
      <c r="U101" s="2">
        <f t="shared" si="15"/>
        <v>867.78</v>
      </c>
      <c r="V101" s="2">
        <f t="shared" si="16"/>
        <v>13469.485015868908</v>
      </c>
      <c r="W101" s="2">
        <f t="shared" si="17"/>
        <v>12601.705015868907</v>
      </c>
      <c r="X101" s="2">
        <f t="shared" si="18"/>
        <v>44617587.127174675</v>
      </c>
      <c r="Y101" s="2">
        <f t="shared" si="19"/>
        <v>172209</v>
      </c>
      <c r="Z101" s="2">
        <f t="shared" si="20"/>
        <v>7.32</v>
      </c>
      <c r="AA101" s="2">
        <f t="shared" si="23"/>
        <v>44617587.127174675</v>
      </c>
      <c r="AB101" s="2">
        <f t="shared" si="21"/>
        <v>0</v>
      </c>
    </row>
    <row r="102" spans="1:28">
      <c r="A102" s="2">
        <v>99</v>
      </c>
      <c r="B102" s="2" t="s">
        <v>519</v>
      </c>
      <c r="C102" s="2" t="s">
        <v>36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2" t="s">
        <v>521</v>
      </c>
      <c r="I102" s="2" t="s">
        <v>522</v>
      </c>
      <c r="J102" s="2" t="s">
        <v>523</v>
      </c>
      <c r="K102" s="2">
        <f t="shared" si="22"/>
        <v>44617587.127174675</v>
      </c>
      <c r="L102" s="2" t="s">
        <v>524</v>
      </c>
      <c r="M102" s="2" t="s">
        <v>181</v>
      </c>
      <c r="N102" s="2" t="s">
        <v>336</v>
      </c>
      <c r="O102" s="2">
        <v>8341</v>
      </c>
      <c r="P102" s="2">
        <v>217.31773376464841</v>
      </c>
      <c r="Q102" s="2">
        <v>202.48637390136719</v>
      </c>
      <c r="R102" s="2">
        <f t="shared" si="12"/>
        <v>1812647.2173309324</v>
      </c>
      <c r="S102" s="2">
        <f t="shared" si="13"/>
        <v>1688938.8447113037</v>
      </c>
      <c r="T102" s="2">
        <f t="shared" si="14"/>
        <v>3501586.0620422363</v>
      </c>
      <c r="U102" s="2">
        <f t="shared" si="15"/>
        <v>1750.79</v>
      </c>
      <c r="V102" s="2">
        <f t="shared" si="16"/>
        <v>-123708.37261962867</v>
      </c>
      <c r="W102" s="2">
        <f t="shared" si="17"/>
        <v>-125459.16261962867</v>
      </c>
      <c r="X102" s="2">
        <f t="shared" si="18"/>
        <v>44492127.964555047</v>
      </c>
      <c r="Y102" s="2">
        <f t="shared" si="19"/>
        <v>362529.44</v>
      </c>
      <c r="Z102" s="2">
        <f t="shared" si="20"/>
        <v>-34.61</v>
      </c>
      <c r="AA102" s="2">
        <f t="shared" si="23"/>
        <v>44617587.127174675</v>
      </c>
      <c r="AB102" s="2">
        <f t="shared" si="21"/>
        <v>-125459.16261962801</v>
      </c>
    </row>
    <row r="103" spans="1:28">
      <c r="A103" s="2">
        <v>100</v>
      </c>
      <c r="B103" s="2" t="s">
        <v>525</v>
      </c>
      <c r="C103" s="2" t="s">
        <v>36</v>
      </c>
      <c r="D103" s="4" t="s">
        <v>61</v>
      </c>
      <c r="E103" s="5" t="s">
        <v>134</v>
      </c>
      <c r="F103" s="2" t="s">
        <v>135</v>
      </c>
      <c r="G103" s="2" t="s">
        <v>97</v>
      </c>
      <c r="H103" s="2" t="s">
        <v>526</v>
      </c>
      <c r="I103" s="2" t="s">
        <v>421</v>
      </c>
      <c r="J103" s="2" t="s">
        <v>473</v>
      </c>
      <c r="K103" s="2">
        <f t="shared" si="22"/>
        <v>44492127.964555047</v>
      </c>
      <c r="L103" s="2" t="s">
        <v>183</v>
      </c>
      <c r="M103" s="2" t="s">
        <v>217</v>
      </c>
      <c r="N103" s="2" t="s">
        <v>153</v>
      </c>
      <c r="O103" s="2">
        <v>11813</v>
      </c>
      <c r="P103" s="2">
        <v>142.47</v>
      </c>
      <c r="Q103" s="2">
        <v>143</v>
      </c>
      <c r="R103" s="2">
        <f t="shared" si="12"/>
        <v>1682998.11</v>
      </c>
      <c r="S103" s="2">
        <f t="shared" si="13"/>
        <v>1689259</v>
      </c>
      <c r="T103" s="2">
        <f t="shared" si="14"/>
        <v>3372257.1100000003</v>
      </c>
      <c r="U103" s="2">
        <f t="shared" si="15"/>
        <v>1686.13</v>
      </c>
      <c r="V103" s="2">
        <f t="shared" si="16"/>
        <v>6260.8899999998976</v>
      </c>
      <c r="W103" s="2">
        <f t="shared" si="17"/>
        <v>4574.7599999998974</v>
      </c>
      <c r="X103" s="2">
        <f t="shared" si="18"/>
        <v>44496702.724555045</v>
      </c>
      <c r="Y103" s="2">
        <f t="shared" si="19"/>
        <v>336599.62</v>
      </c>
      <c r="Z103" s="2">
        <f t="shared" si="20"/>
        <v>1.36</v>
      </c>
      <c r="AA103" s="2">
        <f t="shared" si="23"/>
        <v>44617587.127174675</v>
      </c>
      <c r="AB103" s="2">
        <f t="shared" si="21"/>
        <v>-120884.4026196301</v>
      </c>
    </row>
    <row r="104" spans="1:28">
      <c r="A104" s="2">
        <v>101</v>
      </c>
      <c r="B104" s="2" t="s">
        <v>527</v>
      </c>
      <c r="C104" s="2" t="s">
        <v>36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529</v>
      </c>
      <c r="J104" s="2" t="s">
        <v>78</v>
      </c>
      <c r="K104" s="2">
        <f t="shared" si="22"/>
        <v>44496702.724555045</v>
      </c>
      <c r="L104" s="2" t="s">
        <v>189</v>
      </c>
      <c r="M104" s="2" t="s">
        <v>264</v>
      </c>
      <c r="N104" s="2" t="s">
        <v>147</v>
      </c>
      <c r="O104" s="2">
        <v>1600</v>
      </c>
      <c r="P104" s="2">
        <v>393.74911499023437</v>
      </c>
      <c r="Q104" s="2">
        <v>399.41754150390631</v>
      </c>
      <c r="R104" s="2">
        <f t="shared" si="12"/>
        <v>629998.583984375</v>
      </c>
      <c r="S104" s="2">
        <f t="shared" si="13"/>
        <v>639068.06640625012</v>
      </c>
      <c r="T104" s="2">
        <f t="shared" si="14"/>
        <v>1269066.650390625</v>
      </c>
      <c r="U104" s="2">
        <f t="shared" si="15"/>
        <v>634.53</v>
      </c>
      <c r="V104" s="2">
        <f t="shared" si="16"/>
        <v>9069.4824218751164</v>
      </c>
      <c r="W104" s="2">
        <f t="shared" si="17"/>
        <v>8434.9524218751158</v>
      </c>
      <c r="X104" s="2">
        <f t="shared" si="18"/>
        <v>44505137.676976919</v>
      </c>
      <c r="Y104" s="2">
        <f t="shared" si="19"/>
        <v>125999.72</v>
      </c>
      <c r="Z104" s="2">
        <f t="shared" si="20"/>
        <v>6.69</v>
      </c>
      <c r="AA104" s="2">
        <f t="shared" si="23"/>
        <v>44617587.127174675</v>
      </c>
      <c r="AB104" s="2">
        <f t="shared" si="21"/>
        <v>-112449.45019775629</v>
      </c>
    </row>
    <row r="105" spans="1:28">
      <c r="A105" s="2">
        <v>102</v>
      </c>
      <c r="B105" s="2" t="s">
        <v>530</v>
      </c>
      <c r="C105" s="2" t="s">
        <v>36</v>
      </c>
      <c r="D105" s="3" t="s">
        <v>37</v>
      </c>
      <c r="E105" s="5" t="s">
        <v>134</v>
      </c>
      <c r="F105" s="2" t="s">
        <v>135</v>
      </c>
      <c r="G105" s="2" t="s">
        <v>77</v>
      </c>
      <c r="H105" s="2" t="s">
        <v>531</v>
      </c>
      <c r="I105" s="2" t="s">
        <v>532</v>
      </c>
      <c r="J105" s="2" t="s">
        <v>533</v>
      </c>
      <c r="K105" s="2">
        <f t="shared" si="22"/>
        <v>44505137.676976919</v>
      </c>
      <c r="L105" s="2" t="s">
        <v>204</v>
      </c>
      <c r="M105" s="2" t="s">
        <v>173</v>
      </c>
      <c r="N105" s="2" t="s">
        <v>73</v>
      </c>
      <c r="O105" s="2">
        <v>914</v>
      </c>
      <c r="P105" s="2">
        <v>839.4346923828125</v>
      </c>
      <c r="Q105" s="2">
        <v>774.8128662109375</v>
      </c>
      <c r="R105" s="2">
        <f t="shared" si="12"/>
        <v>767243.30883789062</v>
      </c>
      <c r="S105" s="2">
        <f t="shared" si="13"/>
        <v>708178.95971679688</v>
      </c>
      <c r="T105" s="2">
        <f t="shared" si="14"/>
        <v>1475422.2685546875</v>
      </c>
      <c r="U105" s="2">
        <f t="shared" si="15"/>
        <v>737.71</v>
      </c>
      <c r="V105" s="2">
        <f t="shared" si="16"/>
        <v>-59064.34912109375</v>
      </c>
      <c r="W105" s="2">
        <f t="shared" si="17"/>
        <v>-59802.059121093749</v>
      </c>
      <c r="X105" s="2">
        <f t="shared" si="18"/>
        <v>44445335.617855825</v>
      </c>
      <c r="Y105" s="2">
        <f t="shared" si="19"/>
        <v>153448.66</v>
      </c>
      <c r="Z105" s="2">
        <f t="shared" si="20"/>
        <v>-38.97</v>
      </c>
      <c r="AA105" s="2">
        <f t="shared" si="23"/>
        <v>44617587.127174675</v>
      </c>
      <c r="AB105" s="2">
        <f t="shared" si="21"/>
        <v>-172251.50931885093</v>
      </c>
    </row>
    <row r="106" spans="1:28">
      <c r="A106" s="2">
        <v>103</v>
      </c>
      <c r="B106" s="2" t="s">
        <v>534</v>
      </c>
      <c r="C106" s="2" t="s">
        <v>36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537</v>
      </c>
      <c r="J106" s="2" t="s">
        <v>538</v>
      </c>
      <c r="K106" s="2">
        <f t="shared" si="22"/>
        <v>44445335.617855825</v>
      </c>
      <c r="L106" s="2" t="s">
        <v>183</v>
      </c>
      <c r="M106" s="2" t="s">
        <v>182</v>
      </c>
      <c r="N106" s="2" t="s">
        <v>251</v>
      </c>
      <c r="O106" s="2">
        <v>4127</v>
      </c>
      <c r="P106" s="2">
        <v>255.45166015625</v>
      </c>
      <c r="Q106" s="2">
        <v>276.3690185546875</v>
      </c>
      <c r="R106" s="2">
        <f t="shared" si="12"/>
        <v>1054249.0014648438</v>
      </c>
      <c r="S106" s="2">
        <f t="shared" si="13"/>
        <v>1140574.9395751953</v>
      </c>
      <c r="T106" s="2">
        <f t="shared" si="14"/>
        <v>2194823.9410400391</v>
      </c>
      <c r="U106" s="2">
        <f t="shared" si="15"/>
        <v>1097.4100000000001</v>
      </c>
      <c r="V106" s="2">
        <f t="shared" si="16"/>
        <v>86325.938110351563</v>
      </c>
      <c r="W106" s="2">
        <f t="shared" si="17"/>
        <v>85228.528110351559</v>
      </c>
      <c r="X106" s="2">
        <f t="shared" si="18"/>
        <v>44530564.14596618</v>
      </c>
      <c r="Y106" s="2">
        <f t="shared" si="19"/>
        <v>210849.8</v>
      </c>
      <c r="Z106" s="2">
        <f t="shared" si="20"/>
        <v>40.42</v>
      </c>
      <c r="AA106" s="2">
        <f t="shared" si="23"/>
        <v>44617587.127174675</v>
      </c>
      <c r="AB106" s="2">
        <f t="shared" si="21"/>
        <v>-87022.981208495796</v>
      </c>
    </row>
    <row r="107" spans="1:28">
      <c r="A107" s="2">
        <v>104</v>
      </c>
      <c r="B107" s="2" t="s">
        <v>539</v>
      </c>
      <c r="C107" s="2" t="s">
        <v>36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2" t="s">
        <v>257</v>
      </c>
      <c r="I107" s="2" t="s">
        <v>540</v>
      </c>
      <c r="J107" s="2" t="s">
        <v>541</v>
      </c>
      <c r="K107" s="2">
        <f t="shared" si="22"/>
        <v>44530564.14596618</v>
      </c>
      <c r="L107" s="2" t="s">
        <v>217</v>
      </c>
      <c r="M107" s="2" t="s">
        <v>189</v>
      </c>
      <c r="N107" s="2" t="s">
        <v>204</v>
      </c>
      <c r="O107" s="2">
        <v>1839</v>
      </c>
      <c r="P107" s="2">
        <v>471.2784423828125</v>
      </c>
      <c r="Q107" s="2">
        <v>553.47296142578125</v>
      </c>
      <c r="R107" s="2">
        <f t="shared" si="12"/>
        <v>866681.05554199219</v>
      </c>
      <c r="S107" s="2">
        <f t="shared" si="13"/>
        <v>1017836.7760620117</v>
      </c>
      <c r="T107" s="2">
        <f t="shared" si="14"/>
        <v>1884517.8316040039</v>
      </c>
      <c r="U107" s="2">
        <f t="shared" si="15"/>
        <v>942.26</v>
      </c>
      <c r="V107" s="2">
        <f t="shared" si="16"/>
        <v>151155.72052001953</v>
      </c>
      <c r="W107" s="2">
        <f t="shared" si="17"/>
        <v>150213.46052001952</v>
      </c>
      <c r="X107" s="2">
        <f t="shared" si="18"/>
        <v>44680777.606486201</v>
      </c>
      <c r="Y107" s="2">
        <f t="shared" si="19"/>
        <v>173336.21</v>
      </c>
      <c r="Z107" s="2">
        <f t="shared" si="20"/>
        <v>86.66</v>
      </c>
      <c r="AA107" s="2">
        <f t="shared" si="23"/>
        <v>44680777.606486201</v>
      </c>
      <c r="AB107" s="2">
        <f t="shared" si="21"/>
        <v>0</v>
      </c>
    </row>
    <row r="108" spans="1:28">
      <c r="A108" s="2">
        <v>105</v>
      </c>
      <c r="B108" s="2" t="s">
        <v>542</v>
      </c>
      <c r="C108" s="2" t="s">
        <v>36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545</v>
      </c>
      <c r="J108" s="2" t="s">
        <v>546</v>
      </c>
      <c r="K108" s="2">
        <f t="shared" si="22"/>
        <v>44680777.606486201</v>
      </c>
      <c r="L108" s="2" t="s">
        <v>251</v>
      </c>
      <c r="M108" s="2" t="s">
        <v>89</v>
      </c>
      <c r="N108" s="2" t="s">
        <v>167</v>
      </c>
      <c r="O108" s="2">
        <v>675</v>
      </c>
      <c r="P108" s="2">
        <v>900.98468017578125</v>
      </c>
      <c r="Q108" s="2">
        <v>942.880615234375</v>
      </c>
      <c r="R108" s="2">
        <f t="shared" si="12"/>
        <v>608164.65911865234</v>
      </c>
      <c r="S108" s="2">
        <f t="shared" si="13"/>
        <v>636444.41528320312</v>
      </c>
      <c r="T108" s="2">
        <f t="shared" si="14"/>
        <v>1244609.0744018555</v>
      </c>
      <c r="U108" s="2">
        <f t="shared" si="15"/>
        <v>622.29999999999995</v>
      </c>
      <c r="V108" s="2">
        <f t="shared" si="16"/>
        <v>28279.756164550781</v>
      </c>
      <c r="W108" s="2">
        <f t="shared" si="17"/>
        <v>27657.456164550782</v>
      </c>
      <c r="X108" s="2">
        <f t="shared" si="18"/>
        <v>44708435.062650755</v>
      </c>
      <c r="Y108" s="2">
        <f t="shared" si="19"/>
        <v>121632.93</v>
      </c>
      <c r="Z108" s="2">
        <f t="shared" si="20"/>
        <v>22.74</v>
      </c>
      <c r="AA108" s="2">
        <f t="shared" si="23"/>
        <v>44708435.062650755</v>
      </c>
      <c r="AB108" s="2">
        <f t="shared" si="21"/>
        <v>0</v>
      </c>
    </row>
    <row r="109" spans="1:28">
      <c r="A109" s="2">
        <v>106</v>
      </c>
      <c r="B109" s="2" t="s">
        <v>547</v>
      </c>
      <c r="C109" s="2" t="s">
        <v>36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2" t="s">
        <v>548</v>
      </c>
      <c r="I109" s="2" t="s">
        <v>549</v>
      </c>
      <c r="J109" s="2" t="s">
        <v>550</v>
      </c>
      <c r="K109" s="2">
        <f t="shared" si="22"/>
        <v>44708435.062650755</v>
      </c>
      <c r="L109" s="2" t="s">
        <v>88</v>
      </c>
      <c r="M109" s="2" t="s">
        <v>132</v>
      </c>
      <c r="N109" s="2" t="s">
        <v>140</v>
      </c>
      <c r="O109" s="2">
        <v>2273</v>
      </c>
      <c r="P109" s="2">
        <v>721.73553466796875</v>
      </c>
      <c r="Q109" s="2">
        <v>689.8818359375</v>
      </c>
      <c r="R109" s="2">
        <f t="shared" si="12"/>
        <v>1640504.870300293</v>
      </c>
      <c r="S109" s="2">
        <f t="shared" si="13"/>
        <v>1568101.4130859375</v>
      </c>
      <c r="T109" s="2">
        <f t="shared" si="14"/>
        <v>3208606.2833862305</v>
      </c>
      <c r="U109" s="2">
        <f t="shared" si="15"/>
        <v>1604.3</v>
      </c>
      <c r="V109" s="2">
        <f t="shared" si="16"/>
        <v>-72403.457214355469</v>
      </c>
      <c r="W109" s="2">
        <f t="shared" si="17"/>
        <v>-74007.757214355472</v>
      </c>
      <c r="X109" s="2">
        <f t="shared" si="18"/>
        <v>44634427.305436403</v>
      </c>
      <c r="Y109" s="2">
        <f t="shared" si="19"/>
        <v>328100.96999999997</v>
      </c>
      <c r="Z109" s="2">
        <f t="shared" si="20"/>
        <v>-22.56</v>
      </c>
      <c r="AA109" s="2">
        <f t="shared" si="23"/>
        <v>44708435.062650755</v>
      </c>
      <c r="AB109" s="2">
        <f t="shared" si="21"/>
        <v>-74007.757214352489</v>
      </c>
    </row>
    <row r="110" spans="1:28">
      <c r="A110" s="2">
        <v>107</v>
      </c>
      <c r="B110" s="2" t="s">
        <v>551</v>
      </c>
      <c r="C110" s="2" t="s">
        <v>36</v>
      </c>
      <c r="D110" s="4" t="s">
        <v>61</v>
      </c>
      <c r="E110" s="5" t="s">
        <v>134</v>
      </c>
      <c r="F110" s="2" t="s">
        <v>135</v>
      </c>
      <c r="G110" s="2" t="s">
        <v>77</v>
      </c>
      <c r="H110" s="2" t="s">
        <v>145</v>
      </c>
      <c r="I110" s="2" t="s">
        <v>552</v>
      </c>
      <c r="J110" s="2" t="s">
        <v>553</v>
      </c>
      <c r="K110" s="2">
        <f t="shared" si="22"/>
        <v>44634427.305436403</v>
      </c>
      <c r="L110" s="2" t="s">
        <v>204</v>
      </c>
      <c r="M110" s="2" t="s">
        <v>173</v>
      </c>
      <c r="N110" s="2" t="s">
        <v>73</v>
      </c>
      <c r="O110" s="2">
        <v>1575</v>
      </c>
      <c r="P110" s="2">
        <v>503.97525024414062</v>
      </c>
      <c r="Q110" s="2">
        <v>436.77188110351562</v>
      </c>
      <c r="R110" s="2">
        <f t="shared" si="12"/>
        <v>793761.01913452148</v>
      </c>
      <c r="S110" s="2">
        <f t="shared" si="13"/>
        <v>687915.71273803711</v>
      </c>
      <c r="T110" s="2">
        <f t="shared" si="14"/>
        <v>1481676.7318725586</v>
      </c>
      <c r="U110" s="2">
        <f t="shared" si="15"/>
        <v>740.84</v>
      </c>
      <c r="V110" s="2">
        <f t="shared" si="16"/>
        <v>-105845.30639648437</v>
      </c>
      <c r="W110" s="2">
        <f t="shared" si="17"/>
        <v>-106586.14639648437</v>
      </c>
      <c r="X110" s="2">
        <f t="shared" si="18"/>
        <v>44527841.159039915</v>
      </c>
      <c r="Y110" s="2">
        <f t="shared" si="19"/>
        <v>158752.20000000001</v>
      </c>
      <c r="Z110" s="2">
        <f t="shared" si="20"/>
        <v>-67.14</v>
      </c>
      <c r="AA110" s="2">
        <f t="shared" si="23"/>
        <v>44708435.062650755</v>
      </c>
      <c r="AB110" s="2">
        <f t="shared" si="21"/>
        <v>-180593.90361084044</v>
      </c>
    </row>
    <row r="111" spans="1:28">
      <c r="A111" s="2">
        <v>108</v>
      </c>
      <c r="B111" s="2" t="s">
        <v>554</v>
      </c>
      <c r="C111" s="2" t="s">
        <v>36</v>
      </c>
      <c r="D111" s="3" t="s">
        <v>37</v>
      </c>
      <c r="E111" s="5" t="s">
        <v>134</v>
      </c>
      <c r="F111" s="2" t="s">
        <v>135</v>
      </c>
      <c r="G111" s="2" t="s">
        <v>54</v>
      </c>
      <c r="H111" s="2" t="s">
        <v>555</v>
      </c>
      <c r="I111" s="2" t="s">
        <v>556</v>
      </c>
      <c r="J111" s="2" t="s">
        <v>557</v>
      </c>
      <c r="K111" s="2">
        <f t="shared" si="22"/>
        <v>44527841.159039915</v>
      </c>
      <c r="L111" s="2" t="s">
        <v>182</v>
      </c>
      <c r="M111" s="2" t="s">
        <v>173</v>
      </c>
      <c r="N111" s="2" t="s">
        <v>204</v>
      </c>
      <c r="O111" s="2">
        <v>276</v>
      </c>
      <c r="P111" s="2">
        <v>5595.5</v>
      </c>
      <c r="Q111" s="2">
        <v>4892.85009765625</v>
      </c>
      <c r="R111" s="2">
        <f t="shared" si="12"/>
        <v>1544358</v>
      </c>
      <c r="S111" s="2">
        <f t="shared" si="13"/>
        <v>1350426.626953125</v>
      </c>
      <c r="T111" s="2">
        <f t="shared" si="14"/>
        <v>2894784.626953125</v>
      </c>
      <c r="U111" s="2">
        <f t="shared" si="15"/>
        <v>1447.39</v>
      </c>
      <c r="V111" s="2">
        <f t="shared" si="16"/>
        <v>-193931.373046875</v>
      </c>
      <c r="W111" s="2">
        <f t="shared" si="17"/>
        <v>-195378.76304687501</v>
      </c>
      <c r="X111" s="2">
        <f t="shared" si="18"/>
        <v>44332462.395993039</v>
      </c>
      <c r="Y111" s="2">
        <f t="shared" si="19"/>
        <v>308871.59999999998</v>
      </c>
      <c r="Z111" s="2">
        <f t="shared" si="20"/>
        <v>-63.26</v>
      </c>
      <c r="AA111" s="2">
        <f t="shared" si="23"/>
        <v>44708435.062650755</v>
      </c>
      <c r="AB111" s="2">
        <f t="shared" si="21"/>
        <v>-375972.66665771604</v>
      </c>
    </row>
    <row r="112" spans="1:28">
      <c r="A112" s="2">
        <v>109</v>
      </c>
      <c r="B112" s="2" t="s">
        <v>558</v>
      </c>
      <c r="C112" s="2" t="s">
        <v>36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2" t="s">
        <v>559</v>
      </c>
      <c r="I112" s="2" t="s">
        <v>560</v>
      </c>
      <c r="J112" s="2" t="s">
        <v>561</v>
      </c>
      <c r="K112" s="2">
        <f t="shared" si="22"/>
        <v>44332462.395993039</v>
      </c>
      <c r="L112" s="2" t="s">
        <v>336</v>
      </c>
      <c r="M112" s="2" t="s">
        <v>166</v>
      </c>
      <c r="N112" s="2" t="s">
        <v>217</v>
      </c>
      <c r="O112" s="2">
        <v>208</v>
      </c>
      <c r="P112" s="2">
        <v>3993.8212890625</v>
      </c>
      <c r="Q112" s="2">
        <v>4194.03173828125</v>
      </c>
      <c r="R112" s="2">
        <f t="shared" si="12"/>
        <v>830714.828125</v>
      </c>
      <c r="S112" s="2">
        <f t="shared" si="13"/>
        <v>872358.6015625</v>
      </c>
      <c r="T112" s="2">
        <f t="shared" si="14"/>
        <v>1703073.4296875</v>
      </c>
      <c r="U112" s="2">
        <f t="shared" si="15"/>
        <v>851.54</v>
      </c>
      <c r="V112" s="2">
        <f t="shared" si="16"/>
        <v>41643.7734375</v>
      </c>
      <c r="W112" s="2">
        <f t="shared" si="17"/>
        <v>40792.233437499999</v>
      </c>
      <c r="X112" s="2">
        <f t="shared" si="18"/>
        <v>44373254.62943054</v>
      </c>
      <c r="Y112" s="2">
        <f t="shared" si="19"/>
        <v>166142.97</v>
      </c>
      <c r="Z112" s="2">
        <f t="shared" si="20"/>
        <v>24.55</v>
      </c>
      <c r="AA112" s="2">
        <f t="shared" si="23"/>
        <v>44708435.062650755</v>
      </c>
      <c r="AB112" s="2">
        <f t="shared" si="21"/>
        <v>-335180.43322021514</v>
      </c>
    </row>
    <row r="113" spans="1:28">
      <c r="A113" s="2">
        <v>110</v>
      </c>
      <c r="B113" s="2" t="s">
        <v>562</v>
      </c>
      <c r="C113" s="2" t="s">
        <v>36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2" t="s">
        <v>563</v>
      </c>
      <c r="I113" s="2" t="s">
        <v>564</v>
      </c>
      <c r="J113" s="2" t="s">
        <v>565</v>
      </c>
      <c r="K113" s="2">
        <f t="shared" si="22"/>
        <v>44373254.62943054</v>
      </c>
      <c r="L113" s="2" t="s">
        <v>345</v>
      </c>
      <c r="M113" s="2" t="s">
        <v>167</v>
      </c>
      <c r="N113" s="2" t="s">
        <v>182</v>
      </c>
      <c r="O113" s="2">
        <v>1063</v>
      </c>
      <c r="P113" s="2">
        <v>1230.14599609375</v>
      </c>
      <c r="Q113" s="2">
        <v>1141.69384765625</v>
      </c>
      <c r="R113" s="2">
        <f t="shared" si="12"/>
        <v>1307645.1938476563</v>
      </c>
      <c r="S113" s="2">
        <f t="shared" si="13"/>
        <v>1213620.5600585938</v>
      </c>
      <c r="T113" s="2">
        <f t="shared" si="14"/>
        <v>2521265.75390625</v>
      </c>
      <c r="U113" s="2">
        <f t="shared" si="15"/>
        <v>1260.6300000000001</v>
      </c>
      <c r="V113" s="2">
        <f t="shared" si="16"/>
        <v>-94024.6337890625</v>
      </c>
      <c r="W113" s="2">
        <f t="shared" si="17"/>
        <v>-95285.263789062505</v>
      </c>
      <c r="X113" s="2">
        <f t="shared" si="18"/>
        <v>44277969.365641475</v>
      </c>
      <c r="Y113" s="2">
        <f t="shared" si="19"/>
        <v>261529.04</v>
      </c>
      <c r="Z113" s="2">
        <f t="shared" si="20"/>
        <v>-36.43</v>
      </c>
      <c r="AA113" s="2">
        <f t="shared" si="23"/>
        <v>44708435.062650755</v>
      </c>
      <c r="AB113" s="2">
        <f t="shared" si="21"/>
        <v>-430465.69700928032</v>
      </c>
    </row>
    <row r="114" spans="1:28">
      <c r="A114" s="2">
        <v>111</v>
      </c>
      <c r="B114" s="2" t="s">
        <v>566</v>
      </c>
      <c r="C114" s="2" t="s">
        <v>36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285</v>
      </c>
      <c r="J114" s="2" t="s">
        <v>569</v>
      </c>
      <c r="K114" s="2">
        <f t="shared" si="22"/>
        <v>44277969.365641475</v>
      </c>
      <c r="L114" s="2" t="s">
        <v>166</v>
      </c>
      <c r="M114" s="2" t="s">
        <v>73</v>
      </c>
      <c r="N114" s="2" t="s">
        <v>189</v>
      </c>
      <c r="O114" s="2">
        <v>400</v>
      </c>
      <c r="P114" s="2">
        <v>379.82208251953131</v>
      </c>
      <c r="Q114" s="2">
        <v>375.8466796875</v>
      </c>
      <c r="R114" s="2">
        <f t="shared" si="12"/>
        <v>151928.83300781253</v>
      </c>
      <c r="S114" s="2">
        <f t="shared" si="13"/>
        <v>150338.671875</v>
      </c>
      <c r="T114" s="2">
        <f t="shared" si="14"/>
        <v>302267.5048828125</v>
      </c>
      <c r="U114" s="2">
        <f t="shared" si="15"/>
        <v>151.13</v>
      </c>
      <c r="V114" s="2">
        <f t="shared" si="16"/>
        <v>-1590.1611328125291</v>
      </c>
      <c r="W114" s="2">
        <f t="shared" si="17"/>
        <v>-1741.2911328125292</v>
      </c>
      <c r="X114" s="2">
        <f t="shared" si="18"/>
        <v>44276228.07450866</v>
      </c>
      <c r="Y114" s="2">
        <f t="shared" si="19"/>
        <v>30385.77</v>
      </c>
      <c r="Z114" s="2">
        <f t="shared" si="20"/>
        <v>-5.73</v>
      </c>
      <c r="AA114" s="2">
        <f t="shared" si="23"/>
        <v>44708435.062650755</v>
      </c>
      <c r="AB114" s="2">
        <f t="shared" si="21"/>
        <v>-432206.98814209551</v>
      </c>
    </row>
    <row r="115" spans="1:28">
      <c r="A115" s="2">
        <v>112</v>
      </c>
      <c r="B115" s="2" t="s">
        <v>570</v>
      </c>
      <c r="C115" s="2" t="s">
        <v>36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2" t="s">
        <v>571</v>
      </c>
      <c r="I115" s="2" t="s">
        <v>572</v>
      </c>
      <c r="J115" s="2" t="s">
        <v>573</v>
      </c>
      <c r="K115" s="2">
        <f t="shared" si="22"/>
        <v>44276228.07450866</v>
      </c>
      <c r="L115" s="2" t="s">
        <v>87</v>
      </c>
      <c r="M115" s="2" t="s">
        <v>89</v>
      </c>
      <c r="N115" s="2" t="s">
        <v>189</v>
      </c>
      <c r="O115" s="2">
        <v>1695</v>
      </c>
      <c r="P115" s="2">
        <v>1283.663330078125</v>
      </c>
      <c r="Q115" s="2">
        <v>1420.1865234375</v>
      </c>
      <c r="R115" s="2">
        <f t="shared" si="12"/>
        <v>2175809.3444824219</v>
      </c>
      <c r="S115" s="2">
        <f t="shared" si="13"/>
        <v>2407216.1572265625</v>
      </c>
      <c r="T115" s="2">
        <f t="shared" si="14"/>
        <v>4583025.5017089844</v>
      </c>
      <c r="U115" s="2">
        <f t="shared" si="15"/>
        <v>2291.5100000000002</v>
      </c>
      <c r="V115" s="2">
        <f t="shared" si="16"/>
        <v>231406.81274414062</v>
      </c>
      <c r="W115" s="2">
        <f t="shared" si="17"/>
        <v>229115.30274414062</v>
      </c>
      <c r="X115" s="2">
        <f t="shared" si="18"/>
        <v>44505343.377252802</v>
      </c>
      <c r="Y115" s="2">
        <f t="shared" si="19"/>
        <v>435161.87</v>
      </c>
      <c r="Z115" s="2">
        <f t="shared" si="20"/>
        <v>52.65</v>
      </c>
      <c r="AA115" s="2">
        <f t="shared" si="23"/>
        <v>44708435.062650755</v>
      </c>
      <c r="AB115" s="2">
        <f t="shared" si="21"/>
        <v>-203091.6853979528</v>
      </c>
    </row>
    <row r="116" spans="1:28">
      <c r="A116" s="2">
        <v>113</v>
      </c>
      <c r="B116" s="2" t="s">
        <v>574</v>
      </c>
      <c r="C116" s="2" t="s">
        <v>36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2" t="s">
        <v>575</v>
      </c>
      <c r="I116" s="2" t="s">
        <v>576</v>
      </c>
      <c r="J116" s="2" t="s">
        <v>577</v>
      </c>
      <c r="K116" s="2">
        <f t="shared" si="22"/>
        <v>44505343.377252802</v>
      </c>
      <c r="L116" s="2" t="s">
        <v>153</v>
      </c>
      <c r="M116" s="2" t="s">
        <v>166</v>
      </c>
      <c r="N116" s="2" t="s">
        <v>167</v>
      </c>
      <c r="O116" s="2">
        <v>561</v>
      </c>
      <c r="P116" s="2">
        <v>532.9501953125</v>
      </c>
      <c r="Q116" s="2">
        <v>582.39251708984375</v>
      </c>
      <c r="R116" s="2">
        <f t="shared" si="12"/>
        <v>298985.0595703125</v>
      </c>
      <c r="S116" s="2">
        <f t="shared" si="13"/>
        <v>326722.20208740234</v>
      </c>
      <c r="T116" s="2">
        <f t="shared" si="14"/>
        <v>625707.26165771484</v>
      </c>
      <c r="U116" s="2">
        <f t="shared" si="15"/>
        <v>312.85000000000002</v>
      </c>
      <c r="V116" s="2">
        <f t="shared" si="16"/>
        <v>27737.142517089844</v>
      </c>
      <c r="W116" s="2">
        <f t="shared" si="17"/>
        <v>27424.292517089845</v>
      </c>
      <c r="X116" s="2">
        <f t="shared" si="18"/>
        <v>44532767.669769891</v>
      </c>
      <c r="Y116" s="2">
        <f t="shared" si="19"/>
        <v>59797.01</v>
      </c>
      <c r="Z116" s="2">
        <f t="shared" si="20"/>
        <v>45.86</v>
      </c>
      <c r="AA116" s="2">
        <f t="shared" si="23"/>
        <v>44708435.062650755</v>
      </c>
      <c r="AB116" s="2">
        <f t="shared" si="21"/>
        <v>-175667.39288086444</v>
      </c>
    </row>
    <row r="117" spans="1:28">
      <c r="A117" s="2">
        <v>114</v>
      </c>
      <c r="B117" s="2" t="s">
        <v>578</v>
      </c>
      <c r="C117" s="2" t="s">
        <v>36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2" t="s">
        <v>65</v>
      </c>
      <c r="I117" s="2" t="s">
        <v>579</v>
      </c>
      <c r="J117" s="2" t="s">
        <v>580</v>
      </c>
      <c r="K117" s="2">
        <f t="shared" si="22"/>
        <v>44532767.669769891</v>
      </c>
      <c r="L117" s="2" t="s">
        <v>189</v>
      </c>
      <c r="M117" s="2" t="s">
        <v>88</v>
      </c>
      <c r="N117" s="2" t="s">
        <v>73</v>
      </c>
      <c r="O117" s="2">
        <v>1848</v>
      </c>
      <c r="P117" s="2">
        <v>564.65618896484375</v>
      </c>
      <c r="Q117" s="2">
        <v>564.16485595703125</v>
      </c>
      <c r="R117" s="2">
        <f t="shared" si="12"/>
        <v>1043484.6372070313</v>
      </c>
      <c r="S117" s="2">
        <f t="shared" si="13"/>
        <v>1042576.6538085937</v>
      </c>
      <c r="T117" s="2">
        <f t="shared" si="14"/>
        <v>2086061.291015625</v>
      </c>
      <c r="U117" s="2">
        <f t="shared" si="15"/>
        <v>1043.03</v>
      </c>
      <c r="V117" s="2">
        <f t="shared" si="16"/>
        <v>-907.9833984375</v>
      </c>
      <c r="W117" s="2">
        <f t="shared" si="17"/>
        <v>-1951.0133984375</v>
      </c>
      <c r="X117" s="2">
        <f t="shared" si="18"/>
        <v>44530816.656371452</v>
      </c>
      <c r="Y117" s="2">
        <f t="shared" si="19"/>
        <v>208696.93</v>
      </c>
      <c r="Z117" s="2">
        <f t="shared" si="20"/>
        <v>-0.93</v>
      </c>
      <c r="AA117" s="2">
        <f t="shared" si="23"/>
        <v>44708435.062650755</v>
      </c>
      <c r="AB117" s="2">
        <f t="shared" si="21"/>
        <v>-177618.40627930313</v>
      </c>
    </row>
    <row r="118" spans="1:28">
      <c r="A118" s="2">
        <v>115</v>
      </c>
      <c r="B118" s="2" t="s">
        <v>581</v>
      </c>
      <c r="C118" s="2" t="s">
        <v>36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416</v>
      </c>
      <c r="J118" s="2" t="s">
        <v>584</v>
      </c>
      <c r="K118" s="2">
        <f t="shared" si="22"/>
        <v>44530816.656371452</v>
      </c>
      <c r="L118" s="2" t="s">
        <v>106</v>
      </c>
      <c r="M118" s="2" t="s">
        <v>44</v>
      </c>
      <c r="N118" s="2" t="s">
        <v>585</v>
      </c>
      <c r="O118" s="2">
        <v>2364</v>
      </c>
      <c r="P118" s="2">
        <v>421.39999389648437</v>
      </c>
      <c r="Q118" s="2">
        <v>422.85000610351562</v>
      </c>
      <c r="R118" s="2">
        <f t="shared" si="12"/>
        <v>996189.58557128906</v>
      </c>
      <c r="S118" s="2">
        <f t="shared" si="13"/>
        <v>999617.41442871094</v>
      </c>
      <c r="T118" s="2">
        <f t="shared" si="14"/>
        <v>1995807</v>
      </c>
      <c r="U118" s="2">
        <f t="shared" si="15"/>
        <v>997.9</v>
      </c>
      <c r="V118" s="2">
        <f t="shared" si="16"/>
        <v>3427.828857421875</v>
      </c>
      <c r="W118" s="2">
        <f t="shared" si="17"/>
        <v>2429.9288574218749</v>
      </c>
      <c r="X118" s="2">
        <f t="shared" si="18"/>
        <v>44533246.585228875</v>
      </c>
      <c r="Y118" s="2">
        <f t="shared" si="19"/>
        <v>199237.92</v>
      </c>
      <c r="Z118" s="2">
        <f t="shared" si="20"/>
        <v>1.22</v>
      </c>
      <c r="AA118" s="2">
        <f t="shared" si="23"/>
        <v>44708435.062650755</v>
      </c>
      <c r="AB118" s="2">
        <f t="shared" si="21"/>
        <v>-175188.47742187977</v>
      </c>
    </row>
    <row r="119" spans="1:28">
      <c r="A119" s="2">
        <v>116</v>
      </c>
      <c r="B119" s="2" t="s">
        <v>586</v>
      </c>
      <c r="C119" s="2" t="s">
        <v>36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2" t="s">
        <v>587</v>
      </c>
      <c r="I119" s="2" t="s">
        <v>588</v>
      </c>
      <c r="J119" s="2" t="s">
        <v>589</v>
      </c>
      <c r="K119" s="2">
        <f t="shared" si="22"/>
        <v>44533246.585228875</v>
      </c>
      <c r="L119" s="2" t="s">
        <v>590</v>
      </c>
      <c r="M119" s="2" t="s">
        <v>591</v>
      </c>
      <c r="N119" s="2" t="s">
        <v>515</v>
      </c>
      <c r="O119" s="2">
        <v>776</v>
      </c>
      <c r="P119" s="2">
        <v>1078.146118164062</v>
      </c>
      <c r="Q119" s="2">
        <v>1148.713623046875</v>
      </c>
      <c r="R119" s="2">
        <f t="shared" si="12"/>
        <v>836641.38769531215</v>
      </c>
      <c r="S119" s="2">
        <f t="shared" si="13"/>
        <v>891401.771484375</v>
      </c>
      <c r="T119" s="2">
        <f t="shared" si="14"/>
        <v>1728043.159179687</v>
      </c>
      <c r="U119" s="2">
        <f t="shared" si="15"/>
        <v>864.02</v>
      </c>
      <c r="V119" s="2">
        <f t="shared" si="16"/>
        <v>54760.383789062849</v>
      </c>
      <c r="W119" s="2">
        <f t="shared" si="17"/>
        <v>53896.363789062852</v>
      </c>
      <c r="X119" s="2">
        <f t="shared" si="18"/>
        <v>44587142.949017935</v>
      </c>
      <c r="Y119" s="2">
        <f t="shared" si="19"/>
        <v>167328.28</v>
      </c>
      <c r="Z119" s="2">
        <f t="shared" si="20"/>
        <v>32.21</v>
      </c>
      <c r="AA119" s="2">
        <f t="shared" si="23"/>
        <v>44708435.062650755</v>
      </c>
      <c r="AB119" s="2">
        <f t="shared" si="21"/>
        <v>-121292.11363282055</v>
      </c>
    </row>
    <row r="120" spans="1:28">
      <c r="A120" s="2">
        <v>117</v>
      </c>
      <c r="B120" s="2" t="s">
        <v>592</v>
      </c>
      <c r="C120" s="2" t="s">
        <v>36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595</v>
      </c>
      <c r="J120" s="2" t="s">
        <v>596</v>
      </c>
      <c r="K120" s="2">
        <f t="shared" si="22"/>
        <v>44587142.949017935</v>
      </c>
      <c r="L120" s="2" t="s">
        <v>73</v>
      </c>
      <c r="M120" s="2" t="s">
        <v>74</v>
      </c>
      <c r="N120" s="2" t="s">
        <v>73</v>
      </c>
      <c r="O120" s="2">
        <v>300</v>
      </c>
      <c r="P120" s="2">
        <v>3500.248291015625</v>
      </c>
      <c r="Q120" s="2">
        <v>3227.285400390625</v>
      </c>
      <c r="R120" s="2">
        <f t="shared" si="12"/>
        <v>1050074.4873046875</v>
      </c>
      <c r="S120" s="2">
        <f t="shared" si="13"/>
        <v>968185.6201171875</v>
      </c>
      <c r="T120" s="2">
        <f t="shared" si="14"/>
        <v>2018260.107421875</v>
      </c>
      <c r="U120" s="2">
        <f t="shared" si="15"/>
        <v>1009.13</v>
      </c>
      <c r="V120" s="2">
        <f t="shared" si="16"/>
        <v>-81888.8671875</v>
      </c>
      <c r="W120" s="2">
        <f t="shared" si="17"/>
        <v>-82897.997187500005</v>
      </c>
      <c r="X120" s="2">
        <f t="shared" si="18"/>
        <v>44504244.951830432</v>
      </c>
      <c r="Y120" s="2">
        <f t="shared" si="19"/>
        <v>210014.9</v>
      </c>
      <c r="Z120" s="2">
        <f t="shared" si="20"/>
        <v>-39.47</v>
      </c>
      <c r="AA120" s="2">
        <f t="shared" si="23"/>
        <v>44708435.062650755</v>
      </c>
      <c r="AB120" s="2">
        <f t="shared" si="21"/>
        <v>-204190.11082032323</v>
      </c>
    </row>
    <row r="121" spans="1:28">
      <c r="A121" s="2">
        <v>118</v>
      </c>
      <c r="B121" s="2" t="s">
        <v>597</v>
      </c>
      <c r="C121" s="2" t="s">
        <v>36</v>
      </c>
      <c r="D121" s="4" t="s">
        <v>61</v>
      </c>
      <c r="E121" s="5" t="s">
        <v>134</v>
      </c>
      <c r="F121" s="2" t="s">
        <v>135</v>
      </c>
      <c r="G121" s="2" t="s">
        <v>63</v>
      </c>
      <c r="H121" s="2" t="s">
        <v>598</v>
      </c>
      <c r="I121" s="2" t="s">
        <v>599</v>
      </c>
      <c r="J121" s="2" t="s">
        <v>600</v>
      </c>
      <c r="K121" s="2">
        <f t="shared" si="22"/>
        <v>44504244.951830432</v>
      </c>
      <c r="L121" s="2" t="s">
        <v>251</v>
      </c>
      <c r="M121" s="2" t="s">
        <v>217</v>
      </c>
      <c r="N121" s="2" t="s">
        <v>153</v>
      </c>
      <c r="O121" s="2">
        <v>3265</v>
      </c>
      <c r="P121" s="2">
        <v>142.30018615722659</v>
      </c>
      <c r="Q121" s="2">
        <v>139.338623046875</v>
      </c>
      <c r="R121" s="2">
        <f t="shared" si="12"/>
        <v>464610.10780334484</v>
      </c>
      <c r="S121" s="2">
        <f t="shared" si="13"/>
        <v>454940.60424804687</v>
      </c>
      <c r="T121" s="2">
        <f t="shared" si="14"/>
        <v>919550.71205139172</v>
      </c>
      <c r="U121" s="2">
        <f t="shared" si="15"/>
        <v>459.78</v>
      </c>
      <c r="V121" s="2">
        <f t="shared" si="16"/>
        <v>-9669.503555297968</v>
      </c>
      <c r="W121" s="2">
        <f t="shared" si="17"/>
        <v>-10129.283555297969</v>
      </c>
      <c r="X121" s="2">
        <f t="shared" si="18"/>
        <v>44494115.668275133</v>
      </c>
      <c r="Y121" s="2">
        <f t="shared" si="19"/>
        <v>92922.02</v>
      </c>
      <c r="Z121" s="2">
        <f t="shared" si="20"/>
        <v>-10.9</v>
      </c>
      <c r="AA121" s="2">
        <f t="shared" si="23"/>
        <v>44708435.062650755</v>
      </c>
      <c r="AB121" s="2">
        <f t="shared" si="21"/>
        <v>-214319.39437562227</v>
      </c>
    </row>
    <row r="122" spans="1:28">
      <c r="A122" s="2">
        <v>119</v>
      </c>
      <c r="B122" s="2" t="s">
        <v>601</v>
      </c>
      <c r="C122" s="2" t="s">
        <v>36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2" t="s">
        <v>602</v>
      </c>
      <c r="I122" s="2" t="s">
        <v>603</v>
      </c>
      <c r="J122" s="2" t="s">
        <v>604</v>
      </c>
      <c r="K122" s="2">
        <f t="shared" si="22"/>
        <v>44494115.668275133</v>
      </c>
      <c r="L122" s="2" t="s">
        <v>181</v>
      </c>
      <c r="M122" s="2" t="s">
        <v>87</v>
      </c>
      <c r="N122" s="2" t="s">
        <v>183</v>
      </c>
      <c r="O122" s="2">
        <v>225</v>
      </c>
      <c r="P122" s="2">
        <v>5698.419921875</v>
      </c>
      <c r="Q122" s="2">
        <v>5686.3896484375</v>
      </c>
      <c r="R122" s="2">
        <f t="shared" si="12"/>
        <v>1282144.482421875</v>
      </c>
      <c r="S122" s="2">
        <f t="shared" si="13"/>
        <v>1279437.6708984375</v>
      </c>
      <c r="T122" s="2">
        <f t="shared" si="14"/>
        <v>2561582.1533203125</v>
      </c>
      <c r="U122" s="2">
        <f t="shared" si="15"/>
        <v>1280.79</v>
      </c>
      <c r="V122" s="2">
        <f t="shared" si="16"/>
        <v>-2706.8115234375</v>
      </c>
      <c r="W122" s="2">
        <f t="shared" si="17"/>
        <v>-3987.6015234375</v>
      </c>
      <c r="X122" s="2">
        <f t="shared" si="18"/>
        <v>44490128.066751696</v>
      </c>
      <c r="Y122" s="2">
        <f t="shared" si="19"/>
        <v>256428.9</v>
      </c>
      <c r="Z122" s="2">
        <f t="shared" si="20"/>
        <v>-1.56</v>
      </c>
      <c r="AA122" s="2">
        <f t="shared" si="23"/>
        <v>44708435.062650755</v>
      </c>
      <c r="AB122" s="2">
        <f t="shared" si="21"/>
        <v>-218306.99589905888</v>
      </c>
    </row>
    <row r="123" spans="1:28">
      <c r="A123" s="2">
        <v>120</v>
      </c>
      <c r="B123" s="2" t="s">
        <v>605</v>
      </c>
      <c r="C123" s="2" t="s">
        <v>36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2" t="s">
        <v>606</v>
      </c>
      <c r="I123" s="2" t="s">
        <v>607</v>
      </c>
      <c r="J123" s="2" t="s">
        <v>608</v>
      </c>
      <c r="K123" s="2">
        <f t="shared" si="22"/>
        <v>44490128.066751696</v>
      </c>
      <c r="L123" s="2" t="s">
        <v>173</v>
      </c>
      <c r="M123" s="2" t="s">
        <v>139</v>
      </c>
      <c r="N123" s="2" t="s">
        <v>140</v>
      </c>
      <c r="O123" s="2">
        <v>413</v>
      </c>
      <c r="P123" s="2">
        <v>2028.829467773437</v>
      </c>
      <c r="Q123" s="2">
        <v>2027.8427734375</v>
      </c>
      <c r="R123" s="2">
        <f t="shared" si="12"/>
        <v>837906.57019042945</v>
      </c>
      <c r="S123" s="2">
        <f t="shared" si="13"/>
        <v>837499.0654296875</v>
      </c>
      <c r="T123" s="2">
        <f t="shared" si="14"/>
        <v>1675405.635620117</v>
      </c>
      <c r="U123" s="2">
        <f t="shared" si="15"/>
        <v>837.7</v>
      </c>
      <c r="V123" s="2">
        <f t="shared" si="16"/>
        <v>-407.50476074195467</v>
      </c>
      <c r="W123" s="2">
        <f t="shared" si="17"/>
        <v>-1245.2047607419547</v>
      </c>
      <c r="X123" s="2">
        <f t="shared" si="18"/>
        <v>44488882.861990951</v>
      </c>
      <c r="Y123" s="2">
        <f t="shared" si="19"/>
        <v>167581.31</v>
      </c>
      <c r="Z123" s="2">
        <f t="shared" si="20"/>
        <v>-0.74</v>
      </c>
      <c r="AA123" s="2">
        <f t="shared" si="23"/>
        <v>44708435.062650755</v>
      </c>
      <c r="AB123" s="2">
        <f t="shared" si="21"/>
        <v>-219552.20065980405</v>
      </c>
    </row>
    <row r="124" spans="1:28">
      <c r="A124" s="2">
        <v>121</v>
      </c>
      <c r="B124" s="2" t="s">
        <v>609</v>
      </c>
      <c r="C124" s="2" t="s">
        <v>36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611</v>
      </c>
      <c r="J124" s="2" t="s">
        <v>612</v>
      </c>
      <c r="K124" s="2">
        <f t="shared" si="22"/>
        <v>44488882.861990951</v>
      </c>
      <c r="L124" s="2" t="s">
        <v>74</v>
      </c>
      <c r="M124" s="2" t="s">
        <v>264</v>
      </c>
      <c r="N124" s="2" t="s">
        <v>174</v>
      </c>
      <c r="O124" s="2">
        <v>350</v>
      </c>
      <c r="P124" s="2">
        <v>3115.29345703125</v>
      </c>
      <c r="Q124" s="2">
        <v>3079.902587890625</v>
      </c>
      <c r="R124" s="2">
        <f t="shared" si="12"/>
        <v>1090352.7099609375</v>
      </c>
      <c r="S124" s="2">
        <f t="shared" si="13"/>
        <v>1077965.9057617188</v>
      </c>
      <c r="T124" s="2">
        <f t="shared" si="14"/>
        <v>2168318.6157226562</v>
      </c>
      <c r="U124" s="2">
        <f t="shared" si="15"/>
        <v>1084.1600000000001</v>
      </c>
      <c r="V124" s="2">
        <f t="shared" si="16"/>
        <v>-12386.80419921875</v>
      </c>
      <c r="W124" s="2">
        <f t="shared" si="17"/>
        <v>-13470.96419921875</v>
      </c>
      <c r="X124" s="2">
        <f t="shared" si="18"/>
        <v>44475411.897791736</v>
      </c>
      <c r="Y124" s="2">
        <f t="shared" si="19"/>
        <v>218070.54</v>
      </c>
      <c r="Z124" s="2">
        <f t="shared" si="20"/>
        <v>-6.18</v>
      </c>
      <c r="AA124" s="2">
        <f t="shared" si="23"/>
        <v>44708435.062650755</v>
      </c>
      <c r="AB124" s="2">
        <f t="shared" si="21"/>
        <v>-233023.16485901922</v>
      </c>
    </row>
    <row r="125" spans="1:28">
      <c r="A125" s="2">
        <v>122</v>
      </c>
      <c r="B125" s="2" t="s">
        <v>613</v>
      </c>
      <c r="C125" s="2" t="s">
        <v>36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2" t="s">
        <v>614</v>
      </c>
      <c r="I125" s="2" t="s">
        <v>615</v>
      </c>
      <c r="J125" s="2" t="s">
        <v>616</v>
      </c>
      <c r="K125" s="2">
        <f t="shared" si="22"/>
        <v>44475411.897791736</v>
      </c>
      <c r="L125" s="2" t="s">
        <v>336</v>
      </c>
      <c r="M125" s="2" t="s">
        <v>217</v>
      </c>
      <c r="N125" s="2" t="s">
        <v>181</v>
      </c>
      <c r="O125" s="2">
        <v>12616</v>
      </c>
      <c r="P125" s="2">
        <v>46.2484130859375</v>
      </c>
      <c r="Q125" s="2">
        <v>48.338207244873047</v>
      </c>
      <c r="R125" s="2">
        <f t="shared" si="12"/>
        <v>583469.9794921875</v>
      </c>
      <c r="S125" s="2">
        <f t="shared" si="13"/>
        <v>609834.82260131836</v>
      </c>
      <c r="T125" s="2">
        <f t="shared" si="14"/>
        <v>1193304.8020935059</v>
      </c>
      <c r="U125" s="2">
        <f t="shared" si="15"/>
        <v>596.65</v>
      </c>
      <c r="V125" s="2">
        <f t="shared" si="16"/>
        <v>26364.843109130859</v>
      </c>
      <c r="W125" s="2">
        <f t="shared" si="17"/>
        <v>25768.193109130858</v>
      </c>
      <c r="X125" s="2">
        <f t="shared" si="18"/>
        <v>44501180.090900868</v>
      </c>
      <c r="Y125" s="2">
        <f t="shared" si="19"/>
        <v>116694</v>
      </c>
      <c r="Z125" s="2">
        <f t="shared" si="20"/>
        <v>22.08</v>
      </c>
      <c r="AA125" s="2">
        <f t="shared" si="23"/>
        <v>44708435.062650755</v>
      </c>
      <c r="AB125" s="2">
        <f t="shared" si="21"/>
        <v>-207254.97174988687</v>
      </c>
    </row>
    <row r="126" spans="1:28">
      <c r="A126" s="2">
        <v>123</v>
      </c>
      <c r="B126" s="2" t="s">
        <v>617</v>
      </c>
      <c r="C126" s="2" t="s">
        <v>36</v>
      </c>
      <c r="D126" s="3" t="s">
        <v>37</v>
      </c>
      <c r="E126" s="5" t="s">
        <v>134</v>
      </c>
      <c r="F126" s="2" t="s">
        <v>135</v>
      </c>
      <c r="G126" s="2" t="s">
        <v>97</v>
      </c>
      <c r="H126" s="2" t="s">
        <v>618</v>
      </c>
      <c r="I126" s="2" t="s">
        <v>619</v>
      </c>
      <c r="J126" s="2" t="s">
        <v>620</v>
      </c>
      <c r="K126" s="2">
        <f t="shared" si="22"/>
        <v>44501180.090900868</v>
      </c>
      <c r="L126" s="2" t="s">
        <v>140</v>
      </c>
      <c r="M126" s="2" t="s">
        <v>402</v>
      </c>
      <c r="N126" s="2" t="s">
        <v>235</v>
      </c>
      <c r="O126" s="2">
        <v>2714</v>
      </c>
      <c r="P126" s="2">
        <v>188.7413330078125</v>
      </c>
      <c r="Q126" s="2">
        <v>190.5851745605469</v>
      </c>
      <c r="R126" s="2">
        <f t="shared" si="12"/>
        <v>512243.97778320312</v>
      </c>
      <c r="S126" s="2">
        <f t="shared" si="13"/>
        <v>517248.16375732428</v>
      </c>
      <c r="T126" s="2">
        <f t="shared" si="14"/>
        <v>1029492.1415405273</v>
      </c>
      <c r="U126" s="2">
        <f t="shared" si="15"/>
        <v>514.75</v>
      </c>
      <c r="V126" s="2">
        <f t="shared" si="16"/>
        <v>5004.185974121152</v>
      </c>
      <c r="W126" s="2">
        <f t="shared" si="17"/>
        <v>4489.435974121152</v>
      </c>
      <c r="X126" s="2">
        <f t="shared" si="18"/>
        <v>44505669.526874989</v>
      </c>
      <c r="Y126" s="2">
        <f t="shared" si="19"/>
        <v>102448.8</v>
      </c>
      <c r="Z126" s="2">
        <f t="shared" si="20"/>
        <v>4.38</v>
      </c>
      <c r="AA126" s="2">
        <f t="shared" si="23"/>
        <v>44708435.062650755</v>
      </c>
      <c r="AB126" s="2">
        <f t="shared" si="21"/>
        <v>-202765.53577576578</v>
      </c>
    </row>
    <row r="127" spans="1:28">
      <c r="A127" s="2">
        <v>124</v>
      </c>
      <c r="B127" s="2" t="s">
        <v>621</v>
      </c>
      <c r="C127" s="2" t="s">
        <v>36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2" t="s">
        <v>622</v>
      </c>
      <c r="I127" s="2" t="s">
        <v>623</v>
      </c>
      <c r="J127" s="2" t="s">
        <v>624</v>
      </c>
      <c r="K127" s="2">
        <f t="shared" si="22"/>
        <v>44505669.526874989</v>
      </c>
      <c r="L127" s="2" t="s">
        <v>153</v>
      </c>
      <c r="M127" s="2" t="s">
        <v>166</v>
      </c>
      <c r="N127" s="2" t="s">
        <v>167</v>
      </c>
      <c r="O127" s="2">
        <v>388</v>
      </c>
      <c r="P127" s="2">
        <v>2452.98291015625</v>
      </c>
      <c r="Q127" s="2">
        <v>2703.63427734375</v>
      </c>
      <c r="R127" s="2">
        <f t="shared" si="12"/>
        <v>951757.369140625</v>
      </c>
      <c r="S127" s="2">
        <f t="shared" si="13"/>
        <v>1049010.099609375</v>
      </c>
      <c r="T127" s="2">
        <f t="shared" si="14"/>
        <v>2000767.46875</v>
      </c>
      <c r="U127" s="2">
        <f t="shared" si="15"/>
        <v>1000.38</v>
      </c>
      <c r="V127" s="2">
        <f t="shared" si="16"/>
        <v>97252.73046875</v>
      </c>
      <c r="W127" s="2">
        <f t="shared" si="17"/>
        <v>96252.350468749995</v>
      </c>
      <c r="X127" s="2">
        <f t="shared" si="18"/>
        <v>44601921.877343737</v>
      </c>
      <c r="Y127" s="2">
        <f t="shared" si="19"/>
        <v>190351.47</v>
      </c>
      <c r="Z127" s="2">
        <f t="shared" si="20"/>
        <v>50.57</v>
      </c>
      <c r="AA127" s="2">
        <f t="shared" si="23"/>
        <v>44708435.062650755</v>
      </c>
      <c r="AB127" s="2">
        <f t="shared" si="21"/>
        <v>-106513.18530701846</v>
      </c>
    </row>
    <row r="128" spans="1:28">
      <c r="A128" s="2">
        <v>125</v>
      </c>
      <c r="B128" s="2" t="s">
        <v>625</v>
      </c>
      <c r="C128" s="2" t="s">
        <v>36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2" t="s">
        <v>626</v>
      </c>
      <c r="I128" s="2" t="s">
        <v>627</v>
      </c>
      <c r="J128" s="2" t="s">
        <v>628</v>
      </c>
      <c r="K128" s="2">
        <f t="shared" si="22"/>
        <v>44601921.877343737</v>
      </c>
      <c r="L128" s="2" t="s">
        <v>167</v>
      </c>
      <c r="M128" s="2" t="s">
        <v>88</v>
      </c>
      <c r="N128" s="2" t="s">
        <v>73</v>
      </c>
      <c r="O128" s="2">
        <v>1129</v>
      </c>
      <c r="P128" s="2">
        <v>653.15325927734375</v>
      </c>
      <c r="Q128" s="2">
        <v>655.65338134765625</v>
      </c>
      <c r="R128" s="2">
        <f t="shared" si="12"/>
        <v>737410.02972412109</v>
      </c>
      <c r="S128" s="2">
        <f t="shared" si="13"/>
        <v>740232.66754150391</v>
      </c>
      <c r="T128" s="2">
        <f t="shared" si="14"/>
        <v>1477642.697265625</v>
      </c>
      <c r="U128" s="2">
        <f t="shared" si="15"/>
        <v>738.82</v>
      </c>
      <c r="V128" s="2">
        <f t="shared" si="16"/>
        <v>2822.6378173828125</v>
      </c>
      <c r="W128" s="2">
        <f t="shared" si="17"/>
        <v>2083.8178173828123</v>
      </c>
      <c r="X128" s="2">
        <f t="shared" si="18"/>
        <v>44604005.695161119</v>
      </c>
      <c r="Y128" s="2">
        <f t="shared" si="19"/>
        <v>147482.01</v>
      </c>
      <c r="Z128" s="2">
        <f t="shared" si="20"/>
        <v>1.41</v>
      </c>
      <c r="AA128" s="2">
        <f t="shared" si="23"/>
        <v>44708435.062650755</v>
      </c>
      <c r="AB128" s="2">
        <f t="shared" si="21"/>
        <v>-104429.36748963594</v>
      </c>
    </row>
    <row r="129" spans="1:28">
      <c r="A129" s="2">
        <v>126</v>
      </c>
      <c r="B129" s="2" t="s">
        <v>629</v>
      </c>
      <c r="C129" s="2" t="s">
        <v>36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630</v>
      </c>
      <c r="J129" s="2" t="s">
        <v>631</v>
      </c>
      <c r="K129" s="2">
        <f t="shared" si="22"/>
        <v>44604005.695161119</v>
      </c>
      <c r="L129" s="2" t="s">
        <v>166</v>
      </c>
      <c r="M129" s="2" t="s">
        <v>73</v>
      </c>
      <c r="N129" s="2" t="s">
        <v>189</v>
      </c>
      <c r="O129" s="2">
        <v>100</v>
      </c>
      <c r="P129" s="2">
        <v>12178.833984375</v>
      </c>
      <c r="Q129" s="2">
        <v>11865.42578125</v>
      </c>
      <c r="R129" s="2">
        <f t="shared" si="12"/>
        <v>1217883.3984375</v>
      </c>
      <c r="S129" s="2">
        <f t="shared" si="13"/>
        <v>1186542.578125</v>
      </c>
      <c r="T129" s="2">
        <f t="shared" si="14"/>
        <v>2404425.9765625</v>
      </c>
      <c r="U129" s="2">
        <f t="shared" si="15"/>
        <v>1202.21</v>
      </c>
      <c r="V129" s="2">
        <f t="shared" si="16"/>
        <v>-31340.8203125</v>
      </c>
      <c r="W129" s="2">
        <f t="shared" si="17"/>
        <v>-32543.030312499999</v>
      </c>
      <c r="X129" s="2">
        <f t="shared" si="18"/>
        <v>44571462.664848618</v>
      </c>
      <c r="Y129" s="2">
        <f t="shared" si="19"/>
        <v>243576.68</v>
      </c>
      <c r="Z129" s="2">
        <f t="shared" si="20"/>
        <v>-13.36</v>
      </c>
      <c r="AA129" s="2">
        <f t="shared" si="23"/>
        <v>44708435.062650755</v>
      </c>
      <c r="AB129" s="2">
        <f t="shared" si="21"/>
        <v>-136972.39780213684</v>
      </c>
    </row>
    <row r="130" spans="1:28">
      <c r="A130" s="2">
        <v>127</v>
      </c>
      <c r="B130" s="2" t="s">
        <v>632</v>
      </c>
      <c r="C130" s="2" t="s">
        <v>36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635</v>
      </c>
      <c r="J130" s="2" t="s">
        <v>636</v>
      </c>
      <c r="K130" s="2">
        <f t="shared" si="22"/>
        <v>44571462.664848618</v>
      </c>
      <c r="L130" s="2" t="s">
        <v>167</v>
      </c>
      <c r="M130" s="2" t="s">
        <v>73</v>
      </c>
      <c r="N130" s="2" t="s">
        <v>89</v>
      </c>
      <c r="O130" s="2">
        <v>922</v>
      </c>
      <c r="P130" s="2">
        <v>1052.662353515625</v>
      </c>
      <c r="Q130" s="2">
        <v>1058.146240234375</v>
      </c>
      <c r="R130" s="2">
        <f t="shared" si="12"/>
        <v>970554.68994140625</v>
      </c>
      <c r="S130" s="2">
        <f t="shared" si="13"/>
        <v>975610.83349609375</v>
      </c>
      <c r="T130" s="2">
        <f t="shared" si="14"/>
        <v>1946165.5234375</v>
      </c>
      <c r="U130" s="2">
        <f t="shared" si="15"/>
        <v>973.08</v>
      </c>
      <c r="V130" s="2">
        <f t="shared" si="16"/>
        <v>5056.1435546875</v>
      </c>
      <c r="W130" s="2">
        <f t="shared" si="17"/>
        <v>4083.0635546875001</v>
      </c>
      <c r="X130" s="2">
        <f t="shared" si="18"/>
        <v>44575545.728403307</v>
      </c>
      <c r="Y130" s="2">
        <f t="shared" si="19"/>
        <v>194110.94</v>
      </c>
      <c r="Z130" s="2">
        <f t="shared" si="20"/>
        <v>2.1</v>
      </c>
      <c r="AA130" s="2">
        <f t="shared" si="23"/>
        <v>44708435.062650755</v>
      </c>
      <c r="AB130" s="2">
        <f t="shared" si="21"/>
        <v>-132889.33424744755</v>
      </c>
    </row>
    <row r="131" spans="1:28">
      <c r="A131" s="2">
        <v>128</v>
      </c>
      <c r="B131" s="2" t="s">
        <v>637</v>
      </c>
      <c r="C131" s="2" t="s">
        <v>36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2" t="s">
        <v>638</v>
      </c>
      <c r="I131" s="2" t="s">
        <v>198</v>
      </c>
      <c r="J131" s="2" t="s">
        <v>639</v>
      </c>
      <c r="K131" s="2">
        <f t="shared" si="22"/>
        <v>44575545.728403307</v>
      </c>
      <c r="L131" s="2" t="s">
        <v>74</v>
      </c>
      <c r="M131" s="2" t="s">
        <v>139</v>
      </c>
      <c r="N131" s="2" t="s">
        <v>174</v>
      </c>
      <c r="O131" s="2">
        <v>431</v>
      </c>
      <c r="P131" s="2">
        <v>2195.34423828125</v>
      </c>
      <c r="Q131" s="2">
        <v>2217.9775390625</v>
      </c>
      <c r="R131" s="2">
        <f t="shared" si="12"/>
        <v>946193.36669921875</v>
      </c>
      <c r="S131" s="2">
        <f t="shared" si="13"/>
        <v>955948.3193359375</v>
      </c>
      <c r="T131" s="2">
        <f t="shared" si="14"/>
        <v>1902141.6860351563</v>
      </c>
      <c r="U131" s="2">
        <f t="shared" si="15"/>
        <v>951.07</v>
      </c>
      <c r="V131" s="2">
        <f t="shared" si="16"/>
        <v>9754.95263671875</v>
      </c>
      <c r="W131" s="2">
        <f t="shared" si="17"/>
        <v>8803.8826367187503</v>
      </c>
      <c r="X131" s="2">
        <f t="shared" si="18"/>
        <v>44584349.611040026</v>
      </c>
      <c r="Y131" s="2">
        <f t="shared" si="19"/>
        <v>189238.67</v>
      </c>
      <c r="Z131" s="2">
        <f t="shared" si="20"/>
        <v>4.6500000000000004</v>
      </c>
      <c r="AA131" s="2">
        <f t="shared" si="23"/>
        <v>44708435.062650755</v>
      </c>
      <c r="AB131" s="2">
        <f t="shared" si="21"/>
        <v>-124085.4516107291</v>
      </c>
    </row>
    <row r="132" spans="1:28">
      <c r="A132" s="2">
        <v>129</v>
      </c>
      <c r="B132" s="2" t="s">
        <v>640</v>
      </c>
      <c r="C132" s="2" t="s">
        <v>36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2" t="s">
        <v>641</v>
      </c>
      <c r="I132" s="2" t="s">
        <v>642</v>
      </c>
      <c r="J132" s="2" t="s">
        <v>643</v>
      </c>
      <c r="K132" s="2">
        <f t="shared" si="22"/>
        <v>44584349.611040026</v>
      </c>
      <c r="L132" s="2" t="s">
        <v>644</v>
      </c>
      <c r="M132" s="2" t="s">
        <v>645</v>
      </c>
      <c r="N132" s="2" t="s">
        <v>646</v>
      </c>
      <c r="O132" s="2">
        <v>373</v>
      </c>
      <c r="P132" s="2">
        <v>171.38014221191409</v>
      </c>
      <c r="Q132" s="2">
        <v>180.15103149414071</v>
      </c>
      <c r="R132" s="2">
        <f t="shared" ref="R132:R195" si="24">O132*P132</f>
        <v>63924.793045043953</v>
      </c>
      <c r="S132" s="2">
        <f t="shared" ref="S132:S195" si="25">O132*Q132</f>
        <v>67196.334747314482</v>
      </c>
      <c r="T132" s="2">
        <f t="shared" ref="T132:T195" si="26">R132+S132</f>
        <v>131121.12779235843</v>
      </c>
      <c r="U132" s="2">
        <f t="shared" ref="U132:U195" si="27">ROUND(T132*0.0005, 2)</f>
        <v>65.56</v>
      </c>
      <c r="V132" s="2">
        <f t="shared" ref="V132:V195" si="28">S132-R132</f>
        <v>3271.5417022705296</v>
      </c>
      <c r="W132" s="2">
        <f t="shared" ref="W132:W195" si="29">V132-U132</f>
        <v>3205.9817022705297</v>
      </c>
      <c r="X132" s="2">
        <f t="shared" ref="X132:X195" si="30">K132+W132</f>
        <v>44587555.592742294</v>
      </c>
      <c r="Y132" s="2">
        <f t="shared" ref="Y132:Y195" si="31">ROUND(0.2*R132, 2)</f>
        <v>12784.96</v>
      </c>
      <c r="Z132" s="2">
        <f t="shared" ref="Z132:Z195" si="32">ROUND((W132/Y132)*100, 2)</f>
        <v>25.08</v>
      </c>
      <c r="AA132" s="2">
        <f t="shared" si="23"/>
        <v>44708435.062650755</v>
      </c>
      <c r="AB132" s="2">
        <f t="shared" ref="AB132:AB195" si="33">X132-AA132</f>
        <v>-120879.46990846097</v>
      </c>
    </row>
    <row r="133" spans="1:28">
      <c r="A133" s="2">
        <v>130</v>
      </c>
      <c r="B133" s="2" t="s">
        <v>647</v>
      </c>
      <c r="C133" s="2" t="s">
        <v>36</v>
      </c>
      <c r="D133" s="4" t="s">
        <v>61</v>
      </c>
      <c r="E133" s="5" t="s">
        <v>134</v>
      </c>
      <c r="F133" s="2" t="s">
        <v>135</v>
      </c>
      <c r="G133" s="2" t="s">
        <v>97</v>
      </c>
      <c r="H133" s="2" t="s">
        <v>648</v>
      </c>
      <c r="I133" s="2" t="s">
        <v>649</v>
      </c>
      <c r="J133" s="2" t="s">
        <v>650</v>
      </c>
      <c r="K133" s="2">
        <f t="shared" ref="K133:K196" si="34">X132</f>
        <v>44587555.592742294</v>
      </c>
      <c r="L133" s="2" t="s">
        <v>173</v>
      </c>
      <c r="M133" s="2" t="s">
        <v>88</v>
      </c>
      <c r="N133" s="2" t="s">
        <v>148</v>
      </c>
      <c r="O133" s="2">
        <v>661</v>
      </c>
      <c r="P133" s="2">
        <v>1118.5</v>
      </c>
      <c r="Q133" s="2">
        <v>1123.25</v>
      </c>
      <c r="R133" s="2">
        <f t="shared" si="24"/>
        <v>739328.5</v>
      </c>
      <c r="S133" s="2">
        <f t="shared" si="25"/>
        <v>742468.25</v>
      </c>
      <c r="T133" s="2">
        <f t="shared" si="26"/>
        <v>1481796.75</v>
      </c>
      <c r="U133" s="2">
        <f t="shared" si="27"/>
        <v>740.9</v>
      </c>
      <c r="V133" s="2">
        <f t="shared" si="28"/>
        <v>3139.75</v>
      </c>
      <c r="W133" s="2">
        <f t="shared" si="29"/>
        <v>2398.85</v>
      </c>
      <c r="X133" s="2">
        <f t="shared" si="30"/>
        <v>44589954.442742296</v>
      </c>
      <c r="Y133" s="2">
        <f t="shared" si="31"/>
        <v>147865.70000000001</v>
      </c>
      <c r="Z133" s="2">
        <f t="shared" si="32"/>
        <v>1.62</v>
      </c>
      <c r="AA133" s="2">
        <f t="shared" ref="AA133:AA196" si="35">MAX(AA132, X133)</f>
        <v>44708435.062650755</v>
      </c>
      <c r="AB133" s="2">
        <f t="shared" si="33"/>
        <v>-118480.61990845948</v>
      </c>
    </row>
    <row r="134" spans="1:28">
      <c r="A134" s="2">
        <v>131</v>
      </c>
      <c r="B134" s="2" t="s">
        <v>651</v>
      </c>
      <c r="C134" s="2" t="s">
        <v>36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2" t="s">
        <v>361</v>
      </c>
      <c r="I134" s="2" t="s">
        <v>652</v>
      </c>
      <c r="J134" s="2" t="s">
        <v>653</v>
      </c>
      <c r="K134" s="2">
        <f t="shared" si="34"/>
        <v>44589954.442742296</v>
      </c>
      <c r="L134" s="2" t="s">
        <v>264</v>
      </c>
      <c r="M134" s="2" t="s">
        <v>380</v>
      </c>
      <c r="N134" s="2" t="s">
        <v>235</v>
      </c>
      <c r="O134" s="2">
        <v>6815</v>
      </c>
      <c r="P134" s="2">
        <v>86.91497802734375</v>
      </c>
      <c r="Q134" s="2">
        <v>89.34814453125</v>
      </c>
      <c r="R134" s="2">
        <f t="shared" si="24"/>
        <v>592325.57525634766</v>
      </c>
      <c r="S134" s="2">
        <f t="shared" si="25"/>
        <v>608907.60498046875</v>
      </c>
      <c r="T134" s="2">
        <f t="shared" si="26"/>
        <v>1201233.1802368164</v>
      </c>
      <c r="U134" s="2">
        <f t="shared" si="27"/>
        <v>600.62</v>
      </c>
      <c r="V134" s="2">
        <f t="shared" si="28"/>
        <v>16582.029724121094</v>
      </c>
      <c r="W134" s="2">
        <f t="shared" si="29"/>
        <v>15981.409724121093</v>
      </c>
      <c r="X134" s="2">
        <f t="shared" si="30"/>
        <v>44605935.852466419</v>
      </c>
      <c r="Y134" s="2">
        <f t="shared" si="31"/>
        <v>118465.12</v>
      </c>
      <c r="Z134" s="2">
        <f t="shared" si="32"/>
        <v>13.49</v>
      </c>
      <c r="AA134" s="2">
        <f t="shared" si="35"/>
        <v>44708435.062650755</v>
      </c>
      <c r="AB134" s="2">
        <f t="shared" si="33"/>
        <v>-102499.21018433571</v>
      </c>
    </row>
    <row r="135" spans="1:28">
      <c r="A135" s="2">
        <v>132</v>
      </c>
      <c r="B135" s="2" t="s">
        <v>654</v>
      </c>
      <c r="C135" s="2" t="s">
        <v>36</v>
      </c>
      <c r="D135" s="3" t="s">
        <v>37</v>
      </c>
      <c r="E135" s="5" t="s">
        <v>134</v>
      </c>
      <c r="F135" s="2" t="s">
        <v>135</v>
      </c>
      <c r="G135" s="2" t="s">
        <v>63</v>
      </c>
      <c r="H135" s="2" t="s">
        <v>642</v>
      </c>
      <c r="I135" s="2" t="s">
        <v>194</v>
      </c>
      <c r="J135" s="2" t="s">
        <v>655</v>
      </c>
      <c r="K135" s="2">
        <f t="shared" si="34"/>
        <v>44605935.852466419</v>
      </c>
      <c r="L135" s="2" t="s">
        <v>204</v>
      </c>
      <c r="M135" s="2" t="s">
        <v>89</v>
      </c>
      <c r="N135" s="2" t="s">
        <v>189</v>
      </c>
      <c r="O135" s="2">
        <v>1194</v>
      </c>
      <c r="P135" s="2">
        <v>635.86602783203125</v>
      </c>
      <c r="Q135" s="2">
        <v>635.66912841796875</v>
      </c>
      <c r="R135" s="2">
        <f t="shared" si="24"/>
        <v>759224.03723144531</v>
      </c>
      <c r="S135" s="2">
        <f t="shared" si="25"/>
        <v>758988.93933105469</v>
      </c>
      <c r="T135" s="2">
        <f t="shared" si="26"/>
        <v>1518212.9765625</v>
      </c>
      <c r="U135" s="2">
        <f t="shared" si="27"/>
        <v>759.11</v>
      </c>
      <c r="V135" s="2">
        <f t="shared" si="28"/>
        <v>-235.097900390625</v>
      </c>
      <c r="W135" s="2">
        <f t="shared" si="29"/>
        <v>-994.20790039062501</v>
      </c>
      <c r="X135" s="2">
        <f t="shared" si="30"/>
        <v>44604941.644566029</v>
      </c>
      <c r="Y135" s="2">
        <f t="shared" si="31"/>
        <v>151844.81</v>
      </c>
      <c r="Z135" s="2">
        <f t="shared" si="32"/>
        <v>-0.65</v>
      </c>
      <c r="AA135" s="2">
        <f t="shared" si="35"/>
        <v>44708435.062650755</v>
      </c>
      <c r="AB135" s="2">
        <f t="shared" si="33"/>
        <v>-103493.41808472574</v>
      </c>
    </row>
    <row r="136" spans="1:28">
      <c r="A136" s="2">
        <v>133</v>
      </c>
      <c r="B136" s="2" t="s">
        <v>656</v>
      </c>
      <c r="C136" s="2" t="s">
        <v>36</v>
      </c>
      <c r="D136" s="3" t="s">
        <v>37</v>
      </c>
      <c r="E136" s="5" t="s">
        <v>134</v>
      </c>
      <c r="F136" s="2" t="s">
        <v>135</v>
      </c>
      <c r="G136" s="2" t="s">
        <v>40</v>
      </c>
      <c r="H136" s="2" t="s">
        <v>657</v>
      </c>
      <c r="I136" s="2" t="s">
        <v>86</v>
      </c>
      <c r="J136" s="2" t="s">
        <v>110</v>
      </c>
      <c r="K136" s="2">
        <f t="shared" si="34"/>
        <v>44604941.644566029</v>
      </c>
      <c r="L136" s="2" t="s">
        <v>181</v>
      </c>
      <c r="M136" s="2" t="s">
        <v>89</v>
      </c>
      <c r="N136" s="2" t="s">
        <v>167</v>
      </c>
      <c r="O136" s="2">
        <v>426</v>
      </c>
      <c r="P136" s="2">
        <v>2654.13720703125</v>
      </c>
      <c r="Q136" s="2">
        <v>2738.017578125</v>
      </c>
      <c r="R136" s="2">
        <f t="shared" si="24"/>
        <v>1130662.4501953125</v>
      </c>
      <c r="S136" s="2">
        <f t="shared" si="25"/>
        <v>1166395.48828125</v>
      </c>
      <c r="T136" s="2">
        <f t="shared" si="26"/>
        <v>2297057.9384765625</v>
      </c>
      <c r="U136" s="2">
        <f t="shared" si="27"/>
        <v>1148.53</v>
      </c>
      <c r="V136" s="2">
        <f t="shared" si="28"/>
        <v>35733.0380859375</v>
      </c>
      <c r="W136" s="2">
        <f t="shared" si="29"/>
        <v>34584.508085937501</v>
      </c>
      <c r="X136" s="2">
        <f t="shared" si="30"/>
        <v>44639526.152651966</v>
      </c>
      <c r="Y136" s="2">
        <f t="shared" si="31"/>
        <v>226132.49</v>
      </c>
      <c r="Z136" s="2">
        <f t="shared" si="32"/>
        <v>15.29</v>
      </c>
      <c r="AA136" s="2">
        <f t="shared" si="35"/>
        <v>44708435.062650755</v>
      </c>
      <c r="AB136" s="2">
        <f t="shared" si="33"/>
        <v>-68908.90999878943</v>
      </c>
    </row>
    <row r="137" spans="1:28">
      <c r="A137" s="2">
        <v>134</v>
      </c>
      <c r="B137" s="2" t="s">
        <v>658</v>
      </c>
      <c r="C137" s="2" t="s">
        <v>36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450</v>
      </c>
      <c r="J137" s="2" t="s">
        <v>660</v>
      </c>
      <c r="K137" s="2">
        <f t="shared" si="34"/>
        <v>44639526.152651966</v>
      </c>
      <c r="L137" s="2" t="s">
        <v>58</v>
      </c>
      <c r="M137" s="2" t="s">
        <v>44</v>
      </c>
      <c r="N137" s="2" t="s">
        <v>159</v>
      </c>
      <c r="O137" s="2">
        <v>332</v>
      </c>
      <c r="P137" s="2">
        <v>3025.89990234375</v>
      </c>
      <c r="Q137" s="2">
        <v>3008.699951171875</v>
      </c>
      <c r="R137" s="2">
        <f t="shared" si="24"/>
        <v>1004598.767578125</v>
      </c>
      <c r="S137" s="2">
        <f t="shared" si="25"/>
        <v>998888.3837890625</v>
      </c>
      <c r="T137" s="2">
        <f t="shared" si="26"/>
        <v>2003487.1513671875</v>
      </c>
      <c r="U137" s="2">
        <f t="shared" si="27"/>
        <v>1001.74</v>
      </c>
      <c r="V137" s="2">
        <f t="shared" si="28"/>
        <v>-5710.3837890625</v>
      </c>
      <c r="W137" s="2">
        <f t="shared" si="29"/>
        <v>-6712.1237890624998</v>
      </c>
      <c r="X137" s="2">
        <f t="shared" si="30"/>
        <v>44632814.028862901</v>
      </c>
      <c r="Y137" s="2">
        <f t="shared" si="31"/>
        <v>200919.75</v>
      </c>
      <c r="Z137" s="2">
        <f t="shared" si="32"/>
        <v>-3.34</v>
      </c>
      <c r="AA137" s="2">
        <f t="shared" si="35"/>
        <v>44708435.062650755</v>
      </c>
      <c r="AB137" s="2">
        <f t="shared" si="33"/>
        <v>-75621.033787854016</v>
      </c>
    </row>
    <row r="138" spans="1:28">
      <c r="A138" s="2">
        <v>135</v>
      </c>
      <c r="B138" s="2" t="s">
        <v>661</v>
      </c>
      <c r="C138" s="2" t="s">
        <v>36</v>
      </c>
      <c r="D138" s="4" t="s">
        <v>61</v>
      </c>
      <c r="E138" s="5" t="s">
        <v>134</v>
      </c>
      <c r="F138" s="2" t="s">
        <v>135</v>
      </c>
      <c r="G138" s="2" t="s">
        <v>63</v>
      </c>
      <c r="H138" s="2" t="s">
        <v>662</v>
      </c>
      <c r="I138" s="2" t="s">
        <v>663</v>
      </c>
      <c r="J138" s="2" t="s">
        <v>276</v>
      </c>
      <c r="K138" s="2">
        <f t="shared" si="34"/>
        <v>44632814.028862901</v>
      </c>
      <c r="L138" s="2" t="s">
        <v>87</v>
      </c>
      <c r="M138" s="2" t="s">
        <v>167</v>
      </c>
      <c r="N138" s="2" t="s">
        <v>182</v>
      </c>
      <c r="O138" s="2">
        <v>871</v>
      </c>
      <c r="P138" s="2">
        <v>600.4056396484375</v>
      </c>
      <c r="Q138" s="2">
        <v>621.62945556640625</v>
      </c>
      <c r="R138" s="2">
        <f t="shared" si="24"/>
        <v>522953.31213378906</v>
      </c>
      <c r="S138" s="2">
        <f t="shared" si="25"/>
        <v>541439.25579833984</v>
      </c>
      <c r="T138" s="2">
        <f t="shared" si="26"/>
        <v>1064392.5679321289</v>
      </c>
      <c r="U138" s="2">
        <f t="shared" si="27"/>
        <v>532.20000000000005</v>
      </c>
      <c r="V138" s="2">
        <f t="shared" si="28"/>
        <v>18485.943664550781</v>
      </c>
      <c r="W138" s="2">
        <f t="shared" si="29"/>
        <v>17953.743664550781</v>
      </c>
      <c r="X138" s="2">
        <f t="shared" si="30"/>
        <v>44650767.772527449</v>
      </c>
      <c r="Y138" s="2">
        <f t="shared" si="31"/>
        <v>104590.66</v>
      </c>
      <c r="Z138" s="2">
        <f t="shared" si="32"/>
        <v>17.170000000000002</v>
      </c>
      <c r="AA138" s="2">
        <f t="shared" si="35"/>
        <v>44708435.062650755</v>
      </c>
      <c r="AB138" s="2">
        <f t="shared" si="33"/>
        <v>-57667.290123306215</v>
      </c>
    </row>
    <row r="139" spans="1:28">
      <c r="A139" s="2">
        <v>136</v>
      </c>
      <c r="B139" s="2" t="s">
        <v>664</v>
      </c>
      <c r="C139" s="2" t="s">
        <v>36</v>
      </c>
      <c r="D139" s="4" t="s">
        <v>61</v>
      </c>
      <c r="E139" s="5" t="s">
        <v>134</v>
      </c>
      <c r="F139" s="2" t="s">
        <v>135</v>
      </c>
      <c r="G139" s="2" t="s">
        <v>77</v>
      </c>
      <c r="H139" s="2" t="s">
        <v>665</v>
      </c>
      <c r="I139" s="2" t="s">
        <v>666</v>
      </c>
      <c r="J139" s="2" t="s">
        <v>422</v>
      </c>
      <c r="K139" s="2">
        <f t="shared" si="34"/>
        <v>44650767.772527449</v>
      </c>
      <c r="L139" s="2" t="s">
        <v>88</v>
      </c>
      <c r="M139" s="2" t="s">
        <v>131</v>
      </c>
      <c r="N139" s="2" t="s">
        <v>264</v>
      </c>
      <c r="O139" s="2">
        <v>2876</v>
      </c>
      <c r="P139" s="2">
        <v>171.72413635253909</v>
      </c>
      <c r="Q139" s="2">
        <v>187.02201843261719</v>
      </c>
      <c r="R139" s="2">
        <f t="shared" si="24"/>
        <v>493878.6161499024</v>
      </c>
      <c r="S139" s="2">
        <f t="shared" si="25"/>
        <v>537875.32501220703</v>
      </c>
      <c r="T139" s="2">
        <f t="shared" si="26"/>
        <v>1031753.9411621094</v>
      </c>
      <c r="U139" s="2">
        <f t="shared" si="27"/>
        <v>515.88</v>
      </c>
      <c r="V139" s="2">
        <f t="shared" si="28"/>
        <v>43996.708862304629</v>
      </c>
      <c r="W139" s="2">
        <f t="shared" si="29"/>
        <v>43480.828862304632</v>
      </c>
      <c r="X139" s="2">
        <f t="shared" si="30"/>
        <v>44694248.601389751</v>
      </c>
      <c r="Y139" s="2">
        <f t="shared" si="31"/>
        <v>98775.72</v>
      </c>
      <c r="Z139" s="2">
        <f t="shared" si="32"/>
        <v>44.02</v>
      </c>
      <c r="AA139" s="2">
        <f t="shared" si="35"/>
        <v>44708435.062650755</v>
      </c>
      <c r="AB139" s="2">
        <f t="shared" si="33"/>
        <v>-14186.46126100421</v>
      </c>
    </row>
    <row r="140" spans="1:28">
      <c r="A140" s="2">
        <v>137</v>
      </c>
      <c r="B140" s="2" t="s">
        <v>667</v>
      </c>
      <c r="C140" s="2" t="s">
        <v>36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2" t="s">
        <v>668</v>
      </c>
      <c r="I140" s="2" t="s">
        <v>669</v>
      </c>
      <c r="J140" s="2" t="s">
        <v>128</v>
      </c>
      <c r="K140" s="2">
        <f t="shared" si="34"/>
        <v>44694248.601389751</v>
      </c>
      <c r="L140" s="2" t="s">
        <v>73</v>
      </c>
      <c r="M140" s="2" t="s">
        <v>147</v>
      </c>
      <c r="N140" s="2" t="s">
        <v>88</v>
      </c>
      <c r="O140" s="2">
        <v>803</v>
      </c>
      <c r="P140" s="2">
        <v>1530.119140625</v>
      </c>
      <c r="Q140" s="2">
        <v>1594.999267578125</v>
      </c>
      <c r="R140" s="2">
        <f t="shared" si="24"/>
        <v>1228685.669921875</v>
      </c>
      <c r="S140" s="2">
        <f t="shared" si="25"/>
        <v>1280784.4118652344</v>
      </c>
      <c r="T140" s="2">
        <f t="shared" si="26"/>
        <v>2509470.0817871094</v>
      </c>
      <c r="U140" s="2">
        <f t="shared" si="27"/>
        <v>1254.74</v>
      </c>
      <c r="V140" s="2">
        <f t="shared" si="28"/>
        <v>52098.741943359375</v>
      </c>
      <c r="W140" s="2">
        <f t="shared" si="29"/>
        <v>50844.001943359377</v>
      </c>
      <c r="X140" s="2">
        <f t="shared" si="30"/>
        <v>44745092.603333108</v>
      </c>
      <c r="Y140" s="2">
        <f t="shared" si="31"/>
        <v>245737.13</v>
      </c>
      <c r="Z140" s="2">
        <f t="shared" si="32"/>
        <v>20.69</v>
      </c>
      <c r="AA140" s="2">
        <f t="shared" si="35"/>
        <v>44745092.603333108</v>
      </c>
      <c r="AB140" s="2">
        <f t="shared" si="33"/>
        <v>0</v>
      </c>
    </row>
    <row r="141" spans="1:28">
      <c r="A141" s="2">
        <v>138</v>
      </c>
      <c r="B141" s="2" t="s">
        <v>670</v>
      </c>
      <c r="C141" s="2" t="s">
        <v>36</v>
      </c>
      <c r="D141" s="4" t="s">
        <v>61</v>
      </c>
      <c r="E141" s="5" t="s">
        <v>134</v>
      </c>
      <c r="F141" s="2" t="s">
        <v>135</v>
      </c>
      <c r="G141" s="2" t="s">
        <v>97</v>
      </c>
      <c r="H141" s="2" t="s">
        <v>671</v>
      </c>
      <c r="I141" s="2" t="s">
        <v>672</v>
      </c>
      <c r="J141" s="2" t="s">
        <v>673</v>
      </c>
      <c r="K141" s="2">
        <f t="shared" si="34"/>
        <v>44745092.603333108</v>
      </c>
      <c r="L141" s="2" t="s">
        <v>264</v>
      </c>
      <c r="M141" s="2" t="s">
        <v>139</v>
      </c>
      <c r="N141" s="2" t="s">
        <v>140</v>
      </c>
      <c r="O141" s="2">
        <v>10687</v>
      </c>
      <c r="P141" s="2">
        <v>84.645362854003906</v>
      </c>
      <c r="Q141" s="2">
        <v>89.04791259765625</v>
      </c>
      <c r="R141" s="2">
        <f t="shared" si="24"/>
        <v>904604.99282073975</v>
      </c>
      <c r="S141" s="2">
        <f t="shared" si="25"/>
        <v>951655.04193115234</v>
      </c>
      <c r="T141" s="2">
        <f t="shared" si="26"/>
        <v>1856260.0347518921</v>
      </c>
      <c r="U141" s="2">
        <f t="shared" si="27"/>
        <v>928.13</v>
      </c>
      <c r="V141" s="2">
        <f t="shared" si="28"/>
        <v>47050.049110412598</v>
      </c>
      <c r="W141" s="2">
        <f t="shared" si="29"/>
        <v>46121.9191104126</v>
      </c>
      <c r="X141" s="2">
        <f t="shared" si="30"/>
        <v>44791214.522443518</v>
      </c>
      <c r="Y141" s="2">
        <f t="shared" si="31"/>
        <v>180921</v>
      </c>
      <c r="Z141" s="2">
        <f t="shared" si="32"/>
        <v>25.49</v>
      </c>
      <c r="AA141" s="2">
        <f t="shared" si="35"/>
        <v>44791214.522443518</v>
      </c>
      <c r="AB141" s="2">
        <f t="shared" si="33"/>
        <v>0</v>
      </c>
    </row>
    <row r="142" spans="1:28">
      <c r="A142" s="2">
        <v>139</v>
      </c>
      <c r="B142" s="2" t="s">
        <v>674</v>
      </c>
      <c r="C142" s="2" t="s">
        <v>36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677</v>
      </c>
      <c r="J142" s="2" t="s">
        <v>170</v>
      </c>
      <c r="K142" s="2">
        <f t="shared" si="34"/>
        <v>44791214.522443518</v>
      </c>
      <c r="L142" s="2" t="s">
        <v>73</v>
      </c>
      <c r="M142" s="2" t="s">
        <v>74</v>
      </c>
      <c r="N142" s="2" t="s">
        <v>73</v>
      </c>
      <c r="O142" s="2">
        <v>200</v>
      </c>
      <c r="P142" s="2">
        <v>1132.837280273438</v>
      </c>
      <c r="Q142" s="2">
        <v>1134.747192382812</v>
      </c>
      <c r="R142" s="2">
        <f t="shared" si="24"/>
        <v>226567.45605468759</v>
      </c>
      <c r="S142" s="2">
        <f t="shared" si="25"/>
        <v>226949.43847656241</v>
      </c>
      <c r="T142" s="2">
        <f t="shared" si="26"/>
        <v>453516.89453125</v>
      </c>
      <c r="U142" s="2">
        <f t="shared" si="27"/>
        <v>226.76</v>
      </c>
      <c r="V142" s="2">
        <f t="shared" si="28"/>
        <v>381.98242187482538</v>
      </c>
      <c r="W142" s="2">
        <f t="shared" si="29"/>
        <v>155.22242187482539</v>
      </c>
      <c r="X142" s="2">
        <f t="shared" si="30"/>
        <v>44791369.744865395</v>
      </c>
      <c r="Y142" s="2">
        <f t="shared" si="31"/>
        <v>45313.49</v>
      </c>
      <c r="Z142" s="2">
        <f t="shared" si="32"/>
        <v>0.34</v>
      </c>
      <c r="AA142" s="2">
        <f t="shared" si="35"/>
        <v>44791369.744865395</v>
      </c>
      <c r="AB142" s="2">
        <f t="shared" si="33"/>
        <v>0</v>
      </c>
    </row>
    <row r="143" spans="1:28">
      <c r="A143" s="2">
        <v>140</v>
      </c>
      <c r="B143" s="2" t="s">
        <v>678</v>
      </c>
      <c r="C143" s="2" t="s">
        <v>36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2" t="s">
        <v>679</v>
      </c>
      <c r="I143" s="2" t="s">
        <v>194</v>
      </c>
      <c r="J143" s="2" t="s">
        <v>680</v>
      </c>
      <c r="K143" s="2">
        <f t="shared" si="34"/>
        <v>44791369.744865395</v>
      </c>
      <c r="L143" s="2" t="s">
        <v>74</v>
      </c>
      <c r="M143" s="2" t="s">
        <v>139</v>
      </c>
      <c r="N143" s="2" t="s">
        <v>174</v>
      </c>
      <c r="O143" s="2">
        <v>12809</v>
      </c>
      <c r="P143" s="2">
        <v>73.520668029785156</v>
      </c>
      <c r="Q143" s="2">
        <v>73.501457214355469</v>
      </c>
      <c r="R143" s="2">
        <f t="shared" si="24"/>
        <v>941726.23679351807</v>
      </c>
      <c r="S143" s="2">
        <f t="shared" si="25"/>
        <v>941480.1654586792</v>
      </c>
      <c r="T143" s="2">
        <f t="shared" si="26"/>
        <v>1883206.4022521973</v>
      </c>
      <c r="U143" s="2">
        <f t="shared" si="27"/>
        <v>941.6</v>
      </c>
      <c r="V143" s="2">
        <f t="shared" si="28"/>
        <v>-246.07133483886719</v>
      </c>
      <c r="W143" s="2">
        <f t="shared" si="29"/>
        <v>-1187.6713348388671</v>
      </c>
      <c r="X143" s="2">
        <f t="shared" si="30"/>
        <v>44790182.073530555</v>
      </c>
      <c r="Y143" s="2">
        <f t="shared" si="31"/>
        <v>188345.25</v>
      </c>
      <c r="Z143" s="2">
        <f t="shared" si="32"/>
        <v>-0.63</v>
      </c>
      <c r="AA143" s="2">
        <f t="shared" si="35"/>
        <v>44791369.744865395</v>
      </c>
      <c r="AB143" s="2">
        <f t="shared" si="33"/>
        <v>-1187.6713348403573</v>
      </c>
    </row>
    <row r="144" spans="1:28">
      <c r="A144" s="2">
        <v>141</v>
      </c>
      <c r="B144" s="2" t="s">
        <v>681</v>
      </c>
      <c r="C144" s="2" t="s">
        <v>36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2" t="s">
        <v>682</v>
      </c>
      <c r="I144" s="2" t="s">
        <v>683</v>
      </c>
      <c r="J144" s="2" t="s">
        <v>684</v>
      </c>
      <c r="K144" s="2">
        <f t="shared" si="34"/>
        <v>44790182.073530555</v>
      </c>
      <c r="L144" s="2" t="s">
        <v>173</v>
      </c>
      <c r="M144" s="2" t="s">
        <v>174</v>
      </c>
      <c r="N144" s="2" t="s">
        <v>147</v>
      </c>
      <c r="O144" s="2">
        <v>11763</v>
      </c>
      <c r="P144" s="2">
        <v>59.559539794921882</v>
      </c>
      <c r="Q144" s="2">
        <v>61.668830871582031</v>
      </c>
      <c r="R144" s="2">
        <f t="shared" si="24"/>
        <v>700598.86660766613</v>
      </c>
      <c r="S144" s="2">
        <f t="shared" si="25"/>
        <v>725410.45754241943</v>
      </c>
      <c r="T144" s="2">
        <f t="shared" si="26"/>
        <v>1426009.3241500854</v>
      </c>
      <c r="U144" s="2">
        <f t="shared" si="27"/>
        <v>713</v>
      </c>
      <c r="V144" s="2">
        <f t="shared" si="28"/>
        <v>24811.590934753302</v>
      </c>
      <c r="W144" s="2">
        <f t="shared" si="29"/>
        <v>24098.590934753302</v>
      </c>
      <c r="X144" s="2">
        <f t="shared" si="30"/>
        <v>44814280.664465308</v>
      </c>
      <c r="Y144" s="2">
        <f t="shared" si="31"/>
        <v>140119.76999999999</v>
      </c>
      <c r="Z144" s="2">
        <f t="shared" si="32"/>
        <v>17.2</v>
      </c>
      <c r="AA144" s="2">
        <f t="shared" si="35"/>
        <v>44814280.664465308</v>
      </c>
      <c r="AB144" s="2">
        <f t="shared" si="33"/>
        <v>0</v>
      </c>
    </row>
    <row r="145" spans="1:28">
      <c r="A145" s="2">
        <v>142</v>
      </c>
      <c r="B145" s="2" t="s">
        <v>685</v>
      </c>
      <c r="C145" s="2" t="s">
        <v>36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687</v>
      </c>
      <c r="J145" s="2" t="s">
        <v>688</v>
      </c>
      <c r="K145" s="2">
        <f t="shared" si="34"/>
        <v>44814280.664465308</v>
      </c>
      <c r="L145" s="2" t="s">
        <v>183</v>
      </c>
      <c r="M145" s="2" t="s">
        <v>73</v>
      </c>
      <c r="N145" s="2" t="s">
        <v>279</v>
      </c>
      <c r="O145" s="2">
        <v>1500</v>
      </c>
      <c r="P145" s="2">
        <v>315.66912841796881</v>
      </c>
      <c r="Q145" s="2">
        <v>314.67599487304687</v>
      </c>
      <c r="R145" s="2">
        <f t="shared" si="24"/>
        <v>473503.69262695318</v>
      </c>
      <c r="S145" s="2">
        <f t="shared" si="25"/>
        <v>472013.99230957031</v>
      </c>
      <c r="T145" s="2">
        <f t="shared" si="26"/>
        <v>945517.68493652344</v>
      </c>
      <c r="U145" s="2">
        <f t="shared" si="27"/>
        <v>472.76</v>
      </c>
      <c r="V145" s="2">
        <f t="shared" si="28"/>
        <v>-1489.7003173828707</v>
      </c>
      <c r="W145" s="2">
        <f t="shared" si="29"/>
        <v>-1962.4603173828707</v>
      </c>
      <c r="X145" s="2">
        <f t="shared" si="30"/>
        <v>44812318.204147927</v>
      </c>
      <c r="Y145" s="2">
        <f t="shared" si="31"/>
        <v>94700.74</v>
      </c>
      <c r="Z145" s="2">
        <f t="shared" si="32"/>
        <v>-2.0699999999999998</v>
      </c>
      <c r="AA145" s="2">
        <f t="shared" si="35"/>
        <v>44814280.664465308</v>
      </c>
      <c r="AB145" s="2">
        <f t="shared" si="33"/>
        <v>-1962.4603173807263</v>
      </c>
    </row>
    <row r="146" spans="1:28">
      <c r="A146" s="2">
        <v>143</v>
      </c>
      <c r="B146" s="2" t="s">
        <v>689</v>
      </c>
      <c r="C146" s="2" t="s">
        <v>36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2" t="s">
        <v>690</v>
      </c>
      <c r="I146" s="2" t="s">
        <v>691</v>
      </c>
      <c r="J146" s="2" t="s">
        <v>488</v>
      </c>
      <c r="K146" s="2">
        <f t="shared" si="34"/>
        <v>44812318.204147927</v>
      </c>
      <c r="L146" s="2" t="s">
        <v>173</v>
      </c>
      <c r="M146" s="2" t="s">
        <v>140</v>
      </c>
      <c r="N146" s="2" t="s">
        <v>131</v>
      </c>
      <c r="O146" s="2">
        <v>2996</v>
      </c>
      <c r="P146" s="2">
        <v>171.92999267578119</v>
      </c>
      <c r="Q146" s="2">
        <v>175.5299987792969</v>
      </c>
      <c r="R146" s="2">
        <f t="shared" si="24"/>
        <v>515102.25805664045</v>
      </c>
      <c r="S146" s="2">
        <f t="shared" si="25"/>
        <v>525887.87634277355</v>
      </c>
      <c r="T146" s="2">
        <f t="shared" si="26"/>
        <v>1040990.1343994141</v>
      </c>
      <c r="U146" s="2">
        <f t="shared" si="27"/>
        <v>520.5</v>
      </c>
      <c r="V146" s="2">
        <f t="shared" si="28"/>
        <v>10785.618286133104</v>
      </c>
      <c r="W146" s="2">
        <f t="shared" si="29"/>
        <v>10265.118286133104</v>
      </c>
      <c r="X146" s="2">
        <f t="shared" si="30"/>
        <v>44822583.32243406</v>
      </c>
      <c r="Y146" s="2">
        <f t="shared" si="31"/>
        <v>103020.45</v>
      </c>
      <c r="Z146" s="2">
        <f t="shared" si="32"/>
        <v>9.9600000000000009</v>
      </c>
      <c r="AA146" s="2">
        <f t="shared" si="35"/>
        <v>44822583.32243406</v>
      </c>
      <c r="AB146" s="2">
        <f t="shared" si="33"/>
        <v>0</v>
      </c>
    </row>
    <row r="147" spans="1:28">
      <c r="A147" s="2">
        <v>144</v>
      </c>
      <c r="B147" s="2" t="s">
        <v>692</v>
      </c>
      <c r="C147" s="2" t="s">
        <v>36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2" t="s">
        <v>693</v>
      </c>
      <c r="I147" s="2" t="s">
        <v>694</v>
      </c>
      <c r="J147" s="2" t="s">
        <v>695</v>
      </c>
      <c r="K147" s="2">
        <f t="shared" si="34"/>
        <v>44822583.32243406</v>
      </c>
      <c r="L147" s="2" t="s">
        <v>165</v>
      </c>
      <c r="M147" s="2" t="s">
        <v>166</v>
      </c>
      <c r="N147" s="2" t="s">
        <v>217</v>
      </c>
      <c r="O147" s="2">
        <v>551</v>
      </c>
      <c r="P147" s="2">
        <v>1958.851684570312</v>
      </c>
      <c r="Q147" s="2">
        <v>1672.8974609375</v>
      </c>
      <c r="R147" s="2">
        <f t="shared" si="24"/>
        <v>1079327.278198242</v>
      </c>
      <c r="S147" s="2">
        <f t="shared" si="25"/>
        <v>921766.5009765625</v>
      </c>
      <c r="T147" s="2">
        <f t="shared" si="26"/>
        <v>2001093.7791748045</v>
      </c>
      <c r="U147" s="2">
        <f t="shared" si="27"/>
        <v>1000.55</v>
      </c>
      <c r="V147" s="2">
        <f t="shared" si="28"/>
        <v>-157560.77722167945</v>
      </c>
      <c r="W147" s="2">
        <f t="shared" si="29"/>
        <v>-158561.32722167944</v>
      </c>
      <c r="X147" s="2">
        <f t="shared" si="30"/>
        <v>44664021.995212384</v>
      </c>
      <c r="Y147" s="2">
        <f t="shared" si="31"/>
        <v>215865.46</v>
      </c>
      <c r="Z147" s="2">
        <f t="shared" si="32"/>
        <v>-73.45</v>
      </c>
      <c r="AA147" s="2">
        <f t="shared" si="35"/>
        <v>44822583.32243406</v>
      </c>
      <c r="AB147" s="2">
        <f t="shared" si="33"/>
        <v>-158561.32722167671</v>
      </c>
    </row>
    <row r="148" spans="1:28">
      <c r="A148" s="2">
        <v>145</v>
      </c>
      <c r="B148" s="2" t="s">
        <v>696</v>
      </c>
      <c r="C148" s="2" t="s">
        <v>36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2" t="s">
        <v>697</v>
      </c>
      <c r="I148" s="2" t="s">
        <v>698</v>
      </c>
      <c r="J148" s="2" t="s">
        <v>699</v>
      </c>
      <c r="K148" s="2">
        <f t="shared" si="34"/>
        <v>44664021.995212384</v>
      </c>
      <c r="L148" s="2" t="s">
        <v>700</v>
      </c>
      <c r="M148" s="2" t="s">
        <v>217</v>
      </c>
      <c r="N148" s="2" t="s">
        <v>181</v>
      </c>
      <c r="O148" s="2">
        <v>100</v>
      </c>
      <c r="P148" s="2">
        <v>9058.5751953125</v>
      </c>
      <c r="Q148" s="2">
        <v>11611.3916015625</v>
      </c>
      <c r="R148" s="2">
        <f t="shared" si="24"/>
        <v>905857.51953125</v>
      </c>
      <c r="S148" s="2">
        <f t="shared" si="25"/>
        <v>1161139.16015625</v>
      </c>
      <c r="T148" s="2">
        <f t="shared" si="26"/>
        <v>2066996.6796875</v>
      </c>
      <c r="U148" s="2">
        <f t="shared" si="27"/>
        <v>1033.5</v>
      </c>
      <c r="V148" s="2">
        <f t="shared" si="28"/>
        <v>255281.640625</v>
      </c>
      <c r="W148" s="2">
        <f t="shared" si="29"/>
        <v>254248.140625</v>
      </c>
      <c r="X148" s="2">
        <f t="shared" si="30"/>
        <v>44918270.135837384</v>
      </c>
      <c r="Y148" s="2">
        <f t="shared" si="31"/>
        <v>181171.5</v>
      </c>
      <c r="Z148" s="2">
        <f t="shared" si="32"/>
        <v>140.34</v>
      </c>
      <c r="AA148" s="2">
        <f t="shared" si="35"/>
        <v>44918270.135837384</v>
      </c>
      <c r="AB148" s="2">
        <f t="shared" si="33"/>
        <v>0</v>
      </c>
    </row>
    <row r="149" spans="1:28">
      <c r="A149" s="2">
        <v>146</v>
      </c>
      <c r="B149" s="2" t="s">
        <v>701</v>
      </c>
      <c r="C149" s="2" t="s">
        <v>36</v>
      </c>
      <c r="D149" s="3" t="s">
        <v>37</v>
      </c>
      <c r="E149" s="5" t="s">
        <v>134</v>
      </c>
      <c r="F149" s="2" t="s">
        <v>135</v>
      </c>
      <c r="G149" s="2" t="s">
        <v>77</v>
      </c>
      <c r="H149" s="2" t="s">
        <v>702</v>
      </c>
      <c r="I149" s="2" t="s">
        <v>607</v>
      </c>
      <c r="J149" s="2" t="s">
        <v>703</v>
      </c>
      <c r="K149" s="2">
        <f t="shared" si="34"/>
        <v>44918270.135837384</v>
      </c>
      <c r="L149" s="2" t="s">
        <v>148</v>
      </c>
      <c r="M149" s="2" t="s">
        <v>264</v>
      </c>
      <c r="N149" s="2" t="s">
        <v>704</v>
      </c>
      <c r="O149" s="2">
        <v>2188</v>
      </c>
      <c r="P149" s="2">
        <v>387.69268798828131</v>
      </c>
      <c r="Q149" s="2">
        <v>387.50143432617187</v>
      </c>
      <c r="R149" s="2">
        <f t="shared" si="24"/>
        <v>848271.60131835949</v>
      </c>
      <c r="S149" s="2">
        <f t="shared" si="25"/>
        <v>847853.13830566406</v>
      </c>
      <c r="T149" s="2">
        <f t="shared" si="26"/>
        <v>1696124.7396240234</v>
      </c>
      <c r="U149" s="2">
        <f t="shared" si="27"/>
        <v>848.06</v>
      </c>
      <c r="V149" s="2">
        <f t="shared" si="28"/>
        <v>-418.46301269542892</v>
      </c>
      <c r="W149" s="2">
        <f t="shared" si="29"/>
        <v>-1266.5230126954289</v>
      </c>
      <c r="X149" s="2">
        <f t="shared" si="30"/>
        <v>44917003.612824686</v>
      </c>
      <c r="Y149" s="2">
        <f t="shared" si="31"/>
        <v>169654.32</v>
      </c>
      <c r="Z149" s="2">
        <f t="shared" si="32"/>
        <v>-0.75</v>
      </c>
      <c r="AA149" s="2">
        <f t="shared" si="35"/>
        <v>44918270.135837384</v>
      </c>
      <c r="AB149" s="2">
        <f t="shared" si="33"/>
        <v>-1266.5230126976967</v>
      </c>
    </row>
    <row r="150" spans="1:28">
      <c r="A150" s="2">
        <v>147</v>
      </c>
      <c r="B150" s="2" t="s">
        <v>705</v>
      </c>
      <c r="C150" s="2" t="s">
        <v>36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634</v>
      </c>
      <c r="J150" s="2" t="s">
        <v>707</v>
      </c>
      <c r="K150" s="2">
        <f t="shared" si="34"/>
        <v>44917003.612824686</v>
      </c>
      <c r="L150" s="2" t="s">
        <v>182</v>
      </c>
      <c r="M150" s="2" t="s">
        <v>147</v>
      </c>
      <c r="N150" s="2" t="s">
        <v>73</v>
      </c>
      <c r="O150" s="2">
        <v>3750</v>
      </c>
      <c r="P150" s="2">
        <v>238.25454711914071</v>
      </c>
      <c r="Q150" s="2">
        <v>244.6724853515625</v>
      </c>
      <c r="R150" s="2">
        <f t="shared" si="24"/>
        <v>893454.55169677769</v>
      </c>
      <c r="S150" s="2">
        <f t="shared" si="25"/>
        <v>917521.82006835938</v>
      </c>
      <c r="T150" s="2">
        <f t="shared" si="26"/>
        <v>1810976.3717651372</v>
      </c>
      <c r="U150" s="2">
        <f t="shared" si="27"/>
        <v>905.49</v>
      </c>
      <c r="V150" s="2">
        <f t="shared" si="28"/>
        <v>24067.268371581682</v>
      </c>
      <c r="W150" s="2">
        <f t="shared" si="29"/>
        <v>23161.77837158168</v>
      </c>
      <c r="X150" s="2">
        <f t="shared" si="30"/>
        <v>44940165.391196266</v>
      </c>
      <c r="Y150" s="2">
        <f t="shared" si="31"/>
        <v>178690.91</v>
      </c>
      <c r="Z150" s="2">
        <f t="shared" si="32"/>
        <v>12.96</v>
      </c>
      <c r="AA150" s="2">
        <f t="shared" si="35"/>
        <v>44940165.391196266</v>
      </c>
      <c r="AB150" s="2">
        <f t="shared" si="33"/>
        <v>0</v>
      </c>
    </row>
    <row r="151" spans="1:28">
      <c r="A151" s="2">
        <v>148</v>
      </c>
      <c r="B151" s="2" t="s">
        <v>708</v>
      </c>
      <c r="C151" s="2" t="s">
        <v>36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2" t="s">
        <v>579</v>
      </c>
      <c r="I151" s="2" t="s">
        <v>642</v>
      </c>
      <c r="J151" s="2" t="s">
        <v>709</v>
      </c>
      <c r="K151" s="2">
        <f t="shared" si="34"/>
        <v>44940165.391196266</v>
      </c>
      <c r="L151" s="2" t="s">
        <v>167</v>
      </c>
      <c r="M151" s="2" t="s">
        <v>147</v>
      </c>
      <c r="N151" s="2" t="s">
        <v>88</v>
      </c>
      <c r="O151" s="2">
        <v>100</v>
      </c>
      <c r="P151" s="2">
        <v>43950</v>
      </c>
      <c r="Q151" s="2">
        <v>46321.599999999999</v>
      </c>
      <c r="R151" s="2">
        <f t="shared" si="24"/>
        <v>4395000</v>
      </c>
      <c r="S151" s="2">
        <f t="shared" si="25"/>
        <v>4632160</v>
      </c>
      <c r="T151" s="2">
        <f t="shared" si="26"/>
        <v>9027160</v>
      </c>
      <c r="U151" s="2">
        <f t="shared" si="27"/>
        <v>4513.58</v>
      </c>
      <c r="V151" s="2">
        <f t="shared" si="28"/>
        <v>237160</v>
      </c>
      <c r="W151" s="2">
        <f t="shared" si="29"/>
        <v>232646.42</v>
      </c>
      <c r="X151" s="2">
        <f t="shared" si="30"/>
        <v>45172811.811196268</v>
      </c>
      <c r="Y151" s="2">
        <f t="shared" si="31"/>
        <v>879000</v>
      </c>
      <c r="Z151" s="2">
        <f t="shared" si="32"/>
        <v>26.47</v>
      </c>
      <c r="AA151" s="2">
        <f t="shared" si="35"/>
        <v>45172811.811196268</v>
      </c>
      <c r="AB151" s="2">
        <f t="shared" si="33"/>
        <v>0</v>
      </c>
    </row>
    <row r="152" spans="1:28">
      <c r="A152" s="2">
        <v>149</v>
      </c>
      <c r="B152" s="2" t="s">
        <v>710</v>
      </c>
      <c r="C152" s="2" t="s">
        <v>36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2" t="s">
        <v>711</v>
      </c>
      <c r="I152" s="2" t="s">
        <v>712</v>
      </c>
      <c r="J152" s="2" t="s">
        <v>713</v>
      </c>
      <c r="K152" s="2">
        <f t="shared" si="34"/>
        <v>45172811.811196268</v>
      </c>
      <c r="L152" s="2" t="s">
        <v>74</v>
      </c>
      <c r="M152" s="2" t="s">
        <v>131</v>
      </c>
      <c r="N152" s="2" t="s">
        <v>264</v>
      </c>
      <c r="O152" s="2">
        <v>2806</v>
      </c>
      <c r="P152" s="2">
        <v>603.77410888671875</v>
      </c>
      <c r="Q152" s="2">
        <v>595.32379150390625</v>
      </c>
      <c r="R152" s="2">
        <f t="shared" si="24"/>
        <v>1694190.1495361328</v>
      </c>
      <c r="S152" s="2">
        <f t="shared" si="25"/>
        <v>1670478.5589599609</v>
      </c>
      <c r="T152" s="2">
        <f t="shared" si="26"/>
        <v>3364668.7084960937</v>
      </c>
      <c r="U152" s="2">
        <f t="shared" si="27"/>
        <v>1682.33</v>
      </c>
      <c r="V152" s="2">
        <f t="shared" si="28"/>
        <v>-23711.590576171875</v>
      </c>
      <c r="W152" s="2">
        <f t="shared" si="29"/>
        <v>-25393.920576171877</v>
      </c>
      <c r="X152" s="2">
        <f t="shared" si="30"/>
        <v>45147417.890620098</v>
      </c>
      <c r="Y152" s="2">
        <f t="shared" si="31"/>
        <v>338838.03</v>
      </c>
      <c r="Z152" s="2">
        <f t="shared" si="32"/>
        <v>-7.49</v>
      </c>
      <c r="AA152" s="2">
        <f t="shared" si="35"/>
        <v>45172811.811196268</v>
      </c>
      <c r="AB152" s="2">
        <f t="shared" si="33"/>
        <v>-25393.920576170087</v>
      </c>
    </row>
    <row r="153" spans="1:28">
      <c r="A153" s="2">
        <v>150</v>
      </c>
      <c r="B153" s="2" t="s">
        <v>714</v>
      </c>
      <c r="C153" s="2" t="s">
        <v>36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2" t="s">
        <v>715</v>
      </c>
      <c r="I153" s="2" t="s">
        <v>716</v>
      </c>
      <c r="J153" s="2" t="s">
        <v>717</v>
      </c>
      <c r="K153" s="2">
        <f t="shared" si="34"/>
        <v>45147417.890620098</v>
      </c>
      <c r="L153" s="2" t="s">
        <v>165</v>
      </c>
      <c r="M153" s="2" t="s">
        <v>167</v>
      </c>
      <c r="N153" s="2" t="s">
        <v>153</v>
      </c>
      <c r="O153" s="2">
        <v>750</v>
      </c>
      <c r="P153" s="2">
        <v>807.45001220703125</v>
      </c>
      <c r="Q153" s="2">
        <v>817.9000244140625</v>
      </c>
      <c r="R153" s="2">
        <f t="shared" si="24"/>
        <v>605587.50915527344</v>
      </c>
      <c r="S153" s="2">
        <f t="shared" si="25"/>
        <v>613425.01831054688</v>
      </c>
      <c r="T153" s="2">
        <f t="shared" si="26"/>
        <v>1219012.5274658203</v>
      </c>
      <c r="U153" s="2">
        <f t="shared" si="27"/>
        <v>609.51</v>
      </c>
      <c r="V153" s="2">
        <f t="shared" si="28"/>
        <v>7837.5091552734375</v>
      </c>
      <c r="W153" s="2">
        <f t="shared" si="29"/>
        <v>7227.9991552734373</v>
      </c>
      <c r="X153" s="2">
        <f t="shared" si="30"/>
        <v>45154645.889775373</v>
      </c>
      <c r="Y153" s="2">
        <f t="shared" si="31"/>
        <v>121117.5</v>
      </c>
      <c r="Z153" s="2">
        <f t="shared" si="32"/>
        <v>5.97</v>
      </c>
      <c r="AA153" s="2">
        <f t="shared" si="35"/>
        <v>45172811.811196268</v>
      </c>
      <c r="AB153" s="2">
        <f t="shared" si="33"/>
        <v>-18165.921420894563</v>
      </c>
    </row>
    <row r="154" spans="1:28">
      <c r="A154" s="2">
        <v>151</v>
      </c>
      <c r="B154" s="2" t="s">
        <v>718</v>
      </c>
      <c r="C154" s="2" t="s">
        <v>36</v>
      </c>
      <c r="D154" s="3" t="s">
        <v>37</v>
      </c>
      <c r="E154" s="5" t="s">
        <v>134</v>
      </c>
      <c r="F154" s="2" t="s">
        <v>135</v>
      </c>
      <c r="G154" s="2" t="s">
        <v>40</v>
      </c>
      <c r="H154" s="2" t="s">
        <v>691</v>
      </c>
      <c r="I154" s="2" t="s">
        <v>130</v>
      </c>
      <c r="J154" s="2" t="s">
        <v>719</v>
      </c>
      <c r="K154" s="2">
        <f t="shared" si="34"/>
        <v>45154645.889775373</v>
      </c>
      <c r="L154" s="2" t="s">
        <v>345</v>
      </c>
      <c r="M154" s="2" t="s">
        <v>204</v>
      </c>
      <c r="N154" s="2" t="s">
        <v>87</v>
      </c>
      <c r="O154" s="2">
        <v>181</v>
      </c>
      <c r="P154" s="2">
        <v>5925.576171875</v>
      </c>
      <c r="Q154" s="2">
        <v>5833.68310546875</v>
      </c>
      <c r="R154" s="2">
        <f t="shared" si="24"/>
        <v>1072529.287109375</v>
      </c>
      <c r="S154" s="2">
        <f t="shared" si="25"/>
        <v>1055896.6420898438</v>
      </c>
      <c r="T154" s="2">
        <f t="shared" si="26"/>
        <v>2128425.9291992187</v>
      </c>
      <c r="U154" s="2">
        <f t="shared" si="27"/>
        <v>1064.21</v>
      </c>
      <c r="V154" s="2">
        <f t="shared" si="28"/>
        <v>-16632.64501953125</v>
      </c>
      <c r="W154" s="2">
        <f t="shared" si="29"/>
        <v>-17696.855019531249</v>
      </c>
      <c r="X154" s="2">
        <f t="shared" si="30"/>
        <v>45136949.034755841</v>
      </c>
      <c r="Y154" s="2">
        <f t="shared" si="31"/>
        <v>214505.86</v>
      </c>
      <c r="Z154" s="2">
        <f t="shared" si="32"/>
        <v>-8.25</v>
      </c>
      <c r="AA154" s="2">
        <f t="shared" si="35"/>
        <v>45172811.811196268</v>
      </c>
      <c r="AB154" s="2">
        <f t="shared" si="33"/>
        <v>-35862.776440426707</v>
      </c>
    </row>
    <row r="155" spans="1:28">
      <c r="A155" s="2">
        <v>152</v>
      </c>
      <c r="B155" s="2" t="s">
        <v>720</v>
      </c>
      <c r="C155" s="2" t="s">
        <v>36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2" t="s">
        <v>320</v>
      </c>
      <c r="I155" s="2" t="s">
        <v>721</v>
      </c>
      <c r="J155" s="2" t="s">
        <v>722</v>
      </c>
      <c r="K155" s="2">
        <f t="shared" si="34"/>
        <v>45136949.034755841</v>
      </c>
      <c r="L155" s="2" t="s">
        <v>217</v>
      </c>
      <c r="M155" s="2" t="s">
        <v>173</v>
      </c>
      <c r="N155" s="2" t="s">
        <v>204</v>
      </c>
      <c r="O155" s="2">
        <v>3585</v>
      </c>
      <c r="P155" s="2">
        <v>294.64892578125</v>
      </c>
      <c r="Q155" s="2">
        <v>310.48818969726562</v>
      </c>
      <c r="R155" s="2">
        <f t="shared" si="24"/>
        <v>1056316.3989257812</v>
      </c>
      <c r="S155" s="2">
        <f t="shared" si="25"/>
        <v>1113100.1600646973</v>
      </c>
      <c r="T155" s="2">
        <f t="shared" si="26"/>
        <v>2169416.5589904785</v>
      </c>
      <c r="U155" s="2">
        <f t="shared" si="27"/>
        <v>1084.71</v>
      </c>
      <c r="V155" s="2">
        <f t="shared" si="28"/>
        <v>56783.761138916016</v>
      </c>
      <c r="W155" s="2">
        <f t="shared" si="29"/>
        <v>55699.051138916016</v>
      </c>
      <c r="X155" s="2">
        <f t="shared" si="30"/>
        <v>45192648.085894756</v>
      </c>
      <c r="Y155" s="2">
        <f t="shared" si="31"/>
        <v>211263.28</v>
      </c>
      <c r="Z155" s="2">
        <f t="shared" si="32"/>
        <v>26.36</v>
      </c>
      <c r="AA155" s="2">
        <f t="shared" si="35"/>
        <v>45192648.085894756</v>
      </c>
      <c r="AB155" s="2">
        <f t="shared" si="33"/>
        <v>0</v>
      </c>
    </row>
    <row r="156" spans="1:28">
      <c r="A156" s="2">
        <v>153</v>
      </c>
      <c r="B156" s="2" t="s">
        <v>723</v>
      </c>
      <c r="C156" s="2" t="s">
        <v>36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2" t="s">
        <v>724</v>
      </c>
      <c r="I156" s="2" t="s">
        <v>725</v>
      </c>
      <c r="J156" s="2" t="s">
        <v>726</v>
      </c>
      <c r="K156" s="2">
        <f t="shared" si="34"/>
        <v>45192648.085894756</v>
      </c>
      <c r="L156" s="2" t="s">
        <v>173</v>
      </c>
      <c r="M156" s="2" t="s">
        <v>132</v>
      </c>
      <c r="N156" s="2" t="s">
        <v>140</v>
      </c>
      <c r="O156" s="2">
        <v>2346</v>
      </c>
      <c r="P156" s="2">
        <v>353.61236572265619</v>
      </c>
      <c r="Q156" s="2">
        <v>380.49822998046881</v>
      </c>
      <c r="R156" s="2">
        <f t="shared" si="24"/>
        <v>829574.60998535145</v>
      </c>
      <c r="S156" s="2">
        <f t="shared" si="25"/>
        <v>892648.8475341798</v>
      </c>
      <c r="T156" s="2">
        <f t="shared" si="26"/>
        <v>1722223.4575195312</v>
      </c>
      <c r="U156" s="2">
        <f t="shared" si="27"/>
        <v>861.11</v>
      </c>
      <c r="V156" s="2">
        <f t="shared" si="28"/>
        <v>63074.237548828358</v>
      </c>
      <c r="W156" s="2">
        <f t="shared" si="29"/>
        <v>62213.127548828357</v>
      </c>
      <c r="X156" s="2">
        <f t="shared" si="30"/>
        <v>45254861.213443585</v>
      </c>
      <c r="Y156" s="2">
        <f t="shared" si="31"/>
        <v>165914.92000000001</v>
      </c>
      <c r="Z156" s="2">
        <f t="shared" si="32"/>
        <v>37.5</v>
      </c>
      <c r="AA156" s="2">
        <f t="shared" si="35"/>
        <v>45254861.213443585</v>
      </c>
      <c r="AB156" s="2">
        <f t="shared" si="33"/>
        <v>0</v>
      </c>
    </row>
    <row r="157" spans="1:28">
      <c r="A157" s="2">
        <v>154</v>
      </c>
      <c r="B157" s="2" t="s">
        <v>727</v>
      </c>
      <c r="C157" s="2" t="s">
        <v>36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2" t="s">
        <v>728</v>
      </c>
      <c r="I157" s="2" t="s">
        <v>641</v>
      </c>
      <c r="J157" s="2" t="s">
        <v>92</v>
      </c>
      <c r="K157" s="2">
        <f t="shared" si="34"/>
        <v>45254861.213443585</v>
      </c>
      <c r="L157" s="2" t="s">
        <v>73</v>
      </c>
      <c r="M157" s="2" t="s">
        <v>174</v>
      </c>
      <c r="N157" s="2" t="s">
        <v>147</v>
      </c>
      <c r="O157" s="2">
        <v>1631</v>
      </c>
      <c r="P157" s="2">
        <v>782.15521240234375</v>
      </c>
      <c r="Q157" s="2">
        <v>863.219482421875</v>
      </c>
      <c r="R157" s="2">
        <f t="shared" si="24"/>
        <v>1275695.1514282227</v>
      </c>
      <c r="S157" s="2">
        <f t="shared" si="25"/>
        <v>1407910.9758300781</v>
      </c>
      <c r="T157" s="2">
        <f t="shared" si="26"/>
        <v>2683606.1272583008</v>
      </c>
      <c r="U157" s="2">
        <f t="shared" si="27"/>
        <v>1341.8</v>
      </c>
      <c r="V157" s="2">
        <f t="shared" si="28"/>
        <v>132215.82440185547</v>
      </c>
      <c r="W157" s="2">
        <f t="shared" si="29"/>
        <v>130874.02440185547</v>
      </c>
      <c r="X157" s="2">
        <f t="shared" si="30"/>
        <v>45385735.237845443</v>
      </c>
      <c r="Y157" s="2">
        <f t="shared" si="31"/>
        <v>255139.03</v>
      </c>
      <c r="Z157" s="2">
        <f t="shared" si="32"/>
        <v>51.3</v>
      </c>
      <c r="AA157" s="2">
        <f t="shared" si="35"/>
        <v>45385735.237845443</v>
      </c>
      <c r="AB157" s="2">
        <f t="shared" si="33"/>
        <v>0</v>
      </c>
    </row>
    <row r="158" spans="1:28">
      <c r="A158" s="2">
        <v>155</v>
      </c>
      <c r="B158" s="2" t="s">
        <v>729</v>
      </c>
      <c r="C158" s="2" t="s">
        <v>36</v>
      </c>
      <c r="D158" s="4" t="s">
        <v>61</v>
      </c>
      <c r="E158" s="5" t="s">
        <v>134</v>
      </c>
      <c r="F158" s="2" t="s">
        <v>135</v>
      </c>
      <c r="G158" s="2" t="s">
        <v>54</v>
      </c>
      <c r="H158" s="2" t="s">
        <v>104</v>
      </c>
      <c r="I158" s="2" t="s">
        <v>730</v>
      </c>
      <c r="J158" s="2" t="s">
        <v>731</v>
      </c>
      <c r="K158" s="2">
        <f t="shared" si="34"/>
        <v>45385735.237845443</v>
      </c>
      <c r="L158" s="2" t="s">
        <v>204</v>
      </c>
      <c r="M158" s="2" t="s">
        <v>88</v>
      </c>
      <c r="N158" s="2" t="s">
        <v>73</v>
      </c>
      <c r="O158" s="2">
        <v>529</v>
      </c>
      <c r="P158" s="2">
        <v>1697.275756835938</v>
      </c>
      <c r="Q158" s="2">
        <v>1511.873413085938</v>
      </c>
      <c r="R158" s="2">
        <f t="shared" si="24"/>
        <v>897858.87536621117</v>
      </c>
      <c r="S158" s="2">
        <f t="shared" si="25"/>
        <v>799781.03552246117</v>
      </c>
      <c r="T158" s="2">
        <f t="shared" si="26"/>
        <v>1697639.9108886723</v>
      </c>
      <c r="U158" s="2">
        <f t="shared" si="27"/>
        <v>848.82</v>
      </c>
      <c r="V158" s="2">
        <f t="shared" si="28"/>
        <v>-98077.83984375</v>
      </c>
      <c r="W158" s="2">
        <f t="shared" si="29"/>
        <v>-98926.659843750007</v>
      </c>
      <c r="X158" s="2">
        <f t="shared" si="30"/>
        <v>45286808.578001693</v>
      </c>
      <c r="Y158" s="2">
        <f t="shared" si="31"/>
        <v>179571.78</v>
      </c>
      <c r="Z158" s="2">
        <f t="shared" si="32"/>
        <v>-55.09</v>
      </c>
      <c r="AA158" s="2">
        <f t="shared" si="35"/>
        <v>45385735.237845443</v>
      </c>
      <c r="AB158" s="2">
        <f t="shared" si="33"/>
        <v>-98926.659843750298</v>
      </c>
    </row>
    <row r="159" spans="1:28">
      <c r="A159" s="2">
        <v>156</v>
      </c>
      <c r="B159" s="2" t="s">
        <v>732</v>
      </c>
      <c r="C159" s="2" t="s">
        <v>36</v>
      </c>
      <c r="D159" s="3" t="s">
        <v>37</v>
      </c>
      <c r="E159" s="5" t="s">
        <v>134</v>
      </c>
      <c r="F159" s="2" t="s">
        <v>135</v>
      </c>
      <c r="G159" s="2" t="s">
        <v>77</v>
      </c>
      <c r="H159" s="2" t="s">
        <v>733</v>
      </c>
      <c r="I159" s="2" t="s">
        <v>734</v>
      </c>
      <c r="J159" s="2" t="s">
        <v>735</v>
      </c>
      <c r="K159" s="2">
        <f t="shared" si="34"/>
        <v>45286808.578001693</v>
      </c>
      <c r="L159" s="2" t="s">
        <v>153</v>
      </c>
      <c r="M159" s="2" t="s">
        <v>167</v>
      </c>
      <c r="N159" s="2" t="s">
        <v>182</v>
      </c>
      <c r="O159" s="2">
        <v>613</v>
      </c>
      <c r="P159" s="2">
        <v>1374.477416992188</v>
      </c>
      <c r="Q159" s="2">
        <v>1407.41259765625</v>
      </c>
      <c r="R159" s="2">
        <f t="shared" si="24"/>
        <v>842554.65661621117</v>
      </c>
      <c r="S159" s="2">
        <f t="shared" si="25"/>
        <v>862743.92236328125</v>
      </c>
      <c r="T159" s="2">
        <f t="shared" si="26"/>
        <v>1705298.5789794924</v>
      </c>
      <c r="U159" s="2">
        <f t="shared" si="27"/>
        <v>852.65</v>
      </c>
      <c r="V159" s="2">
        <f t="shared" si="28"/>
        <v>20189.26574707008</v>
      </c>
      <c r="W159" s="2">
        <f t="shared" si="29"/>
        <v>19336.615747070078</v>
      </c>
      <c r="X159" s="2">
        <f t="shared" si="30"/>
        <v>45306145.193748765</v>
      </c>
      <c r="Y159" s="2">
        <f t="shared" si="31"/>
        <v>168510.93</v>
      </c>
      <c r="Z159" s="2">
        <f t="shared" si="32"/>
        <v>11.47</v>
      </c>
      <c r="AA159" s="2">
        <f t="shared" si="35"/>
        <v>45385735.237845443</v>
      </c>
      <c r="AB159" s="2">
        <f t="shared" si="33"/>
        <v>-79590.044096678495</v>
      </c>
    </row>
    <row r="160" spans="1:28">
      <c r="A160" s="2">
        <v>157</v>
      </c>
      <c r="B160" s="2" t="s">
        <v>736</v>
      </c>
      <c r="C160" s="2" t="s">
        <v>36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2" t="s">
        <v>676</v>
      </c>
      <c r="I160" s="2" t="s">
        <v>737</v>
      </c>
      <c r="J160" s="2" t="s">
        <v>671</v>
      </c>
      <c r="K160" s="2">
        <f t="shared" si="34"/>
        <v>45306145.193748765</v>
      </c>
      <c r="L160" s="2" t="s">
        <v>89</v>
      </c>
      <c r="M160" s="2" t="s">
        <v>264</v>
      </c>
      <c r="N160" s="2" t="s">
        <v>174</v>
      </c>
      <c r="O160" s="2">
        <v>360</v>
      </c>
      <c r="P160" s="2">
        <v>3436.080322265625</v>
      </c>
      <c r="Q160" s="2">
        <v>3503.279052734375</v>
      </c>
      <c r="R160" s="2">
        <f t="shared" si="24"/>
        <v>1236988.916015625</v>
      </c>
      <c r="S160" s="2">
        <f t="shared" si="25"/>
        <v>1261180.458984375</v>
      </c>
      <c r="T160" s="2">
        <f t="shared" si="26"/>
        <v>2498169.375</v>
      </c>
      <c r="U160" s="2">
        <f t="shared" si="27"/>
        <v>1249.08</v>
      </c>
      <c r="V160" s="2">
        <f t="shared" si="28"/>
        <v>24191.54296875</v>
      </c>
      <c r="W160" s="2">
        <f t="shared" si="29"/>
        <v>22942.462968749998</v>
      </c>
      <c r="X160" s="2">
        <f t="shared" si="30"/>
        <v>45329087.656717516</v>
      </c>
      <c r="Y160" s="2">
        <f t="shared" si="31"/>
        <v>247397.78</v>
      </c>
      <c r="Z160" s="2">
        <f t="shared" si="32"/>
        <v>9.27</v>
      </c>
      <c r="AA160" s="2">
        <f t="shared" si="35"/>
        <v>45385735.237845443</v>
      </c>
      <c r="AB160" s="2">
        <f t="shared" si="33"/>
        <v>-56647.581127926707</v>
      </c>
    </row>
    <row r="161" spans="1:28">
      <c r="A161" s="2">
        <v>158</v>
      </c>
      <c r="B161" s="2" t="s">
        <v>738</v>
      </c>
      <c r="C161" s="2" t="s">
        <v>36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2" t="s">
        <v>427</v>
      </c>
      <c r="I161" s="2" t="s">
        <v>739</v>
      </c>
      <c r="J161" s="2" t="s">
        <v>740</v>
      </c>
      <c r="K161" s="2">
        <f t="shared" si="34"/>
        <v>45329087.656717516</v>
      </c>
      <c r="L161" s="2" t="s">
        <v>217</v>
      </c>
      <c r="M161" s="2" t="s">
        <v>173</v>
      </c>
      <c r="N161" s="2" t="s">
        <v>73</v>
      </c>
      <c r="O161" s="2">
        <v>8957</v>
      </c>
      <c r="P161" s="2">
        <v>93.823989868164063</v>
      </c>
      <c r="Q161" s="2">
        <v>94.740036010742202</v>
      </c>
      <c r="R161" s="2">
        <f t="shared" si="24"/>
        <v>840381.47724914551</v>
      </c>
      <c r="S161" s="2">
        <f t="shared" si="25"/>
        <v>848586.50254821789</v>
      </c>
      <c r="T161" s="2">
        <f t="shared" si="26"/>
        <v>1688967.9797973633</v>
      </c>
      <c r="U161" s="2">
        <f t="shared" si="27"/>
        <v>844.48</v>
      </c>
      <c r="V161" s="2">
        <f t="shared" si="28"/>
        <v>8205.025299072382</v>
      </c>
      <c r="W161" s="2">
        <f t="shared" si="29"/>
        <v>7360.5452990723825</v>
      </c>
      <c r="X161" s="2">
        <f t="shared" si="30"/>
        <v>45336448.202016592</v>
      </c>
      <c r="Y161" s="2">
        <f t="shared" si="31"/>
        <v>168076.3</v>
      </c>
      <c r="Z161" s="2">
        <f t="shared" si="32"/>
        <v>4.38</v>
      </c>
      <c r="AA161" s="2">
        <f t="shared" si="35"/>
        <v>45385735.237845443</v>
      </c>
      <c r="AB161" s="2">
        <f t="shared" si="33"/>
        <v>-49287.035828851163</v>
      </c>
    </row>
    <row r="162" spans="1:28">
      <c r="A162" s="2">
        <v>159</v>
      </c>
      <c r="B162" s="2" t="s">
        <v>741</v>
      </c>
      <c r="C162" s="2" t="s">
        <v>36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2" t="s">
        <v>314</v>
      </c>
      <c r="I162" s="2" t="s">
        <v>244</v>
      </c>
      <c r="J162" s="2" t="s">
        <v>742</v>
      </c>
      <c r="K162" s="2">
        <f t="shared" si="34"/>
        <v>45336448.202016592</v>
      </c>
      <c r="L162" s="2" t="s">
        <v>181</v>
      </c>
      <c r="M162" s="2" t="s">
        <v>204</v>
      </c>
      <c r="N162" s="2" t="s">
        <v>87</v>
      </c>
      <c r="O162" s="2">
        <v>967</v>
      </c>
      <c r="P162" s="2">
        <v>838.7757568359375</v>
      </c>
      <c r="Q162" s="2">
        <v>852.25701904296875</v>
      </c>
      <c r="R162" s="2">
        <f t="shared" si="24"/>
        <v>811096.15686035156</v>
      </c>
      <c r="S162" s="2">
        <f t="shared" si="25"/>
        <v>824132.53741455078</v>
      </c>
      <c r="T162" s="2">
        <f t="shared" si="26"/>
        <v>1635228.6942749023</v>
      </c>
      <c r="U162" s="2">
        <f t="shared" si="27"/>
        <v>817.61</v>
      </c>
      <c r="V162" s="2">
        <f t="shared" si="28"/>
        <v>13036.380554199219</v>
      </c>
      <c r="W162" s="2">
        <f t="shared" si="29"/>
        <v>12218.770554199218</v>
      </c>
      <c r="X162" s="2">
        <f t="shared" si="30"/>
        <v>45348666.972570792</v>
      </c>
      <c r="Y162" s="2">
        <f t="shared" si="31"/>
        <v>162219.23000000001</v>
      </c>
      <c r="Z162" s="2">
        <f t="shared" si="32"/>
        <v>7.53</v>
      </c>
      <c r="AA162" s="2">
        <f t="shared" si="35"/>
        <v>45385735.237845443</v>
      </c>
      <c r="AB162" s="2">
        <f t="shared" si="33"/>
        <v>-37068.265274651349</v>
      </c>
    </row>
    <row r="163" spans="1:28">
      <c r="A163" s="2">
        <v>160</v>
      </c>
      <c r="B163" s="2" t="s">
        <v>743</v>
      </c>
      <c r="C163" s="2" t="s">
        <v>36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2" t="s">
        <v>744</v>
      </c>
      <c r="I163" s="2" t="s">
        <v>745</v>
      </c>
      <c r="J163" s="2" t="s">
        <v>569</v>
      </c>
      <c r="K163" s="2">
        <f t="shared" si="34"/>
        <v>45348666.972570792</v>
      </c>
      <c r="L163" s="2" t="s">
        <v>182</v>
      </c>
      <c r="M163" s="2" t="s">
        <v>73</v>
      </c>
      <c r="N163" s="2" t="s">
        <v>89</v>
      </c>
      <c r="O163" s="2">
        <v>627</v>
      </c>
      <c r="P163" s="2">
        <v>1686.800048828125</v>
      </c>
      <c r="Q163" s="2">
        <v>1726.800048828125</v>
      </c>
      <c r="R163" s="2">
        <f t="shared" si="24"/>
        <v>1057623.6306152344</v>
      </c>
      <c r="S163" s="2">
        <f t="shared" si="25"/>
        <v>1082703.6306152344</v>
      </c>
      <c r="T163" s="2">
        <f t="shared" si="26"/>
        <v>2140327.2612304688</v>
      </c>
      <c r="U163" s="2">
        <f t="shared" si="27"/>
        <v>1070.1600000000001</v>
      </c>
      <c r="V163" s="2">
        <f t="shared" si="28"/>
        <v>25080</v>
      </c>
      <c r="W163" s="2">
        <f t="shared" si="29"/>
        <v>24009.84</v>
      </c>
      <c r="X163" s="2">
        <f t="shared" si="30"/>
        <v>45372676.812570795</v>
      </c>
      <c r="Y163" s="2">
        <f t="shared" si="31"/>
        <v>211524.73</v>
      </c>
      <c r="Z163" s="2">
        <f t="shared" si="32"/>
        <v>11.35</v>
      </c>
      <c r="AA163" s="2">
        <f t="shared" si="35"/>
        <v>45385735.237845443</v>
      </c>
      <c r="AB163" s="2">
        <f t="shared" si="33"/>
        <v>-13058.425274647772</v>
      </c>
    </row>
    <row r="164" spans="1:28">
      <c r="A164" s="2">
        <v>161</v>
      </c>
      <c r="B164" s="2" t="s">
        <v>746</v>
      </c>
      <c r="C164" s="2" t="s">
        <v>36</v>
      </c>
      <c r="D164" s="4" t="s">
        <v>61</v>
      </c>
      <c r="E164" s="5" t="s">
        <v>134</v>
      </c>
      <c r="F164" s="2" t="s">
        <v>135</v>
      </c>
      <c r="G164" s="2" t="s">
        <v>77</v>
      </c>
      <c r="H164" s="2" t="s">
        <v>747</v>
      </c>
      <c r="I164" s="2" t="s">
        <v>748</v>
      </c>
      <c r="J164" s="2" t="s">
        <v>749</v>
      </c>
      <c r="K164" s="2">
        <f t="shared" si="34"/>
        <v>45372676.812570795</v>
      </c>
      <c r="L164" s="2" t="s">
        <v>251</v>
      </c>
      <c r="M164" s="2" t="s">
        <v>182</v>
      </c>
      <c r="N164" s="2" t="s">
        <v>87</v>
      </c>
      <c r="O164" s="2">
        <v>112</v>
      </c>
      <c r="P164" s="2">
        <v>6186.759765625</v>
      </c>
      <c r="Q164" s="2">
        <v>6710.1337890625</v>
      </c>
      <c r="R164" s="2">
        <f t="shared" si="24"/>
        <v>692917.09375</v>
      </c>
      <c r="S164" s="2">
        <f t="shared" si="25"/>
        <v>751534.984375</v>
      </c>
      <c r="T164" s="2">
        <f t="shared" si="26"/>
        <v>1444452.078125</v>
      </c>
      <c r="U164" s="2">
        <f t="shared" si="27"/>
        <v>722.23</v>
      </c>
      <c r="V164" s="2">
        <f t="shared" si="28"/>
        <v>58617.890625</v>
      </c>
      <c r="W164" s="2">
        <f t="shared" si="29"/>
        <v>57895.660624999997</v>
      </c>
      <c r="X164" s="2">
        <f t="shared" si="30"/>
        <v>45430572.473195799</v>
      </c>
      <c r="Y164" s="2">
        <f t="shared" si="31"/>
        <v>138583.42000000001</v>
      </c>
      <c r="Z164" s="2">
        <f t="shared" si="32"/>
        <v>41.78</v>
      </c>
      <c r="AA164" s="2">
        <f t="shared" si="35"/>
        <v>45430572.473195799</v>
      </c>
      <c r="AB164" s="2">
        <f t="shared" si="33"/>
        <v>0</v>
      </c>
    </row>
    <row r="165" spans="1:28">
      <c r="A165" s="2">
        <v>162</v>
      </c>
      <c r="B165" s="2" t="s">
        <v>750</v>
      </c>
      <c r="C165" s="2" t="s">
        <v>36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752</v>
      </c>
      <c r="J165" s="2" t="s">
        <v>753</v>
      </c>
      <c r="K165" s="2">
        <f t="shared" si="34"/>
        <v>45430572.473195799</v>
      </c>
      <c r="L165" s="2" t="s">
        <v>74</v>
      </c>
      <c r="M165" s="2" t="s">
        <v>131</v>
      </c>
      <c r="N165" s="2" t="s">
        <v>148</v>
      </c>
      <c r="O165" s="2">
        <v>1800</v>
      </c>
      <c r="P165" s="2">
        <v>253.17539978027341</v>
      </c>
      <c r="Q165" s="2">
        <v>271.64120483398437</v>
      </c>
      <c r="R165" s="2">
        <f t="shared" si="24"/>
        <v>455715.71960449213</v>
      </c>
      <c r="S165" s="2">
        <f t="shared" si="25"/>
        <v>488954.16870117188</v>
      </c>
      <c r="T165" s="2">
        <f t="shared" si="26"/>
        <v>944669.88830566406</v>
      </c>
      <c r="U165" s="2">
        <f t="shared" si="27"/>
        <v>472.33</v>
      </c>
      <c r="V165" s="2">
        <f t="shared" si="28"/>
        <v>33238.449096679746</v>
      </c>
      <c r="W165" s="2">
        <f t="shared" si="29"/>
        <v>32766.119096679744</v>
      </c>
      <c r="X165" s="2">
        <f t="shared" si="30"/>
        <v>45463338.59229248</v>
      </c>
      <c r="Y165" s="2">
        <f t="shared" si="31"/>
        <v>91143.14</v>
      </c>
      <c r="Z165" s="2">
        <f t="shared" si="32"/>
        <v>35.950000000000003</v>
      </c>
      <c r="AA165" s="2">
        <f t="shared" si="35"/>
        <v>45463338.59229248</v>
      </c>
      <c r="AB165" s="2">
        <f t="shared" si="33"/>
        <v>0</v>
      </c>
    </row>
    <row r="166" spans="1:28">
      <c r="A166" s="2">
        <v>163</v>
      </c>
      <c r="B166" s="2" t="s">
        <v>754</v>
      </c>
      <c r="C166" s="2" t="s">
        <v>36</v>
      </c>
      <c r="D166" s="4" t="s">
        <v>61</v>
      </c>
      <c r="E166" s="5" t="s">
        <v>134</v>
      </c>
      <c r="F166" s="2" t="s">
        <v>135</v>
      </c>
      <c r="G166" s="2" t="s">
        <v>97</v>
      </c>
      <c r="H166" s="2" t="s">
        <v>755</v>
      </c>
      <c r="I166" s="2" t="s">
        <v>755</v>
      </c>
      <c r="J166" s="2" t="s">
        <v>42</v>
      </c>
      <c r="K166" s="2">
        <f t="shared" si="34"/>
        <v>45463338.59229248</v>
      </c>
      <c r="L166" s="2" t="s">
        <v>756</v>
      </c>
      <c r="M166" s="2" t="s">
        <v>757</v>
      </c>
      <c r="N166" s="2" t="s">
        <v>189</v>
      </c>
      <c r="O166" s="2">
        <v>100</v>
      </c>
      <c r="P166" s="2">
        <v>18220</v>
      </c>
      <c r="Q166" s="2">
        <v>18225</v>
      </c>
      <c r="R166" s="2">
        <f t="shared" si="24"/>
        <v>1822000</v>
      </c>
      <c r="S166" s="2">
        <f t="shared" si="25"/>
        <v>1822500</v>
      </c>
      <c r="T166" s="2">
        <f t="shared" si="26"/>
        <v>3644500</v>
      </c>
      <c r="U166" s="2">
        <f t="shared" si="27"/>
        <v>1822.25</v>
      </c>
      <c r="V166" s="2">
        <f t="shared" si="28"/>
        <v>500</v>
      </c>
      <c r="W166" s="2">
        <f t="shared" si="29"/>
        <v>-1322.25</v>
      </c>
      <c r="X166" s="2">
        <f t="shared" si="30"/>
        <v>45462016.34229248</v>
      </c>
      <c r="Y166" s="2">
        <f t="shared" si="31"/>
        <v>364400</v>
      </c>
      <c r="Z166" s="2">
        <f t="shared" si="32"/>
        <v>-0.36</v>
      </c>
      <c r="AA166" s="2">
        <f t="shared" si="35"/>
        <v>45463338.59229248</v>
      </c>
      <c r="AB166" s="2">
        <f t="shared" si="33"/>
        <v>-1322.25</v>
      </c>
    </row>
    <row r="167" spans="1:28">
      <c r="A167" s="2">
        <v>164</v>
      </c>
      <c r="B167" s="2" t="s">
        <v>758</v>
      </c>
      <c r="C167" s="2" t="s">
        <v>36</v>
      </c>
      <c r="D167" s="4" t="s">
        <v>61</v>
      </c>
      <c r="E167" s="5" t="s">
        <v>134</v>
      </c>
      <c r="F167" s="2" t="s">
        <v>456</v>
      </c>
      <c r="G167" s="2" t="s">
        <v>63</v>
      </c>
      <c r="H167" s="2" t="s">
        <v>306</v>
      </c>
      <c r="I167" s="2" t="s">
        <v>759</v>
      </c>
      <c r="J167" s="2" t="s">
        <v>579</v>
      </c>
      <c r="K167" s="2">
        <f t="shared" si="34"/>
        <v>45462016.34229248</v>
      </c>
      <c r="L167" s="2" t="s">
        <v>74</v>
      </c>
      <c r="M167" s="2" t="s">
        <v>88</v>
      </c>
      <c r="N167" s="2" t="s">
        <v>148</v>
      </c>
      <c r="O167" s="2">
        <v>1017</v>
      </c>
      <c r="P167" s="2">
        <v>1018.982727050781</v>
      </c>
      <c r="Q167" s="2">
        <v>1068.285034179688</v>
      </c>
      <c r="R167" s="2">
        <f t="shared" si="24"/>
        <v>1036305.4334106443</v>
      </c>
      <c r="S167" s="2">
        <f t="shared" si="25"/>
        <v>1086445.8797607427</v>
      </c>
      <c r="T167" s="2">
        <f t="shared" si="26"/>
        <v>2122751.3131713867</v>
      </c>
      <c r="U167" s="2">
        <f t="shared" si="27"/>
        <v>1061.3800000000001</v>
      </c>
      <c r="V167" s="2">
        <f t="shared" si="28"/>
        <v>50140.446350098355</v>
      </c>
      <c r="W167" s="2">
        <f t="shared" si="29"/>
        <v>49079.066350098357</v>
      </c>
      <c r="X167" s="2">
        <f t="shared" si="30"/>
        <v>45511095.408642575</v>
      </c>
      <c r="Y167" s="2">
        <f t="shared" si="31"/>
        <v>207261.09</v>
      </c>
      <c r="Z167" s="2">
        <f t="shared" si="32"/>
        <v>23.68</v>
      </c>
      <c r="AA167" s="2">
        <f t="shared" si="35"/>
        <v>45511095.408642575</v>
      </c>
      <c r="AB167" s="2">
        <f t="shared" si="33"/>
        <v>0</v>
      </c>
    </row>
    <row r="168" spans="1:28">
      <c r="A168" s="2">
        <v>165</v>
      </c>
      <c r="B168" s="2" t="s">
        <v>760</v>
      </c>
      <c r="C168" s="2" t="s">
        <v>36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2" t="s">
        <v>196</v>
      </c>
      <c r="I168" s="2" t="s">
        <v>761</v>
      </c>
      <c r="J168" s="2" t="s">
        <v>762</v>
      </c>
      <c r="K168" s="2">
        <f t="shared" si="34"/>
        <v>45511095.408642575</v>
      </c>
      <c r="L168" s="2" t="s">
        <v>167</v>
      </c>
      <c r="M168" s="2" t="s">
        <v>88</v>
      </c>
      <c r="N168" s="2" t="s">
        <v>73</v>
      </c>
      <c r="O168" s="2">
        <v>627</v>
      </c>
      <c r="P168" s="2">
        <v>1377.76416015625</v>
      </c>
      <c r="Q168" s="2">
        <v>1254.206420898438</v>
      </c>
      <c r="R168" s="2">
        <f t="shared" si="24"/>
        <v>863858.12841796875</v>
      </c>
      <c r="S168" s="2">
        <f t="shared" si="25"/>
        <v>786387.42590332055</v>
      </c>
      <c r="T168" s="2">
        <f t="shared" si="26"/>
        <v>1650245.5543212893</v>
      </c>
      <c r="U168" s="2">
        <f t="shared" si="27"/>
        <v>825.12</v>
      </c>
      <c r="V168" s="2">
        <f t="shared" si="28"/>
        <v>-77470.702514648205</v>
      </c>
      <c r="W168" s="2">
        <f t="shared" si="29"/>
        <v>-78295.8225146482</v>
      </c>
      <c r="X168" s="2">
        <f t="shared" si="30"/>
        <v>45432799.586127929</v>
      </c>
      <c r="Y168" s="2">
        <f t="shared" si="31"/>
        <v>172771.63</v>
      </c>
      <c r="Z168" s="2">
        <f t="shared" si="32"/>
        <v>-45.32</v>
      </c>
      <c r="AA168" s="2">
        <f t="shared" si="35"/>
        <v>45511095.408642575</v>
      </c>
      <c r="AB168" s="2">
        <f t="shared" si="33"/>
        <v>-78295.822514645755</v>
      </c>
    </row>
    <row r="169" spans="1:28">
      <c r="A169" s="2">
        <v>166</v>
      </c>
      <c r="B169" s="2" t="s">
        <v>763</v>
      </c>
      <c r="C169" s="2" t="s">
        <v>36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2" t="s">
        <v>198</v>
      </c>
      <c r="I169" s="2" t="s">
        <v>188</v>
      </c>
      <c r="J169" s="2" t="s">
        <v>422</v>
      </c>
      <c r="K169" s="2">
        <f t="shared" si="34"/>
        <v>45432799.586127929</v>
      </c>
      <c r="L169" s="2" t="s">
        <v>251</v>
      </c>
      <c r="M169" s="2" t="s">
        <v>89</v>
      </c>
      <c r="N169" s="2" t="s">
        <v>189</v>
      </c>
      <c r="O169" s="2">
        <v>229</v>
      </c>
      <c r="P169" s="2">
        <v>2190.755126953125</v>
      </c>
      <c r="Q169" s="2">
        <v>2274.39794921875</v>
      </c>
      <c r="R169" s="2">
        <f t="shared" si="24"/>
        <v>501682.92407226563</v>
      </c>
      <c r="S169" s="2">
        <f t="shared" si="25"/>
        <v>520837.13037109375</v>
      </c>
      <c r="T169" s="2">
        <f t="shared" si="26"/>
        <v>1022520.0544433594</v>
      </c>
      <c r="U169" s="2">
        <f t="shared" si="27"/>
        <v>511.26</v>
      </c>
      <c r="V169" s="2">
        <f t="shared" si="28"/>
        <v>19154.206298828125</v>
      </c>
      <c r="W169" s="2">
        <f t="shared" si="29"/>
        <v>18642.946298828127</v>
      </c>
      <c r="X169" s="2">
        <f t="shared" si="30"/>
        <v>45451442.53242676</v>
      </c>
      <c r="Y169" s="2">
        <f t="shared" si="31"/>
        <v>100336.58</v>
      </c>
      <c r="Z169" s="2">
        <f t="shared" si="32"/>
        <v>18.579999999999998</v>
      </c>
      <c r="AA169" s="2">
        <f t="shared" si="35"/>
        <v>45511095.408642575</v>
      </c>
      <c r="AB169" s="2">
        <f t="shared" si="33"/>
        <v>-59652.876215815544</v>
      </c>
    </row>
    <row r="170" spans="1:28">
      <c r="A170" s="2">
        <v>167</v>
      </c>
      <c r="B170" s="2" t="s">
        <v>764</v>
      </c>
      <c r="C170" s="2" t="s">
        <v>36</v>
      </c>
      <c r="D170" s="4" t="s">
        <v>61</v>
      </c>
      <c r="E170" s="5" t="s">
        <v>134</v>
      </c>
      <c r="F170" s="2" t="s">
        <v>135</v>
      </c>
      <c r="G170" s="2" t="s">
        <v>77</v>
      </c>
      <c r="H170" s="2" t="s">
        <v>765</v>
      </c>
      <c r="I170" s="2" t="s">
        <v>766</v>
      </c>
      <c r="J170" s="2" t="s">
        <v>767</v>
      </c>
      <c r="K170" s="2">
        <f t="shared" si="34"/>
        <v>45451442.53242676</v>
      </c>
      <c r="L170" s="2" t="s">
        <v>165</v>
      </c>
      <c r="M170" s="2" t="s">
        <v>153</v>
      </c>
      <c r="N170" s="2" t="s">
        <v>768</v>
      </c>
      <c r="O170" s="2">
        <v>2645</v>
      </c>
      <c r="P170" s="2">
        <v>157.60687255859381</v>
      </c>
      <c r="Q170" s="2">
        <v>153.36231994628909</v>
      </c>
      <c r="R170" s="2">
        <f t="shared" si="24"/>
        <v>416870.17791748064</v>
      </c>
      <c r="S170" s="2">
        <f t="shared" si="25"/>
        <v>405643.33625793463</v>
      </c>
      <c r="T170" s="2">
        <f t="shared" si="26"/>
        <v>822513.51417541527</v>
      </c>
      <c r="U170" s="2">
        <f t="shared" si="27"/>
        <v>411.26</v>
      </c>
      <c r="V170" s="2">
        <f t="shared" si="28"/>
        <v>-11226.841659546015</v>
      </c>
      <c r="W170" s="2">
        <f t="shared" si="29"/>
        <v>-11638.101659546015</v>
      </c>
      <c r="X170" s="2">
        <f t="shared" si="30"/>
        <v>45439804.430767216</v>
      </c>
      <c r="Y170" s="2">
        <f t="shared" si="31"/>
        <v>83374.039999999994</v>
      </c>
      <c r="Z170" s="2">
        <f t="shared" si="32"/>
        <v>-13.96</v>
      </c>
      <c r="AA170" s="2">
        <f t="shared" si="35"/>
        <v>45511095.408642575</v>
      </c>
      <c r="AB170" s="2">
        <f t="shared" si="33"/>
        <v>-71290.977875359356</v>
      </c>
    </row>
    <row r="171" spans="1:28">
      <c r="A171" s="2">
        <v>168</v>
      </c>
      <c r="B171" s="2" t="s">
        <v>769</v>
      </c>
      <c r="C171" s="2" t="s">
        <v>36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138</v>
      </c>
      <c r="J171" s="2" t="s">
        <v>594</v>
      </c>
      <c r="K171" s="2">
        <f t="shared" si="34"/>
        <v>45439804.430767216</v>
      </c>
      <c r="L171" s="2" t="s">
        <v>469</v>
      </c>
      <c r="M171" s="2" t="s">
        <v>58</v>
      </c>
      <c r="N171" s="2" t="s">
        <v>772</v>
      </c>
      <c r="O171" s="2">
        <v>2667</v>
      </c>
      <c r="P171" s="2">
        <v>360.64999389648437</v>
      </c>
      <c r="Q171" s="2">
        <v>368.14999389648437</v>
      </c>
      <c r="R171" s="2">
        <f t="shared" si="24"/>
        <v>961853.53372192383</v>
      </c>
      <c r="S171" s="2">
        <f t="shared" si="25"/>
        <v>981856.03372192383</v>
      </c>
      <c r="T171" s="2">
        <f t="shared" si="26"/>
        <v>1943709.5674438477</v>
      </c>
      <c r="U171" s="2">
        <f t="shared" si="27"/>
        <v>971.85</v>
      </c>
      <c r="V171" s="2">
        <f t="shared" si="28"/>
        <v>20002.5</v>
      </c>
      <c r="W171" s="2">
        <f t="shared" si="29"/>
        <v>19030.650000000001</v>
      </c>
      <c r="X171" s="2">
        <f t="shared" si="30"/>
        <v>45458835.080767214</v>
      </c>
      <c r="Y171" s="2">
        <f t="shared" si="31"/>
        <v>192370.71</v>
      </c>
      <c r="Z171" s="2">
        <f t="shared" si="32"/>
        <v>9.89</v>
      </c>
      <c r="AA171" s="2">
        <f t="shared" si="35"/>
        <v>45511095.408642575</v>
      </c>
      <c r="AB171" s="2">
        <f t="shared" si="33"/>
        <v>-52260.327875360847</v>
      </c>
    </row>
    <row r="172" spans="1:28">
      <c r="A172" s="2">
        <v>169</v>
      </c>
      <c r="B172" s="2" t="s">
        <v>773</v>
      </c>
      <c r="C172" s="2" t="s">
        <v>36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776</v>
      </c>
      <c r="J172" s="2" t="s">
        <v>777</v>
      </c>
      <c r="K172" s="2">
        <f t="shared" si="34"/>
        <v>45458835.080767214</v>
      </c>
      <c r="L172" s="2" t="s">
        <v>181</v>
      </c>
      <c r="M172" s="2" t="s">
        <v>182</v>
      </c>
      <c r="N172" s="2" t="s">
        <v>183</v>
      </c>
      <c r="O172" s="2">
        <v>250</v>
      </c>
      <c r="P172" s="2">
        <v>1252.83056640625</v>
      </c>
      <c r="Q172" s="2">
        <v>1241.478515625</v>
      </c>
      <c r="R172" s="2">
        <f t="shared" si="24"/>
        <v>313207.6416015625</v>
      </c>
      <c r="S172" s="2">
        <f t="shared" si="25"/>
        <v>310369.62890625</v>
      </c>
      <c r="T172" s="2">
        <f t="shared" si="26"/>
        <v>623577.2705078125</v>
      </c>
      <c r="U172" s="2">
        <f t="shared" si="27"/>
        <v>311.79000000000002</v>
      </c>
      <c r="V172" s="2">
        <f t="shared" si="28"/>
        <v>-2838.0126953125</v>
      </c>
      <c r="W172" s="2">
        <f t="shared" si="29"/>
        <v>-3149.8026953125</v>
      </c>
      <c r="X172" s="2">
        <f t="shared" si="30"/>
        <v>45455685.278071903</v>
      </c>
      <c r="Y172" s="2">
        <f t="shared" si="31"/>
        <v>62641.53</v>
      </c>
      <c r="Z172" s="2">
        <f t="shared" si="32"/>
        <v>-5.03</v>
      </c>
      <c r="AA172" s="2">
        <f t="shared" si="35"/>
        <v>45511095.408642575</v>
      </c>
      <c r="AB172" s="2">
        <f t="shared" si="33"/>
        <v>-55410.130570672452</v>
      </c>
    </row>
    <row r="173" spans="1:28">
      <c r="A173" s="2">
        <v>170</v>
      </c>
      <c r="B173" s="2" t="s">
        <v>778</v>
      </c>
      <c r="C173" s="2" t="s">
        <v>36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2" t="s">
        <v>779</v>
      </c>
      <c r="I173" s="2" t="s">
        <v>780</v>
      </c>
      <c r="J173" s="2" t="s">
        <v>781</v>
      </c>
      <c r="K173" s="2">
        <f t="shared" si="34"/>
        <v>45455685.278071903</v>
      </c>
      <c r="L173" s="2" t="s">
        <v>148</v>
      </c>
      <c r="M173" s="2" t="s">
        <v>402</v>
      </c>
      <c r="N173" s="2" t="s">
        <v>235</v>
      </c>
      <c r="O173" s="2">
        <v>4486</v>
      </c>
      <c r="P173" s="2">
        <v>339.60302734375</v>
      </c>
      <c r="Q173" s="2">
        <v>396.77374267578131</v>
      </c>
      <c r="R173" s="2">
        <f t="shared" si="24"/>
        <v>1523459.1806640625</v>
      </c>
      <c r="S173" s="2">
        <f t="shared" si="25"/>
        <v>1779927.0096435549</v>
      </c>
      <c r="T173" s="2">
        <f t="shared" si="26"/>
        <v>3303386.1903076172</v>
      </c>
      <c r="U173" s="2">
        <f t="shared" si="27"/>
        <v>1651.69</v>
      </c>
      <c r="V173" s="2">
        <f t="shared" si="28"/>
        <v>256467.82897949242</v>
      </c>
      <c r="W173" s="2">
        <f t="shared" si="29"/>
        <v>254816.13897949242</v>
      </c>
      <c r="X173" s="2">
        <f t="shared" si="30"/>
        <v>45710501.417051397</v>
      </c>
      <c r="Y173" s="2">
        <f t="shared" si="31"/>
        <v>304691.84000000003</v>
      </c>
      <c r="Z173" s="2">
        <f t="shared" si="32"/>
        <v>83.63</v>
      </c>
      <c r="AA173" s="2">
        <f t="shared" si="35"/>
        <v>45710501.417051397</v>
      </c>
      <c r="AB173" s="2">
        <f t="shared" si="33"/>
        <v>0</v>
      </c>
    </row>
    <row r="174" spans="1:28">
      <c r="A174" s="2">
        <v>171</v>
      </c>
      <c r="B174" s="2" t="s">
        <v>782</v>
      </c>
      <c r="C174" s="2" t="s">
        <v>36</v>
      </c>
      <c r="D174" s="3" t="s">
        <v>37</v>
      </c>
      <c r="E174" s="5" t="s">
        <v>134</v>
      </c>
      <c r="F174" s="2" t="s">
        <v>456</v>
      </c>
      <c r="G174" s="2" t="s">
        <v>97</v>
      </c>
      <c r="H174" s="2" t="s">
        <v>162</v>
      </c>
      <c r="I174" s="2" t="s">
        <v>783</v>
      </c>
      <c r="J174" s="2" t="s">
        <v>612</v>
      </c>
      <c r="K174" s="2">
        <f t="shared" si="34"/>
        <v>45710501.417051397</v>
      </c>
      <c r="L174" s="2" t="s">
        <v>74</v>
      </c>
      <c r="M174" s="2" t="s">
        <v>147</v>
      </c>
      <c r="N174" s="2" t="s">
        <v>88</v>
      </c>
      <c r="O174" s="2">
        <v>21748</v>
      </c>
      <c r="P174" s="2">
        <v>50.269748687744141</v>
      </c>
      <c r="Q174" s="2">
        <v>52.677341461181641</v>
      </c>
      <c r="R174" s="2">
        <f t="shared" si="24"/>
        <v>1093266.4944610596</v>
      </c>
      <c r="S174" s="2">
        <f t="shared" si="25"/>
        <v>1145626.8220977783</v>
      </c>
      <c r="T174" s="2">
        <f t="shared" si="26"/>
        <v>2238893.3165588379</v>
      </c>
      <c r="U174" s="2">
        <f t="shared" si="27"/>
        <v>1119.45</v>
      </c>
      <c r="V174" s="2">
        <f t="shared" si="28"/>
        <v>52360.32763671875</v>
      </c>
      <c r="W174" s="2">
        <f t="shared" si="29"/>
        <v>51240.877636718753</v>
      </c>
      <c r="X174" s="2">
        <f t="shared" si="30"/>
        <v>45761742.294688113</v>
      </c>
      <c r="Y174" s="2">
        <f t="shared" si="31"/>
        <v>218653.3</v>
      </c>
      <c r="Z174" s="2">
        <f t="shared" si="32"/>
        <v>23.43</v>
      </c>
      <c r="AA174" s="2">
        <f t="shared" si="35"/>
        <v>45761742.294688113</v>
      </c>
      <c r="AB174" s="2">
        <f t="shared" si="33"/>
        <v>0</v>
      </c>
    </row>
    <row r="175" spans="1:28">
      <c r="A175" s="2">
        <v>172</v>
      </c>
      <c r="B175" s="2" t="s">
        <v>784</v>
      </c>
      <c r="C175" s="2" t="s">
        <v>36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2" t="s">
        <v>785</v>
      </c>
      <c r="I175" s="2" t="s">
        <v>786</v>
      </c>
      <c r="J175" s="2" t="s">
        <v>298</v>
      </c>
      <c r="K175" s="2">
        <f t="shared" si="34"/>
        <v>45761742.294688113</v>
      </c>
      <c r="L175" s="2" t="s">
        <v>147</v>
      </c>
      <c r="M175" s="2" t="s">
        <v>132</v>
      </c>
      <c r="N175" s="2" t="s">
        <v>140</v>
      </c>
      <c r="O175" s="2">
        <v>5915</v>
      </c>
      <c r="P175" s="2">
        <v>103.0978469848633</v>
      </c>
      <c r="Q175" s="2">
        <v>106.64340972900391</v>
      </c>
      <c r="R175" s="2">
        <f t="shared" si="24"/>
        <v>609823.76491546643</v>
      </c>
      <c r="S175" s="2">
        <f t="shared" si="25"/>
        <v>630795.76854705811</v>
      </c>
      <c r="T175" s="2">
        <f t="shared" si="26"/>
        <v>1240619.5334625244</v>
      </c>
      <c r="U175" s="2">
        <f t="shared" si="27"/>
        <v>620.30999999999995</v>
      </c>
      <c r="V175" s="2">
        <f t="shared" si="28"/>
        <v>20972.00363159168</v>
      </c>
      <c r="W175" s="2">
        <f t="shared" si="29"/>
        <v>20351.693631591679</v>
      </c>
      <c r="X175" s="2">
        <f t="shared" si="30"/>
        <v>45782093.988319702</v>
      </c>
      <c r="Y175" s="2">
        <f t="shared" si="31"/>
        <v>121964.75</v>
      </c>
      <c r="Z175" s="2">
        <f t="shared" si="32"/>
        <v>16.690000000000001</v>
      </c>
      <c r="AA175" s="2">
        <f t="shared" si="35"/>
        <v>45782093.988319702</v>
      </c>
      <c r="AB175" s="2">
        <f t="shared" si="33"/>
        <v>0</v>
      </c>
    </row>
    <row r="176" spans="1:28">
      <c r="A176" s="2">
        <v>173</v>
      </c>
      <c r="B176" s="2" t="s">
        <v>787</v>
      </c>
      <c r="C176" s="2" t="s">
        <v>36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2" t="s">
        <v>788</v>
      </c>
      <c r="I176" s="2" t="s">
        <v>308</v>
      </c>
      <c r="J176" s="2" t="s">
        <v>789</v>
      </c>
      <c r="K176" s="2">
        <f t="shared" si="34"/>
        <v>45782093.988319702</v>
      </c>
      <c r="L176" s="2" t="s">
        <v>183</v>
      </c>
      <c r="M176" s="2" t="s">
        <v>189</v>
      </c>
      <c r="N176" s="2" t="s">
        <v>204</v>
      </c>
      <c r="O176" s="2">
        <v>1550</v>
      </c>
      <c r="P176" s="2">
        <v>763</v>
      </c>
      <c r="Q176" s="2">
        <v>762.95</v>
      </c>
      <c r="R176" s="2">
        <f t="shared" si="24"/>
        <v>1182650</v>
      </c>
      <c r="S176" s="2">
        <f t="shared" si="25"/>
        <v>1182572.5</v>
      </c>
      <c r="T176" s="2">
        <f t="shared" si="26"/>
        <v>2365222.5</v>
      </c>
      <c r="U176" s="2">
        <f t="shared" si="27"/>
        <v>1182.6099999999999</v>
      </c>
      <c r="V176" s="2">
        <f t="shared" si="28"/>
        <v>-77.5</v>
      </c>
      <c r="W176" s="2">
        <f t="shared" si="29"/>
        <v>-1260.1099999999999</v>
      </c>
      <c r="X176" s="2">
        <f t="shared" si="30"/>
        <v>45780833.878319703</v>
      </c>
      <c r="Y176" s="2">
        <f t="shared" si="31"/>
        <v>236530</v>
      </c>
      <c r="Z176" s="2">
        <f t="shared" si="32"/>
        <v>-0.53</v>
      </c>
      <c r="AA176" s="2">
        <f t="shared" si="35"/>
        <v>45782093.988319702</v>
      </c>
      <c r="AB176" s="2">
        <f t="shared" si="33"/>
        <v>-1260.109999999404</v>
      </c>
    </row>
    <row r="177" spans="1:28">
      <c r="A177" s="2">
        <v>174</v>
      </c>
      <c r="B177" s="2" t="s">
        <v>790</v>
      </c>
      <c r="C177" s="2" t="s">
        <v>36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792</v>
      </c>
      <c r="J177" s="2" t="s">
        <v>793</v>
      </c>
      <c r="K177" s="2">
        <f t="shared" si="34"/>
        <v>45780833.878319703</v>
      </c>
      <c r="L177" s="2" t="s">
        <v>183</v>
      </c>
      <c r="M177" s="2" t="s">
        <v>153</v>
      </c>
      <c r="N177" s="2" t="s">
        <v>251</v>
      </c>
      <c r="O177" s="2">
        <v>375</v>
      </c>
      <c r="P177" s="2">
        <v>1508.62744140625</v>
      </c>
      <c r="Q177" s="2">
        <v>1494.773071289062</v>
      </c>
      <c r="R177" s="2">
        <f t="shared" si="24"/>
        <v>565735.29052734375</v>
      </c>
      <c r="S177" s="2">
        <f t="shared" si="25"/>
        <v>560539.90173339832</v>
      </c>
      <c r="T177" s="2">
        <f t="shared" si="26"/>
        <v>1126275.1922607422</v>
      </c>
      <c r="U177" s="2">
        <f t="shared" si="27"/>
        <v>563.14</v>
      </c>
      <c r="V177" s="2">
        <f t="shared" si="28"/>
        <v>-5195.3887939454289</v>
      </c>
      <c r="W177" s="2">
        <f t="shared" si="29"/>
        <v>-5758.5287939454292</v>
      </c>
      <c r="X177" s="2">
        <f t="shared" si="30"/>
        <v>45775075.349525757</v>
      </c>
      <c r="Y177" s="2">
        <f t="shared" si="31"/>
        <v>113147.06</v>
      </c>
      <c r="Z177" s="2">
        <f t="shared" si="32"/>
        <v>-5.09</v>
      </c>
      <c r="AA177" s="2">
        <f t="shared" si="35"/>
        <v>45782093.988319702</v>
      </c>
      <c r="AB177" s="2">
        <f t="shared" si="33"/>
        <v>-7018.6387939453125</v>
      </c>
    </row>
    <row r="178" spans="1:28">
      <c r="A178" s="2">
        <v>175</v>
      </c>
      <c r="B178" s="2" t="s">
        <v>794</v>
      </c>
      <c r="C178" s="2" t="s">
        <v>36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797</v>
      </c>
      <c r="J178" s="2" t="s">
        <v>441</v>
      </c>
      <c r="K178" s="2">
        <f t="shared" si="34"/>
        <v>45775075.349525757</v>
      </c>
      <c r="L178" s="2" t="s">
        <v>147</v>
      </c>
      <c r="M178" s="2" t="s">
        <v>264</v>
      </c>
      <c r="N178" s="2" t="s">
        <v>147</v>
      </c>
      <c r="O178" s="2">
        <v>1500</v>
      </c>
      <c r="P178" s="2">
        <v>724.3853759765625</v>
      </c>
      <c r="Q178" s="2">
        <v>709.5076904296875</v>
      </c>
      <c r="R178" s="2">
        <f t="shared" si="24"/>
        <v>1086578.0639648437</v>
      </c>
      <c r="S178" s="2">
        <f t="shared" si="25"/>
        <v>1064261.5356445313</v>
      </c>
      <c r="T178" s="2">
        <f t="shared" si="26"/>
        <v>2150839.599609375</v>
      </c>
      <c r="U178" s="2">
        <f t="shared" si="27"/>
        <v>1075.42</v>
      </c>
      <c r="V178" s="2">
        <f t="shared" si="28"/>
        <v>-22316.5283203125</v>
      </c>
      <c r="W178" s="2">
        <f t="shared" si="29"/>
        <v>-23391.948320312498</v>
      </c>
      <c r="X178" s="2">
        <f t="shared" si="30"/>
        <v>45751683.401205443</v>
      </c>
      <c r="Y178" s="2">
        <f t="shared" si="31"/>
        <v>217315.61</v>
      </c>
      <c r="Z178" s="2">
        <f t="shared" si="32"/>
        <v>-10.76</v>
      </c>
      <c r="AA178" s="2">
        <f t="shared" si="35"/>
        <v>45782093.988319702</v>
      </c>
      <c r="AB178" s="2">
        <f t="shared" si="33"/>
        <v>-30410.587114259601</v>
      </c>
    </row>
    <row r="179" spans="1:28">
      <c r="A179" s="2">
        <v>176</v>
      </c>
      <c r="B179" s="2" t="s">
        <v>798</v>
      </c>
      <c r="C179" s="2" t="s">
        <v>36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2" t="s">
        <v>266</v>
      </c>
      <c r="I179" s="2" t="s">
        <v>799</v>
      </c>
      <c r="J179" s="2" t="s">
        <v>800</v>
      </c>
      <c r="K179" s="2">
        <f t="shared" si="34"/>
        <v>45751683.401205443</v>
      </c>
      <c r="L179" s="2" t="s">
        <v>153</v>
      </c>
      <c r="M179" s="2" t="s">
        <v>73</v>
      </c>
      <c r="N179" s="2" t="s">
        <v>89</v>
      </c>
      <c r="O179" s="2">
        <v>100</v>
      </c>
      <c r="P179" s="2">
        <v>24916.515625</v>
      </c>
      <c r="Q179" s="2">
        <v>27542.234375</v>
      </c>
      <c r="R179" s="2">
        <f t="shared" si="24"/>
        <v>2491651.5625</v>
      </c>
      <c r="S179" s="2">
        <f t="shared" si="25"/>
        <v>2754223.4375</v>
      </c>
      <c r="T179" s="2">
        <f t="shared" si="26"/>
        <v>5245875</v>
      </c>
      <c r="U179" s="2">
        <f t="shared" si="27"/>
        <v>2622.94</v>
      </c>
      <c r="V179" s="2">
        <f t="shared" si="28"/>
        <v>262571.875</v>
      </c>
      <c r="W179" s="2">
        <f t="shared" si="29"/>
        <v>259948.935</v>
      </c>
      <c r="X179" s="2">
        <f t="shared" si="30"/>
        <v>46011632.336205445</v>
      </c>
      <c r="Y179" s="2">
        <f t="shared" si="31"/>
        <v>498330.31</v>
      </c>
      <c r="Z179" s="2">
        <f t="shared" si="32"/>
        <v>52.16</v>
      </c>
      <c r="AA179" s="2">
        <f t="shared" si="35"/>
        <v>46011632.336205445</v>
      </c>
      <c r="AB179" s="2">
        <f t="shared" si="33"/>
        <v>0</v>
      </c>
    </row>
    <row r="180" spans="1:28">
      <c r="A180" s="2">
        <v>177</v>
      </c>
      <c r="B180" s="2" t="s">
        <v>801</v>
      </c>
      <c r="C180" s="2" t="s">
        <v>36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804</v>
      </c>
      <c r="J180" s="2" t="s">
        <v>805</v>
      </c>
      <c r="K180" s="2">
        <f t="shared" si="34"/>
        <v>46011632.336205445</v>
      </c>
      <c r="L180" s="2" t="s">
        <v>182</v>
      </c>
      <c r="M180" s="2" t="s">
        <v>89</v>
      </c>
      <c r="N180" s="2" t="s">
        <v>167</v>
      </c>
      <c r="O180" s="2">
        <v>957</v>
      </c>
      <c r="P180" s="2">
        <v>518.86956787109375</v>
      </c>
      <c r="Q180" s="2">
        <v>527.1942138671875</v>
      </c>
      <c r="R180" s="2">
        <f t="shared" si="24"/>
        <v>496558.17645263672</v>
      </c>
      <c r="S180" s="2">
        <f t="shared" si="25"/>
        <v>504524.86267089844</v>
      </c>
      <c r="T180" s="2">
        <f t="shared" si="26"/>
        <v>1001083.0391235352</v>
      </c>
      <c r="U180" s="2">
        <f t="shared" si="27"/>
        <v>500.54</v>
      </c>
      <c r="V180" s="2">
        <f t="shared" si="28"/>
        <v>7966.6862182617187</v>
      </c>
      <c r="W180" s="2">
        <f t="shared" si="29"/>
        <v>7466.1462182617188</v>
      </c>
      <c r="X180" s="2">
        <f t="shared" si="30"/>
        <v>46019098.482423708</v>
      </c>
      <c r="Y180" s="2">
        <f t="shared" si="31"/>
        <v>99311.64</v>
      </c>
      <c r="Z180" s="2">
        <f t="shared" si="32"/>
        <v>7.52</v>
      </c>
      <c r="AA180" s="2">
        <f t="shared" si="35"/>
        <v>46019098.482423708</v>
      </c>
      <c r="AB180" s="2">
        <f t="shared" si="33"/>
        <v>0</v>
      </c>
    </row>
    <row r="181" spans="1:28">
      <c r="A181" s="2">
        <v>178</v>
      </c>
      <c r="B181" s="2" t="s">
        <v>806</v>
      </c>
      <c r="C181" s="2" t="s">
        <v>36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2" t="s">
        <v>517</v>
      </c>
      <c r="I181" s="2" t="s">
        <v>807</v>
      </c>
      <c r="J181" s="2" t="s">
        <v>808</v>
      </c>
      <c r="K181" s="2">
        <f t="shared" si="34"/>
        <v>46019098.482423708</v>
      </c>
      <c r="L181" s="2" t="s">
        <v>173</v>
      </c>
      <c r="M181" s="2" t="s">
        <v>139</v>
      </c>
      <c r="N181" s="2" t="s">
        <v>140</v>
      </c>
      <c r="O181" s="2">
        <v>273</v>
      </c>
      <c r="P181" s="2">
        <v>3357.719970703125</v>
      </c>
      <c r="Q181" s="2">
        <v>2982.125</v>
      </c>
      <c r="R181" s="2">
        <f t="shared" si="24"/>
        <v>916657.55200195313</v>
      </c>
      <c r="S181" s="2">
        <f t="shared" si="25"/>
        <v>814120.125</v>
      </c>
      <c r="T181" s="2">
        <f t="shared" si="26"/>
        <v>1730777.6770019531</v>
      </c>
      <c r="U181" s="2">
        <f t="shared" si="27"/>
        <v>865.39</v>
      </c>
      <c r="V181" s="2">
        <f t="shared" si="28"/>
        <v>-102537.42700195312</v>
      </c>
      <c r="W181" s="2">
        <f t="shared" si="29"/>
        <v>-103402.81700195312</v>
      </c>
      <c r="X181" s="2">
        <f t="shared" si="30"/>
        <v>45915695.665421754</v>
      </c>
      <c r="Y181" s="2">
        <f t="shared" si="31"/>
        <v>183331.51</v>
      </c>
      <c r="Z181" s="2">
        <f t="shared" si="32"/>
        <v>-56.4</v>
      </c>
      <c r="AA181" s="2">
        <f t="shared" si="35"/>
        <v>46019098.482423708</v>
      </c>
      <c r="AB181" s="2">
        <f t="shared" si="33"/>
        <v>-103402.81700195372</v>
      </c>
    </row>
    <row r="182" spans="1:28">
      <c r="A182" s="2">
        <v>179</v>
      </c>
      <c r="B182" s="2" t="s">
        <v>809</v>
      </c>
      <c r="C182" s="2" t="s">
        <v>36</v>
      </c>
      <c r="D182" s="3" t="s">
        <v>37</v>
      </c>
      <c r="E182" s="5" t="s">
        <v>134</v>
      </c>
      <c r="F182" s="2" t="s">
        <v>135</v>
      </c>
      <c r="G182" s="2" t="s">
        <v>40</v>
      </c>
      <c r="H182" s="2" t="s">
        <v>810</v>
      </c>
      <c r="I182" s="2" t="s">
        <v>811</v>
      </c>
      <c r="J182" s="2" t="s">
        <v>812</v>
      </c>
      <c r="K182" s="2">
        <f t="shared" si="34"/>
        <v>45915695.665421754</v>
      </c>
      <c r="L182" s="2" t="s">
        <v>189</v>
      </c>
      <c r="M182" s="2" t="s">
        <v>140</v>
      </c>
      <c r="N182" s="2" t="s">
        <v>147</v>
      </c>
      <c r="O182" s="2">
        <v>100</v>
      </c>
      <c r="P182" s="2">
        <v>9557.1787109375</v>
      </c>
      <c r="Q182" s="2">
        <v>8946.15625</v>
      </c>
      <c r="R182" s="2">
        <f t="shared" si="24"/>
        <v>955717.87109375</v>
      </c>
      <c r="S182" s="2">
        <f t="shared" si="25"/>
        <v>894615.625</v>
      </c>
      <c r="T182" s="2">
        <f t="shared" si="26"/>
        <v>1850333.49609375</v>
      </c>
      <c r="U182" s="2">
        <f t="shared" si="27"/>
        <v>925.17</v>
      </c>
      <c r="V182" s="2">
        <f t="shared" si="28"/>
        <v>-61102.24609375</v>
      </c>
      <c r="W182" s="2">
        <f t="shared" si="29"/>
        <v>-62027.416093749998</v>
      </c>
      <c r="X182" s="2">
        <f t="shared" si="30"/>
        <v>45853668.249328002</v>
      </c>
      <c r="Y182" s="2">
        <f t="shared" si="31"/>
        <v>191143.57</v>
      </c>
      <c r="Z182" s="2">
        <f t="shared" si="32"/>
        <v>-32.450000000000003</v>
      </c>
      <c r="AA182" s="2">
        <f t="shared" si="35"/>
        <v>46019098.482423708</v>
      </c>
      <c r="AB182" s="2">
        <f t="shared" si="33"/>
        <v>-165430.23309570551</v>
      </c>
    </row>
    <row r="183" spans="1:28">
      <c r="A183" s="2">
        <v>180</v>
      </c>
      <c r="B183" s="2" t="s">
        <v>813</v>
      </c>
      <c r="C183" s="2" t="s">
        <v>36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2" t="s">
        <v>814</v>
      </c>
      <c r="I183" s="2" t="s">
        <v>815</v>
      </c>
      <c r="J183" s="2" t="s">
        <v>816</v>
      </c>
      <c r="K183" s="2">
        <f t="shared" si="34"/>
        <v>45853668.249328002</v>
      </c>
      <c r="L183" s="2" t="s">
        <v>183</v>
      </c>
      <c r="M183" s="2" t="s">
        <v>189</v>
      </c>
      <c r="N183" s="2" t="s">
        <v>182</v>
      </c>
      <c r="O183" s="2">
        <v>1309</v>
      </c>
      <c r="P183" s="2">
        <v>495.92196655273437</v>
      </c>
      <c r="Q183" s="2">
        <v>575.3583984375</v>
      </c>
      <c r="R183" s="2">
        <f t="shared" si="24"/>
        <v>649161.8542175293</v>
      </c>
      <c r="S183" s="2">
        <f t="shared" si="25"/>
        <v>753144.1435546875</v>
      </c>
      <c r="T183" s="2">
        <f t="shared" si="26"/>
        <v>1402305.9977722168</v>
      </c>
      <c r="U183" s="2">
        <f t="shared" si="27"/>
        <v>701.15</v>
      </c>
      <c r="V183" s="2">
        <f t="shared" si="28"/>
        <v>103982.2893371582</v>
      </c>
      <c r="W183" s="2">
        <f t="shared" si="29"/>
        <v>103281.13933715821</v>
      </c>
      <c r="X183" s="2">
        <f t="shared" si="30"/>
        <v>45956949.388665162</v>
      </c>
      <c r="Y183" s="2">
        <f t="shared" si="31"/>
        <v>129832.37</v>
      </c>
      <c r="Z183" s="2">
        <f t="shared" si="32"/>
        <v>79.55</v>
      </c>
      <c r="AA183" s="2">
        <f t="shared" si="35"/>
        <v>46019098.482423708</v>
      </c>
      <c r="AB183" s="2">
        <f t="shared" si="33"/>
        <v>-62149.093758545816</v>
      </c>
    </row>
    <row r="184" spans="1:28">
      <c r="A184" s="2">
        <v>181</v>
      </c>
      <c r="B184" s="2" t="s">
        <v>817</v>
      </c>
      <c r="C184" s="2" t="s">
        <v>36</v>
      </c>
      <c r="D184" s="4" t="s">
        <v>61</v>
      </c>
      <c r="E184" s="5" t="s">
        <v>134</v>
      </c>
      <c r="F184" s="2" t="s">
        <v>135</v>
      </c>
      <c r="G184" s="2" t="s">
        <v>54</v>
      </c>
      <c r="H184" s="2" t="s">
        <v>747</v>
      </c>
      <c r="I184" s="2" t="s">
        <v>818</v>
      </c>
      <c r="J184" s="2" t="s">
        <v>819</v>
      </c>
      <c r="K184" s="2">
        <f t="shared" si="34"/>
        <v>45956949.388665162</v>
      </c>
      <c r="L184" s="2" t="s">
        <v>167</v>
      </c>
      <c r="M184" s="2" t="s">
        <v>74</v>
      </c>
      <c r="N184" s="2" t="s">
        <v>189</v>
      </c>
      <c r="O184" s="2">
        <v>383</v>
      </c>
      <c r="P184" s="2">
        <v>2924.289306640625</v>
      </c>
      <c r="Q184" s="2">
        <v>2567.78369140625</v>
      </c>
      <c r="R184" s="2">
        <f t="shared" si="24"/>
        <v>1120002.8044433594</v>
      </c>
      <c r="S184" s="2">
        <f t="shared" si="25"/>
        <v>983461.15380859375</v>
      </c>
      <c r="T184" s="2">
        <f t="shared" si="26"/>
        <v>2103463.9582519531</v>
      </c>
      <c r="U184" s="2">
        <f t="shared" si="27"/>
        <v>1051.73</v>
      </c>
      <c r="V184" s="2">
        <f t="shared" si="28"/>
        <v>-136541.65063476562</v>
      </c>
      <c r="W184" s="2">
        <f t="shared" si="29"/>
        <v>-137593.38063476564</v>
      </c>
      <c r="X184" s="2">
        <f t="shared" si="30"/>
        <v>45819356.0080304</v>
      </c>
      <c r="Y184" s="2">
        <f t="shared" si="31"/>
        <v>224000.56</v>
      </c>
      <c r="Z184" s="2">
        <f t="shared" si="32"/>
        <v>-61.43</v>
      </c>
      <c r="AA184" s="2">
        <f t="shared" si="35"/>
        <v>46019098.482423708</v>
      </c>
      <c r="AB184" s="2">
        <f t="shared" si="33"/>
        <v>-199742.47439330816</v>
      </c>
    </row>
    <row r="185" spans="1:28">
      <c r="A185" s="2">
        <v>182</v>
      </c>
      <c r="B185" s="2" t="s">
        <v>820</v>
      </c>
      <c r="C185" s="2" t="s">
        <v>36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821</v>
      </c>
      <c r="J185" s="2" t="s">
        <v>822</v>
      </c>
      <c r="K185" s="2">
        <f t="shared" si="34"/>
        <v>45819356.0080304</v>
      </c>
      <c r="L185" s="2" t="s">
        <v>182</v>
      </c>
      <c r="M185" s="2" t="s">
        <v>147</v>
      </c>
      <c r="N185" s="2" t="s">
        <v>73</v>
      </c>
      <c r="O185" s="2">
        <v>350</v>
      </c>
      <c r="P185" s="2">
        <v>1800.193237304688</v>
      </c>
      <c r="Q185" s="2">
        <v>1720.5693359375</v>
      </c>
      <c r="R185" s="2">
        <f t="shared" si="24"/>
        <v>630067.63305664074</v>
      </c>
      <c r="S185" s="2">
        <f t="shared" si="25"/>
        <v>602199.267578125</v>
      </c>
      <c r="T185" s="2">
        <f t="shared" si="26"/>
        <v>1232266.9006347656</v>
      </c>
      <c r="U185" s="2">
        <f t="shared" si="27"/>
        <v>616.13</v>
      </c>
      <c r="V185" s="2">
        <f t="shared" si="28"/>
        <v>-27868.365478515741</v>
      </c>
      <c r="W185" s="2">
        <f t="shared" si="29"/>
        <v>-28484.495478515742</v>
      </c>
      <c r="X185" s="2">
        <f t="shared" si="30"/>
        <v>45790871.512551881</v>
      </c>
      <c r="Y185" s="2">
        <f t="shared" si="31"/>
        <v>126013.53</v>
      </c>
      <c r="Z185" s="2">
        <f t="shared" si="32"/>
        <v>-22.6</v>
      </c>
      <c r="AA185" s="2">
        <f t="shared" si="35"/>
        <v>46019098.482423708</v>
      </c>
      <c r="AB185" s="2">
        <f t="shared" si="33"/>
        <v>-228226.96987182647</v>
      </c>
    </row>
    <row r="186" spans="1:28">
      <c r="A186" s="2">
        <v>183</v>
      </c>
      <c r="B186" s="2" t="s">
        <v>823</v>
      </c>
      <c r="C186" s="2" t="s">
        <v>36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2" t="s">
        <v>824</v>
      </c>
      <c r="I186" s="2" t="s">
        <v>825</v>
      </c>
      <c r="J186" s="2" t="s">
        <v>826</v>
      </c>
      <c r="K186" s="2">
        <f t="shared" si="34"/>
        <v>45790871.512551881</v>
      </c>
      <c r="L186" s="2" t="s">
        <v>336</v>
      </c>
      <c r="M186" s="2" t="s">
        <v>217</v>
      </c>
      <c r="N186" s="2" t="s">
        <v>153</v>
      </c>
      <c r="O186" s="2">
        <v>289</v>
      </c>
      <c r="P186" s="2">
        <v>3898.72607421875</v>
      </c>
      <c r="Q186" s="2">
        <v>4599.53271484375</v>
      </c>
      <c r="R186" s="2">
        <f t="shared" si="24"/>
        <v>1126731.8354492188</v>
      </c>
      <c r="S186" s="2">
        <f t="shared" si="25"/>
        <v>1329264.9545898438</v>
      </c>
      <c r="T186" s="2">
        <f t="shared" si="26"/>
        <v>2455996.7900390625</v>
      </c>
      <c r="U186" s="2">
        <f t="shared" si="27"/>
        <v>1228</v>
      </c>
      <c r="V186" s="2">
        <f t="shared" si="28"/>
        <v>202533.119140625</v>
      </c>
      <c r="W186" s="2">
        <f t="shared" si="29"/>
        <v>201305.119140625</v>
      </c>
      <c r="X186" s="2">
        <f t="shared" si="30"/>
        <v>45992176.631692506</v>
      </c>
      <c r="Y186" s="2">
        <f t="shared" si="31"/>
        <v>225346.37</v>
      </c>
      <c r="Z186" s="2">
        <f t="shared" si="32"/>
        <v>89.33</v>
      </c>
      <c r="AA186" s="2">
        <f t="shared" si="35"/>
        <v>46019098.482423708</v>
      </c>
      <c r="AB186" s="2">
        <f t="shared" si="33"/>
        <v>-26921.85073120147</v>
      </c>
    </row>
    <row r="187" spans="1:28">
      <c r="A187" s="2">
        <v>184</v>
      </c>
      <c r="B187" s="2" t="s">
        <v>827</v>
      </c>
      <c r="C187" s="2" t="s">
        <v>36</v>
      </c>
      <c r="D187" s="3" t="s">
        <v>37</v>
      </c>
      <c r="E187" s="5" t="s">
        <v>134</v>
      </c>
      <c r="F187" s="2" t="s">
        <v>135</v>
      </c>
      <c r="G187" s="2" t="s">
        <v>40</v>
      </c>
      <c r="H187" s="2" t="s">
        <v>828</v>
      </c>
      <c r="I187" s="2" t="s">
        <v>829</v>
      </c>
      <c r="J187" s="2" t="s">
        <v>830</v>
      </c>
      <c r="K187" s="2">
        <f t="shared" si="34"/>
        <v>45992176.631692506</v>
      </c>
      <c r="L187" s="2" t="s">
        <v>251</v>
      </c>
      <c r="M187" s="2" t="s">
        <v>173</v>
      </c>
      <c r="N187" s="2" t="s">
        <v>204</v>
      </c>
      <c r="O187" s="2">
        <v>21097</v>
      </c>
      <c r="P187" s="2">
        <v>56.840000152587891</v>
      </c>
      <c r="Q187" s="2">
        <v>58.159999847412109</v>
      </c>
      <c r="R187" s="2">
        <f t="shared" si="24"/>
        <v>1199153.4832191467</v>
      </c>
      <c r="S187" s="2">
        <f t="shared" si="25"/>
        <v>1227001.5167808533</v>
      </c>
      <c r="T187" s="2">
        <f t="shared" si="26"/>
        <v>2426155</v>
      </c>
      <c r="U187" s="2">
        <f t="shared" si="27"/>
        <v>1213.08</v>
      </c>
      <c r="V187" s="2">
        <f t="shared" si="28"/>
        <v>27848.033561706543</v>
      </c>
      <c r="W187" s="2">
        <f t="shared" si="29"/>
        <v>26634.953561706541</v>
      </c>
      <c r="X187" s="2">
        <f t="shared" si="30"/>
        <v>46018811.585254215</v>
      </c>
      <c r="Y187" s="2">
        <f t="shared" si="31"/>
        <v>239830.7</v>
      </c>
      <c r="Z187" s="2">
        <f t="shared" si="32"/>
        <v>11.11</v>
      </c>
      <c r="AA187" s="2">
        <f t="shared" si="35"/>
        <v>46019098.482423708</v>
      </c>
      <c r="AB187" s="2">
        <f t="shared" si="33"/>
        <v>-286.89716949313879</v>
      </c>
    </row>
    <row r="188" spans="1:28">
      <c r="A188" s="2">
        <v>185</v>
      </c>
      <c r="B188" s="2" t="s">
        <v>831</v>
      </c>
      <c r="C188" s="2" t="s">
        <v>36</v>
      </c>
      <c r="D188" s="3" t="s">
        <v>37</v>
      </c>
      <c r="E188" s="5" t="s">
        <v>134</v>
      </c>
      <c r="F188" s="2" t="s">
        <v>456</v>
      </c>
      <c r="G188" s="2" t="s">
        <v>97</v>
      </c>
      <c r="H188" s="2" t="s">
        <v>832</v>
      </c>
      <c r="I188" s="2" t="s">
        <v>833</v>
      </c>
      <c r="J188" s="2" t="s">
        <v>834</v>
      </c>
      <c r="K188" s="2">
        <f t="shared" si="34"/>
        <v>46018811.585254215</v>
      </c>
      <c r="L188" s="2" t="s">
        <v>74</v>
      </c>
      <c r="M188" s="2" t="s">
        <v>147</v>
      </c>
      <c r="N188" s="2" t="s">
        <v>88</v>
      </c>
      <c r="O188" s="2">
        <v>3379</v>
      </c>
      <c r="P188" s="2">
        <v>458.39999389648438</v>
      </c>
      <c r="Q188" s="2">
        <v>388.70001220703131</v>
      </c>
      <c r="R188" s="2">
        <f t="shared" si="24"/>
        <v>1548933.5793762207</v>
      </c>
      <c r="S188" s="2">
        <f t="shared" si="25"/>
        <v>1313417.3412475588</v>
      </c>
      <c r="T188" s="2">
        <f t="shared" si="26"/>
        <v>2862350.9206237793</v>
      </c>
      <c r="U188" s="2">
        <f t="shared" si="27"/>
        <v>1431.18</v>
      </c>
      <c r="V188" s="2">
        <f t="shared" si="28"/>
        <v>-235516.23812866188</v>
      </c>
      <c r="W188" s="2">
        <f t="shared" si="29"/>
        <v>-236947.41812866187</v>
      </c>
      <c r="X188" s="2">
        <f t="shared" si="30"/>
        <v>45781864.167125553</v>
      </c>
      <c r="Y188" s="2">
        <f t="shared" si="31"/>
        <v>309786.71999999997</v>
      </c>
      <c r="Z188" s="2">
        <f t="shared" si="32"/>
        <v>-76.489999999999995</v>
      </c>
      <c r="AA188" s="2">
        <f t="shared" si="35"/>
        <v>46019098.482423708</v>
      </c>
      <c r="AB188" s="2">
        <f t="shared" si="33"/>
        <v>-237234.31529815495</v>
      </c>
    </row>
    <row r="189" spans="1:28">
      <c r="A189" s="2">
        <v>186</v>
      </c>
      <c r="B189" s="2" t="s">
        <v>835</v>
      </c>
      <c r="C189" s="2" t="s">
        <v>36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838</v>
      </c>
      <c r="J189" s="2" t="s">
        <v>839</v>
      </c>
      <c r="K189" s="2">
        <f t="shared" si="34"/>
        <v>45781864.167125553</v>
      </c>
      <c r="L189" s="2" t="s">
        <v>204</v>
      </c>
      <c r="M189" s="2" t="s">
        <v>88</v>
      </c>
      <c r="N189" s="2" t="s">
        <v>89</v>
      </c>
      <c r="O189" s="2">
        <v>450</v>
      </c>
      <c r="P189" s="2">
        <v>999.37420654296875</v>
      </c>
      <c r="Q189" s="2">
        <v>946.17199707031239</v>
      </c>
      <c r="R189" s="2">
        <f t="shared" si="24"/>
        <v>449718.39294433594</v>
      </c>
      <c r="S189" s="2">
        <f t="shared" si="25"/>
        <v>425777.39868164057</v>
      </c>
      <c r="T189" s="2">
        <f t="shared" si="26"/>
        <v>875495.79162597656</v>
      </c>
      <c r="U189" s="2">
        <f t="shared" si="27"/>
        <v>437.75</v>
      </c>
      <c r="V189" s="2">
        <f t="shared" si="28"/>
        <v>-23940.994262695371</v>
      </c>
      <c r="W189" s="2">
        <f t="shared" si="29"/>
        <v>-24378.744262695371</v>
      </c>
      <c r="X189" s="2">
        <f t="shared" si="30"/>
        <v>45757485.422862858</v>
      </c>
      <c r="Y189" s="2">
        <f t="shared" si="31"/>
        <v>89943.679999999993</v>
      </c>
      <c r="Z189" s="2">
        <f t="shared" si="32"/>
        <v>-27.1</v>
      </c>
      <c r="AA189" s="2">
        <f t="shared" si="35"/>
        <v>46019098.482423708</v>
      </c>
      <c r="AB189" s="2">
        <f t="shared" si="33"/>
        <v>-261613.05956085026</v>
      </c>
    </row>
    <row r="190" spans="1:28">
      <c r="A190" s="2">
        <v>187</v>
      </c>
      <c r="B190" s="2" t="s">
        <v>840</v>
      </c>
      <c r="C190" s="2" t="s">
        <v>36</v>
      </c>
      <c r="D190" s="4" t="s">
        <v>61</v>
      </c>
      <c r="E190" s="5" t="s">
        <v>134</v>
      </c>
      <c r="F190" s="2" t="s">
        <v>135</v>
      </c>
      <c r="G190" s="2" t="s">
        <v>40</v>
      </c>
      <c r="H190" s="2" t="s">
        <v>841</v>
      </c>
      <c r="I190" s="2" t="s">
        <v>842</v>
      </c>
      <c r="J190" s="2" t="s">
        <v>843</v>
      </c>
      <c r="K190" s="2">
        <f t="shared" si="34"/>
        <v>45757485.422862858</v>
      </c>
      <c r="L190" s="2" t="s">
        <v>844</v>
      </c>
      <c r="M190" s="2" t="s">
        <v>181</v>
      </c>
      <c r="N190" s="2" t="s">
        <v>336</v>
      </c>
      <c r="O190" s="2">
        <v>273</v>
      </c>
      <c r="P190" s="2">
        <v>5940.8037109375</v>
      </c>
      <c r="Q190" s="2">
        <v>6602.12841796875</v>
      </c>
      <c r="R190" s="2">
        <f t="shared" si="24"/>
        <v>1621839.4130859375</v>
      </c>
      <c r="S190" s="2">
        <f t="shared" si="25"/>
        <v>1802381.0581054688</v>
      </c>
      <c r="T190" s="2">
        <f t="shared" si="26"/>
        <v>3424220.4711914062</v>
      </c>
      <c r="U190" s="2">
        <f t="shared" si="27"/>
        <v>1712.11</v>
      </c>
      <c r="V190" s="2">
        <f t="shared" si="28"/>
        <v>180541.64501953125</v>
      </c>
      <c r="W190" s="2">
        <f t="shared" si="29"/>
        <v>178829.53501953126</v>
      </c>
      <c r="X190" s="2">
        <f t="shared" si="30"/>
        <v>45936314.957882389</v>
      </c>
      <c r="Y190" s="2">
        <f t="shared" si="31"/>
        <v>324367.88</v>
      </c>
      <c r="Z190" s="2">
        <f t="shared" si="32"/>
        <v>55.13</v>
      </c>
      <c r="AA190" s="2">
        <f t="shared" si="35"/>
        <v>46019098.482423708</v>
      </c>
      <c r="AB190" s="2">
        <f t="shared" si="33"/>
        <v>-82783.524541318417</v>
      </c>
    </row>
    <row r="191" spans="1:28">
      <c r="A191" s="2">
        <v>188</v>
      </c>
      <c r="B191" s="2" t="s">
        <v>845</v>
      </c>
      <c r="C191" s="2" t="s">
        <v>36</v>
      </c>
      <c r="D191" s="3" t="s">
        <v>37</v>
      </c>
      <c r="E191" s="5" t="s">
        <v>134</v>
      </c>
      <c r="F191" s="2" t="s">
        <v>846</v>
      </c>
      <c r="G191" s="2" t="s">
        <v>97</v>
      </c>
      <c r="H191" s="2" t="s">
        <v>847</v>
      </c>
      <c r="I191" s="2" t="s">
        <v>847</v>
      </c>
      <c r="J191" s="2" t="s">
        <v>42</v>
      </c>
      <c r="K191" s="2">
        <f t="shared" si="34"/>
        <v>45936314.957882389</v>
      </c>
      <c r="L191" s="2" t="s">
        <v>345</v>
      </c>
      <c r="M191" s="2" t="s">
        <v>183</v>
      </c>
      <c r="N191" s="2" t="s">
        <v>181</v>
      </c>
      <c r="O191" s="2">
        <v>1425</v>
      </c>
      <c r="P191" s="2">
        <v>751.15</v>
      </c>
      <c r="Q191" s="2">
        <v>775.35</v>
      </c>
      <c r="R191" s="2">
        <f t="shared" si="24"/>
        <v>1070388.75</v>
      </c>
      <c r="S191" s="2">
        <f t="shared" si="25"/>
        <v>1104873.75</v>
      </c>
      <c r="T191" s="2">
        <f t="shared" si="26"/>
        <v>2175262.5</v>
      </c>
      <c r="U191" s="2">
        <f t="shared" si="27"/>
        <v>1087.6300000000001</v>
      </c>
      <c r="V191" s="2">
        <f t="shared" si="28"/>
        <v>34485</v>
      </c>
      <c r="W191" s="2">
        <f t="shared" si="29"/>
        <v>33397.370000000003</v>
      </c>
      <c r="X191" s="2">
        <f t="shared" si="30"/>
        <v>45969712.327882387</v>
      </c>
      <c r="Y191" s="2">
        <f t="shared" si="31"/>
        <v>214077.75</v>
      </c>
      <c r="Z191" s="2">
        <f t="shared" si="32"/>
        <v>15.6</v>
      </c>
      <c r="AA191" s="2">
        <f t="shared" si="35"/>
        <v>46019098.482423708</v>
      </c>
      <c r="AB191" s="2">
        <f t="shared" si="33"/>
        <v>-49386.154541321099</v>
      </c>
    </row>
    <row r="192" spans="1:28">
      <c r="A192" s="2">
        <v>189</v>
      </c>
      <c r="B192" s="2" t="s">
        <v>848</v>
      </c>
      <c r="C192" s="2" t="s">
        <v>36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2" t="s">
        <v>829</v>
      </c>
      <c r="I192" s="2" t="s">
        <v>849</v>
      </c>
      <c r="J192" s="2" t="s">
        <v>850</v>
      </c>
      <c r="K192" s="2">
        <f t="shared" si="34"/>
        <v>45969712.327882387</v>
      </c>
      <c r="L192" s="2" t="s">
        <v>189</v>
      </c>
      <c r="M192" s="2" t="s">
        <v>264</v>
      </c>
      <c r="N192" s="2" t="s">
        <v>148</v>
      </c>
      <c r="O192" s="2">
        <v>2659</v>
      </c>
      <c r="P192" s="2">
        <v>353.91116333007812</v>
      </c>
      <c r="Q192" s="2">
        <v>346.74795532226562</v>
      </c>
      <c r="R192" s="2">
        <f t="shared" si="24"/>
        <v>941049.78329467773</v>
      </c>
      <c r="S192" s="2">
        <f t="shared" si="25"/>
        <v>922002.8132019043</v>
      </c>
      <c r="T192" s="2">
        <f t="shared" si="26"/>
        <v>1863052.596496582</v>
      </c>
      <c r="U192" s="2">
        <f t="shared" si="27"/>
        <v>931.53</v>
      </c>
      <c r="V192" s="2">
        <f t="shared" si="28"/>
        <v>-19046.970092773438</v>
      </c>
      <c r="W192" s="2">
        <f t="shared" si="29"/>
        <v>-19978.500092773436</v>
      </c>
      <c r="X192" s="2">
        <f t="shared" si="30"/>
        <v>45949733.827789612</v>
      </c>
      <c r="Y192" s="2">
        <f t="shared" si="31"/>
        <v>188209.96</v>
      </c>
      <c r="Z192" s="2">
        <f t="shared" si="32"/>
        <v>-10.62</v>
      </c>
      <c r="AA192" s="2">
        <f t="shared" si="35"/>
        <v>46019098.482423708</v>
      </c>
      <c r="AB192" s="2">
        <f t="shared" si="33"/>
        <v>-69364.654634095728</v>
      </c>
    </row>
    <row r="193" spans="1:28">
      <c r="A193" s="2">
        <v>190</v>
      </c>
      <c r="B193" s="2" t="s">
        <v>851</v>
      </c>
      <c r="C193" s="2" t="s">
        <v>36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431</v>
      </c>
      <c r="J193" s="2" t="s">
        <v>853</v>
      </c>
      <c r="K193" s="2">
        <f t="shared" si="34"/>
        <v>45949733.827789612</v>
      </c>
      <c r="L193" s="2" t="s">
        <v>183</v>
      </c>
      <c r="M193" s="2" t="s">
        <v>173</v>
      </c>
      <c r="N193" s="2" t="s">
        <v>166</v>
      </c>
      <c r="O193" s="2">
        <v>5500</v>
      </c>
      <c r="P193" s="2">
        <v>127.3141555786133</v>
      </c>
      <c r="Q193" s="2">
        <v>122.37363433837891</v>
      </c>
      <c r="R193" s="2">
        <f t="shared" si="24"/>
        <v>700227.85568237316</v>
      </c>
      <c r="S193" s="2">
        <f t="shared" si="25"/>
        <v>673054.98886108398</v>
      </c>
      <c r="T193" s="2">
        <f t="shared" si="26"/>
        <v>1373282.844543457</v>
      </c>
      <c r="U193" s="2">
        <f t="shared" si="27"/>
        <v>686.64</v>
      </c>
      <c r="V193" s="2">
        <f t="shared" si="28"/>
        <v>-27172.866821289179</v>
      </c>
      <c r="W193" s="2">
        <f t="shared" si="29"/>
        <v>-27859.506821289178</v>
      </c>
      <c r="X193" s="2">
        <f t="shared" si="30"/>
        <v>45921874.320968322</v>
      </c>
      <c r="Y193" s="2">
        <f t="shared" si="31"/>
        <v>140045.57</v>
      </c>
      <c r="Z193" s="2">
        <f t="shared" si="32"/>
        <v>-19.89</v>
      </c>
      <c r="AA193" s="2">
        <f t="shared" si="35"/>
        <v>46019098.482423708</v>
      </c>
      <c r="AB193" s="2">
        <f t="shared" si="33"/>
        <v>-97224.161455385387</v>
      </c>
    </row>
    <row r="194" spans="1:28">
      <c r="A194" s="2">
        <v>191</v>
      </c>
      <c r="B194" s="2" t="s">
        <v>854</v>
      </c>
      <c r="C194" s="2" t="s">
        <v>36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857</v>
      </c>
      <c r="J194" s="2" t="s">
        <v>858</v>
      </c>
      <c r="K194" s="2">
        <f t="shared" si="34"/>
        <v>45921874.320968322</v>
      </c>
      <c r="L194" s="2" t="s">
        <v>859</v>
      </c>
      <c r="M194" s="2" t="s">
        <v>345</v>
      </c>
      <c r="N194" s="2" t="s">
        <v>336</v>
      </c>
      <c r="O194" s="2">
        <v>175</v>
      </c>
      <c r="P194" s="2">
        <v>4018.330322265625</v>
      </c>
      <c r="Q194" s="2">
        <v>3834.6953125</v>
      </c>
      <c r="R194" s="2">
        <f t="shared" si="24"/>
        <v>703207.80639648438</v>
      </c>
      <c r="S194" s="2">
        <f t="shared" si="25"/>
        <v>671071.6796875</v>
      </c>
      <c r="T194" s="2">
        <f t="shared" si="26"/>
        <v>1374279.4860839844</v>
      </c>
      <c r="U194" s="2">
        <f t="shared" si="27"/>
        <v>687.14</v>
      </c>
      <c r="V194" s="2">
        <f t="shared" si="28"/>
        <v>-32136.126708984375</v>
      </c>
      <c r="W194" s="2">
        <f t="shared" si="29"/>
        <v>-32823.266708984374</v>
      </c>
      <c r="X194" s="2">
        <f t="shared" si="30"/>
        <v>45889051.054259337</v>
      </c>
      <c r="Y194" s="2">
        <f t="shared" si="31"/>
        <v>140641.56</v>
      </c>
      <c r="Z194" s="2">
        <f t="shared" si="32"/>
        <v>-23.34</v>
      </c>
      <c r="AA194" s="2">
        <f t="shared" si="35"/>
        <v>46019098.482423708</v>
      </c>
      <c r="AB194" s="2">
        <f t="shared" si="33"/>
        <v>-130047.42816437036</v>
      </c>
    </row>
    <row r="195" spans="1:28">
      <c r="A195" s="2">
        <v>192</v>
      </c>
      <c r="B195" s="2" t="s">
        <v>860</v>
      </c>
      <c r="C195" s="2" t="s">
        <v>36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863</v>
      </c>
      <c r="J195" s="2" t="s">
        <v>864</v>
      </c>
      <c r="K195" s="2">
        <f t="shared" si="34"/>
        <v>45889051.054259337</v>
      </c>
      <c r="L195" s="2" t="s">
        <v>181</v>
      </c>
      <c r="M195" s="2" t="s">
        <v>182</v>
      </c>
      <c r="N195" s="2" t="s">
        <v>251</v>
      </c>
      <c r="O195" s="2">
        <v>600</v>
      </c>
      <c r="P195" s="2">
        <v>1623.04150390625</v>
      </c>
      <c r="Q195" s="2">
        <v>1587.566284179688</v>
      </c>
      <c r="R195" s="2">
        <f t="shared" si="24"/>
        <v>973824.90234375</v>
      </c>
      <c r="S195" s="2">
        <f t="shared" si="25"/>
        <v>952539.77050781273</v>
      </c>
      <c r="T195" s="2">
        <f t="shared" si="26"/>
        <v>1926364.6728515627</v>
      </c>
      <c r="U195" s="2">
        <f t="shared" si="27"/>
        <v>963.18</v>
      </c>
      <c r="V195" s="2">
        <f t="shared" si="28"/>
        <v>-21285.131835937267</v>
      </c>
      <c r="W195" s="2">
        <f t="shared" si="29"/>
        <v>-22248.311835937267</v>
      </c>
      <c r="X195" s="2">
        <f t="shared" si="30"/>
        <v>45866802.7424234</v>
      </c>
      <c r="Y195" s="2">
        <f t="shared" si="31"/>
        <v>194764.98</v>
      </c>
      <c r="Z195" s="2">
        <f t="shared" si="32"/>
        <v>-11.42</v>
      </c>
      <c r="AA195" s="2">
        <f t="shared" si="35"/>
        <v>46019098.482423708</v>
      </c>
      <c r="AB195" s="2">
        <f t="shared" si="33"/>
        <v>-152295.74000030756</v>
      </c>
    </row>
    <row r="196" spans="1:28">
      <c r="A196" s="2">
        <v>193</v>
      </c>
      <c r="B196" s="2" t="s">
        <v>865</v>
      </c>
      <c r="C196" s="2" t="s">
        <v>36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2" t="s">
        <v>866</v>
      </c>
      <c r="I196" s="2" t="s">
        <v>867</v>
      </c>
      <c r="J196" s="2" t="s">
        <v>475</v>
      </c>
      <c r="K196" s="2">
        <f t="shared" si="34"/>
        <v>45866802.7424234</v>
      </c>
      <c r="L196" s="2" t="s">
        <v>189</v>
      </c>
      <c r="M196" s="2" t="s">
        <v>148</v>
      </c>
      <c r="N196" s="2" t="s">
        <v>74</v>
      </c>
      <c r="O196" s="2">
        <v>371</v>
      </c>
      <c r="P196" s="2">
        <v>3086.3212890625</v>
      </c>
      <c r="Q196" s="2">
        <v>3192.954345703125</v>
      </c>
      <c r="R196" s="2">
        <f t="shared" ref="R196:R214" si="36">O196*P196</f>
        <v>1145025.1982421875</v>
      </c>
      <c r="S196" s="2">
        <f t="shared" ref="S196:S214" si="37">O196*Q196</f>
        <v>1184586.0622558594</v>
      </c>
      <c r="T196" s="2">
        <f t="shared" ref="T196:T259" si="38">R196+S196</f>
        <v>2329611.2604980469</v>
      </c>
      <c r="U196" s="2">
        <f t="shared" ref="U196:U259" si="39">ROUND(T196*0.0005, 2)</f>
        <v>1164.81</v>
      </c>
      <c r="V196" s="2">
        <f t="shared" ref="V196:V214" si="40">S196-R196</f>
        <v>39560.864013671875</v>
      </c>
      <c r="W196" s="2">
        <f t="shared" ref="W196:W259" si="41">V196-U196</f>
        <v>38396.054013671877</v>
      </c>
      <c r="X196" s="2">
        <f t="shared" ref="X196:X259" si="42">K196+W196</f>
        <v>45905198.79643707</v>
      </c>
      <c r="Y196" s="2">
        <f t="shared" ref="Y196:Y214" si="43">ROUND(0.2*R196, 2)</f>
        <v>229005.04</v>
      </c>
      <c r="Z196" s="2">
        <f t="shared" ref="Z196:Z259" si="44">ROUND((W196/Y196)*100, 2)</f>
        <v>16.77</v>
      </c>
      <c r="AA196" s="2">
        <f t="shared" si="35"/>
        <v>46019098.482423708</v>
      </c>
      <c r="AB196" s="2">
        <f t="shared" ref="AB196:AB259" si="45">X196-AA196</f>
        <v>-113899.68598663807</v>
      </c>
    </row>
    <row r="197" spans="1:28">
      <c r="A197" s="2">
        <v>194</v>
      </c>
      <c r="B197" s="2" t="s">
        <v>868</v>
      </c>
      <c r="C197" s="2" t="s">
        <v>36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871</v>
      </c>
      <c r="J197" s="2" t="s">
        <v>872</v>
      </c>
      <c r="K197" s="2">
        <f t="shared" ref="K197:K214" si="46">X196</f>
        <v>45905198.79643707</v>
      </c>
      <c r="L197" s="2" t="s">
        <v>148</v>
      </c>
      <c r="M197" s="2" t="s">
        <v>147</v>
      </c>
      <c r="N197" s="2" t="s">
        <v>148</v>
      </c>
      <c r="O197" s="2">
        <v>175</v>
      </c>
      <c r="P197" s="2">
        <v>3389.394775390625</v>
      </c>
      <c r="Q197" s="2">
        <v>3575.174072265625</v>
      </c>
      <c r="R197" s="2">
        <f t="shared" si="36"/>
        <v>593144.08569335938</v>
      </c>
      <c r="S197" s="2">
        <f t="shared" si="37"/>
        <v>625655.46264648437</v>
      </c>
      <c r="T197" s="2">
        <f t="shared" si="38"/>
        <v>1218799.5483398438</v>
      </c>
      <c r="U197" s="2">
        <f t="shared" si="39"/>
        <v>609.4</v>
      </c>
      <c r="V197" s="2">
        <f t="shared" si="40"/>
        <v>32511.376953125</v>
      </c>
      <c r="W197" s="2">
        <f t="shared" si="41"/>
        <v>31901.976953124999</v>
      </c>
      <c r="X197" s="2">
        <f t="shared" si="42"/>
        <v>45937100.773390196</v>
      </c>
      <c r="Y197" s="2">
        <f t="shared" si="43"/>
        <v>118628.82</v>
      </c>
      <c r="Z197" s="2">
        <f t="shared" si="44"/>
        <v>26.89</v>
      </c>
      <c r="AA197" s="2">
        <f t="shared" ref="AA197:AA214" si="47">MAX(AA196, X197)</f>
        <v>46019098.482423708</v>
      </c>
      <c r="AB197" s="2">
        <f t="shared" si="45"/>
        <v>-81997.709033511579</v>
      </c>
    </row>
    <row r="198" spans="1:28">
      <c r="A198" s="2">
        <v>195</v>
      </c>
      <c r="B198" s="2" t="s">
        <v>873</v>
      </c>
      <c r="C198" s="2" t="s">
        <v>36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348</v>
      </c>
      <c r="J198" s="2" t="s">
        <v>448</v>
      </c>
      <c r="K198" s="2">
        <f t="shared" si="46"/>
        <v>45937100.773390196</v>
      </c>
      <c r="L198" s="2" t="s">
        <v>875</v>
      </c>
      <c r="M198" s="2" t="s">
        <v>876</v>
      </c>
      <c r="N198" s="2" t="s">
        <v>877</v>
      </c>
      <c r="O198" s="2">
        <v>3054</v>
      </c>
      <c r="P198" s="2">
        <v>252.5224914550781</v>
      </c>
      <c r="Q198" s="2">
        <v>254.38063049316409</v>
      </c>
      <c r="R198" s="2">
        <f t="shared" si="36"/>
        <v>771203.68890380848</v>
      </c>
      <c r="S198" s="2">
        <f t="shared" si="37"/>
        <v>776878.44552612316</v>
      </c>
      <c r="T198" s="2">
        <f t="shared" si="38"/>
        <v>1548082.1344299316</v>
      </c>
      <c r="U198" s="2">
        <f t="shared" si="39"/>
        <v>774.04</v>
      </c>
      <c r="V198" s="2">
        <f t="shared" si="40"/>
        <v>5674.756622314686</v>
      </c>
      <c r="W198" s="2">
        <f t="shared" si="41"/>
        <v>4900.716622314686</v>
      </c>
      <c r="X198" s="2">
        <f t="shared" si="42"/>
        <v>45942001.490012512</v>
      </c>
      <c r="Y198" s="2">
        <f t="shared" si="43"/>
        <v>154240.74</v>
      </c>
      <c r="Z198" s="2">
        <f t="shared" si="44"/>
        <v>3.18</v>
      </c>
      <c r="AA198" s="2">
        <f t="shared" si="47"/>
        <v>46019098.482423708</v>
      </c>
      <c r="AB198" s="2">
        <f t="shared" si="45"/>
        <v>-77096.992411196232</v>
      </c>
    </row>
    <row r="199" spans="1:28">
      <c r="A199" s="2">
        <v>196</v>
      </c>
      <c r="B199" s="2" t="s">
        <v>878</v>
      </c>
      <c r="C199" s="2" t="s">
        <v>36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2" t="s">
        <v>879</v>
      </c>
      <c r="I199" s="2" t="s">
        <v>276</v>
      </c>
      <c r="J199" s="2" t="s">
        <v>880</v>
      </c>
      <c r="K199" s="2">
        <f t="shared" si="46"/>
        <v>45942001.490012512</v>
      </c>
      <c r="L199" s="2" t="s">
        <v>182</v>
      </c>
      <c r="M199" s="2" t="s">
        <v>89</v>
      </c>
      <c r="N199" s="2" t="s">
        <v>167</v>
      </c>
      <c r="O199" s="2">
        <v>205</v>
      </c>
      <c r="P199" s="2">
        <v>3203.9609375</v>
      </c>
      <c r="Q199" s="2">
        <v>3296.729736328125</v>
      </c>
      <c r="R199" s="2">
        <f t="shared" si="36"/>
        <v>656811.9921875</v>
      </c>
      <c r="S199" s="2">
        <f t="shared" si="37"/>
        <v>675829.59594726562</v>
      </c>
      <c r="T199" s="2">
        <f t="shared" si="38"/>
        <v>1332641.5881347656</v>
      </c>
      <c r="U199" s="2">
        <f t="shared" si="39"/>
        <v>666.32</v>
      </c>
      <c r="V199" s="2">
        <f t="shared" si="40"/>
        <v>19017.603759765625</v>
      </c>
      <c r="W199" s="2">
        <f t="shared" si="41"/>
        <v>18351.283759765625</v>
      </c>
      <c r="X199" s="2">
        <f t="shared" si="42"/>
        <v>45960352.773772277</v>
      </c>
      <c r="Y199" s="2">
        <f t="shared" si="43"/>
        <v>131362.4</v>
      </c>
      <c r="Z199" s="2">
        <f t="shared" si="44"/>
        <v>13.97</v>
      </c>
      <c r="AA199" s="2">
        <f t="shared" si="47"/>
        <v>46019098.482423708</v>
      </c>
      <c r="AB199" s="2">
        <f t="shared" si="45"/>
        <v>-58745.708651430905</v>
      </c>
    </row>
    <row r="200" spans="1:28">
      <c r="A200" s="2">
        <v>197</v>
      </c>
      <c r="B200" s="2" t="s">
        <v>881</v>
      </c>
      <c r="C200" s="2" t="s">
        <v>36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884</v>
      </c>
      <c r="J200" s="2" t="s">
        <v>885</v>
      </c>
      <c r="K200" s="2">
        <f t="shared" si="46"/>
        <v>45960352.773772277</v>
      </c>
      <c r="L200" s="2" t="s">
        <v>88</v>
      </c>
      <c r="M200" s="2" t="s">
        <v>139</v>
      </c>
      <c r="N200" s="2" t="s">
        <v>147</v>
      </c>
      <c r="O200" s="2">
        <v>345</v>
      </c>
      <c r="P200" s="2">
        <v>5738.1533203125</v>
      </c>
      <c r="Q200" s="2">
        <v>5246.0146484375</v>
      </c>
      <c r="R200" s="2">
        <f t="shared" si="36"/>
        <v>1979662.8955078125</v>
      </c>
      <c r="S200" s="2">
        <f t="shared" si="37"/>
        <v>1809875.0537109375</v>
      </c>
      <c r="T200" s="2">
        <f t="shared" si="38"/>
        <v>3789537.94921875</v>
      </c>
      <c r="U200" s="2">
        <f t="shared" si="39"/>
        <v>1894.77</v>
      </c>
      <c r="V200" s="2">
        <f t="shared" si="40"/>
        <v>-169787.841796875</v>
      </c>
      <c r="W200" s="2">
        <f t="shared" si="41"/>
        <v>-171682.61179687499</v>
      </c>
      <c r="X200" s="2">
        <f t="shared" si="42"/>
        <v>45788670.161975399</v>
      </c>
      <c r="Y200" s="2">
        <f t="shared" si="43"/>
        <v>395932.58</v>
      </c>
      <c r="Z200" s="2">
        <f t="shared" si="44"/>
        <v>-43.36</v>
      </c>
      <c r="AA200" s="2">
        <f t="shared" si="47"/>
        <v>46019098.482423708</v>
      </c>
      <c r="AB200" s="2">
        <f t="shared" si="45"/>
        <v>-230428.32044830918</v>
      </c>
    </row>
    <row r="201" spans="1:28">
      <c r="A201" s="2">
        <v>198</v>
      </c>
      <c r="B201" s="2" t="s">
        <v>886</v>
      </c>
      <c r="C201" s="2" t="s">
        <v>36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2" t="s">
        <v>887</v>
      </c>
      <c r="I201" s="2" t="s">
        <v>888</v>
      </c>
      <c r="J201" s="2" t="s">
        <v>889</v>
      </c>
      <c r="K201" s="2">
        <f t="shared" si="46"/>
        <v>45788670.161975399</v>
      </c>
      <c r="L201" s="2" t="s">
        <v>87</v>
      </c>
      <c r="M201" s="2" t="s">
        <v>189</v>
      </c>
      <c r="N201" s="2" t="s">
        <v>204</v>
      </c>
      <c r="O201" s="2">
        <v>237</v>
      </c>
      <c r="P201" s="2">
        <v>2446.02197265625</v>
      </c>
      <c r="Q201" s="2">
        <v>2255.97705078125</v>
      </c>
      <c r="R201" s="2">
        <f t="shared" si="36"/>
        <v>579707.20751953125</v>
      </c>
      <c r="S201" s="2">
        <f t="shared" si="37"/>
        <v>534666.56103515625</v>
      </c>
      <c r="T201" s="2">
        <f t="shared" si="38"/>
        <v>1114373.7685546875</v>
      </c>
      <c r="U201" s="2">
        <f t="shared" si="39"/>
        <v>557.19000000000005</v>
      </c>
      <c r="V201" s="2">
        <f t="shared" si="40"/>
        <v>-45040.646484375</v>
      </c>
      <c r="W201" s="2">
        <f t="shared" si="41"/>
        <v>-45597.836484375002</v>
      </c>
      <c r="X201" s="2">
        <f t="shared" si="42"/>
        <v>45743072.325491026</v>
      </c>
      <c r="Y201" s="2">
        <f t="shared" si="43"/>
        <v>115941.44</v>
      </c>
      <c r="Z201" s="2">
        <f t="shared" si="44"/>
        <v>-39.33</v>
      </c>
      <c r="AA201" s="2">
        <f t="shared" si="47"/>
        <v>46019098.482423708</v>
      </c>
      <c r="AB201" s="2">
        <f t="shared" si="45"/>
        <v>-276026.1569326818</v>
      </c>
    </row>
    <row r="202" spans="1:28">
      <c r="A202" s="2">
        <v>199</v>
      </c>
      <c r="B202" s="2" t="s">
        <v>890</v>
      </c>
      <c r="C202" s="2" t="s">
        <v>36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892</v>
      </c>
      <c r="J202" s="2" t="s">
        <v>893</v>
      </c>
      <c r="K202" s="2">
        <f t="shared" si="46"/>
        <v>45743072.325491026</v>
      </c>
      <c r="L202" s="2" t="s">
        <v>251</v>
      </c>
      <c r="M202" s="2" t="s">
        <v>89</v>
      </c>
      <c r="N202" s="2" t="s">
        <v>182</v>
      </c>
      <c r="O202" s="2">
        <v>100</v>
      </c>
      <c r="P202" s="2">
        <v>11407.09375</v>
      </c>
      <c r="Q202" s="2">
        <v>10513.359375</v>
      </c>
      <c r="R202" s="2">
        <f t="shared" si="36"/>
        <v>1140709.375</v>
      </c>
      <c r="S202" s="2">
        <f t="shared" si="37"/>
        <v>1051335.9375</v>
      </c>
      <c r="T202" s="2">
        <f t="shared" si="38"/>
        <v>2192045.3125</v>
      </c>
      <c r="U202" s="2">
        <f t="shared" si="39"/>
        <v>1096.02</v>
      </c>
      <c r="V202" s="2">
        <f t="shared" si="40"/>
        <v>-89373.4375</v>
      </c>
      <c r="W202" s="2">
        <f t="shared" si="41"/>
        <v>-90469.457500000004</v>
      </c>
      <c r="X202" s="2">
        <f t="shared" si="42"/>
        <v>45652602.867991023</v>
      </c>
      <c r="Y202" s="2">
        <f t="shared" si="43"/>
        <v>228141.88</v>
      </c>
      <c r="Z202" s="2">
        <f t="shared" si="44"/>
        <v>-39.65</v>
      </c>
      <c r="AA202" s="2">
        <f t="shared" si="47"/>
        <v>46019098.482423708</v>
      </c>
      <c r="AB202" s="2">
        <f t="shared" si="45"/>
        <v>-366495.61443268508</v>
      </c>
    </row>
    <row r="203" spans="1:28">
      <c r="A203" s="2">
        <v>200</v>
      </c>
      <c r="B203" s="2" t="s">
        <v>894</v>
      </c>
      <c r="C203" s="2" t="s">
        <v>36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2" t="s">
        <v>895</v>
      </c>
      <c r="I203" s="2" t="s">
        <v>783</v>
      </c>
      <c r="J203" s="2" t="s">
        <v>896</v>
      </c>
      <c r="K203" s="2">
        <f t="shared" si="46"/>
        <v>45652602.867991023</v>
      </c>
      <c r="L203" s="2" t="s">
        <v>167</v>
      </c>
      <c r="M203" s="2" t="s">
        <v>173</v>
      </c>
      <c r="N203" s="2" t="s">
        <v>204</v>
      </c>
      <c r="O203" s="2">
        <v>5868</v>
      </c>
      <c r="P203" s="2">
        <v>100.80796051025391</v>
      </c>
      <c r="Q203" s="2">
        <v>105.6369705200195</v>
      </c>
      <c r="R203" s="2">
        <f t="shared" si="36"/>
        <v>591541.11227416992</v>
      </c>
      <c r="S203" s="2">
        <f t="shared" si="37"/>
        <v>619877.74301147449</v>
      </c>
      <c r="T203" s="2">
        <f t="shared" si="38"/>
        <v>1211418.8552856445</v>
      </c>
      <c r="U203" s="2">
        <f t="shared" si="39"/>
        <v>605.71</v>
      </c>
      <c r="V203" s="2">
        <f t="shared" si="40"/>
        <v>28336.630737304571</v>
      </c>
      <c r="W203" s="2">
        <f t="shared" si="41"/>
        <v>27730.920737304572</v>
      </c>
      <c r="X203" s="2">
        <f t="shared" si="42"/>
        <v>45680333.788728327</v>
      </c>
      <c r="Y203" s="2">
        <f t="shared" si="43"/>
        <v>118308.22</v>
      </c>
      <c r="Z203" s="2">
        <f t="shared" si="44"/>
        <v>23.44</v>
      </c>
      <c r="AA203" s="2">
        <f t="shared" si="47"/>
        <v>46019098.482423708</v>
      </c>
      <c r="AB203" s="2">
        <f t="shared" si="45"/>
        <v>-338764.69369538128</v>
      </c>
    </row>
    <row r="204" spans="1:28">
      <c r="A204" s="2">
        <v>201</v>
      </c>
      <c r="B204" s="2" t="s">
        <v>897</v>
      </c>
      <c r="C204" s="2" t="s">
        <v>36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2" t="s">
        <v>898</v>
      </c>
      <c r="I204" s="2" t="s">
        <v>194</v>
      </c>
      <c r="J204" s="2" t="s">
        <v>677</v>
      </c>
      <c r="K204" s="2">
        <f t="shared" si="46"/>
        <v>45680333.788728327</v>
      </c>
      <c r="L204" s="2" t="s">
        <v>251</v>
      </c>
      <c r="M204" s="2" t="s">
        <v>189</v>
      </c>
      <c r="N204" s="2" t="s">
        <v>182</v>
      </c>
      <c r="O204" s="2">
        <v>652</v>
      </c>
      <c r="P204" s="2">
        <v>1398.328491210938</v>
      </c>
      <c r="Q204" s="2">
        <v>1397.936767578125</v>
      </c>
      <c r="R204" s="2">
        <f t="shared" si="36"/>
        <v>911710.1762695316</v>
      </c>
      <c r="S204" s="2">
        <f t="shared" si="37"/>
        <v>911454.7724609375</v>
      </c>
      <c r="T204" s="2">
        <f t="shared" si="38"/>
        <v>1823164.9487304692</v>
      </c>
      <c r="U204" s="2">
        <f t="shared" si="39"/>
        <v>911.58</v>
      </c>
      <c r="V204" s="2">
        <f t="shared" si="40"/>
        <v>-255.40380859409925</v>
      </c>
      <c r="W204" s="2">
        <f t="shared" si="41"/>
        <v>-1166.9838085940992</v>
      </c>
      <c r="X204" s="2">
        <f t="shared" si="42"/>
        <v>45679166.804919735</v>
      </c>
      <c r="Y204" s="2">
        <f t="shared" si="43"/>
        <v>182342.04</v>
      </c>
      <c r="Z204" s="2">
        <f t="shared" si="44"/>
        <v>-0.64</v>
      </c>
      <c r="AA204" s="2">
        <f t="shared" si="47"/>
        <v>46019098.482423708</v>
      </c>
      <c r="AB204" s="2">
        <f t="shared" si="45"/>
        <v>-339931.67750397325</v>
      </c>
    </row>
    <row r="205" spans="1:28">
      <c r="A205" s="2">
        <v>202</v>
      </c>
      <c r="B205" s="2" t="s">
        <v>899</v>
      </c>
      <c r="C205" s="2" t="s">
        <v>36</v>
      </c>
      <c r="D205" s="3" t="s">
        <v>37</v>
      </c>
      <c r="E205" s="5" t="s">
        <v>134</v>
      </c>
      <c r="F205" s="2" t="s">
        <v>135</v>
      </c>
      <c r="G205" s="2" t="s">
        <v>40</v>
      </c>
      <c r="H205" s="2" t="s">
        <v>638</v>
      </c>
      <c r="I205" s="2" t="s">
        <v>900</v>
      </c>
      <c r="J205" s="2" t="s">
        <v>901</v>
      </c>
      <c r="K205" s="2">
        <f t="shared" si="46"/>
        <v>45679166.804919735</v>
      </c>
      <c r="L205" s="2" t="s">
        <v>189</v>
      </c>
      <c r="M205" s="2" t="s">
        <v>140</v>
      </c>
      <c r="N205" s="2" t="s">
        <v>147</v>
      </c>
      <c r="O205" s="2">
        <v>852</v>
      </c>
      <c r="P205" s="2">
        <v>891.053955078125</v>
      </c>
      <c r="Q205" s="2">
        <v>986.82269287109375</v>
      </c>
      <c r="R205" s="2">
        <f t="shared" si="36"/>
        <v>759177.9697265625</v>
      </c>
      <c r="S205" s="2">
        <f t="shared" si="37"/>
        <v>840772.93432617188</v>
      </c>
      <c r="T205" s="2">
        <f t="shared" si="38"/>
        <v>1599950.9040527344</v>
      </c>
      <c r="U205" s="2">
        <f t="shared" si="39"/>
        <v>799.98</v>
      </c>
      <c r="V205" s="2">
        <f t="shared" si="40"/>
        <v>81594.964599609375</v>
      </c>
      <c r="W205" s="2">
        <f t="shared" si="41"/>
        <v>80794.984599609379</v>
      </c>
      <c r="X205" s="2">
        <f t="shared" si="42"/>
        <v>45759961.789519347</v>
      </c>
      <c r="Y205" s="2">
        <f t="shared" si="43"/>
        <v>151835.59</v>
      </c>
      <c r="Z205" s="2">
        <f t="shared" si="44"/>
        <v>53.21</v>
      </c>
      <c r="AA205" s="2">
        <f t="shared" si="47"/>
        <v>46019098.482423708</v>
      </c>
      <c r="AB205" s="2">
        <f t="shared" si="45"/>
        <v>-259136.69290436059</v>
      </c>
    </row>
    <row r="206" spans="1:28">
      <c r="A206" s="2">
        <v>203</v>
      </c>
      <c r="B206" s="2" t="s">
        <v>902</v>
      </c>
      <c r="C206" s="2" t="s">
        <v>36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2" t="s">
        <v>903</v>
      </c>
      <c r="I206" s="2" t="s">
        <v>904</v>
      </c>
      <c r="J206" s="2" t="s">
        <v>905</v>
      </c>
      <c r="K206" s="2">
        <f t="shared" si="46"/>
        <v>45759961.789519347</v>
      </c>
      <c r="L206" s="2" t="s">
        <v>166</v>
      </c>
      <c r="M206" s="2" t="s">
        <v>88</v>
      </c>
      <c r="N206" s="2" t="s">
        <v>73</v>
      </c>
      <c r="O206" s="2">
        <v>1659</v>
      </c>
      <c r="P206" s="2">
        <v>633.465087890625</v>
      </c>
      <c r="Q206" s="2">
        <v>532.27947998046875</v>
      </c>
      <c r="R206" s="2">
        <f t="shared" si="36"/>
        <v>1050918.5808105469</v>
      </c>
      <c r="S206" s="2">
        <f t="shared" si="37"/>
        <v>883051.65728759766</v>
      </c>
      <c r="T206" s="2">
        <f t="shared" si="38"/>
        <v>1933970.2380981445</v>
      </c>
      <c r="U206" s="2">
        <f t="shared" si="39"/>
        <v>966.99</v>
      </c>
      <c r="V206" s="2">
        <f t="shared" si="40"/>
        <v>-167866.92352294922</v>
      </c>
      <c r="W206" s="2">
        <f t="shared" si="41"/>
        <v>-168833.91352294921</v>
      </c>
      <c r="X206" s="2">
        <f t="shared" si="42"/>
        <v>45591127.875996396</v>
      </c>
      <c r="Y206" s="2">
        <f t="shared" si="43"/>
        <v>210183.72</v>
      </c>
      <c r="Z206" s="2">
        <f t="shared" si="44"/>
        <v>-80.33</v>
      </c>
      <c r="AA206" s="2">
        <f t="shared" si="47"/>
        <v>46019098.482423708</v>
      </c>
      <c r="AB206" s="2">
        <f t="shared" si="45"/>
        <v>-427970.6064273119</v>
      </c>
    </row>
    <row r="207" spans="1:28">
      <c r="A207" s="2">
        <v>204</v>
      </c>
      <c r="B207" s="2" t="s">
        <v>906</v>
      </c>
      <c r="C207" s="2" t="s">
        <v>36</v>
      </c>
      <c r="D207" s="4" t="s">
        <v>61</v>
      </c>
      <c r="E207" s="5" t="s">
        <v>134</v>
      </c>
      <c r="F207" s="2" t="s">
        <v>135</v>
      </c>
      <c r="G207" s="2" t="s">
        <v>77</v>
      </c>
      <c r="H207" s="2" t="s">
        <v>907</v>
      </c>
      <c r="I207" s="2" t="s">
        <v>908</v>
      </c>
      <c r="J207" s="2" t="s">
        <v>909</v>
      </c>
      <c r="K207" s="2">
        <f t="shared" si="46"/>
        <v>45591127.875996396</v>
      </c>
      <c r="L207" s="2" t="s">
        <v>88</v>
      </c>
      <c r="M207" s="2" t="s">
        <v>131</v>
      </c>
      <c r="N207" s="2" t="s">
        <v>264</v>
      </c>
      <c r="O207" s="2">
        <v>2215</v>
      </c>
      <c r="P207" s="2">
        <v>517.727294921875</v>
      </c>
      <c r="Q207" s="2">
        <v>580.708251953125</v>
      </c>
      <c r="R207" s="2">
        <f t="shared" si="36"/>
        <v>1146765.9582519531</v>
      </c>
      <c r="S207" s="2">
        <f t="shared" si="37"/>
        <v>1286268.7780761719</v>
      </c>
      <c r="T207" s="2">
        <f t="shared" si="38"/>
        <v>2433034.736328125</v>
      </c>
      <c r="U207" s="2">
        <f t="shared" si="39"/>
        <v>1216.52</v>
      </c>
      <c r="V207" s="2">
        <f t="shared" si="40"/>
        <v>139502.81982421875</v>
      </c>
      <c r="W207" s="2">
        <f t="shared" si="41"/>
        <v>138286.29982421876</v>
      </c>
      <c r="X207" s="2">
        <f t="shared" si="42"/>
        <v>45729414.175820611</v>
      </c>
      <c r="Y207" s="2">
        <f t="shared" si="43"/>
        <v>229353.19</v>
      </c>
      <c r="Z207" s="2">
        <f t="shared" si="44"/>
        <v>60.29</v>
      </c>
      <c r="AA207" s="2">
        <f t="shared" si="47"/>
        <v>46019098.482423708</v>
      </c>
      <c r="AB207" s="2">
        <f t="shared" si="45"/>
        <v>-289684.30660309643</v>
      </c>
    </row>
    <row r="208" spans="1:28">
      <c r="A208" s="2">
        <v>205</v>
      </c>
      <c r="B208" s="2" t="s">
        <v>910</v>
      </c>
      <c r="C208" s="2" t="s">
        <v>36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2" t="s">
        <v>911</v>
      </c>
      <c r="I208" s="2" t="s">
        <v>847</v>
      </c>
      <c r="J208" s="2" t="s">
        <v>912</v>
      </c>
      <c r="K208" s="2">
        <f t="shared" si="46"/>
        <v>45729414.175820611</v>
      </c>
      <c r="L208" s="2" t="s">
        <v>189</v>
      </c>
      <c r="M208" s="2" t="s">
        <v>88</v>
      </c>
      <c r="N208" s="2" t="s">
        <v>73</v>
      </c>
      <c r="O208" s="2">
        <v>3738</v>
      </c>
      <c r="P208" s="2">
        <v>402.12179565429687</v>
      </c>
      <c r="Q208" s="2">
        <v>415.05581665039062</v>
      </c>
      <c r="R208" s="2">
        <f t="shared" si="36"/>
        <v>1503131.2721557617</v>
      </c>
      <c r="S208" s="2">
        <f t="shared" si="37"/>
        <v>1551478.6426391602</v>
      </c>
      <c r="T208" s="2">
        <f t="shared" si="38"/>
        <v>3054609.9147949219</v>
      </c>
      <c r="U208" s="2">
        <f t="shared" si="39"/>
        <v>1527.3</v>
      </c>
      <c r="V208" s="2">
        <f t="shared" si="40"/>
        <v>48347.370483398438</v>
      </c>
      <c r="W208" s="2">
        <f t="shared" si="41"/>
        <v>46820.070483398435</v>
      </c>
      <c r="X208" s="2">
        <f t="shared" si="42"/>
        <v>45776234.246304013</v>
      </c>
      <c r="Y208" s="2">
        <f t="shared" si="43"/>
        <v>300626.25</v>
      </c>
      <c r="Z208" s="2">
        <f t="shared" si="44"/>
        <v>15.57</v>
      </c>
      <c r="AA208" s="2">
        <f t="shared" si="47"/>
        <v>46019098.482423708</v>
      </c>
      <c r="AB208" s="2">
        <f t="shared" si="45"/>
        <v>-242864.23611969501</v>
      </c>
    </row>
    <row r="209" spans="1:28">
      <c r="A209" s="2">
        <v>206</v>
      </c>
      <c r="B209" s="2" t="s">
        <v>913</v>
      </c>
      <c r="C209" s="2" t="s">
        <v>36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2" t="s">
        <v>914</v>
      </c>
      <c r="I209" s="2" t="s">
        <v>914</v>
      </c>
      <c r="J209" s="2" t="s">
        <v>42</v>
      </c>
      <c r="K209" s="2">
        <f t="shared" si="46"/>
        <v>45776234.246304013</v>
      </c>
      <c r="L209" s="2" t="s">
        <v>167</v>
      </c>
      <c r="M209" s="2" t="s">
        <v>173</v>
      </c>
      <c r="N209" s="2" t="s">
        <v>73</v>
      </c>
      <c r="O209" s="2">
        <v>9268</v>
      </c>
      <c r="P209" s="2">
        <v>102.80999755859381</v>
      </c>
      <c r="Q209" s="2">
        <v>115.2600021362305</v>
      </c>
      <c r="R209" s="2">
        <f t="shared" si="36"/>
        <v>952843.05737304746</v>
      </c>
      <c r="S209" s="2">
        <f t="shared" si="37"/>
        <v>1068229.6997985842</v>
      </c>
      <c r="T209" s="2">
        <f t="shared" si="38"/>
        <v>2021072.7571716318</v>
      </c>
      <c r="U209" s="2">
        <f t="shared" si="39"/>
        <v>1010.54</v>
      </c>
      <c r="V209" s="2">
        <f t="shared" si="40"/>
        <v>115386.64242553676</v>
      </c>
      <c r="W209" s="2">
        <f t="shared" si="41"/>
        <v>114376.10242553677</v>
      </c>
      <c r="X209" s="2">
        <f t="shared" si="42"/>
        <v>45890610.348729551</v>
      </c>
      <c r="Y209" s="2">
        <f t="shared" si="43"/>
        <v>190568.61</v>
      </c>
      <c r="Z209" s="2">
        <f t="shared" si="44"/>
        <v>60.02</v>
      </c>
      <c r="AA209" s="2">
        <f t="shared" si="47"/>
        <v>46019098.482423708</v>
      </c>
      <c r="AB209" s="2">
        <f t="shared" si="45"/>
        <v>-128488.133694157</v>
      </c>
    </row>
    <row r="210" spans="1:28">
      <c r="A210" s="2">
        <v>207</v>
      </c>
      <c r="B210" s="2" t="s">
        <v>915</v>
      </c>
      <c r="C210" s="2" t="s">
        <v>36</v>
      </c>
      <c r="D210" s="4" t="s">
        <v>61</v>
      </c>
      <c r="E210" s="5" t="s">
        <v>134</v>
      </c>
      <c r="F210" s="2" t="s">
        <v>135</v>
      </c>
      <c r="G210" s="2" t="s">
        <v>54</v>
      </c>
      <c r="H210" s="2" t="s">
        <v>247</v>
      </c>
      <c r="I210" s="2" t="s">
        <v>916</v>
      </c>
      <c r="J210" s="2" t="s">
        <v>917</v>
      </c>
      <c r="K210" s="2">
        <f t="shared" si="46"/>
        <v>45890610.348729551</v>
      </c>
      <c r="L210" s="2" t="s">
        <v>167</v>
      </c>
      <c r="M210" s="2" t="s">
        <v>74</v>
      </c>
      <c r="N210" s="2" t="s">
        <v>189</v>
      </c>
      <c r="O210" s="2">
        <v>750</v>
      </c>
      <c r="P210" s="2">
        <v>1389.1572265625</v>
      </c>
      <c r="Q210" s="2">
        <v>1443.977905273438</v>
      </c>
      <c r="R210" s="2">
        <f t="shared" si="36"/>
        <v>1041867.919921875</v>
      </c>
      <c r="S210" s="2">
        <f t="shared" si="37"/>
        <v>1082983.4289550784</v>
      </c>
      <c r="T210" s="2">
        <f t="shared" si="38"/>
        <v>2124851.3488769531</v>
      </c>
      <c r="U210" s="2">
        <f t="shared" si="39"/>
        <v>1062.43</v>
      </c>
      <c r="V210" s="2">
        <f t="shared" si="40"/>
        <v>41115.509033203358</v>
      </c>
      <c r="W210" s="2">
        <f t="shared" si="41"/>
        <v>40053.079033203358</v>
      </c>
      <c r="X210" s="2">
        <f t="shared" si="42"/>
        <v>45930663.427762754</v>
      </c>
      <c r="Y210" s="2">
        <f t="shared" si="43"/>
        <v>208373.58</v>
      </c>
      <c r="Z210" s="2">
        <f t="shared" si="44"/>
        <v>19.22</v>
      </c>
      <c r="AA210" s="2">
        <f t="shared" si="47"/>
        <v>46019098.482423708</v>
      </c>
      <c r="AB210" s="2">
        <f t="shared" si="45"/>
        <v>-88435.054660953581</v>
      </c>
    </row>
    <row r="211" spans="1:28">
      <c r="A211" s="2">
        <v>208</v>
      </c>
      <c r="B211" s="2" t="s">
        <v>918</v>
      </c>
      <c r="C211" s="2" t="s">
        <v>36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2" t="s">
        <v>919</v>
      </c>
      <c r="I211" s="2" t="s">
        <v>920</v>
      </c>
      <c r="J211" s="2" t="s">
        <v>921</v>
      </c>
      <c r="K211" s="2">
        <f t="shared" si="46"/>
        <v>45930663.427762754</v>
      </c>
      <c r="L211" s="2" t="s">
        <v>153</v>
      </c>
      <c r="M211" s="2" t="s">
        <v>148</v>
      </c>
      <c r="N211" s="2" t="s">
        <v>89</v>
      </c>
      <c r="O211" s="2">
        <v>380</v>
      </c>
      <c r="P211" s="2">
        <v>2351.980712890625</v>
      </c>
      <c r="Q211" s="2">
        <v>2633.123046875</v>
      </c>
      <c r="R211" s="2">
        <f t="shared" si="36"/>
        <v>893752.6708984375</v>
      </c>
      <c r="S211" s="2">
        <f t="shared" si="37"/>
        <v>1000586.7578125</v>
      </c>
      <c r="T211" s="2">
        <f t="shared" si="38"/>
        <v>1894339.4287109375</v>
      </c>
      <c r="U211" s="2">
        <f t="shared" si="39"/>
        <v>947.17</v>
      </c>
      <c r="V211" s="2">
        <f t="shared" si="40"/>
        <v>106834.0869140625</v>
      </c>
      <c r="W211" s="2">
        <f t="shared" si="41"/>
        <v>105886.9169140625</v>
      </c>
      <c r="X211" s="2">
        <f t="shared" si="42"/>
        <v>46036550.344676815</v>
      </c>
      <c r="Y211" s="2">
        <f t="shared" si="43"/>
        <v>178750.53</v>
      </c>
      <c r="Z211" s="2">
        <f t="shared" si="44"/>
        <v>59.24</v>
      </c>
      <c r="AA211" s="2">
        <f t="shared" si="47"/>
        <v>46036550.344676815</v>
      </c>
      <c r="AB211" s="2">
        <f t="shared" si="45"/>
        <v>0</v>
      </c>
    </row>
    <row r="212" spans="1:28">
      <c r="A212" s="2">
        <v>209</v>
      </c>
      <c r="B212" s="2" t="s">
        <v>922</v>
      </c>
      <c r="C212" s="2" t="s">
        <v>36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923</v>
      </c>
      <c r="J212" s="2" t="s">
        <v>924</v>
      </c>
      <c r="K212" s="2">
        <f t="shared" si="46"/>
        <v>46036550.344676815</v>
      </c>
      <c r="L212" s="2" t="s">
        <v>510</v>
      </c>
      <c r="M212" s="2" t="s">
        <v>182</v>
      </c>
      <c r="N212" s="2" t="s">
        <v>251</v>
      </c>
      <c r="O212" s="2">
        <v>1500</v>
      </c>
      <c r="P212" s="2">
        <v>281.73574829101562</v>
      </c>
      <c r="Q212" s="2">
        <v>297.81219482421881</v>
      </c>
      <c r="R212" s="2">
        <f t="shared" si="36"/>
        <v>422603.62243652344</v>
      </c>
      <c r="S212" s="2">
        <f t="shared" si="37"/>
        <v>446718.29223632818</v>
      </c>
      <c r="T212" s="2">
        <f t="shared" si="38"/>
        <v>869321.91467285156</v>
      </c>
      <c r="U212" s="2">
        <f t="shared" si="39"/>
        <v>434.66</v>
      </c>
      <c r="V212" s="2">
        <f t="shared" si="40"/>
        <v>24114.669799804746</v>
      </c>
      <c r="W212" s="2">
        <f t="shared" si="41"/>
        <v>23680.009799804746</v>
      </c>
      <c r="X212" s="2">
        <f t="shared" si="42"/>
        <v>46060230.354476623</v>
      </c>
      <c r="Y212" s="2">
        <f t="shared" si="43"/>
        <v>84520.72</v>
      </c>
      <c r="Z212" s="2">
        <f t="shared" si="44"/>
        <v>28.02</v>
      </c>
      <c r="AA212" s="2">
        <f t="shared" si="47"/>
        <v>46060230.354476623</v>
      </c>
      <c r="AB212" s="2">
        <f t="shared" si="45"/>
        <v>0</v>
      </c>
    </row>
    <row r="213" spans="1:28">
      <c r="A213" s="2">
        <v>210</v>
      </c>
      <c r="B213" s="2" t="s">
        <v>925</v>
      </c>
      <c r="C213" s="2" t="s">
        <v>36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2" t="s">
        <v>635</v>
      </c>
      <c r="I213" s="2" t="s">
        <v>926</v>
      </c>
      <c r="J213" s="2" t="s">
        <v>927</v>
      </c>
      <c r="K213" s="2">
        <f t="shared" si="46"/>
        <v>46060230.354476623</v>
      </c>
      <c r="L213" s="2" t="s">
        <v>165</v>
      </c>
      <c r="M213" s="2" t="s">
        <v>89</v>
      </c>
      <c r="N213" s="2" t="s">
        <v>279</v>
      </c>
      <c r="O213" s="2">
        <v>44365</v>
      </c>
      <c r="P213" s="2">
        <v>18.95000076293945</v>
      </c>
      <c r="Q213" s="2">
        <v>18.020000457763668</v>
      </c>
      <c r="R213" s="2">
        <f t="shared" si="36"/>
        <v>840716.78384780872</v>
      </c>
      <c r="S213" s="2">
        <f t="shared" si="37"/>
        <v>799457.32030868519</v>
      </c>
      <c r="T213" s="2">
        <f t="shared" si="38"/>
        <v>1640174.1041564939</v>
      </c>
      <c r="U213" s="2">
        <f t="shared" si="39"/>
        <v>820.09</v>
      </c>
      <c r="V213" s="2">
        <f t="shared" si="40"/>
        <v>-41259.463539123535</v>
      </c>
      <c r="W213" s="2">
        <f t="shared" si="41"/>
        <v>-42079.553539123532</v>
      </c>
      <c r="X213" s="2">
        <f t="shared" si="42"/>
        <v>46018150.800937496</v>
      </c>
      <c r="Y213" s="2">
        <f t="shared" si="43"/>
        <v>168143.35999999999</v>
      </c>
      <c r="Z213" s="2">
        <f t="shared" si="44"/>
        <v>-25.03</v>
      </c>
      <c r="AA213" s="2">
        <f t="shared" si="47"/>
        <v>46060230.354476623</v>
      </c>
      <c r="AB213" s="2">
        <f t="shared" si="45"/>
        <v>-42079.553539127111</v>
      </c>
    </row>
    <row r="214" spans="1:28">
      <c r="A214" s="2">
        <v>211</v>
      </c>
      <c r="B214" s="2" t="s">
        <v>928</v>
      </c>
      <c r="C214" s="2" t="s">
        <v>36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2" t="s">
        <v>929</v>
      </c>
      <c r="I214" s="2" t="s">
        <v>152</v>
      </c>
      <c r="J214" s="2" t="s">
        <v>930</v>
      </c>
      <c r="K214" s="2">
        <f t="shared" si="46"/>
        <v>46018150.800937496</v>
      </c>
      <c r="L214" s="2" t="s">
        <v>73</v>
      </c>
      <c r="M214" s="2" t="s">
        <v>131</v>
      </c>
      <c r="N214" s="2" t="s">
        <v>88</v>
      </c>
      <c r="O214" s="2">
        <v>896</v>
      </c>
      <c r="P214" s="2">
        <v>930.74206542968761</v>
      </c>
      <c r="Q214" s="2">
        <v>958.40008544921875</v>
      </c>
      <c r="R214" s="2">
        <f t="shared" si="36"/>
        <v>833944.89062500012</v>
      </c>
      <c r="S214" s="2">
        <f t="shared" si="37"/>
        <v>858726.4765625</v>
      </c>
      <c r="T214" s="2">
        <f t="shared" si="38"/>
        <v>1692671.3671875</v>
      </c>
      <c r="U214" s="2">
        <f t="shared" si="39"/>
        <v>846.34</v>
      </c>
      <c r="V214" s="2">
        <f t="shared" si="40"/>
        <v>24781.585937499884</v>
      </c>
      <c r="W214" s="2">
        <f t="shared" si="41"/>
        <v>23935.245937499883</v>
      </c>
      <c r="X214" s="2">
        <f t="shared" si="42"/>
        <v>46042086.046874993</v>
      </c>
      <c r="Y214" s="2">
        <f t="shared" si="43"/>
        <v>166788.98000000001</v>
      </c>
      <c r="Z214" s="2">
        <f t="shared" si="44"/>
        <v>14.35</v>
      </c>
      <c r="AA214" s="2">
        <f t="shared" si="47"/>
        <v>46060230.354476623</v>
      </c>
      <c r="AB214" s="2">
        <f t="shared" si="45"/>
        <v>-18144.307601630688</v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931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932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598</v>
      </c>
      <c r="J4" s="2" t="s">
        <v>584</v>
      </c>
      <c r="K4" s="2">
        <v>42511150.109999999</v>
      </c>
      <c r="L4" s="2" t="s">
        <v>933</v>
      </c>
      <c r="M4" s="2" t="s">
        <v>44</v>
      </c>
      <c r="N4" s="2" t="s">
        <v>67</v>
      </c>
      <c r="O4" s="2">
        <v>874</v>
      </c>
      <c r="P4" s="2">
        <v>1126.5</v>
      </c>
      <c r="Q4" s="2">
        <v>1142.900024414062</v>
      </c>
      <c r="R4" s="2">
        <f t="shared" ref="R4:R35" si="0">O4*P4</f>
        <v>984561</v>
      </c>
      <c r="S4" s="2">
        <f t="shared" ref="S4:S35" si="1">O4*Q4</f>
        <v>998894.62133789028</v>
      </c>
      <c r="T4" s="2">
        <f t="shared" ref="T4:T35" si="2">R4+S4</f>
        <v>1983455.6213378902</v>
      </c>
      <c r="U4" s="2">
        <f t="shared" ref="U4:U35" si="3">ROUND(T4*0.0005, 2)</f>
        <v>991.73</v>
      </c>
      <c r="V4" s="2">
        <f t="shared" ref="V4:V35" si="4">S4-R4</f>
        <v>14333.621337890276</v>
      </c>
      <c r="W4" s="2">
        <f t="shared" ref="W4:W35" si="5">V4-U4</f>
        <v>13341.891337890276</v>
      </c>
      <c r="X4" s="2">
        <f t="shared" ref="X4:X35" si="6">K4+W4</f>
        <v>42524492.001337893</v>
      </c>
      <c r="Y4" s="2">
        <f t="shared" ref="Y4:Y35" si="7">ROUND(0.2*R4, 2)</f>
        <v>196912.2</v>
      </c>
      <c r="Z4" s="2">
        <f t="shared" ref="Z4:Z35" si="8">ROUND((W4/Y4)*100, 2)</f>
        <v>6.78</v>
      </c>
      <c r="AA4" s="2">
        <f>MAX(42511150.11, X4)</f>
        <v>42524492.001337893</v>
      </c>
      <c r="AB4" s="2">
        <f t="shared" ref="AB4:AB35" si="9">X4-AA4</f>
        <v>0</v>
      </c>
    </row>
    <row r="5" spans="1:29">
      <c r="A5" s="2">
        <v>2</v>
      </c>
      <c r="B5" s="2" t="s">
        <v>46</v>
      </c>
      <c r="C5" s="2" t="s">
        <v>932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49</v>
      </c>
      <c r="J5" s="2" t="s">
        <v>50</v>
      </c>
      <c r="K5" s="2">
        <f t="shared" ref="K5:K68" si="10">X4</f>
        <v>42524492.001337893</v>
      </c>
      <c r="L5" s="2" t="s">
        <v>43</v>
      </c>
      <c r="M5" s="2" t="s">
        <v>44</v>
      </c>
      <c r="N5" s="2" t="s">
        <v>51</v>
      </c>
      <c r="O5" s="2">
        <v>137</v>
      </c>
      <c r="P5" s="2">
        <v>7532</v>
      </c>
      <c r="Q5" s="2">
        <v>7291.5</v>
      </c>
      <c r="R5" s="2">
        <f t="shared" si="0"/>
        <v>1031884</v>
      </c>
      <c r="S5" s="2">
        <f t="shared" si="1"/>
        <v>998935.5</v>
      </c>
      <c r="T5" s="2">
        <f t="shared" si="2"/>
        <v>2030819.5</v>
      </c>
      <c r="U5" s="2">
        <f t="shared" si="3"/>
        <v>1015.41</v>
      </c>
      <c r="V5" s="2">
        <f t="shared" si="4"/>
        <v>-32948.5</v>
      </c>
      <c r="W5" s="2">
        <f t="shared" si="5"/>
        <v>-33963.910000000003</v>
      </c>
      <c r="X5" s="2">
        <f t="shared" si="6"/>
        <v>42490528.091337897</v>
      </c>
      <c r="Y5" s="2">
        <f t="shared" si="7"/>
        <v>206376.8</v>
      </c>
      <c r="Z5" s="2">
        <f t="shared" si="8"/>
        <v>-16.46</v>
      </c>
      <c r="AA5" s="2">
        <f t="shared" ref="AA5:AA36" si="11">MAX(AA4, X5)</f>
        <v>42524492.001337893</v>
      </c>
      <c r="AB5" s="2">
        <f t="shared" si="9"/>
        <v>-33963.909999996424</v>
      </c>
    </row>
    <row r="6" spans="1:29">
      <c r="A6" s="2">
        <v>3</v>
      </c>
      <c r="B6" s="2" t="s">
        <v>52</v>
      </c>
      <c r="C6" s="2" t="s">
        <v>932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>
        <f t="shared" si="10"/>
        <v>42490528.091337897</v>
      </c>
      <c r="L6" s="2" t="s">
        <v>58</v>
      </c>
      <c r="M6" s="2" t="s">
        <v>44</v>
      </c>
      <c r="N6" s="2" t="s">
        <v>59</v>
      </c>
      <c r="O6" s="2">
        <v>2537</v>
      </c>
      <c r="P6" s="2">
        <v>400.45001220703131</v>
      </c>
      <c r="Q6" s="2">
        <v>394.04998779296881</v>
      </c>
      <c r="R6" s="2">
        <f t="shared" si="0"/>
        <v>1015941.6809692384</v>
      </c>
      <c r="S6" s="2">
        <f t="shared" si="1"/>
        <v>999704.81903076184</v>
      </c>
      <c r="T6" s="2">
        <f t="shared" si="2"/>
        <v>2015646.5000000002</v>
      </c>
      <c r="U6" s="2">
        <f t="shared" si="3"/>
        <v>1007.82</v>
      </c>
      <c r="V6" s="2">
        <f t="shared" si="4"/>
        <v>-16236.861938476563</v>
      </c>
      <c r="W6" s="2">
        <f t="shared" si="5"/>
        <v>-17244.681938476562</v>
      </c>
      <c r="X6" s="2">
        <f t="shared" si="6"/>
        <v>42473283.40939942</v>
      </c>
      <c r="Y6" s="2">
        <f t="shared" si="7"/>
        <v>203188.34</v>
      </c>
      <c r="Z6" s="2">
        <f t="shared" si="8"/>
        <v>-8.49</v>
      </c>
      <c r="AA6" s="2">
        <f t="shared" si="11"/>
        <v>42524492.001337893</v>
      </c>
      <c r="AB6" s="2">
        <f t="shared" si="9"/>
        <v>-51208.591938473284</v>
      </c>
    </row>
    <row r="7" spans="1:29">
      <c r="A7" s="2">
        <v>4</v>
      </c>
      <c r="B7" s="2" t="s">
        <v>60</v>
      </c>
      <c r="C7" s="2" t="s">
        <v>932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622</v>
      </c>
      <c r="J7" s="2" t="s">
        <v>934</v>
      </c>
      <c r="K7" s="2">
        <f t="shared" si="10"/>
        <v>42473283.40939942</v>
      </c>
      <c r="L7" s="2" t="s">
        <v>772</v>
      </c>
      <c r="M7" s="2" t="s">
        <v>67</v>
      </c>
      <c r="N7" s="2" t="s">
        <v>935</v>
      </c>
      <c r="O7" s="2">
        <v>602</v>
      </c>
      <c r="P7" s="2">
        <v>1649.5</v>
      </c>
      <c r="Q7" s="2">
        <v>1702.199951171875</v>
      </c>
      <c r="R7" s="2">
        <f t="shared" si="0"/>
        <v>992999</v>
      </c>
      <c r="S7" s="2">
        <f t="shared" si="1"/>
        <v>1024724.3706054688</v>
      </c>
      <c r="T7" s="2">
        <f t="shared" si="2"/>
        <v>2017723.3706054688</v>
      </c>
      <c r="U7" s="2">
        <f t="shared" si="3"/>
        <v>1008.86</v>
      </c>
      <c r="V7" s="2">
        <f t="shared" si="4"/>
        <v>31725.37060546875</v>
      </c>
      <c r="W7" s="2">
        <f t="shared" si="5"/>
        <v>30716.510605468749</v>
      </c>
      <c r="X7" s="2">
        <f t="shared" si="6"/>
        <v>42503999.920004889</v>
      </c>
      <c r="Y7" s="2">
        <f t="shared" si="7"/>
        <v>198599.8</v>
      </c>
      <c r="Z7" s="2">
        <f t="shared" si="8"/>
        <v>15.47</v>
      </c>
      <c r="AA7" s="2">
        <f t="shared" si="11"/>
        <v>42524492.001337893</v>
      </c>
      <c r="AB7" s="2">
        <f t="shared" si="9"/>
        <v>-20492.081333003938</v>
      </c>
    </row>
    <row r="8" spans="1:29">
      <c r="A8" s="2">
        <v>5</v>
      </c>
      <c r="B8" s="2" t="s">
        <v>68</v>
      </c>
      <c r="C8" s="2" t="s">
        <v>932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71</v>
      </c>
      <c r="J8" s="2" t="s">
        <v>72</v>
      </c>
      <c r="K8" s="2">
        <f t="shared" si="10"/>
        <v>42503999.920004889</v>
      </c>
      <c r="L8" s="2" t="s">
        <v>73</v>
      </c>
      <c r="M8" s="2" t="s">
        <v>74</v>
      </c>
      <c r="N8" s="2" t="s">
        <v>73</v>
      </c>
      <c r="O8" s="2">
        <v>300</v>
      </c>
      <c r="P8" s="2">
        <v>2285.64453125</v>
      </c>
      <c r="Q8" s="2">
        <v>2259.718994140625</v>
      </c>
      <c r="R8" s="2">
        <f t="shared" si="0"/>
        <v>685693.359375</v>
      </c>
      <c r="S8" s="2">
        <f t="shared" si="1"/>
        <v>677915.6982421875</v>
      </c>
      <c r="T8" s="2">
        <f t="shared" si="2"/>
        <v>1363609.0576171875</v>
      </c>
      <c r="U8" s="2">
        <f t="shared" si="3"/>
        <v>681.8</v>
      </c>
      <c r="V8" s="2">
        <f t="shared" si="4"/>
        <v>-7777.6611328125</v>
      </c>
      <c r="W8" s="2">
        <f t="shared" si="5"/>
        <v>-8459.4611328124993</v>
      </c>
      <c r="X8" s="2">
        <f t="shared" si="6"/>
        <v>42495540.45887208</v>
      </c>
      <c r="Y8" s="2">
        <f t="shared" si="7"/>
        <v>137138.67000000001</v>
      </c>
      <c r="Z8" s="2">
        <f t="shared" si="8"/>
        <v>-6.17</v>
      </c>
      <c r="AA8" s="2">
        <f t="shared" si="11"/>
        <v>42524492.001337893</v>
      </c>
      <c r="AB8" s="2">
        <f t="shared" si="9"/>
        <v>-28951.542465813458</v>
      </c>
    </row>
    <row r="9" spans="1:29">
      <c r="A9" s="2">
        <v>6</v>
      </c>
      <c r="B9" s="2" t="s">
        <v>75</v>
      </c>
      <c r="C9" s="2" t="s">
        <v>932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936</v>
      </c>
      <c r="J9" s="2" t="s">
        <v>937</v>
      </c>
      <c r="K9" s="2">
        <f t="shared" si="10"/>
        <v>42495540.45887208</v>
      </c>
      <c r="L9" s="2" t="s">
        <v>933</v>
      </c>
      <c r="M9" s="2" t="s">
        <v>772</v>
      </c>
      <c r="N9" s="2" t="s">
        <v>469</v>
      </c>
      <c r="O9" s="2">
        <v>500</v>
      </c>
      <c r="P9" s="2">
        <v>1530</v>
      </c>
      <c r="Q9" s="2">
        <v>1395.099975585938</v>
      </c>
      <c r="R9" s="2">
        <f t="shared" si="0"/>
        <v>765000</v>
      </c>
      <c r="S9" s="2">
        <f t="shared" si="1"/>
        <v>697549.98779296898</v>
      </c>
      <c r="T9" s="2">
        <f t="shared" si="2"/>
        <v>1462549.987792969</v>
      </c>
      <c r="U9" s="2">
        <f t="shared" si="3"/>
        <v>731.27</v>
      </c>
      <c r="V9" s="2">
        <f t="shared" si="4"/>
        <v>-67450.012207031017</v>
      </c>
      <c r="W9" s="2">
        <f t="shared" si="5"/>
        <v>-68181.282207031021</v>
      </c>
      <c r="X9" s="2">
        <f t="shared" si="6"/>
        <v>42427359.176665045</v>
      </c>
      <c r="Y9" s="2">
        <f t="shared" si="7"/>
        <v>153000</v>
      </c>
      <c r="Z9" s="2">
        <f t="shared" si="8"/>
        <v>-44.56</v>
      </c>
      <c r="AA9" s="2">
        <f t="shared" si="11"/>
        <v>42524492.001337893</v>
      </c>
      <c r="AB9" s="2">
        <f t="shared" si="9"/>
        <v>-97132.824672847986</v>
      </c>
    </row>
    <row r="10" spans="1:29">
      <c r="A10" s="2">
        <v>7</v>
      </c>
      <c r="B10" s="2" t="s">
        <v>82</v>
      </c>
      <c r="C10" s="2" t="s">
        <v>932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85</v>
      </c>
      <c r="J10" s="2" t="s">
        <v>86</v>
      </c>
      <c r="K10" s="2">
        <f t="shared" si="10"/>
        <v>42427359.176665045</v>
      </c>
      <c r="L10" s="2" t="s">
        <v>87</v>
      </c>
      <c r="M10" s="2" t="s">
        <v>88</v>
      </c>
      <c r="N10" s="2" t="s">
        <v>89</v>
      </c>
      <c r="O10" s="2">
        <v>625</v>
      </c>
      <c r="P10" s="2">
        <v>1092.309814453125</v>
      </c>
      <c r="Q10" s="2">
        <v>1134.030151367188</v>
      </c>
      <c r="R10" s="2">
        <f t="shared" si="0"/>
        <v>682693.63403320312</v>
      </c>
      <c r="S10" s="2">
        <f t="shared" si="1"/>
        <v>708768.84460449242</v>
      </c>
      <c r="T10" s="2">
        <f t="shared" si="2"/>
        <v>1391462.4786376955</v>
      </c>
      <c r="U10" s="2">
        <f t="shared" si="3"/>
        <v>695.73</v>
      </c>
      <c r="V10" s="2">
        <f t="shared" si="4"/>
        <v>26075.210571289295</v>
      </c>
      <c r="W10" s="2">
        <f t="shared" si="5"/>
        <v>25379.480571289296</v>
      </c>
      <c r="X10" s="2">
        <f t="shared" si="6"/>
        <v>42452738.657236338</v>
      </c>
      <c r="Y10" s="2">
        <f t="shared" si="7"/>
        <v>136538.73000000001</v>
      </c>
      <c r="Z10" s="2">
        <f t="shared" si="8"/>
        <v>18.59</v>
      </c>
      <c r="AA10" s="2">
        <f t="shared" si="11"/>
        <v>42524492.001337893</v>
      </c>
      <c r="AB10" s="2">
        <f t="shared" si="9"/>
        <v>-71753.344101555645</v>
      </c>
    </row>
    <row r="11" spans="1:29">
      <c r="A11" s="2">
        <v>8</v>
      </c>
      <c r="B11" s="2" t="s">
        <v>90</v>
      </c>
      <c r="C11" s="2" t="s">
        <v>932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93</v>
      </c>
      <c r="J11" s="2" t="s">
        <v>94</v>
      </c>
      <c r="K11" s="2">
        <f t="shared" si="10"/>
        <v>42452738.657236338</v>
      </c>
      <c r="L11" s="2" t="s">
        <v>58</v>
      </c>
      <c r="M11" s="2" t="s">
        <v>44</v>
      </c>
      <c r="N11" s="2" t="s">
        <v>59</v>
      </c>
      <c r="O11" s="2">
        <v>4785</v>
      </c>
      <c r="P11" s="2">
        <v>208.9700012207031</v>
      </c>
      <c r="Q11" s="2">
        <v>213.96000671386719</v>
      </c>
      <c r="R11" s="2">
        <f t="shared" si="0"/>
        <v>999921.45584106434</v>
      </c>
      <c r="S11" s="2">
        <f t="shared" si="1"/>
        <v>1023798.6321258545</v>
      </c>
      <c r="T11" s="2">
        <f t="shared" si="2"/>
        <v>2023720.0879669189</v>
      </c>
      <c r="U11" s="2">
        <f t="shared" si="3"/>
        <v>1011.86</v>
      </c>
      <c r="V11" s="2">
        <f t="shared" si="4"/>
        <v>23877.176284790155</v>
      </c>
      <c r="W11" s="2">
        <f t="shared" si="5"/>
        <v>22865.316284790155</v>
      </c>
      <c r="X11" s="2">
        <f t="shared" si="6"/>
        <v>42475603.973521128</v>
      </c>
      <c r="Y11" s="2">
        <f t="shared" si="7"/>
        <v>199984.29</v>
      </c>
      <c r="Z11" s="2">
        <f t="shared" si="8"/>
        <v>11.43</v>
      </c>
      <c r="AA11" s="2">
        <f t="shared" si="11"/>
        <v>42524492.001337893</v>
      </c>
      <c r="AB11" s="2">
        <f t="shared" si="9"/>
        <v>-48888.02781676501</v>
      </c>
    </row>
    <row r="12" spans="1:29">
      <c r="A12" s="2">
        <v>9</v>
      </c>
      <c r="B12" s="2" t="s">
        <v>95</v>
      </c>
      <c r="C12" s="2" t="s">
        <v>932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>
        <f t="shared" si="10"/>
        <v>42475603.973521128</v>
      </c>
      <c r="L12" s="2" t="s">
        <v>67</v>
      </c>
      <c r="M12" s="2" t="s">
        <v>44</v>
      </c>
      <c r="N12" s="2" t="s">
        <v>938</v>
      </c>
      <c r="O12" s="2">
        <v>171</v>
      </c>
      <c r="P12" s="2">
        <v>5651.5</v>
      </c>
      <c r="Q12" s="2">
        <v>5816.5</v>
      </c>
      <c r="R12" s="2">
        <f t="shared" si="0"/>
        <v>966406.5</v>
      </c>
      <c r="S12" s="2">
        <f t="shared" si="1"/>
        <v>994621.5</v>
      </c>
      <c r="T12" s="2">
        <f t="shared" si="2"/>
        <v>1961028</v>
      </c>
      <c r="U12" s="2">
        <f t="shared" si="3"/>
        <v>980.51</v>
      </c>
      <c r="V12" s="2">
        <f t="shared" si="4"/>
        <v>28215</v>
      </c>
      <c r="W12" s="2">
        <f t="shared" si="5"/>
        <v>27234.49</v>
      </c>
      <c r="X12" s="2">
        <f t="shared" si="6"/>
        <v>42502838.46352113</v>
      </c>
      <c r="Y12" s="2">
        <f t="shared" si="7"/>
        <v>193281.3</v>
      </c>
      <c r="Z12" s="2">
        <f t="shared" si="8"/>
        <v>14.09</v>
      </c>
      <c r="AA12" s="2">
        <f t="shared" si="11"/>
        <v>42524492.001337893</v>
      </c>
      <c r="AB12" s="2">
        <f t="shared" si="9"/>
        <v>-21653.537816762924</v>
      </c>
    </row>
    <row r="13" spans="1:29">
      <c r="A13" s="2">
        <v>10</v>
      </c>
      <c r="B13" s="2" t="s">
        <v>102</v>
      </c>
      <c r="C13" s="2" t="s">
        <v>932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42502838.46352113</v>
      </c>
      <c r="L13" s="2" t="s">
        <v>106</v>
      </c>
      <c r="M13" s="2" t="s">
        <v>44</v>
      </c>
      <c r="N13" s="2" t="s">
        <v>939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42505752.373521127</v>
      </c>
      <c r="Y13" s="2">
        <f t="shared" si="7"/>
        <v>199827</v>
      </c>
      <c r="Z13" s="2">
        <f t="shared" si="8"/>
        <v>1.46</v>
      </c>
      <c r="AA13" s="2">
        <f t="shared" si="11"/>
        <v>42524492.001337893</v>
      </c>
      <c r="AB13" s="2">
        <f t="shared" si="9"/>
        <v>-18739.6278167665</v>
      </c>
    </row>
    <row r="14" spans="1:29">
      <c r="A14" s="2">
        <v>11</v>
      </c>
      <c r="B14" s="2" t="s">
        <v>108</v>
      </c>
      <c r="C14" s="2" t="s">
        <v>932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111</v>
      </c>
      <c r="J14" s="2" t="s">
        <v>112</v>
      </c>
      <c r="K14" s="2">
        <f t="shared" si="10"/>
        <v>42505752.373521127</v>
      </c>
      <c r="L14" s="2" t="s">
        <v>43</v>
      </c>
      <c r="M14" s="2" t="s">
        <v>44</v>
      </c>
      <c r="N14" s="2" t="s">
        <v>940</v>
      </c>
      <c r="O14" s="2">
        <v>2303</v>
      </c>
      <c r="P14" s="2">
        <v>434.20001220703131</v>
      </c>
      <c r="Q14" s="2">
        <v>440.85000610351562</v>
      </c>
      <c r="R14" s="2">
        <f t="shared" si="0"/>
        <v>999962.62811279309</v>
      </c>
      <c r="S14" s="2">
        <f t="shared" si="1"/>
        <v>1015277.5640563965</v>
      </c>
      <c r="T14" s="2">
        <f t="shared" si="2"/>
        <v>2015240.1921691895</v>
      </c>
      <c r="U14" s="2">
        <f t="shared" si="3"/>
        <v>1007.62</v>
      </c>
      <c r="V14" s="2">
        <f t="shared" si="4"/>
        <v>15314.935943603399</v>
      </c>
      <c r="W14" s="2">
        <f t="shared" si="5"/>
        <v>14307.315943603398</v>
      </c>
      <c r="X14" s="2">
        <f t="shared" si="6"/>
        <v>42520059.689464733</v>
      </c>
      <c r="Y14" s="2">
        <f t="shared" si="7"/>
        <v>199992.53</v>
      </c>
      <c r="Z14" s="2">
        <f t="shared" si="8"/>
        <v>7.15</v>
      </c>
      <c r="AA14" s="2">
        <f t="shared" si="11"/>
        <v>42524492.001337893</v>
      </c>
      <c r="AB14" s="2">
        <f t="shared" si="9"/>
        <v>-4432.3118731603026</v>
      </c>
    </row>
    <row r="15" spans="1:29">
      <c r="A15" s="2">
        <v>12</v>
      </c>
      <c r="B15" s="2" t="s">
        <v>113</v>
      </c>
      <c r="C15" s="2" t="s">
        <v>932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941</v>
      </c>
      <c r="J15" s="2" t="s">
        <v>942</v>
      </c>
      <c r="K15" s="2">
        <f t="shared" si="10"/>
        <v>42520059.689464733</v>
      </c>
      <c r="L15" s="2" t="s">
        <v>943</v>
      </c>
      <c r="M15" s="2" t="s">
        <v>469</v>
      </c>
      <c r="N15" s="2" t="s">
        <v>470</v>
      </c>
      <c r="O15" s="2">
        <v>3428</v>
      </c>
      <c r="P15" s="2">
        <v>339.20095825195312</v>
      </c>
      <c r="Q15" s="2">
        <v>312.39999389648437</v>
      </c>
      <c r="R15" s="2">
        <f t="shared" si="0"/>
        <v>1162780.8848876953</v>
      </c>
      <c r="S15" s="2">
        <f t="shared" si="1"/>
        <v>1070907.1790771484</v>
      </c>
      <c r="T15" s="2">
        <f t="shared" si="2"/>
        <v>2233688.0639648438</v>
      </c>
      <c r="U15" s="2">
        <f t="shared" si="3"/>
        <v>1116.8399999999999</v>
      </c>
      <c r="V15" s="2">
        <f t="shared" si="4"/>
        <v>-91873.705810546875</v>
      </c>
      <c r="W15" s="2">
        <f t="shared" si="5"/>
        <v>-92990.545810546872</v>
      </c>
      <c r="X15" s="2">
        <f t="shared" si="6"/>
        <v>42427069.143654183</v>
      </c>
      <c r="Y15" s="2">
        <f t="shared" si="7"/>
        <v>232556.18</v>
      </c>
      <c r="Z15" s="2">
        <f t="shared" si="8"/>
        <v>-39.99</v>
      </c>
      <c r="AA15" s="2">
        <f t="shared" si="11"/>
        <v>42524492.001337893</v>
      </c>
      <c r="AB15" s="2">
        <f t="shared" si="9"/>
        <v>-97422.857683710754</v>
      </c>
    </row>
    <row r="16" spans="1:29">
      <c r="A16" s="2">
        <v>13</v>
      </c>
      <c r="B16" s="2" t="s">
        <v>120</v>
      </c>
      <c r="C16" s="2" t="s">
        <v>932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123</v>
      </c>
      <c r="J16" s="2" t="s">
        <v>124</v>
      </c>
      <c r="K16" s="2">
        <f t="shared" si="10"/>
        <v>42427069.143654183</v>
      </c>
      <c r="L16" s="2" t="s">
        <v>58</v>
      </c>
      <c r="M16" s="2" t="s">
        <v>44</v>
      </c>
      <c r="N16" s="2" t="s">
        <v>944</v>
      </c>
      <c r="O16" s="2">
        <v>528</v>
      </c>
      <c r="P16" s="2">
        <v>1849.900024414062</v>
      </c>
      <c r="Q16" s="2">
        <v>1893.099975585937</v>
      </c>
      <c r="R16" s="2">
        <f t="shared" si="0"/>
        <v>976747.21289062477</v>
      </c>
      <c r="S16" s="2">
        <f t="shared" si="1"/>
        <v>999556.78710937477</v>
      </c>
      <c r="T16" s="2">
        <f t="shared" si="2"/>
        <v>1976303.9999999995</v>
      </c>
      <c r="U16" s="2">
        <f t="shared" si="3"/>
        <v>988.15</v>
      </c>
      <c r="V16" s="2">
        <f t="shared" si="4"/>
        <v>22809.57421875</v>
      </c>
      <c r="W16" s="2">
        <f t="shared" si="5"/>
        <v>21821.424218749999</v>
      </c>
      <c r="X16" s="2">
        <f t="shared" si="6"/>
        <v>42448890.567872934</v>
      </c>
      <c r="Y16" s="2">
        <f t="shared" si="7"/>
        <v>195349.44</v>
      </c>
      <c r="Z16" s="2">
        <f t="shared" si="8"/>
        <v>11.17</v>
      </c>
      <c r="AA16" s="2">
        <f t="shared" si="11"/>
        <v>42524492.001337893</v>
      </c>
      <c r="AB16" s="2">
        <f t="shared" si="9"/>
        <v>-75601.433464959264</v>
      </c>
    </row>
    <row r="17" spans="1:28">
      <c r="A17" s="2">
        <v>14</v>
      </c>
      <c r="B17" s="2" t="s">
        <v>126</v>
      </c>
      <c r="C17" s="2" t="s">
        <v>932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129</v>
      </c>
      <c r="J17" s="2" t="s">
        <v>130</v>
      </c>
      <c r="K17" s="2">
        <f t="shared" si="10"/>
        <v>42448890.567872934</v>
      </c>
      <c r="L17" s="2" t="s">
        <v>131</v>
      </c>
      <c r="M17" s="2" t="s">
        <v>132</v>
      </c>
      <c r="N17" s="2" t="s">
        <v>131</v>
      </c>
      <c r="O17" s="2">
        <v>125</v>
      </c>
      <c r="P17" s="2">
        <v>6292.009765625</v>
      </c>
      <c r="Q17" s="2">
        <v>6360.25439453125</v>
      </c>
      <c r="R17" s="2">
        <f t="shared" si="0"/>
        <v>786501.220703125</v>
      </c>
      <c r="S17" s="2">
        <f t="shared" si="1"/>
        <v>795031.79931640625</v>
      </c>
      <c r="T17" s="2">
        <f t="shared" si="2"/>
        <v>1581533.0200195313</v>
      </c>
      <c r="U17" s="2">
        <f t="shared" si="3"/>
        <v>790.77</v>
      </c>
      <c r="V17" s="2">
        <f t="shared" si="4"/>
        <v>8530.57861328125</v>
      </c>
      <c r="W17" s="2">
        <f t="shared" si="5"/>
        <v>7739.8086132812496</v>
      </c>
      <c r="X17" s="2">
        <f t="shared" si="6"/>
        <v>42456630.376486212</v>
      </c>
      <c r="Y17" s="2">
        <f t="shared" si="7"/>
        <v>157300.24</v>
      </c>
      <c r="Z17" s="2">
        <f t="shared" si="8"/>
        <v>4.92</v>
      </c>
      <c r="AA17" s="2">
        <f t="shared" si="11"/>
        <v>42524492.001337893</v>
      </c>
      <c r="AB17" s="2">
        <f t="shared" si="9"/>
        <v>-67861.624851681292</v>
      </c>
    </row>
    <row r="18" spans="1:28">
      <c r="A18" s="2">
        <v>15</v>
      </c>
      <c r="B18" s="2" t="s">
        <v>133</v>
      </c>
      <c r="C18" s="2" t="s">
        <v>932</v>
      </c>
      <c r="D18" s="3" t="s">
        <v>37</v>
      </c>
      <c r="E18" s="5" t="s">
        <v>134</v>
      </c>
      <c r="F18" s="2" t="s">
        <v>135</v>
      </c>
      <c r="G18" s="2" t="s">
        <v>63</v>
      </c>
      <c r="H18" s="2" t="s">
        <v>136</v>
      </c>
      <c r="I18" s="2" t="s">
        <v>945</v>
      </c>
      <c r="J18" s="2" t="s">
        <v>450</v>
      </c>
      <c r="K18" s="2">
        <f t="shared" si="10"/>
        <v>42456630.376486212</v>
      </c>
      <c r="L18" s="2" t="s">
        <v>946</v>
      </c>
      <c r="M18" s="2" t="s">
        <v>947</v>
      </c>
      <c r="N18" s="2" t="s">
        <v>948</v>
      </c>
      <c r="O18" s="2">
        <v>5000</v>
      </c>
      <c r="P18" s="2">
        <v>102.65199279785161</v>
      </c>
      <c r="Q18" s="2">
        <v>106.6648864746094</v>
      </c>
      <c r="R18" s="2">
        <f t="shared" si="0"/>
        <v>513259.96398925805</v>
      </c>
      <c r="S18" s="2">
        <f t="shared" si="1"/>
        <v>533324.43237304699</v>
      </c>
      <c r="T18" s="2">
        <f t="shared" si="2"/>
        <v>1046584.396362305</v>
      </c>
      <c r="U18" s="2">
        <f t="shared" si="3"/>
        <v>523.29</v>
      </c>
      <c r="V18" s="2">
        <f t="shared" si="4"/>
        <v>20064.468383788946</v>
      </c>
      <c r="W18" s="2">
        <f t="shared" si="5"/>
        <v>19541.178383788945</v>
      </c>
      <c r="X18" s="2">
        <f t="shared" si="6"/>
        <v>42476171.554870002</v>
      </c>
      <c r="Y18" s="2">
        <f t="shared" si="7"/>
        <v>102651.99</v>
      </c>
      <c r="Z18" s="2">
        <f t="shared" si="8"/>
        <v>19.04</v>
      </c>
      <c r="AA18" s="2">
        <f t="shared" si="11"/>
        <v>42524492.001337893</v>
      </c>
      <c r="AB18" s="2">
        <f t="shared" si="9"/>
        <v>-48320.446467891335</v>
      </c>
    </row>
    <row r="19" spans="1:28">
      <c r="A19" s="2">
        <v>16</v>
      </c>
      <c r="B19" s="2" t="s">
        <v>141</v>
      </c>
      <c r="C19" s="2" t="s">
        <v>932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145</v>
      </c>
      <c r="J19" s="2" t="s">
        <v>146</v>
      </c>
      <c r="K19" s="2">
        <f t="shared" si="10"/>
        <v>42476171.554870002</v>
      </c>
      <c r="L19" s="2" t="s">
        <v>89</v>
      </c>
      <c r="M19" s="2" t="s">
        <v>147</v>
      </c>
      <c r="N19" s="2" t="s">
        <v>148</v>
      </c>
      <c r="O19" s="2">
        <v>200</v>
      </c>
      <c r="P19" s="2">
        <v>2219.953369140625</v>
      </c>
      <c r="Q19" s="2">
        <v>2206.66357421875</v>
      </c>
      <c r="R19" s="2">
        <f t="shared" si="0"/>
        <v>443990.673828125</v>
      </c>
      <c r="S19" s="2">
        <f t="shared" si="1"/>
        <v>441332.71484375</v>
      </c>
      <c r="T19" s="2">
        <f t="shared" si="2"/>
        <v>885323.388671875</v>
      </c>
      <c r="U19" s="2">
        <f t="shared" si="3"/>
        <v>442.66</v>
      </c>
      <c r="V19" s="2">
        <f t="shared" si="4"/>
        <v>-2657.958984375</v>
      </c>
      <c r="W19" s="2">
        <f t="shared" si="5"/>
        <v>-3100.6189843749999</v>
      </c>
      <c r="X19" s="2">
        <f t="shared" si="6"/>
        <v>42473070.935885631</v>
      </c>
      <c r="Y19" s="2">
        <f t="shared" si="7"/>
        <v>88798.13</v>
      </c>
      <c r="Z19" s="2">
        <f t="shared" si="8"/>
        <v>-3.49</v>
      </c>
      <c r="AA19" s="2">
        <f t="shared" si="11"/>
        <v>42524492.001337893</v>
      </c>
      <c r="AB19" s="2">
        <f t="shared" si="9"/>
        <v>-51421.065452262759</v>
      </c>
    </row>
    <row r="20" spans="1:28">
      <c r="A20" s="2">
        <v>17</v>
      </c>
      <c r="B20" s="2" t="s">
        <v>149</v>
      </c>
      <c r="C20" s="2" t="s">
        <v>932</v>
      </c>
      <c r="D20" s="3" t="s">
        <v>37</v>
      </c>
      <c r="E20" s="5" t="s">
        <v>134</v>
      </c>
      <c r="F20" s="2" t="s">
        <v>135</v>
      </c>
      <c r="G20" s="2" t="s">
        <v>150</v>
      </c>
      <c r="H20" s="2" t="s">
        <v>151</v>
      </c>
      <c r="I20" s="2" t="s">
        <v>949</v>
      </c>
      <c r="J20" s="2" t="s">
        <v>950</v>
      </c>
      <c r="K20" s="2">
        <f t="shared" si="10"/>
        <v>42473070.935885631</v>
      </c>
      <c r="L20" s="2" t="s">
        <v>289</v>
      </c>
      <c r="M20" s="2" t="s">
        <v>951</v>
      </c>
      <c r="N20" s="2" t="s">
        <v>946</v>
      </c>
      <c r="O20" s="2">
        <v>679</v>
      </c>
      <c r="P20" s="2">
        <v>1788.857421875</v>
      </c>
      <c r="Q20" s="2">
        <v>1723.939453125</v>
      </c>
      <c r="R20" s="2">
        <f t="shared" si="0"/>
        <v>1214634.189453125</v>
      </c>
      <c r="S20" s="2">
        <f t="shared" si="1"/>
        <v>1170554.888671875</v>
      </c>
      <c r="T20" s="2">
        <f t="shared" si="2"/>
        <v>2385189.078125</v>
      </c>
      <c r="U20" s="2">
        <f t="shared" si="3"/>
        <v>1192.5899999999999</v>
      </c>
      <c r="V20" s="2">
        <f t="shared" si="4"/>
        <v>-44079.30078125</v>
      </c>
      <c r="W20" s="2">
        <f t="shared" si="5"/>
        <v>-45271.890781249997</v>
      </c>
      <c r="X20" s="2">
        <f t="shared" si="6"/>
        <v>42427799.045104377</v>
      </c>
      <c r="Y20" s="2">
        <f t="shared" si="7"/>
        <v>242926.84</v>
      </c>
      <c r="Z20" s="2">
        <f t="shared" si="8"/>
        <v>-18.64</v>
      </c>
      <c r="AA20" s="2">
        <f t="shared" si="11"/>
        <v>42524492.001337893</v>
      </c>
      <c r="AB20" s="2">
        <f t="shared" si="9"/>
        <v>-96692.956233516335</v>
      </c>
    </row>
    <row r="21" spans="1:28">
      <c r="A21" s="2">
        <v>18</v>
      </c>
      <c r="B21" s="2" t="s">
        <v>154</v>
      </c>
      <c r="C21" s="2" t="s">
        <v>932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42427799.045104377</v>
      </c>
      <c r="L21" s="2" t="s">
        <v>159</v>
      </c>
      <c r="M21" s="2" t="s">
        <v>81</v>
      </c>
      <c r="N21" s="2" t="s">
        <v>470</v>
      </c>
      <c r="O21" s="2">
        <v>668</v>
      </c>
      <c r="P21" s="2">
        <v>1280</v>
      </c>
      <c r="Q21" s="2">
        <v>1470.2</v>
      </c>
      <c r="R21" s="2">
        <f t="shared" si="0"/>
        <v>855040</v>
      </c>
      <c r="S21" s="2">
        <f t="shared" si="1"/>
        <v>982093.6</v>
      </c>
      <c r="T21" s="2">
        <f t="shared" si="2"/>
        <v>1837133.6</v>
      </c>
      <c r="U21" s="2">
        <f t="shared" si="3"/>
        <v>918.57</v>
      </c>
      <c r="V21" s="2">
        <f t="shared" si="4"/>
        <v>127053.59999999998</v>
      </c>
      <c r="W21" s="2">
        <f t="shared" si="5"/>
        <v>126135.02999999997</v>
      </c>
      <c r="X21" s="2">
        <f t="shared" si="6"/>
        <v>42553934.075104378</v>
      </c>
      <c r="Y21" s="2">
        <f t="shared" si="7"/>
        <v>171008</v>
      </c>
      <c r="Z21" s="2">
        <f t="shared" si="8"/>
        <v>73.760000000000005</v>
      </c>
      <c r="AA21" s="2">
        <f t="shared" si="11"/>
        <v>42553934.075104378</v>
      </c>
      <c r="AB21" s="2">
        <f t="shared" si="9"/>
        <v>0</v>
      </c>
    </row>
    <row r="22" spans="1:28">
      <c r="A22" s="2">
        <v>19</v>
      </c>
      <c r="B22" s="2" t="s">
        <v>160</v>
      </c>
      <c r="C22" s="2" t="s">
        <v>932</v>
      </c>
      <c r="D22" s="4" t="s">
        <v>61</v>
      </c>
      <c r="E22" s="5" t="s">
        <v>134</v>
      </c>
      <c r="F22" s="2" t="s">
        <v>135</v>
      </c>
      <c r="G22" s="2" t="s">
        <v>161</v>
      </c>
      <c r="H22" s="2" t="s">
        <v>162</v>
      </c>
      <c r="I22" s="2" t="s">
        <v>954</v>
      </c>
      <c r="J22" s="2" t="s">
        <v>955</v>
      </c>
      <c r="K22" s="2">
        <f t="shared" si="10"/>
        <v>42553934.075104378</v>
      </c>
      <c r="L22" s="2" t="s">
        <v>956</v>
      </c>
      <c r="M22" s="2" t="s">
        <v>957</v>
      </c>
      <c r="N22" s="2" t="s">
        <v>288</v>
      </c>
      <c r="O22" s="2">
        <v>970</v>
      </c>
      <c r="P22" s="2">
        <v>603.75543212890625</v>
      </c>
      <c r="Q22" s="2">
        <v>700.13653564453125</v>
      </c>
      <c r="R22" s="2">
        <f t="shared" si="0"/>
        <v>585642.76916503906</v>
      </c>
      <c r="S22" s="2">
        <f t="shared" si="1"/>
        <v>679132.43957519531</v>
      </c>
      <c r="T22" s="2">
        <f t="shared" si="2"/>
        <v>1264775.2087402344</v>
      </c>
      <c r="U22" s="2">
        <f t="shared" si="3"/>
        <v>632.39</v>
      </c>
      <c r="V22" s="2">
        <f t="shared" si="4"/>
        <v>93489.67041015625</v>
      </c>
      <c r="W22" s="2">
        <f t="shared" si="5"/>
        <v>92857.280410156251</v>
      </c>
      <c r="X22" s="2">
        <f t="shared" si="6"/>
        <v>42646791.355514534</v>
      </c>
      <c r="Y22" s="2">
        <f t="shared" si="7"/>
        <v>117128.55</v>
      </c>
      <c r="Z22" s="2">
        <f t="shared" si="8"/>
        <v>79.28</v>
      </c>
      <c r="AA22" s="2">
        <f t="shared" si="11"/>
        <v>42646791.355514534</v>
      </c>
      <c r="AB22" s="2">
        <f t="shared" si="9"/>
        <v>0</v>
      </c>
    </row>
    <row r="23" spans="1:28">
      <c r="A23" s="2">
        <v>20</v>
      </c>
      <c r="B23" s="2" t="s">
        <v>168</v>
      </c>
      <c r="C23" s="2" t="s">
        <v>932</v>
      </c>
      <c r="D23" s="3" t="s">
        <v>37</v>
      </c>
      <c r="E23" s="5" t="s">
        <v>134</v>
      </c>
      <c r="F23" s="2" t="s">
        <v>135</v>
      </c>
      <c r="G23" s="2" t="s">
        <v>169</v>
      </c>
      <c r="H23" s="2" t="s">
        <v>170</v>
      </c>
      <c r="I23" s="2" t="s">
        <v>958</v>
      </c>
      <c r="J23" s="2" t="s">
        <v>889</v>
      </c>
      <c r="K23" s="2">
        <f t="shared" si="10"/>
        <v>42646791.355514534</v>
      </c>
      <c r="L23" s="2" t="s">
        <v>959</v>
      </c>
      <c r="M23" s="2" t="s">
        <v>947</v>
      </c>
      <c r="N23" s="2" t="s">
        <v>960</v>
      </c>
      <c r="O23" s="2">
        <v>634</v>
      </c>
      <c r="P23" s="2">
        <v>1401.937377929688</v>
      </c>
      <c r="Q23" s="2">
        <v>1284.229370117188</v>
      </c>
      <c r="R23" s="2">
        <f t="shared" si="0"/>
        <v>888828.29760742211</v>
      </c>
      <c r="S23" s="2">
        <f t="shared" si="1"/>
        <v>814201.42065429711</v>
      </c>
      <c r="T23" s="2">
        <f t="shared" si="2"/>
        <v>1703029.7182617192</v>
      </c>
      <c r="U23" s="2">
        <f t="shared" si="3"/>
        <v>851.51</v>
      </c>
      <c r="V23" s="2">
        <f t="shared" si="4"/>
        <v>-74626.876953125</v>
      </c>
      <c r="W23" s="2">
        <f t="shared" si="5"/>
        <v>-75478.386953124995</v>
      </c>
      <c r="X23" s="2">
        <f t="shared" si="6"/>
        <v>42571312.968561411</v>
      </c>
      <c r="Y23" s="2">
        <f t="shared" si="7"/>
        <v>177765.66</v>
      </c>
      <c r="Z23" s="2">
        <f t="shared" si="8"/>
        <v>-42.46</v>
      </c>
      <c r="AA23" s="2">
        <f t="shared" si="11"/>
        <v>42646791.355514534</v>
      </c>
      <c r="AB23" s="2">
        <f t="shared" si="9"/>
        <v>-75478.386953122914</v>
      </c>
    </row>
    <row r="24" spans="1:28">
      <c r="A24" s="2">
        <v>21</v>
      </c>
      <c r="B24" s="2" t="s">
        <v>175</v>
      </c>
      <c r="C24" s="2" t="s">
        <v>932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179</v>
      </c>
      <c r="J24" s="2" t="s">
        <v>180</v>
      </c>
      <c r="K24" s="2">
        <f t="shared" si="10"/>
        <v>42571312.968561411</v>
      </c>
      <c r="L24" s="2" t="s">
        <v>181</v>
      </c>
      <c r="M24" s="2" t="s">
        <v>182</v>
      </c>
      <c r="N24" s="2" t="s">
        <v>183</v>
      </c>
      <c r="O24" s="2">
        <v>625</v>
      </c>
      <c r="P24" s="2">
        <v>1025.132568359375</v>
      </c>
      <c r="Q24" s="2">
        <v>949.505615234375</v>
      </c>
      <c r="R24" s="2">
        <f t="shared" si="0"/>
        <v>640707.85522460938</v>
      </c>
      <c r="S24" s="2">
        <f t="shared" si="1"/>
        <v>593441.00952148438</v>
      </c>
      <c r="T24" s="2">
        <f t="shared" si="2"/>
        <v>1234148.8647460938</v>
      </c>
      <c r="U24" s="2">
        <f t="shared" si="3"/>
        <v>617.07000000000005</v>
      </c>
      <c r="V24" s="2">
        <f t="shared" si="4"/>
        <v>-47266.845703125</v>
      </c>
      <c r="W24" s="2">
        <f t="shared" si="5"/>
        <v>-47883.915703125</v>
      </c>
      <c r="X24" s="2">
        <f t="shared" si="6"/>
        <v>42523429.052858286</v>
      </c>
      <c r="Y24" s="2">
        <f t="shared" si="7"/>
        <v>128141.57</v>
      </c>
      <c r="Z24" s="2">
        <f t="shared" si="8"/>
        <v>-37.369999999999997</v>
      </c>
      <c r="AA24" s="2">
        <f t="shared" si="11"/>
        <v>42646791.355514534</v>
      </c>
      <c r="AB24" s="2">
        <f t="shared" si="9"/>
        <v>-123362.30265624821</v>
      </c>
    </row>
    <row r="25" spans="1:28">
      <c r="A25" s="2">
        <v>22</v>
      </c>
      <c r="B25" s="2" t="s">
        <v>184</v>
      </c>
      <c r="C25" s="2" t="s">
        <v>932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187</v>
      </c>
      <c r="J25" s="2" t="s">
        <v>188</v>
      </c>
      <c r="K25" s="2">
        <f t="shared" si="10"/>
        <v>42523429.052858286</v>
      </c>
      <c r="L25" s="2" t="s">
        <v>182</v>
      </c>
      <c r="M25" s="2" t="s">
        <v>73</v>
      </c>
      <c r="N25" s="2" t="s">
        <v>189</v>
      </c>
      <c r="O25" s="2">
        <v>125</v>
      </c>
      <c r="P25" s="2">
        <v>8078.63134765625</v>
      </c>
      <c r="Q25" s="2">
        <v>8509.349609375</v>
      </c>
      <c r="R25" s="2">
        <f t="shared" si="0"/>
        <v>1009828.9184570312</v>
      </c>
      <c r="S25" s="2">
        <f t="shared" si="1"/>
        <v>1063668.701171875</v>
      </c>
      <c r="T25" s="2">
        <f t="shared" si="2"/>
        <v>2073497.6196289063</v>
      </c>
      <c r="U25" s="2">
        <f t="shared" si="3"/>
        <v>1036.75</v>
      </c>
      <c r="V25" s="2">
        <f t="shared" si="4"/>
        <v>53839.78271484375</v>
      </c>
      <c r="W25" s="2">
        <f t="shared" si="5"/>
        <v>52803.03271484375</v>
      </c>
      <c r="X25" s="2">
        <f t="shared" si="6"/>
        <v>42576232.085573129</v>
      </c>
      <c r="Y25" s="2">
        <f t="shared" si="7"/>
        <v>201965.78</v>
      </c>
      <c r="Z25" s="2">
        <f t="shared" si="8"/>
        <v>26.14</v>
      </c>
      <c r="AA25" s="2">
        <f t="shared" si="11"/>
        <v>42646791.355514534</v>
      </c>
      <c r="AB25" s="2">
        <f t="shared" si="9"/>
        <v>-70559.269941404462</v>
      </c>
    </row>
    <row r="26" spans="1:28">
      <c r="A26" s="2">
        <v>23</v>
      </c>
      <c r="B26" s="2" t="s">
        <v>190</v>
      </c>
      <c r="C26" s="2" t="s">
        <v>932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193</v>
      </c>
      <c r="J26" s="2" t="s">
        <v>194</v>
      </c>
      <c r="K26" s="2">
        <f t="shared" si="10"/>
        <v>42576232.085573129</v>
      </c>
      <c r="L26" s="2" t="s">
        <v>89</v>
      </c>
      <c r="M26" s="2" t="s">
        <v>173</v>
      </c>
      <c r="N26" s="2" t="s">
        <v>89</v>
      </c>
      <c r="O26" s="2">
        <v>500</v>
      </c>
      <c r="P26" s="2">
        <v>1742.862915039062</v>
      </c>
      <c r="Q26" s="2">
        <v>1751.651123046875</v>
      </c>
      <c r="R26" s="2">
        <f t="shared" si="0"/>
        <v>871431.45751953102</v>
      </c>
      <c r="S26" s="2">
        <f t="shared" si="1"/>
        <v>875825.5615234375</v>
      </c>
      <c r="T26" s="2">
        <f t="shared" si="2"/>
        <v>1747257.0190429685</v>
      </c>
      <c r="U26" s="2">
        <f t="shared" si="3"/>
        <v>873.63</v>
      </c>
      <c r="V26" s="2">
        <f t="shared" si="4"/>
        <v>4394.1040039064828</v>
      </c>
      <c r="W26" s="2">
        <f t="shared" si="5"/>
        <v>3520.4740039064827</v>
      </c>
      <c r="X26" s="2">
        <f t="shared" si="6"/>
        <v>42579752.559577033</v>
      </c>
      <c r="Y26" s="2">
        <f t="shared" si="7"/>
        <v>174286.29</v>
      </c>
      <c r="Z26" s="2">
        <f t="shared" si="8"/>
        <v>2.02</v>
      </c>
      <c r="AA26" s="2">
        <f t="shared" si="11"/>
        <v>42646791.355514534</v>
      </c>
      <c r="AB26" s="2">
        <f t="shared" si="9"/>
        <v>-67038.795937500894</v>
      </c>
    </row>
    <row r="27" spans="1:28">
      <c r="A27" s="2">
        <v>24</v>
      </c>
      <c r="B27" s="2" t="s">
        <v>195</v>
      </c>
      <c r="C27" s="2" t="s">
        <v>932</v>
      </c>
      <c r="D27" s="3" t="s">
        <v>37</v>
      </c>
      <c r="E27" s="5" t="s">
        <v>134</v>
      </c>
      <c r="F27" s="2" t="s">
        <v>135</v>
      </c>
      <c r="G27" s="2" t="s">
        <v>103</v>
      </c>
      <c r="H27" s="2" t="s">
        <v>196</v>
      </c>
      <c r="I27" s="2" t="s">
        <v>961</v>
      </c>
      <c r="J27" s="2" t="s">
        <v>962</v>
      </c>
      <c r="K27" s="2">
        <f t="shared" si="10"/>
        <v>42579752.559577033</v>
      </c>
      <c r="L27" s="2" t="s">
        <v>963</v>
      </c>
      <c r="M27" s="2" t="s">
        <v>964</v>
      </c>
      <c r="N27" s="2" t="s">
        <v>965</v>
      </c>
      <c r="O27" s="2">
        <v>100</v>
      </c>
      <c r="P27" s="2">
        <v>2548.026123046875</v>
      </c>
      <c r="Q27" s="2">
        <v>2775.111328125</v>
      </c>
      <c r="R27" s="2">
        <f t="shared" si="0"/>
        <v>254802.6123046875</v>
      </c>
      <c r="S27" s="2">
        <f t="shared" si="1"/>
        <v>277511.1328125</v>
      </c>
      <c r="T27" s="2">
        <f t="shared" si="2"/>
        <v>532313.7451171875</v>
      </c>
      <c r="U27" s="2">
        <f t="shared" si="3"/>
        <v>266.16000000000003</v>
      </c>
      <c r="V27" s="2">
        <f t="shared" si="4"/>
        <v>22708.5205078125</v>
      </c>
      <c r="W27" s="2">
        <f t="shared" si="5"/>
        <v>22442.3605078125</v>
      </c>
      <c r="X27" s="2">
        <f t="shared" si="6"/>
        <v>42602194.920084849</v>
      </c>
      <c r="Y27" s="2">
        <f t="shared" si="7"/>
        <v>50960.52</v>
      </c>
      <c r="Z27" s="2">
        <f t="shared" si="8"/>
        <v>44.04</v>
      </c>
      <c r="AA27" s="2">
        <f t="shared" si="11"/>
        <v>42646791.355514534</v>
      </c>
      <c r="AB27" s="2">
        <f t="shared" si="9"/>
        <v>-44596.435429684818</v>
      </c>
    </row>
    <row r="28" spans="1:28">
      <c r="A28" s="2">
        <v>25</v>
      </c>
      <c r="B28" s="2" t="s">
        <v>199</v>
      </c>
      <c r="C28" s="2" t="s">
        <v>932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202</v>
      </c>
      <c r="J28" s="2" t="s">
        <v>203</v>
      </c>
      <c r="K28" s="2">
        <f t="shared" si="10"/>
        <v>42602194.920084849</v>
      </c>
      <c r="L28" s="2" t="s">
        <v>204</v>
      </c>
      <c r="M28" s="2" t="s">
        <v>148</v>
      </c>
      <c r="N28" s="2" t="s">
        <v>189</v>
      </c>
      <c r="O28" s="2">
        <v>125</v>
      </c>
      <c r="P28" s="2">
        <v>751.376220703125</v>
      </c>
      <c r="Q28" s="2">
        <v>837.19091796875</v>
      </c>
      <c r="R28" s="2">
        <f t="shared" si="0"/>
        <v>93922.027587890625</v>
      </c>
      <c r="S28" s="2">
        <f t="shared" si="1"/>
        <v>104648.86474609375</v>
      </c>
      <c r="T28" s="2">
        <f t="shared" si="2"/>
        <v>198570.89233398437</v>
      </c>
      <c r="U28" s="2">
        <f t="shared" si="3"/>
        <v>99.29</v>
      </c>
      <c r="V28" s="2">
        <f t="shared" si="4"/>
        <v>10726.837158203125</v>
      </c>
      <c r="W28" s="2">
        <f t="shared" si="5"/>
        <v>10627.547158203124</v>
      </c>
      <c r="X28" s="2">
        <f t="shared" si="6"/>
        <v>42612822.467243053</v>
      </c>
      <c r="Y28" s="2">
        <f t="shared" si="7"/>
        <v>18784.41</v>
      </c>
      <c r="Z28" s="2">
        <f t="shared" si="8"/>
        <v>56.58</v>
      </c>
      <c r="AA28" s="2">
        <f t="shared" si="11"/>
        <v>42646791.355514534</v>
      </c>
      <c r="AB28" s="2">
        <f t="shared" si="9"/>
        <v>-33968.888271480799</v>
      </c>
    </row>
    <row r="29" spans="1:28">
      <c r="A29" s="2">
        <v>26</v>
      </c>
      <c r="B29" s="2" t="s">
        <v>205</v>
      </c>
      <c r="C29" s="2" t="s">
        <v>932</v>
      </c>
      <c r="D29" s="3" t="s">
        <v>37</v>
      </c>
      <c r="E29" s="5" t="s">
        <v>134</v>
      </c>
      <c r="F29" s="2" t="s">
        <v>135</v>
      </c>
      <c r="G29" s="2" t="s">
        <v>54</v>
      </c>
      <c r="H29" s="2" t="s">
        <v>206</v>
      </c>
      <c r="I29" s="2" t="s">
        <v>814</v>
      </c>
      <c r="J29" s="2" t="s">
        <v>916</v>
      </c>
      <c r="K29" s="2">
        <f t="shared" si="10"/>
        <v>42612822.467243053</v>
      </c>
      <c r="L29" s="2" t="s">
        <v>966</v>
      </c>
      <c r="M29" s="2" t="s">
        <v>967</v>
      </c>
      <c r="N29" s="2" t="s">
        <v>957</v>
      </c>
      <c r="O29" s="2">
        <v>6099</v>
      </c>
      <c r="P29" s="2">
        <v>170.74664306640619</v>
      </c>
      <c r="Q29" s="2">
        <v>179.00889587402341</v>
      </c>
      <c r="R29" s="2">
        <f t="shared" si="0"/>
        <v>1041383.7760620114</v>
      </c>
      <c r="S29" s="2">
        <f t="shared" si="1"/>
        <v>1091775.2559356687</v>
      </c>
      <c r="T29" s="2">
        <f t="shared" si="2"/>
        <v>2133159.0319976802</v>
      </c>
      <c r="U29" s="2">
        <f t="shared" si="3"/>
        <v>1066.58</v>
      </c>
      <c r="V29" s="2">
        <f t="shared" si="4"/>
        <v>50391.479873657343</v>
      </c>
      <c r="W29" s="2">
        <f t="shared" si="5"/>
        <v>49324.899873657341</v>
      </c>
      <c r="X29" s="2">
        <f t="shared" si="6"/>
        <v>42662147.367116712</v>
      </c>
      <c r="Y29" s="2">
        <f t="shared" si="7"/>
        <v>208276.76</v>
      </c>
      <c r="Z29" s="2">
        <f t="shared" si="8"/>
        <v>23.68</v>
      </c>
      <c r="AA29" s="2">
        <f t="shared" si="11"/>
        <v>42662147.367116712</v>
      </c>
      <c r="AB29" s="2">
        <f t="shared" si="9"/>
        <v>0</v>
      </c>
    </row>
    <row r="30" spans="1:28">
      <c r="A30" s="2">
        <v>27</v>
      </c>
      <c r="B30" s="2" t="s">
        <v>209</v>
      </c>
      <c r="C30" s="2" t="s">
        <v>932</v>
      </c>
      <c r="D30" s="4" t="s">
        <v>61</v>
      </c>
      <c r="E30" s="5" t="s">
        <v>134</v>
      </c>
      <c r="F30" s="2" t="s">
        <v>135</v>
      </c>
      <c r="G30" s="2" t="s">
        <v>103</v>
      </c>
      <c r="H30" s="2" t="s">
        <v>210</v>
      </c>
      <c r="I30" s="2" t="s">
        <v>968</v>
      </c>
      <c r="J30" s="2" t="s">
        <v>969</v>
      </c>
      <c r="K30" s="2">
        <f t="shared" si="10"/>
        <v>42662147.367116712</v>
      </c>
      <c r="L30" s="2" t="s">
        <v>970</v>
      </c>
      <c r="M30" s="2" t="s">
        <v>967</v>
      </c>
      <c r="N30" s="2" t="s">
        <v>957</v>
      </c>
      <c r="O30" s="2">
        <v>4138</v>
      </c>
      <c r="P30" s="2">
        <v>234.99855041503901</v>
      </c>
      <c r="Q30" s="2">
        <v>232.19871520996091</v>
      </c>
      <c r="R30" s="2">
        <f t="shared" si="0"/>
        <v>972424.00161743141</v>
      </c>
      <c r="S30" s="2">
        <f t="shared" si="1"/>
        <v>960838.28353881824</v>
      </c>
      <c r="T30" s="2">
        <f t="shared" si="2"/>
        <v>1933262.2851562495</v>
      </c>
      <c r="U30" s="2">
        <f t="shared" si="3"/>
        <v>966.63</v>
      </c>
      <c r="V30" s="2">
        <f t="shared" si="4"/>
        <v>-11585.718078613165</v>
      </c>
      <c r="W30" s="2">
        <f t="shared" si="5"/>
        <v>-12552.348078613164</v>
      </c>
      <c r="X30" s="2">
        <f t="shared" si="6"/>
        <v>42649595.019038096</v>
      </c>
      <c r="Y30" s="2">
        <f t="shared" si="7"/>
        <v>194484.8</v>
      </c>
      <c r="Z30" s="2">
        <f t="shared" si="8"/>
        <v>-6.45</v>
      </c>
      <c r="AA30" s="2">
        <f t="shared" si="11"/>
        <v>42662147.367116712</v>
      </c>
      <c r="AB30" s="2">
        <f t="shared" si="9"/>
        <v>-12552.348078615963</v>
      </c>
    </row>
    <row r="31" spans="1:28">
      <c r="A31" s="2">
        <v>28</v>
      </c>
      <c r="B31" s="2" t="s">
        <v>213</v>
      </c>
      <c r="C31" s="2" t="s">
        <v>932</v>
      </c>
      <c r="D31" s="4" t="s">
        <v>61</v>
      </c>
      <c r="E31" s="5" t="s">
        <v>134</v>
      </c>
      <c r="F31" s="2" t="s">
        <v>135</v>
      </c>
      <c r="G31" s="2" t="s">
        <v>54</v>
      </c>
      <c r="H31" s="2" t="s">
        <v>214</v>
      </c>
      <c r="I31" s="2" t="s">
        <v>971</v>
      </c>
      <c r="J31" s="2" t="s">
        <v>972</v>
      </c>
      <c r="K31" s="2">
        <f t="shared" si="10"/>
        <v>42649595.019038096</v>
      </c>
      <c r="L31" s="2" t="s">
        <v>973</v>
      </c>
      <c r="M31" s="2" t="s">
        <v>974</v>
      </c>
      <c r="N31" s="2" t="s">
        <v>947</v>
      </c>
      <c r="O31" s="2">
        <v>7287</v>
      </c>
      <c r="P31" s="2">
        <v>96.315246582031236</v>
      </c>
      <c r="Q31" s="2">
        <v>106.30467224121089</v>
      </c>
      <c r="R31" s="2">
        <f t="shared" si="0"/>
        <v>701849.2018432616</v>
      </c>
      <c r="S31" s="2">
        <f t="shared" si="1"/>
        <v>774642.14662170375</v>
      </c>
      <c r="T31" s="2">
        <f t="shared" si="2"/>
        <v>1476491.3484649654</v>
      </c>
      <c r="U31" s="2">
        <f t="shared" si="3"/>
        <v>738.25</v>
      </c>
      <c r="V31" s="2">
        <f t="shared" si="4"/>
        <v>72792.94477844215</v>
      </c>
      <c r="W31" s="2">
        <f t="shared" si="5"/>
        <v>72054.69477844215</v>
      </c>
      <c r="X31" s="2">
        <f t="shared" si="6"/>
        <v>42721649.713816538</v>
      </c>
      <c r="Y31" s="2">
        <f t="shared" si="7"/>
        <v>140369.84</v>
      </c>
      <c r="Z31" s="2">
        <f t="shared" si="8"/>
        <v>51.33</v>
      </c>
      <c r="AA31" s="2">
        <f t="shared" si="11"/>
        <v>42721649.713816538</v>
      </c>
      <c r="AB31" s="2">
        <f t="shared" si="9"/>
        <v>0</v>
      </c>
    </row>
    <row r="32" spans="1:28">
      <c r="A32" s="2">
        <v>29</v>
      </c>
      <c r="B32" s="2" t="s">
        <v>218</v>
      </c>
      <c r="C32" s="2" t="s">
        <v>932</v>
      </c>
      <c r="D32" s="4" t="s">
        <v>61</v>
      </c>
      <c r="E32" s="5" t="s">
        <v>134</v>
      </c>
      <c r="F32" s="2" t="s">
        <v>135</v>
      </c>
      <c r="G32" s="2" t="s">
        <v>161</v>
      </c>
      <c r="H32" s="2" t="s">
        <v>219</v>
      </c>
      <c r="I32" s="2" t="s">
        <v>975</v>
      </c>
      <c r="J32" s="2" t="s">
        <v>976</v>
      </c>
      <c r="K32" s="2">
        <f t="shared" si="10"/>
        <v>42721649.713816538</v>
      </c>
      <c r="L32" s="2" t="s">
        <v>189</v>
      </c>
      <c r="M32" s="2" t="s">
        <v>264</v>
      </c>
      <c r="N32" s="2" t="s">
        <v>174</v>
      </c>
      <c r="O32" s="2">
        <v>793</v>
      </c>
      <c r="P32" s="2">
        <v>1190.56640625</v>
      </c>
      <c r="Q32" s="2">
        <v>1220.395141601562</v>
      </c>
      <c r="R32" s="2">
        <f t="shared" si="0"/>
        <v>944119.16015625</v>
      </c>
      <c r="S32" s="2">
        <f t="shared" si="1"/>
        <v>967773.34729003871</v>
      </c>
      <c r="T32" s="2">
        <f t="shared" si="2"/>
        <v>1911892.5074462886</v>
      </c>
      <c r="U32" s="2">
        <f t="shared" si="3"/>
        <v>955.95</v>
      </c>
      <c r="V32" s="2">
        <f t="shared" si="4"/>
        <v>23654.187133788713</v>
      </c>
      <c r="W32" s="2">
        <f t="shared" si="5"/>
        <v>22698.237133788713</v>
      </c>
      <c r="X32" s="2">
        <f t="shared" si="6"/>
        <v>42744347.950950325</v>
      </c>
      <c r="Y32" s="2">
        <f t="shared" si="7"/>
        <v>188823.83</v>
      </c>
      <c r="Z32" s="2">
        <f t="shared" si="8"/>
        <v>12.02</v>
      </c>
      <c r="AA32" s="2">
        <f t="shared" si="11"/>
        <v>42744347.950950325</v>
      </c>
      <c r="AB32" s="2">
        <f t="shared" si="9"/>
        <v>0</v>
      </c>
    </row>
    <row r="33" spans="1:28">
      <c r="A33" s="2">
        <v>30</v>
      </c>
      <c r="B33" s="2" t="s">
        <v>225</v>
      </c>
      <c r="C33" s="2" t="s">
        <v>932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228</v>
      </c>
      <c r="J33" s="2" t="s">
        <v>229</v>
      </c>
      <c r="K33" s="2">
        <f t="shared" si="10"/>
        <v>42744347.950950325</v>
      </c>
      <c r="L33" s="2" t="s">
        <v>87</v>
      </c>
      <c r="M33" s="2" t="s">
        <v>88</v>
      </c>
      <c r="N33" s="2" t="s">
        <v>89</v>
      </c>
      <c r="O33" s="2">
        <v>2438</v>
      </c>
      <c r="P33" s="2">
        <v>285.47805786132813</v>
      </c>
      <c r="Q33" s="2">
        <v>267.10150146484369</v>
      </c>
      <c r="R33" s="2">
        <f t="shared" si="0"/>
        <v>695995.50506591797</v>
      </c>
      <c r="S33" s="2">
        <f t="shared" si="1"/>
        <v>651193.46057128895</v>
      </c>
      <c r="T33" s="2">
        <f t="shared" si="2"/>
        <v>1347188.965637207</v>
      </c>
      <c r="U33" s="2">
        <f t="shared" si="3"/>
        <v>673.59</v>
      </c>
      <c r="V33" s="2">
        <f t="shared" si="4"/>
        <v>-44802.044494629023</v>
      </c>
      <c r="W33" s="2">
        <f t="shared" si="5"/>
        <v>-45475.634494629019</v>
      </c>
      <c r="X33" s="2">
        <f t="shared" si="6"/>
        <v>42698872.316455692</v>
      </c>
      <c r="Y33" s="2">
        <f t="shared" si="7"/>
        <v>139199.1</v>
      </c>
      <c r="Z33" s="2">
        <f t="shared" si="8"/>
        <v>-32.67</v>
      </c>
      <c r="AA33" s="2">
        <f t="shared" si="11"/>
        <v>42744347.950950325</v>
      </c>
      <c r="AB33" s="2">
        <f t="shared" si="9"/>
        <v>-45475.634494632483</v>
      </c>
    </row>
    <row r="34" spans="1:28">
      <c r="A34" s="2">
        <v>31</v>
      </c>
      <c r="B34" s="2" t="s">
        <v>230</v>
      </c>
      <c r="C34" s="2" t="s">
        <v>932</v>
      </c>
      <c r="D34" s="4" t="s">
        <v>61</v>
      </c>
      <c r="E34" s="5" t="s">
        <v>134</v>
      </c>
      <c r="F34" s="2" t="s">
        <v>135</v>
      </c>
      <c r="G34" s="2" t="s">
        <v>231</v>
      </c>
      <c r="H34" s="2" t="s">
        <v>232</v>
      </c>
      <c r="I34" s="2" t="s">
        <v>977</v>
      </c>
      <c r="J34" s="2" t="s">
        <v>978</v>
      </c>
      <c r="K34" s="2">
        <f t="shared" si="10"/>
        <v>42698872.316455692</v>
      </c>
      <c r="L34" s="2" t="s">
        <v>979</v>
      </c>
      <c r="M34" s="2" t="s">
        <v>974</v>
      </c>
      <c r="N34" s="2" t="s">
        <v>980</v>
      </c>
      <c r="O34" s="2">
        <v>461</v>
      </c>
      <c r="P34" s="2">
        <v>1290.130615234375</v>
      </c>
      <c r="Q34" s="2">
        <v>1444.653442382812</v>
      </c>
      <c r="R34" s="2">
        <f t="shared" si="0"/>
        <v>594750.21362304687</v>
      </c>
      <c r="S34" s="2">
        <f t="shared" si="1"/>
        <v>665985.23693847633</v>
      </c>
      <c r="T34" s="2">
        <f t="shared" si="2"/>
        <v>1260735.4505615232</v>
      </c>
      <c r="U34" s="2">
        <f t="shared" si="3"/>
        <v>630.37</v>
      </c>
      <c r="V34" s="2">
        <f t="shared" si="4"/>
        <v>71235.023315429455</v>
      </c>
      <c r="W34" s="2">
        <f t="shared" si="5"/>
        <v>70604.653315429459</v>
      </c>
      <c r="X34" s="2">
        <f t="shared" si="6"/>
        <v>42769476.969771124</v>
      </c>
      <c r="Y34" s="2">
        <f t="shared" si="7"/>
        <v>118950.04</v>
      </c>
      <c r="Z34" s="2">
        <f t="shared" si="8"/>
        <v>59.36</v>
      </c>
      <c r="AA34" s="2">
        <f t="shared" si="11"/>
        <v>42769476.969771124</v>
      </c>
      <c r="AB34" s="2">
        <f t="shared" si="9"/>
        <v>0</v>
      </c>
    </row>
    <row r="35" spans="1:28">
      <c r="A35" s="2">
        <v>32</v>
      </c>
      <c r="B35" s="2" t="s">
        <v>236</v>
      </c>
      <c r="C35" s="2" t="s">
        <v>932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239</v>
      </c>
      <c r="J35" s="2" t="s">
        <v>232</v>
      </c>
      <c r="K35" s="2">
        <f t="shared" si="10"/>
        <v>42769476.969771124</v>
      </c>
      <c r="L35" s="2" t="s">
        <v>189</v>
      </c>
      <c r="M35" s="2" t="s">
        <v>139</v>
      </c>
      <c r="N35" s="2" t="s">
        <v>147</v>
      </c>
      <c r="O35" s="2">
        <v>950</v>
      </c>
      <c r="P35" s="2">
        <v>1587.181274414062</v>
      </c>
      <c r="Q35" s="2">
        <v>1700.384887695312</v>
      </c>
      <c r="R35" s="2">
        <f t="shared" si="0"/>
        <v>1507822.2106933589</v>
      </c>
      <c r="S35" s="2">
        <f t="shared" si="1"/>
        <v>1615365.6433105464</v>
      </c>
      <c r="T35" s="2">
        <f t="shared" si="2"/>
        <v>3123187.8540039053</v>
      </c>
      <c r="U35" s="2">
        <f t="shared" si="3"/>
        <v>1561.59</v>
      </c>
      <c r="V35" s="2">
        <f t="shared" si="4"/>
        <v>107543.4326171875</v>
      </c>
      <c r="W35" s="2">
        <f t="shared" si="5"/>
        <v>105981.8426171875</v>
      </c>
      <c r="X35" s="2">
        <f t="shared" si="6"/>
        <v>42875458.812388308</v>
      </c>
      <c r="Y35" s="2">
        <f t="shared" si="7"/>
        <v>301564.44</v>
      </c>
      <c r="Z35" s="2">
        <f t="shared" si="8"/>
        <v>35.14</v>
      </c>
      <c r="AA35" s="2">
        <f t="shared" si="11"/>
        <v>42875458.812388308</v>
      </c>
      <c r="AB35" s="2">
        <f t="shared" si="9"/>
        <v>0</v>
      </c>
    </row>
    <row r="36" spans="1:28">
      <c r="A36" s="2">
        <v>33</v>
      </c>
      <c r="B36" s="2" t="s">
        <v>240</v>
      </c>
      <c r="C36" s="2" t="s">
        <v>932</v>
      </c>
      <c r="D36" s="4" t="s">
        <v>61</v>
      </c>
      <c r="E36" s="5" t="s">
        <v>134</v>
      </c>
      <c r="F36" s="2" t="s">
        <v>135</v>
      </c>
      <c r="G36" s="2" t="s">
        <v>241</v>
      </c>
      <c r="H36" s="2" t="s">
        <v>242</v>
      </c>
      <c r="I36" s="2" t="s">
        <v>981</v>
      </c>
      <c r="J36" s="2" t="s">
        <v>982</v>
      </c>
      <c r="K36" s="2">
        <f t="shared" si="10"/>
        <v>42875458.812388308</v>
      </c>
      <c r="L36" s="2" t="s">
        <v>966</v>
      </c>
      <c r="M36" s="2" t="s">
        <v>983</v>
      </c>
      <c r="N36" s="2" t="s">
        <v>289</v>
      </c>
      <c r="O36" s="2">
        <v>2481</v>
      </c>
      <c r="P36" s="2">
        <v>240.68620300292969</v>
      </c>
      <c r="Q36" s="2">
        <v>231.56486511230469</v>
      </c>
      <c r="R36" s="2">
        <f t="shared" ref="R36:R67" si="12">O36*P36</f>
        <v>597142.46965026855</v>
      </c>
      <c r="S36" s="2">
        <f t="shared" ref="S36:S67" si="13">O36*Q36</f>
        <v>574512.43034362793</v>
      </c>
      <c r="T36" s="2">
        <f t="shared" ref="T36:T67" si="14">R36+S36</f>
        <v>1171654.8999938965</v>
      </c>
      <c r="U36" s="2">
        <f t="shared" ref="U36:U67" si="15">ROUND(T36*0.0005, 2)</f>
        <v>585.83000000000004</v>
      </c>
      <c r="V36" s="2">
        <f t="shared" ref="V36:V67" si="16">S36-R36</f>
        <v>-22630.039306640625</v>
      </c>
      <c r="W36" s="2">
        <f t="shared" ref="W36:W67" si="17">V36-U36</f>
        <v>-23215.869306640627</v>
      </c>
      <c r="X36" s="2">
        <f t="shared" ref="X36:X67" si="18">K36+W36</f>
        <v>42852242.94308167</v>
      </c>
      <c r="Y36" s="2">
        <f t="shared" ref="Y36:Y67" si="19">ROUND(0.2*R36, 2)</f>
        <v>119428.49</v>
      </c>
      <c r="Z36" s="2">
        <f t="shared" ref="Z36:Z67" si="20">ROUND((W36/Y36)*100, 2)</f>
        <v>-19.440000000000001</v>
      </c>
      <c r="AA36" s="2">
        <f t="shared" si="11"/>
        <v>42875458.812388308</v>
      </c>
      <c r="AB36" s="2">
        <f t="shared" ref="AB36:AB67" si="21">X36-AA36</f>
        <v>-23215.869306638837</v>
      </c>
    </row>
    <row r="37" spans="1:28">
      <c r="A37" s="2">
        <v>34</v>
      </c>
      <c r="B37" s="2" t="s">
        <v>245</v>
      </c>
      <c r="C37" s="2" t="s">
        <v>932</v>
      </c>
      <c r="D37" s="4" t="s">
        <v>61</v>
      </c>
      <c r="E37" s="5" t="s">
        <v>134</v>
      </c>
      <c r="F37" s="2" t="s">
        <v>135</v>
      </c>
      <c r="G37" s="2" t="s">
        <v>231</v>
      </c>
      <c r="H37" s="2" t="s">
        <v>99</v>
      </c>
      <c r="I37" s="2" t="s">
        <v>491</v>
      </c>
      <c r="J37" s="2" t="s">
        <v>984</v>
      </c>
      <c r="K37" s="2">
        <f t="shared" si="10"/>
        <v>42852242.94308167</v>
      </c>
      <c r="L37" s="2" t="s">
        <v>985</v>
      </c>
      <c r="M37" s="2" t="s">
        <v>967</v>
      </c>
      <c r="N37" s="2" t="s">
        <v>986</v>
      </c>
      <c r="O37" s="2">
        <v>2351</v>
      </c>
      <c r="P37" s="2">
        <v>315.30087280273437</v>
      </c>
      <c r="Q37" s="2">
        <v>336.5469970703125</v>
      </c>
      <c r="R37" s="2">
        <f t="shared" si="12"/>
        <v>741272.35195922852</v>
      </c>
      <c r="S37" s="2">
        <f t="shared" si="13"/>
        <v>791221.99011230469</v>
      </c>
      <c r="T37" s="2">
        <f t="shared" si="14"/>
        <v>1532494.3420715332</v>
      </c>
      <c r="U37" s="2">
        <f t="shared" si="15"/>
        <v>766.25</v>
      </c>
      <c r="V37" s="2">
        <f t="shared" si="16"/>
        <v>49949.638153076172</v>
      </c>
      <c r="W37" s="2">
        <f t="shared" si="17"/>
        <v>49183.388153076172</v>
      </c>
      <c r="X37" s="2">
        <f t="shared" si="18"/>
        <v>42901426.331234746</v>
      </c>
      <c r="Y37" s="2">
        <f t="shared" si="19"/>
        <v>148254.47</v>
      </c>
      <c r="Z37" s="2">
        <f t="shared" si="20"/>
        <v>33.17</v>
      </c>
      <c r="AA37" s="2">
        <f t="shared" ref="AA37:AA68" si="22">MAX(AA36, X37)</f>
        <v>42901426.331234746</v>
      </c>
      <c r="AB37" s="2">
        <f t="shared" si="21"/>
        <v>0</v>
      </c>
    </row>
    <row r="38" spans="1:28">
      <c r="A38" s="2">
        <v>35</v>
      </c>
      <c r="B38" s="2" t="s">
        <v>248</v>
      </c>
      <c r="C38" s="2" t="s">
        <v>932</v>
      </c>
      <c r="D38" s="4" t="s">
        <v>61</v>
      </c>
      <c r="E38" s="5" t="s">
        <v>134</v>
      </c>
      <c r="F38" s="2" t="s">
        <v>135</v>
      </c>
      <c r="G38" s="2" t="s">
        <v>161</v>
      </c>
      <c r="H38" s="2" t="s">
        <v>192</v>
      </c>
      <c r="I38" s="2" t="s">
        <v>85</v>
      </c>
      <c r="J38" s="2" t="s">
        <v>987</v>
      </c>
      <c r="K38" s="2">
        <f t="shared" si="10"/>
        <v>42901426.331234746</v>
      </c>
      <c r="L38" s="2" t="s">
        <v>957</v>
      </c>
      <c r="M38" s="2" t="s">
        <v>946</v>
      </c>
      <c r="N38" s="2" t="s">
        <v>973</v>
      </c>
      <c r="O38" s="2">
        <v>591</v>
      </c>
      <c r="P38" s="2">
        <v>1761.408935546875</v>
      </c>
      <c r="Q38" s="2">
        <v>1831.32861328125</v>
      </c>
      <c r="R38" s="2">
        <f t="shared" si="12"/>
        <v>1040992.6809082031</v>
      </c>
      <c r="S38" s="2">
        <f t="shared" si="13"/>
        <v>1082315.2104492188</v>
      </c>
      <c r="T38" s="2">
        <f t="shared" si="14"/>
        <v>2123307.8913574219</v>
      </c>
      <c r="U38" s="2">
        <f t="shared" si="15"/>
        <v>1061.6500000000001</v>
      </c>
      <c r="V38" s="2">
        <f t="shared" si="16"/>
        <v>41322.529541015625</v>
      </c>
      <c r="W38" s="2">
        <f t="shared" si="17"/>
        <v>40260.879541015624</v>
      </c>
      <c r="X38" s="2">
        <f t="shared" si="18"/>
        <v>42941687.210775763</v>
      </c>
      <c r="Y38" s="2">
        <f t="shared" si="19"/>
        <v>208198.54</v>
      </c>
      <c r="Z38" s="2">
        <f t="shared" si="20"/>
        <v>19.34</v>
      </c>
      <c r="AA38" s="2">
        <f t="shared" si="22"/>
        <v>42941687.210775763</v>
      </c>
      <c r="AB38" s="2">
        <f t="shared" si="21"/>
        <v>0</v>
      </c>
    </row>
    <row r="39" spans="1:28">
      <c r="A39" s="2">
        <v>36</v>
      </c>
      <c r="B39" s="2" t="s">
        <v>252</v>
      </c>
      <c r="C39" s="2" t="s">
        <v>932</v>
      </c>
      <c r="D39" s="4" t="s">
        <v>61</v>
      </c>
      <c r="E39" s="5" t="s">
        <v>134</v>
      </c>
      <c r="F39" s="2" t="s">
        <v>135</v>
      </c>
      <c r="G39" s="2" t="s">
        <v>150</v>
      </c>
      <c r="H39" s="2" t="s">
        <v>253</v>
      </c>
      <c r="I39" s="2" t="s">
        <v>93</v>
      </c>
      <c r="J39" s="2" t="s">
        <v>652</v>
      </c>
      <c r="K39" s="2">
        <f t="shared" si="10"/>
        <v>42941687.210775763</v>
      </c>
      <c r="L39" s="2" t="s">
        <v>967</v>
      </c>
      <c r="M39" s="2" t="s">
        <v>988</v>
      </c>
      <c r="N39" s="2" t="s">
        <v>989</v>
      </c>
      <c r="O39" s="2">
        <v>100</v>
      </c>
      <c r="P39" s="2">
        <v>33842.6640625</v>
      </c>
      <c r="Q39" s="2">
        <v>34651.29296875</v>
      </c>
      <c r="R39" s="2">
        <f t="shared" si="12"/>
        <v>3384266.40625</v>
      </c>
      <c r="S39" s="2">
        <f t="shared" si="13"/>
        <v>3465129.296875</v>
      </c>
      <c r="T39" s="2">
        <f t="shared" si="14"/>
        <v>6849395.703125</v>
      </c>
      <c r="U39" s="2">
        <f t="shared" si="15"/>
        <v>3424.7</v>
      </c>
      <c r="V39" s="2">
        <f t="shared" si="16"/>
        <v>80862.890625</v>
      </c>
      <c r="W39" s="2">
        <f t="shared" si="17"/>
        <v>77438.190625000003</v>
      </c>
      <c r="X39" s="2">
        <f t="shared" si="18"/>
        <v>43019125.40140076</v>
      </c>
      <c r="Y39" s="2">
        <f t="shared" si="19"/>
        <v>676853.28</v>
      </c>
      <c r="Z39" s="2">
        <f t="shared" si="20"/>
        <v>11.44</v>
      </c>
      <c r="AA39" s="2">
        <f t="shared" si="22"/>
        <v>43019125.40140076</v>
      </c>
      <c r="AB39" s="2">
        <f t="shared" si="21"/>
        <v>0</v>
      </c>
    </row>
    <row r="40" spans="1:28">
      <c r="A40" s="2">
        <v>37</v>
      </c>
      <c r="B40" s="2" t="s">
        <v>256</v>
      </c>
      <c r="C40" s="2" t="s">
        <v>932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257</v>
      </c>
      <c r="J40" s="2" t="s">
        <v>258</v>
      </c>
      <c r="K40" s="2">
        <f t="shared" si="10"/>
        <v>43019125.40140076</v>
      </c>
      <c r="L40" s="2" t="s">
        <v>251</v>
      </c>
      <c r="M40" s="2" t="s">
        <v>89</v>
      </c>
      <c r="N40" s="2" t="s">
        <v>182</v>
      </c>
      <c r="O40" s="2">
        <v>1800</v>
      </c>
      <c r="P40" s="2">
        <v>241.36296081542969</v>
      </c>
      <c r="Q40" s="2">
        <v>251.82722473144531</v>
      </c>
      <c r="R40" s="2">
        <f t="shared" si="12"/>
        <v>434453.32946777344</v>
      </c>
      <c r="S40" s="2">
        <f t="shared" si="13"/>
        <v>453289.00451660156</v>
      </c>
      <c r="T40" s="2">
        <f t="shared" si="14"/>
        <v>887742.333984375</v>
      </c>
      <c r="U40" s="2">
        <f t="shared" si="15"/>
        <v>443.87</v>
      </c>
      <c r="V40" s="2">
        <f t="shared" si="16"/>
        <v>18835.675048828125</v>
      </c>
      <c r="W40" s="2">
        <f t="shared" si="17"/>
        <v>18391.805048828126</v>
      </c>
      <c r="X40" s="2">
        <f t="shared" si="18"/>
        <v>43037517.206449591</v>
      </c>
      <c r="Y40" s="2">
        <f t="shared" si="19"/>
        <v>86890.67</v>
      </c>
      <c r="Z40" s="2">
        <f t="shared" si="20"/>
        <v>21.17</v>
      </c>
      <c r="AA40" s="2">
        <f t="shared" si="22"/>
        <v>43037517.206449591</v>
      </c>
      <c r="AB40" s="2">
        <f t="shared" si="21"/>
        <v>0</v>
      </c>
    </row>
    <row r="41" spans="1:28">
      <c r="A41" s="2">
        <v>38</v>
      </c>
      <c r="B41" s="2" t="s">
        <v>259</v>
      </c>
      <c r="C41" s="2" t="s">
        <v>932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262</v>
      </c>
      <c r="J41" s="2" t="s">
        <v>263</v>
      </c>
      <c r="K41" s="2">
        <f t="shared" si="10"/>
        <v>43037517.206449591</v>
      </c>
      <c r="L41" s="2" t="s">
        <v>147</v>
      </c>
      <c r="M41" s="2" t="s">
        <v>264</v>
      </c>
      <c r="N41" s="2" t="s">
        <v>147</v>
      </c>
      <c r="O41" s="2">
        <v>200</v>
      </c>
      <c r="P41" s="2">
        <v>4891.94091796875</v>
      </c>
      <c r="Q41" s="2">
        <v>4846.14111328125</v>
      </c>
      <c r="R41" s="2">
        <f t="shared" si="12"/>
        <v>978388.18359375</v>
      </c>
      <c r="S41" s="2">
        <f t="shared" si="13"/>
        <v>969228.22265625</v>
      </c>
      <c r="T41" s="2">
        <f t="shared" si="14"/>
        <v>1947616.40625</v>
      </c>
      <c r="U41" s="2">
        <f t="shared" si="15"/>
        <v>973.81</v>
      </c>
      <c r="V41" s="2">
        <f t="shared" si="16"/>
        <v>-9159.9609375</v>
      </c>
      <c r="W41" s="2">
        <f t="shared" si="17"/>
        <v>-10133.770937499999</v>
      </c>
      <c r="X41" s="2">
        <f t="shared" si="18"/>
        <v>43027383.435512088</v>
      </c>
      <c r="Y41" s="2">
        <f t="shared" si="19"/>
        <v>195677.64</v>
      </c>
      <c r="Z41" s="2">
        <f t="shared" si="20"/>
        <v>-5.18</v>
      </c>
      <c r="AA41" s="2">
        <f t="shared" si="22"/>
        <v>43037517.206449591</v>
      </c>
      <c r="AB41" s="2">
        <f t="shared" si="21"/>
        <v>-10133.770937502384</v>
      </c>
    </row>
    <row r="42" spans="1:28">
      <c r="A42" s="2">
        <v>39</v>
      </c>
      <c r="B42" s="2" t="s">
        <v>265</v>
      </c>
      <c r="C42" s="2" t="s">
        <v>932</v>
      </c>
      <c r="D42" s="3" t="s">
        <v>37</v>
      </c>
      <c r="E42" s="5" t="s">
        <v>134</v>
      </c>
      <c r="F42" s="2" t="s">
        <v>135</v>
      </c>
      <c r="G42" s="2" t="s">
        <v>231</v>
      </c>
      <c r="H42" s="2" t="s">
        <v>266</v>
      </c>
      <c r="I42" s="2" t="s">
        <v>990</v>
      </c>
      <c r="J42" s="2" t="s">
        <v>991</v>
      </c>
      <c r="K42" s="2">
        <f t="shared" si="10"/>
        <v>43027383.435512088</v>
      </c>
      <c r="L42" s="2" t="s">
        <v>983</v>
      </c>
      <c r="M42" s="2" t="s">
        <v>951</v>
      </c>
      <c r="N42" s="2" t="s">
        <v>989</v>
      </c>
      <c r="O42" s="2">
        <v>283</v>
      </c>
      <c r="P42" s="2">
        <v>1479.307983398438</v>
      </c>
      <c r="Q42" s="2">
        <v>1488.637451171875</v>
      </c>
      <c r="R42" s="2">
        <f t="shared" si="12"/>
        <v>418644.15930175793</v>
      </c>
      <c r="S42" s="2">
        <f t="shared" si="13"/>
        <v>421284.39868164062</v>
      </c>
      <c r="T42" s="2">
        <f t="shared" si="14"/>
        <v>839928.55798339855</v>
      </c>
      <c r="U42" s="2">
        <f t="shared" si="15"/>
        <v>419.96</v>
      </c>
      <c r="V42" s="2">
        <f t="shared" si="16"/>
        <v>2640.2393798826961</v>
      </c>
      <c r="W42" s="2">
        <f t="shared" si="17"/>
        <v>2220.279379882696</v>
      </c>
      <c r="X42" s="2">
        <f t="shared" si="18"/>
        <v>43029603.71489197</v>
      </c>
      <c r="Y42" s="2">
        <f t="shared" si="19"/>
        <v>83728.83</v>
      </c>
      <c r="Z42" s="2">
        <f t="shared" si="20"/>
        <v>2.65</v>
      </c>
      <c r="AA42" s="2">
        <f t="shared" si="22"/>
        <v>43037517.206449591</v>
      </c>
      <c r="AB42" s="2">
        <f t="shared" si="21"/>
        <v>-7913.4915576204658</v>
      </c>
    </row>
    <row r="43" spans="1:28">
      <c r="A43" s="2">
        <v>40</v>
      </c>
      <c r="B43" s="2" t="s">
        <v>269</v>
      </c>
      <c r="C43" s="2" t="s">
        <v>932</v>
      </c>
      <c r="D43" s="4" t="s">
        <v>61</v>
      </c>
      <c r="E43" s="5" t="s">
        <v>134</v>
      </c>
      <c r="F43" s="2" t="s">
        <v>135</v>
      </c>
      <c r="G43" s="2" t="s">
        <v>97</v>
      </c>
      <c r="H43" s="2" t="s">
        <v>270</v>
      </c>
      <c r="I43" s="2" t="s">
        <v>992</v>
      </c>
      <c r="J43" s="2" t="s">
        <v>993</v>
      </c>
      <c r="K43" s="2">
        <f t="shared" si="10"/>
        <v>43029603.71489197</v>
      </c>
      <c r="L43" s="2" t="s">
        <v>288</v>
      </c>
      <c r="M43" s="2" t="s">
        <v>994</v>
      </c>
      <c r="N43" s="2" t="s">
        <v>289</v>
      </c>
      <c r="O43" s="2">
        <v>1260</v>
      </c>
      <c r="P43" s="2">
        <v>839.33489990234375</v>
      </c>
      <c r="Q43" s="2">
        <v>872.17266845703125</v>
      </c>
      <c r="R43" s="2">
        <f t="shared" si="12"/>
        <v>1057561.9738769531</v>
      </c>
      <c r="S43" s="2">
        <f t="shared" si="13"/>
        <v>1098937.5622558594</v>
      </c>
      <c r="T43" s="2">
        <f t="shared" si="14"/>
        <v>2156499.5361328125</v>
      </c>
      <c r="U43" s="2">
        <f t="shared" si="15"/>
        <v>1078.25</v>
      </c>
      <c r="V43" s="2">
        <f t="shared" si="16"/>
        <v>41375.58837890625</v>
      </c>
      <c r="W43" s="2">
        <f t="shared" si="17"/>
        <v>40297.33837890625</v>
      </c>
      <c r="X43" s="2">
        <f t="shared" si="18"/>
        <v>43069901.053270876</v>
      </c>
      <c r="Y43" s="2">
        <f t="shared" si="19"/>
        <v>211512.39</v>
      </c>
      <c r="Z43" s="2">
        <f t="shared" si="20"/>
        <v>19.05</v>
      </c>
      <c r="AA43" s="2">
        <f t="shared" si="22"/>
        <v>43069901.053270876</v>
      </c>
      <c r="AB43" s="2">
        <f t="shared" si="21"/>
        <v>0</v>
      </c>
    </row>
    <row r="44" spans="1:28">
      <c r="A44" s="2">
        <v>41</v>
      </c>
      <c r="B44" s="2" t="s">
        <v>272</v>
      </c>
      <c r="C44" s="2" t="s">
        <v>932</v>
      </c>
      <c r="D44" s="4" t="s">
        <v>61</v>
      </c>
      <c r="E44" s="5" t="s">
        <v>134</v>
      </c>
      <c r="F44" s="2" t="s">
        <v>135</v>
      </c>
      <c r="G44" s="2" t="s">
        <v>40</v>
      </c>
      <c r="H44" s="2" t="s">
        <v>273</v>
      </c>
      <c r="I44" s="2" t="s">
        <v>995</v>
      </c>
      <c r="J44" s="2" t="s">
        <v>996</v>
      </c>
      <c r="K44" s="2">
        <f t="shared" si="10"/>
        <v>43069901.053270876</v>
      </c>
      <c r="L44" s="2" t="s">
        <v>970</v>
      </c>
      <c r="M44" s="2" t="s">
        <v>959</v>
      </c>
      <c r="N44" s="2" t="s">
        <v>994</v>
      </c>
      <c r="O44" s="2">
        <v>8046</v>
      </c>
      <c r="P44" s="2">
        <v>95.243072509765625</v>
      </c>
      <c r="Q44" s="2">
        <v>97.822502136230483</v>
      </c>
      <c r="R44" s="2">
        <f t="shared" si="12"/>
        <v>766325.76141357422</v>
      </c>
      <c r="S44" s="2">
        <f t="shared" si="13"/>
        <v>787079.85218811047</v>
      </c>
      <c r="T44" s="2">
        <f t="shared" si="14"/>
        <v>1553405.6136016846</v>
      </c>
      <c r="U44" s="2">
        <f t="shared" si="15"/>
        <v>776.7</v>
      </c>
      <c r="V44" s="2">
        <f t="shared" si="16"/>
        <v>20754.090774536249</v>
      </c>
      <c r="W44" s="2">
        <f t="shared" si="17"/>
        <v>19977.390774536249</v>
      </c>
      <c r="X44" s="2">
        <f t="shared" si="18"/>
        <v>43089878.44404541</v>
      </c>
      <c r="Y44" s="2">
        <f t="shared" si="19"/>
        <v>153265.15</v>
      </c>
      <c r="Z44" s="2">
        <f t="shared" si="20"/>
        <v>13.03</v>
      </c>
      <c r="AA44" s="2">
        <f t="shared" si="22"/>
        <v>43089878.44404541</v>
      </c>
      <c r="AB44" s="2">
        <f t="shared" si="21"/>
        <v>0</v>
      </c>
    </row>
    <row r="45" spans="1:28">
      <c r="A45" s="2">
        <v>42</v>
      </c>
      <c r="B45" s="2" t="s">
        <v>275</v>
      </c>
      <c r="C45" s="2" t="s">
        <v>932</v>
      </c>
      <c r="D45" s="4" t="s">
        <v>61</v>
      </c>
      <c r="E45" s="5" t="s">
        <v>134</v>
      </c>
      <c r="F45" s="2" t="s">
        <v>135</v>
      </c>
      <c r="G45" s="2" t="s">
        <v>161</v>
      </c>
      <c r="H45" s="2" t="s">
        <v>276</v>
      </c>
      <c r="I45" s="2" t="s">
        <v>997</v>
      </c>
      <c r="J45" s="2" t="s">
        <v>998</v>
      </c>
      <c r="K45" s="2">
        <f t="shared" si="10"/>
        <v>43089878.44404541</v>
      </c>
      <c r="L45" s="2" t="s">
        <v>999</v>
      </c>
      <c r="M45" s="2" t="s">
        <v>289</v>
      </c>
      <c r="N45" s="2" t="s">
        <v>290</v>
      </c>
      <c r="O45" s="2">
        <v>748</v>
      </c>
      <c r="P45" s="2">
        <v>1458.348388671875</v>
      </c>
      <c r="Q45" s="2">
        <v>1559.4443359375</v>
      </c>
      <c r="R45" s="2">
        <f t="shared" si="12"/>
        <v>1090844.5947265625</v>
      </c>
      <c r="S45" s="2">
        <f t="shared" si="13"/>
        <v>1166464.36328125</v>
      </c>
      <c r="T45" s="2">
        <f t="shared" si="14"/>
        <v>2257308.9580078125</v>
      </c>
      <c r="U45" s="2">
        <f t="shared" si="15"/>
        <v>1128.6500000000001</v>
      </c>
      <c r="V45" s="2">
        <f t="shared" si="16"/>
        <v>75619.7685546875</v>
      </c>
      <c r="W45" s="2">
        <f t="shared" si="17"/>
        <v>74491.118554687506</v>
      </c>
      <c r="X45" s="2">
        <f t="shared" si="18"/>
        <v>43164369.562600099</v>
      </c>
      <c r="Y45" s="2">
        <f t="shared" si="19"/>
        <v>218168.92</v>
      </c>
      <c r="Z45" s="2">
        <f t="shared" si="20"/>
        <v>34.14</v>
      </c>
      <c r="AA45" s="2">
        <f t="shared" si="22"/>
        <v>43164369.562600099</v>
      </c>
      <c r="AB45" s="2">
        <f t="shared" si="21"/>
        <v>0</v>
      </c>
    </row>
    <row r="46" spans="1:28">
      <c r="A46" s="2">
        <v>43</v>
      </c>
      <c r="B46" s="2" t="s">
        <v>280</v>
      </c>
      <c r="C46" s="2" t="s">
        <v>932</v>
      </c>
      <c r="D46" s="3" t="s">
        <v>37</v>
      </c>
      <c r="E46" s="5" t="s">
        <v>134</v>
      </c>
      <c r="F46" s="2" t="s">
        <v>135</v>
      </c>
      <c r="G46" s="2" t="s">
        <v>241</v>
      </c>
      <c r="H46" s="2" t="s">
        <v>281</v>
      </c>
      <c r="I46" s="2" t="s">
        <v>1000</v>
      </c>
      <c r="J46" s="2" t="s">
        <v>1001</v>
      </c>
      <c r="K46" s="2">
        <f t="shared" si="10"/>
        <v>43164369.562600099</v>
      </c>
      <c r="L46" s="2" t="s">
        <v>999</v>
      </c>
      <c r="M46" s="2" t="s">
        <v>957</v>
      </c>
      <c r="N46" s="2" t="s">
        <v>985</v>
      </c>
      <c r="O46" s="2">
        <v>1201</v>
      </c>
      <c r="P46" s="2">
        <v>829.216064453125</v>
      </c>
      <c r="Q46" s="2">
        <v>740.3892822265625</v>
      </c>
      <c r="R46" s="2">
        <f t="shared" si="12"/>
        <v>995888.49340820313</v>
      </c>
      <c r="S46" s="2">
        <f t="shared" si="13"/>
        <v>889207.52795410156</v>
      </c>
      <c r="T46" s="2">
        <f t="shared" si="14"/>
        <v>1885096.0213623047</v>
      </c>
      <c r="U46" s="2">
        <f t="shared" si="15"/>
        <v>942.55</v>
      </c>
      <c r="V46" s="2">
        <f t="shared" si="16"/>
        <v>-106680.96545410156</v>
      </c>
      <c r="W46" s="2">
        <f t="shared" si="17"/>
        <v>-107623.51545410157</v>
      </c>
      <c r="X46" s="2">
        <f t="shared" si="18"/>
        <v>43056746.047146</v>
      </c>
      <c r="Y46" s="2">
        <f t="shared" si="19"/>
        <v>199177.7</v>
      </c>
      <c r="Z46" s="2">
        <f t="shared" si="20"/>
        <v>-54.03</v>
      </c>
      <c r="AA46" s="2">
        <f t="shared" si="22"/>
        <v>43164369.562600099</v>
      </c>
      <c r="AB46" s="2">
        <f t="shared" si="21"/>
        <v>-107623.51545409858</v>
      </c>
    </row>
    <row r="47" spans="1:28">
      <c r="A47" s="2">
        <v>44</v>
      </c>
      <c r="B47" s="2" t="s">
        <v>284</v>
      </c>
      <c r="C47" s="2" t="s">
        <v>932</v>
      </c>
      <c r="D47" s="4" t="s">
        <v>61</v>
      </c>
      <c r="E47" s="5" t="s">
        <v>134</v>
      </c>
      <c r="F47" s="2" t="s">
        <v>135</v>
      </c>
      <c r="G47" s="2" t="s">
        <v>63</v>
      </c>
      <c r="H47" s="2" t="s">
        <v>285</v>
      </c>
      <c r="I47" s="2" t="s">
        <v>1002</v>
      </c>
      <c r="J47" s="2" t="s">
        <v>1003</v>
      </c>
      <c r="K47" s="2">
        <f t="shared" si="10"/>
        <v>43056746.047146</v>
      </c>
      <c r="L47" s="2" t="s">
        <v>1004</v>
      </c>
      <c r="M47" s="2" t="s">
        <v>1005</v>
      </c>
      <c r="N47" s="2" t="s">
        <v>1006</v>
      </c>
      <c r="O47" s="2">
        <v>563</v>
      </c>
      <c r="P47" s="2">
        <v>1429.776123046875</v>
      </c>
      <c r="Q47" s="2">
        <v>1360.202392578125</v>
      </c>
      <c r="R47" s="2">
        <f t="shared" si="12"/>
        <v>804963.95727539063</v>
      </c>
      <c r="S47" s="2">
        <f t="shared" si="13"/>
        <v>765793.94702148438</v>
      </c>
      <c r="T47" s="2">
        <f t="shared" si="14"/>
        <v>1570757.904296875</v>
      </c>
      <c r="U47" s="2">
        <f t="shared" si="15"/>
        <v>785.38</v>
      </c>
      <c r="V47" s="2">
        <f t="shared" si="16"/>
        <v>-39170.01025390625</v>
      </c>
      <c r="W47" s="2">
        <f t="shared" si="17"/>
        <v>-39955.390253906247</v>
      </c>
      <c r="X47" s="2">
        <f t="shared" si="18"/>
        <v>43016790.656892091</v>
      </c>
      <c r="Y47" s="2">
        <f t="shared" si="19"/>
        <v>160992.79</v>
      </c>
      <c r="Z47" s="2">
        <f t="shared" si="20"/>
        <v>-24.82</v>
      </c>
      <c r="AA47" s="2">
        <f t="shared" si="22"/>
        <v>43164369.562600099</v>
      </c>
      <c r="AB47" s="2">
        <f t="shared" si="21"/>
        <v>-147578.90570800751</v>
      </c>
    </row>
    <row r="48" spans="1:28">
      <c r="A48" s="2">
        <v>45</v>
      </c>
      <c r="B48" s="2" t="s">
        <v>291</v>
      </c>
      <c r="C48" s="2" t="s">
        <v>932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293</v>
      </c>
      <c r="J48" s="2" t="s">
        <v>294</v>
      </c>
      <c r="K48" s="2">
        <f t="shared" si="10"/>
        <v>43016790.656892091</v>
      </c>
      <c r="L48" s="2" t="s">
        <v>166</v>
      </c>
      <c r="M48" s="2" t="s">
        <v>148</v>
      </c>
      <c r="N48" s="2" t="s">
        <v>189</v>
      </c>
      <c r="O48" s="2">
        <v>650</v>
      </c>
      <c r="P48" s="2">
        <v>1420.408813476562</v>
      </c>
      <c r="Q48" s="2">
        <v>1368.50537109375</v>
      </c>
      <c r="R48" s="2">
        <f t="shared" si="12"/>
        <v>923265.72875976528</v>
      </c>
      <c r="S48" s="2">
        <f t="shared" si="13"/>
        <v>889528.4912109375</v>
      </c>
      <c r="T48" s="2">
        <f t="shared" si="14"/>
        <v>1812794.2199707027</v>
      </c>
      <c r="U48" s="2">
        <f t="shared" si="15"/>
        <v>906.4</v>
      </c>
      <c r="V48" s="2">
        <f t="shared" si="16"/>
        <v>-33737.237548827776</v>
      </c>
      <c r="W48" s="2">
        <f t="shared" si="17"/>
        <v>-34643.637548827777</v>
      </c>
      <c r="X48" s="2">
        <f t="shared" si="18"/>
        <v>42982147.019343264</v>
      </c>
      <c r="Y48" s="2">
        <f t="shared" si="19"/>
        <v>184653.15</v>
      </c>
      <c r="Z48" s="2">
        <f t="shared" si="20"/>
        <v>-18.760000000000002</v>
      </c>
      <c r="AA48" s="2">
        <f t="shared" si="22"/>
        <v>43164369.562600099</v>
      </c>
      <c r="AB48" s="2">
        <f t="shared" si="21"/>
        <v>-182222.54325683415</v>
      </c>
    </row>
    <row r="49" spans="1:28">
      <c r="A49" s="2">
        <v>46</v>
      </c>
      <c r="B49" s="2" t="s">
        <v>295</v>
      </c>
      <c r="C49" s="2" t="s">
        <v>932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92</v>
      </c>
      <c r="J49" s="2" t="s">
        <v>298</v>
      </c>
      <c r="K49" s="2">
        <f t="shared" si="10"/>
        <v>42982147.019343264</v>
      </c>
      <c r="L49" s="2" t="s">
        <v>183</v>
      </c>
      <c r="M49" s="2" t="s">
        <v>189</v>
      </c>
      <c r="N49" s="2" t="s">
        <v>166</v>
      </c>
      <c r="O49" s="2">
        <v>2100</v>
      </c>
      <c r="P49" s="2">
        <v>348.816650390625</v>
      </c>
      <c r="Q49" s="2">
        <v>349.36911010742188</v>
      </c>
      <c r="R49" s="2">
        <f t="shared" si="12"/>
        <v>732514.9658203125</v>
      </c>
      <c r="S49" s="2">
        <f t="shared" si="13"/>
        <v>733675.13122558594</v>
      </c>
      <c r="T49" s="2">
        <f t="shared" si="14"/>
        <v>1466190.0970458984</v>
      </c>
      <c r="U49" s="2">
        <f t="shared" si="15"/>
        <v>733.1</v>
      </c>
      <c r="V49" s="2">
        <f t="shared" si="16"/>
        <v>1160.1654052734375</v>
      </c>
      <c r="W49" s="2">
        <f t="shared" si="17"/>
        <v>427.06540527343748</v>
      </c>
      <c r="X49" s="2">
        <f t="shared" si="18"/>
        <v>42982574.084748536</v>
      </c>
      <c r="Y49" s="2">
        <f t="shared" si="19"/>
        <v>146502.99</v>
      </c>
      <c r="Z49" s="2">
        <f t="shared" si="20"/>
        <v>0.28999999999999998</v>
      </c>
      <c r="AA49" s="2">
        <f t="shared" si="22"/>
        <v>43164369.562600099</v>
      </c>
      <c r="AB49" s="2">
        <f t="shared" si="21"/>
        <v>-181795.4778515622</v>
      </c>
    </row>
    <row r="50" spans="1:28">
      <c r="A50" s="2">
        <v>47</v>
      </c>
      <c r="B50" s="2" t="s">
        <v>299</v>
      </c>
      <c r="C50" s="2" t="s">
        <v>932</v>
      </c>
      <c r="D50" s="4" t="s">
        <v>61</v>
      </c>
      <c r="E50" s="5" t="s">
        <v>134</v>
      </c>
      <c r="F50" s="2" t="s">
        <v>135</v>
      </c>
      <c r="G50" s="2" t="s">
        <v>143</v>
      </c>
      <c r="H50" s="2" t="s">
        <v>300</v>
      </c>
      <c r="I50" s="2" t="s">
        <v>1007</v>
      </c>
      <c r="J50" s="2" t="s">
        <v>1008</v>
      </c>
      <c r="K50" s="2">
        <f t="shared" si="10"/>
        <v>42982574.084748536</v>
      </c>
      <c r="L50" s="2" t="s">
        <v>983</v>
      </c>
      <c r="M50" s="2" t="s">
        <v>947</v>
      </c>
      <c r="N50" s="2" t="s">
        <v>948</v>
      </c>
      <c r="O50" s="2">
        <v>713</v>
      </c>
      <c r="P50" s="2">
        <v>1377.0556640625</v>
      </c>
      <c r="Q50" s="2">
        <v>1509.443969726562</v>
      </c>
      <c r="R50" s="2">
        <f t="shared" si="12"/>
        <v>981840.6884765625</v>
      </c>
      <c r="S50" s="2">
        <f t="shared" si="13"/>
        <v>1076233.5504150388</v>
      </c>
      <c r="T50" s="2">
        <f t="shared" si="14"/>
        <v>2058074.2388916013</v>
      </c>
      <c r="U50" s="2">
        <f t="shared" si="15"/>
        <v>1029.04</v>
      </c>
      <c r="V50" s="2">
        <f t="shared" si="16"/>
        <v>94392.86193847633</v>
      </c>
      <c r="W50" s="2">
        <f t="shared" si="17"/>
        <v>93363.821938476336</v>
      </c>
      <c r="X50" s="2">
        <f t="shared" si="18"/>
        <v>43075937.906687014</v>
      </c>
      <c r="Y50" s="2">
        <f t="shared" si="19"/>
        <v>196368.14</v>
      </c>
      <c r="Z50" s="2">
        <f t="shared" si="20"/>
        <v>47.55</v>
      </c>
      <c r="AA50" s="2">
        <f t="shared" si="22"/>
        <v>43164369.562600099</v>
      </c>
      <c r="AB50" s="2">
        <f t="shared" si="21"/>
        <v>-88431.655913084745</v>
      </c>
    </row>
    <row r="51" spans="1:28">
      <c r="A51" s="2">
        <v>48</v>
      </c>
      <c r="B51" s="2" t="s">
        <v>303</v>
      </c>
      <c r="C51" s="2" t="s">
        <v>932</v>
      </c>
      <c r="D51" s="3" t="s">
        <v>37</v>
      </c>
      <c r="E51" s="5" t="s">
        <v>134</v>
      </c>
      <c r="F51" s="2" t="s">
        <v>135</v>
      </c>
      <c r="G51" s="2" t="s">
        <v>127</v>
      </c>
      <c r="H51" s="2" t="s">
        <v>304</v>
      </c>
      <c r="I51" s="2" t="s">
        <v>1009</v>
      </c>
      <c r="J51" s="2" t="s">
        <v>1010</v>
      </c>
      <c r="K51" s="2">
        <f t="shared" si="10"/>
        <v>43075937.906687014</v>
      </c>
      <c r="L51" s="2" t="s">
        <v>966</v>
      </c>
      <c r="M51" s="2" t="s">
        <v>994</v>
      </c>
      <c r="N51" s="2" t="s">
        <v>1011</v>
      </c>
      <c r="O51" s="2">
        <v>572</v>
      </c>
      <c r="P51" s="2">
        <v>1344.47412109375</v>
      </c>
      <c r="Q51" s="2">
        <v>1532.990234375</v>
      </c>
      <c r="R51" s="2">
        <f t="shared" si="12"/>
        <v>769039.197265625</v>
      </c>
      <c r="S51" s="2">
        <f t="shared" si="13"/>
        <v>876870.4140625</v>
      </c>
      <c r="T51" s="2">
        <f t="shared" si="14"/>
        <v>1645909.611328125</v>
      </c>
      <c r="U51" s="2">
        <f t="shared" si="15"/>
        <v>822.95</v>
      </c>
      <c r="V51" s="2">
        <f t="shared" si="16"/>
        <v>107831.216796875</v>
      </c>
      <c r="W51" s="2">
        <f t="shared" si="17"/>
        <v>107008.266796875</v>
      </c>
      <c r="X51" s="2">
        <f t="shared" si="18"/>
        <v>43182946.173483886</v>
      </c>
      <c r="Y51" s="2">
        <f t="shared" si="19"/>
        <v>153807.84</v>
      </c>
      <c r="Z51" s="2">
        <f t="shared" si="20"/>
        <v>69.569999999999993</v>
      </c>
      <c r="AA51" s="2">
        <f t="shared" si="22"/>
        <v>43182946.173483886</v>
      </c>
      <c r="AB51" s="2">
        <f t="shared" si="21"/>
        <v>0</v>
      </c>
    </row>
    <row r="52" spans="1:28">
      <c r="A52" s="2">
        <v>49</v>
      </c>
      <c r="B52" s="2" t="s">
        <v>307</v>
      </c>
      <c r="C52" s="2" t="s">
        <v>932</v>
      </c>
      <c r="D52" s="3" t="s">
        <v>37</v>
      </c>
      <c r="E52" s="5" t="s">
        <v>134</v>
      </c>
      <c r="F52" s="2" t="s">
        <v>135</v>
      </c>
      <c r="G52" s="2" t="s">
        <v>103</v>
      </c>
      <c r="H52" s="2" t="s">
        <v>308</v>
      </c>
      <c r="I52" s="2" t="s">
        <v>1012</v>
      </c>
      <c r="J52" s="2" t="s">
        <v>1013</v>
      </c>
      <c r="K52" s="2">
        <f t="shared" si="10"/>
        <v>43182946.173483886</v>
      </c>
      <c r="L52" s="2" t="s">
        <v>1014</v>
      </c>
      <c r="M52" s="2" t="s">
        <v>986</v>
      </c>
      <c r="N52" s="2" t="s">
        <v>288</v>
      </c>
      <c r="O52" s="2">
        <v>479</v>
      </c>
      <c r="P52" s="2">
        <v>3234.419677734375</v>
      </c>
      <c r="Q52" s="2">
        <v>2966.568115234375</v>
      </c>
      <c r="R52" s="2">
        <f t="shared" si="12"/>
        <v>1549287.0256347656</v>
      </c>
      <c r="S52" s="2">
        <f t="shared" si="13"/>
        <v>1420986.1271972656</v>
      </c>
      <c r="T52" s="2">
        <f t="shared" si="14"/>
        <v>2970273.1528320312</v>
      </c>
      <c r="U52" s="2">
        <f t="shared" si="15"/>
        <v>1485.14</v>
      </c>
      <c r="V52" s="2">
        <f t="shared" si="16"/>
        <v>-128300.8984375</v>
      </c>
      <c r="W52" s="2">
        <f t="shared" si="17"/>
        <v>-129786.0384375</v>
      </c>
      <c r="X52" s="2">
        <f t="shared" si="18"/>
        <v>43053160.135046385</v>
      </c>
      <c r="Y52" s="2">
        <f t="shared" si="19"/>
        <v>309857.40999999997</v>
      </c>
      <c r="Z52" s="2">
        <f t="shared" si="20"/>
        <v>-41.89</v>
      </c>
      <c r="AA52" s="2">
        <f t="shared" si="22"/>
        <v>43182946.173483886</v>
      </c>
      <c r="AB52" s="2">
        <f t="shared" si="21"/>
        <v>-129786.0384375006</v>
      </c>
    </row>
    <row r="53" spans="1:28">
      <c r="A53" s="2">
        <v>50</v>
      </c>
      <c r="B53" s="2" t="s">
        <v>311</v>
      </c>
      <c r="C53" s="2" t="s">
        <v>932</v>
      </c>
      <c r="D53" s="3" t="s">
        <v>37</v>
      </c>
      <c r="E53" s="5" t="s">
        <v>134</v>
      </c>
      <c r="F53" s="2" t="s">
        <v>135</v>
      </c>
      <c r="G53" s="2" t="s">
        <v>77</v>
      </c>
      <c r="H53" s="2" t="s">
        <v>312</v>
      </c>
      <c r="I53" s="2" t="s">
        <v>1015</v>
      </c>
      <c r="J53" s="2" t="s">
        <v>1016</v>
      </c>
      <c r="K53" s="2">
        <f t="shared" si="10"/>
        <v>43053160.135046385</v>
      </c>
      <c r="L53" s="2" t="s">
        <v>957</v>
      </c>
      <c r="M53" s="2" t="s">
        <v>967</v>
      </c>
      <c r="N53" s="2" t="s">
        <v>986</v>
      </c>
      <c r="O53" s="2">
        <v>1904</v>
      </c>
      <c r="P53" s="2">
        <v>774.7144775390625</v>
      </c>
      <c r="Q53" s="2">
        <v>825.173583984375</v>
      </c>
      <c r="R53" s="2">
        <f t="shared" si="12"/>
        <v>1475056.365234375</v>
      </c>
      <c r="S53" s="2">
        <f t="shared" si="13"/>
        <v>1571130.50390625</v>
      </c>
      <c r="T53" s="2">
        <f t="shared" si="14"/>
        <v>3046186.869140625</v>
      </c>
      <c r="U53" s="2">
        <f t="shared" si="15"/>
        <v>1523.09</v>
      </c>
      <c r="V53" s="2">
        <f t="shared" si="16"/>
        <v>96074.138671875</v>
      </c>
      <c r="W53" s="2">
        <f t="shared" si="17"/>
        <v>94551.048671875003</v>
      </c>
      <c r="X53" s="2">
        <f t="shared" si="18"/>
        <v>43147711.183718257</v>
      </c>
      <c r="Y53" s="2">
        <f t="shared" si="19"/>
        <v>295011.27</v>
      </c>
      <c r="Z53" s="2">
        <f t="shared" si="20"/>
        <v>32.049999999999997</v>
      </c>
      <c r="AA53" s="2">
        <f t="shared" si="22"/>
        <v>43182946.173483886</v>
      </c>
      <c r="AB53" s="2">
        <f t="shared" si="21"/>
        <v>-35234.989765629172</v>
      </c>
    </row>
    <row r="54" spans="1:28">
      <c r="A54" s="2">
        <v>51</v>
      </c>
      <c r="B54" s="2" t="s">
        <v>315</v>
      </c>
      <c r="C54" s="2" t="s">
        <v>932</v>
      </c>
      <c r="D54" s="4" t="s">
        <v>61</v>
      </c>
      <c r="E54" s="5" t="s">
        <v>134</v>
      </c>
      <c r="F54" s="2" t="s">
        <v>135</v>
      </c>
      <c r="G54" s="2" t="s">
        <v>169</v>
      </c>
      <c r="H54" s="2" t="s">
        <v>316</v>
      </c>
      <c r="I54" s="2" t="s">
        <v>1017</v>
      </c>
      <c r="J54" s="2" t="s">
        <v>1018</v>
      </c>
      <c r="K54" s="2">
        <f t="shared" si="10"/>
        <v>43147711.183718257</v>
      </c>
      <c r="L54" s="2" t="s">
        <v>948</v>
      </c>
      <c r="M54" s="2" t="s">
        <v>974</v>
      </c>
      <c r="N54" s="2" t="s">
        <v>980</v>
      </c>
      <c r="O54" s="2">
        <v>3841</v>
      </c>
      <c r="P54" s="2">
        <v>376.33358764648437</v>
      </c>
      <c r="Q54" s="2">
        <v>390.38796997070312</v>
      </c>
      <c r="R54" s="2">
        <f t="shared" si="12"/>
        <v>1445497.3101501465</v>
      </c>
      <c r="S54" s="2">
        <f t="shared" si="13"/>
        <v>1499480.1926574707</v>
      </c>
      <c r="T54" s="2">
        <f t="shared" si="14"/>
        <v>2944977.5028076172</v>
      </c>
      <c r="U54" s="2">
        <f t="shared" si="15"/>
        <v>1472.49</v>
      </c>
      <c r="V54" s="2">
        <f t="shared" si="16"/>
        <v>53982.882507324219</v>
      </c>
      <c r="W54" s="2">
        <f t="shared" si="17"/>
        <v>52510.392507324221</v>
      </c>
      <c r="X54" s="2">
        <f t="shared" si="18"/>
        <v>43200221.576225579</v>
      </c>
      <c r="Y54" s="2">
        <f t="shared" si="19"/>
        <v>289099.46000000002</v>
      </c>
      <c r="Z54" s="2">
        <f t="shared" si="20"/>
        <v>18.16</v>
      </c>
      <c r="AA54" s="2">
        <f t="shared" si="22"/>
        <v>43200221.576225579</v>
      </c>
      <c r="AB54" s="2">
        <f t="shared" si="21"/>
        <v>0</v>
      </c>
    </row>
    <row r="55" spans="1:28">
      <c r="A55" s="2">
        <v>52</v>
      </c>
      <c r="B55" s="2" t="s">
        <v>318</v>
      </c>
      <c r="C55" s="2" t="s">
        <v>932</v>
      </c>
      <c r="D55" s="4" t="s">
        <v>61</v>
      </c>
      <c r="E55" s="5" t="s">
        <v>134</v>
      </c>
      <c r="F55" s="2" t="s">
        <v>135</v>
      </c>
      <c r="G55" s="2" t="s">
        <v>241</v>
      </c>
      <c r="H55" s="2" t="s">
        <v>319</v>
      </c>
      <c r="I55" s="2" t="s">
        <v>1019</v>
      </c>
      <c r="J55" s="2" t="s">
        <v>663</v>
      </c>
      <c r="K55" s="2">
        <f t="shared" si="10"/>
        <v>43200221.576225579</v>
      </c>
      <c r="L55" s="2" t="s">
        <v>959</v>
      </c>
      <c r="M55" s="2" t="s">
        <v>980</v>
      </c>
      <c r="N55" s="2" t="s">
        <v>948</v>
      </c>
      <c r="O55" s="2">
        <v>185</v>
      </c>
      <c r="P55" s="2">
        <v>3235.812744140625</v>
      </c>
      <c r="Q55" s="2">
        <v>3377.64306640625</v>
      </c>
      <c r="R55" s="2">
        <f t="shared" si="12"/>
        <v>598625.35766601563</v>
      </c>
      <c r="S55" s="2">
        <f t="shared" si="13"/>
        <v>624863.96728515625</v>
      </c>
      <c r="T55" s="2">
        <f t="shared" si="14"/>
        <v>1223489.3249511719</v>
      </c>
      <c r="U55" s="2">
        <f t="shared" si="15"/>
        <v>611.74</v>
      </c>
      <c r="V55" s="2">
        <f t="shared" si="16"/>
        <v>26238.609619140625</v>
      </c>
      <c r="W55" s="2">
        <f t="shared" si="17"/>
        <v>25626.869619140623</v>
      </c>
      <c r="X55" s="2">
        <f t="shared" si="18"/>
        <v>43225848.445844717</v>
      </c>
      <c r="Y55" s="2">
        <f t="shared" si="19"/>
        <v>119725.07</v>
      </c>
      <c r="Z55" s="2">
        <f t="shared" si="20"/>
        <v>21.4</v>
      </c>
      <c r="AA55" s="2">
        <f t="shared" si="22"/>
        <v>43225848.445844717</v>
      </c>
      <c r="AB55" s="2">
        <f t="shared" si="21"/>
        <v>0</v>
      </c>
    </row>
    <row r="56" spans="1:28">
      <c r="A56" s="2">
        <v>53</v>
      </c>
      <c r="B56" s="2" t="s">
        <v>322</v>
      </c>
      <c r="C56" s="2" t="s">
        <v>932</v>
      </c>
      <c r="D56" s="3" t="s">
        <v>37</v>
      </c>
      <c r="E56" s="5" t="s">
        <v>134</v>
      </c>
      <c r="F56" s="2" t="s">
        <v>135</v>
      </c>
      <c r="G56" s="2" t="s">
        <v>143</v>
      </c>
      <c r="H56" s="2" t="s">
        <v>238</v>
      </c>
      <c r="I56" s="2" t="s">
        <v>631</v>
      </c>
      <c r="J56" s="2" t="s">
        <v>1020</v>
      </c>
      <c r="K56" s="2">
        <f t="shared" si="10"/>
        <v>43225848.445844717</v>
      </c>
      <c r="L56" s="2" t="s">
        <v>1011</v>
      </c>
      <c r="M56" s="2" t="s">
        <v>967</v>
      </c>
      <c r="N56" s="2" t="s">
        <v>986</v>
      </c>
      <c r="O56" s="2">
        <v>2346</v>
      </c>
      <c r="P56" s="2">
        <v>540.40557861328125</v>
      </c>
      <c r="Q56" s="2">
        <v>522.31793212890625</v>
      </c>
      <c r="R56" s="2">
        <f t="shared" si="12"/>
        <v>1267791.4874267578</v>
      </c>
      <c r="S56" s="2">
        <f t="shared" si="13"/>
        <v>1225357.8687744141</v>
      </c>
      <c r="T56" s="2">
        <f t="shared" si="14"/>
        <v>2493149.3562011719</v>
      </c>
      <c r="U56" s="2">
        <f t="shared" si="15"/>
        <v>1246.57</v>
      </c>
      <c r="V56" s="2">
        <f t="shared" si="16"/>
        <v>-42433.61865234375</v>
      </c>
      <c r="W56" s="2">
        <f t="shared" si="17"/>
        <v>-43680.18865234375</v>
      </c>
      <c r="X56" s="2">
        <f t="shared" si="18"/>
        <v>43182168.257192373</v>
      </c>
      <c r="Y56" s="2">
        <f t="shared" si="19"/>
        <v>253558.3</v>
      </c>
      <c r="Z56" s="2">
        <f t="shared" si="20"/>
        <v>-17.23</v>
      </c>
      <c r="AA56" s="2">
        <f t="shared" si="22"/>
        <v>43225848.445844717</v>
      </c>
      <c r="AB56" s="2">
        <f t="shared" si="21"/>
        <v>-43680.188652344048</v>
      </c>
    </row>
    <row r="57" spans="1:28">
      <c r="A57" s="2">
        <v>54</v>
      </c>
      <c r="B57" s="2" t="s">
        <v>324</v>
      </c>
      <c r="C57" s="2" t="s">
        <v>932</v>
      </c>
      <c r="D57" s="4" t="s">
        <v>61</v>
      </c>
      <c r="E57" s="5" t="s">
        <v>134</v>
      </c>
      <c r="F57" s="2" t="s">
        <v>135</v>
      </c>
      <c r="G57" s="2" t="s">
        <v>97</v>
      </c>
      <c r="H57" s="2" t="s">
        <v>325</v>
      </c>
      <c r="I57" s="2" t="s">
        <v>559</v>
      </c>
      <c r="J57" s="2" t="s">
        <v>571</v>
      </c>
      <c r="K57" s="2">
        <f t="shared" si="10"/>
        <v>43182168.257192373</v>
      </c>
      <c r="L57" s="2" t="s">
        <v>989</v>
      </c>
      <c r="M57" s="2" t="s">
        <v>974</v>
      </c>
      <c r="N57" s="2" t="s">
        <v>980</v>
      </c>
      <c r="O57" s="2">
        <v>2135</v>
      </c>
      <c r="P57" s="2">
        <v>327.29998779296881</v>
      </c>
      <c r="Q57" s="2">
        <v>340</v>
      </c>
      <c r="R57" s="2">
        <f t="shared" si="12"/>
        <v>698785.4739379884</v>
      </c>
      <c r="S57" s="2">
        <f t="shared" si="13"/>
        <v>725900</v>
      </c>
      <c r="T57" s="2">
        <f t="shared" si="14"/>
        <v>1424685.4739379883</v>
      </c>
      <c r="U57" s="2">
        <f t="shared" si="15"/>
        <v>712.34</v>
      </c>
      <c r="V57" s="2">
        <f t="shared" si="16"/>
        <v>27114.526062011602</v>
      </c>
      <c r="W57" s="2">
        <f t="shared" si="17"/>
        <v>26402.186062011602</v>
      </c>
      <c r="X57" s="2">
        <f t="shared" si="18"/>
        <v>43208570.443254381</v>
      </c>
      <c r="Y57" s="2">
        <f t="shared" si="19"/>
        <v>139757.09</v>
      </c>
      <c r="Z57" s="2">
        <f t="shared" si="20"/>
        <v>18.89</v>
      </c>
      <c r="AA57" s="2">
        <f t="shared" si="22"/>
        <v>43225848.445844717</v>
      </c>
      <c r="AB57" s="2">
        <f t="shared" si="21"/>
        <v>-17278.002590335906</v>
      </c>
    </row>
    <row r="58" spans="1:28">
      <c r="A58" s="2">
        <v>55</v>
      </c>
      <c r="B58" s="2" t="s">
        <v>328</v>
      </c>
      <c r="C58" s="2" t="s">
        <v>932</v>
      </c>
      <c r="D58" s="3" t="s">
        <v>37</v>
      </c>
      <c r="E58" s="5" t="s">
        <v>134</v>
      </c>
      <c r="F58" s="2" t="s">
        <v>135</v>
      </c>
      <c r="G58" s="2" t="s">
        <v>143</v>
      </c>
      <c r="H58" s="2" t="s">
        <v>329</v>
      </c>
      <c r="I58" s="2" t="s">
        <v>1021</v>
      </c>
      <c r="J58" s="2" t="s">
        <v>1022</v>
      </c>
      <c r="K58" s="2">
        <f t="shared" si="10"/>
        <v>43208570.443254381</v>
      </c>
      <c r="L58" s="2" t="s">
        <v>983</v>
      </c>
      <c r="M58" s="2" t="s">
        <v>947</v>
      </c>
      <c r="N58" s="2" t="s">
        <v>960</v>
      </c>
      <c r="O58" s="2">
        <v>200</v>
      </c>
      <c r="P58" s="2">
        <v>5852.65576171875</v>
      </c>
      <c r="Q58" s="2">
        <v>5849.08740234375</v>
      </c>
      <c r="R58" s="2">
        <f t="shared" si="12"/>
        <v>1170531.15234375</v>
      </c>
      <c r="S58" s="2">
        <f t="shared" si="13"/>
        <v>1169817.48046875</v>
      </c>
      <c r="T58" s="2">
        <f t="shared" si="14"/>
        <v>2340348.6328125</v>
      </c>
      <c r="U58" s="2">
        <f t="shared" si="15"/>
        <v>1170.17</v>
      </c>
      <c r="V58" s="2">
        <f t="shared" si="16"/>
        <v>-713.671875</v>
      </c>
      <c r="W58" s="2">
        <f t="shared" si="17"/>
        <v>-1883.8418750000001</v>
      </c>
      <c r="X58" s="2">
        <f t="shared" si="18"/>
        <v>43206686.60137938</v>
      </c>
      <c r="Y58" s="2">
        <f t="shared" si="19"/>
        <v>234106.23</v>
      </c>
      <c r="Z58" s="2">
        <f t="shared" si="20"/>
        <v>-0.8</v>
      </c>
      <c r="AA58" s="2">
        <f t="shared" si="22"/>
        <v>43225848.445844717</v>
      </c>
      <c r="AB58" s="2">
        <f t="shared" si="21"/>
        <v>-19161.844465337694</v>
      </c>
    </row>
    <row r="59" spans="1:28">
      <c r="A59" s="2">
        <v>56</v>
      </c>
      <c r="B59" s="2" t="s">
        <v>332</v>
      </c>
      <c r="C59" s="2" t="s">
        <v>932</v>
      </c>
      <c r="D59" s="4" t="s">
        <v>61</v>
      </c>
      <c r="E59" s="5" t="s">
        <v>134</v>
      </c>
      <c r="F59" s="2" t="s">
        <v>135</v>
      </c>
      <c r="G59" s="2" t="s">
        <v>231</v>
      </c>
      <c r="H59" s="2" t="s">
        <v>333</v>
      </c>
      <c r="I59" s="2" t="s">
        <v>1023</v>
      </c>
      <c r="J59" s="2" t="s">
        <v>588</v>
      </c>
      <c r="K59" s="2">
        <f t="shared" si="10"/>
        <v>43206686.60137938</v>
      </c>
      <c r="L59" s="2" t="s">
        <v>999</v>
      </c>
      <c r="M59" s="2" t="s">
        <v>957</v>
      </c>
      <c r="N59" s="2" t="s">
        <v>288</v>
      </c>
      <c r="O59" s="2">
        <v>100</v>
      </c>
      <c r="P59" s="2">
        <v>13931.0009765625</v>
      </c>
      <c r="Q59" s="2">
        <v>15397.59765625</v>
      </c>
      <c r="R59" s="2">
        <f t="shared" si="12"/>
        <v>1393100.09765625</v>
      </c>
      <c r="S59" s="2">
        <f t="shared" si="13"/>
        <v>1539759.765625</v>
      </c>
      <c r="T59" s="2">
        <f t="shared" si="14"/>
        <v>2932859.86328125</v>
      </c>
      <c r="U59" s="2">
        <f t="shared" si="15"/>
        <v>1466.43</v>
      </c>
      <c r="V59" s="2">
        <f t="shared" si="16"/>
        <v>146659.66796875</v>
      </c>
      <c r="W59" s="2">
        <f t="shared" si="17"/>
        <v>145193.23796875001</v>
      </c>
      <c r="X59" s="2">
        <f t="shared" si="18"/>
        <v>43351879.83934813</v>
      </c>
      <c r="Y59" s="2">
        <f t="shared" si="19"/>
        <v>278620.02</v>
      </c>
      <c r="Z59" s="2">
        <f t="shared" si="20"/>
        <v>52.11</v>
      </c>
      <c r="AA59" s="2">
        <f t="shared" si="22"/>
        <v>43351879.83934813</v>
      </c>
      <c r="AB59" s="2">
        <f t="shared" si="21"/>
        <v>0</v>
      </c>
    </row>
    <row r="60" spans="1:28">
      <c r="A60" s="2">
        <v>57</v>
      </c>
      <c r="B60" s="2" t="s">
        <v>337</v>
      </c>
      <c r="C60" s="2" t="s">
        <v>932</v>
      </c>
      <c r="D60" s="4" t="s">
        <v>61</v>
      </c>
      <c r="E60" s="5" t="s">
        <v>134</v>
      </c>
      <c r="F60" s="2" t="s">
        <v>135</v>
      </c>
      <c r="G60" s="2" t="s">
        <v>77</v>
      </c>
      <c r="H60" s="2" t="s">
        <v>338</v>
      </c>
      <c r="I60" s="2" t="s">
        <v>1024</v>
      </c>
      <c r="J60" s="2" t="s">
        <v>475</v>
      </c>
      <c r="K60" s="2">
        <f t="shared" si="10"/>
        <v>43351879.83934813</v>
      </c>
      <c r="L60" s="2" t="s">
        <v>966</v>
      </c>
      <c r="M60" s="2" t="s">
        <v>289</v>
      </c>
      <c r="N60" s="2" t="s">
        <v>957</v>
      </c>
      <c r="O60" s="2">
        <v>1527</v>
      </c>
      <c r="P60" s="2">
        <v>806.79547119140625</v>
      </c>
      <c r="Q60" s="2">
        <v>799.1971435546875</v>
      </c>
      <c r="R60" s="2">
        <f t="shared" si="12"/>
        <v>1231976.6845092773</v>
      </c>
      <c r="S60" s="2">
        <f t="shared" si="13"/>
        <v>1220374.0382080078</v>
      </c>
      <c r="T60" s="2">
        <f t="shared" si="14"/>
        <v>2452350.7227172852</v>
      </c>
      <c r="U60" s="2">
        <f t="shared" si="15"/>
        <v>1226.18</v>
      </c>
      <c r="V60" s="2">
        <f t="shared" si="16"/>
        <v>-11602.646301269531</v>
      </c>
      <c r="W60" s="2">
        <f t="shared" si="17"/>
        <v>-12828.826301269532</v>
      </c>
      <c r="X60" s="2">
        <f t="shared" si="18"/>
        <v>43339051.013046861</v>
      </c>
      <c r="Y60" s="2">
        <f t="shared" si="19"/>
        <v>246395.34</v>
      </c>
      <c r="Z60" s="2">
        <f t="shared" si="20"/>
        <v>-5.21</v>
      </c>
      <c r="AA60" s="2">
        <f t="shared" si="22"/>
        <v>43351879.83934813</v>
      </c>
      <c r="AB60" s="2">
        <f t="shared" si="21"/>
        <v>-12828.826301269233</v>
      </c>
    </row>
    <row r="61" spans="1:28">
      <c r="A61" s="2">
        <v>58</v>
      </c>
      <c r="B61" s="2" t="s">
        <v>341</v>
      </c>
      <c r="C61" s="2" t="s">
        <v>932</v>
      </c>
      <c r="D61" s="4" t="s">
        <v>61</v>
      </c>
      <c r="E61" s="5" t="s">
        <v>134</v>
      </c>
      <c r="F61" s="2" t="s">
        <v>135</v>
      </c>
      <c r="G61" s="2" t="s">
        <v>97</v>
      </c>
      <c r="H61" s="2" t="s">
        <v>99</v>
      </c>
      <c r="I61" s="2" t="s">
        <v>1025</v>
      </c>
      <c r="J61" s="2" t="s">
        <v>1026</v>
      </c>
      <c r="K61" s="2">
        <f t="shared" si="10"/>
        <v>43339051.013046861</v>
      </c>
      <c r="L61" s="2" t="s">
        <v>1027</v>
      </c>
      <c r="M61" s="2" t="s">
        <v>956</v>
      </c>
      <c r="N61" s="2" t="s">
        <v>1028</v>
      </c>
      <c r="O61" s="2">
        <v>258</v>
      </c>
      <c r="P61" s="2">
        <v>4183.60009765625</v>
      </c>
      <c r="Q61" s="2">
        <v>4645.39990234375</v>
      </c>
      <c r="R61" s="2">
        <f t="shared" si="12"/>
        <v>1079368.8251953125</v>
      </c>
      <c r="S61" s="2">
        <f t="shared" si="13"/>
        <v>1198513.1748046875</v>
      </c>
      <c r="T61" s="2">
        <f t="shared" si="14"/>
        <v>2277882</v>
      </c>
      <c r="U61" s="2">
        <f t="shared" si="15"/>
        <v>1138.94</v>
      </c>
      <c r="V61" s="2">
        <f t="shared" si="16"/>
        <v>119144.349609375</v>
      </c>
      <c r="W61" s="2">
        <f t="shared" si="17"/>
        <v>118005.409609375</v>
      </c>
      <c r="X61" s="2">
        <f t="shared" si="18"/>
        <v>43457056.422656238</v>
      </c>
      <c r="Y61" s="2">
        <f t="shared" si="19"/>
        <v>215873.77</v>
      </c>
      <c r="Z61" s="2">
        <f t="shared" si="20"/>
        <v>54.66</v>
      </c>
      <c r="AA61" s="2">
        <f t="shared" si="22"/>
        <v>43457056.422656238</v>
      </c>
      <c r="AB61" s="2">
        <f t="shared" si="21"/>
        <v>0</v>
      </c>
    </row>
    <row r="62" spans="1:28">
      <c r="A62" s="2">
        <v>59</v>
      </c>
      <c r="B62" s="2" t="s">
        <v>347</v>
      </c>
      <c r="C62" s="2" t="s">
        <v>932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349</v>
      </c>
      <c r="J62" s="2" t="s">
        <v>350</v>
      </c>
      <c r="K62" s="2">
        <f t="shared" si="10"/>
        <v>43457056.422656238</v>
      </c>
      <c r="L62" s="2" t="s">
        <v>181</v>
      </c>
      <c r="M62" s="2" t="s">
        <v>166</v>
      </c>
      <c r="N62" s="2" t="s">
        <v>167</v>
      </c>
      <c r="O62" s="2">
        <v>125</v>
      </c>
      <c r="P62" s="2">
        <v>1182.6025390625</v>
      </c>
      <c r="Q62" s="2">
        <v>1320.399169921875</v>
      </c>
      <c r="R62" s="2">
        <f t="shared" si="12"/>
        <v>147825.3173828125</v>
      </c>
      <c r="S62" s="2">
        <f t="shared" si="13"/>
        <v>165049.89624023437</v>
      </c>
      <c r="T62" s="2">
        <f t="shared" si="14"/>
        <v>312875.21362304688</v>
      </c>
      <c r="U62" s="2">
        <f t="shared" si="15"/>
        <v>156.44</v>
      </c>
      <c r="V62" s="2">
        <f t="shared" si="16"/>
        <v>17224.578857421875</v>
      </c>
      <c r="W62" s="2">
        <f t="shared" si="17"/>
        <v>17068.138857421876</v>
      </c>
      <c r="X62" s="2">
        <f t="shared" si="18"/>
        <v>43474124.561513662</v>
      </c>
      <c r="Y62" s="2">
        <f t="shared" si="19"/>
        <v>29565.06</v>
      </c>
      <c r="Z62" s="2">
        <f t="shared" si="20"/>
        <v>57.73</v>
      </c>
      <c r="AA62" s="2">
        <f t="shared" si="22"/>
        <v>43474124.561513662</v>
      </c>
      <c r="AB62" s="2">
        <f t="shared" si="21"/>
        <v>0</v>
      </c>
    </row>
    <row r="63" spans="1:28">
      <c r="A63" s="2">
        <v>60</v>
      </c>
      <c r="B63" s="2" t="s">
        <v>351</v>
      </c>
      <c r="C63" s="2" t="s">
        <v>932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354</v>
      </c>
      <c r="J63" s="2" t="s">
        <v>117</v>
      </c>
      <c r="K63" s="2">
        <f t="shared" si="10"/>
        <v>43474124.561513662</v>
      </c>
      <c r="L63" s="2" t="s">
        <v>173</v>
      </c>
      <c r="M63" s="2" t="s">
        <v>139</v>
      </c>
      <c r="N63" s="2" t="s">
        <v>131</v>
      </c>
      <c r="O63" s="2">
        <v>175</v>
      </c>
      <c r="P63" s="2">
        <v>5321.15283203125</v>
      </c>
      <c r="Q63" s="2">
        <v>4758.69580078125</v>
      </c>
      <c r="R63" s="2">
        <f t="shared" si="12"/>
        <v>931201.74560546875</v>
      </c>
      <c r="S63" s="2">
        <f t="shared" si="13"/>
        <v>832771.76513671875</v>
      </c>
      <c r="T63" s="2">
        <f t="shared" si="14"/>
        <v>1763973.5107421875</v>
      </c>
      <c r="U63" s="2">
        <f t="shared" si="15"/>
        <v>881.99</v>
      </c>
      <c r="V63" s="2">
        <f t="shared" si="16"/>
        <v>-98429.98046875</v>
      </c>
      <c r="W63" s="2">
        <f t="shared" si="17"/>
        <v>-99311.970468750005</v>
      </c>
      <c r="X63" s="2">
        <f t="shared" si="18"/>
        <v>43374812.59104491</v>
      </c>
      <c r="Y63" s="2">
        <f t="shared" si="19"/>
        <v>186240.35</v>
      </c>
      <c r="Z63" s="2">
        <f t="shared" si="20"/>
        <v>-53.32</v>
      </c>
      <c r="AA63" s="2">
        <f t="shared" si="22"/>
        <v>43474124.561513662</v>
      </c>
      <c r="AB63" s="2">
        <f t="shared" si="21"/>
        <v>-99311.970468752086</v>
      </c>
    </row>
    <row r="64" spans="1:28">
      <c r="A64" s="2">
        <v>61</v>
      </c>
      <c r="B64" s="2" t="s">
        <v>355</v>
      </c>
      <c r="C64" s="2" t="s">
        <v>932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1029</v>
      </c>
      <c r="J64" s="2" t="s">
        <v>564</v>
      </c>
      <c r="K64" s="2">
        <f t="shared" si="10"/>
        <v>43374812.59104491</v>
      </c>
      <c r="L64" s="2" t="s">
        <v>970</v>
      </c>
      <c r="M64" s="2" t="s">
        <v>289</v>
      </c>
      <c r="N64" s="2" t="s">
        <v>966</v>
      </c>
      <c r="O64" s="2">
        <v>3399</v>
      </c>
      <c r="P64" s="2">
        <v>257.45001220703119</v>
      </c>
      <c r="Q64" s="2">
        <v>253.94999694824219</v>
      </c>
      <c r="R64" s="2">
        <f t="shared" si="12"/>
        <v>875072.59149169899</v>
      </c>
      <c r="S64" s="2">
        <f t="shared" si="13"/>
        <v>863176.0396270752</v>
      </c>
      <c r="T64" s="2">
        <f t="shared" si="14"/>
        <v>1738248.6311187742</v>
      </c>
      <c r="U64" s="2">
        <f t="shared" si="15"/>
        <v>869.12</v>
      </c>
      <c r="V64" s="2">
        <f t="shared" si="16"/>
        <v>-11896.551864623791</v>
      </c>
      <c r="W64" s="2">
        <f t="shared" si="17"/>
        <v>-12765.671864623791</v>
      </c>
      <c r="X64" s="2">
        <f t="shared" si="18"/>
        <v>43362046.919180289</v>
      </c>
      <c r="Y64" s="2">
        <f t="shared" si="19"/>
        <v>175014.52</v>
      </c>
      <c r="Z64" s="2">
        <f t="shared" si="20"/>
        <v>-7.29</v>
      </c>
      <c r="AA64" s="2">
        <f t="shared" si="22"/>
        <v>43474124.561513662</v>
      </c>
      <c r="AB64" s="2">
        <f t="shared" si="21"/>
        <v>-112077.64233337343</v>
      </c>
    </row>
    <row r="65" spans="1:28">
      <c r="A65" s="2">
        <v>62</v>
      </c>
      <c r="B65" s="2" t="s">
        <v>360</v>
      </c>
      <c r="C65" s="2" t="s">
        <v>932</v>
      </c>
      <c r="D65" s="3" t="s">
        <v>37</v>
      </c>
      <c r="E65" s="5" t="s">
        <v>134</v>
      </c>
      <c r="F65" s="2" t="s">
        <v>135</v>
      </c>
      <c r="G65" s="2" t="s">
        <v>77</v>
      </c>
      <c r="H65" s="2" t="s">
        <v>361</v>
      </c>
      <c r="I65" s="2" t="s">
        <v>1030</v>
      </c>
      <c r="J65" s="2" t="s">
        <v>1031</v>
      </c>
      <c r="K65" s="2">
        <f t="shared" si="10"/>
        <v>43362046.919180289</v>
      </c>
      <c r="L65" s="2" t="s">
        <v>1011</v>
      </c>
      <c r="M65" s="2" t="s">
        <v>994</v>
      </c>
      <c r="N65" s="2" t="s">
        <v>289</v>
      </c>
      <c r="O65" s="2">
        <v>2823</v>
      </c>
      <c r="P65" s="2">
        <v>187.5844421386719</v>
      </c>
      <c r="Q65" s="2">
        <v>199.49235534667969</v>
      </c>
      <c r="R65" s="2">
        <f t="shared" si="12"/>
        <v>529550.88015747082</v>
      </c>
      <c r="S65" s="2">
        <f t="shared" si="13"/>
        <v>563166.91914367676</v>
      </c>
      <c r="T65" s="2">
        <f t="shared" si="14"/>
        <v>1092717.7993011475</v>
      </c>
      <c r="U65" s="2">
        <f t="shared" si="15"/>
        <v>546.36</v>
      </c>
      <c r="V65" s="2">
        <f t="shared" si="16"/>
        <v>33616.038986205938</v>
      </c>
      <c r="W65" s="2">
        <f t="shared" si="17"/>
        <v>33069.678986205938</v>
      </c>
      <c r="X65" s="2">
        <f t="shared" si="18"/>
        <v>43395116.598166496</v>
      </c>
      <c r="Y65" s="2">
        <f t="shared" si="19"/>
        <v>105910.18</v>
      </c>
      <c r="Z65" s="2">
        <f t="shared" si="20"/>
        <v>31.22</v>
      </c>
      <c r="AA65" s="2">
        <f t="shared" si="22"/>
        <v>43474124.561513662</v>
      </c>
      <c r="AB65" s="2">
        <f t="shared" si="21"/>
        <v>-79007.963347166777</v>
      </c>
    </row>
    <row r="66" spans="1:28">
      <c r="A66" s="2">
        <v>63</v>
      </c>
      <c r="B66" s="2" t="s">
        <v>364</v>
      </c>
      <c r="C66" s="2" t="s">
        <v>932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366</v>
      </c>
      <c r="J66" s="2" t="s">
        <v>367</v>
      </c>
      <c r="K66" s="2">
        <f t="shared" si="10"/>
        <v>43395116.598166496</v>
      </c>
      <c r="L66" s="2" t="s">
        <v>67</v>
      </c>
      <c r="M66" s="2" t="s">
        <v>44</v>
      </c>
      <c r="N66" s="2" t="s">
        <v>368</v>
      </c>
      <c r="O66" s="2">
        <v>100</v>
      </c>
      <c r="P66" s="2">
        <v>17197</v>
      </c>
      <c r="Q66" s="2">
        <v>17618</v>
      </c>
      <c r="R66" s="2">
        <f t="shared" si="12"/>
        <v>1719700</v>
      </c>
      <c r="S66" s="2">
        <f t="shared" si="13"/>
        <v>1761800</v>
      </c>
      <c r="T66" s="2">
        <f t="shared" si="14"/>
        <v>3481500</v>
      </c>
      <c r="U66" s="2">
        <f t="shared" si="15"/>
        <v>1740.75</v>
      </c>
      <c r="V66" s="2">
        <f t="shared" si="16"/>
        <v>42100</v>
      </c>
      <c r="W66" s="2">
        <f t="shared" si="17"/>
        <v>40359.25</v>
      </c>
      <c r="X66" s="2">
        <f t="shared" si="18"/>
        <v>43435475.848166496</v>
      </c>
      <c r="Y66" s="2">
        <f t="shared" si="19"/>
        <v>343940</v>
      </c>
      <c r="Z66" s="2">
        <f t="shared" si="20"/>
        <v>11.73</v>
      </c>
      <c r="AA66" s="2">
        <f t="shared" si="22"/>
        <v>43474124.561513662</v>
      </c>
      <c r="AB66" s="2">
        <f t="shared" si="21"/>
        <v>-38648.713347166777</v>
      </c>
    </row>
    <row r="67" spans="1:28">
      <c r="A67" s="2">
        <v>64</v>
      </c>
      <c r="B67" s="2" t="s">
        <v>369</v>
      </c>
      <c r="C67" s="2" t="s">
        <v>932</v>
      </c>
      <c r="D67" s="3" t="s">
        <v>37</v>
      </c>
      <c r="E67" s="5" t="s">
        <v>134</v>
      </c>
      <c r="F67" s="2" t="s">
        <v>135</v>
      </c>
      <c r="G67" s="2" t="s">
        <v>103</v>
      </c>
      <c r="H67" s="2" t="s">
        <v>370</v>
      </c>
      <c r="I67" s="2" t="s">
        <v>1032</v>
      </c>
      <c r="J67" s="2" t="s">
        <v>367</v>
      </c>
      <c r="K67" s="2">
        <f t="shared" si="10"/>
        <v>43435475.848166496</v>
      </c>
      <c r="L67" s="2" t="s">
        <v>983</v>
      </c>
      <c r="M67" s="2" t="s">
        <v>980</v>
      </c>
      <c r="N67" s="2" t="s">
        <v>948</v>
      </c>
      <c r="O67" s="2">
        <v>1053</v>
      </c>
      <c r="P67" s="2">
        <v>633.927001953125</v>
      </c>
      <c r="Q67" s="2">
        <v>637.6685791015625</v>
      </c>
      <c r="R67" s="2">
        <f t="shared" si="12"/>
        <v>667525.13305664062</v>
      </c>
      <c r="S67" s="2">
        <f t="shared" si="13"/>
        <v>671465.01379394531</v>
      </c>
      <c r="T67" s="2">
        <f t="shared" si="14"/>
        <v>1338990.1468505859</v>
      </c>
      <c r="U67" s="2">
        <f t="shared" si="15"/>
        <v>669.5</v>
      </c>
      <c r="V67" s="2">
        <f t="shared" si="16"/>
        <v>3939.8807373046875</v>
      </c>
      <c r="W67" s="2">
        <f t="shared" si="17"/>
        <v>3270.3807373046875</v>
      </c>
      <c r="X67" s="2">
        <f t="shared" si="18"/>
        <v>43438746.2289038</v>
      </c>
      <c r="Y67" s="2">
        <f t="shared" si="19"/>
        <v>133505.03</v>
      </c>
      <c r="Z67" s="2">
        <f t="shared" si="20"/>
        <v>2.4500000000000002</v>
      </c>
      <c r="AA67" s="2">
        <f t="shared" si="22"/>
        <v>43474124.561513662</v>
      </c>
      <c r="AB67" s="2">
        <f t="shared" si="21"/>
        <v>-35378.332609862089</v>
      </c>
    </row>
    <row r="68" spans="1:28">
      <c r="A68" s="2">
        <v>65</v>
      </c>
      <c r="B68" s="2" t="s">
        <v>372</v>
      </c>
      <c r="C68" s="2" t="s">
        <v>932</v>
      </c>
      <c r="D68" s="3" t="s">
        <v>37</v>
      </c>
      <c r="E68" s="5" t="s">
        <v>134</v>
      </c>
      <c r="F68" s="2" t="s">
        <v>135</v>
      </c>
      <c r="G68" s="2" t="s">
        <v>177</v>
      </c>
      <c r="H68" s="2" t="s">
        <v>373</v>
      </c>
      <c r="I68" s="2" t="s">
        <v>1033</v>
      </c>
      <c r="J68" s="2" t="s">
        <v>1034</v>
      </c>
      <c r="K68" s="2">
        <f t="shared" si="10"/>
        <v>43438746.2289038</v>
      </c>
      <c r="L68" s="2" t="s">
        <v>204</v>
      </c>
      <c r="M68" s="2" t="s">
        <v>148</v>
      </c>
      <c r="N68" s="2" t="s">
        <v>89</v>
      </c>
      <c r="O68" s="2">
        <v>5759</v>
      </c>
      <c r="P68" s="2">
        <v>154.3484191894531</v>
      </c>
      <c r="Q68" s="2">
        <v>165.3766174316406</v>
      </c>
      <c r="R68" s="2">
        <f t="shared" ref="R68:R99" si="23">O68*P68</f>
        <v>888892.54611206043</v>
      </c>
      <c r="S68" s="2">
        <f t="shared" ref="S68:S99" si="24">O68*Q68</f>
        <v>952403.93978881824</v>
      </c>
      <c r="T68" s="2">
        <f t="shared" ref="T68:T99" si="25">R68+S68</f>
        <v>1841296.4859008787</v>
      </c>
      <c r="U68" s="2">
        <f t="shared" ref="U68:U99" si="26">ROUND(T68*0.0005, 2)</f>
        <v>920.65</v>
      </c>
      <c r="V68" s="2">
        <f t="shared" ref="V68:V99" si="27">S68-R68</f>
        <v>63511.393676757813</v>
      </c>
      <c r="W68" s="2">
        <f t="shared" ref="W68:W99" si="28">V68-U68</f>
        <v>62590.743676757811</v>
      </c>
      <c r="X68" s="2">
        <f t="shared" ref="X68:X99" si="29">K68+W68</f>
        <v>43501336.97258056</v>
      </c>
      <c r="Y68" s="2">
        <f t="shared" ref="Y68:Y99" si="30">ROUND(0.2*R68, 2)</f>
        <v>177778.51</v>
      </c>
      <c r="Z68" s="2">
        <f t="shared" ref="Z68:Z99" si="31">ROUND((W68/Y68)*100, 2)</f>
        <v>35.21</v>
      </c>
      <c r="AA68" s="2">
        <f t="shared" si="22"/>
        <v>43501336.97258056</v>
      </c>
      <c r="AB68" s="2">
        <f t="shared" ref="AB68:AB99" si="32">X68-AA68</f>
        <v>0</v>
      </c>
    </row>
    <row r="69" spans="1:28">
      <c r="A69" s="2">
        <v>66</v>
      </c>
      <c r="B69" s="2" t="s">
        <v>376</v>
      </c>
      <c r="C69" s="2" t="s">
        <v>932</v>
      </c>
      <c r="D69" s="3" t="s">
        <v>37</v>
      </c>
      <c r="E69" s="5" t="s">
        <v>134</v>
      </c>
      <c r="F69" s="2" t="s">
        <v>135</v>
      </c>
      <c r="G69" s="2" t="s">
        <v>177</v>
      </c>
      <c r="H69" s="2" t="s">
        <v>377</v>
      </c>
      <c r="I69" s="2" t="s">
        <v>1035</v>
      </c>
      <c r="J69" s="2" t="s">
        <v>1036</v>
      </c>
      <c r="K69" s="2">
        <f t="shared" ref="K69:K132" si="33">X68</f>
        <v>43501336.97258056</v>
      </c>
      <c r="L69" s="2" t="s">
        <v>989</v>
      </c>
      <c r="M69" s="2" t="s">
        <v>1037</v>
      </c>
      <c r="N69" s="2" t="s">
        <v>1038</v>
      </c>
      <c r="O69" s="2">
        <v>456</v>
      </c>
      <c r="P69" s="2">
        <v>1573.191284179688</v>
      </c>
      <c r="Q69" s="2">
        <v>1474.5830078125</v>
      </c>
      <c r="R69" s="2">
        <f t="shared" si="23"/>
        <v>717375.22558593773</v>
      </c>
      <c r="S69" s="2">
        <f t="shared" si="24"/>
        <v>672409.8515625</v>
      </c>
      <c r="T69" s="2">
        <f t="shared" si="25"/>
        <v>1389785.0771484377</v>
      </c>
      <c r="U69" s="2">
        <f t="shared" si="26"/>
        <v>694.89</v>
      </c>
      <c r="V69" s="2">
        <f t="shared" si="27"/>
        <v>-44965.374023437733</v>
      </c>
      <c r="W69" s="2">
        <f t="shared" si="28"/>
        <v>-45660.264023437732</v>
      </c>
      <c r="X69" s="2">
        <f t="shared" si="29"/>
        <v>43455676.708557121</v>
      </c>
      <c r="Y69" s="2">
        <f t="shared" si="30"/>
        <v>143475.04999999999</v>
      </c>
      <c r="Z69" s="2">
        <f t="shared" si="31"/>
        <v>-31.82</v>
      </c>
      <c r="AA69" s="2">
        <f t="shared" ref="AA69:AA100" si="34">MAX(AA68, X69)</f>
        <v>43501336.97258056</v>
      </c>
      <c r="AB69" s="2">
        <f t="shared" si="32"/>
        <v>-45660.264023438096</v>
      </c>
    </row>
    <row r="70" spans="1:28">
      <c r="A70" s="2">
        <v>67</v>
      </c>
      <c r="B70" s="2" t="s">
        <v>381</v>
      </c>
      <c r="C70" s="2" t="s">
        <v>932</v>
      </c>
      <c r="D70" s="4" t="s">
        <v>61</v>
      </c>
      <c r="E70" s="5" t="s">
        <v>134</v>
      </c>
      <c r="F70" s="2" t="s">
        <v>135</v>
      </c>
      <c r="G70" s="2" t="s">
        <v>177</v>
      </c>
      <c r="H70" s="2" t="s">
        <v>382</v>
      </c>
      <c r="I70" s="2" t="s">
        <v>683</v>
      </c>
      <c r="J70" s="2" t="s">
        <v>560</v>
      </c>
      <c r="K70" s="2">
        <f t="shared" si="33"/>
        <v>43455676.708557121</v>
      </c>
      <c r="L70" s="2" t="s">
        <v>1011</v>
      </c>
      <c r="M70" s="2" t="s">
        <v>967</v>
      </c>
      <c r="N70" s="2" t="s">
        <v>957</v>
      </c>
      <c r="O70" s="2">
        <v>9623</v>
      </c>
      <c r="P70" s="2">
        <v>79.319999694824219</v>
      </c>
      <c r="Q70" s="2">
        <v>82.230003356933594</v>
      </c>
      <c r="R70" s="2">
        <f t="shared" si="23"/>
        <v>763296.35706329346</v>
      </c>
      <c r="S70" s="2">
        <f t="shared" si="24"/>
        <v>791299.32230377197</v>
      </c>
      <c r="T70" s="2">
        <f t="shared" si="25"/>
        <v>1554595.6793670654</v>
      </c>
      <c r="U70" s="2">
        <f t="shared" si="26"/>
        <v>777.3</v>
      </c>
      <c r="V70" s="2">
        <f t="shared" si="27"/>
        <v>28002.965240478516</v>
      </c>
      <c r="W70" s="2">
        <f t="shared" si="28"/>
        <v>27225.665240478516</v>
      </c>
      <c r="X70" s="2">
        <f t="shared" si="29"/>
        <v>43482902.373797603</v>
      </c>
      <c r="Y70" s="2">
        <f t="shared" si="30"/>
        <v>152659.26999999999</v>
      </c>
      <c r="Z70" s="2">
        <f t="shared" si="31"/>
        <v>17.829999999999998</v>
      </c>
      <c r="AA70" s="2">
        <f t="shared" si="34"/>
        <v>43501336.97258056</v>
      </c>
      <c r="AB70" s="2">
        <f t="shared" si="32"/>
        <v>-18434.5987829566</v>
      </c>
    </row>
    <row r="71" spans="1:28">
      <c r="A71" s="2">
        <v>68</v>
      </c>
      <c r="B71" s="2" t="s">
        <v>385</v>
      </c>
      <c r="C71" s="2" t="s">
        <v>932</v>
      </c>
      <c r="D71" s="3" t="s">
        <v>37</v>
      </c>
      <c r="E71" s="5" t="s">
        <v>134</v>
      </c>
      <c r="F71" s="2" t="s">
        <v>135</v>
      </c>
      <c r="G71" s="2" t="s">
        <v>54</v>
      </c>
      <c r="H71" s="2" t="s">
        <v>386</v>
      </c>
      <c r="I71" s="2" t="s">
        <v>1039</v>
      </c>
      <c r="J71" s="2" t="s">
        <v>1040</v>
      </c>
      <c r="K71" s="2">
        <f t="shared" si="33"/>
        <v>43482902.373797603</v>
      </c>
      <c r="L71" s="2" t="s">
        <v>973</v>
      </c>
      <c r="M71" s="2" t="s">
        <v>974</v>
      </c>
      <c r="N71" s="2" t="s">
        <v>947</v>
      </c>
      <c r="O71" s="2">
        <v>469</v>
      </c>
      <c r="P71" s="2">
        <v>2329.015625</v>
      </c>
      <c r="Q71" s="2">
        <v>1971.626953125</v>
      </c>
      <c r="R71" s="2">
        <f t="shared" si="23"/>
        <v>1092308.328125</v>
      </c>
      <c r="S71" s="2">
        <f t="shared" si="24"/>
        <v>924693.041015625</v>
      </c>
      <c r="T71" s="2">
        <f t="shared" si="25"/>
        <v>2017001.369140625</v>
      </c>
      <c r="U71" s="2">
        <f t="shared" si="26"/>
        <v>1008.5</v>
      </c>
      <c r="V71" s="2">
        <f t="shared" si="27"/>
        <v>-167615.287109375</v>
      </c>
      <c r="W71" s="2">
        <f t="shared" si="28"/>
        <v>-168623.787109375</v>
      </c>
      <c r="X71" s="2">
        <f t="shared" si="29"/>
        <v>43314278.586688228</v>
      </c>
      <c r="Y71" s="2">
        <f t="shared" si="30"/>
        <v>218461.67</v>
      </c>
      <c r="Z71" s="2">
        <f t="shared" si="31"/>
        <v>-77.19</v>
      </c>
      <c r="AA71" s="2">
        <f t="shared" si="34"/>
        <v>43501336.97258056</v>
      </c>
      <c r="AB71" s="2">
        <f t="shared" si="32"/>
        <v>-187058.3858923316</v>
      </c>
    </row>
    <row r="72" spans="1:28">
      <c r="A72" s="2">
        <v>69</v>
      </c>
      <c r="B72" s="2" t="s">
        <v>390</v>
      </c>
      <c r="C72" s="2" t="s">
        <v>932</v>
      </c>
      <c r="D72" s="3" t="s">
        <v>37</v>
      </c>
      <c r="E72" s="5" t="s">
        <v>134</v>
      </c>
      <c r="F72" s="2" t="s">
        <v>135</v>
      </c>
      <c r="G72" s="2" t="s">
        <v>143</v>
      </c>
      <c r="H72" s="2" t="s">
        <v>243</v>
      </c>
      <c r="I72" s="2" t="s">
        <v>1041</v>
      </c>
      <c r="J72" s="2" t="s">
        <v>1042</v>
      </c>
      <c r="K72" s="2">
        <f t="shared" si="33"/>
        <v>43314278.586688228</v>
      </c>
      <c r="L72" s="2" t="s">
        <v>1014</v>
      </c>
      <c r="M72" s="2" t="s">
        <v>957</v>
      </c>
      <c r="N72" s="2" t="s">
        <v>288</v>
      </c>
      <c r="O72" s="2">
        <v>932</v>
      </c>
      <c r="P72" s="2">
        <v>1307.7626953125</v>
      </c>
      <c r="Q72" s="2">
        <v>1253.357421875</v>
      </c>
      <c r="R72" s="2">
        <f t="shared" si="23"/>
        <v>1218834.83203125</v>
      </c>
      <c r="S72" s="2">
        <f t="shared" si="24"/>
        <v>1168129.1171875</v>
      </c>
      <c r="T72" s="2">
        <f t="shared" si="25"/>
        <v>2386963.94921875</v>
      </c>
      <c r="U72" s="2">
        <f t="shared" si="26"/>
        <v>1193.48</v>
      </c>
      <c r="V72" s="2">
        <f t="shared" si="27"/>
        <v>-50705.71484375</v>
      </c>
      <c r="W72" s="2">
        <f t="shared" si="28"/>
        <v>-51899.194843750003</v>
      </c>
      <c r="X72" s="2">
        <f t="shared" si="29"/>
        <v>43262379.391844481</v>
      </c>
      <c r="Y72" s="2">
        <f t="shared" si="30"/>
        <v>243766.97</v>
      </c>
      <c r="Z72" s="2">
        <f t="shared" si="31"/>
        <v>-21.29</v>
      </c>
      <c r="AA72" s="2">
        <f t="shared" si="34"/>
        <v>43501336.97258056</v>
      </c>
      <c r="AB72" s="2">
        <f t="shared" si="32"/>
        <v>-238957.58073607832</v>
      </c>
    </row>
    <row r="73" spans="1:28">
      <c r="A73" s="2">
        <v>70</v>
      </c>
      <c r="B73" s="2" t="s">
        <v>393</v>
      </c>
      <c r="C73" s="2" t="s">
        <v>932</v>
      </c>
      <c r="D73" s="4" t="s">
        <v>61</v>
      </c>
      <c r="E73" s="5" t="s">
        <v>134</v>
      </c>
      <c r="F73" s="2" t="s">
        <v>135</v>
      </c>
      <c r="G73" s="2" t="s">
        <v>231</v>
      </c>
      <c r="H73" s="2" t="s">
        <v>394</v>
      </c>
      <c r="I73" s="2" t="s">
        <v>1018</v>
      </c>
      <c r="J73" s="2" t="s">
        <v>1043</v>
      </c>
      <c r="K73" s="2">
        <f t="shared" si="33"/>
        <v>43262379.391844481</v>
      </c>
      <c r="L73" s="2" t="s">
        <v>956</v>
      </c>
      <c r="M73" s="2" t="s">
        <v>288</v>
      </c>
      <c r="N73" s="2" t="s">
        <v>1011</v>
      </c>
      <c r="O73" s="2">
        <v>473</v>
      </c>
      <c r="P73" s="2">
        <v>2910.332275390625</v>
      </c>
      <c r="Q73" s="2">
        <v>3076.67822265625</v>
      </c>
      <c r="R73" s="2">
        <f t="shared" si="23"/>
        <v>1376587.1662597656</v>
      </c>
      <c r="S73" s="2">
        <f t="shared" si="24"/>
        <v>1455268.7993164063</v>
      </c>
      <c r="T73" s="2">
        <f t="shared" si="25"/>
        <v>2831855.9655761719</v>
      </c>
      <c r="U73" s="2">
        <f t="shared" si="26"/>
        <v>1415.93</v>
      </c>
      <c r="V73" s="2">
        <f t="shared" si="27"/>
        <v>78681.633056640625</v>
      </c>
      <c r="W73" s="2">
        <f t="shared" si="28"/>
        <v>77265.703056640632</v>
      </c>
      <c r="X73" s="2">
        <f t="shared" si="29"/>
        <v>43339645.094901122</v>
      </c>
      <c r="Y73" s="2">
        <f t="shared" si="30"/>
        <v>275317.43</v>
      </c>
      <c r="Z73" s="2">
        <f t="shared" si="31"/>
        <v>28.06</v>
      </c>
      <c r="AA73" s="2">
        <f t="shared" si="34"/>
        <v>43501336.97258056</v>
      </c>
      <c r="AB73" s="2">
        <f t="shared" si="32"/>
        <v>-161691.8776794374</v>
      </c>
    </row>
    <row r="74" spans="1:28">
      <c r="A74" s="2">
        <v>71</v>
      </c>
      <c r="B74" s="2" t="s">
        <v>397</v>
      </c>
      <c r="C74" s="2" t="s">
        <v>932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400</v>
      </c>
      <c r="J74" s="2" t="s">
        <v>401</v>
      </c>
      <c r="K74" s="2">
        <f t="shared" si="33"/>
        <v>43339645.094901122</v>
      </c>
      <c r="L74" s="2" t="s">
        <v>88</v>
      </c>
      <c r="M74" s="2" t="s">
        <v>402</v>
      </c>
      <c r="N74" s="2" t="s">
        <v>264</v>
      </c>
      <c r="O74" s="2">
        <v>250</v>
      </c>
      <c r="P74" s="2">
        <v>2454.919677734375</v>
      </c>
      <c r="Q74" s="2">
        <v>2480.974609375</v>
      </c>
      <c r="R74" s="2">
        <f t="shared" si="23"/>
        <v>613729.91943359375</v>
      </c>
      <c r="S74" s="2">
        <f t="shared" si="24"/>
        <v>620243.65234375</v>
      </c>
      <c r="T74" s="2">
        <f t="shared" si="25"/>
        <v>1233973.5717773438</v>
      </c>
      <c r="U74" s="2">
        <f t="shared" si="26"/>
        <v>616.99</v>
      </c>
      <c r="V74" s="2">
        <f t="shared" si="27"/>
        <v>6513.73291015625</v>
      </c>
      <c r="W74" s="2">
        <f t="shared" si="28"/>
        <v>5896.7429101562502</v>
      </c>
      <c r="X74" s="2">
        <f t="shared" si="29"/>
        <v>43345541.837811276</v>
      </c>
      <c r="Y74" s="2">
        <f t="shared" si="30"/>
        <v>122745.98</v>
      </c>
      <c r="Z74" s="2">
        <f t="shared" si="31"/>
        <v>4.8</v>
      </c>
      <c r="AA74" s="2">
        <f t="shared" si="34"/>
        <v>43501336.97258056</v>
      </c>
      <c r="AB74" s="2">
        <f t="shared" si="32"/>
        <v>-155795.13476928324</v>
      </c>
    </row>
    <row r="75" spans="1:28">
      <c r="A75" s="2">
        <v>72</v>
      </c>
      <c r="B75" s="2" t="s">
        <v>403</v>
      </c>
      <c r="C75" s="2" t="s">
        <v>932</v>
      </c>
      <c r="D75" s="3" t="s">
        <v>37</v>
      </c>
      <c r="E75" s="5" t="s">
        <v>134</v>
      </c>
      <c r="F75" s="2" t="s">
        <v>135</v>
      </c>
      <c r="G75" s="2" t="s">
        <v>54</v>
      </c>
      <c r="H75" s="2" t="s">
        <v>310</v>
      </c>
      <c r="I75" s="2" t="s">
        <v>444</v>
      </c>
      <c r="J75" s="2" t="s">
        <v>1044</v>
      </c>
      <c r="K75" s="2">
        <f t="shared" si="33"/>
        <v>43345541.837811276</v>
      </c>
      <c r="L75" s="2" t="s">
        <v>979</v>
      </c>
      <c r="M75" s="2" t="s">
        <v>980</v>
      </c>
      <c r="N75" s="2" t="s">
        <v>948</v>
      </c>
      <c r="O75" s="2">
        <v>237</v>
      </c>
      <c r="P75" s="2">
        <v>1739.8623046875</v>
      </c>
      <c r="Q75" s="2">
        <v>1763.3193359375</v>
      </c>
      <c r="R75" s="2">
        <f t="shared" si="23"/>
        <v>412347.3662109375</v>
      </c>
      <c r="S75" s="2">
        <f t="shared" si="24"/>
        <v>417906.6826171875</v>
      </c>
      <c r="T75" s="2">
        <f t="shared" si="25"/>
        <v>830254.048828125</v>
      </c>
      <c r="U75" s="2">
        <f t="shared" si="26"/>
        <v>415.13</v>
      </c>
      <c r="V75" s="2">
        <f t="shared" si="27"/>
        <v>5559.31640625</v>
      </c>
      <c r="W75" s="2">
        <f t="shared" si="28"/>
        <v>5144.1864062499999</v>
      </c>
      <c r="X75" s="2">
        <f t="shared" si="29"/>
        <v>43350686.024217524</v>
      </c>
      <c r="Y75" s="2">
        <f t="shared" si="30"/>
        <v>82469.47</v>
      </c>
      <c r="Z75" s="2">
        <f t="shared" si="31"/>
        <v>6.24</v>
      </c>
      <c r="AA75" s="2">
        <f t="shared" si="34"/>
        <v>43501336.97258056</v>
      </c>
      <c r="AB75" s="2">
        <f t="shared" si="32"/>
        <v>-150650.94836303592</v>
      </c>
    </row>
    <row r="76" spans="1:28">
      <c r="A76" s="2">
        <v>73</v>
      </c>
      <c r="B76" s="2" t="s">
        <v>406</v>
      </c>
      <c r="C76" s="2" t="s">
        <v>932</v>
      </c>
      <c r="D76" s="3" t="s">
        <v>37</v>
      </c>
      <c r="E76" s="5" t="s">
        <v>134</v>
      </c>
      <c r="F76" s="2" t="s">
        <v>135</v>
      </c>
      <c r="G76" s="2" t="s">
        <v>241</v>
      </c>
      <c r="H76" s="2" t="s">
        <v>407</v>
      </c>
      <c r="I76" s="2" t="s">
        <v>1045</v>
      </c>
      <c r="J76" s="2" t="s">
        <v>1046</v>
      </c>
      <c r="K76" s="2">
        <f t="shared" si="33"/>
        <v>43350686.024217524</v>
      </c>
      <c r="L76" s="2" t="s">
        <v>948</v>
      </c>
      <c r="M76" s="2" t="s">
        <v>1037</v>
      </c>
      <c r="N76" s="2" t="s">
        <v>980</v>
      </c>
      <c r="O76" s="2">
        <v>218</v>
      </c>
      <c r="P76" s="2">
        <v>4318.40234375</v>
      </c>
      <c r="Q76" s="2">
        <v>4034.554931640625</v>
      </c>
      <c r="R76" s="2">
        <f t="shared" si="23"/>
        <v>941411.7109375</v>
      </c>
      <c r="S76" s="2">
        <f t="shared" si="24"/>
        <v>879532.97509765625</v>
      </c>
      <c r="T76" s="2">
        <f t="shared" si="25"/>
        <v>1820944.6860351563</v>
      </c>
      <c r="U76" s="2">
        <f t="shared" si="26"/>
        <v>910.47</v>
      </c>
      <c r="V76" s="2">
        <f t="shared" si="27"/>
        <v>-61878.73583984375</v>
      </c>
      <c r="W76" s="2">
        <f t="shared" si="28"/>
        <v>-62789.205839843751</v>
      </c>
      <c r="X76" s="2">
        <f t="shared" si="29"/>
        <v>43287896.818377681</v>
      </c>
      <c r="Y76" s="2">
        <f t="shared" si="30"/>
        <v>188282.34</v>
      </c>
      <c r="Z76" s="2">
        <f t="shared" si="31"/>
        <v>-33.35</v>
      </c>
      <c r="AA76" s="2">
        <f t="shared" si="34"/>
        <v>43501336.97258056</v>
      </c>
      <c r="AB76" s="2">
        <f t="shared" si="32"/>
        <v>-213440.15420287848</v>
      </c>
    </row>
    <row r="77" spans="1:28">
      <c r="A77" s="2">
        <v>74</v>
      </c>
      <c r="B77" s="2" t="s">
        <v>410</v>
      </c>
      <c r="C77" s="2" t="s">
        <v>932</v>
      </c>
      <c r="D77" s="4" t="s">
        <v>61</v>
      </c>
      <c r="E77" s="5" t="s">
        <v>134</v>
      </c>
      <c r="F77" s="2" t="s">
        <v>135</v>
      </c>
      <c r="G77" s="2" t="s">
        <v>103</v>
      </c>
      <c r="H77" s="2" t="s">
        <v>411</v>
      </c>
      <c r="I77" s="2" t="s">
        <v>1047</v>
      </c>
      <c r="J77" s="2" t="s">
        <v>1048</v>
      </c>
      <c r="K77" s="2">
        <f t="shared" si="33"/>
        <v>43287896.818377681</v>
      </c>
      <c r="L77" s="2" t="s">
        <v>1049</v>
      </c>
      <c r="M77" s="2" t="s">
        <v>1011</v>
      </c>
      <c r="N77" s="2" t="s">
        <v>1014</v>
      </c>
      <c r="O77" s="2">
        <v>792</v>
      </c>
      <c r="P77" s="2">
        <v>1724.776123046875</v>
      </c>
      <c r="Q77" s="2">
        <v>1910.580200195312</v>
      </c>
      <c r="R77" s="2">
        <f t="shared" si="23"/>
        <v>1366022.689453125</v>
      </c>
      <c r="S77" s="2">
        <f t="shared" si="24"/>
        <v>1513179.518554687</v>
      </c>
      <c r="T77" s="2">
        <f t="shared" si="25"/>
        <v>2879202.208007812</v>
      </c>
      <c r="U77" s="2">
        <f t="shared" si="26"/>
        <v>1439.6</v>
      </c>
      <c r="V77" s="2">
        <f t="shared" si="27"/>
        <v>147156.82910156203</v>
      </c>
      <c r="W77" s="2">
        <f t="shared" si="28"/>
        <v>145717.22910156203</v>
      </c>
      <c r="X77" s="2">
        <f t="shared" si="29"/>
        <v>43433614.047479242</v>
      </c>
      <c r="Y77" s="2">
        <f t="shared" si="30"/>
        <v>273204.53999999998</v>
      </c>
      <c r="Z77" s="2">
        <f t="shared" si="31"/>
        <v>53.34</v>
      </c>
      <c r="AA77" s="2">
        <f t="shared" si="34"/>
        <v>43501336.97258056</v>
      </c>
      <c r="AB77" s="2">
        <f t="shared" si="32"/>
        <v>-67722.925101317465</v>
      </c>
    </row>
    <row r="78" spans="1:28">
      <c r="A78" s="2">
        <v>75</v>
      </c>
      <c r="B78" s="2" t="s">
        <v>414</v>
      </c>
      <c r="C78" s="2" t="s">
        <v>932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417</v>
      </c>
      <c r="J78" s="2" t="s">
        <v>418</v>
      </c>
      <c r="K78" s="2">
        <f t="shared" si="33"/>
        <v>43433614.047479242</v>
      </c>
      <c r="L78" s="2" t="s">
        <v>336</v>
      </c>
      <c r="M78" s="2" t="s">
        <v>217</v>
      </c>
      <c r="N78" s="2" t="s">
        <v>165</v>
      </c>
      <c r="O78" s="2">
        <v>350</v>
      </c>
      <c r="P78" s="2">
        <v>1815.755859375</v>
      </c>
      <c r="Q78" s="2">
        <v>1708.662719726562</v>
      </c>
      <c r="R78" s="2">
        <f t="shared" si="23"/>
        <v>635514.55078125</v>
      </c>
      <c r="S78" s="2">
        <f t="shared" si="24"/>
        <v>598031.95190429676</v>
      </c>
      <c r="T78" s="2">
        <f t="shared" si="25"/>
        <v>1233546.5026855469</v>
      </c>
      <c r="U78" s="2">
        <f t="shared" si="26"/>
        <v>616.77</v>
      </c>
      <c r="V78" s="2">
        <f t="shared" si="27"/>
        <v>-37482.598876953241</v>
      </c>
      <c r="W78" s="2">
        <f t="shared" si="28"/>
        <v>-38099.368876953238</v>
      </c>
      <c r="X78" s="2">
        <f t="shared" si="29"/>
        <v>43395514.678602286</v>
      </c>
      <c r="Y78" s="2">
        <f t="shared" si="30"/>
        <v>127102.91</v>
      </c>
      <c r="Z78" s="2">
        <f t="shared" si="31"/>
        <v>-29.98</v>
      </c>
      <c r="AA78" s="2">
        <f t="shared" si="34"/>
        <v>43501336.97258056</v>
      </c>
      <c r="AB78" s="2">
        <f t="shared" si="32"/>
        <v>-105822.29397827387</v>
      </c>
    </row>
    <row r="79" spans="1:28">
      <c r="A79" s="2">
        <v>76</v>
      </c>
      <c r="B79" s="2" t="s">
        <v>419</v>
      </c>
      <c r="C79" s="2" t="s">
        <v>932</v>
      </c>
      <c r="D79" s="4" t="s">
        <v>61</v>
      </c>
      <c r="E79" s="5" t="s">
        <v>134</v>
      </c>
      <c r="F79" s="2" t="s">
        <v>135</v>
      </c>
      <c r="G79" s="2" t="s">
        <v>169</v>
      </c>
      <c r="H79" s="2" t="s">
        <v>420</v>
      </c>
      <c r="I79" s="2" t="s">
        <v>1050</v>
      </c>
      <c r="J79" s="2" t="s">
        <v>1051</v>
      </c>
      <c r="K79" s="2">
        <f t="shared" si="33"/>
        <v>43395514.678602286</v>
      </c>
      <c r="L79" s="2" t="s">
        <v>1027</v>
      </c>
      <c r="M79" s="2" t="s">
        <v>1052</v>
      </c>
      <c r="N79" s="2" t="s">
        <v>999</v>
      </c>
      <c r="O79" s="2">
        <v>392</v>
      </c>
      <c r="P79" s="2">
        <v>2318.7666015625</v>
      </c>
      <c r="Q79" s="2">
        <v>2098.748291015625</v>
      </c>
      <c r="R79" s="2">
        <f t="shared" si="23"/>
        <v>908956.5078125</v>
      </c>
      <c r="S79" s="2">
        <f t="shared" si="24"/>
        <v>822709.330078125</v>
      </c>
      <c r="T79" s="2">
        <f t="shared" si="25"/>
        <v>1731665.837890625</v>
      </c>
      <c r="U79" s="2">
        <f t="shared" si="26"/>
        <v>865.83</v>
      </c>
      <c r="V79" s="2">
        <f t="shared" si="27"/>
        <v>-86247.177734375</v>
      </c>
      <c r="W79" s="2">
        <f t="shared" si="28"/>
        <v>-87113.007734375002</v>
      </c>
      <c r="X79" s="2">
        <f t="shared" si="29"/>
        <v>43308401.670867912</v>
      </c>
      <c r="Y79" s="2">
        <f t="shared" si="30"/>
        <v>181791.3</v>
      </c>
      <c r="Z79" s="2">
        <f t="shared" si="31"/>
        <v>-47.92</v>
      </c>
      <c r="AA79" s="2">
        <f t="shared" si="34"/>
        <v>43501336.97258056</v>
      </c>
      <c r="AB79" s="2">
        <f t="shared" si="32"/>
        <v>-192935.30171264708</v>
      </c>
    </row>
    <row r="80" spans="1:28">
      <c r="A80" s="2">
        <v>77</v>
      </c>
      <c r="B80" s="2" t="s">
        <v>423</v>
      </c>
      <c r="C80" s="2" t="s">
        <v>932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426</v>
      </c>
      <c r="J80" s="2" t="s">
        <v>427</v>
      </c>
      <c r="K80" s="2">
        <f t="shared" si="33"/>
        <v>43308401.670867912</v>
      </c>
      <c r="L80" s="2" t="s">
        <v>181</v>
      </c>
      <c r="M80" s="2" t="s">
        <v>89</v>
      </c>
      <c r="N80" s="2" t="s">
        <v>182</v>
      </c>
      <c r="O80" s="2">
        <v>550</v>
      </c>
      <c r="P80" s="2">
        <v>797.38031005859375</v>
      </c>
      <c r="Q80" s="2">
        <v>820.89337158203125</v>
      </c>
      <c r="R80" s="2">
        <f t="shared" si="23"/>
        <v>438559.17053222656</v>
      </c>
      <c r="S80" s="2">
        <f t="shared" si="24"/>
        <v>451491.35437011719</v>
      </c>
      <c r="T80" s="2">
        <f t="shared" si="25"/>
        <v>890050.52490234375</v>
      </c>
      <c r="U80" s="2">
        <f t="shared" si="26"/>
        <v>445.03</v>
      </c>
      <c r="V80" s="2">
        <f t="shared" si="27"/>
        <v>12932.183837890625</v>
      </c>
      <c r="W80" s="2">
        <f t="shared" si="28"/>
        <v>12487.153837890624</v>
      </c>
      <c r="X80" s="2">
        <f t="shared" si="29"/>
        <v>43320888.824705802</v>
      </c>
      <c r="Y80" s="2">
        <f t="shared" si="30"/>
        <v>87711.83</v>
      </c>
      <c r="Z80" s="2">
        <f t="shared" si="31"/>
        <v>14.24</v>
      </c>
      <c r="AA80" s="2">
        <f t="shared" si="34"/>
        <v>43501336.97258056</v>
      </c>
      <c r="AB80" s="2">
        <f t="shared" si="32"/>
        <v>-180448.14787475765</v>
      </c>
    </row>
    <row r="81" spans="1:28">
      <c r="A81" s="2">
        <v>78</v>
      </c>
      <c r="B81" s="2" t="s">
        <v>428</v>
      </c>
      <c r="C81" s="2" t="s">
        <v>932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1053</v>
      </c>
      <c r="J81" s="2" t="s">
        <v>1054</v>
      </c>
      <c r="K81" s="2">
        <f t="shared" si="33"/>
        <v>43320888.824705802</v>
      </c>
      <c r="L81" s="2" t="s">
        <v>1055</v>
      </c>
      <c r="M81" s="2" t="s">
        <v>985</v>
      </c>
      <c r="N81" s="2" t="s">
        <v>999</v>
      </c>
      <c r="O81" s="2">
        <v>1100</v>
      </c>
      <c r="P81" s="2">
        <v>741.1524658203125</v>
      </c>
      <c r="Q81" s="2">
        <v>719.291015625</v>
      </c>
      <c r="R81" s="2">
        <f t="shared" si="23"/>
        <v>815267.71240234375</v>
      </c>
      <c r="S81" s="2">
        <f t="shared" si="24"/>
        <v>791220.1171875</v>
      </c>
      <c r="T81" s="2">
        <f t="shared" si="25"/>
        <v>1606487.8295898437</v>
      </c>
      <c r="U81" s="2">
        <f t="shared" si="26"/>
        <v>803.24</v>
      </c>
      <c r="V81" s="2">
        <f t="shared" si="27"/>
        <v>-24047.59521484375</v>
      </c>
      <c r="W81" s="2">
        <f t="shared" si="28"/>
        <v>-24850.835214843752</v>
      </c>
      <c r="X81" s="2">
        <f t="shared" si="29"/>
        <v>43296037.989490956</v>
      </c>
      <c r="Y81" s="2">
        <f t="shared" si="30"/>
        <v>163053.54</v>
      </c>
      <c r="Z81" s="2">
        <f t="shared" si="31"/>
        <v>-15.24</v>
      </c>
      <c r="AA81" s="2">
        <f t="shared" si="34"/>
        <v>43501336.97258056</v>
      </c>
      <c r="AB81" s="2">
        <f t="shared" si="32"/>
        <v>-205298.98308960348</v>
      </c>
    </row>
    <row r="82" spans="1:28">
      <c r="A82" s="2">
        <v>79</v>
      </c>
      <c r="B82" s="2" t="s">
        <v>433</v>
      </c>
      <c r="C82" s="2" t="s">
        <v>932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436</v>
      </c>
      <c r="J82" s="2" t="s">
        <v>437</v>
      </c>
      <c r="K82" s="2">
        <f t="shared" si="33"/>
        <v>43296037.989490956</v>
      </c>
      <c r="L82" s="2" t="s">
        <v>148</v>
      </c>
      <c r="M82" s="2" t="s">
        <v>139</v>
      </c>
      <c r="N82" s="2" t="s">
        <v>147</v>
      </c>
      <c r="O82" s="2">
        <v>150</v>
      </c>
      <c r="P82" s="2">
        <v>3993.972900390625</v>
      </c>
      <c r="Q82" s="2">
        <v>3823.09716796875</v>
      </c>
      <c r="R82" s="2">
        <f t="shared" si="23"/>
        <v>599095.93505859375</v>
      </c>
      <c r="S82" s="2">
        <f t="shared" si="24"/>
        <v>573464.5751953125</v>
      </c>
      <c r="T82" s="2">
        <f t="shared" si="25"/>
        <v>1172560.5102539063</v>
      </c>
      <c r="U82" s="2">
        <f t="shared" si="26"/>
        <v>586.28</v>
      </c>
      <c r="V82" s="2">
        <f t="shared" si="27"/>
        <v>-25631.35986328125</v>
      </c>
      <c r="W82" s="2">
        <f t="shared" si="28"/>
        <v>-26217.639863281249</v>
      </c>
      <c r="X82" s="2">
        <f t="shared" si="29"/>
        <v>43269820.349627674</v>
      </c>
      <c r="Y82" s="2">
        <f t="shared" si="30"/>
        <v>119819.19</v>
      </c>
      <c r="Z82" s="2">
        <f t="shared" si="31"/>
        <v>-21.88</v>
      </c>
      <c r="AA82" s="2">
        <f t="shared" si="34"/>
        <v>43501336.97258056</v>
      </c>
      <c r="AB82" s="2">
        <f t="shared" si="32"/>
        <v>-231516.62295288593</v>
      </c>
    </row>
    <row r="83" spans="1:28">
      <c r="A83" s="2">
        <v>80</v>
      </c>
      <c r="B83" s="2" t="s">
        <v>438</v>
      </c>
      <c r="C83" s="2" t="s">
        <v>932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441</v>
      </c>
      <c r="J83" s="2" t="s">
        <v>442</v>
      </c>
      <c r="K83" s="2">
        <f t="shared" si="33"/>
        <v>43269820.349627674</v>
      </c>
      <c r="L83" s="2" t="s">
        <v>131</v>
      </c>
      <c r="M83" s="2" t="s">
        <v>402</v>
      </c>
      <c r="N83" s="2" t="s">
        <v>139</v>
      </c>
      <c r="O83" s="2">
        <v>1400</v>
      </c>
      <c r="P83" s="2">
        <v>603.255859375</v>
      </c>
      <c r="Q83" s="2">
        <v>588.4423828125</v>
      </c>
      <c r="R83" s="2">
        <f t="shared" si="23"/>
        <v>844558.203125</v>
      </c>
      <c r="S83" s="2">
        <f t="shared" si="24"/>
        <v>823819.3359375</v>
      </c>
      <c r="T83" s="2">
        <f t="shared" si="25"/>
        <v>1668377.5390625</v>
      </c>
      <c r="U83" s="2">
        <f t="shared" si="26"/>
        <v>834.19</v>
      </c>
      <c r="V83" s="2">
        <f t="shared" si="27"/>
        <v>-20738.8671875</v>
      </c>
      <c r="W83" s="2">
        <f t="shared" si="28"/>
        <v>-21573.057187499999</v>
      </c>
      <c r="X83" s="2">
        <f t="shared" si="29"/>
        <v>43248247.292440176</v>
      </c>
      <c r="Y83" s="2">
        <f t="shared" si="30"/>
        <v>168911.64</v>
      </c>
      <c r="Z83" s="2">
        <f t="shared" si="31"/>
        <v>-12.77</v>
      </c>
      <c r="AA83" s="2">
        <f t="shared" si="34"/>
        <v>43501336.97258056</v>
      </c>
      <c r="AB83" s="2">
        <f t="shared" si="32"/>
        <v>-253089.68014038354</v>
      </c>
    </row>
    <row r="84" spans="1:28">
      <c r="A84" s="2">
        <v>81</v>
      </c>
      <c r="B84" s="2" t="s">
        <v>443</v>
      </c>
      <c r="C84" s="2" t="s">
        <v>932</v>
      </c>
      <c r="D84" s="4" t="s">
        <v>61</v>
      </c>
      <c r="E84" s="5" t="s">
        <v>134</v>
      </c>
      <c r="F84" s="2" t="s">
        <v>135</v>
      </c>
      <c r="G84" s="2" t="s">
        <v>127</v>
      </c>
      <c r="H84" s="2" t="s">
        <v>444</v>
      </c>
      <c r="I84" s="2" t="s">
        <v>1056</v>
      </c>
      <c r="J84" s="2" t="s">
        <v>246</v>
      </c>
      <c r="K84" s="2">
        <f t="shared" si="33"/>
        <v>43248247.292440176</v>
      </c>
      <c r="L84" s="2" t="s">
        <v>288</v>
      </c>
      <c r="M84" s="2" t="s">
        <v>967</v>
      </c>
      <c r="N84" s="2" t="s">
        <v>957</v>
      </c>
      <c r="O84" s="2">
        <v>2574</v>
      </c>
      <c r="P84" s="2">
        <v>367.34365844726562</v>
      </c>
      <c r="Q84" s="2">
        <v>390.3448486328125</v>
      </c>
      <c r="R84" s="2">
        <f t="shared" si="23"/>
        <v>945542.57684326172</v>
      </c>
      <c r="S84" s="2">
        <f t="shared" si="24"/>
        <v>1004747.6403808594</v>
      </c>
      <c r="T84" s="2">
        <f t="shared" si="25"/>
        <v>1950290.2172241211</v>
      </c>
      <c r="U84" s="2">
        <f t="shared" si="26"/>
        <v>975.15</v>
      </c>
      <c r="V84" s="2">
        <f t="shared" si="27"/>
        <v>59205.063537597656</v>
      </c>
      <c r="W84" s="2">
        <f t="shared" si="28"/>
        <v>58229.913537597655</v>
      </c>
      <c r="X84" s="2">
        <f t="shared" si="29"/>
        <v>43306477.205977775</v>
      </c>
      <c r="Y84" s="2">
        <f t="shared" si="30"/>
        <v>189108.52</v>
      </c>
      <c r="Z84" s="2">
        <f t="shared" si="31"/>
        <v>30.79</v>
      </c>
      <c r="AA84" s="2">
        <f t="shared" si="34"/>
        <v>43501336.97258056</v>
      </c>
      <c r="AB84" s="2">
        <f t="shared" si="32"/>
        <v>-194859.7666027844</v>
      </c>
    </row>
    <row r="85" spans="1:28">
      <c r="A85" s="2">
        <v>82</v>
      </c>
      <c r="B85" s="2" t="s">
        <v>447</v>
      </c>
      <c r="C85" s="2" t="s">
        <v>932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449</v>
      </c>
      <c r="J85" s="2" t="s">
        <v>450</v>
      </c>
      <c r="K85" s="2">
        <f t="shared" si="33"/>
        <v>43306477.205977775</v>
      </c>
      <c r="L85" s="2" t="s">
        <v>165</v>
      </c>
      <c r="M85" s="2" t="s">
        <v>189</v>
      </c>
      <c r="N85" s="2" t="s">
        <v>87</v>
      </c>
      <c r="O85" s="2">
        <v>300</v>
      </c>
      <c r="P85" s="2">
        <v>2317.1708984375</v>
      </c>
      <c r="Q85" s="2">
        <v>2301.619140625</v>
      </c>
      <c r="R85" s="2">
        <f t="shared" si="23"/>
        <v>695151.26953125</v>
      </c>
      <c r="S85" s="2">
        <f t="shared" si="24"/>
        <v>690485.7421875</v>
      </c>
      <c r="T85" s="2">
        <f t="shared" si="25"/>
        <v>1385637.01171875</v>
      </c>
      <c r="U85" s="2">
        <f t="shared" si="26"/>
        <v>692.82</v>
      </c>
      <c r="V85" s="2">
        <f t="shared" si="27"/>
        <v>-4665.52734375</v>
      </c>
      <c r="W85" s="2">
        <f t="shared" si="28"/>
        <v>-5358.3473437499997</v>
      </c>
      <c r="X85" s="2">
        <f t="shared" si="29"/>
        <v>43301118.858634025</v>
      </c>
      <c r="Y85" s="2">
        <f t="shared" si="30"/>
        <v>139030.25</v>
      </c>
      <c r="Z85" s="2">
        <f t="shared" si="31"/>
        <v>-3.85</v>
      </c>
      <c r="AA85" s="2">
        <f t="shared" si="34"/>
        <v>43501336.97258056</v>
      </c>
      <c r="AB85" s="2">
        <f t="shared" si="32"/>
        <v>-200218.11394653469</v>
      </c>
    </row>
    <row r="86" spans="1:28">
      <c r="A86" s="2">
        <v>83</v>
      </c>
      <c r="B86" s="2" t="s">
        <v>451</v>
      </c>
      <c r="C86" s="2" t="s">
        <v>932</v>
      </c>
      <c r="D86" s="4" t="s">
        <v>61</v>
      </c>
      <c r="E86" s="5" t="s">
        <v>134</v>
      </c>
      <c r="F86" s="2" t="s">
        <v>135</v>
      </c>
      <c r="G86" s="2" t="s">
        <v>54</v>
      </c>
      <c r="H86" s="2" t="s">
        <v>452</v>
      </c>
      <c r="I86" s="2" t="s">
        <v>1057</v>
      </c>
      <c r="J86" s="2" t="s">
        <v>1058</v>
      </c>
      <c r="K86" s="2">
        <f t="shared" si="33"/>
        <v>43301118.858634025</v>
      </c>
      <c r="L86" s="2" t="s">
        <v>999</v>
      </c>
      <c r="M86" s="2" t="s">
        <v>288</v>
      </c>
      <c r="N86" s="2" t="s">
        <v>970</v>
      </c>
      <c r="O86" s="2">
        <v>1866</v>
      </c>
      <c r="P86" s="2">
        <v>519.4908447265625</v>
      </c>
      <c r="Q86" s="2">
        <v>495.32177734375</v>
      </c>
      <c r="R86" s="2">
        <f t="shared" si="23"/>
        <v>969369.91625976562</v>
      </c>
      <c r="S86" s="2">
        <f t="shared" si="24"/>
        <v>924270.4365234375</v>
      </c>
      <c r="T86" s="2">
        <f t="shared" si="25"/>
        <v>1893640.3527832031</v>
      </c>
      <c r="U86" s="2">
        <f t="shared" si="26"/>
        <v>946.82</v>
      </c>
      <c r="V86" s="2">
        <f t="shared" si="27"/>
        <v>-45099.479736328125</v>
      </c>
      <c r="W86" s="2">
        <f t="shared" si="28"/>
        <v>-46046.299736328125</v>
      </c>
      <c r="X86" s="2">
        <f t="shared" si="29"/>
        <v>43255072.558897696</v>
      </c>
      <c r="Y86" s="2">
        <f t="shared" si="30"/>
        <v>193873.98</v>
      </c>
      <c r="Z86" s="2">
        <f t="shared" si="31"/>
        <v>-23.75</v>
      </c>
      <c r="AA86" s="2">
        <f t="shared" si="34"/>
        <v>43501336.97258056</v>
      </c>
      <c r="AB86" s="2">
        <f t="shared" si="32"/>
        <v>-246264.41368286312</v>
      </c>
    </row>
    <row r="87" spans="1:28">
      <c r="A87" s="2">
        <v>84</v>
      </c>
      <c r="B87" s="2" t="s">
        <v>455</v>
      </c>
      <c r="C87" s="2" t="s">
        <v>932</v>
      </c>
      <c r="D87" s="4" t="s">
        <v>61</v>
      </c>
      <c r="E87" s="5" t="s">
        <v>134</v>
      </c>
      <c r="F87" s="2" t="s">
        <v>456</v>
      </c>
      <c r="G87" s="2" t="s">
        <v>97</v>
      </c>
      <c r="H87" s="2" t="s">
        <v>386</v>
      </c>
      <c r="I87" s="2" t="s">
        <v>1059</v>
      </c>
      <c r="J87" s="2" t="s">
        <v>579</v>
      </c>
      <c r="K87" s="2">
        <f t="shared" si="33"/>
        <v>43255072.558897696</v>
      </c>
      <c r="L87" s="2" t="s">
        <v>947</v>
      </c>
      <c r="M87" s="2" t="s">
        <v>980</v>
      </c>
      <c r="N87" s="2" t="s">
        <v>951</v>
      </c>
      <c r="O87" s="2">
        <v>495</v>
      </c>
      <c r="P87" s="2">
        <v>1748.81201171875</v>
      </c>
      <c r="Q87" s="2">
        <v>1804.572021484375</v>
      </c>
      <c r="R87" s="2">
        <f t="shared" si="23"/>
        <v>865661.94580078125</v>
      </c>
      <c r="S87" s="2">
        <f t="shared" si="24"/>
        <v>893263.15063476562</v>
      </c>
      <c r="T87" s="2">
        <f t="shared" si="25"/>
        <v>1758925.0964355469</v>
      </c>
      <c r="U87" s="2">
        <f t="shared" si="26"/>
        <v>879.46</v>
      </c>
      <c r="V87" s="2">
        <f t="shared" si="27"/>
        <v>27601.204833984375</v>
      </c>
      <c r="W87" s="2">
        <f t="shared" si="28"/>
        <v>26721.744833984376</v>
      </c>
      <c r="X87" s="2">
        <f t="shared" si="29"/>
        <v>43281794.30373168</v>
      </c>
      <c r="Y87" s="2">
        <f t="shared" si="30"/>
        <v>173132.39</v>
      </c>
      <c r="Z87" s="2">
        <f t="shared" si="31"/>
        <v>15.43</v>
      </c>
      <c r="AA87" s="2">
        <f t="shared" si="34"/>
        <v>43501336.97258056</v>
      </c>
      <c r="AB87" s="2">
        <f t="shared" si="32"/>
        <v>-219542.66884887964</v>
      </c>
    </row>
    <row r="88" spans="1:28">
      <c r="A88" s="2">
        <v>85</v>
      </c>
      <c r="B88" s="2" t="s">
        <v>459</v>
      </c>
      <c r="C88" s="2" t="s">
        <v>932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461</v>
      </c>
      <c r="J88" s="2" t="s">
        <v>462</v>
      </c>
      <c r="K88" s="2">
        <f t="shared" si="33"/>
        <v>43281794.30373168</v>
      </c>
      <c r="L88" s="2" t="s">
        <v>181</v>
      </c>
      <c r="M88" s="2" t="s">
        <v>73</v>
      </c>
      <c r="N88" s="2" t="s">
        <v>279</v>
      </c>
      <c r="O88" s="2">
        <v>700</v>
      </c>
      <c r="P88" s="2">
        <v>1228.768676757812</v>
      </c>
      <c r="Q88" s="2">
        <v>1243.207397460938</v>
      </c>
      <c r="R88" s="2">
        <f t="shared" si="23"/>
        <v>860138.0737304684</v>
      </c>
      <c r="S88" s="2">
        <f t="shared" si="24"/>
        <v>870245.1782226566</v>
      </c>
      <c r="T88" s="2">
        <f t="shared" si="25"/>
        <v>1730383.251953125</v>
      </c>
      <c r="U88" s="2">
        <f t="shared" si="26"/>
        <v>865.19</v>
      </c>
      <c r="V88" s="2">
        <f t="shared" si="27"/>
        <v>10107.104492188198</v>
      </c>
      <c r="W88" s="2">
        <f t="shared" si="28"/>
        <v>9241.914492188198</v>
      </c>
      <c r="X88" s="2">
        <f t="shared" si="29"/>
        <v>43291036.21822387</v>
      </c>
      <c r="Y88" s="2">
        <f t="shared" si="30"/>
        <v>172027.61</v>
      </c>
      <c r="Z88" s="2">
        <f t="shared" si="31"/>
        <v>5.37</v>
      </c>
      <c r="AA88" s="2">
        <f t="shared" si="34"/>
        <v>43501336.97258056</v>
      </c>
      <c r="AB88" s="2">
        <f t="shared" si="32"/>
        <v>-210300.75435668975</v>
      </c>
    </row>
    <row r="89" spans="1:28">
      <c r="A89" s="2">
        <v>86</v>
      </c>
      <c r="B89" s="2" t="s">
        <v>463</v>
      </c>
      <c r="C89" s="2" t="s">
        <v>932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1060</v>
      </c>
      <c r="J89" s="2" t="s">
        <v>1061</v>
      </c>
      <c r="K89" s="2">
        <f t="shared" si="33"/>
        <v>43291036.21822387</v>
      </c>
      <c r="L89" s="2" t="s">
        <v>1062</v>
      </c>
      <c r="M89" s="2" t="s">
        <v>1063</v>
      </c>
      <c r="N89" s="2" t="s">
        <v>1064</v>
      </c>
      <c r="O89" s="2">
        <v>629</v>
      </c>
      <c r="P89" s="2">
        <v>1829</v>
      </c>
      <c r="Q89" s="2">
        <v>1693</v>
      </c>
      <c r="R89" s="2">
        <f t="shared" si="23"/>
        <v>1150441</v>
      </c>
      <c r="S89" s="2">
        <f t="shared" si="24"/>
        <v>1064897</v>
      </c>
      <c r="T89" s="2">
        <f t="shared" si="25"/>
        <v>2215338</v>
      </c>
      <c r="U89" s="2">
        <f t="shared" si="26"/>
        <v>1107.67</v>
      </c>
      <c r="V89" s="2">
        <f t="shared" si="27"/>
        <v>-85544</v>
      </c>
      <c r="W89" s="2">
        <f t="shared" si="28"/>
        <v>-86651.67</v>
      </c>
      <c r="X89" s="2">
        <f t="shared" si="29"/>
        <v>43204384.548223868</v>
      </c>
      <c r="Y89" s="2">
        <f t="shared" si="30"/>
        <v>230088.2</v>
      </c>
      <c r="Z89" s="2">
        <f t="shared" si="31"/>
        <v>-37.659999999999997</v>
      </c>
      <c r="AA89" s="2">
        <f t="shared" si="34"/>
        <v>43501336.97258056</v>
      </c>
      <c r="AB89" s="2">
        <f t="shared" si="32"/>
        <v>-296952.42435669154</v>
      </c>
    </row>
    <row r="90" spans="1:28">
      <c r="A90" s="2">
        <v>87</v>
      </c>
      <c r="B90" s="2" t="s">
        <v>471</v>
      </c>
      <c r="C90" s="2" t="s">
        <v>932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1065</v>
      </c>
      <c r="J90" s="2" t="s">
        <v>1066</v>
      </c>
      <c r="K90" s="2">
        <f t="shared" si="33"/>
        <v>43204384.548223868</v>
      </c>
      <c r="L90" s="2" t="s">
        <v>1067</v>
      </c>
      <c r="M90" s="2" t="s">
        <v>943</v>
      </c>
      <c r="N90" s="2" t="s">
        <v>468</v>
      </c>
      <c r="O90" s="2">
        <v>1958</v>
      </c>
      <c r="P90" s="2">
        <v>519.70001220703125</v>
      </c>
      <c r="Q90" s="2">
        <v>491.04998779296881</v>
      </c>
      <c r="R90" s="2">
        <f t="shared" si="23"/>
        <v>1017572.6239013672</v>
      </c>
      <c r="S90" s="2">
        <f t="shared" si="24"/>
        <v>961475.87609863293</v>
      </c>
      <c r="T90" s="2">
        <f t="shared" si="25"/>
        <v>1979048.5</v>
      </c>
      <c r="U90" s="2">
        <f t="shared" si="26"/>
        <v>989.52</v>
      </c>
      <c r="V90" s="2">
        <f t="shared" si="27"/>
        <v>-56096.747802734259</v>
      </c>
      <c r="W90" s="2">
        <f t="shared" si="28"/>
        <v>-57086.267802734255</v>
      </c>
      <c r="X90" s="2">
        <f t="shared" si="29"/>
        <v>43147298.28042113</v>
      </c>
      <c r="Y90" s="2">
        <f t="shared" si="30"/>
        <v>203514.52</v>
      </c>
      <c r="Z90" s="2">
        <f t="shared" si="31"/>
        <v>-28.05</v>
      </c>
      <c r="AA90" s="2">
        <f t="shared" si="34"/>
        <v>43501336.97258056</v>
      </c>
      <c r="AB90" s="2">
        <f t="shared" si="32"/>
        <v>-354038.69215942919</v>
      </c>
    </row>
    <row r="91" spans="1:28">
      <c r="A91" s="2">
        <v>88</v>
      </c>
      <c r="B91" s="2" t="s">
        <v>476</v>
      </c>
      <c r="C91" s="2" t="s">
        <v>932</v>
      </c>
      <c r="D91" s="4" t="s">
        <v>61</v>
      </c>
      <c r="E91" s="5" t="s">
        <v>134</v>
      </c>
      <c r="F91" s="2" t="s">
        <v>135</v>
      </c>
      <c r="G91" s="2" t="s">
        <v>103</v>
      </c>
      <c r="H91" s="2" t="s">
        <v>477</v>
      </c>
      <c r="I91" s="2" t="s">
        <v>1068</v>
      </c>
      <c r="J91" s="2" t="s">
        <v>1069</v>
      </c>
      <c r="K91" s="2">
        <f t="shared" si="33"/>
        <v>43147298.28042113</v>
      </c>
      <c r="L91" s="2" t="s">
        <v>973</v>
      </c>
      <c r="M91" s="2" t="s">
        <v>1070</v>
      </c>
      <c r="N91" s="2" t="s">
        <v>951</v>
      </c>
      <c r="O91" s="2">
        <v>77700</v>
      </c>
      <c r="P91" s="2">
        <v>6.9099998474121094</v>
      </c>
      <c r="Q91" s="2">
        <v>8.1700000762939453</v>
      </c>
      <c r="R91" s="2">
        <f t="shared" si="23"/>
        <v>536906.9881439209</v>
      </c>
      <c r="S91" s="2">
        <f t="shared" si="24"/>
        <v>634809.00592803955</v>
      </c>
      <c r="T91" s="2">
        <f t="shared" si="25"/>
        <v>1171715.9940719604</v>
      </c>
      <c r="U91" s="2">
        <f t="shared" si="26"/>
        <v>585.86</v>
      </c>
      <c r="V91" s="2">
        <f t="shared" si="27"/>
        <v>97902.017784118652</v>
      </c>
      <c r="W91" s="2">
        <f t="shared" si="28"/>
        <v>97316.157784118652</v>
      </c>
      <c r="X91" s="2">
        <f t="shared" si="29"/>
        <v>43244614.43820525</v>
      </c>
      <c r="Y91" s="2">
        <f t="shared" si="30"/>
        <v>107381.4</v>
      </c>
      <c r="Z91" s="2">
        <f t="shared" si="31"/>
        <v>90.63</v>
      </c>
      <c r="AA91" s="2">
        <f t="shared" si="34"/>
        <v>43501336.97258056</v>
      </c>
      <c r="AB91" s="2">
        <f t="shared" si="32"/>
        <v>-256722.53437530994</v>
      </c>
    </row>
    <row r="92" spans="1:28">
      <c r="A92" s="2">
        <v>89</v>
      </c>
      <c r="B92" s="2" t="s">
        <v>480</v>
      </c>
      <c r="C92" s="2" t="s">
        <v>932</v>
      </c>
      <c r="D92" s="4" t="s">
        <v>61</v>
      </c>
      <c r="E92" s="5" t="s">
        <v>134</v>
      </c>
      <c r="F92" s="2" t="s">
        <v>135</v>
      </c>
      <c r="G92" s="2" t="s">
        <v>231</v>
      </c>
      <c r="H92" s="2" t="s">
        <v>329</v>
      </c>
      <c r="I92" s="2" t="s">
        <v>1071</v>
      </c>
      <c r="J92" s="2" t="s">
        <v>934</v>
      </c>
      <c r="K92" s="2">
        <f t="shared" si="33"/>
        <v>43244614.43820525</v>
      </c>
      <c r="L92" s="2" t="s">
        <v>1052</v>
      </c>
      <c r="M92" s="2" t="s">
        <v>289</v>
      </c>
      <c r="N92" s="2" t="s">
        <v>290</v>
      </c>
      <c r="O92" s="2">
        <v>11798</v>
      </c>
      <c r="P92" s="2">
        <v>66.910995483398438</v>
      </c>
      <c r="Q92" s="2">
        <v>71.984390258789062</v>
      </c>
      <c r="R92" s="2">
        <f t="shared" si="23"/>
        <v>789415.92471313477</v>
      </c>
      <c r="S92" s="2">
        <f t="shared" si="24"/>
        <v>849271.83627319336</v>
      </c>
      <c r="T92" s="2">
        <f t="shared" si="25"/>
        <v>1638687.7609863281</v>
      </c>
      <c r="U92" s="2">
        <f t="shared" si="26"/>
        <v>819.34</v>
      </c>
      <c r="V92" s="2">
        <f t="shared" si="27"/>
        <v>59855.911560058594</v>
      </c>
      <c r="W92" s="2">
        <f t="shared" si="28"/>
        <v>59036.571560058597</v>
      </c>
      <c r="X92" s="2">
        <f t="shared" si="29"/>
        <v>43303651.009765305</v>
      </c>
      <c r="Y92" s="2">
        <f t="shared" si="30"/>
        <v>157883.18</v>
      </c>
      <c r="Z92" s="2">
        <f t="shared" si="31"/>
        <v>37.39</v>
      </c>
      <c r="AA92" s="2">
        <f t="shared" si="34"/>
        <v>43501336.97258056</v>
      </c>
      <c r="AB92" s="2">
        <f t="shared" si="32"/>
        <v>-197685.96281525493</v>
      </c>
    </row>
    <row r="93" spans="1:28">
      <c r="A93" s="2">
        <v>90</v>
      </c>
      <c r="B93" s="2" t="s">
        <v>483</v>
      </c>
      <c r="C93" s="2" t="s">
        <v>932</v>
      </c>
      <c r="D93" s="3" t="s">
        <v>37</v>
      </c>
      <c r="E93" s="5" t="s">
        <v>134</v>
      </c>
      <c r="F93" s="2" t="s">
        <v>135</v>
      </c>
      <c r="G93" s="2" t="s">
        <v>63</v>
      </c>
      <c r="H93" s="2" t="s">
        <v>484</v>
      </c>
      <c r="I93" s="2" t="s">
        <v>71</v>
      </c>
      <c r="J93" s="2" t="s">
        <v>1072</v>
      </c>
      <c r="K93" s="2">
        <f t="shared" si="33"/>
        <v>43303651.009765305</v>
      </c>
      <c r="L93" s="2" t="s">
        <v>1011</v>
      </c>
      <c r="M93" s="2" t="s">
        <v>957</v>
      </c>
      <c r="N93" s="2" t="s">
        <v>288</v>
      </c>
      <c r="O93" s="2">
        <v>7610</v>
      </c>
      <c r="P93" s="2">
        <v>174.9740905761719</v>
      </c>
      <c r="Q93" s="2">
        <v>173.00248718261719</v>
      </c>
      <c r="R93" s="2">
        <f t="shared" si="23"/>
        <v>1331552.8292846682</v>
      </c>
      <c r="S93" s="2">
        <f t="shared" si="24"/>
        <v>1316548.9274597168</v>
      </c>
      <c r="T93" s="2">
        <f t="shared" si="25"/>
        <v>2648101.7567443848</v>
      </c>
      <c r="U93" s="2">
        <f t="shared" si="26"/>
        <v>1324.05</v>
      </c>
      <c r="V93" s="2">
        <f t="shared" si="27"/>
        <v>-15003.901824951405</v>
      </c>
      <c r="W93" s="2">
        <f t="shared" si="28"/>
        <v>-16327.951824951404</v>
      </c>
      <c r="X93" s="2">
        <f t="shared" si="29"/>
        <v>43287323.057940356</v>
      </c>
      <c r="Y93" s="2">
        <f t="shared" si="30"/>
        <v>266310.57</v>
      </c>
      <c r="Z93" s="2">
        <f t="shared" si="31"/>
        <v>-6.13</v>
      </c>
      <c r="AA93" s="2">
        <f t="shared" si="34"/>
        <v>43501336.97258056</v>
      </c>
      <c r="AB93" s="2">
        <f t="shared" si="32"/>
        <v>-214013.91464020312</v>
      </c>
    </row>
    <row r="94" spans="1:28">
      <c r="A94" s="2">
        <v>91</v>
      </c>
      <c r="B94" s="2" t="s">
        <v>486</v>
      </c>
      <c r="C94" s="2" t="s">
        <v>932</v>
      </c>
      <c r="D94" s="3" t="s">
        <v>37</v>
      </c>
      <c r="E94" s="5" t="s">
        <v>134</v>
      </c>
      <c r="F94" s="2" t="s">
        <v>135</v>
      </c>
      <c r="G94" s="2" t="s">
        <v>54</v>
      </c>
      <c r="H94" s="2" t="s">
        <v>487</v>
      </c>
      <c r="I94" s="2" t="s">
        <v>1073</v>
      </c>
      <c r="J94" s="2" t="s">
        <v>1074</v>
      </c>
      <c r="K94" s="2">
        <f t="shared" si="33"/>
        <v>43287323.057940356</v>
      </c>
      <c r="L94" s="2" t="s">
        <v>959</v>
      </c>
      <c r="M94" s="2" t="s">
        <v>951</v>
      </c>
      <c r="N94" s="2" t="s">
        <v>946</v>
      </c>
      <c r="O94" s="2">
        <v>1334</v>
      </c>
      <c r="P94" s="2">
        <v>661.64898681640625</v>
      </c>
      <c r="Q94" s="2">
        <v>708.8990478515625</v>
      </c>
      <c r="R94" s="2">
        <f t="shared" si="23"/>
        <v>882639.74841308594</v>
      </c>
      <c r="S94" s="2">
        <f t="shared" si="24"/>
        <v>945671.32983398438</v>
      </c>
      <c r="T94" s="2">
        <f t="shared" si="25"/>
        <v>1828311.0782470703</v>
      </c>
      <c r="U94" s="2">
        <f t="shared" si="26"/>
        <v>914.16</v>
      </c>
      <c r="V94" s="2">
        <f t="shared" si="27"/>
        <v>63031.581420898438</v>
      </c>
      <c r="W94" s="2">
        <f t="shared" si="28"/>
        <v>62117.421420898434</v>
      </c>
      <c r="X94" s="2">
        <f t="shared" si="29"/>
        <v>43349440.479361258</v>
      </c>
      <c r="Y94" s="2">
        <f t="shared" si="30"/>
        <v>176527.95</v>
      </c>
      <c r="Z94" s="2">
        <f t="shared" si="31"/>
        <v>35.19</v>
      </c>
      <c r="AA94" s="2">
        <f t="shared" si="34"/>
        <v>43501336.97258056</v>
      </c>
      <c r="AB94" s="2">
        <f t="shared" si="32"/>
        <v>-151896.4932193011</v>
      </c>
    </row>
    <row r="95" spans="1:28">
      <c r="A95" s="2">
        <v>92</v>
      </c>
      <c r="B95" s="2" t="s">
        <v>490</v>
      </c>
      <c r="C95" s="2" t="s">
        <v>932</v>
      </c>
      <c r="D95" s="3" t="s">
        <v>37</v>
      </c>
      <c r="E95" s="5" t="s">
        <v>134</v>
      </c>
      <c r="F95" s="2" t="s">
        <v>135</v>
      </c>
      <c r="G95" s="2" t="s">
        <v>54</v>
      </c>
      <c r="H95" s="2" t="s">
        <v>491</v>
      </c>
      <c r="I95" s="2" t="s">
        <v>1075</v>
      </c>
      <c r="J95" s="2" t="s">
        <v>799</v>
      </c>
      <c r="K95" s="2">
        <f t="shared" si="33"/>
        <v>43349440.479361258</v>
      </c>
      <c r="L95" s="2" t="s">
        <v>1011</v>
      </c>
      <c r="M95" s="2" t="s">
        <v>983</v>
      </c>
      <c r="N95" s="2" t="s">
        <v>289</v>
      </c>
      <c r="O95" s="2">
        <v>1208</v>
      </c>
      <c r="P95" s="2">
        <v>478.224609375</v>
      </c>
      <c r="Q95" s="2">
        <v>558.8038330078125</v>
      </c>
      <c r="R95" s="2">
        <f t="shared" si="23"/>
        <v>577695.328125</v>
      </c>
      <c r="S95" s="2">
        <f t="shared" si="24"/>
        <v>675035.0302734375</v>
      </c>
      <c r="T95" s="2">
        <f t="shared" si="25"/>
        <v>1252730.3583984375</v>
      </c>
      <c r="U95" s="2">
        <f t="shared" si="26"/>
        <v>626.37</v>
      </c>
      <c r="V95" s="2">
        <f t="shared" si="27"/>
        <v>97339.7021484375</v>
      </c>
      <c r="W95" s="2">
        <f t="shared" si="28"/>
        <v>96713.332148437505</v>
      </c>
      <c r="X95" s="2">
        <f t="shared" si="29"/>
        <v>43446153.811509699</v>
      </c>
      <c r="Y95" s="2">
        <f t="shared" si="30"/>
        <v>115539.07</v>
      </c>
      <c r="Z95" s="2">
        <f t="shared" si="31"/>
        <v>83.71</v>
      </c>
      <c r="AA95" s="2">
        <f t="shared" si="34"/>
        <v>43501336.97258056</v>
      </c>
      <c r="AB95" s="2">
        <f t="shared" si="32"/>
        <v>-55183.161070860922</v>
      </c>
    </row>
    <row r="96" spans="1:28">
      <c r="A96" s="2">
        <v>93</v>
      </c>
      <c r="B96" s="2" t="s">
        <v>493</v>
      </c>
      <c r="C96" s="2" t="s">
        <v>932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1076</v>
      </c>
      <c r="J96" s="2" t="s">
        <v>1077</v>
      </c>
      <c r="K96" s="2">
        <f t="shared" si="33"/>
        <v>43446153.811509699</v>
      </c>
      <c r="L96" s="2" t="s">
        <v>1052</v>
      </c>
      <c r="M96" s="2" t="s">
        <v>289</v>
      </c>
      <c r="N96" s="2" t="s">
        <v>957</v>
      </c>
      <c r="O96" s="2">
        <v>196</v>
      </c>
      <c r="P96" s="2">
        <v>4691.92138671875</v>
      </c>
      <c r="Q96" s="2">
        <v>4008.67578125</v>
      </c>
      <c r="R96" s="2">
        <f t="shared" si="23"/>
        <v>919616.591796875</v>
      </c>
      <c r="S96" s="2">
        <f t="shared" si="24"/>
        <v>785700.453125</v>
      </c>
      <c r="T96" s="2">
        <f t="shared" si="25"/>
        <v>1705317.044921875</v>
      </c>
      <c r="U96" s="2">
        <f t="shared" si="26"/>
        <v>852.66</v>
      </c>
      <c r="V96" s="2">
        <f t="shared" si="27"/>
        <v>-133916.138671875</v>
      </c>
      <c r="W96" s="2">
        <f t="shared" si="28"/>
        <v>-134768.798671875</v>
      </c>
      <c r="X96" s="2">
        <f t="shared" si="29"/>
        <v>43311385.012837827</v>
      </c>
      <c r="Y96" s="2">
        <f t="shared" si="30"/>
        <v>183923.32</v>
      </c>
      <c r="Z96" s="2">
        <f t="shared" si="31"/>
        <v>-73.27</v>
      </c>
      <c r="AA96" s="2">
        <f t="shared" si="34"/>
        <v>43501336.97258056</v>
      </c>
      <c r="AB96" s="2">
        <f t="shared" si="32"/>
        <v>-189951.95974273235</v>
      </c>
    </row>
    <row r="97" spans="1:28">
      <c r="A97" s="2">
        <v>94</v>
      </c>
      <c r="B97" s="2" t="s">
        <v>498</v>
      </c>
      <c r="C97" s="2" t="s">
        <v>932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501</v>
      </c>
      <c r="J97" s="2" t="s">
        <v>349</v>
      </c>
      <c r="K97" s="2">
        <f t="shared" si="33"/>
        <v>43311385.012837827</v>
      </c>
      <c r="L97" s="2" t="s">
        <v>89</v>
      </c>
      <c r="M97" s="2" t="s">
        <v>147</v>
      </c>
      <c r="N97" s="2" t="s">
        <v>73</v>
      </c>
      <c r="O97" s="2">
        <v>500</v>
      </c>
      <c r="P97" s="2">
        <v>955.50238037109375</v>
      </c>
      <c r="Q97" s="2">
        <v>1063.827026367188</v>
      </c>
      <c r="R97" s="2">
        <f t="shared" si="23"/>
        <v>477751.19018554687</v>
      </c>
      <c r="S97" s="2">
        <f t="shared" si="24"/>
        <v>531913.51318359398</v>
      </c>
      <c r="T97" s="2">
        <f t="shared" si="25"/>
        <v>1009664.7033691409</v>
      </c>
      <c r="U97" s="2">
        <f t="shared" si="26"/>
        <v>504.83</v>
      </c>
      <c r="V97" s="2">
        <f t="shared" si="27"/>
        <v>54162.322998047108</v>
      </c>
      <c r="W97" s="2">
        <f t="shared" si="28"/>
        <v>53657.492998047106</v>
      </c>
      <c r="X97" s="2">
        <f t="shared" si="29"/>
        <v>43365042.505835876</v>
      </c>
      <c r="Y97" s="2">
        <f t="shared" si="30"/>
        <v>95550.24</v>
      </c>
      <c r="Z97" s="2">
        <f t="shared" si="31"/>
        <v>56.16</v>
      </c>
      <c r="AA97" s="2">
        <f t="shared" si="34"/>
        <v>43501336.97258056</v>
      </c>
      <c r="AB97" s="2">
        <f t="shared" si="32"/>
        <v>-136294.46674468368</v>
      </c>
    </row>
    <row r="98" spans="1:28">
      <c r="A98" s="2">
        <v>95</v>
      </c>
      <c r="B98" s="2" t="s">
        <v>502</v>
      </c>
      <c r="C98" s="2" t="s">
        <v>932</v>
      </c>
      <c r="D98" s="4" t="s">
        <v>61</v>
      </c>
      <c r="E98" s="5" t="s">
        <v>134</v>
      </c>
      <c r="F98" s="2" t="s">
        <v>135</v>
      </c>
      <c r="G98" s="2" t="s">
        <v>77</v>
      </c>
      <c r="H98" s="2" t="s">
        <v>503</v>
      </c>
      <c r="I98" s="2" t="s">
        <v>1078</v>
      </c>
      <c r="J98" s="2" t="s">
        <v>1079</v>
      </c>
      <c r="K98" s="2">
        <f t="shared" si="33"/>
        <v>43365042.505835876</v>
      </c>
      <c r="L98" s="2" t="s">
        <v>970</v>
      </c>
      <c r="M98" s="2" t="s">
        <v>288</v>
      </c>
      <c r="N98" s="2" t="s">
        <v>1011</v>
      </c>
      <c r="O98" s="2">
        <v>2545</v>
      </c>
      <c r="P98" s="2">
        <v>350.25</v>
      </c>
      <c r="Q98" s="2">
        <v>384.54998779296881</v>
      </c>
      <c r="R98" s="2">
        <f t="shared" si="23"/>
        <v>891386.25</v>
      </c>
      <c r="S98" s="2">
        <f t="shared" si="24"/>
        <v>978679.71893310559</v>
      </c>
      <c r="T98" s="2">
        <f t="shared" si="25"/>
        <v>1870065.9689331055</v>
      </c>
      <c r="U98" s="2">
        <f t="shared" si="26"/>
        <v>935.03</v>
      </c>
      <c r="V98" s="2">
        <f t="shared" si="27"/>
        <v>87293.468933105585</v>
      </c>
      <c r="W98" s="2">
        <f t="shared" si="28"/>
        <v>86358.438933105586</v>
      </c>
      <c r="X98" s="2">
        <f t="shared" si="29"/>
        <v>43451400.94476898</v>
      </c>
      <c r="Y98" s="2">
        <f t="shared" si="30"/>
        <v>178277.25</v>
      </c>
      <c r="Z98" s="2">
        <f t="shared" si="31"/>
        <v>48.44</v>
      </c>
      <c r="AA98" s="2">
        <f t="shared" si="34"/>
        <v>43501336.97258056</v>
      </c>
      <c r="AB98" s="2">
        <f t="shared" si="32"/>
        <v>-49936.027811579406</v>
      </c>
    </row>
    <row r="99" spans="1:28">
      <c r="A99" s="2">
        <v>96</v>
      </c>
      <c r="B99" s="2" t="s">
        <v>506</v>
      </c>
      <c r="C99" s="2" t="s">
        <v>932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508</v>
      </c>
      <c r="J99" s="2" t="s">
        <v>509</v>
      </c>
      <c r="K99" s="2">
        <f t="shared" si="33"/>
        <v>43451400.94476898</v>
      </c>
      <c r="L99" s="2" t="s">
        <v>510</v>
      </c>
      <c r="M99" s="2" t="s">
        <v>153</v>
      </c>
      <c r="N99" s="2" t="s">
        <v>183</v>
      </c>
      <c r="O99" s="2">
        <v>400</v>
      </c>
      <c r="P99" s="2">
        <v>1723.87548828125</v>
      </c>
      <c r="Q99" s="2">
        <v>1869.947998046875</v>
      </c>
      <c r="R99" s="2">
        <f t="shared" si="23"/>
        <v>689550.1953125</v>
      </c>
      <c r="S99" s="2">
        <f t="shared" si="24"/>
        <v>747979.19921875</v>
      </c>
      <c r="T99" s="2">
        <f t="shared" si="25"/>
        <v>1437529.39453125</v>
      </c>
      <c r="U99" s="2">
        <f t="shared" si="26"/>
        <v>718.76</v>
      </c>
      <c r="V99" s="2">
        <f t="shared" si="27"/>
        <v>58429.00390625</v>
      </c>
      <c r="W99" s="2">
        <f t="shared" si="28"/>
        <v>57710.243906249998</v>
      </c>
      <c r="X99" s="2">
        <f t="shared" si="29"/>
        <v>43509111.188675232</v>
      </c>
      <c r="Y99" s="2">
        <f t="shared" si="30"/>
        <v>137910.04</v>
      </c>
      <c r="Z99" s="2">
        <f t="shared" si="31"/>
        <v>41.85</v>
      </c>
      <c r="AA99" s="2">
        <f t="shared" si="34"/>
        <v>43509111.188675232</v>
      </c>
      <c r="AB99" s="2">
        <f t="shared" si="32"/>
        <v>0</v>
      </c>
    </row>
    <row r="100" spans="1:28">
      <c r="A100" s="2">
        <v>97</v>
      </c>
      <c r="B100" s="2" t="s">
        <v>511</v>
      </c>
      <c r="C100" s="2" t="s">
        <v>932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2" t="s">
        <v>512</v>
      </c>
      <c r="I100" s="2" t="s">
        <v>909</v>
      </c>
      <c r="J100" s="2" t="s">
        <v>545</v>
      </c>
      <c r="K100" s="2">
        <f t="shared" si="33"/>
        <v>43509111.188675232</v>
      </c>
      <c r="L100" s="2" t="s">
        <v>87</v>
      </c>
      <c r="M100" s="2" t="s">
        <v>173</v>
      </c>
      <c r="N100" s="2" t="s">
        <v>73</v>
      </c>
      <c r="O100" s="2">
        <v>13336</v>
      </c>
      <c r="P100" s="2">
        <v>156.25</v>
      </c>
      <c r="Q100" s="2">
        <v>171.8800048828125</v>
      </c>
      <c r="R100" s="2">
        <f t="shared" ref="R100:R131" si="35">O100*P100</f>
        <v>2083750</v>
      </c>
      <c r="S100" s="2">
        <f t="shared" ref="S100:S131" si="36">O100*Q100</f>
        <v>2292191.7451171875</v>
      </c>
      <c r="T100" s="2">
        <f t="shared" ref="T100:T131" si="37">R100+S100</f>
        <v>4375941.7451171875</v>
      </c>
      <c r="U100" s="2">
        <f t="shared" ref="U100:U131" si="38">ROUND(T100*0.0005, 2)</f>
        <v>2187.9699999999998</v>
      </c>
      <c r="V100" s="2">
        <f t="shared" ref="V100:V131" si="39">S100-R100</f>
        <v>208441.7451171875</v>
      </c>
      <c r="W100" s="2">
        <f t="shared" ref="W100:W131" si="40">V100-U100</f>
        <v>206253.7751171875</v>
      </c>
      <c r="X100" s="2">
        <f t="shared" ref="X100:X131" si="41">K100+W100</f>
        <v>43715364.963792421</v>
      </c>
      <c r="Y100" s="2">
        <f t="shared" ref="Y100:Y131" si="42">ROUND(0.2*R100, 2)</f>
        <v>416750</v>
      </c>
      <c r="Z100" s="2">
        <f t="shared" ref="Z100:Z131" si="43">ROUND((W100/Y100)*100, 2)</f>
        <v>49.49</v>
      </c>
      <c r="AA100" s="2">
        <f t="shared" si="34"/>
        <v>43715364.963792421</v>
      </c>
      <c r="AB100" s="2">
        <f t="shared" ref="AB100:AB131" si="44">X100-AA100</f>
        <v>0</v>
      </c>
    </row>
    <row r="101" spans="1:28">
      <c r="A101" s="2">
        <v>98</v>
      </c>
      <c r="B101" s="2" t="s">
        <v>516</v>
      </c>
      <c r="C101" s="2" t="s">
        <v>932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2" t="s">
        <v>517</v>
      </c>
      <c r="I101" s="2" t="s">
        <v>1080</v>
      </c>
      <c r="J101" s="2" t="s">
        <v>753</v>
      </c>
      <c r="K101" s="2">
        <f t="shared" si="33"/>
        <v>43715364.963792421</v>
      </c>
      <c r="L101" s="2" t="s">
        <v>985</v>
      </c>
      <c r="M101" s="2" t="s">
        <v>983</v>
      </c>
      <c r="N101" s="2" t="s">
        <v>289</v>
      </c>
      <c r="O101" s="2">
        <v>7145</v>
      </c>
      <c r="P101" s="2">
        <v>135.98539733886719</v>
      </c>
      <c r="Q101" s="2">
        <v>150.1757507324219</v>
      </c>
      <c r="R101" s="2">
        <f t="shared" si="35"/>
        <v>971615.66398620605</v>
      </c>
      <c r="S101" s="2">
        <f t="shared" si="36"/>
        <v>1073005.7389831545</v>
      </c>
      <c r="T101" s="2">
        <f t="shared" si="37"/>
        <v>2044621.4029693606</v>
      </c>
      <c r="U101" s="2">
        <f t="shared" si="38"/>
        <v>1022.31</v>
      </c>
      <c r="V101" s="2">
        <f t="shared" si="39"/>
        <v>101390.07499694848</v>
      </c>
      <c r="W101" s="2">
        <f t="shared" si="40"/>
        <v>100367.76499694848</v>
      </c>
      <c r="X101" s="2">
        <f t="shared" si="41"/>
        <v>43815732.728789367</v>
      </c>
      <c r="Y101" s="2">
        <f t="shared" si="42"/>
        <v>194323.13</v>
      </c>
      <c r="Z101" s="2">
        <f t="shared" si="43"/>
        <v>51.65</v>
      </c>
      <c r="AA101" s="2">
        <f t="shared" ref="AA101:AA132" si="45">MAX(AA100, X101)</f>
        <v>43815732.728789367</v>
      </c>
      <c r="AB101" s="2">
        <f t="shared" si="44"/>
        <v>0</v>
      </c>
    </row>
    <row r="102" spans="1:28">
      <c r="A102" s="2">
        <v>99</v>
      </c>
      <c r="B102" s="2" t="s">
        <v>519</v>
      </c>
      <c r="C102" s="2" t="s">
        <v>932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2" t="s">
        <v>521</v>
      </c>
      <c r="I102" s="2" t="s">
        <v>1081</v>
      </c>
      <c r="J102" s="2" t="s">
        <v>1082</v>
      </c>
      <c r="K102" s="2">
        <f t="shared" si="33"/>
        <v>43815732.728789367</v>
      </c>
      <c r="L102" s="2" t="s">
        <v>1083</v>
      </c>
      <c r="M102" s="2" t="s">
        <v>1084</v>
      </c>
      <c r="N102" s="2" t="s">
        <v>1085</v>
      </c>
      <c r="O102" s="2">
        <v>8341</v>
      </c>
      <c r="P102" s="2">
        <v>221.93327331542969</v>
      </c>
      <c r="Q102" s="2">
        <v>268.4267578125</v>
      </c>
      <c r="R102" s="2">
        <f t="shared" si="35"/>
        <v>1851145.432723999</v>
      </c>
      <c r="S102" s="2">
        <f t="shared" si="36"/>
        <v>2238947.5869140625</v>
      </c>
      <c r="T102" s="2">
        <f t="shared" si="37"/>
        <v>4090093.0196380615</v>
      </c>
      <c r="U102" s="2">
        <f t="shared" si="38"/>
        <v>2045.05</v>
      </c>
      <c r="V102" s="2">
        <f t="shared" si="39"/>
        <v>387802.15419006348</v>
      </c>
      <c r="W102" s="2">
        <f t="shared" si="40"/>
        <v>385757.10419006349</v>
      </c>
      <c r="X102" s="2">
        <f t="shared" si="41"/>
        <v>44201489.832979433</v>
      </c>
      <c r="Y102" s="2">
        <f t="shared" si="42"/>
        <v>370229.09</v>
      </c>
      <c r="Z102" s="2">
        <f t="shared" si="43"/>
        <v>104.19</v>
      </c>
      <c r="AA102" s="2">
        <f t="shared" si="45"/>
        <v>44201489.832979433</v>
      </c>
      <c r="AB102" s="2">
        <f t="shared" si="44"/>
        <v>0</v>
      </c>
    </row>
    <row r="103" spans="1:28">
      <c r="A103" s="2">
        <v>100</v>
      </c>
      <c r="B103" s="2" t="s">
        <v>525</v>
      </c>
      <c r="C103" s="2" t="s">
        <v>932</v>
      </c>
      <c r="D103" s="4" t="s">
        <v>61</v>
      </c>
      <c r="E103" s="5" t="s">
        <v>134</v>
      </c>
      <c r="F103" s="2" t="s">
        <v>135</v>
      </c>
      <c r="G103" s="2" t="s">
        <v>97</v>
      </c>
      <c r="H103" s="2" t="s">
        <v>526</v>
      </c>
      <c r="I103" s="2" t="s">
        <v>619</v>
      </c>
      <c r="J103" s="2" t="s">
        <v>1086</v>
      </c>
      <c r="K103" s="2">
        <f t="shared" si="33"/>
        <v>44201489.832979433</v>
      </c>
      <c r="L103" s="2" t="s">
        <v>959</v>
      </c>
      <c r="M103" s="2" t="s">
        <v>979</v>
      </c>
      <c r="N103" s="2" t="s">
        <v>959</v>
      </c>
      <c r="O103" s="2">
        <v>11813</v>
      </c>
      <c r="P103" s="2">
        <v>151.30000000000001</v>
      </c>
      <c r="Q103" s="2">
        <v>152.80000000000001</v>
      </c>
      <c r="R103" s="2">
        <f t="shared" si="35"/>
        <v>1787306.9000000001</v>
      </c>
      <c r="S103" s="2">
        <f t="shared" si="36"/>
        <v>1805026.4000000001</v>
      </c>
      <c r="T103" s="2">
        <f t="shared" si="37"/>
        <v>3592333.3000000003</v>
      </c>
      <c r="U103" s="2">
        <f t="shared" si="38"/>
        <v>1796.17</v>
      </c>
      <c r="V103" s="2">
        <f t="shared" si="39"/>
        <v>17719.5</v>
      </c>
      <c r="W103" s="2">
        <f t="shared" si="40"/>
        <v>15923.33</v>
      </c>
      <c r="X103" s="2">
        <f t="shared" si="41"/>
        <v>44217413.162979431</v>
      </c>
      <c r="Y103" s="2">
        <f t="shared" si="42"/>
        <v>357461.38</v>
      </c>
      <c r="Z103" s="2">
        <f t="shared" si="43"/>
        <v>4.45</v>
      </c>
      <c r="AA103" s="2">
        <f t="shared" si="45"/>
        <v>44217413.162979431</v>
      </c>
      <c r="AB103" s="2">
        <f t="shared" si="44"/>
        <v>0</v>
      </c>
    </row>
    <row r="104" spans="1:28">
      <c r="A104" s="2">
        <v>101</v>
      </c>
      <c r="B104" s="2" t="s">
        <v>527</v>
      </c>
      <c r="C104" s="2" t="s">
        <v>932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529</v>
      </c>
      <c r="J104" s="2" t="s">
        <v>78</v>
      </c>
      <c r="K104" s="2">
        <f t="shared" si="33"/>
        <v>44217413.162979431</v>
      </c>
      <c r="L104" s="2" t="s">
        <v>189</v>
      </c>
      <c r="M104" s="2" t="s">
        <v>264</v>
      </c>
      <c r="N104" s="2" t="s">
        <v>147</v>
      </c>
      <c r="O104" s="2">
        <v>1600</v>
      </c>
      <c r="P104" s="2">
        <v>393.74911499023437</v>
      </c>
      <c r="Q104" s="2">
        <v>399.41754150390631</v>
      </c>
      <c r="R104" s="2">
        <f t="shared" si="35"/>
        <v>629998.583984375</v>
      </c>
      <c r="S104" s="2">
        <f t="shared" si="36"/>
        <v>639068.06640625012</v>
      </c>
      <c r="T104" s="2">
        <f t="shared" si="37"/>
        <v>1269066.650390625</v>
      </c>
      <c r="U104" s="2">
        <f t="shared" si="38"/>
        <v>634.53</v>
      </c>
      <c r="V104" s="2">
        <f t="shared" si="39"/>
        <v>9069.4824218751164</v>
      </c>
      <c r="W104" s="2">
        <f t="shared" si="40"/>
        <v>8434.9524218751158</v>
      </c>
      <c r="X104" s="2">
        <f t="shared" si="41"/>
        <v>44225848.115401305</v>
      </c>
      <c r="Y104" s="2">
        <f t="shared" si="42"/>
        <v>125999.72</v>
      </c>
      <c r="Z104" s="2">
        <f t="shared" si="43"/>
        <v>6.69</v>
      </c>
      <c r="AA104" s="2">
        <f t="shared" si="45"/>
        <v>44225848.115401305</v>
      </c>
      <c r="AB104" s="2">
        <f t="shared" si="44"/>
        <v>0</v>
      </c>
    </row>
    <row r="105" spans="1:28">
      <c r="A105" s="2">
        <v>102</v>
      </c>
      <c r="B105" s="2" t="s">
        <v>530</v>
      </c>
      <c r="C105" s="2" t="s">
        <v>932</v>
      </c>
      <c r="D105" s="3" t="s">
        <v>37</v>
      </c>
      <c r="E105" s="5" t="s">
        <v>134</v>
      </c>
      <c r="F105" s="2" t="s">
        <v>135</v>
      </c>
      <c r="G105" s="2" t="s">
        <v>77</v>
      </c>
      <c r="H105" s="2" t="s">
        <v>531</v>
      </c>
      <c r="I105" s="2" t="s">
        <v>41</v>
      </c>
      <c r="J105" s="2" t="s">
        <v>194</v>
      </c>
      <c r="K105" s="2">
        <f t="shared" si="33"/>
        <v>44225848.115401305</v>
      </c>
      <c r="L105" s="2" t="s">
        <v>959</v>
      </c>
      <c r="M105" s="2" t="s">
        <v>948</v>
      </c>
      <c r="N105" s="2" t="s">
        <v>946</v>
      </c>
      <c r="O105" s="2">
        <v>914</v>
      </c>
      <c r="P105" s="2">
        <v>907.39990234375</v>
      </c>
      <c r="Q105" s="2">
        <v>926.21252441406239</v>
      </c>
      <c r="R105" s="2">
        <f t="shared" si="35"/>
        <v>829363.5107421875</v>
      </c>
      <c r="S105" s="2">
        <f t="shared" si="36"/>
        <v>846558.24731445301</v>
      </c>
      <c r="T105" s="2">
        <f t="shared" si="37"/>
        <v>1675921.7580566406</v>
      </c>
      <c r="U105" s="2">
        <f t="shared" si="38"/>
        <v>837.96</v>
      </c>
      <c r="V105" s="2">
        <f t="shared" si="39"/>
        <v>17194.736572265509</v>
      </c>
      <c r="W105" s="2">
        <f t="shared" si="40"/>
        <v>16356.776572265509</v>
      </c>
      <c r="X105" s="2">
        <f t="shared" si="41"/>
        <v>44242204.89197357</v>
      </c>
      <c r="Y105" s="2">
        <f t="shared" si="42"/>
        <v>165872.70000000001</v>
      </c>
      <c r="Z105" s="2">
        <f t="shared" si="43"/>
        <v>9.86</v>
      </c>
      <c r="AA105" s="2">
        <f t="shared" si="45"/>
        <v>44242204.89197357</v>
      </c>
      <c r="AB105" s="2">
        <f t="shared" si="44"/>
        <v>0</v>
      </c>
    </row>
    <row r="106" spans="1:28">
      <c r="A106" s="2">
        <v>103</v>
      </c>
      <c r="B106" s="2" t="s">
        <v>534</v>
      </c>
      <c r="C106" s="2" t="s">
        <v>932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537</v>
      </c>
      <c r="J106" s="2" t="s">
        <v>538</v>
      </c>
      <c r="K106" s="2">
        <f t="shared" si="33"/>
        <v>44242204.89197357</v>
      </c>
      <c r="L106" s="2" t="s">
        <v>183</v>
      </c>
      <c r="M106" s="2" t="s">
        <v>182</v>
      </c>
      <c r="N106" s="2" t="s">
        <v>251</v>
      </c>
      <c r="O106" s="2">
        <v>4127</v>
      </c>
      <c r="P106" s="2">
        <v>255.45166015625</v>
      </c>
      <c r="Q106" s="2">
        <v>276.3690185546875</v>
      </c>
      <c r="R106" s="2">
        <f t="shared" si="35"/>
        <v>1054249.0014648438</v>
      </c>
      <c r="S106" s="2">
        <f t="shared" si="36"/>
        <v>1140574.9395751953</v>
      </c>
      <c r="T106" s="2">
        <f t="shared" si="37"/>
        <v>2194823.9410400391</v>
      </c>
      <c r="U106" s="2">
        <f t="shared" si="38"/>
        <v>1097.4100000000001</v>
      </c>
      <c r="V106" s="2">
        <f t="shared" si="39"/>
        <v>86325.938110351563</v>
      </c>
      <c r="W106" s="2">
        <f t="shared" si="40"/>
        <v>85228.528110351559</v>
      </c>
      <c r="X106" s="2">
        <f t="shared" si="41"/>
        <v>44327433.420083925</v>
      </c>
      <c r="Y106" s="2">
        <f t="shared" si="42"/>
        <v>210849.8</v>
      </c>
      <c r="Z106" s="2">
        <f t="shared" si="43"/>
        <v>40.42</v>
      </c>
      <c r="AA106" s="2">
        <f t="shared" si="45"/>
        <v>44327433.420083925</v>
      </c>
      <c r="AB106" s="2">
        <f t="shared" si="44"/>
        <v>0</v>
      </c>
    </row>
    <row r="107" spans="1:28">
      <c r="A107" s="2">
        <v>104</v>
      </c>
      <c r="B107" s="2" t="s">
        <v>539</v>
      </c>
      <c r="C107" s="2" t="s">
        <v>932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2" t="s">
        <v>257</v>
      </c>
      <c r="I107" s="2" t="s">
        <v>1087</v>
      </c>
      <c r="J107" s="2" t="s">
        <v>1088</v>
      </c>
      <c r="K107" s="2">
        <f t="shared" si="33"/>
        <v>44327433.420083925</v>
      </c>
      <c r="L107" s="2" t="s">
        <v>1014</v>
      </c>
      <c r="M107" s="2" t="s">
        <v>957</v>
      </c>
      <c r="N107" s="2" t="s">
        <v>288</v>
      </c>
      <c r="O107" s="2">
        <v>1839</v>
      </c>
      <c r="P107" s="2">
        <v>664.00872802734375</v>
      </c>
      <c r="Q107" s="2">
        <v>671.60272216796875</v>
      </c>
      <c r="R107" s="2">
        <f t="shared" si="35"/>
        <v>1221112.0508422852</v>
      </c>
      <c r="S107" s="2">
        <f t="shared" si="36"/>
        <v>1235077.4060668945</v>
      </c>
      <c r="T107" s="2">
        <f t="shared" si="37"/>
        <v>2456189.4569091797</v>
      </c>
      <c r="U107" s="2">
        <f t="shared" si="38"/>
        <v>1228.0899999999999</v>
      </c>
      <c r="V107" s="2">
        <f t="shared" si="39"/>
        <v>13965.355224609375</v>
      </c>
      <c r="W107" s="2">
        <f t="shared" si="40"/>
        <v>12737.265224609375</v>
      </c>
      <c r="X107" s="2">
        <f t="shared" si="41"/>
        <v>44340170.685308531</v>
      </c>
      <c r="Y107" s="2">
        <f t="shared" si="42"/>
        <v>244222.41</v>
      </c>
      <c r="Z107" s="2">
        <f t="shared" si="43"/>
        <v>5.22</v>
      </c>
      <c r="AA107" s="2">
        <f t="shared" si="45"/>
        <v>44340170.685308531</v>
      </c>
      <c r="AB107" s="2">
        <f t="shared" si="44"/>
        <v>0</v>
      </c>
    </row>
    <row r="108" spans="1:28">
      <c r="A108" s="2">
        <v>105</v>
      </c>
      <c r="B108" s="2" t="s">
        <v>542</v>
      </c>
      <c r="C108" s="2" t="s">
        <v>932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545</v>
      </c>
      <c r="J108" s="2" t="s">
        <v>546</v>
      </c>
      <c r="K108" s="2">
        <f t="shared" si="33"/>
        <v>44340170.685308531</v>
      </c>
      <c r="L108" s="2" t="s">
        <v>251</v>
      </c>
      <c r="M108" s="2" t="s">
        <v>89</v>
      </c>
      <c r="N108" s="2" t="s">
        <v>167</v>
      </c>
      <c r="O108" s="2">
        <v>675</v>
      </c>
      <c r="P108" s="2">
        <v>900.98468017578125</v>
      </c>
      <c r="Q108" s="2">
        <v>942.880615234375</v>
      </c>
      <c r="R108" s="2">
        <f t="shared" si="35"/>
        <v>608164.65911865234</v>
      </c>
      <c r="S108" s="2">
        <f t="shared" si="36"/>
        <v>636444.41528320312</v>
      </c>
      <c r="T108" s="2">
        <f t="shared" si="37"/>
        <v>1244609.0744018555</v>
      </c>
      <c r="U108" s="2">
        <f t="shared" si="38"/>
        <v>622.29999999999995</v>
      </c>
      <c r="V108" s="2">
        <f t="shared" si="39"/>
        <v>28279.756164550781</v>
      </c>
      <c r="W108" s="2">
        <f t="shared" si="40"/>
        <v>27657.456164550782</v>
      </c>
      <c r="X108" s="2">
        <f t="shared" si="41"/>
        <v>44367828.141473085</v>
      </c>
      <c r="Y108" s="2">
        <f t="shared" si="42"/>
        <v>121632.93</v>
      </c>
      <c r="Z108" s="2">
        <f t="shared" si="43"/>
        <v>22.74</v>
      </c>
      <c r="AA108" s="2">
        <f t="shared" si="45"/>
        <v>44367828.141473085</v>
      </c>
      <c r="AB108" s="2">
        <f t="shared" si="44"/>
        <v>0</v>
      </c>
    </row>
    <row r="109" spans="1:28">
      <c r="A109" s="2">
        <v>106</v>
      </c>
      <c r="B109" s="2" t="s">
        <v>547</v>
      </c>
      <c r="C109" s="2" t="s">
        <v>932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2" t="s">
        <v>548</v>
      </c>
      <c r="I109" s="2" t="s">
        <v>1089</v>
      </c>
      <c r="J109" s="2" t="s">
        <v>866</v>
      </c>
      <c r="K109" s="2">
        <f t="shared" si="33"/>
        <v>44367828.141473085</v>
      </c>
      <c r="L109" s="2" t="s">
        <v>959</v>
      </c>
      <c r="M109" s="2" t="s">
        <v>974</v>
      </c>
      <c r="N109" s="2" t="s">
        <v>947</v>
      </c>
      <c r="O109" s="2">
        <v>2273</v>
      </c>
      <c r="P109" s="2">
        <v>564.507568359375</v>
      </c>
      <c r="Q109" s="2">
        <v>604.37451171875</v>
      </c>
      <c r="R109" s="2">
        <f t="shared" si="35"/>
        <v>1283125.7028808594</v>
      </c>
      <c r="S109" s="2">
        <f t="shared" si="36"/>
        <v>1373743.2651367187</v>
      </c>
      <c r="T109" s="2">
        <f t="shared" si="37"/>
        <v>2656868.9680175781</v>
      </c>
      <c r="U109" s="2">
        <f t="shared" si="38"/>
        <v>1328.43</v>
      </c>
      <c r="V109" s="2">
        <f t="shared" si="39"/>
        <v>90617.562255859375</v>
      </c>
      <c r="W109" s="2">
        <f t="shared" si="40"/>
        <v>89289.132255859382</v>
      </c>
      <c r="X109" s="2">
        <f t="shared" si="41"/>
        <v>44457117.273728944</v>
      </c>
      <c r="Y109" s="2">
        <f t="shared" si="42"/>
        <v>256625.14</v>
      </c>
      <c r="Z109" s="2">
        <f t="shared" si="43"/>
        <v>34.79</v>
      </c>
      <c r="AA109" s="2">
        <f t="shared" si="45"/>
        <v>44457117.273728944</v>
      </c>
      <c r="AB109" s="2">
        <f t="shared" si="44"/>
        <v>0</v>
      </c>
    </row>
    <row r="110" spans="1:28">
      <c r="A110" s="2">
        <v>107</v>
      </c>
      <c r="B110" s="2" t="s">
        <v>551</v>
      </c>
      <c r="C110" s="2" t="s">
        <v>932</v>
      </c>
      <c r="D110" s="4" t="s">
        <v>61</v>
      </c>
      <c r="E110" s="5" t="s">
        <v>134</v>
      </c>
      <c r="F110" s="2" t="s">
        <v>135</v>
      </c>
      <c r="G110" s="2" t="s">
        <v>77</v>
      </c>
      <c r="H110" s="2" t="s">
        <v>145</v>
      </c>
      <c r="I110" s="2" t="s">
        <v>1090</v>
      </c>
      <c r="J110" s="2" t="s">
        <v>1091</v>
      </c>
      <c r="K110" s="2">
        <f t="shared" si="33"/>
        <v>44457117.273728944</v>
      </c>
      <c r="L110" s="2" t="s">
        <v>947</v>
      </c>
      <c r="M110" s="2" t="s">
        <v>974</v>
      </c>
      <c r="N110" s="2" t="s">
        <v>980</v>
      </c>
      <c r="O110" s="2">
        <v>1575</v>
      </c>
      <c r="P110" s="2">
        <v>666.30023193359375</v>
      </c>
      <c r="Q110" s="2">
        <v>698.15704345703125</v>
      </c>
      <c r="R110" s="2">
        <f t="shared" si="35"/>
        <v>1049422.8652954102</v>
      </c>
      <c r="S110" s="2">
        <f t="shared" si="36"/>
        <v>1099597.3434448242</v>
      </c>
      <c r="T110" s="2">
        <f t="shared" si="37"/>
        <v>2149020.2087402344</v>
      </c>
      <c r="U110" s="2">
        <f t="shared" si="38"/>
        <v>1074.51</v>
      </c>
      <c r="V110" s="2">
        <f t="shared" si="39"/>
        <v>50174.478149414062</v>
      </c>
      <c r="W110" s="2">
        <f t="shared" si="40"/>
        <v>49099.96814941406</v>
      </c>
      <c r="X110" s="2">
        <f t="shared" si="41"/>
        <v>44506217.241878361</v>
      </c>
      <c r="Y110" s="2">
        <f t="shared" si="42"/>
        <v>209884.57</v>
      </c>
      <c r="Z110" s="2">
        <f t="shared" si="43"/>
        <v>23.39</v>
      </c>
      <c r="AA110" s="2">
        <f t="shared" si="45"/>
        <v>44506217.241878361</v>
      </c>
      <c r="AB110" s="2">
        <f t="shared" si="44"/>
        <v>0</v>
      </c>
    </row>
    <row r="111" spans="1:28">
      <c r="A111" s="2">
        <v>108</v>
      </c>
      <c r="B111" s="2" t="s">
        <v>554</v>
      </c>
      <c r="C111" s="2" t="s">
        <v>932</v>
      </c>
      <c r="D111" s="3" t="s">
        <v>37</v>
      </c>
      <c r="E111" s="5" t="s">
        <v>134</v>
      </c>
      <c r="F111" s="2" t="s">
        <v>135</v>
      </c>
      <c r="G111" s="2" t="s">
        <v>54</v>
      </c>
      <c r="H111" s="2" t="s">
        <v>555</v>
      </c>
      <c r="I111" s="2" t="s">
        <v>1092</v>
      </c>
      <c r="J111" s="2" t="s">
        <v>1093</v>
      </c>
      <c r="K111" s="2">
        <f t="shared" si="33"/>
        <v>44506217.241878361</v>
      </c>
      <c r="L111" s="2" t="s">
        <v>288</v>
      </c>
      <c r="M111" s="2" t="s">
        <v>959</v>
      </c>
      <c r="N111" s="2" t="s">
        <v>994</v>
      </c>
      <c r="O111" s="2">
        <v>276</v>
      </c>
      <c r="P111" s="2">
        <v>5512.2998046875</v>
      </c>
      <c r="Q111" s="2">
        <v>5414.0498046875</v>
      </c>
      <c r="R111" s="2">
        <f t="shared" si="35"/>
        <v>1521394.74609375</v>
      </c>
      <c r="S111" s="2">
        <f t="shared" si="36"/>
        <v>1494277.74609375</v>
      </c>
      <c r="T111" s="2">
        <f t="shared" si="37"/>
        <v>3015672.4921875</v>
      </c>
      <c r="U111" s="2">
        <f t="shared" si="38"/>
        <v>1507.84</v>
      </c>
      <c r="V111" s="2">
        <f t="shared" si="39"/>
        <v>-27117</v>
      </c>
      <c r="W111" s="2">
        <f t="shared" si="40"/>
        <v>-28624.84</v>
      </c>
      <c r="X111" s="2">
        <f t="shared" si="41"/>
        <v>44477592.401878357</v>
      </c>
      <c r="Y111" s="2">
        <f t="shared" si="42"/>
        <v>304278.95</v>
      </c>
      <c r="Z111" s="2">
        <f t="shared" si="43"/>
        <v>-9.41</v>
      </c>
      <c r="AA111" s="2">
        <f t="shared" si="45"/>
        <v>44506217.241878361</v>
      </c>
      <c r="AB111" s="2">
        <f t="shared" si="44"/>
        <v>-28624.840000003576</v>
      </c>
    </row>
    <row r="112" spans="1:28">
      <c r="A112" s="2">
        <v>109</v>
      </c>
      <c r="B112" s="2" t="s">
        <v>558</v>
      </c>
      <c r="C112" s="2" t="s">
        <v>932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2" t="s">
        <v>559</v>
      </c>
      <c r="I112" s="2" t="s">
        <v>1094</v>
      </c>
      <c r="J112" s="2" t="s">
        <v>690</v>
      </c>
      <c r="K112" s="2">
        <f t="shared" si="33"/>
        <v>44477592.401878357</v>
      </c>
      <c r="L112" s="2" t="s">
        <v>1095</v>
      </c>
      <c r="M112" s="2" t="s">
        <v>966</v>
      </c>
      <c r="N112" s="2" t="s">
        <v>1052</v>
      </c>
      <c r="O112" s="2">
        <v>208</v>
      </c>
      <c r="P112" s="2">
        <v>3993.9072265625</v>
      </c>
      <c r="Q112" s="2">
        <v>4276.306640625</v>
      </c>
      <c r="R112" s="2">
        <f t="shared" si="35"/>
        <v>830732.703125</v>
      </c>
      <c r="S112" s="2">
        <f t="shared" si="36"/>
        <v>889471.78125</v>
      </c>
      <c r="T112" s="2">
        <f t="shared" si="37"/>
        <v>1720204.484375</v>
      </c>
      <c r="U112" s="2">
        <f t="shared" si="38"/>
        <v>860.1</v>
      </c>
      <c r="V112" s="2">
        <f t="shared" si="39"/>
        <v>58739.078125</v>
      </c>
      <c r="W112" s="2">
        <f t="shared" si="40"/>
        <v>57878.978125000001</v>
      </c>
      <c r="X112" s="2">
        <f t="shared" si="41"/>
        <v>44535471.380003355</v>
      </c>
      <c r="Y112" s="2">
        <f t="shared" si="42"/>
        <v>166146.54</v>
      </c>
      <c r="Z112" s="2">
        <f t="shared" si="43"/>
        <v>34.840000000000003</v>
      </c>
      <c r="AA112" s="2">
        <f t="shared" si="45"/>
        <v>44535471.380003355</v>
      </c>
      <c r="AB112" s="2">
        <f t="shared" si="44"/>
        <v>0</v>
      </c>
    </row>
    <row r="113" spans="1:28">
      <c r="A113" s="2">
        <v>110</v>
      </c>
      <c r="B113" s="2" t="s">
        <v>562</v>
      </c>
      <c r="C113" s="2" t="s">
        <v>932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2" t="s">
        <v>563</v>
      </c>
      <c r="I113" s="2" t="s">
        <v>1096</v>
      </c>
      <c r="J113" s="2" t="s">
        <v>1097</v>
      </c>
      <c r="K113" s="2">
        <f t="shared" si="33"/>
        <v>44535471.380003355</v>
      </c>
      <c r="L113" s="2" t="s">
        <v>1052</v>
      </c>
      <c r="M113" s="2" t="s">
        <v>994</v>
      </c>
      <c r="N113" s="2" t="s">
        <v>289</v>
      </c>
      <c r="O113" s="2">
        <v>1063</v>
      </c>
      <c r="P113" s="2">
        <v>1087.348388671875</v>
      </c>
      <c r="Q113" s="2">
        <v>949.6474609375</v>
      </c>
      <c r="R113" s="2">
        <f t="shared" si="35"/>
        <v>1155851.3371582031</v>
      </c>
      <c r="S113" s="2">
        <f t="shared" si="36"/>
        <v>1009475.2509765625</v>
      </c>
      <c r="T113" s="2">
        <f t="shared" si="37"/>
        <v>2165326.5881347656</v>
      </c>
      <c r="U113" s="2">
        <f t="shared" si="38"/>
        <v>1082.6600000000001</v>
      </c>
      <c r="V113" s="2">
        <f t="shared" si="39"/>
        <v>-146376.08618164063</v>
      </c>
      <c r="W113" s="2">
        <f t="shared" si="40"/>
        <v>-147458.74618164063</v>
      </c>
      <c r="X113" s="2">
        <f t="shared" si="41"/>
        <v>44388012.633821718</v>
      </c>
      <c r="Y113" s="2">
        <f t="shared" si="42"/>
        <v>231170.27</v>
      </c>
      <c r="Z113" s="2">
        <f t="shared" si="43"/>
        <v>-63.79</v>
      </c>
      <c r="AA113" s="2">
        <f t="shared" si="45"/>
        <v>44535471.380003355</v>
      </c>
      <c r="AB113" s="2">
        <f t="shared" si="44"/>
        <v>-147458.74618163705</v>
      </c>
    </row>
    <row r="114" spans="1:28">
      <c r="A114" s="2">
        <v>111</v>
      </c>
      <c r="B114" s="2" t="s">
        <v>566</v>
      </c>
      <c r="C114" s="2" t="s">
        <v>932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1098</v>
      </c>
      <c r="J114" s="2" t="s">
        <v>1099</v>
      </c>
      <c r="K114" s="2">
        <f t="shared" si="33"/>
        <v>44388012.633821718</v>
      </c>
      <c r="L114" s="2" t="s">
        <v>181</v>
      </c>
      <c r="M114" s="2" t="s">
        <v>217</v>
      </c>
      <c r="N114" s="2" t="s">
        <v>768</v>
      </c>
      <c r="O114" s="2">
        <v>400</v>
      </c>
      <c r="P114" s="2">
        <v>378.22393798828131</v>
      </c>
      <c r="Q114" s="2">
        <v>357.5078125</v>
      </c>
      <c r="R114" s="2">
        <f t="shared" si="35"/>
        <v>151289.57519531253</v>
      </c>
      <c r="S114" s="2">
        <f t="shared" si="36"/>
        <v>143003.125</v>
      </c>
      <c r="T114" s="2">
        <f t="shared" si="37"/>
        <v>294292.7001953125</v>
      </c>
      <c r="U114" s="2">
        <f t="shared" si="38"/>
        <v>147.15</v>
      </c>
      <c r="V114" s="2">
        <f t="shared" si="39"/>
        <v>-8286.4501953125291</v>
      </c>
      <c r="W114" s="2">
        <f t="shared" si="40"/>
        <v>-8433.6001953125287</v>
      </c>
      <c r="X114" s="2">
        <f t="shared" si="41"/>
        <v>44379579.033626407</v>
      </c>
      <c r="Y114" s="2">
        <f t="shared" si="42"/>
        <v>30257.919999999998</v>
      </c>
      <c r="Z114" s="2">
        <f t="shared" si="43"/>
        <v>-27.87</v>
      </c>
      <c r="AA114" s="2">
        <f t="shared" si="45"/>
        <v>44535471.380003355</v>
      </c>
      <c r="AB114" s="2">
        <f t="shared" si="44"/>
        <v>-155892.34637694806</v>
      </c>
    </row>
    <row r="115" spans="1:28">
      <c r="A115" s="2">
        <v>112</v>
      </c>
      <c r="B115" s="2" t="s">
        <v>570</v>
      </c>
      <c r="C115" s="2" t="s">
        <v>932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2" t="s">
        <v>571</v>
      </c>
      <c r="I115" s="2" t="s">
        <v>1100</v>
      </c>
      <c r="J115" s="2" t="s">
        <v>1101</v>
      </c>
      <c r="K115" s="2">
        <f t="shared" si="33"/>
        <v>44379579.033626407</v>
      </c>
      <c r="L115" s="2" t="s">
        <v>1052</v>
      </c>
      <c r="M115" s="2" t="s">
        <v>288</v>
      </c>
      <c r="N115" s="2" t="s">
        <v>1011</v>
      </c>
      <c r="O115" s="2">
        <v>1695</v>
      </c>
      <c r="P115" s="2">
        <v>1745.760375976562</v>
      </c>
      <c r="Q115" s="2">
        <v>1398.283325195312</v>
      </c>
      <c r="R115" s="2">
        <f t="shared" si="35"/>
        <v>2959063.8372802725</v>
      </c>
      <c r="S115" s="2">
        <f t="shared" si="36"/>
        <v>2370090.2362060538</v>
      </c>
      <c r="T115" s="2">
        <f t="shared" si="37"/>
        <v>5329154.0734863263</v>
      </c>
      <c r="U115" s="2">
        <f t="shared" si="38"/>
        <v>2664.58</v>
      </c>
      <c r="V115" s="2">
        <f t="shared" si="39"/>
        <v>-588973.60107421875</v>
      </c>
      <c r="W115" s="2">
        <f t="shared" si="40"/>
        <v>-591638.18107421871</v>
      </c>
      <c r="X115" s="2">
        <f t="shared" si="41"/>
        <v>43787940.85255219</v>
      </c>
      <c r="Y115" s="2">
        <f t="shared" si="42"/>
        <v>591812.77</v>
      </c>
      <c r="Z115" s="2">
        <f t="shared" si="43"/>
        <v>-99.97</v>
      </c>
      <c r="AA115" s="2">
        <f t="shared" si="45"/>
        <v>44535471.380003355</v>
      </c>
      <c r="AB115" s="2">
        <f t="shared" si="44"/>
        <v>-747530.52745116502</v>
      </c>
    </row>
    <row r="116" spans="1:28">
      <c r="A116" s="2">
        <v>113</v>
      </c>
      <c r="B116" s="2" t="s">
        <v>574</v>
      </c>
      <c r="C116" s="2" t="s">
        <v>932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2" t="s">
        <v>575</v>
      </c>
      <c r="I116" s="2" t="s">
        <v>803</v>
      </c>
      <c r="J116" s="2" t="s">
        <v>1102</v>
      </c>
      <c r="K116" s="2">
        <f t="shared" si="33"/>
        <v>43787940.85255219</v>
      </c>
      <c r="L116" s="2" t="s">
        <v>970</v>
      </c>
      <c r="M116" s="2" t="s">
        <v>957</v>
      </c>
      <c r="N116" s="2" t="s">
        <v>288</v>
      </c>
      <c r="O116" s="2">
        <v>561</v>
      </c>
      <c r="P116" s="2">
        <v>463.93948364257812</v>
      </c>
      <c r="Q116" s="2">
        <v>473.25210571289062</v>
      </c>
      <c r="R116" s="2">
        <f t="shared" si="35"/>
        <v>260270.05032348633</v>
      </c>
      <c r="S116" s="2">
        <f t="shared" si="36"/>
        <v>265494.43130493164</v>
      </c>
      <c r="T116" s="2">
        <f t="shared" si="37"/>
        <v>525764.48162841797</v>
      </c>
      <c r="U116" s="2">
        <f t="shared" si="38"/>
        <v>262.88</v>
      </c>
      <c r="V116" s="2">
        <f t="shared" si="39"/>
        <v>5224.3809814453125</v>
      </c>
      <c r="W116" s="2">
        <f t="shared" si="40"/>
        <v>4961.5009814453124</v>
      </c>
      <c r="X116" s="2">
        <f t="shared" si="41"/>
        <v>43792902.353533633</v>
      </c>
      <c r="Y116" s="2">
        <f t="shared" si="42"/>
        <v>52054.01</v>
      </c>
      <c r="Z116" s="2">
        <f t="shared" si="43"/>
        <v>9.5299999999999994</v>
      </c>
      <c r="AA116" s="2">
        <f t="shared" si="45"/>
        <v>44535471.380003355</v>
      </c>
      <c r="AB116" s="2">
        <f t="shared" si="44"/>
        <v>-742569.02646972239</v>
      </c>
    </row>
    <row r="117" spans="1:28">
      <c r="A117" s="2">
        <v>114</v>
      </c>
      <c r="B117" s="2" t="s">
        <v>578</v>
      </c>
      <c r="C117" s="2" t="s">
        <v>932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2" t="s">
        <v>65</v>
      </c>
      <c r="I117" s="2" t="s">
        <v>232</v>
      </c>
      <c r="J117" s="2" t="s">
        <v>1103</v>
      </c>
      <c r="K117" s="2">
        <f t="shared" si="33"/>
        <v>43792902.353533633</v>
      </c>
      <c r="L117" s="2" t="s">
        <v>288</v>
      </c>
      <c r="M117" s="2" t="s">
        <v>983</v>
      </c>
      <c r="N117" s="2" t="s">
        <v>289</v>
      </c>
      <c r="O117" s="2">
        <v>1848</v>
      </c>
      <c r="P117" s="2">
        <v>589.86236572265625</v>
      </c>
      <c r="Q117" s="2">
        <v>623.077392578125</v>
      </c>
      <c r="R117" s="2">
        <f t="shared" si="35"/>
        <v>1090065.6518554687</v>
      </c>
      <c r="S117" s="2">
        <f t="shared" si="36"/>
        <v>1151447.021484375</v>
      </c>
      <c r="T117" s="2">
        <f t="shared" si="37"/>
        <v>2241512.6733398437</v>
      </c>
      <c r="U117" s="2">
        <f t="shared" si="38"/>
        <v>1120.76</v>
      </c>
      <c r="V117" s="2">
        <f t="shared" si="39"/>
        <v>61381.36962890625</v>
      </c>
      <c r="W117" s="2">
        <f t="shared" si="40"/>
        <v>60260.609628906248</v>
      </c>
      <c r="X117" s="2">
        <f t="shared" si="41"/>
        <v>43853162.963162541</v>
      </c>
      <c r="Y117" s="2">
        <f t="shared" si="42"/>
        <v>218013.13</v>
      </c>
      <c r="Z117" s="2">
        <f t="shared" si="43"/>
        <v>27.64</v>
      </c>
      <c r="AA117" s="2">
        <f t="shared" si="45"/>
        <v>44535471.380003355</v>
      </c>
      <c r="AB117" s="2">
        <f t="shared" si="44"/>
        <v>-682308.41684081405</v>
      </c>
    </row>
    <row r="118" spans="1:28">
      <c r="A118" s="2">
        <v>115</v>
      </c>
      <c r="B118" s="2" t="s">
        <v>581</v>
      </c>
      <c r="C118" s="2" t="s">
        <v>932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482</v>
      </c>
      <c r="J118" s="2" t="s">
        <v>657</v>
      </c>
      <c r="K118" s="2">
        <f t="shared" si="33"/>
        <v>43853162.963162541</v>
      </c>
      <c r="L118" s="2" t="s">
        <v>1104</v>
      </c>
      <c r="M118" s="2" t="s">
        <v>1105</v>
      </c>
      <c r="N118" s="2" t="s">
        <v>1106</v>
      </c>
      <c r="O118" s="2">
        <v>2364</v>
      </c>
      <c r="P118" s="2">
        <v>390.42303466796881</v>
      </c>
      <c r="Q118" s="2">
        <v>405.49472045898437</v>
      </c>
      <c r="R118" s="2">
        <f t="shared" si="35"/>
        <v>922960.05395507824</v>
      </c>
      <c r="S118" s="2">
        <f t="shared" si="36"/>
        <v>958589.51916503906</v>
      </c>
      <c r="T118" s="2">
        <f t="shared" si="37"/>
        <v>1881549.5731201172</v>
      </c>
      <c r="U118" s="2">
        <f t="shared" si="38"/>
        <v>940.77</v>
      </c>
      <c r="V118" s="2">
        <f t="shared" si="39"/>
        <v>35629.465209960821</v>
      </c>
      <c r="W118" s="2">
        <f t="shared" si="40"/>
        <v>34688.695209960824</v>
      </c>
      <c r="X118" s="2">
        <f t="shared" si="41"/>
        <v>43887851.658372499</v>
      </c>
      <c r="Y118" s="2">
        <f t="shared" si="42"/>
        <v>184592.01</v>
      </c>
      <c r="Z118" s="2">
        <f t="shared" si="43"/>
        <v>18.79</v>
      </c>
      <c r="AA118" s="2">
        <f t="shared" si="45"/>
        <v>44535471.380003355</v>
      </c>
      <c r="AB118" s="2">
        <f t="shared" si="44"/>
        <v>-647619.72163085639</v>
      </c>
    </row>
    <row r="119" spans="1:28">
      <c r="A119" s="2">
        <v>116</v>
      </c>
      <c r="B119" s="2" t="s">
        <v>586</v>
      </c>
      <c r="C119" s="2" t="s">
        <v>932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2" t="s">
        <v>587</v>
      </c>
      <c r="I119" s="2" t="s">
        <v>1107</v>
      </c>
      <c r="J119" s="2" t="s">
        <v>1108</v>
      </c>
      <c r="K119" s="2">
        <f t="shared" si="33"/>
        <v>43887851.658372499</v>
      </c>
      <c r="L119" s="2" t="s">
        <v>153</v>
      </c>
      <c r="M119" s="2" t="s">
        <v>166</v>
      </c>
      <c r="N119" s="2" t="s">
        <v>279</v>
      </c>
      <c r="O119" s="2">
        <v>776</v>
      </c>
      <c r="P119" s="2">
        <v>1099.87451171875</v>
      </c>
      <c r="Q119" s="2">
        <v>1204.77880859375</v>
      </c>
      <c r="R119" s="2">
        <f t="shared" si="35"/>
        <v>853502.62109375</v>
      </c>
      <c r="S119" s="2">
        <f t="shared" si="36"/>
        <v>934908.35546875</v>
      </c>
      <c r="T119" s="2">
        <f t="shared" si="37"/>
        <v>1788410.9765625</v>
      </c>
      <c r="U119" s="2">
        <f t="shared" si="38"/>
        <v>894.21</v>
      </c>
      <c r="V119" s="2">
        <f t="shared" si="39"/>
        <v>81405.734375</v>
      </c>
      <c r="W119" s="2">
        <f t="shared" si="40"/>
        <v>80511.524374999994</v>
      </c>
      <c r="X119" s="2">
        <f t="shared" si="41"/>
        <v>43968363.182747498</v>
      </c>
      <c r="Y119" s="2">
        <f t="shared" si="42"/>
        <v>170700.52</v>
      </c>
      <c r="Z119" s="2">
        <f t="shared" si="43"/>
        <v>47.17</v>
      </c>
      <c r="AA119" s="2">
        <f t="shared" si="45"/>
        <v>44535471.380003355</v>
      </c>
      <c r="AB119" s="2">
        <f t="shared" si="44"/>
        <v>-567108.19725585729</v>
      </c>
    </row>
    <row r="120" spans="1:28">
      <c r="A120" s="2">
        <v>117</v>
      </c>
      <c r="B120" s="2" t="s">
        <v>592</v>
      </c>
      <c r="C120" s="2" t="s">
        <v>932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595</v>
      </c>
      <c r="J120" s="2" t="s">
        <v>596</v>
      </c>
      <c r="K120" s="2">
        <f t="shared" si="33"/>
        <v>43968363.182747498</v>
      </c>
      <c r="L120" s="2" t="s">
        <v>73</v>
      </c>
      <c r="M120" s="2" t="s">
        <v>74</v>
      </c>
      <c r="N120" s="2" t="s">
        <v>73</v>
      </c>
      <c r="O120" s="2">
        <v>300</v>
      </c>
      <c r="P120" s="2">
        <v>3500.248291015625</v>
      </c>
      <c r="Q120" s="2">
        <v>3227.285400390625</v>
      </c>
      <c r="R120" s="2">
        <f t="shared" si="35"/>
        <v>1050074.4873046875</v>
      </c>
      <c r="S120" s="2">
        <f t="shared" si="36"/>
        <v>968185.6201171875</v>
      </c>
      <c r="T120" s="2">
        <f t="shared" si="37"/>
        <v>2018260.107421875</v>
      </c>
      <c r="U120" s="2">
        <f t="shared" si="38"/>
        <v>1009.13</v>
      </c>
      <c r="V120" s="2">
        <f t="shared" si="39"/>
        <v>-81888.8671875</v>
      </c>
      <c r="W120" s="2">
        <f t="shared" si="40"/>
        <v>-82897.997187500005</v>
      </c>
      <c r="X120" s="2">
        <f t="shared" si="41"/>
        <v>43885465.185559995</v>
      </c>
      <c r="Y120" s="2">
        <f t="shared" si="42"/>
        <v>210014.9</v>
      </c>
      <c r="Z120" s="2">
        <f t="shared" si="43"/>
        <v>-39.47</v>
      </c>
      <c r="AA120" s="2">
        <f t="shared" si="45"/>
        <v>44535471.380003355</v>
      </c>
      <c r="AB120" s="2">
        <f t="shared" si="44"/>
        <v>-650006.19444335997</v>
      </c>
    </row>
    <row r="121" spans="1:28">
      <c r="A121" s="2">
        <v>118</v>
      </c>
      <c r="B121" s="2" t="s">
        <v>597</v>
      </c>
      <c r="C121" s="2" t="s">
        <v>932</v>
      </c>
      <c r="D121" s="4" t="s">
        <v>61</v>
      </c>
      <c r="E121" s="5" t="s">
        <v>134</v>
      </c>
      <c r="F121" s="2" t="s">
        <v>135</v>
      </c>
      <c r="G121" s="2" t="s">
        <v>63</v>
      </c>
      <c r="H121" s="2" t="s">
        <v>598</v>
      </c>
      <c r="I121" s="2" t="s">
        <v>1091</v>
      </c>
      <c r="J121" s="2" t="s">
        <v>536</v>
      </c>
      <c r="K121" s="2">
        <f t="shared" si="33"/>
        <v>43885465.185559995</v>
      </c>
      <c r="L121" s="2" t="s">
        <v>1014</v>
      </c>
      <c r="M121" s="2" t="s">
        <v>985</v>
      </c>
      <c r="N121" s="2" t="s">
        <v>970</v>
      </c>
      <c r="O121" s="2">
        <v>3265</v>
      </c>
      <c r="P121" s="2">
        <v>153.74693298339841</v>
      </c>
      <c r="Q121" s="2">
        <v>162.115234375</v>
      </c>
      <c r="R121" s="2">
        <f t="shared" si="35"/>
        <v>501983.73619079578</v>
      </c>
      <c r="S121" s="2">
        <f t="shared" si="36"/>
        <v>529306.240234375</v>
      </c>
      <c r="T121" s="2">
        <f t="shared" si="37"/>
        <v>1031289.9764251708</v>
      </c>
      <c r="U121" s="2">
        <f t="shared" si="38"/>
        <v>515.64</v>
      </c>
      <c r="V121" s="2">
        <f t="shared" si="39"/>
        <v>27322.504043579218</v>
      </c>
      <c r="W121" s="2">
        <f t="shared" si="40"/>
        <v>26806.864043579219</v>
      </c>
      <c r="X121" s="2">
        <f t="shared" si="41"/>
        <v>43912272.049603574</v>
      </c>
      <c r="Y121" s="2">
        <f t="shared" si="42"/>
        <v>100396.75</v>
      </c>
      <c r="Z121" s="2">
        <f t="shared" si="43"/>
        <v>26.7</v>
      </c>
      <c r="AA121" s="2">
        <f t="shared" si="45"/>
        <v>44535471.380003355</v>
      </c>
      <c r="AB121" s="2">
        <f t="shared" si="44"/>
        <v>-623199.33039978147</v>
      </c>
    </row>
    <row r="122" spans="1:28">
      <c r="A122" s="2">
        <v>119</v>
      </c>
      <c r="B122" s="2" t="s">
        <v>601</v>
      </c>
      <c r="C122" s="2" t="s">
        <v>932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2" t="s">
        <v>602</v>
      </c>
      <c r="I122" s="2" t="s">
        <v>1109</v>
      </c>
      <c r="J122" s="2" t="s">
        <v>1110</v>
      </c>
      <c r="K122" s="2">
        <f t="shared" si="33"/>
        <v>43912272.049603574</v>
      </c>
      <c r="L122" s="2" t="s">
        <v>1052</v>
      </c>
      <c r="M122" s="2" t="s">
        <v>1011</v>
      </c>
      <c r="N122" s="2" t="s">
        <v>1014</v>
      </c>
      <c r="O122" s="2">
        <v>225</v>
      </c>
      <c r="P122" s="2">
        <v>5761.998046875</v>
      </c>
      <c r="Q122" s="2">
        <v>6173.9267578125</v>
      </c>
      <c r="R122" s="2">
        <f t="shared" si="35"/>
        <v>1296449.560546875</v>
      </c>
      <c r="S122" s="2">
        <f t="shared" si="36"/>
        <v>1389133.5205078125</v>
      </c>
      <c r="T122" s="2">
        <f t="shared" si="37"/>
        <v>2685583.0810546875</v>
      </c>
      <c r="U122" s="2">
        <f t="shared" si="38"/>
        <v>1342.79</v>
      </c>
      <c r="V122" s="2">
        <f t="shared" si="39"/>
        <v>92683.9599609375</v>
      </c>
      <c r="W122" s="2">
        <f t="shared" si="40"/>
        <v>91341.169960937506</v>
      </c>
      <c r="X122" s="2">
        <f t="shared" si="41"/>
        <v>44003613.219564512</v>
      </c>
      <c r="Y122" s="2">
        <f t="shared" si="42"/>
        <v>259289.91</v>
      </c>
      <c r="Z122" s="2">
        <f t="shared" si="43"/>
        <v>35.229999999999997</v>
      </c>
      <c r="AA122" s="2">
        <f t="shared" si="45"/>
        <v>44535471.380003355</v>
      </c>
      <c r="AB122" s="2">
        <f t="shared" si="44"/>
        <v>-531858.16043884307</v>
      </c>
    </row>
    <row r="123" spans="1:28">
      <c r="A123" s="2">
        <v>120</v>
      </c>
      <c r="B123" s="2" t="s">
        <v>605</v>
      </c>
      <c r="C123" s="2" t="s">
        <v>932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2" t="s">
        <v>606</v>
      </c>
      <c r="I123" s="2" t="s">
        <v>1111</v>
      </c>
      <c r="J123" s="2" t="s">
        <v>1112</v>
      </c>
      <c r="K123" s="2">
        <f t="shared" si="33"/>
        <v>44003613.219564512</v>
      </c>
      <c r="L123" s="2" t="s">
        <v>289</v>
      </c>
      <c r="M123" s="2" t="s">
        <v>948</v>
      </c>
      <c r="N123" s="2" t="s">
        <v>946</v>
      </c>
      <c r="O123" s="2">
        <v>413</v>
      </c>
      <c r="P123" s="2">
        <v>2175.300048828125</v>
      </c>
      <c r="Q123" s="2">
        <v>2076.534912109375</v>
      </c>
      <c r="R123" s="2">
        <f t="shared" si="35"/>
        <v>898398.92016601562</v>
      </c>
      <c r="S123" s="2">
        <f t="shared" si="36"/>
        <v>857608.91870117188</v>
      </c>
      <c r="T123" s="2">
        <f t="shared" si="37"/>
        <v>1756007.8388671875</v>
      </c>
      <c r="U123" s="2">
        <f t="shared" si="38"/>
        <v>878</v>
      </c>
      <c r="V123" s="2">
        <f t="shared" si="39"/>
        <v>-40790.00146484375</v>
      </c>
      <c r="W123" s="2">
        <f t="shared" si="40"/>
        <v>-41668.00146484375</v>
      </c>
      <c r="X123" s="2">
        <f t="shared" si="41"/>
        <v>43961945.218099669</v>
      </c>
      <c r="Y123" s="2">
        <f t="shared" si="42"/>
        <v>179679.78</v>
      </c>
      <c r="Z123" s="2">
        <f t="shared" si="43"/>
        <v>-23.19</v>
      </c>
      <c r="AA123" s="2">
        <f t="shared" si="45"/>
        <v>44535471.380003355</v>
      </c>
      <c r="AB123" s="2">
        <f t="shared" si="44"/>
        <v>-573526.16190368682</v>
      </c>
    </row>
    <row r="124" spans="1:28">
      <c r="A124" s="2">
        <v>121</v>
      </c>
      <c r="B124" s="2" t="s">
        <v>609</v>
      </c>
      <c r="C124" s="2" t="s">
        <v>932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611</v>
      </c>
      <c r="J124" s="2" t="s">
        <v>612</v>
      </c>
      <c r="K124" s="2">
        <f t="shared" si="33"/>
        <v>43961945.218099669</v>
      </c>
      <c r="L124" s="2" t="s">
        <v>74</v>
      </c>
      <c r="M124" s="2" t="s">
        <v>264</v>
      </c>
      <c r="N124" s="2" t="s">
        <v>174</v>
      </c>
      <c r="O124" s="2">
        <v>350</v>
      </c>
      <c r="P124" s="2">
        <v>3115.29345703125</v>
      </c>
      <c r="Q124" s="2">
        <v>3079.902587890625</v>
      </c>
      <c r="R124" s="2">
        <f t="shared" si="35"/>
        <v>1090352.7099609375</v>
      </c>
      <c r="S124" s="2">
        <f t="shared" si="36"/>
        <v>1077965.9057617188</v>
      </c>
      <c r="T124" s="2">
        <f t="shared" si="37"/>
        <v>2168318.6157226562</v>
      </c>
      <c r="U124" s="2">
        <f t="shared" si="38"/>
        <v>1084.1600000000001</v>
      </c>
      <c r="V124" s="2">
        <f t="shared" si="39"/>
        <v>-12386.80419921875</v>
      </c>
      <c r="W124" s="2">
        <f t="shared" si="40"/>
        <v>-13470.96419921875</v>
      </c>
      <c r="X124" s="2">
        <f t="shared" si="41"/>
        <v>43948474.253900453</v>
      </c>
      <c r="Y124" s="2">
        <f t="shared" si="42"/>
        <v>218070.54</v>
      </c>
      <c r="Z124" s="2">
        <f t="shared" si="43"/>
        <v>-6.18</v>
      </c>
      <c r="AA124" s="2">
        <f t="shared" si="45"/>
        <v>44535471.380003355</v>
      </c>
      <c r="AB124" s="2">
        <f t="shared" si="44"/>
        <v>-586997.126102902</v>
      </c>
    </row>
    <row r="125" spans="1:28">
      <c r="A125" s="2">
        <v>122</v>
      </c>
      <c r="B125" s="2" t="s">
        <v>613</v>
      </c>
      <c r="C125" s="2" t="s">
        <v>932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2" t="s">
        <v>614</v>
      </c>
      <c r="I125" s="2" t="s">
        <v>1113</v>
      </c>
      <c r="J125" s="2" t="s">
        <v>1114</v>
      </c>
      <c r="K125" s="2">
        <f t="shared" si="33"/>
        <v>43948474.253900453</v>
      </c>
      <c r="L125" s="2" t="s">
        <v>1027</v>
      </c>
      <c r="M125" s="2" t="s">
        <v>985</v>
      </c>
      <c r="N125" s="2" t="s">
        <v>999</v>
      </c>
      <c r="O125" s="2">
        <v>12616</v>
      </c>
      <c r="P125" s="2">
        <v>51.454067230224609</v>
      </c>
      <c r="Q125" s="2">
        <v>49.128936767578118</v>
      </c>
      <c r="R125" s="2">
        <f t="shared" si="35"/>
        <v>649144.51217651367</v>
      </c>
      <c r="S125" s="2">
        <f t="shared" si="36"/>
        <v>619810.66625976551</v>
      </c>
      <c r="T125" s="2">
        <f t="shared" si="37"/>
        <v>1268955.1784362793</v>
      </c>
      <c r="U125" s="2">
        <f t="shared" si="38"/>
        <v>634.48</v>
      </c>
      <c r="V125" s="2">
        <f t="shared" si="39"/>
        <v>-29333.845916748163</v>
      </c>
      <c r="W125" s="2">
        <f t="shared" si="40"/>
        <v>-29968.325916748163</v>
      </c>
      <c r="X125" s="2">
        <f t="shared" si="41"/>
        <v>43918505.927983709</v>
      </c>
      <c r="Y125" s="2">
        <f t="shared" si="42"/>
        <v>129828.9</v>
      </c>
      <c r="Z125" s="2">
        <f t="shared" si="43"/>
        <v>-23.08</v>
      </c>
      <c r="AA125" s="2">
        <f t="shared" si="45"/>
        <v>44535471.380003355</v>
      </c>
      <c r="AB125" s="2">
        <f t="shared" si="44"/>
        <v>-616965.45201964676</v>
      </c>
    </row>
    <row r="126" spans="1:28">
      <c r="A126" s="2">
        <v>123</v>
      </c>
      <c r="B126" s="2" t="s">
        <v>617</v>
      </c>
      <c r="C126" s="2" t="s">
        <v>932</v>
      </c>
      <c r="D126" s="3" t="s">
        <v>37</v>
      </c>
      <c r="E126" s="5" t="s">
        <v>134</v>
      </c>
      <c r="F126" s="2" t="s">
        <v>135</v>
      </c>
      <c r="G126" s="2" t="s">
        <v>97</v>
      </c>
      <c r="H126" s="2" t="s">
        <v>618</v>
      </c>
      <c r="I126" s="2" t="s">
        <v>618</v>
      </c>
      <c r="J126" s="2" t="s">
        <v>42</v>
      </c>
      <c r="K126" s="2">
        <f t="shared" si="33"/>
        <v>43918505.927983709</v>
      </c>
      <c r="L126" s="2" t="s">
        <v>959</v>
      </c>
      <c r="M126" s="2" t="s">
        <v>946</v>
      </c>
      <c r="N126" s="2" t="s">
        <v>973</v>
      </c>
      <c r="O126" s="2">
        <v>2714</v>
      </c>
      <c r="P126" s="2">
        <v>149.7916564941406</v>
      </c>
      <c r="Q126" s="2">
        <v>150.64396667480469</v>
      </c>
      <c r="R126" s="2">
        <f t="shared" si="35"/>
        <v>406534.5557250976</v>
      </c>
      <c r="S126" s="2">
        <f t="shared" si="36"/>
        <v>408847.72555541992</v>
      </c>
      <c r="T126" s="2">
        <f t="shared" si="37"/>
        <v>815382.28128051758</v>
      </c>
      <c r="U126" s="2">
        <f t="shared" si="38"/>
        <v>407.69</v>
      </c>
      <c r="V126" s="2">
        <f t="shared" si="39"/>
        <v>2313.1698303223238</v>
      </c>
      <c r="W126" s="2">
        <f t="shared" si="40"/>
        <v>1905.4798303223238</v>
      </c>
      <c r="X126" s="2">
        <f t="shared" si="41"/>
        <v>43920411.407814033</v>
      </c>
      <c r="Y126" s="2">
        <f t="shared" si="42"/>
        <v>81306.91</v>
      </c>
      <c r="Z126" s="2">
        <f t="shared" si="43"/>
        <v>2.34</v>
      </c>
      <c r="AA126" s="2">
        <f t="shared" si="45"/>
        <v>44535471.380003355</v>
      </c>
      <c r="AB126" s="2">
        <f t="shared" si="44"/>
        <v>-615059.97218932211</v>
      </c>
    </row>
    <row r="127" spans="1:28">
      <c r="A127" s="2">
        <v>124</v>
      </c>
      <c r="B127" s="2" t="s">
        <v>621</v>
      </c>
      <c r="C127" s="2" t="s">
        <v>932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2" t="s">
        <v>622</v>
      </c>
      <c r="I127" s="2" t="s">
        <v>1115</v>
      </c>
      <c r="J127" s="2" t="s">
        <v>1116</v>
      </c>
      <c r="K127" s="2">
        <f t="shared" si="33"/>
        <v>43920411.407814033</v>
      </c>
      <c r="L127" s="2" t="s">
        <v>986</v>
      </c>
      <c r="M127" s="2" t="s">
        <v>973</v>
      </c>
      <c r="N127" s="2" t="s">
        <v>979</v>
      </c>
      <c r="O127" s="2">
        <v>388</v>
      </c>
      <c r="P127" s="2">
        <v>2747.766845703125</v>
      </c>
      <c r="Q127" s="2">
        <v>2626.7646484375</v>
      </c>
      <c r="R127" s="2">
        <f t="shared" si="35"/>
        <v>1066133.5361328125</v>
      </c>
      <c r="S127" s="2">
        <f t="shared" si="36"/>
        <v>1019184.68359375</v>
      </c>
      <c r="T127" s="2">
        <f t="shared" si="37"/>
        <v>2085318.2197265625</v>
      </c>
      <c r="U127" s="2">
        <f t="shared" si="38"/>
        <v>1042.6600000000001</v>
      </c>
      <c r="V127" s="2">
        <f t="shared" si="39"/>
        <v>-46948.8525390625</v>
      </c>
      <c r="W127" s="2">
        <f t="shared" si="40"/>
        <v>-47991.512539062503</v>
      </c>
      <c r="X127" s="2">
        <f t="shared" si="41"/>
        <v>43872419.895274974</v>
      </c>
      <c r="Y127" s="2">
        <f t="shared" si="42"/>
        <v>213226.71</v>
      </c>
      <c r="Z127" s="2">
        <f t="shared" si="43"/>
        <v>-22.51</v>
      </c>
      <c r="AA127" s="2">
        <f t="shared" si="45"/>
        <v>44535471.380003355</v>
      </c>
      <c r="AB127" s="2">
        <f t="shared" si="44"/>
        <v>-663051.48472838104</v>
      </c>
    </row>
    <row r="128" spans="1:28">
      <c r="A128" s="2">
        <v>125</v>
      </c>
      <c r="B128" s="2" t="s">
        <v>625</v>
      </c>
      <c r="C128" s="2" t="s">
        <v>932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2" t="s">
        <v>626</v>
      </c>
      <c r="I128" s="2" t="s">
        <v>1117</v>
      </c>
      <c r="J128" s="2" t="s">
        <v>432</v>
      </c>
      <c r="K128" s="2">
        <f t="shared" si="33"/>
        <v>43872419.895274974</v>
      </c>
      <c r="L128" s="2" t="s">
        <v>966</v>
      </c>
      <c r="M128" s="2" t="s">
        <v>959</v>
      </c>
      <c r="N128" s="2" t="s">
        <v>994</v>
      </c>
      <c r="O128" s="2">
        <v>1129</v>
      </c>
      <c r="P128" s="2">
        <v>644.13336181640625</v>
      </c>
      <c r="Q128" s="2">
        <v>622.5152587890625</v>
      </c>
      <c r="R128" s="2">
        <f t="shared" si="35"/>
        <v>727226.56549072266</v>
      </c>
      <c r="S128" s="2">
        <f t="shared" si="36"/>
        <v>702819.72717285156</v>
      </c>
      <c r="T128" s="2">
        <f t="shared" si="37"/>
        <v>1430046.2926635742</v>
      </c>
      <c r="U128" s="2">
        <f t="shared" si="38"/>
        <v>715.02</v>
      </c>
      <c r="V128" s="2">
        <f t="shared" si="39"/>
        <v>-24406.838317871094</v>
      </c>
      <c r="W128" s="2">
        <f t="shared" si="40"/>
        <v>-25121.858317871094</v>
      </c>
      <c r="X128" s="2">
        <f t="shared" si="41"/>
        <v>43847298.0369571</v>
      </c>
      <c r="Y128" s="2">
        <f t="shared" si="42"/>
        <v>145445.31</v>
      </c>
      <c r="Z128" s="2">
        <f t="shared" si="43"/>
        <v>-17.27</v>
      </c>
      <c r="AA128" s="2">
        <f t="shared" si="45"/>
        <v>44535471.380003355</v>
      </c>
      <c r="AB128" s="2">
        <f t="shared" si="44"/>
        <v>-688173.34304625541</v>
      </c>
    </row>
    <row r="129" spans="1:28">
      <c r="A129" s="2">
        <v>126</v>
      </c>
      <c r="B129" s="2" t="s">
        <v>629</v>
      </c>
      <c r="C129" s="2" t="s">
        <v>932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630</v>
      </c>
      <c r="J129" s="2" t="s">
        <v>631</v>
      </c>
      <c r="K129" s="2">
        <f t="shared" si="33"/>
        <v>43847298.0369571</v>
      </c>
      <c r="L129" s="2" t="s">
        <v>166</v>
      </c>
      <c r="M129" s="2" t="s">
        <v>73</v>
      </c>
      <c r="N129" s="2" t="s">
        <v>189</v>
      </c>
      <c r="O129" s="2">
        <v>100</v>
      </c>
      <c r="P129" s="2">
        <v>12178.833984375</v>
      </c>
      <c r="Q129" s="2">
        <v>11865.42578125</v>
      </c>
      <c r="R129" s="2">
        <f t="shared" si="35"/>
        <v>1217883.3984375</v>
      </c>
      <c r="S129" s="2">
        <f t="shared" si="36"/>
        <v>1186542.578125</v>
      </c>
      <c r="T129" s="2">
        <f t="shared" si="37"/>
        <v>2404425.9765625</v>
      </c>
      <c r="U129" s="2">
        <f t="shared" si="38"/>
        <v>1202.21</v>
      </c>
      <c r="V129" s="2">
        <f t="shared" si="39"/>
        <v>-31340.8203125</v>
      </c>
      <c r="W129" s="2">
        <f t="shared" si="40"/>
        <v>-32543.030312499999</v>
      </c>
      <c r="X129" s="2">
        <f t="shared" si="41"/>
        <v>43814755.006644599</v>
      </c>
      <c r="Y129" s="2">
        <f t="shared" si="42"/>
        <v>243576.68</v>
      </c>
      <c r="Z129" s="2">
        <f t="shared" si="43"/>
        <v>-13.36</v>
      </c>
      <c r="AA129" s="2">
        <f t="shared" si="45"/>
        <v>44535471.380003355</v>
      </c>
      <c r="AB129" s="2">
        <f t="shared" si="44"/>
        <v>-720716.3733587563</v>
      </c>
    </row>
    <row r="130" spans="1:28">
      <c r="A130" s="2">
        <v>127</v>
      </c>
      <c r="B130" s="2" t="s">
        <v>632</v>
      </c>
      <c r="C130" s="2" t="s">
        <v>932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467</v>
      </c>
      <c r="J130" s="2" t="s">
        <v>1118</v>
      </c>
      <c r="K130" s="2">
        <f t="shared" si="33"/>
        <v>43814755.006644599</v>
      </c>
      <c r="L130" s="2" t="s">
        <v>986</v>
      </c>
      <c r="M130" s="2" t="s">
        <v>973</v>
      </c>
      <c r="N130" s="2" t="s">
        <v>979</v>
      </c>
      <c r="O130" s="2">
        <v>922</v>
      </c>
      <c r="P130" s="2">
        <v>989.44775390625</v>
      </c>
      <c r="Q130" s="2">
        <v>1076.74169921875</v>
      </c>
      <c r="R130" s="2">
        <f t="shared" si="35"/>
        <v>912270.8291015625</v>
      </c>
      <c r="S130" s="2">
        <f t="shared" si="36"/>
        <v>992755.8466796875</v>
      </c>
      <c r="T130" s="2">
        <f t="shared" si="37"/>
        <v>1905026.67578125</v>
      </c>
      <c r="U130" s="2">
        <f t="shared" si="38"/>
        <v>952.51</v>
      </c>
      <c r="V130" s="2">
        <f t="shared" si="39"/>
        <v>80485.017578125</v>
      </c>
      <c r="W130" s="2">
        <f t="shared" si="40"/>
        <v>79532.507578125005</v>
      </c>
      <c r="X130" s="2">
        <f t="shared" si="41"/>
        <v>43894287.514222726</v>
      </c>
      <c r="Y130" s="2">
        <f t="shared" si="42"/>
        <v>182454.17</v>
      </c>
      <c r="Z130" s="2">
        <f t="shared" si="43"/>
        <v>43.59</v>
      </c>
      <c r="AA130" s="2">
        <f t="shared" si="45"/>
        <v>44535471.380003355</v>
      </c>
      <c r="AB130" s="2">
        <f t="shared" si="44"/>
        <v>-641183.86578062922</v>
      </c>
    </row>
    <row r="131" spans="1:28">
      <c r="A131" s="2">
        <v>128</v>
      </c>
      <c r="B131" s="2" t="s">
        <v>637</v>
      </c>
      <c r="C131" s="2" t="s">
        <v>932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2" t="s">
        <v>638</v>
      </c>
      <c r="I131" s="2" t="s">
        <v>1119</v>
      </c>
      <c r="J131" s="2" t="s">
        <v>1120</v>
      </c>
      <c r="K131" s="2">
        <f t="shared" si="33"/>
        <v>43894287.514222726</v>
      </c>
      <c r="L131" s="2" t="s">
        <v>986</v>
      </c>
      <c r="M131" s="2" t="s">
        <v>947</v>
      </c>
      <c r="N131" s="2" t="s">
        <v>979</v>
      </c>
      <c r="O131" s="2">
        <v>431</v>
      </c>
      <c r="P131" s="2">
        <v>2029.886840820312</v>
      </c>
      <c r="Q131" s="2">
        <v>2021.349731445312</v>
      </c>
      <c r="R131" s="2">
        <f t="shared" si="35"/>
        <v>874881.22839355445</v>
      </c>
      <c r="S131" s="2">
        <f t="shared" si="36"/>
        <v>871201.73425292945</v>
      </c>
      <c r="T131" s="2">
        <f t="shared" si="37"/>
        <v>1746082.9626464839</v>
      </c>
      <c r="U131" s="2">
        <f t="shared" si="38"/>
        <v>873.04</v>
      </c>
      <c r="V131" s="2">
        <f t="shared" si="39"/>
        <v>-3679.494140625</v>
      </c>
      <c r="W131" s="2">
        <f t="shared" si="40"/>
        <v>-4552.534140625</v>
      </c>
      <c r="X131" s="2">
        <f t="shared" si="41"/>
        <v>43889734.980082102</v>
      </c>
      <c r="Y131" s="2">
        <f t="shared" si="42"/>
        <v>174976.25</v>
      </c>
      <c r="Z131" s="2">
        <f t="shared" si="43"/>
        <v>-2.6</v>
      </c>
      <c r="AA131" s="2">
        <f t="shared" si="45"/>
        <v>44535471.380003355</v>
      </c>
      <c r="AB131" s="2">
        <f t="shared" si="44"/>
        <v>-645736.39992125332</v>
      </c>
    </row>
    <row r="132" spans="1:28">
      <c r="A132" s="2">
        <v>129</v>
      </c>
      <c r="B132" s="2" t="s">
        <v>640</v>
      </c>
      <c r="C132" s="2" t="s">
        <v>932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2" t="s">
        <v>641</v>
      </c>
      <c r="I132" s="2" t="s">
        <v>642</v>
      </c>
      <c r="J132" s="2" t="s">
        <v>643</v>
      </c>
      <c r="K132" s="2">
        <f t="shared" si="33"/>
        <v>43889734.980082102</v>
      </c>
      <c r="L132" s="2" t="s">
        <v>644</v>
      </c>
      <c r="M132" s="2" t="s">
        <v>645</v>
      </c>
      <c r="N132" s="2" t="s">
        <v>646</v>
      </c>
      <c r="O132" s="2">
        <v>373</v>
      </c>
      <c r="P132" s="2">
        <v>171.38014221191409</v>
      </c>
      <c r="Q132" s="2">
        <v>180.15103149414071</v>
      </c>
      <c r="R132" s="2">
        <f t="shared" ref="R132:R163" si="46">O132*P132</f>
        <v>63924.793045043953</v>
      </c>
      <c r="S132" s="2">
        <f t="shared" ref="S132:S163" si="47">O132*Q132</f>
        <v>67196.334747314482</v>
      </c>
      <c r="T132" s="2">
        <f t="shared" ref="T132:T163" si="48">R132+S132</f>
        <v>131121.12779235843</v>
      </c>
      <c r="U132" s="2">
        <f t="shared" ref="U132:U163" si="49">ROUND(T132*0.0005, 2)</f>
        <v>65.56</v>
      </c>
      <c r="V132" s="2">
        <f t="shared" ref="V132:V163" si="50">S132-R132</f>
        <v>3271.5417022705296</v>
      </c>
      <c r="W132" s="2">
        <f t="shared" ref="W132:W163" si="51">V132-U132</f>
        <v>3205.9817022705297</v>
      </c>
      <c r="X132" s="2">
        <f t="shared" ref="X132:X163" si="52">K132+W132</f>
        <v>43892940.96178437</v>
      </c>
      <c r="Y132" s="2">
        <f t="shared" ref="Y132:Y163" si="53">ROUND(0.2*R132, 2)</f>
        <v>12784.96</v>
      </c>
      <c r="Z132" s="2">
        <f t="shared" ref="Z132:Z163" si="54">ROUND((W132/Y132)*100, 2)</f>
        <v>25.08</v>
      </c>
      <c r="AA132" s="2">
        <f t="shared" si="45"/>
        <v>44535471.380003355</v>
      </c>
      <c r="AB132" s="2">
        <f t="shared" ref="AB132:AB163" si="55">X132-AA132</f>
        <v>-642530.4182189852</v>
      </c>
    </row>
    <row r="133" spans="1:28">
      <c r="A133" s="2">
        <v>130</v>
      </c>
      <c r="B133" s="2" t="s">
        <v>647</v>
      </c>
      <c r="C133" s="2" t="s">
        <v>932</v>
      </c>
      <c r="D133" s="4" t="s">
        <v>61</v>
      </c>
      <c r="E133" s="5" t="s">
        <v>134</v>
      </c>
      <c r="F133" s="2" t="s">
        <v>135</v>
      </c>
      <c r="G133" s="2" t="s">
        <v>97</v>
      </c>
      <c r="H133" s="2" t="s">
        <v>648</v>
      </c>
      <c r="I133" s="2" t="s">
        <v>1121</v>
      </c>
      <c r="J133" s="2" t="s">
        <v>1122</v>
      </c>
      <c r="K133" s="2">
        <f t="shared" ref="K133:K196" si="56">X132</f>
        <v>43892940.96178437</v>
      </c>
      <c r="L133" s="2" t="s">
        <v>970</v>
      </c>
      <c r="M133" s="2" t="s">
        <v>1011</v>
      </c>
      <c r="N133" s="2" t="s">
        <v>966</v>
      </c>
      <c r="O133" s="2">
        <v>661</v>
      </c>
      <c r="P133" s="2">
        <v>1271.900024414062</v>
      </c>
      <c r="Q133" s="2">
        <v>1196.650024414062</v>
      </c>
      <c r="R133" s="2">
        <f t="shared" si="46"/>
        <v>840725.91613769496</v>
      </c>
      <c r="S133" s="2">
        <f t="shared" si="47"/>
        <v>790985.66613769496</v>
      </c>
      <c r="T133" s="2">
        <f t="shared" si="48"/>
        <v>1631711.5822753899</v>
      </c>
      <c r="U133" s="2">
        <f t="shared" si="49"/>
        <v>815.86</v>
      </c>
      <c r="V133" s="2">
        <f t="shared" si="50"/>
        <v>-49740.25</v>
      </c>
      <c r="W133" s="2">
        <f t="shared" si="51"/>
        <v>-50556.11</v>
      </c>
      <c r="X133" s="2">
        <f t="shared" si="52"/>
        <v>43842384.851784371</v>
      </c>
      <c r="Y133" s="2">
        <f t="shared" si="53"/>
        <v>168145.18</v>
      </c>
      <c r="Z133" s="2">
        <f t="shared" si="54"/>
        <v>-30.07</v>
      </c>
      <c r="AA133" s="2">
        <f t="shared" ref="AA133:AA164" si="57">MAX(AA132, X133)</f>
        <v>44535471.380003355</v>
      </c>
      <c r="AB133" s="2">
        <f t="shared" si="55"/>
        <v>-693086.5282189846</v>
      </c>
    </row>
    <row r="134" spans="1:28">
      <c r="A134" s="2">
        <v>131</v>
      </c>
      <c r="B134" s="2" t="s">
        <v>651</v>
      </c>
      <c r="C134" s="2" t="s">
        <v>932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2" t="s">
        <v>361</v>
      </c>
      <c r="I134" s="2" t="s">
        <v>826</v>
      </c>
      <c r="J134" s="2" t="s">
        <v>1123</v>
      </c>
      <c r="K134" s="2">
        <f t="shared" si="56"/>
        <v>43842384.851784371</v>
      </c>
      <c r="L134" s="2" t="s">
        <v>973</v>
      </c>
      <c r="M134" s="2" t="s">
        <v>988</v>
      </c>
      <c r="N134" s="2" t="s">
        <v>989</v>
      </c>
      <c r="O134" s="2">
        <v>6815</v>
      </c>
      <c r="P134" s="2">
        <v>109.037712097168</v>
      </c>
      <c r="Q134" s="2">
        <v>123.8147659301758</v>
      </c>
      <c r="R134" s="2">
        <f t="shared" si="46"/>
        <v>743092.00794219994</v>
      </c>
      <c r="S134" s="2">
        <f t="shared" si="47"/>
        <v>843797.62981414807</v>
      </c>
      <c r="T134" s="2">
        <f t="shared" si="48"/>
        <v>1586889.6377563481</v>
      </c>
      <c r="U134" s="2">
        <f t="shared" si="49"/>
        <v>793.44</v>
      </c>
      <c r="V134" s="2">
        <f t="shared" si="50"/>
        <v>100705.62187194813</v>
      </c>
      <c r="W134" s="2">
        <f t="shared" si="51"/>
        <v>99912.181871948123</v>
      </c>
      <c r="X134" s="2">
        <f t="shared" si="52"/>
        <v>43942297.033656321</v>
      </c>
      <c r="Y134" s="2">
        <f t="shared" si="53"/>
        <v>148618.4</v>
      </c>
      <c r="Z134" s="2">
        <f t="shared" si="54"/>
        <v>67.23</v>
      </c>
      <c r="AA134" s="2">
        <f t="shared" si="57"/>
        <v>44535471.380003355</v>
      </c>
      <c r="AB134" s="2">
        <f t="shared" si="55"/>
        <v>-593174.34634703398</v>
      </c>
    </row>
    <row r="135" spans="1:28">
      <c r="A135" s="2">
        <v>132</v>
      </c>
      <c r="B135" s="2" t="s">
        <v>654</v>
      </c>
      <c r="C135" s="2" t="s">
        <v>932</v>
      </c>
      <c r="D135" s="3" t="s">
        <v>37</v>
      </c>
      <c r="E135" s="5" t="s">
        <v>134</v>
      </c>
      <c r="F135" s="2" t="s">
        <v>135</v>
      </c>
      <c r="G135" s="2" t="s">
        <v>63</v>
      </c>
      <c r="H135" s="2" t="s">
        <v>642</v>
      </c>
      <c r="I135" s="2" t="s">
        <v>287</v>
      </c>
      <c r="J135" s="2" t="s">
        <v>1124</v>
      </c>
      <c r="K135" s="2">
        <f t="shared" si="56"/>
        <v>43942297.033656321</v>
      </c>
      <c r="L135" s="2" t="s">
        <v>957</v>
      </c>
      <c r="M135" s="2" t="s">
        <v>994</v>
      </c>
      <c r="N135" s="2" t="s">
        <v>289</v>
      </c>
      <c r="O135" s="2">
        <v>1194</v>
      </c>
      <c r="P135" s="2">
        <v>858.3206787109375</v>
      </c>
      <c r="Q135" s="2">
        <v>932.93157958984375</v>
      </c>
      <c r="R135" s="2">
        <f t="shared" si="46"/>
        <v>1024834.8903808594</v>
      </c>
      <c r="S135" s="2">
        <f t="shared" si="47"/>
        <v>1113920.3060302734</v>
      </c>
      <c r="T135" s="2">
        <f t="shared" si="48"/>
        <v>2138755.1964111328</v>
      </c>
      <c r="U135" s="2">
        <f t="shared" si="49"/>
        <v>1069.3800000000001</v>
      </c>
      <c r="V135" s="2">
        <f t="shared" si="50"/>
        <v>89085.415649414063</v>
      </c>
      <c r="W135" s="2">
        <f t="shared" si="51"/>
        <v>88016.035649414058</v>
      </c>
      <c r="X135" s="2">
        <f t="shared" si="52"/>
        <v>44030313.069305733</v>
      </c>
      <c r="Y135" s="2">
        <f t="shared" si="53"/>
        <v>204966.98</v>
      </c>
      <c r="Z135" s="2">
        <f t="shared" si="54"/>
        <v>42.94</v>
      </c>
      <c r="AA135" s="2">
        <f t="shared" si="57"/>
        <v>44535471.380003355</v>
      </c>
      <c r="AB135" s="2">
        <f t="shared" si="55"/>
        <v>-505158.3106976226</v>
      </c>
    </row>
    <row r="136" spans="1:28">
      <c r="A136" s="2">
        <v>133</v>
      </c>
      <c r="B136" s="2" t="s">
        <v>656</v>
      </c>
      <c r="C136" s="2" t="s">
        <v>932</v>
      </c>
      <c r="D136" s="3" t="s">
        <v>37</v>
      </c>
      <c r="E136" s="5" t="s">
        <v>134</v>
      </c>
      <c r="F136" s="2" t="s">
        <v>135</v>
      </c>
      <c r="G136" s="2" t="s">
        <v>40</v>
      </c>
      <c r="H136" s="2" t="s">
        <v>657</v>
      </c>
      <c r="I136" s="2" t="s">
        <v>1125</v>
      </c>
      <c r="J136" s="2" t="s">
        <v>1126</v>
      </c>
      <c r="K136" s="2">
        <f t="shared" si="56"/>
        <v>44030313.069305733</v>
      </c>
      <c r="L136" s="2" t="s">
        <v>1127</v>
      </c>
      <c r="M136" s="2" t="s">
        <v>1011</v>
      </c>
      <c r="N136" s="2" t="s">
        <v>1014</v>
      </c>
      <c r="O136" s="2">
        <v>426</v>
      </c>
      <c r="P136" s="2">
        <v>2770.00390625</v>
      </c>
      <c r="Q136" s="2">
        <v>2978.868896484375</v>
      </c>
      <c r="R136" s="2">
        <f t="shared" si="46"/>
        <v>1180021.6640625</v>
      </c>
      <c r="S136" s="2">
        <f t="shared" si="47"/>
        <v>1268998.1499023437</v>
      </c>
      <c r="T136" s="2">
        <f t="shared" si="48"/>
        <v>2449019.8139648437</v>
      </c>
      <c r="U136" s="2">
        <f t="shared" si="49"/>
        <v>1224.51</v>
      </c>
      <c r="V136" s="2">
        <f t="shared" si="50"/>
        <v>88976.48583984375</v>
      </c>
      <c r="W136" s="2">
        <f t="shared" si="51"/>
        <v>87751.975839843755</v>
      </c>
      <c r="X136" s="2">
        <f t="shared" si="52"/>
        <v>44118065.045145579</v>
      </c>
      <c r="Y136" s="2">
        <f t="shared" si="53"/>
        <v>236004.33</v>
      </c>
      <c r="Z136" s="2">
        <f t="shared" si="54"/>
        <v>37.18</v>
      </c>
      <c r="AA136" s="2">
        <f t="shared" si="57"/>
        <v>44535471.380003355</v>
      </c>
      <c r="AB136" s="2">
        <f t="shared" si="55"/>
        <v>-417406.33485777676</v>
      </c>
    </row>
    <row r="137" spans="1:28">
      <c r="A137" s="2">
        <v>134</v>
      </c>
      <c r="B137" s="2" t="s">
        <v>658</v>
      </c>
      <c r="C137" s="2" t="s">
        <v>932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1128</v>
      </c>
      <c r="J137" s="2" t="s">
        <v>1129</v>
      </c>
      <c r="K137" s="2">
        <f t="shared" si="56"/>
        <v>44118065.045145579</v>
      </c>
      <c r="L137" s="2" t="s">
        <v>1130</v>
      </c>
      <c r="M137" s="2" t="s">
        <v>1106</v>
      </c>
      <c r="N137" s="2" t="s">
        <v>1131</v>
      </c>
      <c r="O137" s="2">
        <v>332</v>
      </c>
      <c r="P137" s="2">
        <v>3353.39990234375</v>
      </c>
      <c r="Q137" s="2">
        <v>3272.699951171875</v>
      </c>
      <c r="R137" s="2">
        <f t="shared" si="46"/>
        <v>1113328.767578125</v>
      </c>
      <c r="S137" s="2">
        <f t="shared" si="47"/>
        <v>1086536.3837890625</v>
      </c>
      <c r="T137" s="2">
        <f t="shared" si="48"/>
        <v>2199865.1513671875</v>
      </c>
      <c r="U137" s="2">
        <f t="shared" si="49"/>
        <v>1099.93</v>
      </c>
      <c r="V137" s="2">
        <f t="shared" si="50"/>
        <v>-26792.3837890625</v>
      </c>
      <c r="W137" s="2">
        <f t="shared" si="51"/>
        <v>-27892.3137890625</v>
      </c>
      <c r="X137" s="2">
        <f t="shared" si="52"/>
        <v>44090172.731356516</v>
      </c>
      <c r="Y137" s="2">
        <f t="shared" si="53"/>
        <v>222665.75</v>
      </c>
      <c r="Z137" s="2">
        <f t="shared" si="54"/>
        <v>-12.53</v>
      </c>
      <c r="AA137" s="2">
        <f t="shared" si="57"/>
        <v>44535471.380003355</v>
      </c>
      <c r="AB137" s="2">
        <f t="shared" si="55"/>
        <v>-445298.64864683896</v>
      </c>
    </row>
    <row r="138" spans="1:28">
      <c r="A138" s="2">
        <v>135</v>
      </c>
      <c r="B138" s="2" t="s">
        <v>661</v>
      </c>
      <c r="C138" s="2" t="s">
        <v>932</v>
      </c>
      <c r="D138" s="4" t="s">
        <v>61</v>
      </c>
      <c r="E138" s="5" t="s">
        <v>134</v>
      </c>
      <c r="F138" s="2" t="s">
        <v>135</v>
      </c>
      <c r="G138" s="2" t="s">
        <v>63</v>
      </c>
      <c r="H138" s="2" t="s">
        <v>662</v>
      </c>
      <c r="I138" s="2" t="s">
        <v>548</v>
      </c>
      <c r="J138" s="2" t="s">
        <v>348</v>
      </c>
      <c r="K138" s="2">
        <f t="shared" si="56"/>
        <v>44090172.731356516</v>
      </c>
      <c r="L138" s="2" t="s">
        <v>1011</v>
      </c>
      <c r="M138" s="2" t="s">
        <v>957</v>
      </c>
      <c r="N138" s="2" t="s">
        <v>288</v>
      </c>
      <c r="O138" s="2">
        <v>871</v>
      </c>
      <c r="P138" s="2">
        <v>651.65655517578125</v>
      </c>
      <c r="Q138" s="2">
        <v>659.83154296875</v>
      </c>
      <c r="R138" s="2">
        <f t="shared" si="46"/>
        <v>567592.85955810547</v>
      </c>
      <c r="S138" s="2">
        <f t="shared" si="47"/>
        <v>574713.27392578125</v>
      </c>
      <c r="T138" s="2">
        <f t="shared" si="48"/>
        <v>1142306.1334838867</v>
      </c>
      <c r="U138" s="2">
        <f t="shared" si="49"/>
        <v>571.15</v>
      </c>
      <c r="V138" s="2">
        <f t="shared" si="50"/>
        <v>7120.4143676757812</v>
      </c>
      <c r="W138" s="2">
        <f t="shared" si="51"/>
        <v>6549.2643676757816</v>
      </c>
      <c r="X138" s="2">
        <f t="shared" si="52"/>
        <v>44096721.995724194</v>
      </c>
      <c r="Y138" s="2">
        <f t="shared" si="53"/>
        <v>113518.57</v>
      </c>
      <c r="Z138" s="2">
        <f t="shared" si="54"/>
        <v>5.77</v>
      </c>
      <c r="AA138" s="2">
        <f t="shared" si="57"/>
        <v>44535471.380003355</v>
      </c>
      <c r="AB138" s="2">
        <f t="shared" si="55"/>
        <v>-438749.38427916169</v>
      </c>
    </row>
    <row r="139" spans="1:28">
      <c r="A139" s="2">
        <v>136</v>
      </c>
      <c r="B139" s="2" t="s">
        <v>664</v>
      </c>
      <c r="C139" s="2" t="s">
        <v>932</v>
      </c>
      <c r="D139" s="4" t="s">
        <v>61</v>
      </c>
      <c r="E139" s="5" t="s">
        <v>134</v>
      </c>
      <c r="F139" s="2" t="s">
        <v>135</v>
      </c>
      <c r="G139" s="2" t="s">
        <v>77</v>
      </c>
      <c r="H139" s="2" t="s">
        <v>665</v>
      </c>
      <c r="I139" s="2" t="s">
        <v>1132</v>
      </c>
      <c r="J139" s="2" t="s">
        <v>975</v>
      </c>
      <c r="K139" s="2">
        <f t="shared" si="56"/>
        <v>44096721.995724194</v>
      </c>
      <c r="L139" s="2" t="s">
        <v>948</v>
      </c>
      <c r="M139" s="2" t="s">
        <v>980</v>
      </c>
      <c r="N139" s="2" t="s">
        <v>951</v>
      </c>
      <c r="O139" s="2">
        <v>2876</v>
      </c>
      <c r="P139" s="2">
        <v>202.66485595703119</v>
      </c>
      <c r="Q139" s="2">
        <v>220.1965026855469</v>
      </c>
      <c r="R139" s="2">
        <f t="shared" si="46"/>
        <v>582864.12573242176</v>
      </c>
      <c r="S139" s="2">
        <f t="shared" si="47"/>
        <v>633285.14172363293</v>
      </c>
      <c r="T139" s="2">
        <f t="shared" si="48"/>
        <v>1216149.2674560547</v>
      </c>
      <c r="U139" s="2">
        <f t="shared" si="49"/>
        <v>608.07000000000005</v>
      </c>
      <c r="V139" s="2">
        <f t="shared" si="50"/>
        <v>50421.01599121117</v>
      </c>
      <c r="W139" s="2">
        <f t="shared" si="51"/>
        <v>49812.945991211171</v>
      </c>
      <c r="X139" s="2">
        <f t="shared" si="52"/>
        <v>44146534.941715404</v>
      </c>
      <c r="Y139" s="2">
        <f t="shared" si="53"/>
        <v>116572.83</v>
      </c>
      <c r="Z139" s="2">
        <f t="shared" si="54"/>
        <v>42.73</v>
      </c>
      <c r="AA139" s="2">
        <f t="shared" si="57"/>
        <v>44535471.380003355</v>
      </c>
      <c r="AB139" s="2">
        <f t="shared" si="55"/>
        <v>-388936.43828795105</v>
      </c>
    </row>
    <row r="140" spans="1:28">
      <c r="A140" s="2">
        <v>137</v>
      </c>
      <c r="B140" s="2" t="s">
        <v>667</v>
      </c>
      <c r="C140" s="2" t="s">
        <v>932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2" t="s">
        <v>668</v>
      </c>
      <c r="I140" s="2" t="s">
        <v>487</v>
      </c>
      <c r="J140" s="2" t="s">
        <v>444</v>
      </c>
      <c r="K140" s="2">
        <f t="shared" si="56"/>
        <v>44146534.941715404</v>
      </c>
      <c r="L140" s="2" t="s">
        <v>959</v>
      </c>
      <c r="M140" s="2" t="s">
        <v>947</v>
      </c>
      <c r="N140" s="2" t="s">
        <v>948</v>
      </c>
      <c r="O140" s="2">
        <v>803</v>
      </c>
      <c r="P140" s="2">
        <v>1527.512084960938</v>
      </c>
      <c r="Q140" s="2">
        <v>1572.757446289062</v>
      </c>
      <c r="R140" s="2">
        <f t="shared" si="46"/>
        <v>1226592.2042236333</v>
      </c>
      <c r="S140" s="2">
        <f t="shared" si="47"/>
        <v>1262924.2293701167</v>
      </c>
      <c r="T140" s="2">
        <f t="shared" si="48"/>
        <v>2489516.43359375</v>
      </c>
      <c r="U140" s="2">
        <f t="shared" si="49"/>
        <v>1244.76</v>
      </c>
      <c r="V140" s="2">
        <f t="shared" si="50"/>
        <v>36332.025146483444</v>
      </c>
      <c r="W140" s="2">
        <f t="shared" si="51"/>
        <v>35087.265146483442</v>
      </c>
      <c r="X140" s="2">
        <f t="shared" si="52"/>
        <v>44181622.206861891</v>
      </c>
      <c r="Y140" s="2">
        <f t="shared" si="53"/>
        <v>245318.44</v>
      </c>
      <c r="Z140" s="2">
        <f t="shared" si="54"/>
        <v>14.3</v>
      </c>
      <c r="AA140" s="2">
        <f t="shared" si="57"/>
        <v>44535471.380003355</v>
      </c>
      <c r="AB140" s="2">
        <f t="shared" si="55"/>
        <v>-353849.17314146459</v>
      </c>
    </row>
    <row r="141" spans="1:28">
      <c r="A141" s="2">
        <v>138</v>
      </c>
      <c r="B141" s="2" t="s">
        <v>670</v>
      </c>
      <c r="C141" s="2" t="s">
        <v>932</v>
      </c>
      <c r="D141" s="4" t="s">
        <v>61</v>
      </c>
      <c r="E141" s="5" t="s">
        <v>134</v>
      </c>
      <c r="F141" s="2" t="s">
        <v>135</v>
      </c>
      <c r="G141" s="2" t="s">
        <v>97</v>
      </c>
      <c r="H141" s="2" t="s">
        <v>671</v>
      </c>
      <c r="I141" s="2" t="s">
        <v>1133</v>
      </c>
      <c r="J141" s="2" t="s">
        <v>247</v>
      </c>
      <c r="K141" s="2">
        <f t="shared" si="56"/>
        <v>44181622.206861891</v>
      </c>
      <c r="L141" s="2" t="s">
        <v>989</v>
      </c>
      <c r="M141" s="2" t="s">
        <v>974</v>
      </c>
      <c r="N141" s="2" t="s">
        <v>980</v>
      </c>
      <c r="O141" s="2">
        <v>10687</v>
      </c>
      <c r="P141" s="2">
        <v>88.830741882324219</v>
      </c>
      <c r="Q141" s="2">
        <v>92.256042480468764</v>
      </c>
      <c r="R141" s="2">
        <f t="shared" si="46"/>
        <v>949334.13849639893</v>
      </c>
      <c r="S141" s="2">
        <f t="shared" si="47"/>
        <v>985940.32598876965</v>
      </c>
      <c r="T141" s="2">
        <f t="shared" si="48"/>
        <v>1935274.4644851685</v>
      </c>
      <c r="U141" s="2">
        <f t="shared" si="49"/>
        <v>967.64</v>
      </c>
      <c r="V141" s="2">
        <f t="shared" si="50"/>
        <v>36606.187492370722</v>
      </c>
      <c r="W141" s="2">
        <f t="shared" si="51"/>
        <v>35638.547492370722</v>
      </c>
      <c r="X141" s="2">
        <f t="shared" si="52"/>
        <v>44217260.754354261</v>
      </c>
      <c r="Y141" s="2">
        <f t="shared" si="53"/>
        <v>189866.83</v>
      </c>
      <c r="Z141" s="2">
        <f t="shared" si="54"/>
        <v>18.77</v>
      </c>
      <c r="AA141" s="2">
        <f t="shared" si="57"/>
        <v>44535471.380003355</v>
      </c>
      <c r="AB141" s="2">
        <f t="shared" si="55"/>
        <v>-318210.62564909458</v>
      </c>
    </row>
    <row r="142" spans="1:28">
      <c r="A142" s="2">
        <v>139</v>
      </c>
      <c r="B142" s="2" t="s">
        <v>674</v>
      </c>
      <c r="C142" s="2" t="s">
        <v>932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677</v>
      </c>
      <c r="J142" s="2" t="s">
        <v>170</v>
      </c>
      <c r="K142" s="2">
        <f t="shared" si="56"/>
        <v>44217260.754354261</v>
      </c>
      <c r="L142" s="2" t="s">
        <v>73</v>
      </c>
      <c r="M142" s="2" t="s">
        <v>74</v>
      </c>
      <c r="N142" s="2" t="s">
        <v>73</v>
      </c>
      <c r="O142" s="2">
        <v>200</v>
      </c>
      <c r="P142" s="2">
        <v>1132.837280273438</v>
      </c>
      <c r="Q142" s="2">
        <v>1134.747192382812</v>
      </c>
      <c r="R142" s="2">
        <f t="shared" si="46"/>
        <v>226567.45605468759</v>
      </c>
      <c r="S142" s="2">
        <f t="shared" si="47"/>
        <v>226949.43847656241</v>
      </c>
      <c r="T142" s="2">
        <f t="shared" si="48"/>
        <v>453516.89453125</v>
      </c>
      <c r="U142" s="2">
        <f t="shared" si="49"/>
        <v>226.76</v>
      </c>
      <c r="V142" s="2">
        <f t="shared" si="50"/>
        <v>381.98242187482538</v>
      </c>
      <c r="W142" s="2">
        <f t="shared" si="51"/>
        <v>155.22242187482539</v>
      </c>
      <c r="X142" s="2">
        <f t="shared" si="52"/>
        <v>44217415.976776138</v>
      </c>
      <c r="Y142" s="2">
        <f t="shared" si="53"/>
        <v>45313.49</v>
      </c>
      <c r="Z142" s="2">
        <f t="shared" si="54"/>
        <v>0.34</v>
      </c>
      <c r="AA142" s="2">
        <f t="shared" si="57"/>
        <v>44535471.380003355</v>
      </c>
      <c r="AB142" s="2">
        <f t="shared" si="55"/>
        <v>-318055.4032272175</v>
      </c>
    </row>
    <row r="143" spans="1:28">
      <c r="A143" s="2">
        <v>140</v>
      </c>
      <c r="B143" s="2" t="s">
        <v>678</v>
      </c>
      <c r="C143" s="2" t="s">
        <v>932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2" t="s">
        <v>679</v>
      </c>
      <c r="I143" s="2" t="s">
        <v>1134</v>
      </c>
      <c r="J143" s="2" t="s">
        <v>735</v>
      </c>
      <c r="K143" s="2">
        <f t="shared" si="56"/>
        <v>44217415.976776138</v>
      </c>
      <c r="L143" s="2" t="s">
        <v>959</v>
      </c>
      <c r="M143" s="2" t="s">
        <v>980</v>
      </c>
      <c r="N143" s="2" t="s">
        <v>948</v>
      </c>
      <c r="O143" s="2">
        <v>12809</v>
      </c>
      <c r="P143" s="2">
        <v>75.082015991210938</v>
      </c>
      <c r="Q143" s="2">
        <v>79.795005798339844</v>
      </c>
      <c r="R143" s="2">
        <f t="shared" si="46"/>
        <v>961725.5428314209</v>
      </c>
      <c r="S143" s="2">
        <f t="shared" si="47"/>
        <v>1022094.2292709351</v>
      </c>
      <c r="T143" s="2">
        <f t="shared" si="48"/>
        <v>1983819.772102356</v>
      </c>
      <c r="U143" s="2">
        <f t="shared" si="49"/>
        <v>991.91</v>
      </c>
      <c r="V143" s="2">
        <f t="shared" si="50"/>
        <v>60368.68643951416</v>
      </c>
      <c r="W143" s="2">
        <f t="shared" si="51"/>
        <v>59376.776439514157</v>
      </c>
      <c r="X143" s="2">
        <f t="shared" si="52"/>
        <v>44276792.753215656</v>
      </c>
      <c r="Y143" s="2">
        <f t="shared" si="53"/>
        <v>192345.11</v>
      </c>
      <c r="Z143" s="2">
        <f t="shared" si="54"/>
        <v>30.87</v>
      </c>
      <c r="AA143" s="2">
        <f t="shared" si="57"/>
        <v>44535471.380003355</v>
      </c>
      <c r="AB143" s="2">
        <f t="shared" si="55"/>
        <v>-258678.62678769976</v>
      </c>
    </row>
    <row r="144" spans="1:28">
      <c r="A144" s="2">
        <v>141</v>
      </c>
      <c r="B144" s="2" t="s">
        <v>681</v>
      </c>
      <c r="C144" s="2" t="s">
        <v>932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2" t="s">
        <v>682</v>
      </c>
      <c r="I144" s="2" t="s">
        <v>1135</v>
      </c>
      <c r="J144" s="2" t="s">
        <v>1136</v>
      </c>
      <c r="K144" s="2">
        <f t="shared" si="56"/>
        <v>44276792.753215656</v>
      </c>
      <c r="L144" s="2" t="s">
        <v>979</v>
      </c>
      <c r="M144" s="2" t="s">
        <v>989</v>
      </c>
      <c r="N144" s="2" t="s">
        <v>947</v>
      </c>
      <c r="O144" s="2">
        <v>11763</v>
      </c>
      <c r="P144" s="2">
        <v>72.384857177734375</v>
      </c>
      <c r="Q144" s="2">
        <v>69.31036376953125</v>
      </c>
      <c r="R144" s="2">
        <f t="shared" si="46"/>
        <v>851463.07498168945</v>
      </c>
      <c r="S144" s="2">
        <f t="shared" si="47"/>
        <v>815297.80902099609</v>
      </c>
      <c r="T144" s="2">
        <f t="shared" si="48"/>
        <v>1666760.8840026855</v>
      </c>
      <c r="U144" s="2">
        <f t="shared" si="49"/>
        <v>833.38</v>
      </c>
      <c r="V144" s="2">
        <f t="shared" si="50"/>
        <v>-36165.265960693359</v>
      </c>
      <c r="W144" s="2">
        <f t="shared" si="51"/>
        <v>-36998.645960693357</v>
      </c>
      <c r="X144" s="2">
        <f t="shared" si="52"/>
        <v>44239794.10725496</v>
      </c>
      <c r="Y144" s="2">
        <f t="shared" si="53"/>
        <v>170292.61</v>
      </c>
      <c r="Z144" s="2">
        <f t="shared" si="54"/>
        <v>-21.73</v>
      </c>
      <c r="AA144" s="2">
        <f t="shared" si="57"/>
        <v>44535471.380003355</v>
      </c>
      <c r="AB144" s="2">
        <f t="shared" si="55"/>
        <v>-295677.2727483958</v>
      </c>
    </row>
    <row r="145" spans="1:28">
      <c r="A145" s="2">
        <v>142</v>
      </c>
      <c r="B145" s="2" t="s">
        <v>685</v>
      </c>
      <c r="C145" s="2" t="s">
        <v>932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687</v>
      </c>
      <c r="J145" s="2" t="s">
        <v>688</v>
      </c>
      <c r="K145" s="2">
        <f t="shared" si="56"/>
        <v>44239794.10725496</v>
      </c>
      <c r="L145" s="2" t="s">
        <v>183</v>
      </c>
      <c r="M145" s="2" t="s">
        <v>73</v>
      </c>
      <c r="N145" s="2" t="s">
        <v>279</v>
      </c>
      <c r="O145" s="2">
        <v>1500</v>
      </c>
      <c r="P145" s="2">
        <v>315.66912841796881</v>
      </c>
      <c r="Q145" s="2">
        <v>314.67599487304687</v>
      </c>
      <c r="R145" s="2">
        <f t="shared" si="46"/>
        <v>473503.69262695318</v>
      </c>
      <c r="S145" s="2">
        <f t="shared" si="47"/>
        <v>472013.99230957031</v>
      </c>
      <c r="T145" s="2">
        <f t="shared" si="48"/>
        <v>945517.68493652344</v>
      </c>
      <c r="U145" s="2">
        <f t="shared" si="49"/>
        <v>472.76</v>
      </c>
      <c r="V145" s="2">
        <f t="shared" si="50"/>
        <v>-1489.7003173828707</v>
      </c>
      <c r="W145" s="2">
        <f t="shared" si="51"/>
        <v>-1962.4603173828707</v>
      </c>
      <c r="X145" s="2">
        <f t="shared" si="52"/>
        <v>44237831.646937579</v>
      </c>
      <c r="Y145" s="2">
        <f t="shared" si="53"/>
        <v>94700.74</v>
      </c>
      <c r="Z145" s="2">
        <f t="shared" si="54"/>
        <v>-2.0699999999999998</v>
      </c>
      <c r="AA145" s="2">
        <f t="shared" si="57"/>
        <v>44535471.380003355</v>
      </c>
      <c r="AB145" s="2">
        <f t="shared" si="55"/>
        <v>-297639.73306577653</v>
      </c>
    </row>
    <row r="146" spans="1:28">
      <c r="A146" s="2">
        <v>143</v>
      </c>
      <c r="B146" s="2" t="s">
        <v>689</v>
      </c>
      <c r="C146" s="2" t="s">
        <v>932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2" t="s">
        <v>690</v>
      </c>
      <c r="I146" s="2" t="s">
        <v>1137</v>
      </c>
      <c r="J146" s="2" t="s">
        <v>1138</v>
      </c>
      <c r="K146" s="2">
        <f t="shared" si="56"/>
        <v>44237831.646937579</v>
      </c>
      <c r="L146" s="2" t="s">
        <v>983</v>
      </c>
      <c r="M146" s="2" t="s">
        <v>951</v>
      </c>
      <c r="N146" s="2" t="s">
        <v>989</v>
      </c>
      <c r="O146" s="2">
        <v>2996</v>
      </c>
      <c r="P146" s="2">
        <v>172.22999572753909</v>
      </c>
      <c r="Q146" s="2">
        <v>184.17999267578119</v>
      </c>
      <c r="R146" s="2">
        <f t="shared" si="46"/>
        <v>516001.06719970709</v>
      </c>
      <c r="S146" s="2">
        <f t="shared" si="47"/>
        <v>551803.25805664051</v>
      </c>
      <c r="T146" s="2">
        <f t="shared" si="48"/>
        <v>1067804.3252563477</v>
      </c>
      <c r="U146" s="2">
        <f t="shared" si="49"/>
        <v>533.9</v>
      </c>
      <c r="V146" s="2">
        <f t="shared" si="50"/>
        <v>35802.190856933419</v>
      </c>
      <c r="W146" s="2">
        <f t="shared" si="51"/>
        <v>35268.290856933418</v>
      </c>
      <c r="X146" s="2">
        <f t="shared" si="52"/>
        <v>44273099.937794514</v>
      </c>
      <c r="Y146" s="2">
        <f t="shared" si="53"/>
        <v>103200.21</v>
      </c>
      <c r="Z146" s="2">
        <f t="shared" si="54"/>
        <v>34.17</v>
      </c>
      <c r="AA146" s="2">
        <f t="shared" si="57"/>
        <v>44535471.380003355</v>
      </c>
      <c r="AB146" s="2">
        <f t="shared" si="55"/>
        <v>-262371.44220884144</v>
      </c>
    </row>
    <row r="147" spans="1:28">
      <c r="A147" s="2">
        <v>144</v>
      </c>
      <c r="B147" s="2" t="s">
        <v>692</v>
      </c>
      <c r="C147" s="2" t="s">
        <v>932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2" t="s">
        <v>693</v>
      </c>
      <c r="I147" s="2" t="s">
        <v>1139</v>
      </c>
      <c r="J147" s="2" t="s">
        <v>1140</v>
      </c>
      <c r="K147" s="2">
        <f t="shared" si="56"/>
        <v>44273099.937794514</v>
      </c>
      <c r="L147" s="2" t="s">
        <v>1055</v>
      </c>
      <c r="M147" s="2" t="s">
        <v>288</v>
      </c>
      <c r="N147" s="2" t="s">
        <v>970</v>
      </c>
      <c r="O147" s="2">
        <v>551</v>
      </c>
      <c r="P147" s="2">
        <v>1901.288452148437</v>
      </c>
      <c r="Q147" s="2">
        <v>1966.426635742188</v>
      </c>
      <c r="R147" s="2">
        <f t="shared" si="46"/>
        <v>1047609.9371337888</v>
      </c>
      <c r="S147" s="2">
        <f t="shared" si="47"/>
        <v>1083501.0762939455</v>
      </c>
      <c r="T147" s="2">
        <f t="shared" si="48"/>
        <v>2131111.0134277344</v>
      </c>
      <c r="U147" s="2">
        <f t="shared" si="49"/>
        <v>1065.56</v>
      </c>
      <c r="V147" s="2">
        <f t="shared" si="50"/>
        <v>35891.139160156716</v>
      </c>
      <c r="W147" s="2">
        <f t="shared" si="51"/>
        <v>34825.579160156718</v>
      </c>
      <c r="X147" s="2">
        <f t="shared" si="52"/>
        <v>44307925.516954668</v>
      </c>
      <c r="Y147" s="2">
        <f t="shared" si="53"/>
        <v>209521.99</v>
      </c>
      <c r="Z147" s="2">
        <f t="shared" si="54"/>
        <v>16.62</v>
      </c>
      <c r="AA147" s="2">
        <f t="shared" si="57"/>
        <v>44535471.380003355</v>
      </c>
      <c r="AB147" s="2">
        <f t="shared" si="55"/>
        <v>-227545.86304868758</v>
      </c>
    </row>
    <row r="148" spans="1:28">
      <c r="A148" s="2">
        <v>145</v>
      </c>
      <c r="B148" s="2" t="s">
        <v>696</v>
      </c>
      <c r="C148" s="2" t="s">
        <v>932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2" t="s">
        <v>697</v>
      </c>
      <c r="I148" s="2" t="s">
        <v>158</v>
      </c>
      <c r="J148" s="2" t="s">
        <v>1141</v>
      </c>
      <c r="K148" s="2">
        <f t="shared" si="56"/>
        <v>44307925.516954668</v>
      </c>
      <c r="L148" s="2" t="s">
        <v>956</v>
      </c>
      <c r="M148" s="2" t="s">
        <v>986</v>
      </c>
      <c r="N148" s="2" t="s">
        <v>288</v>
      </c>
      <c r="O148" s="2">
        <v>100</v>
      </c>
      <c r="P148" s="2">
        <v>10450.953125</v>
      </c>
      <c r="Q148" s="2">
        <v>10881.763671875</v>
      </c>
      <c r="R148" s="2">
        <f t="shared" si="46"/>
        <v>1045095.3125</v>
      </c>
      <c r="S148" s="2">
        <f t="shared" si="47"/>
        <v>1088176.3671875</v>
      </c>
      <c r="T148" s="2">
        <f t="shared" si="48"/>
        <v>2133271.6796875</v>
      </c>
      <c r="U148" s="2">
        <f t="shared" si="49"/>
        <v>1066.6400000000001</v>
      </c>
      <c r="V148" s="2">
        <f t="shared" si="50"/>
        <v>43081.0546875</v>
      </c>
      <c r="W148" s="2">
        <f t="shared" si="51"/>
        <v>42014.414687500001</v>
      </c>
      <c r="X148" s="2">
        <f t="shared" si="52"/>
        <v>44349939.931642167</v>
      </c>
      <c r="Y148" s="2">
        <f t="shared" si="53"/>
        <v>209019.06</v>
      </c>
      <c r="Z148" s="2">
        <f t="shared" si="54"/>
        <v>20.100000000000001</v>
      </c>
      <c r="AA148" s="2">
        <f t="shared" si="57"/>
        <v>44535471.380003355</v>
      </c>
      <c r="AB148" s="2">
        <f t="shared" si="55"/>
        <v>-185531.44836118817</v>
      </c>
    </row>
    <row r="149" spans="1:28">
      <c r="A149" s="2">
        <v>146</v>
      </c>
      <c r="B149" s="2" t="s">
        <v>701</v>
      </c>
      <c r="C149" s="2" t="s">
        <v>932</v>
      </c>
      <c r="D149" s="3" t="s">
        <v>37</v>
      </c>
      <c r="E149" s="5" t="s">
        <v>134</v>
      </c>
      <c r="F149" s="2" t="s">
        <v>135</v>
      </c>
      <c r="G149" s="2" t="s">
        <v>77</v>
      </c>
      <c r="H149" s="2" t="s">
        <v>702</v>
      </c>
      <c r="I149" s="2" t="s">
        <v>1142</v>
      </c>
      <c r="J149" s="2" t="s">
        <v>575</v>
      </c>
      <c r="K149" s="2">
        <f t="shared" si="56"/>
        <v>44349939.931642167</v>
      </c>
      <c r="L149" s="2" t="s">
        <v>983</v>
      </c>
      <c r="M149" s="2" t="s">
        <v>946</v>
      </c>
      <c r="N149" s="2" t="s">
        <v>973</v>
      </c>
      <c r="O149" s="2">
        <v>2188</v>
      </c>
      <c r="P149" s="2">
        <v>449.46243286132812</v>
      </c>
      <c r="Q149" s="2">
        <v>498.44717407226562</v>
      </c>
      <c r="R149" s="2">
        <f t="shared" si="46"/>
        <v>983423.80310058594</v>
      </c>
      <c r="S149" s="2">
        <f t="shared" si="47"/>
        <v>1090602.4168701172</v>
      </c>
      <c r="T149" s="2">
        <f t="shared" si="48"/>
        <v>2074026.2199707031</v>
      </c>
      <c r="U149" s="2">
        <f t="shared" si="49"/>
        <v>1037.01</v>
      </c>
      <c r="V149" s="2">
        <f t="shared" si="50"/>
        <v>107178.61376953125</v>
      </c>
      <c r="W149" s="2">
        <f t="shared" si="51"/>
        <v>106141.60376953126</v>
      </c>
      <c r="X149" s="2">
        <f t="shared" si="52"/>
        <v>44456081.535411701</v>
      </c>
      <c r="Y149" s="2">
        <f t="shared" si="53"/>
        <v>196684.76</v>
      </c>
      <c r="Z149" s="2">
        <f t="shared" si="54"/>
        <v>53.97</v>
      </c>
      <c r="AA149" s="2">
        <f t="shared" si="57"/>
        <v>44535471.380003355</v>
      </c>
      <c r="AB149" s="2">
        <f t="shared" si="55"/>
        <v>-79389.844591654837</v>
      </c>
    </row>
    <row r="150" spans="1:28">
      <c r="A150" s="2">
        <v>147</v>
      </c>
      <c r="B150" s="2" t="s">
        <v>705</v>
      </c>
      <c r="C150" s="2" t="s">
        <v>932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634</v>
      </c>
      <c r="J150" s="2" t="s">
        <v>707</v>
      </c>
      <c r="K150" s="2">
        <f t="shared" si="56"/>
        <v>44456081.535411701</v>
      </c>
      <c r="L150" s="2" t="s">
        <v>182</v>
      </c>
      <c r="M150" s="2" t="s">
        <v>147</v>
      </c>
      <c r="N150" s="2" t="s">
        <v>73</v>
      </c>
      <c r="O150" s="2">
        <v>3750</v>
      </c>
      <c r="P150" s="2">
        <v>238.25454711914071</v>
      </c>
      <c r="Q150" s="2">
        <v>244.6724853515625</v>
      </c>
      <c r="R150" s="2">
        <f t="shared" si="46"/>
        <v>893454.55169677769</v>
      </c>
      <c r="S150" s="2">
        <f t="shared" si="47"/>
        <v>917521.82006835938</v>
      </c>
      <c r="T150" s="2">
        <f t="shared" si="48"/>
        <v>1810976.3717651372</v>
      </c>
      <c r="U150" s="2">
        <f t="shared" si="49"/>
        <v>905.49</v>
      </c>
      <c r="V150" s="2">
        <f t="shared" si="50"/>
        <v>24067.268371581682</v>
      </c>
      <c r="W150" s="2">
        <f t="shared" si="51"/>
        <v>23161.77837158168</v>
      </c>
      <c r="X150" s="2">
        <f t="shared" si="52"/>
        <v>44479243.313783281</v>
      </c>
      <c r="Y150" s="2">
        <f t="shared" si="53"/>
        <v>178690.91</v>
      </c>
      <c r="Z150" s="2">
        <f t="shared" si="54"/>
        <v>12.96</v>
      </c>
      <c r="AA150" s="2">
        <f t="shared" si="57"/>
        <v>44535471.380003355</v>
      </c>
      <c r="AB150" s="2">
        <f t="shared" si="55"/>
        <v>-56228.066220074892</v>
      </c>
    </row>
    <row r="151" spans="1:28">
      <c r="A151" s="2">
        <v>148</v>
      </c>
      <c r="B151" s="2" t="s">
        <v>708</v>
      </c>
      <c r="C151" s="2" t="s">
        <v>932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2" t="s">
        <v>579</v>
      </c>
      <c r="I151" s="2" t="s">
        <v>731</v>
      </c>
      <c r="J151" s="2" t="s">
        <v>1143</v>
      </c>
      <c r="K151" s="2">
        <f t="shared" si="56"/>
        <v>44479243.313783281</v>
      </c>
      <c r="L151" s="2" t="s">
        <v>957</v>
      </c>
      <c r="M151" s="2" t="s">
        <v>948</v>
      </c>
      <c r="N151" s="2" t="s">
        <v>946</v>
      </c>
      <c r="O151" s="2">
        <v>100</v>
      </c>
      <c r="P151" s="2">
        <v>47823.199999999997</v>
      </c>
      <c r="Q151" s="2">
        <v>43000.05</v>
      </c>
      <c r="R151" s="2">
        <f t="shared" si="46"/>
        <v>4782320</v>
      </c>
      <c r="S151" s="2">
        <f t="shared" si="47"/>
        <v>4300005</v>
      </c>
      <c r="T151" s="2">
        <f t="shared" si="48"/>
        <v>9082325</v>
      </c>
      <c r="U151" s="2">
        <f t="shared" si="49"/>
        <v>4541.16</v>
      </c>
      <c r="V151" s="2">
        <f t="shared" si="50"/>
        <v>-482315</v>
      </c>
      <c r="W151" s="2">
        <f t="shared" si="51"/>
        <v>-486856.16</v>
      </c>
      <c r="X151" s="2">
        <f t="shared" si="52"/>
        <v>43992387.153783284</v>
      </c>
      <c r="Y151" s="2">
        <f t="shared" si="53"/>
        <v>956464</v>
      </c>
      <c r="Z151" s="2">
        <f t="shared" si="54"/>
        <v>-50.9</v>
      </c>
      <c r="AA151" s="2">
        <f t="shared" si="57"/>
        <v>44535471.380003355</v>
      </c>
      <c r="AB151" s="2">
        <f t="shared" si="55"/>
        <v>-543084.22622007132</v>
      </c>
    </row>
    <row r="152" spans="1:28">
      <c r="A152" s="2">
        <v>149</v>
      </c>
      <c r="B152" s="2" t="s">
        <v>710</v>
      </c>
      <c r="C152" s="2" t="s">
        <v>932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2" t="s">
        <v>711</v>
      </c>
      <c r="I152" s="2" t="s">
        <v>115</v>
      </c>
      <c r="J152" s="2" t="s">
        <v>1144</v>
      </c>
      <c r="K152" s="2">
        <f t="shared" si="56"/>
        <v>43992387.153783284</v>
      </c>
      <c r="L152" s="2" t="s">
        <v>1014</v>
      </c>
      <c r="M152" s="2" t="s">
        <v>957</v>
      </c>
      <c r="N152" s="2" t="s">
        <v>288</v>
      </c>
      <c r="O152" s="2">
        <v>2806</v>
      </c>
      <c r="P152" s="2">
        <v>545.3280029296875</v>
      </c>
      <c r="Q152" s="2">
        <v>573.4974365234375</v>
      </c>
      <c r="R152" s="2">
        <f t="shared" si="46"/>
        <v>1530190.3762207031</v>
      </c>
      <c r="S152" s="2">
        <f t="shared" si="47"/>
        <v>1609233.8068847656</v>
      </c>
      <c r="T152" s="2">
        <f t="shared" si="48"/>
        <v>3139424.1831054687</v>
      </c>
      <c r="U152" s="2">
        <f t="shared" si="49"/>
        <v>1569.71</v>
      </c>
      <c r="V152" s="2">
        <f t="shared" si="50"/>
        <v>79043.4306640625</v>
      </c>
      <c r="W152" s="2">
        <f t="shared" si="51"/>
        <v>77473.720664062494</v>
      </c>
      <c r="X152" s="2">
        <f t="shared" si="52"/>
        <v>44069860.874447346</v>
      </c>
      <c r="Y152" s="2">
        <f t="shared" si="53"/>
        <v>306038.08</v>
      </c>
      <c r="Z152" s="2">
        <f t="shared" si="54"/>
        <v>25.32</v>
      </c>
      <c r="AA152" s="2">
        <f t="shared" si="57"/>
        <v>44535471.380003355</v>
      </c>
      <c r="AB152" s="2">
        <f t="shared" si="55"/>
        <v>-465610.50555600971</v>
      </c>
    </row>
    <row r="153" spans="1:28">
      <c r="A153" s="2">
        <v>150</v>
      </c>
      <c r="B153" s="2" t="s">
        <v>714</v>
      </c>
      <c r="C153" s="2" t="s">
        <v>932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2" t="s">
        <v>715</v>
      </c>
      <c r="I153" s="2" t="s">
        <v>1145</v>
      </c>
      <c r="J153" s="2" t="s">
        <v>755</v>
      </c>
      <c r="K153" s="2">
        <f t="shared" si="56"/>
        <v>44069860.874447346</v>
      </c>
      <c r="L153" s="2" t="s">
        <v>1052</v>
      </c>
      <c r="M153" s="2" t="s">
        <v>289</v>
      </c>
      <c r="N153" s="2" t="s">
        <v>966</v>
      </c>
      <c r="O153" s="2">
        <v>750</v>
      </c>
      <c r="P153" s="2">
        <v>733.20001220703125</v>
      </c>
      <c r="Q153" s="2">
        <v>721.95001220703125</v>
      </c>
      <c r="R153" s="2">
        <f t="shared" si="46"/>
        <v>549900.00915527344</v>
      </c>
      <c r="S153" s="2">
        <f t="shared" si="47"/>
        <v>541462.50915527344</v>
      </c>
      <c r="T153" s="2">
        <f t="shared" si="48"/>
        <v>1091362.5183105469</v>
      </c>
      <c r="U153" s="2">
        <f t="shared" si="49"/>
        <v>545.67999999999995</v>
      </c>
      <c r="V153" s="2">
        <f t="shared" si="50"/>
        <v>-8437.5</v>
      </c>
      <c r="W153" s="2">
        <f t="shared" si="51"/>
        <v>-8983.18</v>
      </c>
      <c r="X153" s="2">
        <f t="shared" si="52"/>
        <v>44060877.694447346</v>
      </c>
      <c r="Y153" s="2">
        <f t="shared" si="53"/>
        <v>109980</v>
      </c>
      <c r="Z153" s="2">
        <f t="shared" si="54"/>
        <v>-8.17</v>
      </c>
      <c r="AA153" s="2">
        <f t="shared" si="57"/>
        <v>44535471.380003355</v>
      </c>
      <c r="AB153" s="2">
        <f t="shared" si="55"/>
        <v>-474593.68555600941</v>
      </c>
    </row>
    <row r="154" spans="1:28">
      <c r="A154" s="2">
        <v>151</v>
      </c>
      <c r="B154" s="2" t="s">
        <v>718</v>
      </c>
      <c r="C154" s="2" t="s">
        <v>932</v>
      </c>
      <c r="D154" s="3" t="s">
        <v>37</v>
      </c>
      <c r="E154" s="5" t="s">
        <v>134</v>
      </c>
      <c r="F154" s="2" t="s">
        <v>135</v>
      </c>
      <c r="G154" s="2" t="s">
        <v>40</v>
      </c>
      <c r="H154" s="2" t="s">
        <v>691</v>
      </c>
      <c r="I154" s="2" t="s">
        <v>1017</v>
      </c>
      <c r="J154" s="2" t="s">
        <v>895</v>
      </c>
      <c r="K154" s="2">
        <f t="shared" si="56"/>
        <v>44060877.694447346</v>
      </c>
      <c r="L154" s="2" t="s">
        <v>1055</v>
      </c>
      <c r="M154" s="2" t="s">
        <v>289</v>
      </c>
      <c r="N154" s="2" t="s">
        <v>966</v>
      </c>
      <c r="O154" s="2">
        <v>181</v>
      </c>
      <c r="P154" s="2">
        <v>5398.646484375</v>
      </c>
      <c r="Q154" s="2">
        <v>5593.0439453125</v>
      </c>
      <c r="R154" s="2">
        <f t="shared" si="46"/>
        <v>977155.013671875</v>
      </c>
      <c r="S154" s="2">
        <f t="shared" si="47"/>
        <v>1012340.9541015625</v>
      </c>
      <c r="T154" s="2">
        <f t="shared" si="48"/>
        <v>1989495.9677734375</v>
      </c>
      <c r="U154" s="2">
        <f t="shared" si="49"/>
        <v>994.75</v>
      </c>
      <c r="V154" s="2">
        <f t="shared" si="50"/>
        <v>35185.9404296875</v>
      </c>
      <c r="W154" s="2">
        <f t="shared" si="51"/>
        <v>34191.1904296875</v>
      </c>
      <c r="X154" s="2">
        <f t="shared" si="52"/>
        <v>44095068.884877034</v>
      </c>
      <c r="Y154" s="2">
        <f t="shared" si="53"/>
        <v>195431</v>
      </c>
      <c r="Z154" s="2">
        <f t="shared" si="54"/>
        <v>17.5</v>
      </c>
      <c r="AA154" s="2">
        <f t="shared" si="57"/>
        <v>44535471.380003355</v>
      </c>
      <c r="AB154" s="2">
        <f t="shared" si="55"/>
        <v>-440402.49512632191</v>
      </c>
    </row>
    <row r="155" spans="1:28">
      <c r="A155" s="2">
        <v>152</v>
      </c>
      <c r="B155" s="2" t="s">
        <v>720</v>
      </c>
      <c r="C155" s="2" t="s">
        <v>932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2" t="s">
        <v>320</v>
      </c>
      <c r="I155" s="2" t="s">
        <v>306</v>
      </c>
      <c r="J155" s="2" t="s">
        <v>1140</v>
      </c>
      <c r="K155" s="2">
        <f t="shared" si="56"/>
        <v>44095068.884877034</v>
      </c>
      <c r="L155" s="2" t="s">
        <v>970</v>
      </c>
      <c r="M155" s="2" t="s">
        <v>967</v>
      </c>
      <c r="N155" s="2" t="s">
        <v>957</v>
      </c>
      <c r="O155" s="2">
        <v>3585</v>
      </c>
      <c r="P155" s="2">
        <v>311.32464599609369</v>
      </c>
      <c r="Q155" s="2">
        <v>326.70388793945313</v>
      </c>
      <c r="R155" s="2">
        <f t="shared" si="46"/>
        <v>1116098.8558959959</v>
      </c>
      <c r="S155" s="2">
        <f t="shared" si="47"/>
        <v>1171233.4382629395</v>
      </c>
      <c r="T155" s="2">
        <f t="shared" si="48"/>
        <v>2287332.2941589355</v>
      </c>
      <c r="U155" s="2">
        <f t="shared" si="49"/>
        <v>1143.67</v>
      </c>
      <c r="V155" s="2">
        <f t="shared" si="50"/>
        <v>55134.582366943592</v>
      </c>
      <c r="W155" s="2">
        <f t="shared" si="51"/>
        <v>53990.912366943594</v>
      </c>
      <c r="X155" s="2">
        <f t="shared" si="52"/>
        <v>44149059.797243975</v>
      </c>
      <c r="Y155" s="2">
        <f t="shared" si="53"/>
        <v>223219.77</v>
      </c>
      <c r="Z155" s="2">
        <f t="shared" si="54"/>
        <v>24.19</v>
      </c>
      <c r="AA155" s="2">
        <f t="shared" si="57"/>
        <v>44535471.380003355</v>
      </c>
      <c r="AB155" s="2">
        <f t="shared" si="55"/>
        <v>-386411.58275938034</v>
      </c>
    </row>
    <row r="156" spans="1:28">
      <c r="A156" s="2">
        <v>153</v>
      </c>
      <c r="B156" s="2" t="s">
        <v>723</v>
      </c>
      <c r="C156" s="2" t="s">
        <v>932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2" t="s">
        <v>724</v>
      </c>
      <c r="I156" s="2" t="s">
        <v>536</v>
      </c>
      <c r="J156" s="2" t="s">
        <v>1146</v>
      </c>
      <c r="K156" s="2">
        <f t="shared" si="56"/>
        <v>44149059.797243975</v>
      </c>
      <c r="L156" s="2" t="s">
        <v>994</v>
      </c>
      <c r="M156" s="2" t="s">
        <v>980</v>
      </c>
      <c r="N156" s="2" t="s">
        <v>948</v>
      </c>
      <c r="O156" s="2">
        <v>2346</v>
      </c>
      <c r="P156" s="2">
        <v>425.06021118164062</v>
      </c>
      <c r="Q156" s="2">
        <v>441.37274169921881</v>
      </c>
      <c r="R156" s="2">
        <f t="shared" si="46"/>
        <v>997191.25543212891</v>
      </c>
      <c r="S156" s="2">
        <f t="shared" si="47"/>
        <v>1035460.4520263673</v>
      </c>
      <c r="T156" s="2">
        <f t="shared" si="48"/>
        <v>2032651.7074584961</v>
      </c>
      <c r="U156" s="2">
        <f t="shared" si="49"/>
        <v>1016.33</v>
      </c>
      <c r="V156" s="2">
        <f t="shared" si="50"/>
        <v>38269.196594238398</v>
      </c>
      <c r="W156" s="2">
        <f t="shared" si="51"/>
        <v>37252.866594238396</v>
      </c>
      <c r="X156" s="2">
        <f t="shared" si="52"/>
        <v>44186312.663838215</v>
      </c>
      <c r="Y156" s="2">
        <f t="shared" si="53"/>
        <v>199438.25</v>
      </c>
      <c r="Z156" s="2">
        <f t="shared" si="54"/>
        <v>18.68</v>
      </c>
      <c r="AA156" s="2">
        <f t="shared" si="57"/>
        <v>44535471.380003355</v>
      </c>
      <c r="AB156" s="2">
        <f t="shared" si="55"/>
        <v>-349158.71616514027</v>
      </c>
    </row>
    <row r="157" spans="1:28">
      <c r="A157" s="2">
        <v>154</v>
      </c>
      <c r="B157" s="2" t="s">
        <v>727</v>
      </c>
      <c r="C157" s="2" t="s">
        <v>932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2" t="s">
        <v>728</v>
      </c>
      <c r="I157" s="2" t="s">
        <v>196</v>
      </c>
      <c r="J157" s="2" t="s">
        <v>1147</v>
      </c>
      <c r="K157" s="2">
        <f t="shared" si="56"/>
        <v>44186312.663838215</v>
      </c>
      <c r="L157" s="2" t="s">
        <v>959</v>
      </c>
      <c r="M157" s="2" t="s">
        <v>989</v>
      </c>
      <c r="N157" s="2" t="s">
        <v>947</v>
      </c>
      <c r="O157" s="2">
        <v>1631</v>
      </c>
      <c r="P157" s="2">
        <v>625.3243408203125</v>
      </c>
      <c r="Q157" s="2">
        <v>648.96392822265625</v>
      </c>
      <c r="R157" s="2">
        <f t="shared" si="46"/>
        <v>1019903.9998779297</v>
      </c>
      <c r="S157" s="2">
        <f t="shared" si="47"/>
        <v>1058460.1669311523</v>
      </c>
      <c r="T157" s="2">
        <f t="shared" si="48"/>
        <v>2078364.166809082</v>
      </c>
      <c r="U157" s="2">
        <f t="shared" si="49"/>
        <v>1039.18</v>
      </c>
      <c r="V157" s="2">
        <f t="shared" si="50"/>
        <v>38556.167053222656</v>
      </c>
      <c r="W157" s="2">
        <f t="shared" si="51"/>
        <v>37516.987053222656</v>
      </c>
      <c r="X157" s="2">
        <f t="shared" si="52"/>
        <v>44223829.650891438</v>
      </c>
      <c r="Y157" s="2">
        <f t="shared" si="53"/>
        <v>203980.79999999999</v>
      </c>
      <c r="Z157" s="2">
        <f t="shared" si="54"/>
        <v>18.39</v>
      </c>
      <c r="AA157" s="2">
        <f t="shared" si="57"/>
        <v>44535471.380003355</v>
      </c>
      <c r="AB157" s="2">
        <f t="shared" si="55"/>
        <v>-311641.72911191732</v>
      </c>
    </row>
    <row r="158" spans="1:28">
      <c r="A158" s="2">
        <v>155</v>
      </c>
      <c r="B158" s="2" t="s">
        <v>729</v>
      </c>
      <c r="C158" s="2" t="s">
        <v>932</v>
      </c>
      <c r="D158" s="4" t="s">
        <v>61</v>
      </c>
      <c r="E158" s="5" t="s">
        <v>134</v>
      </c>
      <c r="F158" s="2" t="s">
        <v>135</v>
      </c>
      <c r="G158" s="2" t="s">
        <v>54</v>
      </c>
      <c r="H158" s="2" t="s">
        <v>104</v>
      </c>
      <c r="I158" s="2" t="s">
        <v>477</v>
      </c>
      <c r="J158" s="2" t="s">
        <v>672</v>
      </c>
      <c r="K158" s="2">
        <f t="shared" si="56"/>
        <v>44223829.650891438</v>
      </c>
      <c r="L158" s="2" t="s">
        <v>966</v>
      </c>
      <c r="M158" s="2" t="s">
        <v>967</v>
      </c>
      <c r="N158" s="2" t="s">
        <v>290</v>
      </c>
      <c r="O158" s="2">
        <v>529</v>
      </c>
      <c r="P158" s="2">
        <v>1519.710815429688</v>
      </c>
      <c r="Q158" s="2">
        <v>1581.311889648438</v>
      </c>
      <c r="R158" s="2">
        <f t="shared" si="46"/>
        <v>803927.02136230492</v>
      </c>
      <c r="S158" s="2">
        <f t="shared" si="47"/>
        <v>836513.98962402367</v>
      </c>
      <c r="T158" s="2">
        <f t="shared" si="48"/>
        <v>1640441.0109863286</v>
      </c>
      <c r="U158" s="2">
        <f t="shared" si="49"/>
        <v>820.22</v>
      </c>
      <c r="V158" s="2">
        <f t="shared" si="50"/>
        <v>32586.96826171875</v>
      </c>
      <c r="W158" s="2">
        <f t="shared" si="51"/>
        <v>31766.748261718749</v>
      </c>
      <c r="X158" s="2">
        <f t="shared" si="52"/>
        <v>44255596.399153158</v>
      </c>
      <c r="Y158" s="2">
        <f t="shared" si="53"/>
        <v>160785.4</v>
      </c>
      <c r="Z158" s="2">
        <f t="shared" si="54"/>
        <v>19.760000000000002</v>
      </c>
      <c r="AA158" s="2">
        <f t="shared" si="57"/>
        <v>44535471.380003355</v>
      </c>
      <c r="AB158" s="2">
        <f t="shared" si="55"/>
        <v>-279874.98085019737</v>
      </c>
    </row>
    <row r="159" spans="1:28">
      <c r="A159" s="2">
        <v>156</v>
      </c>
      <c r="B159" s="2" t="s">
        <v>732</v>
      </c>
      <c r="C159" s="2" t="s">
        <v>932</v>
      </c>
      <c r="D159" s="3" t="s">
        <v>37</v>
      </c>
      <c r="E159" s="5" t="s">
        <v>134</v>
      </c>
      <c r="F159" s="2" t="s">
        <v>135</v>
      </c>
      <c r="G159" s="2" t="s">
        <v>77</v>
      </c>
      <c r="H159" s="2" t="s">
        <v>733</v>
      </c>
      <c r="I159" s="2" t="s">
        <v>1148</v>
      </c>
      <c r="J159" s="2" t="s">
        <v>518</v>
      </c>
      <c r="K159" s="2">
        <f t="shared" si="56"/>
        <v>44255596.399153158</v>
      </c>
      <c r="L159" s="2" t="s">
        <v>985</v>
      </c>
      <c r="M159" s="2" t="s">
        <v>957</v>
      </c>
      <c r="N159" s="2" t="s">
        <v>288</v>
      </c>
      <c r="O159" s="2">
        <v>613</v>
      </c>
      <c r="P159" s="2">
        <v>1554.807495117188</v>
      </c>
      <c r="Q159" s="2">
        <v>1567.35546875</v>
      </c>
      <c r="R159" s="2">
        <f t="shared" si="46"/>
        <v>953096.99450683617</v>
      </c>
      <c r="S159" s="2">
        <f t="shared" si="47"/>
        <v>960788.90234375</v>
      </c>
      <c r="T159" s="2">
        <f t="shared" si="48"/>
        <v>1913885.8968505862</v>
      </c>
      <c r="U159" s="2">
        <f t="shared" si="49"/>
        <v>956.94</v>
      </c>
      <c r="V159" s="2">
        <f t="shared" si="50"/>
        <v>7691.9078369138297</v>
      </c>
      <c r="W159" s="2">
        <f t="shared" si="51"/>
        <v>6734.9678369138292</v>
      </c>
      <c r="X159" s="2">
        <f t="shared" si="52"/>
        <v>44262331.366990075</v>
      </c>
      <c r="Y159" s="2">
        <f t="shared" si="53"/>
        <v>190619.4</v>
      </c>
      <c r="Z159" s="2">
        <f t="shared" si="54"/>
        <v>3.53</v>
      </c>
      <c r="AA159" s="2">
        <f t="shared" si="57"/>
        <v>44535471.380003355</v>
      </c>
      <c r="AB159" s="2">
        <f t="shared" si="55"/>
        <v>-273140.01301328093</v>
      </c>
    </row>
    <row r="160" spans="1:28">
      <c r="A160" s="2">
        <v>157</v>
      </c>
      <c r="B160" s="2" t="s">
        <v>736</v>
      </c>
      <c r="C160" s="2" t="s">
        <v>932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2" t="s">
        <v>676</v>
      </c>
      <c r="I160" s="2" t="s">
        <v>1149</v>
      </c>
      <c r="J160" s="2" t="s">
        <v>396</v>
      </c>
      <c r="K160" s="2">
        <f t="shared" si="56"/>
        <v>44262331.366990075</v>
      </c>
      <c r="L160" s="2" t="s">
        <v>979</v>
      </c>
      <c r="M160" s="2" t="s">
        <v>974</v>
      </c>
      <c r="N160" s="2" t="s">
        <v>980</v>
      </c>
      <c r="O160" s="2">
        <v>360</v>
      </c>
      <c r="P160" s="2">
        <v>4510.96142578125</v>
      </c>
      <c r="Q160" s="2">
        <v>4167.06494140625</v>
      </c>
      <c r="R160" s="2">
        <f t="shared" si="46"/>
        <v>1623946.11328125</v>
      </c>
      <c r="S160" s="2">
        <f t="shared" si="47"/>
        <v>1500143.37890625</v>
      </c>
      <c r="T160" s="2">
        <f t="shared" si="48"/>
        <v>3124089.4921875</v>
      </c>
      <c r="U160" s="2">
        <f t="shared" si="49"/>
        <v>1562.04</v>
      </c>
      <c r="V160" s="2">
        <f t="shared" si="50"/>
        <v>-123802.734375</v>
      </c>
      <c r="W160" s="2">
        <f t="shared" si="51"/>
        <v>-125364.77437499999</v>
      </c>
      <c r="X160" s="2">
        <f t="shared" si="52"/>
        <v>44136966.592615075</v>
      </c>
      <c r="Y160" s="2">
        <f t="shared" si="53"/>
        <v>324789.21999999997</v>
      </c>
      <c r="Z160" s="2">
        <f t="shared" si="54"/>
        <v>-38.6</v>
      </c>
      <c r="AA160" s="2">
        <f t="shared" si="57"/>
        <v>44535471.380003355</v>
      </c>
      <c r="AB160" s="2">
        <f t="shared" si="55"/>
        <v>-398504.78738828003</v>
      </c>
    </row>
    <row r="161" spans="1:28">
      <c r="A161" s="2">
        <v>158</v>
      </c>
      <c r="B161" s="2" t="s">
        <v>738</v>
      </c>
      <c r="C161" s="2" t="s">
        <v>932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2" t="s">
        <v>427</v>
      </c>
      <c r="I161" s="2" t="s">
        <v>683</v>
      </c>
      <c r="J161" s="2" t="s">
        <v>1150</v>
      </c>
      <c r="K161" s="2">
        <f t="shared" si="56"/>
        <v>44136966.592615075</v>
      </c>
      <c r="L161" s="2" t="s">
        <v>1052</v>
      </c>
      <c r="M161" s="2" t="s">
        <v>994</v>
      </c>
      <c r="N161" s="2" t="s">
        <v>289</v>
      </c>
      <c r="O161" s="2">
        <v>8957</v>
      </c>
      <c r="P161" s="2">
        <v>95.693855285644517</v>
      </c>
      <c r="Q161" s="2">
        <v>99.206947326660156</v>
      </c>
      <c r="R161" s="2">
        <f t="shared" si="46"/>
        <v>857129.86179351795</v>
      </c>
      <c r="S161" s="2">
        <f t="shared" si="47"/>
        <v>888596.62720489502</v>
      </c>
      <c r="T161" s="2">
        <f t="shared" si="48"/>
        <v>1745726.4889984131</v>
      </c>
      <c r="U161" s="2">
        <f t="shared" si="49"/>
        <v>872.86</v>
      </c>
      <c r="V161" s="2">
        <f t="shared" si="50"/>
        <v>31466.76541137707</v>
      </c>
      <c r="W161" s="2">
        <f t="shared" si="51"/>
        <v>30593.905411377069</v>
      </c>
      <c r="X161" s="2">
        <f t="shared" si="52"/>
        <v>44167560.498026453</v>
      </c>
      <c r="Y161" s="2">
        <f t="shared" si="53"/>
        <v>171425.97</v>
      </c>
      <c r="Z161" s="2">
        <f t="shared" si="54"/>
        <v>17.850000000000001</v>
      </c>
      <c r="AA161" s="2">
        <f t="shared" si="57"/>
        <v>44535471.380003355</v>
      </c>
      <c r="AB161" s="2">
        <f t="shared" si="55"/>
        <v>-367910.88197690248</v>
      </c>
    </row>
    <row r="162" spans="1:28">
      <c r="A162" s="2">
        <v>159</v>
      </c>
      <c r="B162" s="2" t="s">
        <v>741</v>
      </c>
      <c r="C162" s="2" t="s">
        <v>932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2" t="s">
        <v>314</v>
      </c>
      <c r="I162" s="2" t="s">
        <v>1151</v>
      </c>
      <c r="J162" s="2" t="s">
        <v>1152</v>
      </c>
      <c r="K162" s="2">
        <f t="shared" si="56"/>
        <v>44167560.498026453</v>
      </c>
      <c r="L162" s="2" t="s">
        <v>970</v>
      </c>
      <c r="M162" s="2" t="s">
        <v>967</v>
      </c>
      <c r="N162" s="2" t="s">
        <v>957</v>
      </c>
      <c r="O162" s="2">
        <v>967</v>
      </c>
      <c r="P162" s="2">
        <v>962.14709472656239</v>
      </c>
      <c r="Q162" s="2">
        <v>928.02099609375</v>
      </c>
      <c r="R162" s="2">
        <f t="shared" si="46"/>
        <v>930396.24060058582</v>
      </c>
      <c r="S162" s="2">
        <f t="shared" si="47"/>
        <v>897396.30322265625</v>
      </c>
      <c r="T162" s="2">
        <f t="shared" si="48"/>
        <v>1827792.5438232422</v>
      </c>
      <c r="U162" s="2">
        <f t="shared" si="49"/>
        <v>913.9</v>
      </c>
      <c r="V162" s="2">
        <f t="shared" si="50"/>
        <v>-32999.937377929571</v>
      </c>
      <c r="W162" s="2">
        <f t="shared" si="51"/>
        <v>-33913.837377929573</v>
      </c>
      <c r="X162" s="2">
        <f t="shared" si="52"/>
        <v>44133646.660648525</v>
      </c>
      <c r="Y162" s="2">
        <f t="shared" si="53"/>
        <v>186079.25</v>
      </c>
      <c r="Z162" s="2">
        <f t="shared" si="54"/>
        <v>-18.23</v>
      </c>
      <c r="AA162" s="2">
        <f t="shared" si="57"/>
        <v>44535471.380003355</v>
      </c>
      <c r="AB162" s="2">
        <f t="shared" si="55"/>
        <v>-401824.71935483068</v>
      </c>
    </row>
    <row r="163" spans="1:28">
      <c r="A163" s="2">
        <v>160</v>
      </c>
      <c r="B163" s="2" t="s">
        <v>743</v>
      </c>
      <c r="C163" s="2" t="s">
        <v>932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2" t="s">
        <v>744</v>
      </c>
      <c r="I163" s="2" t="s">
        <v>671</v>
      </c>
      <c r="J163" s="2" t="s">
        <v>1153</v>
      </c>
      <c r="K163" s="2">
        <f t="shared" si="56"/>
        <v>44133646.660648525</v>
      </c>
      <c r="L163" s="2" t="s">
        <v>986</v>
      </c>
      <c r="M163" s="2" t="s">
        <v>946</v>
      </c>
      <c r="N163" s="2" t="s">
        <v>973</v>
      </c>
      <c r="O163" s="2">
        <v>627</v>
      </c>
      <c r="P163" s="2">
        <v>1703.400024414062</v>
      </c>
      <c r="Q163" s="2">
        <v>1739</v>
      </c>
      <c r="R163" s="2">
        <f t="shared" si="46"/>
        <v>1068031.815307617</v>
      </c>
      <c r="S163" s="2">
        <f t="shared" si="47"/>
        <v>1090353</v>
      </c>
      <c r="T163" s="2">
        <f t="shared" si="48"/>
        <v>2158384.8153076172</v>
      </c>
      <c r="U163" s="2">
        <f t="shared" si="49"/>
        <v>1079.19</v>
      </c>
      <c r="V163" s="2">
        <f t="shared" si="50"/>
        <v>22321.184692383045</v>
      </c>
      <c r="W163" s="2">
        <f t="shared" si="51"/>
        <v>21241.994692383047</v>
      </c>
      <c r="X163" s="2">
        <f t="shared" si="52"/>
        <v>44154888.65534091</v>
      </c>
      <c r="Y163" s="2">
        <f t="shared" si="53"/>
        <v>213606.36</v>
      </c>
      <c r="Z163" s="2">
        <f t="shared" si="54"/>
        <v>9.94</v>
      </c>
      <c r="AA163" s="2">
        <f t="shared" si="57"/>
        <v>44535471.380003355</v>
      </c>
      <c r="AB163" s="2">
        <f t="shared" si="55"/>
        <v>-380582.72466244549</v>
      </c>
    </row>
    <row r="164" spans="1:28">
      <c r="A164" s="2">
        <v>161</v>
      </c>
      <c r="B164" s="2" t="s">
        <v>746</v>
      </c>
      <c r="C164" s="2" t="s">
        <v>932</v>
      </c>
      <c r="D164" s="4" t="s">
        <v>61</v>
      </c>
      <c r="E164" s="5" t="s">
        <v>134</v>
      </c>
      <c r="F164" s="2" t="s">
        <v>135</v>
      </c>
      <c r="G164" s="2" t="s">
        <v>77</v>
      </c>
      <c r="H164" s="2" t="s">
        <v>747</v>
      </c>
      <c r="I164" s="2" t="s">
        <v>1154</v>
      </c>
      <c r="J164" s="2" t="s">
        <v>1155</v>
      </c>
      <c r="K164" s="2">
        <f t="shared" si="56"/>
        <v>44154888.65534091</v>
      </c>
      <c r="L164" s="2" t="s">
        <v>956</v>
      </c>
      <c r="M164" s="2" t="s">
        <v>970</v>
      </c>
      <c r="N164" s="2" t="s">
        <v>1014</v>
      </c>
      <c r="O164" s="2">
        <v>112</v>
      </c>
      <c r="P164" s="2">
        <v>7047.337890625</v>
      </c>
      <c r="Q164" s="2">
        <v>7406.61279296875</v>
      </c>
      <c r="R164" s="2">
        <f t="shared" ref="R164:R190" si="58">O164*P164</f>
        <v>789301.84375</v>
      </c>
      <c r="S164" s="2">
        <f t="shared" ref="S164:S190" si="59">O164*Q164</f>
        <v>829540.6328125</v>
      </c>
      <c r="T164" s="2">
        <f t="shared" ref="T164:T195" si="60">R164+S164</f>
        <v>1618842.4765625</v>
      </c>
      <c r="U164" s="2">
        <f t="shared" ref="U164:U195" si="61">ROUND(T164*0.0005, 2)</f>
        <v>809.42</v>
      </c>
      <c r="V164" s="2">
        <f t="shared" ref="V164:V190" si="62">S164-R164</f>
        <v>40238.7890625</v>
      </c>
      <c r="W164" s="2">
        <f t="shared" ref="W164:W195" si="63">V164-U164</f>
        <v>39429.369062500002</v>
      </c>
      <c r="X164" s="2">
        <f t="shared" ref="X164:X195" si="64">K164+W164</f>
        <v>44194318.024403408</v>
      </c>
      <c r="Y164" s="2">
        <f t="shared" ref="Y164:Y190" si="65">ROUND(0.2*R164, 2)</f>
        <v>157860.37</v>
      </c>
      <c r="Z164" s="2">
        <f t="shared" ref="Z164:Z195" si="66">ROUND((W164/Y164)*100, 2)</f>
        <v>24.98</v>
      </c>
      <c r="AA164" s="2">
        <f t="shared" si="57"/>
        <v>44535471.380003355</v>
      </c>
      <c r="AB164" s="2">
        <f t="shared" ref="AB164:AB195" si="67">X164-AA164</f>
        <v>-341153.35559994727</v>
      </c>
    </row>
    <row r="165" spans="1:28">
      <c r="A165" s="2">
        <v>162</v>
      </c>
      <c r="B165" s="2" t="s">
        <v>750</v>
      </c>
      <c r="C165" s="2" t="s">
        <v>932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752</v>
      </c>
      <c r="J165" s="2" t="s">
        <v>753</v>
      </c>
      <c r="K165" s="2">
        <f t="shared" si="56"/>
        <v>44194318.024403408</v>
      </c>
      <c r="L165" s="2" t="s">
        <v>74</v>
      </c>
      <c r="M165" s="2" t="s">
        <v>131</v>
      </c>
      <c r="N165" s="2" t="s">
        <v>148</v>
      </c>
      <c r="O165" s="2">
        <v>1800</v>
      </c>
      <c r="P165" s="2">
        <v>253.17539978027341</v>
      </c>
      <c r="Q165" s="2">
        <v>271.64120483398437</v>
      </c>
      <c r="R165" s="2">
        <f t="shared" si="58"/>
        <v>455715.71960449213</v>
      </c>
      <c r="S165" s="2">
        <f t="shared" si="59"/>
        <v>488954.16870117188</v>
      </c>
      <c r="T165" s="2">
        <f t="shared" si="60"/>
        <v>944669.88830566406</v>
      </c>
      <c r="U165" s="2">
        <f t="shared" si="61"/>
        <v>472.33</v>
      </c>
      <c r="V165" s="2">
        <f t="shared" si="62"/>
        <v>33238.449096679746</v>
      </c>
      <c r="W165" s="2">
        <f t="shared" si="63"/>
        <v>32766.119096679744</v>
      </c>
      <c r="X165" s="2">
        <f t="shared" si="64"/>
        <v>44227084.14350009</v>
      </c>
      <c r="Y165" s="2">
        <f t="shared" si="65"/>
        <v>91143.14</v>
      </c>
      <c r="Z165" s="2">
        <f t="shared" si="66"/>
        <v>35.950000000000003</v>
      </c>
      <c r="AA165" s="2">
        <f t="shared" ref="AA165:AA190" si="68">MAX(AA164, X165)</f>
        <v>44535471.380003355</v>
      </c>
      <c r="AB165" s="2">
        <f t="shared" si="67"/>
        <v>-308387.2365032658</v>
      </c>
    </row>
    <row r="166" spans="1:28">
      <c r="A166" s="2">
        <v>163</v>
      </c>
      <c r="B166" s="2" t="s">
        <v>754</v>
      </c>
      <c r="C166" s="2" t="s">
        <v>932</v>
      </c>
      <c r="D166" s="4" t="s">
        <v>61</v>
      </c>
      <c r="E166" s="5" t="s">
        <v>134</v>
      </c>
      <c r="F166" s="2" t="s">
        <v>135</v>
      </c>
      <c r="G166" s="2" t="s">
        <v>97</v>
      </c>
      <c r="H166" s="2" t="s">
        <v>755</v>
      </c>
      <c r="I166" s="2" t="s">
        <v>755</v>
      </c>
      <c r="J166" s="2" t="s">
        <v>42</v>
      </c>
      <c r="K166" s="2">
        <f t="shared" si="56"/>
        <v>44227084.14350009</v>
      </c>
      <c r="L166" s="2" t="s">
        <v>756</v>
      </c>
      <c r="M166" s="2" t="s">
        <v>757</v>
      </c>
      <c r="N166" s="2" t="s">
        <v>994</v>
      </c>
      <c r="O166" s="2">
        <v>100</v>
      </c>
      <c r="P166" s="2">
        <v>18220</v>
      </c>
      <c r="Q166" s="2">
        <v>18225</v>
      </c>
      <c r="R166" s="2">
        <f t="shared" si="58"/>
        <v>1822000</v>
      </c>
      <c r="S166" s="2">
        <f t="shared" si="59"/>
        <v>1822500</v>
      </c>
      <c r="T166" s="2">
        <f t="shared" si="60"/>
        <v>3644500</v>
      </c>
      <c r="U166" s="2">
        <f t="shared" si="61"/>
        <v>1822.25</v>
      </c>
      <c r="V166" s="2">
        <f t="shared" si="62"/>
        <v>500</v>
      </c>
      <c r="W166" s="2">
        <f t="shared" si="63"/>
        <v>-1322.25</v>
      </c>
      <c r="X166" s="2">
        <f t="shared" si="64"/>
        <v>44225761.89350009</v>
      </c>
      <c r="Y166" s="2">
        <f t="shared" si="65"/>
        <v>364400</v>
      </c>
      <c r="Z166" s="2">
        <f t="shared" si="66"/>
        <v>-0.36</v>
      </c>
      <c r="AA166" s="2">
        <f t="shared" si="68"/>
        <v>44535471.380003355</v>
      </c>
      <c r="AB166" s="2">
        <f t="shared" si="67"/>
        <v>-309709.4865032658</v>
      </c>
    </row>
    <row r="167" spans="1:28">
      <c r="A167" s="2">
        <v>164</v>
      </c>
      <c r="B167" s="2" t="s">
        <v>758</v>
      </c>
      <c r="C167" s="2" t="s">
        <v>932</v>
      </c>
      <c r="D167" s="4" t="s">
        <v>61</v>
      </c>
      <c r="E167" s="5" t="s">
        <v>134</v>
      </c>
      <c r="F167" s="2" t="s">
        <v>456</v>
      </c>
      <c r="G167" s="2" t="s">
        <v>63</v>
      </c>
      <c r="H167" s="2" t="s">
        <v>306</v>
      </c>
      <c r="I167" s="2" t="s">
        <v>197</v>
      </c>
      <c r="J167" s="2" t="s">
        <v>458</v>
      </c>
      <c r="K167" s="2">
        <f t="shared" si="56"/>
        <v>44225761.89350009</v>
      </c>
      <c r="L167" s="2" t="s">
        <v>946</v>
      </c>
      <c r="M167" s="2" t="s">
        <v>947</v>
      </c>
      <c r="N167" s="2" t="s">
        <v>960</v>
      </c>
      <c r="O167" s="2">
        <v>1017</v>
      </c>
      <c r="P167" s="2">
        <v>1038.544067382812</v>
      </c>
      <c r="Q167" s="2">
        <v>1090.940307617188</v>
      </c>
      <c r="R167" s="2">
        <f t="shared" si="58"/>
        <v>1056199.3165283198</v>
      </c>
      <c r="S167" s="2">
        <f t="shared" si="59"/>
        <v>1109486.2928466802</v>
      </c>
      <c r="T167" s="2">
        <f t="shared" si="60"/>
        <v>2165685.609375</v>
      </c>
      <c r="U167" s="2">
        <f t="shared" si="61"/>
        <v>1082.8399999999999</v>
      </c>
      <c r="V167" s="2">
        <f t="shared" si="62"/>
        <v>53286.976318360306</v>
      </c>
      <c r="W167" s="2">
        <f t="shared" si="63"/>
        <v>52204.13631836031</v>
      </c>
      <c r="X167" s="2">
        <f t="shared" si="64"/>
        <v>44277966.029818453</v>
      </c>
      <c r="Y167" s="2">
        <f t="shared" si="65"/>
        <v>211239.86</v>
      </c>
      <c r="Z167" s="2">
        <f t="shared" si="66"/>
        <v>24.71</v>
      </c>
      <c r="AA167" s="2">
        <f t="shared" si="68"/>
        <v>44535471.380003355</v>
      </c>
      <c r="AB167" s="2">
        <f t="shared" si="67"/>
        <v>-257505.35018490255</v>
      </c>
    </row>
    <row r="168" spans="1:28">
      <c r="A168" s="2">
        <v>165</v>
      </c>
      <c r="B168" s="2" t="s">
        <v>760</v>
      </c>
      <c r="C168" s="2" t="s">
        <v>932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2" t="s">
        <v>196</v>
      </c>
      <c r="I168" s="2" t="s">
        <v>1156</v>
      </c>
      <c r="J168" s="2" t="s">
        <v>847</v>
      </c>
      <c r="K168" s="2">
        <f t="shared" si="56"/>
        <v>44277966.029818453</v>
      </c>
      <c r="L168" s="2" t="s">
        <v>1011</v>
      </c>
      <c r="M168" s="2" t="s">
        <v>979</v>
      </c>
      <c r="N168" s="2" t="s">
        <v>986</v>
      </c>
      <c r="O168" s="2">
        <v>627</v>
      </c>
      <c r="P168" s="2">
        <v>1597.860717773438</v>
      </c>
      <c r="Q168" s="2">
        <v>1718.17236328125</v>
      </c>
      <c r="R168" s="2">
        <f t="shared" si="58"/>
        <v>1001858.6700439455</v>
      </c>
      <c r="S168" s="2">
        <f t="shared" si="59"/>
        <v>1077294.0717773438</v>
      </c>
      <c r="T168" s="2">
        <f t="shared" si="60"/>
        <v>2079152.7418212893</v>
      </c>
      <c r="U168" s="2">
        <f t="shared" si="61"/>
        <v>1039.58</v>
      </c>
      <c r="V168" s="2">
        <f t="shared" si="62"/>
        <v>75435.401733398205</v>
      </c>
      <c r="W168" s="2">
        <f t="shared" si="63"/>
        <v>74395.821733398203</v>
      </c>
      <c r="X168" s="2">
        <f t="shared" si="64"/>
        <v>44352361.851551853</v>
      </c>
      <c r="Y168" s="2">
        <f t="shared" si="65"/>
        <v>200371.73</v>
      </c>
      <c r="Z168" s="2">
        <f t="shared" si="66"/>
        <v>37.130000000000003</v>
      </c>
      <c r="AA168" s="2">
        <f t="shared" si="68"/>
        <v>44535471.380003355</v>
      </c>
      <c r="AB168" s="2">
        <f t="shared" si="67"/>
        <v>-183109.52845150232</v>
      </c>
    </row>
    <row r="169" spans="1:28">
      <c r="A169" s="2">
        <v>166</v>
      </c>
      <c r="B169" s="2" t="s">
        <v>763</v>
      </c>
      <c r="C169" s="2" t="s">
        <v>932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2" t="s">
        <v>198</v>
      </c>
      <c r="I169" s="2" t="s">
        <v>1157</v>
      </c>
      <c r="J169" s="2" t="s">
        <v>1158</v>
      </c>
      <c r="K169" s="2">
        <f t="shared" si="56"/>
        <v>44352361.851551853</v>
      </c>
      <c r="L169" s="2" t="s">
        <v>956</v>
      </c>
      <c r="M169" s="2" t="s">
        <v>957</v>
      </c>
      <c r="N169" s="2" t="s">
        <v>288</v>
      </c>
      <c r="O169" s="2">
        <v>229</v>
      </c>
      <c r="P169" s="2">
        <v>2260.2001953125</v>
      </c>
      <c r="Q169" s="2">
        <v>2175.311767578125</v>
      </c>
      <c r="R169" s="2">
        <f t="shared" si="58"/>
        <v>517585.8447265625</v>
      </c>
      <c r="S169" s="2">
        <f t="shared" si="59"/>
        <v>498146.39477539063</v>
      </c>
      <c r="T169" s="2">
        <f t="shared" si="60"/>
        <v>1015732.2395019531</v>
      </c>
      <c r="U169" s="2">
        <f t="shared" si="61"/>
        <v>507.87</v>
      </c>
      <c r="V169" s="2">
        <f t="shared" si="62"/>
        <v>-19439.449951171875</v>
      </c>
      <c r="W169" s="2">
        <f t="shared" si="63"/>
        <v>-19947.319951171874</v>
      </c>
      <c r="X169" s="2">
        <f t="shared" si="64"/>
        <v>44332414.531600684</v>
      </c>
      <c r="Y169" s="2">
        <f t="shared" si="65"/>
        <v>103517.17</v>
      </c>
      <c r="Z169" s="2">
        <f t="shared" si="66"/>
        <v>-19.27</v>
      </c>
      <c r="AA169" s="2">
        <f t="shared" si="68"/>
        <v>44535471.380003355</v>
      </c>
      <c r="AB169" s="2">
        <f t="shared" si="67"/>
        <v>-203056.84840267152</v>
      </c>
    </row>
    <row r="170" spans="1:28">
      <c r="A170" s="2">
        <v>167</v>
      </c>
      <c r="B170" s="2" t="s">
        <v>764</v>
      </c>
      <c r="C170" s="2" t="s">
        <v>932</v>
      </c>
      <c r="D170" s="4" t="s">
        <v>61</v>
      </c>
      <c r="E170" s="5" t="s">
        <v>134</v>
      </c>
      <c r="F170" s="2" t="s">
        <v>135</v>
      </c>
      <c r="G170" s="2" t="s">
        <v>77</v>
      </c>
      <c r="H170" s="2" t="s">
        <v>765</v>
      </c>
      <c r="I170" s="2" t="s">
        <v>1159</v>
      </c>
      <c r="J170" s="2" t="s">
        <v>1160</v>
      </c>
      <c r="K170" s="2">
        <f t="shared" si="56"/>
        <v>44332414.531600684</v>
      </c>
      <c r="L170" s="2" t="s">
        <v>999</v>
      </c>
      <c r="M170" s="2" t="s">
        <v>985</v>
      </c>
      <c r="N170" s="2" t="s">
        <v>1161</v>
      </c>
      <c r="O170" s="2">
        <v>2645</v>
      </c>
      <c r="P170" s="2">
        <v>175.50181579589841</v>
      </c>
      <c r="Q170" s="2">
        <v>207.9637756347656</v>
      </c>
      <c r="R170" s="2">
        <f t="shared" si="58"/>
        <v>464202.30278015131</v>
      </c>
      <c r="S170" s="2">
        <f t="shared" si="59"/>
        <v>550064.18655395496</v>
      </c>
      <c r="T170" s="2">
        <f t="shared" si="60"/>
        <v>1014266.4893341062</v>
      </c>
      <c r="U170" s="2">
        <f t="shared" si="61"/>
        <v>507.13</v>
      </c>
      <c r="V170" s="2">
        <f t="shared" si="62"/>
        <v>85861.883773803653</v>
      </c>
      <c r="W170" s="2">
        <f t="shared" si="63"/>
        <v>85354.753773803648</v>
      </c>
      <c r="X170" s="2">
        <f t="shared" si="64"/>
        <v>44417769.285374485</v>
      </c>
      <c r="Y170" s="2">
        <f t="shared" si="65"/>
        <v>92840.46</v>
      </c>
      <c r="Z170" s="2">
        <f t="shared" si="66"/>
        <v>91.94</v>
      </c>
      <c r="AA170" s="2">
        <f t="shared" si="68"/>
        <v>44535471.380003355</v>
      </c>
      <c r="AB170" s="2">
        <f t="shared" si="67"/>
        <v>-117702.09462887049</v>
      </c>
    </row>
    <row r="171" spans="1:28">
      <c r="A171" s="2">
        <v>168</v>
      </c>
      <c r="B171" s="2" t="s">
        <v>769</v>
      </c>
      <c r="C171" s="2" t="s">
        <v>932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1162</v>
      </c>
      <c r="J171" s="2" t="s">
        <v>72</v>
      </c>
      <c r="K171" s="2">
        <f t="shared" si="56"/>
        <v>44417769.285374485</v>
      </c>
      <c r="L171" s="2" t="s">
        <v>1067</v>
      </c>
      <c r="M171" s="2" t="s">
        <v>1163</v>
      </c>
      <c r="N171" s="2" t="s">
        <v>1164</v>
      </c>
      <c r="O171" s="2">
        <v>2667</v>
      </c>
      <c r="P171" s="2">
        <v>364.64999389648438</v>
      </c>
      <c r="Q171" s="2">
        <v>363.79998779296881</v>
      </c>
      <c r="R171" s="2">
        <f t="shared" si="58"/>
        <v>972521.53372192383</v>
      </c>
      <c r="S171" s="2">
        <f t="shared" si="59"/>
        <v>970254.56744384777</v>
      </c>
      <c r="T171" s="2">
        <f t="shared" si="60"/>
        <v>1942776.1011657715</v>
      </c>
      <c r="U171" s="2">
        <f t="shared" si="61"/>
        <v>971.39</v>
      </c>
      <c r="V171" s="2">
        <f t="shared" si="62"/>
        <v>-2266.9662780760555</v>
      </c>
      <c r="W171" s="2">
        <f t="shared" si="63"/>
        <v>-3238.3562780760553</v>
      </c>
      <c r="X171" s="2">
        <f t="shared" si="64"/>
        <v>44414530.929096408</v>
      </c>
      <c r="Y171" s="2">
        <f t="shared" si="65"/>
        <v>194504.31</v>
      </c>
      <c r="Z171" s="2">
        <f t="shared" si="66"/>
        <v>-1.66</v>
      </c>
      <c r="AA171" s="2">
        <f t="shared" si="68"/>
        <v>44535471.380003355</v>
      </c>
      <c r="AB171" s="2">
        <f t="shared" si="67"/>
        <v>-120940.45090694726</v>
      </c>
    </row>
    <row r="172" spans="1:28">
      <c r="A172" s="2">
        <v>169</v>
      </c>
      <c r="B172" s="2" t="s">
        <v>773</v>
      </c>
      <c r="C172" s="2" t="s">
        <v>932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776</v>
      </c>
      <c r="J172" s="2" t="s">
        <v>777</v>
      </c>
      <c r="K172" s="2">
        <f t="shared" si="56"/>
        <v>44414530.929096408</v>
      </c>
      <c r="L172" s="2" t="s">
        <v>181</v>
      </c>
      <c r="M172" s="2" t="s">
        <v>182</v>
      </c>
      <c r="N172" s="2" t="s">
        <v>183</v>
      </c>
      <c r="O172" s="2">
        <v>250</v>
      </c>
      <c r="P172" s="2">
        <v>1252.83056640625</v>
      </c>
      <c r="Q172" s="2">
        <v>1241.478515625</v>
      </c>
      <c r="R172" s="2">
        <f t="shared" si="58"/>
        <v>313207.6416015625</v>
      </c>
      <c r="S172" s="2">
        <f t="shared" si="59"/>
        <v>310369.62890625</v>
      </c>
      <c r="T172" s="2">
        <f t="shared" si="60"/>
        <v>623577.2705078125</v>
      </c>
      <c r="U172" s="2">
        <f t="shared" si="61"/>
        <v>311.79000000000002</v>
      </c>
      <c r="V172" s="2">
        <f t="shared" si="62"/>
        <v>-2838.0126953125</v>
      </c>
      <c r="W172" s="2">
        <f t="shared" si="63"/>
        <v>-3149.8026953125</v>
      </c>
      <c r="X172" s="2">
        <f t="shared" si="64"/>
        <v>44411381.126401097</v>
      </c>
      <c r="Y172" s="2">
        <f t="shared" si="65"/>
        <v>62641.53</v>
      </c>
      <c r="Z172" s="2">
        <f t="shared" si="66"/>
        <v>-5.03</v>
      </c>
      <c r="AA172" s="2">
        <f t="shared" si="68"/>
        <v>44535471.380003355</v>
      </c>
      <c r="AB172" s="2">
        <f t="shared" si="67"/>
        <v>-124090.25360225886</v>
      </c>
    </row>
    <row r="173" spans="1:28">
      <c r="A173" s="2">
        <v>170</v>
      </c>
      <c r="B173" s="2" t="s">
        <v>778</v>
      </c>
      <c r="C173" s="2" t="s">
        <v>932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2" t="s">
        <v>779</v>
      </c>
      <c r="I173" s="2" t="s">
        <v>1165</v>
      </c>
      <c r="J173" s="2" t="s">
        <v>1166</v>
      </c>
      <c r="K173" s="2">
        <f t="shared" si="56"/>
        <v>44411381.126401097</v>
      </c>
      <c r="L173" s="2" t="s">
        <v>289</v>
      </c>
      <c r="M173" s="2" t="s">
        <v>948</v>
      </c>
      <c r="N173" s="2" t="s">
        <v>946</v>
      </c>
      <c r="O173" s="2">
        <v>4486</v>
      </c>
      <c r="P173" s="2">
        <v>444.2259521484375</v>
      </c>
      <c r="Q173" s="2">
        <v>428.70602416992187</v>
      </c>
      <c r="R173" s="2">
        <f t="shared" si="58"/>
        <v>1992797.6213378906</v>
      </c>
      <c r="S173" s="2">
        <f t="shared" si="59"/>
        <v>1923175.2244262695</v>
      </c>
      <c r="T173" s="2">
        <f t="shared" si="60"/>
        <v>3915972.8457641602</v>
      </c>
      <c r="U173" s="2">
        <f t="shared" si="61"/>
        <v>1957.99</v>
      </c>
      <c r="V173" s="2">
        <f t="shared" si="62"/>
        <v>-69622.396911621094</v>
      </c>
      <c r="W173" s="2">
        <f t="shared" si="63"/>
        <v>-71580.386911621099</v>
      </c>
      <c r="X173" s="2">
        <f t="shared" si="64"/>
        <v>44339800.739489473</v>
      </c>
      <c r="Y173" s="2">
        <f t="shared" si="65"/>
        <v>398559.52</v>
      </c>
      <c r="Z173" s="2">
        <f t="shared" si="66"/>
        <v>-17.96</v>
      </c>
      <c r="AA173" s="2">
        <f t="shared" si="68"/>
        <v>44535471.380003355</v>
      </c>
      <c r="AB173" s="2">
        <f t="shared" si="67"/>
        <v>-195670.64051388204</v>
      </c>
    </row>
    <row r="174" spans="1:28">
      <c r="A174" s="2">
        <v>171</v>
      </c>
      <c r="B174" s="2" t="s">
        <v>782</v>
      </c>
      <c r="C174" s="2" t="s">
        <v>932</v>
      </c>
      <c r="D174" s="3" t="s">
        <v>37</v>
      </c>
      <c r="E174" s="5" t="s">
        <v>134</v>
      </c>
      <c r="F174" s="2" t="s">
        <v>456</v>
      </c>
      <c r="G174" s="2" t="s">
        <v>97</v>
      </c>
      <c r="H174" s="2" t="s">
        <v>162</v>
      </c>
      <c r="I174" s="2" t="s">
        <v>1167</v>
      </c>
      <c r="J174" s="2" t="s">
        <v>663</v>
      </c>
      <c r="K174" s="2">
        <f t="shared" si="56"/>
        <v>44339800.739489473</v>
      </c>
      <c r="L174" s="2" t="s">
        <v>1070</v>
      </c>
      <c r="M174" s="2" t="s">
        <v>1168</v>
      </c>
      <c r="N174" s="2" t="s">
        <v>1169</v>
      </c>
      <c r="O174" s="2">
        <v>21748</v>
      </c>
      <c r="P174" s="2">
        <v>28.231779098510749</v>
      </c>
      <c r="Q174" s="2">
        <v>31.508504867553711</v>
      </c>
      <c r="R174" s="2">
        <f t="shared" si="58"/>
        <v>613984.73183441174</v>
      </c>
      <c r="S174" s="2">
        <f t="shared" si="59"/>
        <v>685246.96385955811</v>
      </c>
      <c r="T174" s="2">
        <f t="shared" si="60"/>
        <v>1299231.6956939697</v>
      </c>
      <c r="U174" s="2">
        <f t="shared" si="61"/>
        <v>649.62</v>
      </c>
      <c r="V174" s="2">
        <f t="shared" si="62"/>
        <v>71262.232025146368</v>
      </c>
      <c r="W174" s="2">
        <f t="shared" si="63"/>
        <v>70612.612025146373</v>
      </c>
      <c r="X174" s="2">
        <f t="shared" si="64"/>
        <v>44410413.351514623</v>
      </c>
      <c r="Y174" s="2">
        <f t="shared" si="65"/>
        <v>122796.95</v>
      </c>
      <c r="Z174" s="2">
        <f t="shared" si="66"/>
        <v>57.5</v>
      </c>
      <c r="AA174" s="2">
        <f t="shared" si="68"/>
        <v>44535471.380003355</v>
      </c>
      <c r="AB174" s="2">
        <f t="shared" si="67"/>
        <v>-125058.02848873287</v>
      </c>
    </row>
    <row r="175" spans="1:28">
      <c r="A175" s="2">
        <v>172</v>
      </c>
      <c r="B175" s="2" t="s">
        <v>784</v>
      </c>
      <c r="C175" s="2" t="s">
        <v>932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2" t="s">
        <v>785</v>
      </c>
      <c r="I175" s="2" t="s">
        <v>484</v>
      </c>
      <c r="J175" s="2" t="s">
        <v>1170</v>
      </c>
      <c r="K175" s="2">
        <f t="shared" si="56"/>
        <v>44410413.351514623</v>
      </c>
      <c r="L175" s="2" t="s">
        <v>959</v>
      </c>
      <c r="M175" s="2" t="s">
        <v>980</v>
      </c>
      <c r="N175" s="2" t="s">
        <v>948</v>
      </c>
      <c r="O175" s="2">
        <v>5915</v>
      </c>
      <c r="P175" s="2">
        <v>110.4556198120117</v>
      </c>
      <c r="Q175" s="2">
        <v>112.49012756347661</v>
      </c>
      <c r="R175" s="2">
        <f t="shared" si="58"/>
        <v>653344.9911880492</v>
      </c>
      <c r="S175" s="2">
        <f t="shared" si="59"/>
        <v>665379.1045379641</v>
      </c>
      <c r="T175" s="2">
        <f t="shared" si="60"/>
        <v>1318724.0957260132</v>
      </c>
      <c r="U175" s="2">
        <f t="shared" si="61"/>
        <v>659.36</v>
      </c>
      <c r="V175" s="2">
        <f t="shared" si="62"/>
        <v>12034.1133499149</v>
      </c>
      <c r="W175" s="2">
        <f t="shared" si="63"/>
        <v>11374.753349914899</v>
      </c>
      <c r="X175" s="2">
        <f t="shared" si="64"/>
        <v>44421788.104864538</v>
      </c>
      <c r="Y175" s="2">
        <f t="shared" si="65"/>
        <v>130669</v>
      </c>
      <c r="Z175" s="2">
        <f t="shared" si="66"/>
        <v>8.7100000000000009</v>
      </c>
      <c r="AA175" s="2">
        <f t="shared" si="68"/>
        <v>44535471.380003355</v>
      </c>
      <c r="AB175" s="2">
        <f t="shared" si="67"/>
        <v>-113683.27513881773</v>
      </c>
    </row>
    <row r="176" spans="1:28">
      <c r="A176" s="2">
        <v>173</v>
      </c>
      <c r="B176" s="2" t="s">
        <v>787</v>
      </c>
      <c r="C176" s="2" t="s">
        <v>932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2" t="s">
        <v>788</v>
      </c>
      <c r="I176" s="2" t="s">
        <v>1132</v>
      </c>
      <c r="J176" s="2" t="s">
        <v>1171</v>
      </c>
      <c r="K176" s="2">
        <f t="shared" si="56"/>
        <v>44421788.104864538</v>
      </c>
      <c r="L176" s="2" t="s">
        <v>1014</v>
      </c>
      <c r="M176" s="2" t="s">
        <v>986</v>
      </c>
      <c r="N176" s="2" t="s">
        <v>994</v>
      </c>
      <c r="O176" s="2">
        <v>1550</v>
      </c>
      <c r="P176" s="2">
        <v>682</v>
      </c>
      <c r="Q176" s="2">
        <v>741</v>
      </c>
      <c r="R176" s="2">
        <f t="shared" si="58"/>
        <v>1057100</v>
      </c>
      <c r="S176" s="2">
        <f t="shared" si="59"/>
        <v>1148550</v>
      </c>
      <c r="T176" s="2">
        <f t="shared" si="60"/>
        <v>2205650</v>
      </c>
      <c r="U176" s="2">
        <f t="shared" si="61"/>
        <v>1102.83</v>
      </c>
      <c r="V176" s="2">
        <f t="shared" si="62"/>
        <v>91450</v>
      </c>
      <c r="W176" s="2">
        <f t="shared" si="63"/>
        <v>90347.17</v>
      </c>
      <c r="X176" s="2">
        <f t="shared" si="64"/>
        <v>44512135.27486454</v>
      </c>
      <c r="Y176" s="2">
        <f t="shared" si="65"/>
        <v>211420</v>
      </c>
      <c r="Z176" s="2">
        <f t="shared" si="66"/>
        <v>42.73</v>
      </c>
      <c r="AA176" s="2">
        <f t="shared" si="68"/>
        <v>44535471.380003355</v>
      </c>
      <c r="AB176" s="2">
        <f t="shared" si="67"/>
        <v>-23336.105138815939</v>
      </c>
    </row>
    <row r="177" spans="1:28">
      <c r="A177" s="2">
        <v>174</v>
      </c>
      <c r="B177" s="2" t="s">
        <v>790</v>
      </c>
      <c r="C177" s="2" t="s">
        <v>932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1172</v>
      </c>
      <c r="J177" s="2" t="s">
        <v>1173</v>
      </c>
      <c r="K177" s="2">
        <f t="shared" si="56"/>
        <v>44512135.27486454</v>
      </c>
      <c r="L177" s="2" t="s">
        <v>966</v>
      </c>
      <c r="M177" s="2" t="s">
        <v>288</v>
      </c>
      <c r="N177" s="2" t="s">
        <v>1011</v>
      </c>
      <c r="O177" s="2">
        <v>375</v>
      </c>
      <c r="P177" s="2">
        <v>1692.5712890625</v>
      </c>
      <c r="Q177" s="2">
        <v>1629.927734375</v>
      </c>
      <c r="R177" s="2">
        <f t="shared" si="58"/>
        <v>634714.2333984375</v>
      </c>
      <c r="S177" s="2">
        <f t="shared" si="59"/>
        <v>611222.900390625</v>
      </c>
      <c r="T177" s="2">
        <f t="shared" si="60"/>
        <v>1245937.1337890625</v>
      </c>
      <c r="U177" s="2">
        <f t="shared" si="61"/>
        <v>622.97</v>
      </c>
      <c r="V177" s="2">
        <f t="shared" si="62"/>
        <v>-23491.3330078125</v>
      </c>
      <c r="W177" s="2">
        <f t="shared" si="63"/>
        <v>-24114.303007812501</v>
      </c>
      <c r="X177" s="2">
        <f t="shared" si="64"/>
        <v>44488020.971856728</v>
      </c>
      <c r="Y177" s="2">
        <f t="shared" si="65"/>
        <v>126942.85</v>
      </c>
      <c r="Z177" s="2">
        <f t="shared" si="66"/>
        <v>-19</v>
      </c>
      <c r="AA177" s="2">
        <f t="shared" si="68"/>
        <v>44535471.380003355</v>
      </c>
      <c r="AB177" s="2">
        <f t="shared" si="67"/>
        <v>-47450.408146627247</v>
      </c>
    </row>
    <row r="178" spans="1:28">
      <c r="A178" s="2">
        <v>175</v>
      </c>
      <c r="B178" s="2" t="s">
        <v>794</v>
      </c>
      <c r="C178" s="2" t="s">
        <v>932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797</v>
      </c>
      <c r="J178" s="2" t="s">
        <v>441</v>
      </c>
      <c r="K178" s="2">
        <f t="shared" si="56"/>
        <v>44488020.971856728</v>
      </c>
      <c r="L178" s="2" t="s">
        <v>147</v>
      </c>
      <c r="M178" s="2" t="s">
        <v>264</v>
      </c>
      <c r="N178" s="2" t="s">
        <v>147</v>
      </c>
      <c r="O178" s="2">
        <v>1500</v>
      </c>
      <c r="P178" s="2">
        <v>724.3853759765625</v>
      </c>
      <c r="Q178" s="2">
        <v>709.5076904296875</v>
      </c>
      <c r="R178" s="2">
        <f t="shared" si="58"/>
        <v>1086578.0639648437</v>
      </c>
      <c r="S178" s="2">
        <f t="shared" si="59"/>
        <v>1064261.5356445313</v>
      </c>
      <c r="T178" s="2">
        <f t="shared" si="60"/>
        <v>2150839.599609375</v>
      </c>
      <c r="U178" s="2">
        <f t="shared" si="61"/>
        <v>1075.42</v>
      </c>
      <c r="V178" s="2">
        <f t="shared" si="62"/>
        <v>-22316.5283203125</v>
      </c>
      <c r="W178" s="2">
        <f t="shared" si="63"/>
        <v>-23391.948320312498</v>
      </c>
      <c r="X178" s="2">
        <f t="shared" si="64"/>
        <v>44464629.023536414</v>
      </c>
      <c r="Y178" s="2">
        <f t="shared" si="65"/>
        <v>217315.61</v>
      </c>
      <c r="Z178" s="2">
        <f t="shared" si="66"/>
        <v>-10.76</v>
      </c>
      <c r="AA178" s="2">
        <f t="shared" si="68"/>
        <v>44535471.380003355</v>
      </c>
      <c r="AB178" s="2">
        <f t="shared" si="67"/>
        <v>-70842.356466941535</v>
      </c>
    </row>
    <row r="179" spans="1:28">
      <c r="A179" s="2">
        <v>176</v>
      </c>
      <c r="B179" s="2" t="s">
        <v>798</v>
      </c>
      <c r="C179" s="2" t="s">
        <v>932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2" t="s">
        <v>266</v>
      </c>
      <c r="I179" s="2" t="s">
        <v>1174</v>
      </c>
      <c r="J179" s="2" t="s">
        <v>1175</v>
      </c>
      <c r="K179" s="2">
        <f t="shared" si="56"/>
        <v>44464629.023536414</v>
      </c>
      <c r="L179" s="2" t="s">
        <v>986</v>
      </c>
      <c r="M179" s="2" t="s">
        <v>989</v>
      </c>
      <c r="N179" s="2" t="s">
        <v>947</v>
      </c>
      <c r="O179" s="2">
        <v>100</v>
      </c>
      <c r="P179" s="2">
        <v>25119.990234375</v>
      </c>
      <c r="Q179" s="2">
        <v>24150.373046875</v>
      </c>
      <c r="R179" s="2">
        <f t="shared" si="58"/>
        <v>2511999.0234375</v>
      </c>
      <c r="S179" s="2">
        <f t="shared" si="59"/>
        <v>2415037.3046875</v>
      </c>
      <c r="T179" s="2">
        <f t="shared" si="60"/>
        <v>4927036.328125</v>
      </c>
      <c r="U179" s="2">
        <f t="shared" si="61"/>
        <v>2463.52</v>
      </c>
      <c r="V179" s="2">
        <f t="shared" si="62"/>
        <v>-96961.71875</v>
      </c>
      <c r="W179" s="2">
        <f t="shared" si="63"/>
        <v>-99425.238750000004</v>
      </c>
      <c r="X179" s="2">
        <f t="shared" si="64"/>
        <v>44365203.784786411</v>
      </c>
      <c r="Y179" s="2">
        <f t="shared" si="65"/>
        <v>502399.8</v>
      </c>
      <c r="Z179" s="2">
        <f t="shared" si="66"/>
        <v>-19.79</v>
      </c>
      <c r="AA179" s="2">
        <f t="shared" si="68"/>
        <v>44535471.380003355</v>
      </c>
      <c r="AB179" s="2">
        <f t="shared" si="67"/>
        <v>-170267.59521694481</v>
      </c>
    </row>
    <row r="180" spans="1:28">
      <c r="A180" s="2">
        <v>177</v>
      </c>
      <c r="B180" s="2" t="s">
        <v>801</v>
      </c>
      <c r="C180" s="2" t="s">
        <v>932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804</v>
      </c>
      <c r="J180" s="2" t="s">
        <v>805</v>
      </c>
      <c r="K180" s="2">
        <f t="shared" si="56"/>
        <v>44365203.784786411</v>
      </c>
      <c r="L180" s="2" t="s">
        <v>182</v>
      </c>
      <c r="M180" s="2" t="s">
        <v>89</v>
      </c>
      <c r="N180" s="2" t="s">
        <v>167</v>
      </c>
      <c r="O180" s="2">
        <v>957</v>
      </c>
      <c r="P180" s="2">
        <v>518.86956787109375</v>
      </c>
      <c r="Q180" s="2">
        <v>527.1942138671875</v>
      </c>
      <c r="R180" s="2">
        <f t="shared" si="58"/>
        <v>496558.17645263672</v>
      </c>
      <c r="S180" s="2">
        <f t="shared" si="59"/>
        <v>504524.86267089844</v>
      </c>
      <c r="T180" s="2">
        <f t="shared" si="60"/>
        <v>1001083.0391235352</v>
      </c>
      <c r="U180" s="2">
        <f t="shared" si="61"/>
        <v>500.54</v>
      </c>
      <c r="V180" s="2">
        <f t="shared" si="62"/>
        <v>7966.6862182617187</v>
      </c>
      <c r="W180" s="2">
        <f t="shared" si="63"/>
        <v>7466.1462182617188</v>
      </c>
      <c r="X180" s="2">
        <f t="shared" si="64"/>
        <v>44372669.931004673</v>
      </c>
      <c r="Y180" s="2">
        <f t="shared" si="65"/>
        <v>99311.64</v>
      </c>
      <c r="Z180" s="2">
        <f t="shared" si="66"/>
        <v>7.52</v>
      </c>
      <c r="AA180" s="2">
        <f t="shared" si="68"/>
        <v>44535471.380003355</v>
      </c>
      <c r="AB180" s="2">
        <f t="shared" si="67"/>
        <v>-162801.4489986822</v>
      </c>
    </row>
    <row r="181" spans="1:28">
      <c r="A181" s="2">
        <v>178</v>
      </c>
      <c r="B181" s="2" t="s">
        <v>806</v>
      </c>
      <c r="C181" s="2" t="s">
        <v>932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2" t="s">
        <v>517</v>
      </c>
      <c r="I181" s="2" t="s">
        <v>1176</v>
      </c>
      <c r="J181" s="2" t="s">
        <v>1177</v>
      </c>
      <c r="K181" s="2">
        <f t="shared" si="56"/>
        <v>44372669.931004673</v>
      </c>
      <c r="L181" s="2" t="s">
        <v>989</v>
      </c>
      <c r="M181" s="2" t="s">
        <v>1178</v>
      </c>
      <c r="N181" s="2" t="s">
        <v>1168</v>
      </c>
      <c r="O181" s="2">
        <v>273</v>
      </c>
      <c r="P181" s="2">
        <v>3957.81640625</v>
      </c>
      <c r="Q181" s="2">
        <v>4328.8046875</v>
      </c>
      <c r="R181" s="2">
        <f t="shared" si="58"/>
        <v>1080483.87890625</v>
      </c>
      <c r="S181" s="2">
        <f t="shared" si="59"/>
        <v>1181763.6796875</v>
      </c>
      <c r="T181" s="2">
        <f t="shared" si="60"/>
        <v>2262247.55859375</v>
      </c>
      <c r="U181" s="2">
        <f t="shared" si="61"/>
        <v>1131.1199999999999</v>
      </c>
      <c r="V181" s="2">
        <f t="shared" si="62"/>
        <v>101279.80078125</v>
      </c>
      <c r="W181" s="2">
        <f t="shared" si="63"/>
        <v>100148.68078125</v>
      </c>
      <c r="X181" s="2">
        <f t="shared" si="64"/>
        <v>44472818.611785926</v>
      </c>
      <c r="Y181" s="2">
        <f t="shared" si="65"/>
        <v>216096.78</v>
      </c>
      <c r="Z181" s="2">
        <f t="shared" si="66"/>
        <v>46.34</v>
      </c>
      <c r="AA181" s="2">
        <f t="shared" si="68"/>
        <v>44535471.380003355</v>
      </c>
      <c r="AB181" s="2">
        <f t="shared" si="67"/>
        <v>-62652.768217429519</v>
      </c>
    </row>
    <row r="182" spans="1:28">
      <c r="A182" s="2">
        <v>179</v>
      </c>
      <c r="B182" s="2" t="s">
        <v>809</v>
      </c>
      <c r="C182" s="2" t="s">
        <v>932</v>
      </c>
      <c r="D182" s="3" t="s">
        <v>37</v>
      </c>
      <c r="E182" s="5" t="s">
        <v>134</v>
      </c>
      <c r="F182" s="2" t="s">
        <v>135</v>
      </c>
      <c r="G182" s="2" t="s">
        <v>40</v>
      </c>
      <c r="H182" s="2" t="s">
        <v>810</v>
      </c>
      <c r="I182" s="2" t="s">
        <v>1179</v>
      </c>
      <c r="J182" s="2" t="s">
        <v>1180</v>
      </c>
      <c r="K182" s="2">
        <f t="shared" si="56"/>
        <v>44472818.611785926</v>
      </c>
      <c r="L182" s="2" t="s">
        <v>979</v>
      </c>
      <c r="M182" s="2" t="s">
        <v>1037</v>
      </c>
      <c r="N182" s="2" t="s">
        <v>980</v>
      </c>
      <c r="O182" s="2">
        <v>100</v>
      </c>
      <c r="P182" s="2">
        <v>10005.595703125</v>
      </c>
      <c r="Q182" s="2">
        <v>10025.0234375</v>
      </c>
      <c r="R182" s="2">
        <f t="shared" si="58"/>
        <v>1000559.5703125</v>
      </c>
      <c r="S182" s="2">
        <f t="shared" si="59"/>
        <v>1002502.34375</v>
      </c>
      <c r="T182" s="2">
        <f t="shared" si="60"/>
        <v>2003061.9140625</v>
      </c>
      <c r="U182" s="2">
        <f t="shared" si="61"/>
        <v>1001.53</v>
      </c>
      <c r="V182" s="2">
        <f t="shared" si="62"/>
        <v>1942.7734375</v>
      </c>
      <c r="W182" s="2">
        <f t="shared" si="63"/>
        <v>941.24343750000003</v>
      </c>
      <c r="X182" s="2">
        <f t="shared" si="64"/>
        <v>44473759.855223425</v>
      </c>
      <c r="Y182" s="2">
        <f t="shared" si="65"/>
        <v>200111.91</v>
      </c>
      <c r="Z182" s="2">
        <f t="shared" si="66"/>
        <v>0.47</v>
      </c>
      <c r="AA182" s="2">
        <f t="shared" si="68"/>
        <v>44535471.380003355</v>
      </c>
      <c r="AB182" s="2">
        <f t="shared" si="67"/>
        <v>-61711.524779930711</v>
      </c>
    </row>
    <row r="183" spans="1:28">
      <c r="A183" s="2">
        <v>180</v>
      </c>
      <c r="B183" s="2" t="s">
        <v>813</v>
      </c>
      <c r="C183" s="2" t="s">
        <v>932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2" t="s">
        <v>814</v>
      </c>
      <c r="I183" s="2" t="s">
        <v>1181</v>
      </c>
      <c r="J183" s="2" t="s">
        <v>767</v>
      </c>
      <c r="K183" s="2">
        <f t="shared" si="56"/>
        <v>44473759.855223425</v>
      </c>
      <c r="L183" s="2" t="s">
        <v>1052</v>
      </c>
      <c r="M183" s="2" t="s">
        <v>994</v>
      </c>
      <c r="N183" s="2" t="s">
        <v>1011</v>
      </c>
      <c r="O183" s="2">
        <v>1309</v>
      </c>
      <c r="P183" s="2">
        <v>677.55438232421875</v>
      </c>
      <c r="Q183" s="2">
        <v>654.20233154296875</v>
      </c>
      <c r="R183" s="2">
        <f t="shared" si="58"/>
        <v>886918.68646240234</v>
      </c>
      <c r="S183" s="2">
        <f t="shared" si="59"/>
        <v>856350.85198974609</v>
      </c>
      <c r="T183" s="2">
        <f t="shared" si="60"/>
        <v>1743269.5384521484</v>
      </c>
      <c r="U183" s="2">
        <f t="shared" si="61"/>
        <v>871.63</v>
      </c>
      <c r="V183" s="2">
        <f t="shared" si="62"/>
        <v>-30567.83447265625</v>
      </c>
      <c r="W183" s="2">
        <f t="shared" si="63"/>
        <v>-31439.464472656251</v>
      </c>
      <c r="X183" s="2">
        <f t="shared" si="64"/>
        <v>44442320.390750766</v>
      </c>
      <c r="Y183" s="2">
        <f t="shared" si="65"/>
        <v>177383.74</v>
      </c>
      <c r="Z183" s="2">
        <f t="shared" si="66"/>
        <v>-17.72</v>
      </c>
      <c r="AA183" s="2">
        <f t="shared" si="68"/>
        <v>44535471.380003355</v>
      </c>
      <c r="AB183" s="2">
        <f t="shared" si="67"/>
        <v>-93150.989252589643</v>
      </c>
    </row>
    <row r="184" spans="1:28">
      <c r="A184" s="2">
        <v>181</v>
      </c>
      <c r="B184" s="2" t="s">
        <v>817</v>
      </c>
      <c r="C184" s="2" t="s">
        <v>932</v>
      </c>
      <c r="D184" s="4" t="s">
        <v>61</v>
      </c>
      <c r="E184" s="5" t="s">
        <v>134</v>
      </c>
      <c r="F184" s="2" t="s">
        <v>135</v>
      </c>
      <c r="G184" s="2" t="s">
        <v>54</v>
      </c>
      <c r="H184" s="2" t="s">
        <v>747</v>
      </c>
      <c r="I184" s="2" t="s">
        <v>110</v>
      </c>
      <c r="J184" s="2" t="s">
        <v>1182</v>
      </c>
      <c r="K184" s="2">
        <f t="shared" si="56"/>
        <v>44442320.390750766</v>
      </c>
      <c r="L184" s="2" t="s">
        <v>1014</v>
      </c>
      <c r="M184" s="2" t="s">
        <v>289</v>
      </c>
      <c r="N184" s="2" t="s">
        <v>966</v>
      </c>
      <c r="O184" s="2">
        <v>383</v>
      </c>
      <c r="P184" s="2">
        <v>2243.1279296875</v>
      </c>
      <c r="Q184" s="2">
        <v>2248.7919921875</v>
      </c>
      <c r="R184" s="2">
        <f t="shared" si="58"/>
        <v>859117.9970703125</v>
      </c>
      <c r="S184" s="2">
        <f t="shared" si="59"/>
        <v>861287.3330078125</v>
      </c>
      <c r="T184" s="2">
        <f t="shared" si="60"/>
        <v>1720405.330078125</v>
      </c>
      <c r="U184" s="2">
        <f t="shared" si="61"/>
        <v>860.2</v>
      </c>
      <c r="V184" s="2">
        <f t="shared" si="62"/>
        <v>2169.3359375</v>
      </c>
      <c r="W184" s="2">
        <f t="shared" si="63"/>
        <v>1309.1359375</v>
      </c>
      <c r="X184" s="2">
        <f t="shared" si="64"/>
        <v>44443629.526688263</v>
      </c>
      <c r="Y184" s="2">
        <f t="shared" si="65"/>
        <v>171823.6</v>
      </c>
      <c r="Z184" s="2">
        <f t="shared" si="66"/>
        <v>0.76</v>
      </c>
      <c r="AA184" s="2">
        <f t="shared" si="68"/>
        <v>44535471.380003355</v>
      </c>
      <c r="AB184" s="2">
        <f t="shared" si="67"/>
        <v>-91841.853315092623</v>
      </c>
    </row>
    <row r="185" spans="1:28">
      <c r="A185" s="2">
        <v>182</v>
      </c>
      <c r="B185" s="2" t="s">
        <v>820</v>
      </c>
      <c r="C185" s="2" t="s">
        <v>932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821</v>
      </c>
      <c r="J185" s="2" t="s">
        <v>822</v>
      </c>
      <c r="K185" s="2">
        <f t="shared" si="56"/>
        <v>44443629.526688263</v>
      </c>
      <c r="L185" s="2" t="s">
        <v>182</v>
      </c>
      <c r="M185" s="2" t="s">
        <v>147</v>
      </c>
      <c r="N185" s="2" t="s">
        <v>73</v>
      </c>
      <c r="O185" s="2">
        <v>350</v>
      </c>
      <c r="P185" s="2">
        <v>1800.193237304688</v>
      </c>
      <c r="Q185" s="2">
        <v>1720.5693359375</v>
      </c>
      <c r="R185" s="2">
        <f t="shared" si="58"/>
        <v>630067.63305664074</v>
      </c>
      <c r="S185" s="2">
        <f t="shared" si="59"/>
        <v>602199.267578125</v>
      </c>
      <c r="T185" s="2">
        <f t="shared" si="60"/>
        <v>1232266.9006347656</v>
      </c>
      <c r="U185" s="2">
        <f t="shared" si="61"/>
        <v>616.13</v>
      </c>
      <c r="V185" s="2">
        <f t="shared" si="62"/>
        <v>-27868.365478515741</v>
      </c>
      <c r="W185" s="2">
        <f t="shared" si="63"/>
        <v>-28484.495478515742</v>
      </c>
      <c r="X185" s="2">
        <f t="shared" si="64"/>
        <v>44415145.031209745</v>
      </c>
      <c r="Y185" s="2">
        <f t="shared" si="65"/>
        <v>126013.53</v>
      </c>
      <c r="Z185" s="2">
        <f t="shared" si="66"/>
        <v>-22.6</v>
      </c>
      <c r="AA185" s="2">
        <f t="shared" si="68"/>
        <v>44535471.380003355</v>
      </c>
      <c r="AB185" s="2">
        <f t="shared" si="67"/>
        <v>-120326.34879361093</v>
      </c>
    </row>
    <row r="186" spans="1:28">
      <c r="A186" s="2">
        <v>183</v>
      </c>
      <c r="B186" s="2" t="s">
        <v>823</v>
      </c>
      <c r="C186" s="2" t="s">
        <v>932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2" t="s">
        <v>824</v>
      </c>
      <c r="I186" s="2" t="s">
        <v>1183</v>
      </c>
      <c r="J186" s="2" t="s">
        <v>1184</v>
      </c>
      <c r="K186" s="2">
        <f t="shared" si="56"/>
        <v>44415145.031209745</v>
      </c>
      <c r="L186" s="2" t="s">
        <v>1055</v>
      </c>
      <c r="M186" s="2" t="s">
        <v>1011</v>
      </c>
      <c r="N186" s="2" t="s">
        <v>966</v>
      </c>
      <c r="O186" s="2">
        <v>289</v>
      </c>
      <c r="P186" s="2">
        <v>4512.5859375</v>
      </c>
      <c r="Q186" s="2">
        <v>5132.93115234375</v>
      </c>
      <c r="R186" s="2">
        <f t="shared" si="58"/>
        <v>1304137.3359375</v>
      </c>
      <c r="S186" s="2">
        <f t="shared" si="59"/>
        <v>1483417.1030273438</v>
      </c>
      <c r="T186" s="2">
        <f t="shared" si="60"/>
        <v>2787554.4389648437</v>
      </c>
      <c r="U186" s="2">
        <f t="shared" si="61"/>
        <v>1393.78</v>
      </c>
      <c r="V186" s="2">
        <f t="shared" si="62"/>
        <v>179279.76708984375</v>
      </c>
      <c r="W186" s="2">
        <f t="shared" si="63"/>
        <v>177885.98708984375</v>
      </c>
      <c r="X186" s="2">
        <f t="shared" si="64"/>
        <v>44593031.018299587</v>
      </c>
      <c r="Y186" s="2">
        <f t="shared" si="65"/>
        <v>260827.47</v>
      </c>
      <c r="Z186" s="2">
        <f t="shared" si="66"/>
        <v>68.2</v>
      </c>
      <c r="AA186" s="2">
        <f t="shared" si="68"/>
        <v>44593031.018299587</v>
      </c>
      <c r="AB186" s="2">
        <f t="shared" si="67"/>
        <v>0</v>
      </c>
    </row>
    <row r="187" spans="1:28">
      <c r="A187" s="2">
        <v>184</v>
      </c>
      <c r="B187" s="2" t="s">
        <v>827</v>
      </c>
      <c r="C187" s="2" t="s">
        <v>932</v>
      </c>
      <c r="D187" s="3" t="s">
        <v>37</v>
      </c>
      <c r="E187" s="5" t="s">
        <v>134</v>
      </c>
      <c r="F187" s="2" t="s">
        <v>135</v>
      </c>
      <c r="G187" s="2" t="s">
        <v>40</v>
      </c>
      <c r="H187" s="2" t="s">
        <v>828</v>
      </c>
      <c r="I187" s="2" t="s">
        <v>1185</v>
      </c>
      <c r="J187" s="2" t="s">
        <v>1186</v>
      </c>
      <c r="K187" s="2">
        <f t="shared" si="56"/>
        <v>44593031.018299587</v>
      </c>
      <c r="L187" s="2" t="s">
        <v>1014</v>
      </c>
      <c r="M187" s="2" t="s">
        <v>983</v>
      </c>
      <c r="N187" s="2" t="s">
        <v>289</v>
      </c>
      <c r="O187" s="2">
        <v>21097</v>
      </c>
      <c r="P187" s="2">
        <v>73.010002136230469</v>
      </c>
      <c r="Q187" s="2">
        <v>68.139999389648438</v>
      </c>
      <c r="R187" s="2">
        <f t="shared" si="58"/>
        <v>1540292.0150680542</v>
      </c>
      <c r="S187" s="2">
        <f t="shared" si="59"/>
        <v>1437549.5671234131</v>
      </c>
      <c r="T187" s="2">
        <f t="shared" si="60"/>
        <v>2977841.5821914673</v>
      </c>
      <c r="U187" s="2">
        <f t="shared" si="61"/>
        <v>1488.92</v>
      </c>
      <c r="V187" s="2">
        <f t="shared" si="62"/>
        <v>-102742.44794464111</v>
      </c>
      <c r="W187" s="2">
        <f t="shared" si="63"/>
        <v>-104231.36794464111</v>
      </c>
      <c r="X187" s="2">
        <f t="shared" si="64"/>
        <v>44488799.650354944</v>
      </c>
      <c r="Y187" s="2">
        <f t="shared" si="65"/>
        <v>308058.40000000002</v>
      </c>
      <c r="Z187" s="2">
        <f t="shared" si="66"/>
        <v>-33.83</v>
      </c>
      <c r="AA187" s="2">
        <f t="shared" si="68"/>
        <v>44593031.018299587</v>
      </c>
      <c r="AB187" s="2">
        <f t="shared" si="67"/>
        <v>-104231.3679446429</v>
      </c>
    </row>
    <row r="188" spans="1:28">
      <c r="A188" s="2">
        <v>185</v>
      </c>
      <c r="B188" s="2" t="s">
        <v>831</v>
      </c>
      <c r="C188" s="2" t="s">
        <v>932</v>
      </c>
      <c r="D188" s="3" t="s">
        <v>37</v>
      </c>
      <c r="E188" s="5" t="s">
        <v>134</v>
      </c>
      <c r="F188" s="2" t="s">
        <v>456</v>
      </c>
      <c r="G188" s="2" t="s">
        <v>97</v>
      </c>
      <c r="H188" s="2" t="s">
        <v>832</v>
      </c>
      <c r="I188" s="2" t="s">
        <v>1187</v>
      </c>
      <c r="J188" s="2" t="s">
        <v>1188</v>
      </c>
      <c r="K188" s="2">
        <f t="shared" si="56"/>
        <v>44488799.650354944</v>
      </c>
      <c r="L188" s="2" t="s">
        <v>1189</v>
      </c>
      <c r="M188" s="2" t="s">
        <v>1190</v>
      </c>
      <c r="N188" s="2" t="s">
        <v>1191</v>
      </c>
      <c r="O188" s="2">
        <v>3379</v>
      </c>
      <c r="P188" s="2">
        <v>493.70001220703131</v>
      </c>
      <c r="Q188" s="2">
        <v>540</v>
      </c>
      <c r="R188" s="2">
        <f t="shared" si="58"/>
        <v>1668212.3412475588</v>
      </c>
      <c r="S188" s="2">
        <f t="shared" si="59"/>
        <v>1824660</v>
      </c>
      <c r="T188" s="2">
        <f t="shared" si="60"/>
        <v>3492872.3412475586</v>
      </c>
      <c r="U188" s="2">
        <f t="shared" si="61"/>
        <v>1746.44</v>
      </c>
      <c r="V188" s="2">
        <f t="shared" si="62"/>
        <v>156447.65875244117</v>
      </c>
      <c r="W188" s="2">
        <f t="shared" si="63"/>
        <v>154701.21875244117</v>
      </c>
      <c r="X188" s="2">
        <f t="shared" si="64"/>
        <v>44643500.869107388</v>
      </c>
      <c r="Y188" s="2">
        <f t="shared" si="65"/>
        <v>333642.46999999997</v>
      </c>
      <c r="Z188" s="2">
        <f t="shared" si="66"/>
        <v>46.37</v>
      </c>
      <c r="AA188" s="2">
        <f t="shared" si="68"/>
        <v>44643500.869107388</v>
      </c>
      <c r="AB188" s="2">
        <f t="shared" si="67"/>
        <v>0</v>
      </c>
    </row>
    <row r="189" spans="1:28">
      <c r="A189" s="2">
        <v>186</v>
      </c>
      <c r="B189" s="2" t="s">
        <v>835</v>
      </c>
      <c r="C189" s="2" t="s">
        <v>932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838</v>
      </c>
      <c r="J189" s="2" t="s">
        <v>839</v>
      </c>
      <c r="K189" s="2">
        <f t="shared" si="56"/>
        <v>44643500.869107388</v>
      </c>
      <c r="L189" s="2" t="s">
        <v>204</v>
      </c>
      <c r="M189" s="2" t="s">
        <v>88</v>
      </c>
      <c r="N189" s="2" t="s">
        <v>89</v>
      </c>
      <c r="O189" s="2">
        <v>450</v>
      </c>
      <c r="P189" s="2">
        <v>999.37420654296875</v>
      </c>
      <c r="Q189" s="2">
        <v>946.17199707031239</v>
      </c>
      <c r="R189" s="2">
        <f t="shared" si="58"/>
        <v>449718.39294433594</v>
      </c>
      <c r="S189" s="2">
        <f t="shared" si="59"/>
        <v>425777.39868164057</v>
      </c>
      <c r="T189" s="2">
        <f t="shared" si="60"/>
        <v>875495.79162597656</v>
      </c>
      <c r="U189" s="2">
        <f t="shared" si="61"/>
        <v>437.75</v>
      </c>
      <c r="V189" s="2">
        <f t="shared" si="62"/>
        <v>-23940.994262695371</v>
      </c>
      <c r="W189" s="2">
        <f t="shared" si="63"/>
        <v>-24378.744262695371</v>
      </c>
      <c r="X189" s="2">
        <f t="shared" si="64"/>
        <v>44619122.124844693</v>
      </c>
      <c r="Y189" s="2">
        <f t="shared" si="65"/>
        <v>89943.679999999993</v>
      </c>
      <c r="Z189" s="2">
        <f t="shared" si="66"/>
        <v>-27.1</v>
      </c>
      <c r="AA189" s="2">
        <f t="shared" si="68"/>
        <v>44643500.869107388</v>
      </c>
      <c r="AB189" s="2">
        <f t="shared" si="67"/>
        <v>-24378.744262695313</v>
      </c>
    </row>
    <row r="190" spans="1:28">
      <c r="A190" s="2">
        <v>187</v>
      </c>
      <c r="B190" s="2" t="s">
        <v>840</v>
      </c>
      <c r="C190" s="2" t="s">
        <v>932</v>
      </c>
      <c r="D190" s="4" t="s">
        <v>61</v>
      </c>
      <c r="E190" s="5" t="s">
        <v>134</v>
      </c>
      <c r="F190" s="2" t="s">
        <v>135</v>
      </c>
      <c r="G190" s="2" t="s">
        <v>40</v>
      </c>
      <c r="H190" s="2" t="s">
        <v>841</v>
      </c>
      <c r="I190" s="2" t="s">
        <v>1192</v>
      </c>
      <c r="J190" s="2" t="s">
        <v>1193</v>
      </c>
      <c r="K190" s="2">
        <f t="shared" si="56"/>
        <v>44619122.124844693</v>
      </c>
      <c r="L190" s="2" t="s">
        <v>1194</v>
      </c>
      <c r="M190" s="2" t="s">
        <v>1014</v>
      </c>
      <c r="N190" s="2" t="s">
        <v>1055</v>
      </c>
      <c r="O190" s="2">
        <v>273</v>
      </c>
      <c r="P190" s="2">
        <v>7154.4150390625</v>
      </c>
      <c r="Q190" s="2">
        <v>7543.1181640625</v>
      </c>
      <c r="R190" s="2">
        <f t="shared" si="58"/>
        <v>1953155.3056640625</v>
      </c>
      <c r="S190" s="2">
        <f t="shared" si="59"/>
        <v>2059271.2587890625</v>
      </c>
      <c r="T190" s="2">
        <f t="shared" si="60"/>
        <v>4012426.564453125</v>
      </c>
      <c r="U190" s="2">
        <f t="shared" si="61"/>
        <v>2006.21</v>
      </c>
      <c r="V190" s="2">
        <f t="shared" si="62"/>
        <v>106115.953125</v>
      </c>
      <c r="W190" s="2">
        <f t="shared" si="63"/>
        <v>104109.74312499999</v>
      </c>
      <c r="X190" s="2">
        <f t="shared" si="64"/>
        <v>44723231.867969692</v>
      </c>
      <c r="Y190" s="2">
        <f t="shared" si="65"/>
        <v>390631.06</v>
      </c>
      <c r="Z190" s="2">
        <f t="shared" si="66"/>
        <v>26.65</v>
      </c>
      <c r="AA190" s="2">
        <f t="shared" si="68"/>
        <v>44723231.867969692</v>
      </c>
      <c r="AB190" s="2">
        <f t="shared" si="67"/>
        <v>0</v>
      </c>
    </row>
    <row r="191" spans="1:28">
      <c r="A191" s="2">
        <v>188</v>
      </c>
      <c r="B191" s="2" t="s">
        <v>845</v>
      </c>
      <c r="C191" s="2" t="s">
        <v>932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56"/>
        <v>44723231.867969692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44723231.867969692</v>
      </c>
      <c r="Y191" s="6" t="s">
        <v>1195</v>
      </c>
      <c r="Z191" s="6" t="s">
        <v>1195</v>
      </c>
      <c r="AA191" s="2">
        <f>AA190</f>
        <v>44723231.867969692</v>
      </c>
      <c r="AB191" s="2">
        <v>0</v>
      </c>
    </row>
    <row r="192" spans="1:28">
      <c r="A192" s="2">
        <v>189</v>
      </c>
      <c r="B192" s="2" t="s">
        <v>848</v>
      </c>
      <c r="C192" s="2" t="s">
        <v>932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2" t="s">
        <v>829</v>
      </c>
      <c r="I192" s="2" t="s">
        <v>1196</v>
      </c>
      <c r="J192" s="2" t="s">
        <v>1197</v>
      </c>
      <c r="K192" s="2">
        <f t="shared" si="56"/>
        <v>44723231.867969692</v>
      </c>
      <c r="L192" s="2" t="s">
        <v>1011</v>
      </c>
      <c r="M192" s="2" t="s">
        <v>979</v>
      </c>
      <c r="N192" s="2" t="s">
        <v>986</v>
      </c>
      <c r="O192" s="2">
        <v>2659</v>
      </c>
      <c r="P192" s="2">
        <v>428.90237426757812</v>
      </c>
      <c r="Q192" s="2">
        <v>432.45925903320312</v>
      </c>
      <c r="R192" s="2">
        <f t="shared" ref="R192:R208" si="69">O192*P192</f>
        <v>1140451.4131774902</v>
      </c>
      <c r="S192" s="2">
        <f t="shared" ref="S192:S208" si="70">O192*Q192</f>
        <v>1149909.1697692871</v>
      </c>
      <c r="T192" s="2">
        <f t="shared" ref="T192:T208" si="71">R192+S192</f>
        <v>2290360.5829467773</v>
      </c>
      <c r="U192" s="2">
        <f t="shared" ref="U192:U208" si="72">ROUND(T192*0.0005, 2)</f>
        <v>1145.18</v>
      </c>
      <c r="V192" s="2">
        <f t="shared" ref="V192:V208" si="73">S192-R192</f>
        <v>9457.756591796875</v>
      </c>
      <c r="W192" s="2">
        <f t="shared" ref="W192:W208" si="74">V192-U192</f>
        <v>8312.5765917968747</v>
      </c>
      <c r="X192" s="2">
        <f t="shared" ref="X192:X208" si="75">K192+W192</f>
        <v>44731544.444561489</v>
      </c>
      <c r="Y192" s="2">
        <f t="shared" ref="Y192:Y208" si="76">ROUND(0.2*R192, 2)</f>
        <v>228090.28</v>
      </c>
      <c r="Z192" s="2">
        <f t="shared" ref="Z192:Z208" si="77">ROUND((W192/Y192)*100, 2)</f>
        <v>3.64</v>
      </c>
      <c r="AA192" s="2">
        <f t="shared" ref="AA192:AA208" si="78">MAX(AA191, X192)</f>
        <v>44731544.444561489</v>
      </c>
      <c r="AB192" s="2">
        <f t="shared" ref="AB192:AB208" si="79">X192-AA192</f>
        <v>0</v>
      </c>
    </row>
    <row r="193" spans="1:28">
      <c r="A193" s="2">
        <v>190</v>
      </c>
      <c r="B193" s="2" t="s">
        <v>851</v>
      </c>
      <c r="C193" s="2" t="s">
        <v>932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431</v>
      </c>
      <c r="J193" s="2" t="s">
        <v>853</v>
      </c>
      <c r="K193" s="2">
        <f t="shared" si="56"/>
        <v>44731544.444561489</v>
      </c>
      <c r="L193" s="2" t="s">
        <v>183</v>
      </c>
      <c r="M193" s="2" t="s">
        <v>173</v>
      </c>
      <c r="N193" s="2" t="s">
        <v>166</v>
      </c>
      <c r="O193" s="2">
        <v>5500</v>
      </c>
      <c r="P193" s="2">
        <v>127.3141555786133</v>
      </c>
      <c r="Q193" s="2">
        <v>122.37363433837891</v>
      </c>
      <c r="R193" s="2">
        <f t="shared" si="69"/>
        <v>700227.85568237316</v>
      </c>
      <c r="S193" s="2">
        <f t="shared" si="70"/>
        <v>673054.98886108398</v>
      </c>
      <c r="T193" s="2">
        <f t="shared" si="71"/>
        <v>1373282.844543457</v>
      </c>
      <c r="U193" s="2">
        <f t="shared" si="72"/>
        <v>686.64</v>
      </c>
      <c r="V193" s="2">
        <f t="shared" si="73"/>
        <v>-27172.866821289179</v>
      </c>
      <c r="W193" s="2">
        <f t="shared" si="74"/>
        <v>-27859.506821289178</v>
      </c>
      <c r="X193" s="2">
        <f t="shared" si="75"/>
        <v>44703684.937740199</v>
      </c>
      <c r="Y193" s="2">
        <f t="shared" si="76"/>
        <v>140045.57</v>
      </c>
      <c r="Z193" s="2">
        <f t="shared" si="77"/>
        <v>-19.89</v>
      </c>
      <c r="AA193" s="2">
        <f t="shared" si="78"/>
        <v>44731544.444561489</v>
      </c>
      <c r="AB193" s="2">
        <f t="shared" si="79"/>
        <v>-27859.506821289659</v>
      </c>
    </row>
    <row r="194" spans="1:28">
      <c r="A194" s="2">
        <v>191</v>
      </c>
      <c r="B194" s="2" t="s">
        <v>854</v>
      </c>
      <c r="C194" s="2" t="s">
        <v>932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857</v>
      </c>
      <c r="J194" s="2" t="s">
        <v>858</v>
      </c>
      <c r="K194" s="2">
        <f t="shared" si="56"/>
        <v>44703684.937740199</v>
      </c>
      <c r="L194" s="2" t="s">
        <v>859</v>
      </c>
      <c r="M194" s="2" t="s">
        <v>345</v>
      </c>
      <c r="N194" s="2" t="s">
        <v>336</v>
      </c>
      <c r="O194" s="2">
        <v>175</v>
      </c>
      <c r="P194" s="2">
        <v>4018.330322265625</v>
      </c>
      <c r="Q194" s="2">
        <v>3834.6953125</v>
      </c>
      <c r="R194" s="2">
        <f t="shared" si="69"/>
        <v>703207.80639648438</v>
      </c>
      <c r="S194" s="2">
        <f t="shared" si="70"/>
        <v>671071.6796875</v>
      </c>
      <c r="T194" s="2">
        <f t="shared" si="71"/>
        <v>1374279.4860839844</v>
      </c>
      <c r="U194" s="2">
        <f t="shared" si="72"/>
        <v>687.14</v>
      </c>
      <c r="V194" s="2">
        <f t="shared" si="73"/>
        <v>-32136.126708984375</v>
      </c>
      <c r="W194" s="2">
        <f t="shared" si="74"/>
        <v>-32823.266708984374</v>
      </c>
      <c r="X194" s="2">
        <f t="shared" si="75"/>
        <v>44670861.671031214</v>
      </c>
      <c r="Y194" s="2">
        <f t="shared" si="76"/>
        <v>140641.56</v>
      </c>
      <c r="Z194" s="2">
        <f t="shared" si="77"/>
        <v>-23.34</v>
      </c>
      <c r="AA194" s="2">
        <f t="shared" si="78"/>
        <v>44731544.444561489</v>
      </c>
      <c r="AB194" s="2">
        <f t="shared" si="79"/>
        <v>-60682.77353027463</v>
      </c>
    </row>
    <row r="195" spans="1:28">
      <c r="A195" s="2">
        <v>192</v>
      </c>
      <c r="B195" s="2" t="s">
        <v>860</v>
      </c>
      <c r="C195" s="2" t="s">
        <v>932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863</v>
      </c>
      <c r="J195" s="2" t="s">
        <v>864</v>
      </c>
      <c r="K195" s="2">
        <f t="shared" si="56"/>
        <v>44670861.671031214</v>
      </c>
      <c r="L195" s="2" t="s">
        <v>181</v>
      </c>
      <c r="M195" s="2" t="s">
        <v>182</v>
      </c>
      <c r="N195" s="2" t="s">
        <v>251</v>
      </c>
      <c r="O195" s="2">
        <v>600</v>
      </c>
      <c r="P195" s="2">
        <v>1623.04150390625</v>
      </c>
      <c r="Q195" s="2">
        <v>1587.566284179688</v>
      </c>
      <c r="R195" s="2">
        <f t="shared" si="69"/>
        <v>973824.90234375</v>
      </c>
      <c r="S195" s="2">
        <f t="shared" si="70"/>
        <v>952539.77050781273</v>
      </c>
      <c r="T195" s="2">
        <f t="shared" si="71"/>
        <v>1926364.6728515627</v>
      </c>
      <c r="U195" s="2">
        <f t="shared" si="72"/>
        <v>963.18</v>
      </c>
      <c r="V195" s="2">
        <f t="shared" si="73"/>
        <v>-21285.131835937267</v>
      </c>
      <c r="W195" s="2">
        <f t="shared" si="74"/>
        <v>-22248.311835937267</v>
      </c>
      <c r="X195" s="2">
        <f t="shared" si="75"/>
        <v>44648613.359195277</v>
      </c>
      <c r="Y195" s="2">
        <f t="shared" si="76"/>
        <v>194764.98</v>
      </c>
      <c r="Z195" s="2">
        <f t="shared" si="77"/>
        <v>-11.42</v>
      </c>
      <c r="AA195" s="2">
        <f t="shared" si="78"/>
        <v>44731544.444561489</v>
      </c>
      <c r="AB195" s="2">
        <f t="shared" si="79"/>
        <v>-82931.085366211832</v>
      </c>
    </row>
    <row r="196" spans="1:28">
      <c r="A196" s="2">
        <v>193</v>
      </c>
      <c r="B196" s="2" t="s">
        <v>865</v>
      </c>
      <c r="C196" s="2" t="s">
        <v>932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2" t="s">
        <v>866</v>
      </c>
      <c r="I196" s="2" t="s">
        <v>1198</v>
      </c>
      <c r="J196" s="2" t="s">
        <v>1199</v>
      </c>
      <c r="K196" s="2">
        <f t="shared" si="56"/>
        <v>44648613.359195277</v>
      </c>
      <c r="L196" s="2" t="s">
        <v>994</v>
      </c>
      <c r="M196" s="2" t="s">
        <v>979</v>
      </c>
      <c r="N196" s="2" t="s">
        <v>959</v>
      </c>
      <c r="O196" s="2">
        <v>371</v>
      </c>
      <c r="P196" s="2">
        <v>4174.806640625</v>
      </c>
      <c r="Q196" s="2">
        <v>4554.03466796875</v>
      </c>
      <c r="R196" s="2">
        <f t="shared" si="69"/>
        <v>1548853.263671875</v>
      </c>
      <c r="S196" s="2">
        <f t="shared" si="70"/>
        <v>1689546.8618164063</v>
      </c>
      <c r="T196" s="2">
        <f t="shared" si="71"/>
        <v>3238400.1254882813</v>
      </c>
      <c r="U196" s="2">
        <f t="shared" si="72"/>
        <v>1619.2</v>
      </c>
      <c r="V196" s="2">
        <f t="shared" si="73"/>
        <v>140693.59814453125</v>
      </c>
      <c r="W196" s="2">
        <f t="shared" si="74"/>
        <v>139074.39814453124</v>
      </c>
      <c r="X196" s="2">
        <f t="shared" si="75"/>
        <v>44787687.757339805</v>
      </c>
      <c r="Y196" s="2">
        <f t="shared" si="76"/>
        <v>309770.65000000002</v>
      </c>
      <c r="Z196" s="2">
        <f t="shared" si="77"/>
        <v>44.9</v>
      </c>
      <c r="AA196" s="2">
        <f t="shared" si="78"/>
        <v>44787687.757339805</v>
      </c>
      <c r="AB196" s="2">
        <f t="shared" si="79"/>
        <v>0</v>
      </c>
    </row>
    <row r="197" spans="1:28">
      <c r="A197" s="2">
        <v>194</v>
      </c>
      <c r="B197" s="2" t="s">
        <v>868</v>
      </c>
      <c r="C197" s="2" t="s">
        <v>932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871</v>
      </c>
      <c r="J197" s="2" t="s">
        <v>872</v>
      </c>
      <c r="K197" s="2">
        <f t="shared" ref="K197:K214" si="80">X196</f>
        <v>44787687.757339805</v>
      </c>
      <c r="L197" s="2" t="s">
        <v>148</v>
      </c>
      <c r="M197" s="2" t="s">
        <v>147</v>
      </c>
      <c r="N197" s="2" t="s">
        <v>148</v>
      </c>
      <c r="O197" s="2">
        <v>175</v>
      </c>
      <c r="P197" s="2">
        <v>3389.394775390625</v>
      </c>
      <c r="Q197" s="2">
        <v>3575.174072265625</v>
      </c>
      <c r="R197" s="2">
        <f t="shared" si="69"/>
        <v>593144.08569335938</v>
      </c>
      <c r="S197" s="2">
        <f t="shared" si="70"/>
        <v>625655.46264648437</v>
      </c>
      <c r="T197" s="2">
        <f t="shared" si="71"/>
        <v>1218799.5483398438</v>
      </c>
      <c r="U197" s="2">
        <f t="shared" si="72"/>
        <v>609.4</v>
      </c>
      <c r="V197" s="2">
        <f t="shared" si="73"/>
        <v>32511.376953125</v>
      </c>
      <c r="W197" s="2">
        <f t="shared" si="74"/>
        <v>31901.976953124999</v>
      </c>
      <c r="X197" s="2">
        <f t="shared" si="75"/>
        <v>44819589.734292932</v>
      </c>
      <c r="Y197" s="2">
        <f t="shared" si="76"/>
        <v>118628.82</v>
      </c>
      <c r="Z197" s="2">
        <f t="shared" si="77"/>
        <v>26.89</v>
      </c>
      <c r="AA197" s="2">
        <f t="shared" si="78"/>
        <v>44819589.734292932</v>
      </c>
      <c r="AB197" s="2">
        <f t="shared" si="79"/>
        <v>0</v>
      </c>
    </row>
    <row r="198" spans="1:28">
      <c r="A198" s="2">
        <v>195</v>
      </c>
      <c r="B198" s="2" t="s">
        <v>873</v>
      </c>
      <c r="C198" s="2" t="s">
        <v>932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1200</v>
      </c>
      <c r="J198" s="2" t="s">
        <v>1201</v>
      </c>
      <c r="K198" s="2">
        <f t="shared" si="80"/>
        <v>44819589.734292932</v>
      </c>
      <c r="L198" s="2" t="s">
        <v>1202</v>
      </c>
      <c r="M198" s="2" t="s">
        <v>1203</v>
      </c>
      <c r="N198" s="2" t="s">
        <v>1204</v>
      </c>
      <c r="O198" s="2">
        <v>3054</v>
      </c>
      <c r="P198" s="2">
        <v>151.2175598144531</v>
      </c>
      <c r="Q198" s="2">
        <v>169.84477233886719</v>
      </c>
      <c r="R198" s="2">
        <f t="shared" si="69"/>
        <v>461818.42767333979</v>
      </c>
      <c r="S198" s="2">
        <f t="shared" si="70"/>
        <v>518705.93472290039</v>
      </c>
      <c r="T198" s="2">
        <f t="shared" si="71"/>
        <v>980524.36239624023</v>
      </c>
      <c r="U198" s="2">
        <f t="shared" si="72"/>
        <v>490.26</v>
      </c>
      <c r="V198" s="2">
        <f t="shared" si="73"/>
        <v>56887.507049560605</v>
      </c>
      <c r="W198" s="2">
        <f t="shared" si="74"/>
        <v>56397.247049560603</v>
      </c>
      <c r="X198" s="2">
        <f t="shared" si="75"/>
        <v>44875986.981342494</v>
      </c>
      <c r="Y198" s="2">
        <f t="shared" si="76"/>
        <v>92363.69</v>
      </c>
      <c r="Z198" s="2">
        <f t="shared" si="77"/>
        <v>61.06</v>
      </c>
      <c r="AA198" s="2">
        <f t="shared" si="78"/>
        <v>44875986.981342494</v>
      </c>
      <c r="AB198" s="2">
        <f t="shared" si="79"/>
        <v>0</v>
      </c>
    </row>
    <row r="199" spans="1:28">
      <c r="A199" s="2">
        <v>196</v>
      </c>
      <c r="B199" s="2" t="s">
        <v>878</v>
      </c>
      <c r="C199" s="2" t="s">
        <v>932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2" t="s">
        <v>879</v>
      </c>
      <c r="I199" s="2" t="s">
        <v>1181</v>
      </c>
      <c r="J199" s="2" t="s">
        <v>1205</v>
      </c>
      <c r="K199" s="2">
        <f t="shared" si="80"/>
        <v>44875986.981342494</v>
      </c>
      <c r="L199" s="2" t="s">
        <v>288</v>
      </c>
      <c r="M199" s="2" t="s">
        <v>967</v>
      </c>
      <c r="N199" s="2" t="s">
        <v>957</v>
      </c>
      <c r="O199" s="2">
        <v>205</v>
      </c>
      <c r="P199" s="2">
        <v>3260.456787109375</v>
      </c>
      <c r="Q199" s="2">
        <v>3143.97998046875</v>
      </c>
      <c r="R199" s="2">
        <f t="shared" si="69"/>
        <v>668393.64135742187</v>
      </c>
      <c r="S199" s="2">
        <f t="shared" si="70"/>
        <v>644515.89599609375</v>
      </c>
      <c r="T199" s="2">
        <f t="shared" si="71"/>
        <v>1312909.5373535156</v>
      </c>
      <c r="U199" s="2">
        <f t="shared" si="72"/>
        <v>656.45</v>
      </c>
      <c r="V199" s="2">
        <f t="shared" si="73"/>
        <v>-23877.745361328125</v>
      </c>
      <c r="W199" s="2">
        <f t="shared" si="74"/>
        <v>-24534.195361328126</v>
      </c>
      <c r="X199" s="2">
        <f t="shared" si="75"/>
        <v>44851452.785981163</v>
      </c>
      <c r="Y199" s="2">
        <f t="shared" si="76"/>
        <v>133678.73000000001</v>
      </c>
      <c r="Z199" s="2">
        <f t="shared" si="77"/>
        <v>-18.350000000000001</v>
      </c>
      <c r="AA199" s="2">
        <f t="shared" si="78"/>
        <v>44875986.981342494</v>
      </c>
      <c r="AB199" s="2">
        <f t="shared" si="79"/>
        <v>-24534.195361331105</v>
      </c>
    </row>
    <row r="200" spans="1:28">
      <c r="A200" s="2">
        <v>197</v>
      </c>
      <c r="B200" s="2" t="s">
        <v>881</v>
      </c>
      <c r="C200" s="2" t="s">
        <v>932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884</v>
      </c>
      <c r="J200" s="2" t="s">
        <v>885</v>
      </c>
      <c r="K200" s="2">
        <f t="shared" si="80"/>
        <v>44851452.785981163</v>
      </c>
      <c r="L200" s="2" t="s">
        <v>88</v>
      </c>
      <c r="M200" s="2" t="s">
        <v>139</v>
      </c>
      <c r="N200" s="2" t="s">
        <v>147</v>
      </c>
      <c r="O200" s="2">
        <v>345</v>
      </c>
      <c r="P200" s="2">
        <v>5738.1533203125</v>
      </c>
      <c r="Q200" s="2">
        <v>5246.0146484375</v>
      </c>
      <c r="R200" s="2">
        <f t="shared" si="69"/>
        <v>1979662.8955078125</v>
      </c>
      <c r="S200" s="2">
        <f t="shared" si="70"/>
        <v>1809875.0537109375</v>
      </c>
      <c r="T200" s="2">
        <f t="shared" si="71"/>
        <v>3789537.94921875</v>
      </c>
      <c r="U200" s="2">
        <f t="shared" si="72"/>
        <v>1894.77</v>
      </c>
      <c r="V200" s="2">
        <f t="shared" si="73"/>
        <v>-169787.841796875</v>
      </c>
      <c r="W200" s="2">
        <f t="shared" si="74"/>
        <v>-171682.61179687499</v>
      </c>
      <c r="X200" s="2">
        <f t="shared" si="75"/>
        <v>44679770.174184285</v>
      </c>
      <c r="Y200" s="2">
        <f t="shared" si="76"/>
        <v>395932.58</v>
      </c>
      <c r="Z200" s="2">
        <f t="shared" si="77"/>
        <v>-43.36</v>
      </c>
      <c r="AA200" s="2">
        <f t="shared" si="78"/>
        <v>44875986.981342494</v>
      </c>
      <c r="AB200" s="2">
        <f t="shared" si="79"/>
        <v>-196216.80715820938</v>
      </c>
    </row>
    <row r="201" spans="1:28">
      <c r="A201" s="2">
        <v>198</v>
      </c>
      <c r="B201" s="2" t="s">
        <v>886</v>
      </c>
      <c r="C201" s="2" t="s">
        <v>932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2" t="s">
        <v>887</v>
      </c>
      <c r="I201" s="2" t="s">
        <v>1206</v>
      </c>
      <c r="J201" s="2" t="s">
        <v>725</v>
      </c>
      <c r="K201" s="2">
        <f t="shared" si="80"/>
        <v>44679770.174184285</v>
      </c>
      <c r="L201" s="2" t="s">
        <v>1014</v>
      </c>
      <c r="M201" s="2" t="s">
        <v>288</v>
      </c>
      <c r="N201" s="2" t="s">
        <v>1011</v>
      </c>
      <c r="O201" s="2">
        <v>237</v>
      </c>
      <c r="P201" s="2">
        <v>2463.48828125</v>
      </c>
      <c r="Q201" s="2">
        <v>2658.89208984375</v>
      </c>
      <c r="R201" s="2">
        <f t="shared" si="69"/>
        <v>583846.72265625</v>
      </c>
      <c r="S201" s="2">
        <f t="shared" si="70"/>
        <v>630157.42529296875</v>
      </c>
      <c r="T201" s="2">
        <f t="shared" si="71"/>
        <v>1214004.1479492187</v>
      </c>
      <c r="U201" s="2">
        <f t="shared" si="72"/>
        <v>607</v>
      </c>
      <c r="V201" s="2">
        <f t="shared" si="73"/>
        <v>46310.70263671875</v>
      </c>
      <c r="W201" s="2">
        <f t="shared" si="74"/>
        <v>45703.70263671875</v>
      </c>
      <c r="X201" s="2">
        <f t="shared" si="75"/>
        <v>44725473.876821004</v>
      </c>
      <c r="Y201" s="2">
        <f t="shared" si="76"/>
        <v>116769.34</v>
      </c>
      <c r="Z201" s="2">
        <f t="shared" si="77"/>
        <v>39.14</v>
      </c>
      <c r="AA201" s="2">
        <f t="shared" si="78"/>
        <v>44875986.981342494</v>
      </c>
      <c r="AB201" s="2">
        <f t="shared" si="79"/>
        <v>-150513.10452149063</v>
      </c>
    </row>
    <row r="202" spans="1:28">
      <c r="A202" s="2">
        <v>199</v>
      </c>
      <c r="B202" s="2" t="s">
        <v>890</v>
      </c>
      <c r="C202" s="2" t="s">
        <v>932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892</v>
      </c>
      <c r="J202" s="2" t="s">
        <v>893</v>
      </c>
      <c r="K202" s="2">
        <f t="shared" si="80"/>
        <v>44725473.876821004</v>
      </c>
      <c r="L202" s="2" t="s">
        <v>251</v>
      </c>
      <c r="M202" s="2" t="s">
        <v>89</v>
      </c>
      <c r="N202" s="2" t="s">
        <v>182</v>
      </c>
      <c r="O202" s="2">
        <v>100</v>
      </c>
      <c r="P202" s="2">
        <v>11407.09375</v>
      </c>
      <c r="Q202" s="2">
        <v>10513.359375</v>
      </c>
      <c r="R202" s="2">
        <f t="shared" si="69"/>
        <v>1140709.375</v>
      </c>
      <c r="S202" s="2">
        <f t="shared" si="70"/>
        <v>1051335.9375</v>
      </c>
      <c r="T202" s="2">
        <f t="shared" si="71"/>
        <v>2192045.3125</v>
      </c>
      <c r="U202" s="2">
        <f t="shared" si="72"/>
        <v>1096.02</v>
      </c>
      <c r="V202" s="2">
        <f t="shared" si="73"/>
        <v>-89373.4375</v>
      </c>
      <c r="W202" s="2">
        <f t="shared" si="74"/>
        <v>-90469.457500000004</v>
      </c>
      <c r="X202" s="2">
        <f t="shared" si="75"/>
        <v>44635004.419321001</v>
      </c>
      <c r="Y202" s="2">
        <f t="shared" si="76"/>
        <v>228141.88</v>
      </c>
      <c r="Z202" s="2">
        <f t="shared" si="77"/>
        <v>-39.65</v>
      </c>
      <c r="AA202" s="2">
        <f t="shared" si="78"/>
        <v>44875986.981342494</v>
      </c>
      <c r="AB202" s="2">
        <f t="shared" si="79"/>
        <v>-240982.56202149391</v>
      </c>
    </row>
    <row r="203" spans="1:28">
      <c r="A203" s="2">
        <v>200</v>
      </c>
      <c r="B203" s="2" t="s">
        <v>894</v>
      </c>
      <c r="C203" s="2" t="s">
        <v>932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2" t="s">
        <v>895</v>
      </c>
      <c r="I203" s="2" t="s">
        <v>1082</v>
      </c>
      <c r="J203" s="2" t="s">
        <v>1207</v>
      </c>
      <c r="K203" s="2">
        <f t="shared" si="80"/>
        <v>44635004.419321001</v>
      </c>
      <c r="L203" s="2" t="s">
        <v>970</v>
      </c>
      <c r="M203" s="2" t="s">
        <v>289</v>
      </c>
      <c r="N203" s="2" t="s">
        <v>966</v>
      </c>
      <c r="O203" s="2">
        <v>5868</v>
      </c>
      <c r="P203" s="2">
        <v>105.43027496337891</v>
      </c>
      <c r="Q203" s="2">
        <v>106.04095458984381</v>
      </c>
      <c r="R203" s="2">
        <f t="shared" si="69"/>
        <v>618664.85348510742</v>
      </c>
      <c r="S203" s="2">
        <f t="shared" si="70"/>
        <v>622248.32153320347</v>
      </c>
      <c r="T203" s="2">
        <f t="shared" si="71"/>
        <v>1240913.175018311</v>
      </c>
      <c r="U203" s="2">
        <f t="shared" si="72"/>
        <v>620.46</v>
      </c>
      <c r="V203" s="2">
        <f t="shared" si="73"/>
        <v>3583.4680480960524</v>
      </c>
      <c r="W203" s="2">
        <f t="shared" si="74"/>
        <v>2963.0080480960523</v>
      </c>
      <c r="X203" s="2">
        <f t="shared" si="75"/>
        <v>44637967.427369095</v>
      </c>
      <c r="Y203" s="2">
        <f t="shared" si="76"/>
        <v>123732.97</v>
      </c>
      <c r="Z203" s="2">
        <f t="shared" si="77"/>
        <v>2.39</v>
      </c>
      <c r="AA203" s="2">
        <f t="shared" si="78"/>
        <v>44875986.981342494</v>
      </c>
      <c r="AB203" s="2">
        <f t="shared" si="79"/>
        <v>-238019.5539733991</v>
      </c>
    </row>
    <row r="204" spans="1:28">
      <c r="A204" s="2">
        <v>201</v>
      </c>
      <c r="B204" s="2" t="s">
        <v>897</v>
      </c>
      <c r="C204" s="2" t="s">
        <v>932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2" t="s">
        <v>898</v>
      </c>
      <c r="I204" s="2" t="s">
        <v>1155</v>
      </c>
      <c r="J204" s="2" t="s">
        <v>1208</v>
      </c>
      <c r="K204" s="2">
        <f t="shared" si="80"/>
        <v>44637967.427369095</v>
      </c>
      <c r="L204" s="2" t="s">
        <v>970</v>
      </c>
      <c r="M204" s="2" t="s">
        <v>986</v>
      </c>
      <c r="N204" s="2" t="s">
        <v>288</v>
      </c>
      <c r="O204" s="2">
        <v>652</v>
      </c>
      <c r="P204" s="2">
        <v>1415.857055664062</v>
      </c>
      <c r="Q204" s="2">
        <v>1487.734497070312</v>
      </c>
      <c r="R204" s="2">
        <f t="shared" si="69"/>
        <v>923138.8002929684</v>
      </c>
      <c r="S204" s="2">
        <f t="shared" si="70"/>
        <v>970002.8920898434</v>
      </c>
      <c r="T204" s="2">
        <f t="shared" si="71"/>
        <v>1893141.6923828118</v>
      </c>
      <c r="U204" s="2">
        <f t="shared" si="72"/>
        <v>946.57</v>
      </c>
      <c r="V204" s="2">
        <f t="shared" si="73"/>
        <v>46864.091796875</v>
      </c>
      <c r="W204" s="2">
        <f t="shared" si="74"/>
        <v>45917.521796875</v>
      </c>
      <c r="X204" s="2">
        <f t="shared" si="75"/>
        <v>44683884.94916597</v>
      </c>
      <c r="Y204" s="2">
        <f t="shared" si="76"/>
        <v>184627.76</v>
      </c>
      <c r="Z204" s="2">
        <f t="shared" si="77"/>
        <v>24.87</v>
      </c>
      <c r="AA204" s="2">
        <f t="shared" si="78"/>
        <v>44875986.981342494</v>
      </c>
      <c r="AB204" s="2">
        <f t="shared" si="79"/>
        <v>-192102.0321765244</v>
      </c>
    </row>
    <row r="205" spans="1:28">
      <c r="A205" s="2">
        <v>202</v>
      </c>
      <c r="B205" s="2" t="s">
        <v>899</v>
      </c>
      <c r="C205" s="2" t="s">
        <v>932</v>
      </c>
      <c r="D205" s="3" t="s">
        <v>37</v>
      </c>
      <c r="E205" s="5" t="s">
        <v>134</v>
      </c>
      <c r="F205" s="2" t="s">
        <v>135</v>
      </c>
      <c r="G205" s="2" t="s">
        <v>40</v>
      </c>
      <c r="H205" s="2" t="s">
        <v>638</v>
      </c>
      <c r="I205" s="2" t="s">
        <v>1209</v>
      </c>
      <c r="J205" s="2" t="s">
        <v>1210</v>
      </c>
      <c r="K205" s="2">
        <f t="shared" si="80"/>
        <v>44683884.94916597</v>
      </c>
      <c r="L205" s="2" t="s">
        <v>983</v>
      </c>
      <c r="M205" s="2" t="s">
        <v>988</v>
      </c>
      <c r="N205" s="2" t="s">
        <v>989</v>
      </c>
      <c r="O205" s="2">
        <v>852</v>
      </c>
      <c r="P205" s="2">
        <v>973.62896728515625</v>
      </c>
      <c r="Q205" s="2">
        <v>1035.59765625</v>
      </c>
      <c r="R205" s="2">
        <f t="shared" si="69"/>
        <v>829531.88012695312</v>
      </c>
      <c r="S205" s="2">
        <f t="shared" si="70"/>
        <v>882329.203125</v>
      </c>
      <c r="T205" s="2">
        <f t="shared" si="71"/>
        <v>1711861.0832519531</v>
      </c>
      <c r="U205" s="2">
        <f t="shared" si="72"/>
        <v>855.93</v>
      </c>
      <c r="V205" s="2">
        <f t="shared" si="73"/>
        <v>52797.322998046875</v>
      </c>
      <c r="W205" s="2">
        <f t="shared" si="74"/>
        <v>51941.392998046875</v>
      </c>
      <c r="X205" s="2">
        <f t="shared" si="75"/>
        <v>44735826.342164017</v>
      </c>
      <c r="Y205" s="2">
        <f t="shared" si="76"/>
        <v>165906.38</v>
      </c>
      <c r="Z205" s="2">
        <f t="shared" si="77"/>
        <v>31.31</v>
      </c>
      <c r="AA205" s="2">
        <f t="shared" si="78"/>
        <v>44875986.981342494</v>
      </c>
      <c r="AB205" s="2">
        <f t="shared" si="79"/>
        <v>-140160.63917847723</v>
      </c>
    </row>
    <row r="206" spans="1:28">
      <c r="A206" s="2">
        <v>203</v>
      </c>
      <c r="B206" s="2" t="s">
        <v>902</v>
      </c>
      <c r="C206" s="2" t="s">
        <v>932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2" t="s">
        <v>903</v>
      </c>
      <c r="I206" s="2" t="s">
        <v>1211</v>
      </c>
      <c r="J206" s="2" t="s">
        <v>1212</v>
      </c>
      <c r="K206" s="2">
        <f t="shared" si="80"/>
        <v>44735826.342164017</v>
      </c>
      <c r="L206" s="2" t="s">
        <v>979</v>
      </c>
      <c r="M206" s="2" t="s">
        <v>974</v>
      </c>
      <c r="N206" s="2" t="s">
        <v>947</v>
      </c>
      <c r="O206" s="2">
        <v>1659</v>
      </c>
      <c r="P206" s="2">
        <v>505.45468139648437</v>
      </c>
      <c r="Q206" s="2">
        <v>548.66943359375</v>
      </c>
      <c r="R206" s="2">
        <f t="shared" si="69"/>
        <v>838549.31643676758</v>
      </c>
      <c r="S206" s="2">
        <f t="shared" si="70"/>
        <v>910242.59033203125</v>
      </c>
      <c r="T206" s="2">
        <f t="shared" si="71"/>
        <v>1748791.9067687988</v>
      </c>
      <c r="U206" s="2">
        <f t="shared" si="72"/>
        <v>874.4</v>
      </c>
      <c r="V206" s="2">
        <f t="shared" si="73"/>
        <v>71693.273895263672</v>
      </c>
      <c r="W206" s="2">
        <f t="shared" si="74"/>
        <v>70818.873895263678</v>
      </c>
      <c r="X206" s="2">
        <f t="shared" si="75"/>
        <v>44806645.216059282</v>
      </c>
      <c r="Y206" s="2">
        <f t="shared" si="76"/>
        <v>167709.85999999999</v>
      </c>
      <c r="Z206" s="2">
        <f t="shared" si="77"/>
        <v>42.23</v>
      </c>
      <c r="AA206" s="2">
        <f t="shared" si="78"/>
        <v>44875986.981342494</v>
      </c>
      <c r="AB206" s="2">
        <f t="shared" si="79"/>
        <v>-69341.765283212066</v>
      </c>
    </row>
    <row r="207" spans="1:28">
      <c r="A207" s="2">
        <v>204</v>
      </c>
      <c r="B207" s="2" t="s">
        <v>906</v>
      </c>
      <c r="C207" s="2" t="s">
        <v>932</v>
      </c>
      <c r="D207" s="4" t="s">
        <v>61</v>
      </c>
      <c r="E207" s="5" t="s">
        <v>134</v>
      </c>
      <c r="F207" s="2" t="s">
        <v>135</v>
      </c>
      <c r="G207" s="2" t="s">
        <v>77</v>
      </c>
      <c r="H207" s="2" t="s">
        <v>907</v>
      </c>
      <c r="I207" s="2" t="s">
        <v>1213</v>
      </c>
      <c r="J207" s="2" t="s">
        <v>1116</v>
      </c>
      <c r="K207" s="2">
        <f t="shared" si="80"/>
        <v>44806645.216059282</v>
      </c>
      <c r="L207" s="2" t="s">
        <v>1014</v>
      </c>
      <c r="M207" s="2" t="s">
        <v>1011</v>
      </c>
      <c r="N207" s="2" t="s">
        <v>966</v>
      </c>
      <c r="O207" s="2">
        <v>2215</v>
      </c>
      <c r="P207" s="2">
        <v>625.5810546875</v>
      </c>
      <c r="Q207" s="2">
        <v>585.43438720703125</v>
      </c>
      <c r="R207" s="2">
        <f t="shared" si="69"/>
        <v>1385662.0361328125</v>
      </c>
      <c r="S207" s="2">
        <f t="shared" si="70"/>
        <v>1296737.1676635742</v>
      </c>
      <c r="T207" s="2">
        <f t="shared" si="71"/>
        <v>2682399.2037963867</v>
      </c>
      <c r="U207" s="2">
        <f t="shared" si="72"/>
        <v>1341.2</v>
      </c>
      <c r="V207" s="2">
        <f t="shared" si="73"/>
        <v>-88924.868469238281</v>
      </c>
      <c r="W207" s="2">
        <f t="shared" si="74"/>
        <v>-90266.068469238278</v>
      </c>
      <c r="X207" s="2">
        <f t="shared" si="75"/>
        <v>44716379.147590041</v>
      </c>
      <c r="Y207" s="2">
        <f t="shared" si="76"/>
        <v>277132.40999999997</v>
      </c>
      <c r="Z207" s="2">
        <f t="shared" si="77"/>
        <v>-32.57</v>
      </c>
      <c r="AA207" s="2">
        <f t="shared" si="78"/>
        <v>44875986.981342494</v>
      </c>
      <c r="AB207" s="2">
        <f t="shared" si="79"/>
        <v>-159607.83375245333</v>
      </c>
    </row>
    <row r="208" spans="1:28">
      <c r="A208" s="2">
        <v>205</v>
      </c>
      <c r="B208" s="2" t="s">
        <v>910</v>
      </c>
      <c r="C208" s="2" t="s">
        <v>932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2" t="s">
        <v>911</v>
      </c>
      <c r="I208" s="2" t="s">
        <v>1214</v>
      </c>
      <c r="J208" s="2" t="s">
        <v>1001</v>
      </c>
      <c r="K208" s="2">
        <f t="shared" si="80"/>
        <v>44716379.147590041</v>
      </c>
      <c r="L208" s="2" t="s">
        <v>973</v>
      </c>
      <c r="M208" s="2" t="s">
        <v>980</v>
      </c>
      <c r="N208" s="2" t="s">
        <v>960</v>
      </c>
      <c r="O208" s="2">
        <v>3738</v>
      </c>
      <c r="P208" s="2">
        <v>434.70025634765619</v>
      </c>
      <c r="Q208" s="2">
        <v>397.4664306640625</v>
      </c>
      <c r="R208" s="2">
        <f t="shared" si="69"/>
        <v>1624909.5582275388</v>
      </c>
      <c r="S208" s="2">
        <f t="shared" si="70"/>
        <v>1485729.5178222656</v>
      </c>
      <c r="T208" s="2">
        <f t="shared" si="71"/>
        <v>3110639.0760498047</v>
      </c>
      <c r="U208" s="2">
        <f t="shared" si="72"/>
        <v>1555.32</v>
      </c>
      <c r="V208" s="2">
        <f t="shared" si="73"/>
        <v>-139180.0404052732</v>
      </c>
      <c r="W208" s="2">
        <f t="shared" si="74"/>
        <v>-140735.36040527321</v>
      </c>
      <c r="X208" s="2">
        <f t="shared" si="75"/>
        <v>44575643.787184767</v>
      </c>
      <c r="Y208" s="2">
        <f t="shared" si="76"/>
        <v>324981.90999999997</v>
      </c>
      <c r="Z208" s="2">
        <f t="shared" si="77"/>
        <v>-43.31</v>
      </c>
      <c r="AA208" s="2">
        <f t="shared" si="78"/>
        <v>44875986.981342494</v>
      </c>
      <c r="AB208" s="2">
        <f t="shared" si="79"/>
        <v>-300343.19415772706</v>
      </c>
    </row>
    <row r="209" spans="1:28">
      <c r="A209" s="2">
        <v>206</v>
      </c>
      <c r="B209" s="2" t="s">
        <v>913</v>
      </c>
      <c r="C209" s="2" t="s">
        <v>932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80"/>
        <v>44575643.787184767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>K209</f>
        <v>44575643.787184767</v>
      </c>
      <c r="Y209" s="6" t="s">
        <v>1195</v>
      </c>
      <c r="Z209" s="6" t="s">
        <v>1195</v>
      </c>
      <c r="AA209" s="2">
        <f>AA208</f>
        <v>44875986.981342494</v>
      </c>
      <c r="AB209" s="2">
        <v>0</v>
      </c>
    </row>
    <row r="210" spans="1:28">
      <c r="A210" s="2">
        <v>207</v>
      </c>
      <c r="B210" s="2" t="s">
        <v>915</v>
      </c>
      <c r="C210" s="2" t="s">
        <v>932</v>
      </c>
      <c r="D210" s="4" t="s">
        <v>61</v>
      </c>
      <c r="E210" s="5" t="s">
        <v>134</v>
      </c>
      <c r="F210" s="2" t="s">
        <v>135</v>
      </c>
      <c r="G210" s="2" t="s">
        <v>54</v>
      </c>
      <c r="H210" s="2" t="s">
        <v>247</v>
      </c>
      <c r="I210" s="2" t="s">
        <v>1139</v>
      </c>
      <c r="J210" s="2" t="s">
        <v>484</v>
      </c>
      <c r="K210" s="2">
        <f t="shared" si="80"/>
        <v>44575643.787184767</v>
      </c>
      <c r="L210" s="2" t="s">
        <v>957</v>
      </c>
      <c r="M210" s="2" t="s">
        <v>979</v>
      </c>
      <c r="N210" s="2" t="s">
        <v>986</v>
      </c>
      <c r="O210" s="2">
        <v>750</v>
      </c>
      <c r="P210" s="2">
        <v>1680.014770507812</v>
      </c>
      <c r="Q210" s="2">
        <v>1739.6435546875</v>
      </c>
      <c r="R210" s="2">
        <f>O210*P210</f>
        <v>1260011.0778808591</v>
      </c>
      <c r="S210" s="2">
        <f>O210*Q210</f>
        <v>1304732.666015625</v>
      </c>
      <c r="T210" s="2">
        <f>R210+S210</f>
        <v>2564743.7438964844</v>
      </c>
      <c r="U210" s="2">
        <f>ROUND(T210*0.0005, 2)</f>
        <v>1282.3699999999999</v>
      </c>
      <c r="V210" s="2">
        <f>S210-R210</f>
        <v>44721.588134765858</v>
      </c>
      <c r="W210" s="2">
        <f>V210-U210</f>
        <v>43439.218134765855</v>
      </c>
      <c r="X210" s="2">
        <f>K210+W210</f>
        <v>44619083.005319536</v>
      </c>
      <c r="Y210" s="2">
        <f>ROUND(0.2*R210, 2)</f>
        <v>252002.22</v>
      </c>
      <c r="Z210" s="2">
        <f>ROUND((W210/Y210)*100, 2)</f>
        <v>17.239999999999998</v>
      </c>
      <c r="AA210" s="2">
        <f>MAX(AA209, X210)</f>
        <v>44875986.981342494</v>
      </c>
      <c r="AB210" s="2">
        <f>X210-AA210</f>
        <v>-256903.97602295876</v>
      </c>
    </row>
    <row r="211" spans="1:28">
      <c r="A211" s="2">
        <v>208</v>
      </c>
      <c r="B211" s="2" t="s">
        <v>918</v>
      </c>
      <c r="C211" s="2" t="s">
        <v>932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2" t="s">
        <v>919</v>
      </c>
      <c r="I211" s="2" t="s">
        <v>1215</v>
      </c>
      <c r="J211" s="2" t="s">
        <v>1216</v>
      </c>
      <c r="K211" s="2">
        <f t="shared" si="80"/>
        <v>44619083.005319536</v>
      </c>
      <c r="L211" s="2" t="s">
        <v>973</v>
      </c>
      <c r="M211" s="2" t="s">
        <v>1168</v>
      </c>
      <c r="N211" s="2" t="s">
        <v>988</v>
      </c>
      <c r="O211" s="2">
        <v>380</v>
      </c>
      <c r="P211" s="2">
        <v>2524.43408203125</v>
      </c>
      <c r="Q211" s="2">
        <v>3634.561279296875</v>
      </c>
      <c r="R211" s="2">
        <f>O211*P211</f>
        <v>959284.951171875</v>
      </c>
      <c r="S211" s="2">
        <f>O211*Q211</f>
        <v>1381133.2861328125</v>
      </c>
      <c r="T211" s="2">
        <f>R211+S211</f>
        <v>2340418.2373046875</v>
      </c>
      <c r="U211" s="2">
        <f>ROUND(T211*0.0005, 2)</f>
        <v>1170.21</v>
      </c>
      <c r="V211" s="2">
        <f>S211-R211</f>
        <v>421848.3349609375</v>
      </c>
      <c r="W211" s="2">
        <f>V211-U211</f>
        <v>420678.12496093748</v>
      </c>
      <c r="X211" s="2">
        <f>K211+W211</f>
        <v>45039761.130280472</v>
      </c>
      <c r="Y211" s="2">
        <f>ROUND(0.2*R211, 2)</f>
        <v>191856.99</v>
      </c>
      <c r="Z211" s="2">
        <f>ROUND((W211/Y211)*100, 2)</f>
        <v>219.27</v>
      </c>
      <c r="AA211" s="2">
        <f>MAX(AA210, X211)</f>
        <v>45039761.130280472</v>
      </c>
      <c r="AB211" s="2">
        <f>X211-AA211</f>
        <v>0</v>
      </c>
    </row>
    <row r="212" spans="1:28">
      <c r="A212" s="2">
        <v>209</v>
      </c>
      <c r="B212" s="2" t="s">
        <v>922</v>
      </c>
      <c r="C212" s="2" t="s">
        <v>932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923</v>
      </c>
      <c r="J212" s="2" t="s">
        <v>924</v>
      </c>
      <c r="K212" s="2">
        <f t="shared" si="80"/>
        <v>45039761.130280472</v>
      </c>
      <c r="L212" s="2" t="s">
        <v>510</v>
      </c>
      <c r="M212" s="2" t="s">
        <v>182</v>
      </c>
      <c r="N212" s="2" t="s">
        <v>251</v>
      </c>
      <c r="O212" s="2">
        <v>1500</v>
      </c>
      <c r="P212" s="2">
        <v>281.73574829101562</v>
      </c>
      <c r="Q212" s="2">
        <v>297.81219482421881</v>
      </c>
      <c r="R212" s="2">
        <f>O212*P212</f>
        <v>422603.62243652344</v>
      </c>
      <c r="S212" s="2">
        <f>O212*Q212</f>
        <v>446718.29223632818</v>
      </c>
      <c r="T212" s="2">
        <f>R212+S212</f>
        <v>869321.91467285156</v>
      </c>
      <c r="U212" s="2">
        <f>ROUND(T212*0.0005, 2)</f>
        <v>434.66</v>
      </c>
      <c r="V212" s="2">
        <f>S212-R212</f>
        <v>24114.669799804746</v>
      </c>
      <c r="W212" s="2">
        <f>V212-U212</f>
        <v>23680.009799804746</v>
      </c>
      <c r="X212" s="2">
        <f>K212+W212</f>
        <v>45063441.140080281</v>
      </c>
      <c r="Y212" s="2">
        <f>ROUND(0.2*R212, 2)</f>
        <v>84520.72</v>
      </c>
      <c r="Z212" s="2">
        <f>ROUND((W212/Y212)*100, 2)</f>
        <v>28.02</v>
      </c>
      <c r="AA212" s="2">
        <f>MAX(AA211, X212)</f>
        <v>45063441.140080281</v>
      </c>
      <c r="AB212" s="2">
        <f>X212-AA212</f>
        <v>0</v>
      </c>
    </row>
    <row r="213" spans="1:28">
      <c r="A213" s="2">
        <v>210</v>
      </c>
      <c r="B213" s="2" t="s">
        <v>925</v>
      </c>
      <c r="C213" s="2" t="s">
        <v>932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2" t="s">
        <v>635</v>
      </c>
      <c r="I213" s="2" t="s">
        <v>992</v>
      </c>
      <c r="J213" s="2" t="s">
        <v>407</v>
      </c>
      <c r="K213" s="2">
        <f t="shared" si="80"/>
        <v>45063441.140080281</v>
      </c>
      <c r="L213" s="2" t="s">
        <v>999</v>
      </c>
      <c r="M213" s="2" t="s">
        <v>967</v>
      </c>
      <c r="N213" s="2" t="s">
        <v>290</v>
      </c>
      <c r="O213" s="2">
        <v>44365</v>
      </c>
      <c r="P213" s="2">
        <v>20.399999618530281</v>
      </c>
      <c r="Q213" s="2">
        <v>21.20000076293945</v>
      </c>
      <c r="R213" s="2">
        <f>O213*P213</f>
        <v>905045.98307609593</v>
      </c>
      <c r="S213" s="2">
        <f>O213*Q213</f>
        <v>940538.03384780872</v>
      </c>
      <c r="T213" s="2">
        <f>R213+S213</f>
        <v>1845584.0169239047</v>
      </c>
      <c r="U213" s="2">
        <f>ROUND(T213*0.0005, 2)</f>
        <v>922.79</v>
      </c>
      <c r="V213" s="2">
        <f>S213-R213</f>
        <v>35492.050771712791</v>
      </c>
      <c r="W213" s="2">
        <f>V213-U213</f>
        <v>34569.26077171279</v>
      </c>
      <c r="X213" s="2">
        <f>K213+W213</f>
        <v>45098010.400851995</v>
      </c>
      <c r="Y213" s="2">
        <f>ROUND(0.2*R213, 2)</f>
        <v>181009.2</v>
      </c>
      <c r="Z213" s="2">
        <f>ROUND((W213/Y213)*100, 2)</f>
        <v>19.100000000000001</v>
      </c>
      <c r="AA213" s="2">
        <f>MAX(AA212, X213)</f>
        <v>45098010.400851995</v>
      </c>
      <c r="AB213" s="2">
        <f>X213-AA213</f>
        <v>0</v>
      </c>
    </row>
    <row r="214" spans="1:28">
      <c r="A214" s="2">
        <v>211</v>
      </c>
      <c r="B214" s="2" t="s">
        <v>928</v>
      </c>
      <c r="C214" s="2" t="s">
        <v>932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2" t="s">
        <v>929</v>
      </c>
      <c r="I214" s="2" t="s">
        <v>560</v>
      </c>
      <c r="J214" s="2" t="s">
        <v>1217</v>
      </c>
      <c r="K214" s="2">
        <f t="shared" si="80"/>
        <v>45098010.400851995</v>
      </c>
      <c r="L214" s="2" t="s">
        <v>973</v>
      </c>
      <c r="M214" s="2" t="s">
        <v>988</v>
      </c>
      <c r="N214" s="2" t="s">
        <v>989</v>
      </c>
      <c r="O214" s="2">
        <v>896</v>
      </c>
      <c r="P214" s="2">
        <v>936.02673339843761</v>
      </c>
      <c r="Q214" s="2">
        <v>982.946533203125</v>
      </c>
      <c r="R214" s="2">
        <f>O214*P214</f>
        <v>838679.95312500012</v>
      </c>
      <c r="S214" s="2">
        <f>O214*Q214</f>
        <v>880720.09375</v>
      </c>
      <c r="T214" s="2">
        <f>R214+S214</f>
        <v>1719400.046875</v>
      </c>
      <c r="U214" s="2">
        <f>ROUND(T214*0.0005, 2)</f>
        <v>859.7</v>
      </c>
      <c r="V214" s="2">
        <f>S214-R214</f>
        <v>42040.140624999884</v>
      </c>
      <c r="W214" s="2">
        <f>V214-U214</f>
        <v>41180.440624999886</v>
      </c>
      <c r="X214" s="2">
        <f>K214+W214</f>
        <v>45139190.841476992</v>
      </c>
      <c r="Y214" s="2">
        <f>ROUND(0.2*R214, 2)</f>
        <v>167735.99</v>
      </c>
      <c r="Z214" s="2">
        <f>ROUND((W214/Y214)*100, 2)</f>
        <v>24.55</v>
      </c>
      <c r="AA214" s="2">
        <f>MAX(AA213, X214)</f>
        <v>45139190.841476992</v>
      </c>
      <c r="AB214" s="2">
        <f>X214-AA214</f>
        <v>0</v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1218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1219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1220</v>
      </c>
      <c r="J4" s="2" t="s">
        <v>1221</v>
      </c>
      <c r="K4" s="2">
        <v>42511150.109999999</v>
      </c>
      <c r="L4" s="2" t="s">
        <v>1222</v>
      </c>
      <c r="M4" s="2" t="s">
        <v>106</v>
      </c>
      <c r="N4" s="2" t="s">
        <v>119</v>
      </c>
      <c r="O4" s="2">
        <v>874</v>
      </c>
      <c r="P4" s="2">
        <v>1091.699951171875</v>
      </c>
      <c r="Q4" s="2">
        <v>1083.199951171875</v>
      </c>
      <c r="R4" s="2">
        <f t="shared" ref="R4:R35" si="0">O4*P4</f>
        <v>954145.75732421875</v>
      </c>
      <c r="S4" s="2">
        <f t="shared" ref="S4:S35" si="1">O4*Q4</f>
        <v>946716.75732421875</v>
      </c>
      <c r="T4" s="2">
        <f t="shared" ref="T4:T35" si="2">R4+S4</f>
        <v>1900862.5146484375</v>
      </c>
      <c r="U4" s="2">
        <f t="shared" ref="U4:U35" si="3">ROUND(T4*0.0005, 2)</f>
        <v>950.43</v>
      </c>
      <c r="V4" s="2">
        <f t="shared" ref="V4:V35" si="4">S4-R4</f>
        <v>-7429</v>
      </c>
      <c r="W4" s="2">
        <f t="shared" ref="W4:W35" si="5">V4-U4</f>
        <v>-8379.43</v>
      </c>
      <c r="X4" s="2">
        <f t="shared" ref="X4:X35" si="6">K4+W4</f>
        <v>42502770.68</v>
      </c>
      <c r="Y4" s="2">
        <f t="shared" ref="Y4:Y35" si="7">ROUND(0.2*R4, 2)</f>
        <v>190829.15</v>
      </c>
      <c r="Z4" s="2">
        <f t="shared" ref="Z4:Z35" si="8">ROUND((W4/Y4)*100, 2)</f>
        <v>-4.3899999999999997</v>
      </c>
      <c r="AA4" s="2">
        <f>MAX(42511150.11, X4)</f>
        <v>42511150.109999999</v>
      </c>
      <c r="AB4" s="2">
        <f t="shared" ref="AB4:AB35" si="9">X4-AA4</f>
        <v>-8379.429999999702</v>
      </c>
    </row>
    <row r="5" spans="1:29">
      <c r="A5" s="2">
        <v>2</v>
      </c>
      <c r="B5" s="2" t="s">
        <v>46</v>
      </c>
      <c r="C5" s="2" t="s">
        <v>1219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1223</v>
      </c>
      <c r="J5" s="2" t="s">
        <v>1224</v>
      </c>
      <c r="K5" s="2">
        <f t="shared" ref="K5:K68" si="10">X4</f>
        <v>42502770.68</v>
      </c>
      <c r="L5" s="2" t="s">
        <v>1225</v>
      </c>
      <c r="M5" s="2" t="s">
        <v>1226</v>
      </c>
      <c r="N5" s="2" t="s">
        <v>1227</v>
      </c>
      <c r="O5" s="2">
        <v>137</v>
      </c>
      <c r="P5" s="2">
        <v>7164</v>
      </c>
      <c r="Q5" s="2">
        <v>6861</v>
      </c>
      <c r="R5" s="2">
        <f t="shared" si="0"/>
        <v>981468</v>
      </c>
      <c r="S5" s="2">
        <f t="shared" si="1"/>
        <v>939957</v>
      </c>
      <c r="T5" s="2">
        <f t="shared" si="2"/>
        <v>1921425</v>
      </c>
      <c r="U5" s="2">
        <f t="shared" si="3"/>
        <v>960.71</v>
      </c>
      <c r="V5" s="2">
        <f t="shared" si="4"/>
        <v>-41511</v>
      </c>
      <c r="W5" s="2">
        <f t="shared" si="5"/>
        <v>-42471.71</v>
      </c>
      <c r="X5" s="2">
        <f t="shared" si="6"/>
        <v>42460298.969999999</v>
      </c>
      <c r="Y5" s="2">
        <f t="shared" si="7"/>
        <v>196293.6</v>
      </c>
      <c r="Z5" s="2">
        <f t="shared" si="8"/>
        <v>-21.64</v>
      </c>
      <c r="AA5" s="2">
        <f t="shared" ref="AA5:AA36" si="11">MAX(AA4, X5)</f>
        <v>42511150.109999999</v>
      </c>
      <c r="AB5" s="2">
        <f t="shared" si="9"/>
        <v>-50851.140000000596</v>
      </c>
    </row>
    <row r="6" spans="1:29">
      <c r="A6" s="2">
        <v>3</v>
      </c>
      <c r="B6" s="2" t="s">
        <v>52</v>
      </c>
      <c r="C6" s="2" t="s">
        <v>1219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>
        <f t="shared" si="10"/>
        <v>42460298.969999999</v>
      </c>
      <c r="L6" s="2" t="s">
        <v>58</v>
      </c>
      <c r="M6" s="2" t="s">
        <v>44</v>
      </c>
      <c r="N6" s="2" t="s">
        <v>51</v>
      </c>
      <c r="O6" s="2">
        <v>2537</v>
      </c>
      <c r="P6" s="2">
        <v>400.45001220703131</v>
      </c>
      <c r="Q6" s="2">
        <v>394.04998779296881</v>
      </c>
      <c r="R6" s="2">
        <f t="shared" si="0"/>
        <v>1015941.6809692384</v>
      </c>
      <c r="S6" s="2">
        <f t="shared" si="1"/>
        <v>999704.81903076184</v>
      </c>
      <c r="T6" s="2">
        <f t="shared" si="2"/>
        <v>2015646.5000000002</v>
      </c>
      <c r="U6" s="2">
        <f t="shared" si="3"/>
        <v>1007.82</v>
      </c>
      <c r="V6" s="2">
        <f t="shared" si="4"/>
        <v>-16236.861938476563</v>
      </c>
      <c r="W6" s="2">
        <f t="shared" si="5"/>
        <v>-17244.681938476562</v>
      </c>
      <c r="X6" s="2">
        <f t="shared" si="6"/>
        <v>42443054.288061522</v>
      </c>
      <c r="Y6" s="2">
        <f t="shared" si="7"/>
        <v>203188.34</v>
      </c>
      <c r="Z6" s="2">
        <f t="shared" si="8"/>
        <v>-8.49</v>
      </c>
      <c r="AA6" s="2">
        <f t="shared" si="11"/>
        <v>42511150.109999999</v>
      </c>
      <c r="AB6" s="2">
        <f t="shared" si="9"/>
        <v>-68095.821938477457</v>
      </c>
    </row>
    <row r="7" spans="1:29">
      <c r="A7" s="2">
        <v>4</v>
      </c>
      <c r="B7" s="2" t="s">
        <v>60</v>
      </c>
      <c r="C7" s="2" t="s">
        <v>1219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786</v>
      </c>
      <c r="J7" s="2" t="s">
        <v>1228</v>
      </c>
      <c r="K7" s="2">
        <f t="shared" si="10"/>
        <v>42443054.288061522</v>
      </c>
      <c r="L7" s="2" t="s">
        <v>43</v>
      </c>
      <c r="M7" s="2" t="s">
        <v>106</v>
      </c>
      <c r="N7" s="2" t="s">
        <v>43</v>
      </c>
      <c r="O7" s="2">
        <v>602</v>
      </c>
      <c r="P7" s="2">
        <v>1683.800048828125</v>
      </c>
      <c r="Q7" s="2">
        <v>1741.599975585938</v>
      </c>
      <c r="R7" s="2">
        <f t="shared" si="0"/>
        <v>1013647.6293945313</v>
      </c>
      <c r="S7" s="2">
        <f t="shared" si="1"/>
        <v>1048443.1853027346</v>
      </c>
      <c r="T7" s="2">
        <f t="shared" si="2"/>
        <v>2062090.8146972659</v>
      </c>
      <c r="U7" s="2">
        <f t="shared" si="3"/>
        <v>1031.05</v>
      </c>
      <c r="V7" s="2">
        <f t="shared" si="4"/>
        <v>34795.555908203358</v>
      </c>
      <c r="W7" s="2">
        <f t="shared" si="5"/>
        <v>33764.505908203355</v>
      </c>
      <c r="X7" s="2">
        <f t="shared" si="6"/>
        <v>42476818.793969728</v>
      </c>
      <c r="Y7" s="2">
        <f t="shared" si="7"/>
        <v>202729.53</v>
      </c>
      <c r="Z7" s="2">
        <f t="shared" si="8"/>
        <v>16.649999999999999</v>
      </c>
      <c r="AA7" s="2">
        <f t="shared" si="11"/>
        <v>42511150.109999999</v>
      </c>
      <c r="AB7" s="2">
        <f t="shared" si="9"/>
        <v>-34331.316030271351</v>
      </c>
    </row>
    <row r="8" spans="1:29">
      <c r="A8" s="2">
        <v>5</v>
      </c>
      <c r="B8" s="2" t="s">
        <v>68</v>
      </c>
      <c r="C8" s="2" t="s">
        <v>1219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1229</v>
      </c>
      <c r="J8" s="2" t="s">
        <v>1230</v>
      </c>
      <c r="K8" s="2">
        <f t="shared" si="10"/>
        <v>42476818.793969728</v>
      </c>
      <c r="L8" s="2" t="s">
        <v>986</v>
      </c>
      <c r="M8" s="2" t="s">
        <v>983</v>
      </c>
      <c r="N8" s="2" t="s">
        <v>986</v>
      </c>
      <c r="O8" s="2">
        <v>300</v>
      </c>
      <c r="P8" s="2">
        <v>2966.50244140625</v>
      </c>
      <c r="Q8" s="2">
        <v>2946.720947265625</v>
      </c>
      <c r="R8" s="2">
        <f t="shared" si="0"/>
        <v>889950.732421875</v>
      </c>
      <c r="S8" s="2">
        <f t="shared" si="1"/>
        <v>884016.2841796875</v>
      </c>
      <c r="T8" s="2">
        <f t="shared" si="2"/>
        <v>1773967.0166015625</v>
      </c>
      <c r="U8" s="2">
        <f t="shared" si="3"/>
        <v>886.98</v>
      </c>
      <c r="V8" s="2">
        <f t="shared" si="4"/>
        <v>-5934.4482421875</v>
      </c>
      <c r="W8" s="2">
        <f t="shared" si="5"/>
        <v>-6821.4282421874996</v>
      </c>
      <c r="X8" s="2">
        <f t="shared" si="6"/>
        <v>42469997.365727544</v>
      </c>
      <c r="Y8" s="2">
        <f t="shared" si="7"/>
        <v>177990.15</v>
      </c>
      <c r="Z8" s="2">
        <f t="shared" si="8"/>
        <v>-3.83</v>
      </c>
      <c r="AA8" s="2">
        <f t="shared" si="11"/>
        <v>42511150.109999999</v>
      </c>
      <c r="AB8" s="2">
        <f t="shared" si="9"/>
        <v>-41152.744272455573</v>
      </c>
    </row>
    <row r="9" spans="1:29">
      <c r="A9" s="2">
        <v>6</v>
      </c>
      <c r="B9" s="2" t="s">
        <v>75</v>
      </c>
      <c r="C9" s="2" t="s">
        <v>1219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65</v>
      </c>
      <c r="J9" s="2" t="s">
        <v>1231</v>
      </c>
      <c r="K9" s="2">
        <f t="shared" si="10"/>
        <v>42469997.365727544</v>
      </c>
      <c r="L9" s="2" t="s">
        <v>1232</v>
      </c>
      <c r="M9" s="2" t="s">
        <v>1233</v>
      </c>
      <c r="N9" s="2" t="s">
        <v>1067</v>
      </c>
      <c r="O9" s="2">
        <v>500</v>
      </c>
      <c r="P9" s="2">
        <v>1511.199951171875</v>
      </c>
      <c r="Q9" s="2">
        <v>1502.5</v>
      </c>
      <c r="R9" s="2">
        <f t="shared" si="0"/>
        <v>755599.9755859375</v>
      </c>
      <c r="S9" s="2">
        <f t="shared" si="1"/>
        <v>751250</v>
      </c>
      <c r="T9" s="2">
        <f t="shared" si="2"/>
        <v>1506849.9755859375</v>
      </c>
      <c r="U9" s="2">
        <f t="shared" si="3"/>
        <v>753.42</v>
      </c>
      <c r="V9" s="2">
        <f t="shared" si="4"/>
        <v>-4349.9755859375</v>
      </c>
      <c r="W9" s="2">
        <f t="shared" si="5"/>
        <v>-5103.3955859375001</v>
      </c>
      <c r="X9" s="2">
        <f t="shared" si="6"/>
        <v>42464893.970141605</v>
      </c>
      <c r="Y9" s="2">
        <f t="shared" si="7"/>
        <v>151120</v>
      </c>
      <c r="Z9" s="2">
        <f t="shared" si="8"/>
        <v>-3.38</v>
      </c>
      <c r="AA9" s="2">
        <f t="shared" si="11"/>
        <v>42511150.109999999</v>
      </c>
      <c r="AB9" s="2">
        <f t="shared" si="9"/>
        <v>-46256.139858394861</v>
      </c>
    </row>
    <row r="10" spans="1:29">
      <c r="A10" s="2">
        <v>7</v>
      </c>
      <c r="B10" s="2" t="s">
        <v>82</v>
      </c>
      <c r="C10" s="2" t="s">
        <v>1219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1117</v>
      </c>
      <c r="J10" s="2" t="s">
        <v>1234</v>
      </c>
      <c r="K10" s="2">
        <f t="shared" si="10"/>
        <v>42464893.970141605</v>
      </c>
      <c r="L10" s="2" t="s">
        <v>985</v>
      </c>
      <c r="M10" s="2" t="s">
        <v>979</v>
      </c>
      <c r="N10" s="2" t="s">
        <v>994</v>
      </c>
      <c r="O10" s="2">
        <v>625</v>
      </c>
      <c r="P10" s="2">
        <v>1363.095581054688</v>
      </c>
      <c r="Q10" s="2">
        <v>1317.36181640625</v>
      </c>
      <c r="R10" s="2">
        <f t="shared" si="0"/>
        <v>851934.73815917992</v>
      </c>
      <c r="S10" s="2">
        <f t="shared" si="1"/>
        <v>823351.13525390625</v>
      </c>
      <c r="T10" s="2">
        <f t="shared" si="2"/>
        <v>1675285.8734130862</v>
      </c>
      <c r="U10" s="2">
        <f t="shared" si="3"/>
        <v>837.64</v>
      </c>
      <c r="V10" s="2">
        <f t="shared" si="4"/>
        <v>-28583.60290527367</v>
      </c>
      <c r="W10" s="2">
        <f t="shared" si="5"/>
        <v>-29421.24290527367</v>
      </c>
      <c r="X10" s="2">
        <f t="shared" si="6"/>
        <v>42435472.727236331</v>
      </c>
      <c r="Y10" s="2">
        <f t="shared" si="7"/>
        <v>170386.95</v>
      </c>
      <c r="Z10" s="2">
        <f t="shared" si="8"/>
        <v>-17.27</v>
      </c>
      <c r="AA10" s="2">
        <f t="shared" si="11"/>
        <v>42511150.109999999</v>
      </c>
      <c r="AB10" s="2">
        <f t="shared" si="9"/>
        <v>-75677.382763668895</v>
      </c>
    </row>
    <row r="11" spans="1:29">
      <c r="A11" s="2">
        <v>8</v>
      </c>
      <c r="B11" s="2" t="s">
        <v>90</v>
      </c>
      <c r="C11" s="2" t="s">
        <v>1219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717</v>
      </c>
      <c r="J11" s="2" t="s">
        <v>427</v>
      </c>
      <c r="K11" s="2">
        <f t="shared" si="10"/>
        <v>42435472.727236331</v>
      </c>
      <c r="L11" s="2" t="s">
        <v>933</v>
      </c>
      <c r="M11" s="2" t="s">
        <v>772</v>
      </c>
      <c r="N11" s="2" t="s">
        <v>469</v>
      </c>
      <c r="O11" s="2">
        <v>4785</v>
      </c>
      <c r="P11" s="2">
        <v>213.66000366210929</v>
      </c>
      <c r="Q11" s="2">
        <v>219.9700012207031</v>
      </c>
      <c r="R11" s="2">
        <f t="shared" si="0"/>
        <v>1022363.1175231929</v>
      </c>
      <c r="S11" s="2">
        <f t="shared" si="1"/>
        <v>1052556.4558410642</v>
      </c>
      <c r="T11" s="2">
        <f t="shared" si="2"/>
        <v>2074919.5733642571</v>
      </c>
      <c r="U11" s="2">
        <f t="shared" si="3"/>
        <v>1037.46</v>
      </c>
      <c r="V11" s="2">
        <f t="shared" si="4"/>
        <v>30193.338317871327</v>
      </c>
      <c r="W11" s="2">
        <f t="shared" si="5"/>
        <v>29155.878317871327</v>
      </c>
      <c r="X11" s="2">
        <f t="shared" si="6"/>
        <v>42464628.605554201</v>
      </c>
      <c r="Y11" s="2">
        <f t="shared" si="7"/>
        <v>204472.62</v>
      </c>
      <c r="Z11" s="2">
        <f t="shared" si="8"/>
        <v>14.26</v>
      </c>
      <c r="AA11" s="2">
        <f t="shared" si="11"/>
        <v>42511150.109999999</v>
      </c>
      <c r="AB11" s="2">
        <f t="shared" si="9"/>
        <v>-46521.504445798695</v>
      </c>
    </row>
    <row r="12" spans="1:29">
      <c r="A12" s="2">
        <v>9</v>
      </c>
      <c r="B12" s="2" t="s">
        <v>95</v>
      </c>
      <c r="C12" s="2" t="s">
        <v>1219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>
        <f t="shared" si="10"/>
        <v>42464628.605554201</v>
      </c>
      <c r="L12" s="2" t="s">
        <v>67</v>
      </c>
      <c r="M12" s="2" t="s">
        <v>44</v>
      </c>
      <c r="N12" s="2" t="s">
        <v>59</v>
      </c>
      <c r="O12" s="2">
        <v>171</v>
      </c>
      <c r="P12" s="2">
        <v>5651.5</v>
      </c>
      <c r="Q12" s="2">
        <v>5816.5</v>
      </c>
      <c r="R12" s="2">
        <f t="shared" si="0"/>
        <v>966406.5</v>
      </c>
      <c r="S12" s="2">
        <f t="shared" si="1"/>
        <v>994621.5</v>
      </c>
      <c r="T12" s="2">
        <f t="shared" si="2"/>
        <v>1961028</v>
      </c>
      <c r="U12" s="2">
        <f t="shared" si="3"/>
        <v>980.51</v>
      </c>
      <c r="V12" s="2">
        <f t="shared" si="4"/>
        <v>28215</v>
      </c>
      <c r="W12" s="2">
        <f t="shared" si="5"/>
        <v>27234.49</v>
      </c>
      <c r="X12" s="2">
        <f t="shared" si="6"/>
        <v>42491863.095554203</v>
      </c>
      <c r="Y12" s="2">
        <f t="shared" si="7"/>
        <v>193281.3</v>
      </c>
      <c r="Z12" s="2">
        <f t="shared" si="8"/>
        <v>14.09</v>
      </c>
      <c r="AA12" s="2">
        <f t="shared" si="11"/>
        <v>42511150.109999999</v>
      </c>
      <c r="AB12" s="2">
        <f t="shared" si="9"/>
        <v>-19287.014445796609</v>
      </c>
    </row>
    <row r="13" spans="1:29">
      <c r="A13" s="2">
        <v>10</v>
      </c>
      <c r="B13" s="2" t="s">
        <v>102</v>
      </c>
      <c r="C13" s="2" t="s">
        <v>1219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42491863.095554203</v>
      </c>
      <c r="L13" s="2" t="s">
        <v>106</v>
      </c>
      <c r="M13" s="2" t="s">
        <v>44</v>
      </c>
      <c r="N13" s="2" t="s">
        <v>59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42494777.005554199</v>
      </c>
      <c r="Y13" s="2">
        <f t="shared" si="7"/>
        <v>199827</v>
      </c>
      <c r="Z13" s="2">
        <f t="shared" si="8"/>
        <v>1.46</v>
      </c>
      <c r="AA13" s="2">
        <f t="shared" si="11"/>
        <v>42511150.109999999</v>
      </c>
      <c r="AB13" s="2">
        <f t="shared" si="9"/>
        <v>-16373.104445800185</v>
      </c>
    </row>
    <row r="14" spans="1:29">
      <c r="A14" s="2">
        <v>11</v>
      </c>
      <c r="B14" s="2" t="s">
        <v>108</v>
      </c>
      <c r="C14" s="2" t="s">
        <v>1219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1196</v>
      </c>
      <c r="J14" s="2" t="s">
        <v>618</v>
      </c>
      <c r="K14" s="2">
        <f t="shared" si="10"/>
        <v>42494777.005554199</v>
      </c>
      <c r="L14" s="2" t="s">
        <v>933</v>
      </c>
      <c r="M14" s="2" t="s">
        <v>44</v>
      </c>
      <c r="N14" s="2" t="s">
        <v>67</v>
      </c>
      <c r="O14" s="2">
        <v>2303</v>
      </c>
      <c r="P14" s="2">
        <v>434.20001220703131</v>
      </c>
      <c r="Q14" s="2">
        <v>437.79998779296881</v>
      </c>
      <c r="R14" s="2">
        <f t="shared" si="0"/>
        <v>999962.62811279309</v>
      </c>
      <c r="S14" s="2">
        <f t="shared" si="1"/>
        <v>1008253.3718872071</v>
      </c>
      <c r="T14" s="2">
        <f t="shared" si="2"/>
        <v>2008216.0000000002</v>
      </c>
      <c r="U14" s="2">
        <f t="shared" si="3"/>
        <v>1004.11</v>
      </c>
      <c r="V14" s="2">
        <f t="shared" si="4"/>
        <v>8290.7437744140625</v>
      </c>
      <c r="W14" s="2">
        <f t="shared" si="5"/>
        <v>7286.6337744140628</v>
      </c>
      <c r="X14" s="2">
        <f t="shared" si="6"/>
        <v>42502063.639328614</v>
      </c>
      <c r="Y14" s="2">
        <f t="shared" si="7"/>
        <v>199992.53</v>
      </c>
      <c r="Z14" s="2">
        <f t="shared" si="8"/>
        <v>3.64</v>
      </c>
      <c r="AA14" s="2">
        <f t="shared" si="11"/>
        <v>42511150.109999999</v>
      </c>
      <c r="AB14" s="2">
        <f t="shared" si="9"/>
        <v>-9086.4706713855267</v>
      </c>
    </row>
    <row r="15" spans="1:29">
      <c r="A15" s="2">
        <v>12</v>
      </c>
      <c r="B15" s="2" t="s">
        <v>113</v>
      </c>
      <c r="C15" s="2" t="s">
        <v>1219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1235</v>
      </c>
      <c r="J15" s="2" t="s">
        <v>1236</v>
      </c>
      <c r="K15" s="2">
        <f t="shared" si="10"/>
        <v>42502063.639328614</v>
      </c>
      <c r="L15" s="2" t="s">
        <v>1067</v>
      </c>
      <c r="M15" s="2" t="s">
        <v>468</v>
      </c>
      <c r="N15" s="2" t="s">
        <v>1233</v>
      </c>
      <c r="O15" s="2">
        <v>3428</v>
      </c>
      <c r="P15" s="2">
        <v>334.21640014648437</v>
      </c>
      <c r="Q15" s="2">
        <v>344.8834228515625</v>
      </c>
      <c r="R15" s="2">
        <f t="shared" si="0"/>
        <v>1145693.8197021484</v>
      </c>
      <c r="S15" s="2">
        <f t="shared" si="1"/>
        <v>1182260.3735351563</v>
      </c>
      <c r="T15" s="2">
        <f t="shared" si="2"/>
        <v>2327954.1932373047</v>
      </c>
      <c r="U15" s="2">
        <f t="shared" si="3"/>
        <v>1163.98</v>
      </c>
      <c r="V15" s="2">
        <f t="shared" si="4"/>
        <v>36566.553833007813</v>
      </c>
      <c r="W15" s="2">
        <f t="shared" si="5"/>
        <v>35402.573833007809</v>
      </c>
      <c r="X15" s="2">
        <f t="shared" si="6"/>
        <v>42537466.213161625</v>
      </c>
      <c r="Y15" s="2">
        <f t="shared" si="7"/>
        <v>229138.76</v>
      </c>
      <c r="Z15" s="2">
        <f t="shared" si="8"/>
        <v>15.45</v>
      </c>
      <c r="AA15" s="2">
        <f t="shared" si="11"/>
        <v>42537466.213161625</v>
      </c>
      <c r="AB15" s="2">
        <f t="shared" si="9"/>
        <v>0</v>
      </c>
    </row>
    <row r="16" spans="1:29">
      <c r="A16" s="2">
        <v>13</v>
      </c>
      <c r="B16" s="2" t="s">
        <v>120</v>
      </c>
      <c r="C16" s="2" t="s">
        <v>1219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797</v>
      </c>
      <c r="J16" s="2" t="s">
        <v>1237</v>
      </c>
      <c r="K16" s="2">
        <f t="shared" si="10"/>
        <v>42537466.213161625</v>
      </c>
      <c r="L16" s="2" t="s">
        <v>1238</v>
      </c>
      <c r="M16" s="2" t="s">
        <v>1163</v>
      </c>
      <c r="N16" s="2" t="s">
        <v>1239</v>
      </c>
      <c r="O16" s="2">
        <v>528</v>
      </c>
      <c r="P16" s="2">
        <v>1826.199951171875</v>
      </c>
      <c r="Q16" s="2">
        <v>1788.699951171875</v>
      </c>
      <c r="R16" s="2">
        <f t="shared" si="0"/>
        <v>964233.57421875</v>
      </c>
      <c r="S16" s="2">
        <f t="shared" si="1"/>
        <v>944433.57421875</v>
      </c>
      <c r="T16" s="2">
        <f t="shared" si="2"/>
        <v>1908667.1484375</v>
      </c>
      <c r="U16" s="2">
        <f t="shared" si="3"/>
        <v>954.33</v>
      </c>
      <c r="V16" s="2">
        <f t="shared" si="4"/>
        <v>-19800</v>
      </c>
      <c r="W16" s="2">
        <f t="shared" si="5"/>
        <v>-20754.330000000002</v>
      </c>
      <c r="X16" s="2">
        <f t="shared" si="6"/>
        <v>42516711.883161627</v>
      </c>
      <c r="Y16" s="2">
        <f t="shared" si="7"/>
        <v>192846.71</v>
      </c>
      <c r="Z16" s="2">
        <f t="shared" si="8"/>
        <v>-10.76</v>
      </c>
      <c r="AA16" s="2">
        <f t="shared" si="11"/>
        <v>42537466.213161625</v>
      </c>
      <c r="AB16" s="2">
        <f t="shared" si="9"/>
        <v>-20754.329999998212</v>
      </c>
    </row>
    <row r="17" spans="1:28">
      <c r="A17" s="2">
        <v>14</v>
      </c>
      <c r="B17" s="2" t="s">
        <v>126</v>
      </c>
      <c r="C17" s="2" t="s">
        <v>1219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1240</v>
      </c>
      <c r="J17" s="2" t="s">
        <v>1241</v>
      </c>
      <c r="K17" s="2">
        <f t="shared" si="10"/>
        <v>42516711.883161627</v>
      </c>
      <c r="L17" s="2" t="s">
        <v>946</v>
      </c>
      <c r="M17" s="2" t="s">
        <v>980</v>
      </c>
      <c r="N17" s="2" t="s">
        <v>946</v>
      </c>
      <c r="O17" s="2">
        <v>125</v>
      </c>
      <c r="P17" s="2">
        <v>7395.06787109375</v>
      </c>
      <c r="Q17" s="2">
        <v>6833.13037109375</v>
      </c>
      <c r="R17" s="2">
        <f t="shared" si="0"/>
        <v>924383.48388671875</v>
      </c>
      <c r="S17" s="2">
        <f t="shared" si="1"/>
        <v>854141.29638671875</v>
      </c>
      <c r="T17" s="2">
        <f t="shared" si="2"/>
        <v>1778524.7802734375</v>
      </c>
      <c r="U17" s="2">
        <f t="shared" si="3"/>
        <v>889.26</v>
      </c>
      <c r="V17" s="2">
        <f t="shared" si="4"/>
        <v>-70242.1875</v>
      </c>
      <c r="W17" s="2">
        <f t="shared" si="5"/>
        <v>-71131.447499999995</v>
      </c>
      <c r="X17" s="2">
        <f t="shared" si="6"/>
        <v>42445580.435661629</v>
      </c>
      <c r="Y17" s="2">
        <f t="shared" si="7"/>
        <v>184876.7</v>
      </c>
      <c r="Z17" s="2">
        <f t="shared" si="8"/>
        <v>-38.479999999999997</v>
      </c>
      <c r="AA17" s="2">
        <f t="shared" si="11"/>
        <v>42537466.213161625</v>
      </c>
      <c r="AB17" s="2">
        <f t="shared" si="9"/>
        <v>-91885.777499996126</v>
      </c>
    </row>
    <row r="18" spans="1:28">
      <c r="A18" s="2">
        <v>15</v>
      </c>
      <c r="B18" s="2" t="s">
        <v>133</v>
      </c>
      <c r="C18" s="2" t="s">
        <v>1219</v>
      </c>
      <c r="D18" s="3" t="s">
        <v>37</v>
      </c>
      <c r="E18" s="5" t="s">
        <v>134</v>
      </c>
      <c r="F18" s="2" t="s">
        <v>135</v>
      </c>
      <c r="G18" s="2" t="s">
        <v>63</v>
      </c>
      <c r="H18" s="2" t="s">
        <v>136</v>
      </c>
      <c r="I18" s="2" t="s">
        <v>1242</v>
      </c>
      <c r="J18" s="2" t="s">
        <v>1243</v>
      </c>
      <c r="K18" s="2">
        <f t="shared" si="10"/>
        <v>42445580.435661629</v>
      </c>
      <c r="L18" s="2" t="s">
        <v>1244</v>
      </c>
      <c r="M18" s="2" t="s">
        <v>1245</v>
      </c>
      <c r="N18" s="2" t="s">
        <v>1004</v>
      </c>
      <c r="O18" s="2">
        <v>5000</v>
      </c>
      <c r="P18" s="2">
        <v>110.54465484619141</v>
      </c>
      <c r="Q18" s="2">
        <v>117.1440505981445</v>
      </c>
      <c r="R18" s="2">
        <f t="shared" si="0"/>
        <v>552723.27423095703</v>
      </c>
      <c r="S18" s="2">
        <f t="shared" si="1"/>
        <v>585720.25299072254</v>
      </c>
      <c r="T18" s="2">
        <f t="shared" si="2"/>
        <v>1138443.5272216797</v>
      </c>
      <c r="U18" s="2">
        <f t="shared" si="3"/>
        <v>569.22</v>
      </c>
      <c r="V18" s="2">
        <f t="shared" si="4"/>
        <v>32996.978759765509</v>
      </c>
      <c r="W18" s="2">
        <f t="shared" si="5"/>
        <v>32427.758759765507</v>
      </c>
      <c r="X18" s="2">
        <f t="shared" si="6"/>
        <v>42478008.194421396</v>
      </c>
      <c r="Y18" s="2">
        <f t="shared" si="7"/>
        <v>110544.65</v>
      </c>
      <c r="Z18" s="2">
        <f t="shared" si="8"/>
        <v>29.33</v>
      </c>
      <c r="AA18" s="2">
        <f t="shared" si="11"/>
        <v>42537466.213161625</v>
      </c>
      <c r="AB18" s="2">
        <f t="shared" si="9"/>
        <v>-59458.018740229309</v>
      </c>
    </row>
    <row r="19" spans="1:28">
      <c r="A19" s="2">
        <v>16</v>
      </c>
      <c r="B19" s="2" t="s">
        <v>141</v>
      </c>
      <c r="C19" s="2" t="s">
        <v>1219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1246</v>
      </c>
      <c r="J19" s="2" t="s">
        <v>1247</v>
      </c>
      <c r="K19" s="2">
        <f t="shared" si="10"/>
        <v>42478008.194421396</v>
      </c>
      <c r="L19" s="2" t="s">
        <v>959</v>
      </c>
      <c r="M19" s="2" t="s">
        <v>989</v>
      </c>
      <c r="N19" s="2" t="s">
        <v>960</v>
      </c>
      <c r="O19" s="2">
        <v>200</v>
      </c>
      <c r="P19" s="2">
        <v>2423.191162109375</v>
      </c>
      <c r="Q19" s="2">
        <v>2854.447021484375</v>
      </c>
      <c r="R19" s="2">
        <f t="shared" si="0"/>
        <v>484638.232421875</v>
      </c>
      <c r="S19" s="2">
        <f t="shared" si="1"/>
        <v>570889.404296875</v>
      </c>
      <c r="T19" s="2">
        <f t="shared" si="2"/>
        <v>1055527.63671875</v>
      </c>
      <c r="U19" s="2">
        <f t="shared" si="3"/>
        <v>527.76</v>
      </c>
      <c r="V19" s="2">
        <f t="shared" si="4"/>
        <v>86251.171875</v>
      </c>
      <c r="W19" s="2">
        <f t="shared" si="5"/>
        <v>85723.411875000005</v>
      </c>
      <c r="X19" s="2">
        <f t="shared" si="6"/>
        <v>42563731.606296398</v>
      </c>
      <c r="Y19" s="2">
        <f t="shared" si="7"/>
        <v>96927.65</v>
      </c>
      <c r="Z19" s="2">
        <f t="shared" si="8"/>
        <v>88.44</v>
      </c>
      <c r="AA19" s="2">
        <f t="shared" si="11"/>
        <v>42563731.606296398</v>
      </c>
      <c r="AB19" s="2">
        <f t="shared" si="9"/>
        <v>0</v>
      </c>
    </row>
    <row r="20" spans="1:28">
      <c r="A20" s="2">
        <v>17</v>
      </c>
      <c r="B20" s="2" t="s">
        <v>149</v>
      </c>
      <c r="C20" s="2" t="s">
        <v>1219</v>
      </c>
      <c r="D20" s="3" t="s">
        <v>37</v>
      </c>
      <c r="E20" s="5" t="s">
        <v>134</v>
      </c>
      <c r="F20" s="2" t="s">
        <v>135</v>
      </c>
      <c r="G20" s="2" t="s">
        <v>150</v>
      </c>
      <c r="H20" s="2" t="s">
        <v>151</v>
      </c>
      <c r="I20" s="2" t="s">
        <v>1248</v>
      </c>
      <c r="J20" s="2" t="s">
        <v>1249</v>
      </c>
      <c r="K20" s="2">
        <f t="shared" si="10"/>
        <v>42563731.606296398</v>
      </c>
      <c r="L20" s="2" t="s">
        <v>1005</v>
      </c>
      <c r="M20" s="2" t="s">
        <v>1250</v>
      </c>
      <c r="N20" s="2" t="s">
        <v>1251</v>
      </c>
      <c r="O20" s="2">
        <v>679</v>
      </c>
      <c r="P20" s="2">
        <v>2192.255615234375</v>
      </c>
      <c r="Q20" s="2">
        <v>1854.074340820312</v>
      </c>
      <c r="R20" s="2">
        <f t="shared" si="0"/>
        <v>1488541.5627441406</v>
      </c>
      <c r="S20" s="2">
        <f t="shared" si="1"/>
        <v>1258916.477416992</v>
      </c>
      <c r="T20" s="2">
        <f t="shared" si="2"/>
        <v>2747458.0401611328</v>
      </c>
      <c r="U20" s="2">
        <f t="shared" si="3"/>
        <v>1373.73</v>
      </c>
      <c r="V20" s="2">
        <f t="shared" si="4"/>
        <v>-229625.08532714867</v>
      </c>
      <c r="W20" s="2">
        <f t="shared" si="5"/>
        <v>-230998.81532714868</v>
      </c>
      <c r="X20" s="2">
        <f t="shared" si="6"/>
        <v>42332732.790969253</v>
      </c>
      <c r="Y20" s="2">
        <f t="shared" si="7"/>
        <v>297708.31</v>
      </c>
      <c r="Z20" s="2">
        <f t="shared" si="8"/>
        <v>-77.59</v>
      </c>
      <c r="AA20" s="2">
        <f t="shared" si="11"/>
        <v>42563731.606296398</v>
      </c>
      <c r="AB20" s="2">
        <f t="shared" si="9"/>
        <v>-230998.81532714516</v>
      </c>
    </row>
    <row r="21" spans="1:28">
      <c r="A21" s="2">
        <v>18</v>
      </c>
      <c r="B21" s="2" t="s">
        <v>154</v>
      </c>
      <c r="C21" s="2" t="s">
        <v>1219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42332732.790969253</v>
      </c>
      <c r="L21" s="2" t="s">
        <v>159</v>
      </c>
      <c r="M21" s="2" t="s">
        <v>81</v>
      </c>
      <c r="N21" s="2" t="s">
        <v>470</v>
      </c>
      <c r="O21" s="2">
        <v>668</v>
      </c>
      <c r="P21" s="2">
        <v>1280</v>
      </c>
      <c r="Q21" s="2">
        <v>1470.2</v>
      </c>
      <c r="R21" s="2">
        <f t="shared" si="0"/>
        <v>855040</v>
      </c>
      <c r="S21" s="2">
        <f t="shared" si="1"/>
        <v>982093.6</v>
      </c>
      <c r="T21" s="2">
        <f t="shared" si="2"/>
        <v>1837133.6</v>
      </c>
      <c r="U21" s="2">
        <f t="shared" si="3"/>
        <v>918.57</v>
      </c>
      <c r="V21" s="2">
        <f t="shared" si="4"/>
        <v>127053.59999999998</v>
      </c>
      <c r="W21" s="2">
        <f t="shared" si="5"/>
        <v>126135.02999999997</v>
      </c>
      <c r="X21" s="2">
        <f t="shared" si="6"/>
        <v>42458867.820969254</v>
      </c>
      <c r="Y21" s="2">
        <f t="shared" si="7"/>
        <v>171008</v>
      </c>
      <c r="Z21" s="2">
        <f t="shared" si="8"/>
        <v>73.760000000000005</v>
      </c>
      <c r="AA21" s="2">
        <f t="shared" si="11"/>
        <v>42563731.606296398</v>
      </c>
      <c r="AB21" s="2">
        <f t="shared" si="9"/>
        <v>-104863.78532714397</v>
      </c>
    </row>
    <row r="22" spans="1:28">
      <c r="A22" s="2">
        <v>19</v>
      </c>
      <c r="B22" s="2" t="s">
        <v>160</v>
      </c>
      <c r="C22" s="2" t="s">
        <v>1219</v>
      </c>
      <c r="D22" s="4" t="s">
        <v>61</v>
      </c>
      <c r="E22" s="5" t="s">
        <v>134</v>
      </c>
      <c r="F22" s="2" t="s">
        <v>135</v>
      </c>
      <c r="G22" s="2" t="s">
        <v>161</v>
      </c>
      <c r="H22" s="2" t="s">
        <v>162</v>
      </c>
      <c r="I22" s="2" t="s">
        <v>1153</v>
      </c>
      <c r="J22" s="2" t="s">
        <v>1252</v>
      </c>
      <c r="K22" s="2">
        <f t="shared" si="10"/>
        <v>42458867.820969254</v>
      </c>
      <c r="L22" s="2" t="s">
        <v>1085</v>
      </c>
      <c r="M22" s="2" t="s">
        <v>1005</v>
      </c>
      <c r="N22" s="2" t="s">
        <v>1245</v>
      </c>
      <c r="O22" s="2">
        <v>970</v>
      </c>
      <c r="P22" s="2">
        <v>649.24932861328125</v>
      </c>
      <c r="Q22" s="2">
        <v>640.06060791015625</v>
      </c>
      <c r="R22" s="2">
        <f t="shared" si="0"/>
        <v>629771.84875488281</v>
      </c>
      <c r="S22" s="2">
        <f t="shared" si="1"/>
        <v>620858.78967285156</v>
      </c>
      <c r="T22" s="2">
        <f t="shared" si="2"/>
        <v>1250630.6384277344</v>
      </c>
      <c r="U22" s="2">
        <f t="shared" si="3"/>
        <v>625.32000000000005</v>
      </c>
      <c r="V22" s="2">
        <f t="shared" si="4"/>
        <v>-8913.05908203125</v>
      </c>
      <c r="W22" s="2">
        <f t="shared" si="5"/>
        <v>-9538.3790820312497</v>
      </c>
      <c r="X22" s="2">
        <f t="shared" si="6"/>
        <v>42449329.441887222</v>
      </c>
      <c r="Y22" s="2">
        <f t="shared" si="7"/>
        <v>125954.37</v>
      </c>
      <c r="Z22" s="2">
        <f t="shared" si="8"/>
        <v>-7.57</v>
      </c>
      <c r="AA22" s="2">
        <f t="shared" si="11"/>
        <v>42563731.606296398</v>
      </c>
      <c r="AB22" s="2">
        <f t="shared" si="9"/>
        <v>-114402.16440917552</v>
      </c>
    </row>
    <row r="23" spans="1:28">
      <c r="A23" s="2">
        <v>20</v>
      </c>
      <c r="B23" s="2" t="s">
        <v>168</v>
      </c>
      <c r="C23" s="2" t="s">
        <v>1219</v>
      </c>
      <c r="D23" s="3" t="s">
        <v>37</v>
      </c>
      <c r="E23" s="5" t="s">
        <v>134</v>
      </c>
      <c r="F23" s="2" t="s">
        <v>135</v>
      </c>
      <c r="G23" s="2" t="s">
        <v>169</v>
      </c>
      <c r="H23" s="2" t="s">
        <v>170</v>
      </c>
      <c r="I23" s="2" t="s">
        <v>673</v>
      </c>
      <c r="J23" s="2" t="s">
        <v>1253</v>
      </c>
      <c r="K23" s="2">
        <f t="shared" si="10"/>
        <v>42449329.441887222</v>
      </c>
      <c r="L23" s="2" t="s">
        <v>1254</v>
      </c>
      <c r="M23" s="2" t="s">
        <v>1255</v>
      </c>
      <c r="N23" s="2" t="s">
        <v>1256</v>
      </c>
      <c r="O23" s="2">
        <v>634</v>
      </c>
      <c r="P23" s="2">
        <v>1415.934936523438</v>
      </c>
      <c r="Q23" s="2">
        <v>1456.333374023438</v>
      </c>
      <c r="R23" s="2">
        <f t="shared" si="0"/>
        <v>897702.74975585961</v>
      </c>
      <c r="S23" s="2">
        <f t="shared" si="1"/>
        <v>923315.35913085961</v>
      </c>
      <c r="T23" s="2">
        <f t="shared" si="2"/>
        <v>1821018.1088867192</v>
      </c>
      <c r="U23" s="2">
        <f t="shared" si="3"/>
        <v>910.51</v>
      </c>
      <c r="V23" s="2">
        <f t="shared" si="4"/>
        <v>25612.609375</v>
      </c>
      <c r="W23" s="2">
        <f t="shared" si="5"/>
        <v>24702.099375000002</v>
      </c>
      <c r="X23" s="2">
        <f t="shared" si="6"/>
        <v>42474031.541262224</v>
      </c>
      <c r="Y23" s="2">
        <f t="shared" si="7"/>
        <v>179540.55</v>
      </c>
      <c r="Z23" s="2">
        <f t="shared" si="8"/>
        <v>13.76</v>
      </c>
      <c r="AA23" s="2">
        <f t="shared" si="11"/>
        <v>42563731.606296398</v>
      </c>
      <c r="AB23" s="2">
        <f t="shared" si="9"/>
        <v>-89700.065034173429</v>
      </c>
    </row>
    <row r="24" spans="1:28">
      <c r="A24" s="2">
        <v>21</v>
      </c>
      <c r="B24" s="2" t="s">
        <v>175</v>
      </c>
      <c r="C24" s="2" t="s">
        <v>1219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775</v>
      </c>
      <c r="J24" s="2" t="s">
        <v>413</v>
      </c>
      <c r="K24" s="2">
        <f t="shared" si="10"/>
        <v>42474031.541262224</v>
      </c>
      <c r="L24" s="2" t="s">
        <v>1052</v>
      </c>
      <c r="M24" s="2" t="s">
        <v>288</v>
      </c>
      <c r="N24" s="2" t="s">
        <v>970</v>
      </c>
      <c r="O24" s="2">
        <v>625</v>
      </c>
      <c r="P24" s="2">
        <v>1151.327270507812</v>
      </c>
      <c r="Q24" s="2">
        <v>1165.454345703125</v>
      </c>
      <c r="R24" s="2">
        <f t="shared" si="0"/>
        <v>719579.54406738258</v>
      </c>
      <c r="S24" s="2">
        <f t="shared" si="1"/>
        <v>728408.96606445312</v>
      </c>
      <c r="T24" s="2">
        <f t="shared" si="2"/>
        <v>1447988.5101318357</v>
      </c>
      <c r="U24" s="2">
        <f t="shared" si="3"/>
        <v>723.99</v>
      </c>
      <c r="V24" s="2">
        <f t="shared" si="4"/>
        <v>8829.4219970705453</v>
      </c>
      <c r="W24" s="2">
        <f t="shared" si="5"/>
        <v>8105.4319970705455</v>
      </c>
      <c r="X24" s="2">
        <f t="shared" si="6"/>
        <v>42482136.973259293</v>
      </c>
      <c r="Y24" s="2">
        <f t="shared" si="7"/>
        <v>143915.91</v>
      </c>
      <c r="Z24" s="2">
        <f t="shared" si="8"/>
        <v>5.63</v>
      </c>
      <c r="AA24" s="2">
        <f t="shared" si="11"/>
        <v>42563731.606296398</v>
      </c>
      <c r="AB24" s="2">
        <f t="shared" si="9"/>
        <v>-81594.633037105203</v>
      </c>
    </row>
    <row r="25" spans="1:28">
      <c r="A25" s="2">
        <v>22</v>
      </c>
      <c r="B25" s="2" t="s">
        <v>184</v>
      </c>
      <c r="C25" s="2" t="s">
        <v>1219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1257</v>
      </c>
      <c r="J25" s="2" t="s">
        <v>1258</v>
      </c>
      <c r="K25" s="2">
        <f t="shared" si="10"/>
        <v>42482136.973259293</v>
      </c>
      <c r="L25" s="2" t="s">
        <v>1049</v>
      </c>
      <c r="M25" s="2" t="s">
        <v>970</v>
      </c>
      <c r="N25" s="2" t="s">
        <v>1052</v>
      </c>
      <c r="O25" s="2">
        <v>125</v>
      </c>
      <c r="P25" s="2">
        <v>11379.396484375</v>
      </c>
      <c r="Q25" s="2">
        <v>9678.9794921875</v>
      </c>
      <c r="R25" s="2">
        <f t="shared" si="0"/>
        <v>1422424.560546875</v>
      </c>
      <c r="S25" s="2">
        <f t="shared" si="1"/>
        <v>1209872.4365234375</v>
      </c>
      <c r="T25" s="2">
        <f t="shared" si="2"/>
        <v>2632296.9970703125</v>
      </c>
      <c r="U25" s="2">
        <f t="shared" si="3"/>
        <v>1316.15</v>
      </c>
      <c r="V25" s="2">
        <f t="shared" si="4"/>
        <v>-212552.1240234375</v>
      </c>
      <c r="W25" s="2">
        <f t="shared" si="5"/>
        <v>-213868.27402343749</v>
      </c>
      <c r="X25" s="2">
        <f t="shared" si="6"/>
        <v>42268268.699235857</v>
      </c>
      <c r="Y25" s="2">
        <f t="shared" si="7"/>
        <v>284484.90999999997</v>
      </c>
      <c r="Z25" s="2">
        <f t="shared" si="8"/>
        <v>-75.180000000000007</v>
      </c>
      <c r="AA25" s="2">
        <f t="shared" si="11"/>
        <v>42563731.606296398</v>
      </c>
      <c r="AB25" s="2">
        <f t="shared" si="9"/>
        <v>-295462.90706054121</v>
      </c>
    </row>
    <row r="26" spans="1:28">
      <c r="A26" s="2">
        <v>23</v>
      </c>
      <c r="B26" s="2" t="s">
        <v>190</v>
      </c>
      <c r="C26" s="2" t="s">
        <v>1219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1229</v>
      </c>
      <c r="J26" s="2" t="s">
        <v>1259</v>
      </c>
      <c r="K26" s="2">
        <f t="shared" si="10"/>
        <v>42268268.699235857</v>
      </c>
      <c r="L26" s="2" t="s">
        <v>288</v>
      </c>
      <c r="M26" s="2" t="s">
        <v>289</v>
      </c>
      <c r="N26" s="2" t="s">
        <v>288</v>
      </c>
      <c r="O26" s="2">
        <v>500</v>
      </c>
      <c r="P26" s="2">
        <v>1739.766967773438</v>
      </c>
      <c r="Q26" s="2">
        <v>1728.132690429688</v>
      </c>
      <c r="R26" s="2">
        <f t="shared" si="0"/>
        <v>869883.48388671898</v>
      </c>
      <c r="S26" s="2">
        <f t="shared" si="1"/>
        <v>864066.34521484398</v>
      </c>
      <c r="T26" s="2">
        <f t="shared" si="2"/>
        <v>1733949.829101563</v>
      </c>
      <c r="U26" s="2">
        <f t="shared" si="3"/>
        <v>866.97</v>
      </c>
      <c r="V26" s="2">
        <f t="shared" si="4"/>
        <v>-5817.138671875</v>
      </c>
      <c r="W26" s="2">
        <f t="shared" si="5"/>
        <v>-6684.1086718750003</v>
      </c>
      <c r="X26" s="2">
        <f t="shared" si="6"/>
        <v>42261584.590563983</v>
      </c>
      <c r="Y26" s="2">
        <f t="shared" si="7"/>
        <v>173976.7</v>
      </c>
      <c r="Z26" s="2">
        <f t="shared" si="8"/>
        <v>-3.84</v>
      </c>
      <c r="AA26" s="2">
        <f t="shared" si="11"/>
        <v>42563731.606296398</v>
      </c>
      <c r="AB26" s="2">
        <f t="shared" si="9"/>
        <v>-302147.01573241502</v>
      </c>
    </row>
    <row r="27" spans="1:28">
      <c r="A27" s="2">
        <v>24</v>
      </c>
      <c r="B27" s="2" t="s">
        <v>195</v>
      </c>
      <c r="C27" s="2" t="s">
        <v>1219</v>
      </c>
      <c r="D27" s="3" t="s">
        <v>37</v>
      </c>
      <c r="E27" s="5" t="s">
        <v>134</v>
      </c>
      <c r="F27" s="2" t="s">
        <v>135</v>
      </c>
      <c r="G27" s="2" t="s">
        <v>103</v>
      </c>
      <c r="H27" s="2" t="s">
        <v>196</v>
      </c>
      <c r="I27" s="2" t="s">
        <v>1260</v>
      </c>
      <c r="J27" s="2" t="s">
        <v>1261</v>
      </c>
      <c r="K27" s="2">
        <f t="shared" si="10"/>
        <v>42261584.590563983</v>
      </c>
      <c r="L27" s="2" t="s">
        <v>1262</v>
      </c>
      <c r="M27" s="2" t="s">
        <v>965</v>
      </c>
      <c r="N27" s="2" t="s">
        <v>1263</v>
      </c>
      <c r="O27" s="2">
        <v>100</v>
      </c>
      <c r="P27" s="2">
        <v>2636.70458984375</v>
      </c>
      <c r="Q27" s="2">
        <v>2551.67578125</v>
      </c>
      <c r="R27" s="2">
        <f t="shared" si="0"/>
        <v>263670.458984375</v>
      </c>
      <c r="S27" s="2">
        <f t="shared" si="1"/>
        <v>255167.578125</v>
      </c>
      <c r="T27" s="2">
        <f t="shared" si="2"/>
        <v>518838.037109375</v>
      </c>
      <c r="U27" s="2">
        <f t="shared" si="3"/>
        <v>259.42</v>
      </c>
      <c r="V27" s="2">
        <f t="shared" si="4"/>
        <v>-8502.880859375</v>
      </c>
      <c r="W27" s="2">
        <f t="shared" si="5"/>
        <v>-8762.3008593750001</v>
      </c>
      <c r="X27" s="2">
        <f t="shared" si="6"/>
        <v>42252822.289704606</v>
      </c>
      <c r="Y27" s="2">
        <f t="shared" si="7"/>
        <v>52734.09</v>
      </c>
      <c r="Z27" s="2">
        <f t="shared" si="8"/>
        <v>-16.62</v>
      </c>
      <c r="AA27" s="2">
        <f t="shared" si="11"/>
        <v>42563731.606296398</v>
      </c>
      <c r="AB27" s="2">
        <f t="shared" si="9"/>
        <v>-310909.31659179181</v>
      </c>
    </row>
    <row r="28" spans="1:28">
      <c r="A28" s="2">
        <v>25</v>
      </c>
      <c r="B28" s="2" t="s">
        <v>199</v>
      </c>
      <c r="C28" s="2" t="s">
        <v>1219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1264</v>
      </c>
      <c r="J28" s="2" t="s">
        <v>238</v>
      </c>
      <c r="K28" s="2">
        <f t="shared" si="10"/>
        <v>42252822.289704606</v>
      </c>
      <c r="L28" s="2" t="s">
        <v>985</v>
      </c>
      <c r="M28" s="2" t="s">
        <v>994</v>
      </c>
      <c r="N28" s="2" t="s">
        <v>966</v>
      </c>
      <c r="O28" s="2">
        <v>125</v>
      </c>
      <c r="P28" s="2">
        <v>669.81402587890625</v>
      </c>
      <c r="Q28" s="2">
        <v>693.67913818359375</v>
      </c>
      <c r="R28" s="2">
        <f t="shared" si="0"/>
        <v>83726.753234863281</v>
      </c>
      <c r="S28" s="2">
        <f t="shared" si="1"/>
        <v>86709.892272949219</v>
      </c>
      <c r="T28" s="2">
        <f t="shared" si="2"/>
        <v>170436.6455078125</v>
      </c>
      <c r="U28" s="2">
        <f t="shared" si="3"/>
        <v>85.22</v>
      </c>
      <c r="V28" s="2">
        <f t="shared" si="4"/>
        <v>2983.1390380859375</v>
      </c>
      <c r="W28" s="2">
        <f t="shared" si="5"/>
        <v>2897.9190380859377</v>
      </c>
      <c r="X28" s="2">
        <f t="shared" si="6"/>
        <v>42255720.208742693</v>
      </c>
      <c r="Y28" s="2">
        <f t="shared" si="7"/>
        <v>16745.349999999999</v>
      </c>
      <c r="Z28" s="2">
        <f t="shared" si="8"/>
        <v>17.309999999999999</v>
      </c>
      <c r="AA28" s="2">
        <f t="shared" si="11"/>
        <v>42563731.606296398</v>
      </c>
      <c r="AB28" s="2">
        <f t="shared" si="9"/>
        <v>-308011.39755370468</v>
      </c>
    </row>
    <row r="29" spans="1:28">
      <c r="A29" s="2">
        <v>26</v>
      </c>
      <c r="B29" s="2" t="s">
        <v>205</v>
      </c>
      <c r="C29" s="2" t="s">
        <v>1219</v>
      </c>
      <c r="D29" s="3" t="s">
        <v>37</v>
      </c>
      <c r="E29" s="5" t="s">
        <v>134</v>
      </c>
      <c r="F29" s="2" t="s">
        <v>135</v>
      </c>
      <c r="G29" s="2" t="s">
        <v>54</v>
      </c>
      <c r="H29" s="2" t="s">
        <v>206</v>
      </c>
      <c r="I29" s="2" t="s">
        <v>1265</v>
      </c>
      <c r="J29" s="2" t="s">
        <v>1266</v>
      </c>
      <c r="K29" s="2">
        <f t="shared" si="10"/>
        <v>42255720.208742693</v>
      </c>
      <c r="L29" s="2" t="s">
        <v>1267</v>
      </c>
      <c r="M29" s="2" t="s">
        <v>1268</v>
      </c>
      <c r="N29" s="2" t="s">
        <v>1245</v>
      </c>
      <c r="O29" s="2">
        <v>6099</v>
      </c>
      <c r="P29" s="2">
        <v>190.62286376953119</v>
      </c>
      <c r="Q29" s="2">
        <v>208.35725402832031</v>
      </c>
      <c r="R29" s="2">
        <f t="shared" si="0"/>
        <v>1162608.8461303709</v>
      </c>
      <c r="S29" s="2">
        <f t="shared" si="1"/>
        <v>1270770.8923187256</v>
      </c>
      <c r="T29" s="2">
        <f t="shared" si="2"/>
        <v>2433379.7384490967</v>
      </c>
      <c r="U29" s="2">
        <f t="shared" si="3"/>
        <v>1216.69</v>
      </c>
      <c r="V29" s="2">
        <f t="shared" si="4"/>
        <v>108162.04618835473</v>
      </c>
      <c r="W29" s="2">
        <f t="shared" si="5"/>
        <v>106945.35618835472</v>
      </c>
      <c r="X29" s="2">
        <f t="shared" si="6"/>
        <v>42362665.56493105</v>
      </c>
      <c r="Y29" s="2">
        <f t="shared" si="7"/>
        <v>232521.77</v>
      </c>
      <c r="Z29" s="2">
        <f t="shared" si="8"/>
        <v>45.99</v>
      </c>
      <c r="AA29" s="2">
        <f t="shared" si="11"/>
        <v>42563731.606296398</v>
      </c>
      <c r="AB29" s="2">
        <f t="shared" si="9"/>
        <v>-201066.0413653478</v>
      </c>
    </row>
    <row r="30" spans="1:28">
      <c r="A30" s="2">
        <v>27</v>
      </c>
      <c r="B30" s="2" t="s">
        <v>209</v>
      </c>
      <c r="C30" s="2" t="s">
        <v>1219</v>
      </c>
      <c r="D30" s="4" t="s">
        <v>61</v>
      </c>
      <c r="E30" s="5" t="s">
        <v>134</v>
      </c>
      <c r="F30" s="2" t="s">
        <v>135</v>
      </c>
      <c r="G30" s="2" t="s">
        <v>103</v>
      </c>
      <c r="H30" s="2" t="s">
        <v>210</v>
      </c>
      <c r="I30" s="2" t="s">
        <v>916</v>
      </c>
      <c r="J30" s="2" t="s">
        <v>1016</v>
      </c>
      <c r="K30" s="2">
        <f t="shared" si="10"/>
        <v>42362665.56493105</v>
      </c>
      <c r="L30" s="2" t="s">
        <v>1244</v>
      </c>
      <c r="M30" s="2" t="s">
        <v>1269</v>
      </c>
      <c r="N30" s="2" t="s">
        <v>1270</v>
      </c>
      <c r="O30" s="2">
        <v>4138</v>
      </c>
      <c r="P30" s="2">
        <v>224.26742553710929</v>
      </c>
      <c r="Q30" s="2">
        <v>233.11637878417969</v>
      </c>
      <c r="R30" s="2">
        <f t="shared" si="0"/>
        <v>928018.60687255824</v>
      </c>
      <c r="S30" s="2">
        <f t="shared" si="1"/>
        <v>964635.57540893555</v>
      </c>
      <c r="T30" s="2">
        <f t="shared" si="2"/>
        <v>1892654.1822814937</v>
      </c>
      <c r="U30" s="2">
        <f t="shared" si="3"/>
        <v>946.33</v>
      </c>
      <c r="V30" s="2">
        <f t="shared" si="4"/>
        <v>36616.968536377302</v>
      </c>
      <c r="W30" s="2">
        <f t="shared" si="5"/>
        <v>35670.638536377301</v>
      </c>
      <c r="X30" s="2">
        <f t="shared" si="6"/>
        <v>42398336.203467429</v>
      </c>
      <c r="Y30" s="2">
        <f t="shared" si="7"/>
        <v>185603.72</v>
      </c>
      <c r="Z30" s="2">
        <f t="shared" si="8"/>
        <v>19.22</v>
      </c>
      <c r="AA30" s="2">
        <f t="shared" si="11"/>
        <v>42563731.606296398</v>
      </c>
      <c r="AB30" s="2">
        <f t="shared" si="9"/>
        <v>-165395.40282896906</v>
      </c>
    </row>
    <row r="31" spans="1:28">
      <c r="A31" s="2">
        <v>28</v>
      </c>
      <c r="B31" s="2" t="s">
        <v>213</v>
      </c>
      <c r="C31" s="2" t="s">
        <v>1219</v>
      </c>
      <c r="D31" s="4" t="s">
        <v>61</v>
      </c>
      <c r="E31" s="5" t="s">
        <v>134</v>
      </c>
      <c r="F31" s="2" t="s">
        <v>135</v>
      </c>
      <c r="G31" s="2" t="s">
        <v>54</v>
      </c>
      <c r="H31" s="2" t="s">
        <v>214</v>
      </c>
      <c r="I31" s="2" t="s">
        <v>642</v>
      </c>
      <c r="J31" s="2" t="s">
        <v>1271</v>
      </c>
      <c r="K31" s="2">
        <f t="shared" si="10"/>
        <v>42398336.203467429</v>
      </c>
      <c r="L31" s="2" t="s">
        <v>1272</v>
      </c>
      <c r="M31" s="2" t="s">
        <v>1251</v>
      </c>
      <c r="N31" s="2" t="s">
        <v>1273</v>
      </c>
      <c r="O31" s="2">
        <v>7287</v>
      </c>
      <c r="P31" s="2">
        <v>111.5563583374023</v>
      </c>
      <c r="Q31" s="2">
        <v>117.5743103027344</v>
      </c>
      <c r="R31" s="2">
        <f t="shared" si="0"/>
        <v>812911.18320465053</v>
      </c>
      <c r="S31" s="2">
        <f t="shared" si="1"/>
        <v>856763.99917602562</v>
      </c>
      <c r="T31" s="2">
        <f t="shared" si="2"/>
        <v>1669675.1823806763</v>
      </c>
      <c r="U31" s="2">
        <f t="shared" si="3"/>
        <v>834.84</v>
      </c>
      <c r="V31" s="2">
        <f t="shared" si="4"/>
        <v>43852.815971375094</v>
      </c>
      <c r="W31" s="2">
        <f t="shared" si="5"/>
        <v>43017.975971375097</v>
      </c>
      <c r="X31" s="2">
        <f t="shared" si="6"/>
        <v>42441354.179438807</v>
      </c>
      <c r="Y31" s="2">
        <f t="shared" si="7"/>
        <v>162582.24</v>
      </c>
      <c r="Z31" s="2">
        <f t="shared" si="8"/>
        <v>26.46</v>
      </c>
      <c r="AA31" s="2">
        <f t="shared" si="11"/>
        <v>42563731.606296398</v>
      </c>
      <c r="AB31" s="2">
        <f t="shared" si="9"/>
        <v>-122377.42685759068</v>
      </c>
    </row>
    <row r="32" spans="1:28">
      <c r="A32" s="2">
        <v>29</v>
      </c>
      <c r="B32" s="2" t="s">
        <v>218</v>
      </c>
      <c r="C32" s="2" t="s">
        <v>1219</v>
      </c>
      <c r="D32" s="4" t="s">
        <v>61</v>
      </c>
      <c r="E32" s="5" t="s">
        <v>134</v>
      </c>
      <c r="F32" s="2" t="s">
        <v>135</v>
      </c>
      <c r="G32" s="2" t="s">
        <v>161</v>
      </c>
      <c r="H32" s="2" t="s">
        <v>219</v>
      </c>
      <c r="I32" s="2" t="s">
        <v>1274</v>
      </c>
      <c r="J32" s="2" t="s">
        <v>1275</v>
      </c>
      <c r="K32" s="2">
        <f t="shared" si="10"/>
        <v>42441354.179438807</v>
      </c>
      <c r="L32" s="2" t="s">
        <v>959</v>
      </c>
      <c r="M32" s="2" t="s">
        <v>974</v>
      </c>
      <c r="N32" s="2" t="s">
        <v>1038</v>
      </c>
      <c r="O32" s="2">
        <v>793</v>
      </c>
      <c r="P32" s="2">
        <v>932.7294921875</v>
      </c>
      <c r="Q32" s="2">
        <v>1045.84033203125</v>
      </c>
      <c r="R32" s="2">
        <f t="shared" si="0"/>
        <v>739654.4873046875</v>
      </c>
      <c r="S32" s="2">
        <f t="shared" si="1"/>
        <v>829351.38330078125</v>
      </c>
      <c r="T32" s="2">
        <f t="shared" si="2"/>
        <v>1569005.8706054687</v>
      </c>
      <c r="U32" s="2">
        <f t="shared" si="3"/>
        <v>784.5</v>
      </c>
      <c r="V32" s="2">
        <f t="shared" si="4"/>
        <v>89696.89599609375</v>
      </c>
      <c r="W32" s="2">
        <f t="shared" si="5"/>
        <v>88912.39599609375</v>
      </c>
      <c r="X32" s="2">
        <f t="shared" si="6"/>
        <v>42530266.575434901</v>
      </c>
      <c r="Y32" s="2">
        <f t="shared" si="7"/>
        <v>147930.9</v>
      </c>
      <c r="Z32" s="2">
        <f t="shared" si="8"/>
        <v>60.1</v>
      </c>
      <c r="AA32" s="2">
        <f t="shared" si="11"/>
        <v>42563731.606296398</v>
      </c>
      <c r="AB32" s="2">
        <f t="shared" si="9"/>
        <v>-33465.030861496925</v>
      </c>
    </row>
    <row r="33" spans="1:28">
      <c r="A33" s="2">
        <v>30</v>
      </c>
      <c r="B33" s="2" t="s">
        <v>225</v>
      </c>
      <c r="C33" s="2" t="s">
        <v>1219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887</v>
      </c>
      <c r="J33" s="2" t="s">
        <v>1276</v>
      </c>
      <c r="K33" s="2">
        <f t="shared" si="10"/>
        <v>42530266.575434901</v>
      </c>
      <c r="L33" s="2" t="s">
        <v>1052</v>
      </c>
      <c r="M33" s="2" t="s">
        <v>967</v>
      </c>
      <c r="N33" s="2" t="s">
        <v>957</v>
      </c>
      <c r="O33" s="2">
        <v>2438</v>
      </c>
      <c r="P33" s="2">
        <v>281.4766845703125</v>
      </c>
      <c r="Q33" s="2">
        <v>282.26708984375</v>
      </c>
      <c r="R33" s="2">
        <f t="shared" si="0"/>
        <v>686240.15698242188</v>
      </c>
      <c r="S33" s="2">
        <f t="shared" si="1"/>
        <v>688167.1650390625</v>
      </c>
      <c r="T33" s="2">
        <f t="shared" si="2"/>
        <v>1374407.3220214844</v>
      </c>
      <c r="U33" s="2">
        <f t="shared" si="3"/>
        <v>687.2</v>
      </c>
      <c r="V33" s="2">
        <f t="shared" si="4"/>
        <v>1927.008056640625</v>
      </c>
      <c r="W33" s="2">
        <f t="shared" si="5"/>
        <v>1239.808056640625</v>
      </c>
      <c r="X33" s="2">
        <f t="shared" si="6"/>
        <v>42531506.383491538</v>
      </c>
      <c r="Y33" s="2">
        <f t="shared" si="7"/>
        <v>137248.03</v>
      </c>
      <c r="Z33" s="2">
        <f t="shared" si="8"/>
        <v>0.9</v>
      </c>
      <c r="AA33" s="2">
        <f t="shared" si="11"/>
        <v>42563731.606296398</v>
      </c>
      <c r="AB33" s="2">
        <f t="shared" si="9"/>
        <v>-32225.222804859281</v>
      </c>
    </row>
    <row r="34" spans="1:28">
      <c r="A34" s="2">
        <v>31</v>
      </c>
      <c r="B34" s="2" t="s">
        <v>230</v>
      </c>
      <c r="C34" s="2" t="s">
        <v>1219</v>
      </c>
      <c r="D34" s="4" t="s">
        <v>61</v>
      </c>
      <c r="E34" s="5" t="s">
        <v>134</v>
      </c>
      <c r="F34" s="2" t="s">
        <v>135</v>
      </c>
      <c r="G34" s="2" t="s">
        <v>231</v>
      </c>
      <c r="H34" s="2" t="s">
        <v>232</v>
      </c>
      <c r="I34" s="2" t="s">
        <v>1277</v>
      </c>
      <c r="J34" s="2" t="s">
        <v>635</v>
      </c>
      <c r="K34" s="2">
        <f t="shared" si="10"/>
        <v>42531506.383491538</v>
      </c>
      <c r="L34" s="2" t="s">
        <v>1272</v>
      </c>
      <c r="M34" s="2" t="s">
        <v>1278</v>
      </c>
      <c r="N34" s="2" t="s">
        <v>1251</v>
      </c>
      <c r="O34" s="2">
        <v>461</v>
      </c>
      <c r="P34" s="2">
        <v>1618.4609375</v>
      </c>
      <c r="Q34" s="2">
        <v>1724.575073242188</v>
      </c>
      <c r="R34" s="2">
        <f t="shared" si="0"/>
        <v>746110.4921875</v>
      </c>
      <c r="S34" s="2">
        <f t="shared" si="1"/>
        <v>795029.10876464867</v>
      </c>
      <c r="T34" s="2">
        <f t="shared" si="2"/>
        <v>1541139.6009521487</v>
      </c>
      <c r="U34" s="2">
        <f t="shared" si="3"/>
        <v>770.57</v>
      </c>
      <c r="V34" s="2">
        <f t="shared" si="4"/>
        <v>48918.61657714867</v>
      </c>
      <c r="W34" s="2">
        <f t="shared" si="5"/>
        <v>48148.046577148671</v>
      </c>
      <c r="X34" s="2">
        <f t="shared" si="6"/>
        <v>42579654.430068687</v>
      </c>
      <c r="Y34" s="2">
        <f t="shared" si="7"/>
        <v>149222.1</v>
      </c>
      <c r="Z34" s="2">
        <f t="shared" si="8"/>
        <v>32.270000000000003</v>
      </c>
      <c r="AA34" s="2">
        <f t="shared" si="11"/>
        <v>42579654.430068687</v>
      </c>
      <c r="AB34" s="2">
        <f t="shared" si="9"/>
        <v>0</v>
      </c>
    </row>
    <row r="35" spans="1:28">
      <c r="A35" s="2">
        <v>32</v>
      </c>
      <c r="B35" s="2" t="s">
        <v>236</v>
      </c>
      <c r="C35" s="2" t="s">
        <v>1219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1279</v>
      </c>
      <c r="J35" s="2" t="s">
        <v>116</v>
      </c>
      <c r="K35" s="2">
        <f t="shared" si="10"/>
        <v>42579654.430068687</v>
      </c>
      <c r="L35" s="2" t="s">
        <v>1014</v>
      </c>
      <c r="M35" s="2" t="s">
        <v>959</v>
      </c>
      <c r="N35" s="2" t="s">
        <v>289</v>
      </c>
      <c r="O35" s="2">
        <v>950</v>
      </c>
      <c r="P35" s="2">
        <v>1687.046508789062</v>
      </c>
      <c r="Q35" s="2">
        <v>1578.0576171875</v>
      </c>
      <c r="R35" s="2">
        <f t="shared" si="0"/>
        <v>1602694.1833496089</v>
      </c>
      <c r="S35" s="2">
        <f t="shared" si="1"/>
        <v>1499154.736328125</v>
      </c>
      <c r="T35" s="2">
        <f t="shared" si="2"/>
        <v>3101848.9196777339</v>
      </c>
      <c r="U35" s="2">
        <f t="shared" si="3"/>
        <v>1550.92</v>
      </c>
      <c r="V35" s="2">
        <f t="shared" si="4"/>
        <v>-103539.44702148391</v>
      </c>
      <c r="W35" s="2">
        <f t="shared" si="5"/>
        <v>-105090.36702148391</v>
      </c>
      <c r="X35" s="2">
        <f t="shared" si="6"/>
        <v>42474564.0630472</v>
      </c>
      <c r="Y35" s="2">
        <f t="shared" si="7"/>
        <v>320538.84000000003</v>
      </c>
      <c r="Z35" s="2">
        <f t="shared" si="8"/>
        <v>-32.79</v>
      </c>
      <c r="AA35" s="2">
        <f t="shared" si="11"/>
        <v>42579654.430068687</v>
      </c>
      <c r="AB35" s="2">
        <f t="shared" si="9"/>
        <v>-105090.36702148616</v>
      </c>
    </row>
    <row r="36" spans="1:28">
      <c r="A36" s="2">
        <v>33</v>
      </c>
      <c r="B36" s="2" t="s">
        <v>240</v>
      </c>
      <c r="C36" s="2" t="s">
        <v>1219</v>
      </c>
      <c r="D36" s="4" t="s">
        <v>61</v>
      </c>
      <c r="E36" s="5" t="s">
        <v>134</v>
      </c>
      <c r="F36" s="2" t="s">
        <v>135</v>
      </c>
      <c r="G36" s="2" t="s">
        <v>241</v>
      </c>
      <c r="H36" s="2" t="s">
        <v>242</v>
      </c>
      <c r="I36" s="2" t="s">
        <v>1280</v>
      </c>
      <c r="J36" s="2" t="s">
        <v>1281</v>
      </c>
      <c r="K36" s="2">
        <f t="shared" si="10"/>
        <v>42474564.0630472</v>
      </c>
      <c r="L36" s="2" t="s">
        <v>1004</v>
      </c>
      <c r="M36" s="2" t="s">
        <v>1269</v>
      </c>
      <c r="N36" s="2" t="s">
        <v>1270</v>
      </c>
      <c r="O36" s="2">
        <v>2481</v>
      </c>
      <c r="P36" s="2">
        <v>285.7843017578125</v>
      </c>
      <c r="Q36" s="2">
        <v>309.63693237304687</v>
      </c>
      <c r="R36" s="2">
        <f t="shared" ref="R36:R67" si="12">O36*P36</f>
        <v>709030.85266113281</v>
      </c>
      <c r="S36" s="2">
        <f t="shared" ref="S36:S67" si="13">O36*Q36</f>
        <v>768209.2292175293</v>
      </c>
      <c r="T36" s="2">
        <f t="shared" ref="T36:T67" si="14">R36+S36</f>
        <v>1477240.0818786621</v>
      </c>
      <c r="U36" s="2">
        <f t="shared" ref="U36:U67" si="15">ROUND(T36*0.0005, 2)</f>
        <v>738.62</v>
      </c>
      <c r="V36" s="2">
        <f t="shared" ref="V36:V67" si="16">S36-R36</f>
        <v>59178.376556396484</v>
      </c>
      <c r="W36" s="2">
        <f t="shared" ref="W36:W67" si="17">V36-U36</f>
        <v>58439.756556396482</v>
      </c>
      <c r="X36" s="2">
        <f t="shared" ref="X36:X67" si="18">K36+W36</f>
        <v>42533003.8196036</v>
      </c>
      <c r="Y36" s="2">
        <f t="shared" ref="Y36:Y67" si="19">ROUND(0.2*R36, 2)</f>
        <v>141806.17000000001</v>
      </c>
      <c r="Z36" s="2">
        <f t="shared" ref="Z36:Z67" si="20">ROUND((W36/Y36)*100, 2)</f>
        <v>41.21</v>
      </c>
      <c r="AA36" s="2">
        <f t="shared" si="11"/>
        <v>42579654.430068687</v>
      </c>
      <c r="AB36" s="2">
        <f t="shared" ref="AB36:AB67" si="21">X36-AA36</f>
        <v>-46650.610465086997</v>
      </c>
    </row>
    <row r="37" spans="1:28">
      <c r="A37" s="2">
        <v>34</v>
      </c>
      <c r="B37" s="2" t="s">
        <v>245</v>
      </c>
      <c r="C37" s="2" t="s">
        <v>1219</v>
      </c>
      <c r="D37" s="4" t="s">
        <v>61</v>
      </c>
      <c r="E37" s="5" t="s">
        <v>134</v>
      </c>
      <c r="F37" s="2" t="s">
        <v>135</v>
      </c>
      <c r="G37" s="2" t="s">
        <v>231</v>
      </c>
      <c r="H37" s="2" t="s">
        <v>99</v>
      </c>
      <c r="I37" s="2" t="s">
        <v>335</v>
      </c>
      <c r="J37" s="2" t="s">
        <v>1282</v>
      </c>
      <c r="K37" s="2">
        <f t="shared" si="10"/>
        <v>42533003.8196036</v>
      </c>
      <c r="L37" s="2" t="s">
        <v>1270</v>
      </c>
      <c r="M37" s="2" t="s">
        <v>1255</v>
      </c>
      <c r="N37" s="2" t="s">
        <v>1278</v>
      </c>
      <c r="O37" s="2">
        <v>2351</v>
      </c>
      <c r="P37" s="2">
        <v>336.995849609375</v>
      </c>
      <c r="Q37" s="2">
        <v>361.43392944335937</v>
      </c>
      <c r="R37" s="2">
        <f t="shared" si="12"/>
        <v>792277.24243164062</v>
      </c>
      <c r="S37" s="2">
        <f t="shared" si="13"/>
        <v>849731.16812133789</v>
      </c>
      <c r="T37" s="2">
        <f t="shared" si="14"/>
        <v>1642008.4105529785</v>
      </c>
      <c r="U37" s="2">
        <f t="shared" si="15"/>
        <v>821</v>
      </c>
      <c r="V37" s="2">
        <f t="shared" si="16"/>
        <v>57453.925689697266</v>
      </c>
      <c r="W37" s="2">
        <f t="shared" si="17"/>
        <v>56632.925689697266</v>
      </c>
      <c r="X37" s="2">
        <f t="shared" si="18"/>
        <v>42589636.745293297</v>
      </c>
      <c r="Y37" s="2">
        <f t="shared" si="19"/>
        <v>158455.45000000001</v>
      </c>
      <c r="Z37" s="2">
        <f t="shared" si="20"/>
        <v>35.74</v>
      </c>
      <c r="AA37" s="2">
        <f t="shared" ref="AA37:AA68" si="22">MAX(AA36, X37)</f>
        <v>42589636.745293297</v>
      </c>
      <c r="AB37" s="2">
        <f t="shared" si="21"/>
        <v>0</v>
      </c>
    </row>
    <row r="38" spans="1:28">
      <c r="A38" s="2">
        <v>35</v>
      </c>
      <c r="B38" s="2" t="s">
        <v>248</v>
      </c>
      <c r="C38" s="2" t="s">
        <v>1219</v>
      </c>
      <c r="D38" s="4" t="s">
        <v>61</v>
      </c>
      <c r="E38" s="5" t="s">
        <v>134</v>
      </c>
      <c r="F38" s="2" t="s">
        <v>135</v>
      </c>
      <c r="G38" s="2" t="s">
        <v>161</v>
      </c>
      <c r="H38" s="2" t="s">
        <v>192</v>
      </c>
      <c r="I38" s="2" t="s">
        <v>1199</v>
      </c>
      <c r="J38" s="2" t="s">
        <v>361</v>
      </c>
      <c r="K38" s="2">
        <f t="shared" si="10"/>
        <v>42589636.745293297</v>
      </c>
      <c r="L38" s="2" t="s">
        <v>1004</v>
      </c>
      <c r="M38" s="2" t="s">
        <v>1283</v>
      </c>
      <c r="N38" s="2" t="s">
        <v>1269</v>
      </c>
      <c r="O38" s="2">
        <v>591</v>
      </c>
      <c r="P38" s="2">
        <v>1606.417358398438</v>
      </c>
      <c r="Q38" s="2">
        <v>1647.71533203125</v>
      </c>
      <c r="R38" s="2">
        <f t="shared" si="12"/>
        <v>949392.6588134768</v>
      </c>
      <c r="S38" s="2">
        <f t="shared" si="13"/>
        <v>973799.76123046875</v>
      </c>
      <c r="T38" s="2">
        <f t="shared" si="14"/>
        <v>1923192.4200439455</v>
      </c>
      <c r="U38" s="2">
        <f t="shared" si="15"/>
        <v>961.6</v>
      </c>
      <c r="V38" s="2">
        <f t="shared" si="16"/>
        <v>24407.102416991955</v>
      </c>
      <c r="W38" s="2">
        <f t="shared" si="17"/>
        <v>23445.502416991956</v>
      </c>
      <c r="X38" s="2">
        <f t="shared" si="18"/>
        <v>42613082.247710288</v>
      </c>
      <c r="Y38" s="2">
        <f t="shared" si="19"/>
        <v>189878.53</v>
      </c>
      <c r="Z38" s="2">
        <f t="shared" si="20"/>
        <v>12.35</v>
      </c>
      <c r="AA38" s="2">
        <f t="shared" si="22"/>
        <v>42613082.247710288</v>
      </c>
      <c r="AB38" s="2">
        <f t="shared" si="21"/>
        <v>0</v>
      </c>
    </row>
    <row r="39" spans="1:28">
      <c r="A39" s="2">
        <v>36</v>
      </c>
      <c r="B39" s="2" t="s">
        <v>252</v>
      </c>
      <c r="C39" s="2" t="s">
        <v>1219</v>
      </c>
      <c r="D39" s="4" t="s">
        <v>61</v>
      </c>
      <c r="E39" s="5" t="s">
        <v>134</v>
      </c>
      <c r="F39" s="2" t="s">
        <v>135</v>
      </c>
      <c r="G39" s="2" t="s">
        <v>150</v>
      </c>
      <c r="H39" s="2" t="s">
        <v>253</v>
      </c>
      <c r="I39" s="2" t="s">
        <v>1284</v>
      </c>
      <c r="J39" s="2" t="s">
        <v>1285</v>
      </c>
      <c r="K39" s="2">
        <f t="shared" si="10"/>
        <v>42613082.247710288</v>
      </c>
      <c r="L39" s="2" t="s">
        <v>1004</v>
      </c>
      <c r="M39" s="2" t="s">
        <v>1255</v>
      </c>
      <c r="N39" s="2" t="s">
        <v>1269</v>
      </c>
      <c r="O39" s="2">
        <v>100</v>
      </c>
      <c r="P39" s="2">
        <v>31174.875</v>
      </c>
      <c r="Q39" s="2">
        <v>34285.703125</v>
      </c>
      <c r="R39" s="2">
        <f t="shared" si="12"/>
        <v>3117487.5</v>
      </c>
      <c r="S39" s="2">
        <f t="shared" si="13"/>
        <v>3428570.3125</v>
      </c>
      <c r="T39" s="2">
        <f t="shared" si="14"/>
        <v>6546057.8125</v>
      </c>
      <c r="U39" s="2">
        <f t="shared" si="15"/>
        <v>3273.03</v>
      </c>
      <c r="V39" s="2">
        <f t="shared" si="16"/>
        <v>311082.8125</v>
      </c>
      <c r="W39" s="2">
        <f t="shared" si="17"/>
        <v>307809.78249999997</v>
      </c>
      <c r="X39" s="2">
        <f t="shared" si="18"/>
        <v>42920892.030210286</v>
      </c>
      <c r="Y39" s="2">
        <f t="shared" si="19"/>
        <v>623497.5</v>
      </c>
      <c r="Z39" s="2">
        <f t="shared" si="20"/>
        <v>49.37</v>
      </c>
      <c r="AA39" s="2">
        <f t="shared" si="22"/>
        <v>42920892.030210286</v>
      </c>
      <c r="AB39" s="2">
        <f t="shared" si="21"/>
        <v>0</v>
      </c>
    </row>
    <row r="40" spans="1:28">
      <c r="A40" s="2">
        <v>37</v>
      </c>
      <c r="B40" s="2" t="s">
        <v>256</v>
      </c>
      <c r="C40" s="2" t="s">
        <v>1219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623</v>
      </c>
      <c r="J40" s="2" t="s">
        <v>1286</v>
      </c>
      <c r="K40" s="2">
        <f t="shared" si="10"/>
        <v>42920892.030210286</v>
      </c>
      <c r="L40" s="2" t="s">
        <v>970</v>
      </c>
      <c r="M40" s="2" t="s">
        <v>967</v>
      </c>
      <c r="N40" s="2" t="s">
        <v>957</v>
      </c>
      <c r="O40" s="2">
        <v>1800</v>
      </c>
      <c r="P40" s="2">
        <v>286.02090454101562</v>
      </c>
      <c r="Q40" s="2">
        <v>315.24423217773437</v>
      </c>
      <c r="R40" s="2">
        <f t="shared" si="12"/>
        <v>514837.62817382812</v>
      </c>
      <c r="S40" s="2">
        <f t="shared" si="13"/>
        <v>567439.61791992187</v>
      </c>
      <c r="T40" s="2">
        <f t="shared" si="14"/>
        <v>1082277.24609375</v>
      </c>
      <c r="U40" s="2">
        <f t="shared" si="15"/>
        <v>541.14</v>
      </c>
      <c r="V40" s="2">
        <f t="shared" si="16"/>
        <v>52601.98974609375</v>
      </c>
      <c r="W40" s="2">
        <f t="shared" si="17"/>
        <v>52060.849746093751</v>
      </c>
      <c r="X40" s="2">
        <f t="shared" si="18"/>
        <v>42972952.87995638</v>
      </c>
      <c r="Y40" s="2">
        <f t="shared" si="19"/>
        <v>102967.53</v>
      </c>
      <c r="Z40" s="2">
        <f t="shared" si="20"/>
        <v>50.56</v>
      </c>
      <c r="AA40" s="2">
        <f t="shared" si="22"/>
        <v>42972952.87995638</v>
      </c>
      <c r="AB40" s="2">
        <f t="shared" si="21"/>
        <v>0</v>
      </c>
    </row>
    <row r="41" spans="1:28">
      <c r="A41" s="2">
        <v>38</v>
      </c>
      <c r="B41" s="2" t="s">
        <v>259</v>
      </c>
      <c r="C41" s="2" t="s">
        <v>1219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863</v>
      </c>
      <c r="J41" s="2" t="s">
        <v>1287</v>
      </c>
      <c r="K41" s="2">
        <f t="shared" si="10"/>
        <v>42972952.87995638</v>
      </c>
      <c r="L41" s="2" t="s">
        <v>989</v>
      </c>
      <c r="M41" s="2" t="s">
        <v>980</v>
      </c>
      <c r="N41" s="2" t="s">
        <v>989</v>
      </c>
      <c r="O41" s="2">
        <v>200</v>
      </c>
      <c r="P41" s="2">
        <v>4962.515625</v>
      </c>
      <c r="Q41" s="2">
        <v>4852.01416015625</v>
      </c>
      <c r="R41" s="2">
        <f t="shared" si="12"/>
        <v>992503.125</v>
      </c>
      <c r="S41" s="2">
        <f t="shared" si="13"/>
        <v>970402.83203125</v>
      </c>
      <c r="T41" s="2">
        <f t="shared" si="14"/>
        <v>1962905.95703125</v>
      </c>
      <c r="U41" s="2">
        <f t="shared" si="15"/>
        <v>981.45</v>
      </c>
      <c r="V41" s="2">
        <f t="shared" si="16"/>
        <v>-22100.29296875</v>
      </c>
      <c r="W41" s="2">
        <f t="shared" si="17"/>
        <v>-23081.742968750001</v>
      </c>
      <c r="X41" s="2">
        <f t="shared" si="18"/>
        <v>42949871.136987627</v>
      </c>
      <c r="Y41" s="2">
        <f t="shared" si="19"/>
        <v>198500.63</v>
      </c>
      <c r="Z41" s="2">
        <f t="shared" si="20"/>
        <v>-11.63</v>
      </c>
      <c r="AA41" s="2">
        <f t="shared" si="22"/>
        <v>42972952.87995638</v>
      </c>
      <c r="AB41" s="2">
        <f t="shared" si="21"/>
        <v>-23081.74296875298</v>
      </c>
    </row>
    <row r="42" spans="1:28">
      <c r="A42" s="2">
        <v>39</v>
      </c>
      <c r="B42" s="2" t="s">
        <v>265</v>
      </c>
      <c r="C42" s="2" t="s">
        <v>1219</v>
      </c>
      <c r="D42" s="3" t="s">
        <v>37</v>
      </c>
      <c r="E42" s="5" t="s">
        <v>134</v>
      </c>
      <c r="F42" s="2" t="s">
        <v>135</v>
      </c>
      <c r="G42" s="2" t="s">
        <v>231</v>
      </c>
      <c r="H42" s="2" t="s">
        <v>266</v>
      </c>
      <c r="I42" s="2" t="s">
        <v>1288</v>
      </c>
      <c r="J42" s="2" t="s">
        <v>1289</v>
      </c>
      <c r="K42" s="2">
        <f t="shared" si="10"/>
        <v>42949871.136987627</v>
      </c>
      <c r="L42" s="2" t="s">
        <v>1005</v>
      </c>
      <c r="M42" s="2" t="s">
        <v>1251</v>
      </c>
      <c r="N42" s="2" t="s">
        <v>1283</v>
      </c>
      <c r="O42" s="2">
        <v>283</v>
      </c>
      <c r="P42" s="2">
        <v>808.72869873046875</v>
      </c>
      <c r="Q42" s="2">
        <v>861.60540771484375</v>
      </c>
      <c r="R42" s="2">
        <f t="shared" si="12"/>
        <v>228870.22174072266</v>
      </c>
      <c r="S42" s="2">
        <f t="shared" si="13"/>
        <v>243834.33038330078</v>
      </c>
      <c r="T42" s="2">
        <f t="shared" si="14"/>
        <v>472704.55212402344</v>
      </c>
      <c r="U42" s="2">
        <f t="shared" si="15"/>
        <v>236.35</v>
      </c>
      <c r="V42" s="2">
        <f t="shared" si="16"/>
        <v>14964.108642578125</v>
      </c>
      <c r="W42" s="2">
        <f t="shared" si="17"/>
        <v>14727.758642578125</v>
      </c>
      <c r="X42" s="2">
        <f t="shared" si="18"/>
        <v>42964598.895630203</v>
      </c>
      <c r="Y42" s="2">
        <f t="shared" si="19"/>
        <v>45774.04</v>
      </c>
      <c r="Z42" s="2">
        <f t="shared" si="20"/>
        <v>32.17</v>
      </c>
      <c r="AA42" s="2">
        <f t="shared" si="22"/>
        <v>42972952.87995638</v>
      </c>
      <c r="AB42" s="2">
        <f t="shared" si="21"/>
        <v>-8353.9843261763453</v>
      </c>
    </row>
    <row r="43" spans="1:28">
      <c r="A43" s="2">
        <v>40</v>
      </c>
      <c r="B43" s="2" t="s">
        <v>269</v>
      </c>
      <c r="C43" s="2" t="s">
        <v>1219</v>
      </c>
      <c r="D43" s="4" t="s">
        <v>61</v>
      </c>
      <c r="E43" s="5" t="s">
        <v>134</v>
      </c>
      <c r="F43" s="2" t="s">
        <v>135</v>
      </c>
      <c r="G43" s="2" t="s">
        <v>97</v>
      </c>
      <c r="H43" s="2" t="s">
        <v>270</v>
      </c>
      <c r="I43" s="2" t="s">
        <v>1290</v>
      </c>
      <c r="J43" s="2" t="s">
        <v>1291</v>
      </c>
      <c r="K43" s="2">
        <f t="shared" si="10"/>
        <v>42964598.895630203</v>
      </c>
      <c r="L43" s="2" t="s">
        <v>1270</v>
      </c>
      <c r="M43" s="2" t="s">
        <v>1254</v>
      </c>
      <c r="N43" s="2" t="s">
        <v>1292</v>
      </c>
      <c r="O43" s="2">
        <v>1260</v>
      </c>
      <c r="P43" s="2">
        <v>771.49957275390625</v>
      </c>
      <c r="Q43" s="2">
        <v>876.47259521484375</v>
      </c>
      <c r="R43" s="2">
        <f t="shared" si="12"/>
        <v>972089.46166992188</v>
      </c>
      <c r="S43" s="2">
        <f t="shared" si="13"/>
        <v>1104355.4699707031</v>
      </c>
      <c r="T43" s="2">
        <f t="shared" si="14"/>
        <v>2076444.931640625</v>
      </c>
      <c r="U43" s="2">
        <f t="shared" si="15"/>
        <v>1038.22</v>
      </c>
      <c r="V43" s="2">
        <f t="shared" si="16"/>
        <v>132266.00830078125</v>
      </c>
      <c r="W43" s="2">
        <f t="shared" si="17"/>
        <v>131227.78830078125</v>
      </c>
      <c r="X43" s="2">
        <f t="shared" si="18"/>
        <v>43095826.683930986</v>
      </c>
      <c r="Y43" s="2">
        <f t="shared" si="19"/>
        <v>194417.89</v>
      </c>
      <c r="Z43" s="2">
        <f t="shared" si="20"/>
        <v>67.5</v>
      </c>
      <c r="AA43" s="2">
        <f t="shared" si="22"/>
        <v>43095826.683930986</v>
      </c>
      <c r="AB43" s="2">
        <f t="shared" si="21"/>
        <v>0</v>
      </c>
    </row>
    <row r="44" spans="1:28">
      <c r="A44" s="2">
        <v>41</v>
      </c>
      <c r="B44" s="2" t="s">
        <v>272</v>
      </c>
      <c r="C44" s="2" t="s">
        <v>1219</v>
      </c>
      <c r="D44" s="4" t="s">
        <v>61</v>
      </c>
      <c r="E44" s="5" t="s">
        <v>134</v>
      </c>
      <c r="F44" s="2" t="s">
        <v>135</v>
      </c>
      <c r="G44" s="2" t="s">
        <v>40</v>
      </c>
      <c r="H44" s="2" t="s">
        <v>273</v>
      </c>
      <c r="I44" s="2" t="s">
        <v>94</v>
      </c>
      <c r="J44" s="2" t="s">
        <v>1119</v>
      </c>
      <c r="K44" s="2">
        <f t="shared" si="10"/>
        <v>43095826.683930986</v>
      </c>
      <c r="L44" s="2" t="s">
        <v>1085</v>
      </c>
      <c r="M44" s="2" t="s">
        <v>1270</v>
      </c>
      <c r="N44" s="2" t="s">
        <v>1004</v>
      </c>
      <c r="O44" s="2">
        <v>8046</v>
      </c>
      <c r="P44" s="2">
        <v>107.2056884765625</v>
      </c>
      <c r="Q44" s="2">
        <v>109.5795211791992</v>
      </c>
      <c r="R44" s="2">
        <f t="shared" si="12"/>
        <v>862576.96948242188</v>
      </c>
      <c r="S44" s="2">
        <f t="shared" si="13"/>
        <v>881676.8274078368</v>
      </c>
      <c r="T44" s="2">
        <f t="shared" si="14"/>
        <v>1744253.7968902588</v>
      </c>
      <c r="U44" s="2">
        <f t="shared" si="15"/>
        <v>872.13</v>
      </c>
      <c r="V44" s="2">
        <f t="shared" si="16"/>
        <v>19099.857925414923</v>
      </c>
      <c r="W44" s="2">
        <f t="shared" si="17"/>
        <v>18227.727925414922</v>
      </c>
      <c r="X44" s="2">
        <f t="shared" si="18"/>
        <v>43114054.411856398</v>
      </c>
      <c r="Y44" s="2">
        <f t="shared" si="19"/>
        <v>172515.39</v>
      </c>
      <c r="Z44" s="2">
        <f t="shared" si="20"/>
        <v>10.57</v>
      </c>
      <c r="AA44" s="2">
        <f t="shared" si="22"/>
        <v>43114054.411856398</v>
      </c>
      <c r="AB44" s="2">
        <f t="shared" si="21"/>
        <v>0</v>
      </c>
    </row>
    <row r="45" spans="1:28">
      <c r="A45" s="2">
        <v>42</v>
      </c>
      <c r="B45" s="2" t="s">
        <v>275</v>
      </c>
      <c r="C45" s="2" t="s">
        <v>1219</v>
      </c>
      <c r="D45" s="4" t="s">
        <v>61</v>
      </c>
      <c r="E45" s="5" t="s">
        <v>134</v>
      </c>
      <c r="F45" s="2" t="s">
        <v>135</v>
      </c>
      <c r="G45" s="2" t="s">
        <v>161</v>
      </c>
      <c r="H45" s="2" t="s">
        <v>276</v>
      </c>
      <c r="I45" s="2" t="s">
        <v>192</v>
      </c>
      <c r="J45" s="2" t="s">
        <v>1293</v>
      </c>
      <c r="K45" s="2">
        <f t="shared" si="10"/>
        <v>43114054.411856398</v>
      </c>
      <c r="L45" s="2" t="s">
        <v>1267</v>
      </c>
      <c r="M45" s="2" t="s">
        <v>1254</v>
      </c>
      <c r="N45" s="2" t="s">
        <v>1273</v>
      </c>
      <c r="O45" s="2">
        <v>748</v>
      </c>
      <c r="P45" s="2">
        <v>1135.745361328125</v>
      </c>
      <c r="Q45" s="2">
        <v>1141.815063476562</v>
      </c>
      <c r="R45" s="2">
        <f t="shared" si="12"/>
        <v>849537.5302734375</v>
      </c>
      <c r="S45" s="2">
        <f t="shared" si="13"/>
        <v>854077.6674804684</v>
      </c>
      <c r="T45" s="2">
        <f t="shared" si="14"/>
        <v>1703615.1977539058</v>
      </c>
      <c r="U45" s="2">
        <f t="shared" si="15"/>
        <v>851.81</v>
      </c>
      <c r="V45" s="2">
        <f t="shared" si="16"/>
        <v>4540.1372070309008</v>
      </c>
      <c r="W45" s="2">
        <f t="shared" si="17"/>
        <v>3688.3272070309008</v>
      </c>
      <c r="X45" s="2">
        <f t="shared" si="18"/>
        <v>43117742.739063427</v>
      </c>
      <c r="Y45" s="2">
        <f t="shared" si="19"/>
        <v>169907.51</v>
      </c>
      <c r="Z45" s="2">
        <f t="shared" si="20"/>
        <v>2.17</v>
      </c>
      <c r="AA45" s="2">
        <f t="shared" si="22"/>
        <v>43117742.739063427</v>
      </c>
      <c r="AB45" s="2">
        <f t="shared" si="21"/>
        <v>0</v>
      </c>
    </row>
    <row r="46" spans="1:28">
      <c r="A46" s="2">
        <v>43</v>
      </c>
      <c r="B46" s="2" t="s">
        <v>280</v>
      </c>
      <c r="C46" s="2" t="s">
        <v>1219</v>
      </c>
      <c r="D46" s="3" t="s">
        <v>37</v>
      </c>
      <c r="E46" s="5" t="s">
        <v>134</v>
      </c>
      <c r="F46" s="2" t="s">
        <v>135</v>
      </c>
      <c r="G46" s="2" t="s">
        <v>241</v>
      </c>
      <c r="H46" s="2" t="s">
        <v>281</v>
      </c>
      <c r="I46" s="2" t="s">
        <v>1294</v>
      </c>
      <c r="J46" s="2" t="s">
        <v>1295</v>
      </c>
      <c r="K46" s="2">
        <f t="shared" si="10"/>
        <v>43117742.739063427</v>
      </c>
      <c r="L46" s="2" t="s">
        <v>1296</v>
      </c>
      <c r="M46" s="2" t="s">
        <v>1272</v>
      </c>
      <c r="N46" s="2" t="s">
        <v>1244</v>
      </c>
      <c r="O46" s="2">
        <v>1201</v>
      </c>
      <c r="P46" s="2">
        <v>686.41607666015625</v>
      </c>
      <c r="Q46" s="2">
        <v>736.455810546875</v>
      </c>
      <c r="R46" s="2">
        <f t="shared" si="12"/>
        <v>824385.70806884766</v>
      </c>
      <c r="S46" s="2">
        <f t="shared" si="13"/>
        <v>884483.42846679687</v>
      </c>
      <c r="T46" s="2">
        <f t="shared" si="14"/>
        <v>1708869.1365356445</v>
      </c>
      <c r="U46" s="2">
        <f t="shared" si="15"/>
        <v>854.43</v>
      </c>
      <c r="V46" s="2">
        <f t="shared" si="16"/>
        <v>60097.720397949219</v>
      </c>
      <c r="W46" s="2">
        <f t="shared" si="17"/>
        <v>59243.290397949218</v>
      </c>
      <c r="X46" s="2">
        <f t="shared" si="18"/>
        <v>43176986.029461376</v>
      </c>
      <c r="Y46" s="2">
        <f t="shared" si="19"/>
        <v>164877.14000000001</v>
      </c>
      <c r="Z46" s="2">
        <f t="shared" si="20"/>
        <v>35.93</v>
      </c>
      <c r="AA46" s="2">
        <f t="shared" si="22"/>
        <v>43176986.029461376</v>
      </c>
      <c r="AB46" s="2">
        <f t="shared" si="21"/>
        <v>0</v>
      </c>
    </row>
    <row r="47" spans="1:28">
      <c r="A47" s="2">
        <v>44</v>
      </c>
      <c r="B47" s="2" t="s">
        <v>284</v>
      </c>
      <c r="C47" s="2" t="s">
        <v>1219</v>
      </c>
      <c r="D47" s="4" t="s">
        <v>61</v>
      </c>
      <c r="E47" s="5" t="s">
        <v>134</v>
      </c>
      <c r="F47" s="2" t="s">
        <v>135</v>
      </c>
      <c r="G47" s="2" t="s">
        <v>63</v>
      </c>
      <c r="H47" s="2" t="s">
        <v>285</v>
      </c>
      <c r="I47" s="2" t="s">
        <v>215</v>
      </c>
      <c r="J47" s="2" t="s">
        <v>1297</v>
      </c>
      <c r="K47" s="2">
        <f t="shared" si="10"/>
        <v>43176986.029461376</v>
      </c>
      <c r="L47" s="2" t="s">
        <v>1298</v>
      </c>
      <c r="M47" s="2" t="s">
        <v>1299</v>
      </c>
      <c r="N47" s="2" t="s">
        <v>1300</v>
      </c>
      <c r="O47" s="2">
        <v>563</v>
      </c>
      <c r="P47" s="2">
        <v>1297.682495117188</v>
      </c>
      <c r="Q47" s="2">
        <v>1167.375732421875</v>
      </c>
      <c r="R47" s="2">
        <f t="shared" si="12"/>
        <v>730595.2447509768</v>
      </c>
      <c r="S47" s="2">
        <f t="shared" si="13"/>
        <v>657232.53735351563</v>
      </c>
      <c r="T47" s="2">
        <f t="shared" si="14"/>
        <v>1387827.7821044924</v>
      </c>
      <c r="U47" s="2">
        <f t="shared" si="15"/>
        <v>693.91</v>
      </c>
      <c r="V47" s="2">
        <f t="shared" si="16"/>
        <v>-73362.70739746117</v>
      </c>
      <c r="W47" s="2">
        <f t="shared" si="17"/>
        <v>-74056.617397461174</v>
      </c>
      <c r="X47" s="2">
        <f t="shared" si="18"/>
        <v>43102929.412063912</v>
      </c>
      <c r="Y47" s="2">
        <f t="shared" si="19"/>
        <v>146119.04999999999</v>
      </c>
      <c r="Z47" s="2">
        <f t="shared" si="20"/>
        <v>-50.68</v>
      </c>
      <c r="AA47" s="2">
        <f t="shared" si="22"/>
        <v>43176986.029461376</v>
      </c>
      <c r="AB47" s="2">
        <f t="shared" si="21"/>
        <v>-74056.617397464812</v>
      </c>
    </row>
    <row r="48" spans="1:28">
      <c r="A48" s="2">
        <v>45</v>
      </c>
      <c r="B48" s="2" t="s">
        <v>291</v>
      </c>
      <c r="C48" s="2" t="s">
        <v>1219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1301</v>
      </c>
      <c r="J48" s="2" t="s">
        <v>1240</v>
      </c>
      <c r="K48" s="2">
        <f t="shared" si="10"/>
        <v>43102929.412063912</v>
      </c>
      <c r="L48" s="2" t="s">
        <v>957</v>
      </c>
      <c r="M48" s="2" t="s">
        <v>979</v>
      </c>
      <c r="N48" s="2" t="s">
        <v>994</v>
      </c>
      <c r="O48" s="2">
        <v>650</v>
      </c>
      <c r="P48" s="2">
        <v>1569.551391601562</v>
      </c>
      <c r="Q48" s="2">
        <v>1459.47119140625</v>
      </c>
      <c r="R48" s="2">
        <f t="shared" si="12"/>
        <v>1020208.4045410153</v>
      </c>
      <c r="S48" s="2">
        <f t="shared" si="13"/>
        <v>948656.2744140625</v>
      </c>
      <c r="T48" s="2">
        <f t="shared" si="14"/>
        <v>1968864.6789550777</v>
      </c>
      <c r="U48" s="2">
        <f t="shared" si="15"/>
        <v>984.43</v>
      </c>
      <c r="V48" s="2">
        <f t="shared" si="16"/>
        <v>-71552.130126952776</v>
      </c>
      <c r="W48" s="2">
        <f t="shared" si="17"/>
        <v>-72536.560126952769</v>
      </c>
      <c r="X48" s="2">
        <f t="shared" si="18"/>
        <v>43030392.851936959</v>
      </c>
      <c r="Y48" s="2">
        <f t="shared" si="19"/>
        <v>204041.68</v>
      </c>
      <c r="Z48" s="2">
        <f t="shared" si="20"/>
        <v>-35.549999999999997</v>
      </c>
      <c r="AA48" s="2">
        <f t="shared" si="22"/>
        <v>43176986.029461376</v>
      </c>
      <c r="AB48" s="2">
        <f t="shared" si="21"/>
        <v>-146593.17752441764</v>
      </c>
    </row>
    <row r="49" spans="1:28">
      <c r="A49" s="2">
        <v>46</v>
      </c>
      <c r="B49" s="2" t="s">
        <v>295</v>
      </c>
      <c r="C49" s="2" t="s">
        <v>1219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1302</v>
      </c>
      <c r="J49" s="2" t="s">
        <v>1303</v>
      </c>
      <c r="K49" s="2">
        <f t="shared" si="10"/>
        <v>43030392.851936959</v>
      </c>
      <c r="L49" s="2" t="s">
        <v>999</v>
      </c>
      <c r="M49" s="2" t="s">
        <v>289</v>
      </c>
      <c r="N49" s="2" t="s">
        <v>957</v>
      </c>
      <c r="O49" s="2">
        <v>2100</v>
      </c>
      <c r="P49" s="2">
        <v>439.0777587890625</v>
      </c>
      <c r="Q49" s="2">
        <v>392.190673828125</v>
      </c>
      <c r="R49" s="2">
        <f t="shared" si="12"/>
        <v>922063.29345703125</v>
      </c>
      <c r="S49" s="2">
        <f t="shared" si="13"/>
        <v>823600.4150390625</v>
      </c>
      <c r="T49" s="2">
        <f t="shared" si="14"/>
        <v>1745663.7084960937</v>
      </c>
      <c r="U49" s="2">
        <f t="shared" si="15"/>
        <v>872.83</v>
      </c>
      <c r="V49" s="2">
        <f t="shared" si="16"/>
        <v>-98462.87841796875</v>
      </c>
      <c r="W49" s="2">
        <f t="shared" si="17"/>
        <v>-99335.708417968752</v>
      </c>
      <c r="X49" s="2">
        <f t="shared" si="18"/>
        <v>42931057.143518992</v>
      </c>
      <c r="Y49" s="2">
        <f t="shared" si="19"/>
        <v>184412.66</v>
      </c>
      <c r="Z49" s="2">
        <f t="shared" si="20"/>
        <v>-53.87</v>
      </c>
      <c r="AA49" s="2">
        <f t="shared" si="22"/>
        <v>43176986.029461376</v>
      </c>
      <c r="AB49" s="2">
        <f t="shared" si="21"/>
        <v>-245928.8859423846</v>
      </c>
    </row>
    <row r="50" spans="1:28">
      <c r="A50" s="2">
        <v>47</v>
      </c>
      <c r="B50" s="2" t="s">
        <v>299</v>
      </c>
      <c r="C50" s="2" t="s">
        <v>1219</v>
      </c>
      <c r="D50" s="4" t="s">
        <v>61</v>
      </c>
      <c r="E50" s="5" t="s">
        <v>134</v>
      </c>
      <c r="F50" s="2" t="s">
        <v>135</v>
      </c>
      <c r="G50" s="2" t="s">
        <v>143</v>
      </c>
      <c r="H50" s="2" t="s">
        <v>300</v>
      </c>
      <c r="I50" s="2" t="s">
        <v>726</v>
      </c>
      <c r="J50" s="2" t="s">
        <v>1304</v>
      </c>
      <c r="K50" s="2">
        <f t="shared" si="10"/>
        <v>42931057.143518992</v>
      </c>
      <c r="L50" s="2" t="s">
        <v>1292</v>
      </c>
      <c r="M50" s="2" t="s">
        <v>1255</v>
      </c>
      <c r="N50" s="2" t="s">
        <v>1278</v>
      </c>
      <c r="O50" s="2">
        <v>713</v>
      </c>
      <c r="P50" s="2">
        <v>2295.33935546875</v>
      </c>
      <c r="Q50" s="2">
        <v>2505.253662109375</v>
      </c>
      <c r="R50" s="2">
        <f t="shared" si="12"/>
        <v>1636576.9604492188</v>
      </c>
      <c r="S50" s="2">
        <f t="shared" si="13"/>
        <v>1786245.8610839844</v>
      </c>
      <c r="T50" s="2">
        <f t="shared" si="14"/>
        <v>3422822.8215332031</v>
      </c>
      <c r="U50" s="2">
        <f t="shared" si="15"/>
        <v>1711.41</v>
      </c>
      <c r="V50" s="2">
        <f t="shared" si="16"/>
        <v>149668.90063476562</v>
      </c>
      <c r="W50" s="2">
        <f t="shared" si="17"/>
        <v>147957.49063476562</v>
      </c>
      <c r="X50" s="2">
        <f t="shared" si="18"/>
        <v>43079014.634153761</v>
      </c>
      <c r="Y50" s="2">
        <f t="shared" si="19"/>
        <v>327315.39</v>
      </c>
      <c r="Z50" s="2">
        <f t="shared" si="20"/>
        <v>45.2</v>
      </c>
      <c r="AA50" s="2">
        <f t="shared" si="22"/>
        <v>43176986.029461376</v>
      </c>
      <c r="AB50" s="2">
        <f t="shared" si="21"/>
        <v>-97971.395307615399</v>
      </c>
    </row>
    <row r="51" spans="1:28">
      <c r="A51" s="2">
        <v>48</v>
      </c>
      <c r="B51" s="2" t="s">
        <v>303</v>
      </c>
      <c r="C51" s="2" t="s">
        <v>1219</v>
      </c>
      <c r="D51" s="3" t="s">
        <v>37</v>
      </c>
      <c r="E51" s="5" t="s">
        <v>134</v>
      </c>
      <c r="F51" s="2" t="s">
        <v>135</v>
      </c>
      <c r="G51" s="2" t="s">
        <v>127</v>
      </c>
      <c r="H51" s="2" t="s">
        <v>304</v>
      </c>
      <c r="I51" s="2" t="s">
        <v>477</v>
      </c>
      <c r="J51" s="2" t="s">
        <v>1305</v>
      </c>
      <c r="K51" s="2">
        <f t="shared" si="10"/>
        <v>43079014.634153761</v>
      </c>
      <c r="L51" s="2" t="s">
        <v>1084</v>
      </c>
      <c r="M51" s="2" t="s">
        <v>1005</v>
      </c>
      <c r="N51" s="2" t="s">
        <v>1267</v>
      </c>
      <c r="O51" s="2">
        <v>572</v>
      </c>
      <c r="P51" s="2">
        <v>1194.566284179688</v>
      </c>
      <c r="Q51" s="2">
        <v>1241.209106445312</v>
      </c>
      <c r="R51" s="2">
        <f t="shared" si="12"/>
        <v>683291.91455078148</v>
      </c>
      <c r="S51" s="2">
        <f t="shared" si="13"/>
        <v>709971.60888671852</v>
      </c>
      <c r="T51" s="2">
        <f t="shared" si="14"/>
        <v>1393263.5234375</v>
      </c>
      <c r="U51" s="2">
        <f t="shared" si="15"/>
        <v>696.63</v>
      </c>
      <c r="V51" s="2">
        <f t="shared" si="16"/>
        <v>26679.694335937034</v>
      </c>
      <c r="W51" s="2">
        <f t="shared" si="17"/>
        <v>25983.064335937033</v>
      </c>
      <c r="X51" s="2">
        <f t="shared" si="18"/>
        <v>43104997.698489696</v>
      </c>
      <c r="Y51" s="2">
        <f t="shared" si="19"/>
        <v>136658.38</v>
      </c>
      <c r="Z51" s="2">
        <f t="shared" si="20"/>
        <v>19.010000000000002</v>
      </c>
      <c r="AA51" s="2">
        <f t="shared" si="22"/>
        <v>43176986.029461376</v>
      </c>
      <c r="AB51" s="2">
        <f t="shared" si="21"/>
        <v>-71988.330971680582</v>
      </c>
    </row>
    <row r="52" spans="1:28">
      <c r="A52" s="2">
        <v>49</v>
      </c>
      <c r="B52" s="2" t="s">
        <v>307</v>
      </c>
      <c r="C52" s="2" t="s">
        <v>1219</v>
      </c>
      <c r="D52" s="3" t="s">
        <v>37</v>
      </c>
      <c r="E52" s="5" t="s">
        <v>134</v>
      </c>
      <c r="F52" s="2" t="s">
        <v>135</v>
      </c>
      <c r="G52" s="2" t="s">
        <v>103</v>
      </c>
      <c r="H52" s="2" t="s">
        <v>308</v>
      </c>
      <c r="I52" s="2" t="s">
        <v>1177</v>
      </c>
      <c r="J52" s="2" t="s">
        <v>1306</v>
      </c>
      <c r="K52" s="2">
        <f t="shared" si="10"/>
        <v>43104997.698489696</v>
      </c>
      <c r="L52" s="2" t="s">
        <v>1084</v>
      </c>
      <c r="M52" s="2" t="s">
        <v>1292</v>
      </c>
      <c r="N52" s="2" t="s">
        <v>1005</v>
      </c>
      <c r="O52" s="2">
        <v>479</v>
      </c>
      <c r="P52" s="2">
        <v>3011.577880859375</v>
      </c>
      <c r="Q52" s="2">
        <v>3229.81298828125</v>
      </c>
      <c r="R52" s="2">
        <f t="shared" si="12"/>
        <v>1442545.8049316406</v>
      </c>
      <c r="S52" s="2">
        <f t="shared" si="13"/>
        <v>1547080.4213867188</v>
      </c>
      <c r="T52" s="2">
        <f t="shared" si="14"/>
        <v>2989626.2263183594</v>
      </c>
      <c r="U52" s="2">
        <f t="shared" si="15"/>
        <v>1494.81</v>
      </c>
      <c r="V52" s="2">
        <f t="shared" si="16"/>
        <v>104534.61645507812</v>
      </c>
      <c r="W52" s="2">
        <f t="shared" si="17"/>
        <v>103039.80645507813</v>
      </c>
      <c r="X52" s="2">
        <f t="shared" si="18"/>
        <v>43208037.504944772</v>
      </c>
      <c r="Y52" s="2">
        <f t="shared" si="19"/>
        <v>288509.15999999997</v>
      </c>
      <c r="Z52" s="2">
        <f t="shared" si="20"/>
        <v>35.71</v>
      </c>
      <c r="AA52" s="2">
        <f t="shared" si="22"/>
        <v>43208037.504944772</v>
      </c>
      <c r="AB52" s="2">
        <f t="shared" si="21"/>
        <v>0</v>
      </c>
    </row>
    <row r="53" spans="1:28">
      <c r="A53" s="2">
        <v>50</v>
      </c>
      <c r="B53" s="2" t="s">
        <v>311</v>
      </c>
      <c r="C53" s="2" t="s">
        <v>1219</v>
      </c>
      <c r="D53" s="3" t="s">
        <v>37</v>
      </c>
      <c r="E53" s="5" t="s">
        <v>134</v>
      </c>
      <c r="F53" s="2" t="s">
        <v>135</v>
      </c>
      <c r="G53" s="2" t="s">
        <v>77</v>
      </c>
      <c r="H53" s="2" t="s">
        <v>312</v>
      </c>
      <c r="I53" s="2" t="s">
        <v>1307</v>
      </c>
      <c r="J53" s="2" t="s">
        <v>1308</v>
      </c>
      <c r="K53" s="2">
        <f t="shared" si="10"/>
        <v>43208037.504944772</v>
      </c>
      <c r="L53" s="2" t="s">
        <v>1269</v>
      </c>
      <c r="M53" s="2" t="s">
        <v>1255</v>
      </c>
      <c r="N53" s="2" t="s">
        <v>1278</v>
      </c>
      <c r="O53" s="2">
        <v>1904</v>
      </c>
      <c r="P53" s="2">
        <v>953.45104980468761</v>
      </c>
      <c r="Q53" s="2">
        <v>951.12200927734375</v>
      </c>
      <c r="R53" s="2">
        <f t="shared" si="12"/>
        <v>1815370.7988281252</v>
      </c>
      <c r="S53" s="2">
        <f t="shared" si="13"/>
        <v>1810936.3056640625</v>
      </c>
      <c r="T53" s="2">
        <f t="shared" si="14"/>
        <v>3626307.1044921875</v>
      </c>
      <c r="U53" s="2">
        <f t="shared" si="15"/>
        <v>1813.15</v>
      </c>
      <c r="V53" s="2">
        <f t="shared" si="16"/>
        <v>-4434.4931640627328</v>
      </c>
      <c r="W53" s="2">
        <f t="shared" si="17"/>
        <v>-6247.6431640627325</v>
      </c>
      <c r="X53" s="2">
        <f t="shared" si="18"/>
        <v>43201789.861780711</v>
      </c>
      <c r="Y53" s="2">
        <f t="shared" si="19"/>
        <v>363074.16</v>
      </c>
      <c r="Z53" s="2">
        <f t="shared" si="20"/>
        <v>-1.72</v>
      </c>
      <c r="AA53" s="2">
        <f t="shared" si="22"/>
        <v>43208037.504944772</v>
      </c>
      <c r="AB53" s="2">
        <f t="shared" si="21"/>
        <v>-6247.6431640610099</v>
      </c>
    </row>
    <row r="54" spans="1:28">
      <c r="A54" s="2">
        <v>51</v>
      </c>
      <c r="B54" s="2" t="s">
        <v>315</v>
      </c>
      <c r="C54" s="2" t="s">
        <v>1219</v>
      </c>
      <c r="D54" s="4" t="s">
        <v>61</v>
      </c>
      <c r="E54" s="5" t="s">
        <v>134</v>
      </c>
      <c r="F54" s="2" t="s">
        <v>135</v>
      </c>
      <c r="G54" s="2" t="s">
        <v>169</v>
      </c>
      <c r="H54" s="2" t="s">
        <v>316</v>
      </c>
      <c r="I54" s="2" t="s">
        <v>1309</v>
      </c>
      <c r="J54" s="2" t="s">
        <v>1310</v>
      </c>
      <c r="K54" s="2">
        <f t="shared" si="10"/>
        <v>43201789.861780711</v>
      </c>
      <c r="L54" s="2" t="s">
        <v>1004</v>
      </c>
      <c r="M54" s="2" t="s">
        <v>1268</v>
      </c>
      <c r="N54" s="2" t="s">
        <v>1270</v>
      </c>
      <c r="O54" s="2">
        <v>3841</v>
      </c>
      <c r="P54" s="2">
        <v>441.75735473632812</v>
      </c>
      <c r="Q54" s="2">
        <v>437.88876342773437</v>
      </c>
      <c r="R54" s="2">
        <f t="shared" si="12"/>
        <v>1696789.9995422363</v>
      </c>
      <c r="S54" s="2">
        <f t="shared" si="13"/>
        <v>1681930.7403259277</v>
      </c>
      <c r="T54" s="2">
        <f t="shared" si="14"/>
        <v>3378720.7398681641</v>
      </c>
      <c r="U54" s="2">
        <f t="shared" si="15"/>
        <v>1689.36</v>
      </c>
      <c r="V54" s="2">
        <f t="shared" si="16"/>
        <v>-14859.259216308594</v>
      </c>
      <c r="W54" s="2">
        <f t="shared" si="17"/>
        <v>-16548.619216308594</v>
      </c>
      <c r="X54" s="2">
        <f t="shared" si="18"/>
        <v>43185241.242564403</v>
      </c>
      <c r="Y54" s="2">
        <f t="shared" si="19"/>
        <v>339358</v>
      </c>
      <c r="Z54" s="2">
        <f t="shared" si="20"/>
        <v>-4.88</v>
      </c>
      <c r="AA54" s="2">
        <f t="shared" si="22"/>
        <v>43208037.504944772</v>
      </c>
      <c r="AB54" s="2">
        <f t="shared" si="21"/>
        <v>-22796.262380369008</v>
      </c>
    </row>
    <row r="55" spans="1:28">
      <c r="A55" s="2">
        <v>52</v>
      </c>
      <c r="B55" s="2" t="s">
        <v>318</v>
      </c>
      <c r="C55" s="2" t="s">
        <v>1219</v>
      </c>
      <c r="D55" s="4" t="s">
        <v>61</v>
      </c>
      <c r="E55" s="5" t="s">
        <v>134</v>
      </c>
      <c r="F55" s="2" t="s">
        <v>135</v>
      </c>
      <c r="G55" s="2" t="s">
        <v>241</v>
      </c>
      <c r="H55" s="2" t="s">
        <v>319</v>
      </c>
      <c r="I55" s="2" t="s">
        <v>1311</v>
      </c>
      <c r="J55" s="2" t="s">
        <v>671</v>
      </c>
      <c r="K55" s="2">
        <f t="shared" si="10"/>
        <v>43185241.242564403</v>
      </c>
      <c r="L55" s="2" t="s">
        <v>1268</v>
      </c>
      <c r="M55" s="2" t="s">
        <v>1312</v>
      </c>
      <c r="N55" s="2" t="s">
        <v>1283</v>
      </c>
      <c r="O55" s="2">
        <v>185</v>
      </c>
      <c r="P55" s="2">
        <v>3600.616455078125</v>
      </c>
      <c r="Q55" s="2">
        <v>3707.3173828125</v>
      </c>
      <c r="R55" s="2">
        <f t="shared" si="12"/>
        <v>666114.04418945313</v>
      </c>
      <c r="S55" s="2">
        <f t="shared" si="13"/>
        <v>685853.7158203125</v>
      </c>
      <c r="T55" s="2">
        <f t="shared" si="14"/>
        <v>1351967.7600097656</v>
      </c>
      <c r="U55" s="2">
        <f t="shared" si="15"/>
        <v>675.98</v>
      </c>
      <c r="V55" s="2">
        <f t="shared" si="16"/>
        <v>19739.671630859375</v>
      </c>
      <c r="W55" s="2">
        <f t="shared" si="17"/>
        <v>19063.691630859375</v>
      </c>
      <c r="X55" s="2">
        <f t="shared" si="18"/>
        <v>43204304.934195265</v>
      </c>
      <c r="Y55" s="2">
        <f t="shared" si="19"/>
        <v>133222.81</v>
      </c>
      <c r="Z55" s="2">
        <f t="shared" si="20"/>
        <v>14.31</v>
      </c>
      <c r="AA55" s="2">
        <f t="shared" si="22"/>
        <v>43208037.504944772</v>
      </c>
      <c r="AB55" s="2">
        <f t="shared" si="21"/>
        <v>-3732.5707495063543</v>
      </c>
    </row>
    <row r="56" spans="1:28">
      <c r="A56" s="2">
        <v>53</v>
      </c>
      <c r="B56" s="2" t="s">
        <v>322</v>
      </c>
      <c r="C56" s="2" t="s">
        <v>1219</v>
      </c>
      <c r="D56" s="3" t="s">
        <v>37</v>
      </c>
      <c r="E56" s="5" t="s">
        <v>134</v>
      </c>
      <c r="F56" s="2" t="s">
        <v>135</v>
      </c>
      <c r="G56" s="2" t="s">
        <v>143</v>
      </c>
      <c r="H56" s="2" t="s">
        <v>238</v>
      </c>
      <c r="I56" s="2" t="s">
        <v>65</v>
      </c>
      <c r="J56" s="2" t="s">
        <v>1313</v>
      </c>
      <c r="K56" s="2">
        <f t="shared" si="10"/>
        <v>43204304.934195265</v>
      </c>
      <c r="L56" s="2" t="s">
        <v>1004</v>
      </c>
      <c r="M56" s="2" t="s">
        <v>1292</v>
      </c>
      <c r="N56" s="2" t="s">
        <v>1268</v>
      </c>
      <c r="O56" s="2">
        <v>2346</v>
      </c>
      <c r="P56" s="2">
        <v>610.53167724609375</v>
      </c>
      <c r="Q56" s="2">
        <v>607.00115966796875</v>
      </c>
      <c r="R56" s="2">
        <f t="shared" si="12"/>
        <v>1432307.3148193359</v>
      </c>
      <c r="S56" s="2">
        <f t="shared" si="13"/>
        <v>1424024.7205810547</v>
      </c>
      <c r="T56" s="2">
        <f t="shared" si="14"/>
        <v>2856332.0354003906</v>
      </c>
      <c r="U56" s="2">
        <f t="shared" si="15"/>
        <v>1428.17</v>
      </c>
      <c r="V56" s="2">
        <f t="shared" si="16"/>
        <v>-8282.59423828125</v>
      </c>
      <c r="W56" s="2">
        <f t="shared" si="17"/>
        <v>-9710.7642382812501</v>
      </c>
      <c r="X56" s="2">
        <f t="shared" si="18"/>
        <v>43194594.169956982</v>
      </c>
      <c r="Y56" s="2">
        <f t="shared" si="19"/>
        <v>286461.46000000002</v>
      </c>
      <c r="Z56" s="2">
        <f t="shared" si="20"/>
        <v>-3.39</v>
      </c>
      <c r="AA56" s="2">
        <f t="shared" si="22"/>
        <v>43208037.504944772</v>
      </c>
      <c r="AB56" s="2">
        <f t="shared" si="21"/>
        <v>-13443.334987789392</v>
      </c>
    </row>
    <row r="57" spans="1:28">
      <c r="A57" s="2">
        <v>54</v>
      </c>
      <c r="B57" s="2" t="s">
        <v>324</v>
      </c>
      <c r="C57" s="2" t="s">
        <v>1219</v>
      </c>
      <c r="D57" s="4" t="s">
        <v>61</v>
      </c>
      <c r="E57" s="5" t="s">
        <v>134</v>
      </c>
      <c r="F57" s="2" t="s">
        <v>135</v>
      </c>
      <c r="G57" s="2" t="s">
        <v>97</v>
      </c>
      <c r="H57" s="2" t="s">
        <v>325</v>
      </c>
      <c r="I57" s="2" t="s">
        <v>1314</v>
      </c>
      <c r="J57" s="2" t="s">
        <v>1120</v>
      </c>
      <c r="K57" s="2">
        <f t="shared" si="10"/>
        <v>43194594.169956982</v>
      </c>
      <c r="L57" s="2" t="s">
        <v>1270</v>
      </c>
      <c r="M57" s="2" t="s">
        <v>1254</v>
      </c>
      <c r="N57" s="2" t="s">
        <v>1273</v>
      </c>
      <c r="O57" s="2">
        <v>2135</v>
      </c>
      <c r="P57" s="2">
        <v>406.10000610351562</v>
      </c>
      <c r="Q57" s="2">
        <v>404</v>
      </c>
      <c r="R57" s="2">
        <f t="shared" si="12"/>
        <v>867023.51303100586</v>
      </c>
      <c r="S57" s="2">
        <f t="shared" si="13"/>
        <v>862540</v>
      </c>
      <c r="T57" s="2">
        <f t="shared" si="14"/>
        <v>1729563.5130310059</v>
      </c>
      <c r="U57" s="2">
        <f t="shared" si="15"/>
        <v>864.78</v>
      </c>
      <c r="V57" s="2">
        <f t="shared" si="16"/>
        <v>-4483.5130310058594</v>
      </c>
      <c r="W57" s="2">
        <f t="shared" si="17"/>
        <v>-5348.2930310058591</v>
      </c>
      <c r="X57" s="2">
        <f t="shared" si="18"/>
        <v>43189245.876925975</v>
      </c>
      <c r="Y57" s="2">
        <f t="shared" si="19"/>
        <v>173404.7</v>
      </c>
      <c r="Z57" s="2">
        <f t="shared" si="20"/>
        <v>-3.08</v>
      </c>
      <c r="AA57" s="2">
        <f t="shared" si="22"/>
        <v>43208037.504944772</v>
      </c>
      <c r="AB57" s="2">
        <f t="shared" si="21"/>
        <v>-18791.628018796444</v>
      </c>
    </row>
    <row r="58" spans="1:28">
      <c r="A58" s="2">
        <v>55</v>
      </c>
      <c r="B58" s="2" t="s">
        <v>328</v>
      </c>
      <c r="C58" s="2" t="s">
        <v>1219</v>
      </c>
      <c r="D58" s="3" t="s">
        <v>37</v>
      </c>
      <c r="E58" s="5" t="s">
        <v>134</v>
      </c>
      <c r="F58" s="2" t="s">
        <v>135</v>
      </c>
      <c r="G58" s="2" t="s">
        <v>143</v>
      </c>
      <c r="H58" s="2" t="s">
        <v>329</v>
      </c>
      <c r="I58" s="2" t="s">
        <v>883</v>
      </c>
      <c r="J58" s="2" t="s">
        <v>1315</v>
      </c>
      <c r="K58" s="2">
        <f t="shared" si="10"/>
        <v>43189245.876925975</v>
      </c>
      <c r="L58" s="2" t="s">
        <v>1245</v>
      </c>
      <c r="M58" s="2" t="s">
        <v>1254</v>
      </c>
      <c r="N58" s="2" t="s">
        <v>1273</v>
      </c>
      <c r="O58" s="2">
        <v>200</v>
      </c>
      <c r="P58" s="2">
        <v>4720.3291015625</v>
      </c>
      <c r="Q58" s="2">
        <v>4785.33740234375</v>
      </c>
      <c r="R58" s="2">
        <f t="shared" si="12"/>
        <v>944065.8203125</v>
      </c>
      <c r="S58" s="2">
        <f t="shared" si="13"/>
        <v>957067.48046875</v>
      </c>
      <c r="T58" s="2">
        <f t="shared" si="14"/>
        <v>1901133.30078125</v>
      </c>
      <c r="U58" s="2">
        <f t="shared" si="15"/>
        <v>950.57</v>
      </c>
      <c r="V58" s="2">
        <f t="shared" si="16"/>
        <v>13001.66015625</v>
      </c>
      <c r="W58" s="2">
        <f t="shared" si="17"/>
        <v>12051.09015625</v>
      </c>
      <c r="X58" s="2">
        <f t="shared" si="18"/>
        <v>43201296.967082225</v>
      </c>
      <c r="Y58" s="2">
        <f t="shared" si="19"/>
        <v>188813.16</v>
      </c>
      <c r="Z58" s="2">
        <f t="shared" si="20"/>
        <v>6.38</v>
      </c>
      <c r="AA58" s="2">
        <f t="shared" si="22"/>
        <v>43208037.504944772</v>
      </c>
      <c r="AB58" s="2">
        <f t="shared" si="21"/>
        <v>-6740.537862546742</v>
      </c>
    </row>
    <row r="59" spans="1:28">
      <c r="A59" s="2">
        <v>56</v>
      </c>
      <c r="B59" s="2" t="s">
        <v>332</v>
      </c>
      <c r="C59" s="2" t="s">
        <v>1219</v>
      </c>
      <c r="D59" s="4" t="s">
        <v>61</v>
      </c>
      <c r="E59" s="5" t="s">
        <v>134</v>
      </c>
      <c r="F59" s="2" t="s">
        <v>135</v>
      </c>
      <c r="G59" s="2" t="s">
        <v>231</v>
      </c>
      <c r="H59" s="2" t="s">
        <v>333</v>
      </c>
      <c r="I59" s="2" t="s">
        <v>1316</v>
      </c>
      <c r="J59" s="2" t="s">
        <v>1317</v>
      </c>
      <c r="K59" s="2">
        <f t="shared" si="10"/>
        <v>43201296.967082225</v>
      </c>
      <c r="L59" s="2" t="s">
        <v>1318</v>
      </c>
      <c r="M59" s="2" t="s">
        <v>1270</v>
      </c>
      <c r="N59" s="2" t="s">
        <v>1272</v>
      </c>
      <c r="O59" s="2">
        <v>100</v>
      </c>
      <c r="P59" s="2">
        <v>12096.7392578125</v>
      </c>
      <c r="Q59" s="2">
        <v>11258.1630859375</v>
      </c>
      <c r="R59" s="2">
        <f t="shared" si="12"/>
        <v>1209673.92578125</v>
      </c>
      <c r="S59" s="2">
        <f t="shared" si="13"/>
        <v>1125816.30859375</v>
      </c>
      <c r="T59" s="2">
        <f t="shared" si="14"/>
        <v>2335490.234375</v>
      </c>
      <c r="U59" s="2">
        <f t="shared" si="15"/>
        <v>1167.75</v>
      </c>
      <c r="V59" s="2">
        <f t="shared" si="16"/>
        <v>-83857.6171875</v>
      </c>
      <c r="W59" s="2">
        <f t="shared" si="17"/>
        <v>-85025.3671875</v>
      </c>
      <c r="X59" s="2">
        <f t="shared" si="18"/>
        <v>43116271.599894725</v>
      </c>
      <c r="Y59" s="2">
        <f t="shared" si="19"/>
        <v>241934.79</v>
      </c>
      <c r="Z59" s="2">
        <f t="shared" si="20"/>
        <v>-35.14</v>
      </c>
      <c r="AA59" s="2">
        <f t="shared" si="22"/>
        <v>43208037.504944772</v>
      </c>
      <c r="AB59" s="2">
        <f t="shared" si="21"/>
        <v>-91765.905050046742</v>
      </c>
    </row>
    <row r="60" spans="1:28">
      <c r="A60" s="2">
        <v>57</v>
      </c>
      <c r="B60" s="2" t="s">
        <v>337</v>
      </c>
      <c r="C60" s="2" t="s">
        <v>1219</v>
      </c>
      <c r="D60" s="4" t="s">
        <v>61</v>
      </c>
      <c r="E60" s="5" t="s">
        <v>134</v>
      </c>
      <c r="F60" s="2" t="s">
        <v>135</v>
      </c>
      <c r="G60" s="2" t="s">
        <v>77</v>
      </c>
      <c r="H60" s="2" t="s">
        <v>338</v>
      </c>
      <c r="I60" s="2" t="s">
        <v>1319</v>
      </c>
      <c r="J60" s="2" t="s">
        <v>321</v>
      </c>
      <c r="K60" s="2">
        <f t="shared" si="10"/>
        <v>43116271.599894725</v>
      </c>
      <c r="L60" s="2" t="s">
        <v>1084</v>
      </c>
      <c r="M60" s="2" t="s">
        <v>1245</v>
      </c>
      <c r="N60" s="2" t="s">
        <v>1004</v>
      </c>
      <c r="O60" s="2">
        <v>1527</v>
      </c>
      <c r="P60" s="2">
        <v>808.8399658203125</v>
      </c>
      <c r="Q60" s="2">
        <v>810.984619140625</v>
      </c>
      <c r="R60" s="2">
        <f t="shared" si="12"/>
        <v>1235098.6278076172</v>
      </c>
      <c r="S60" s="2">
        <f t="shared" si="13"/>
        <v>1238373.5134277344</v>
      </c>
      <c r="T60" s="2">
        <f t="shared" si="14"/>
        <v>2473472.1412353516</v>
      </c>
      <c r="U60" s="2">
        <f t="shared" si="15"/>
        <v>1236.74</v>
      </c>
      <c r="V60" s="2">
        <f t="shared" si="16"/>
        <v>3274.8856201171875</v>
      </c>
      <c r="W60" s="2">
        <f t="shared" si="17"/>
        <v>2038.1456201171875</v>
      </c>
      <c r="X60" s="2">
        <f t="shared" si="18"/>
        <v>43118309.74551484</v>
      </c>
      <c r="Y60" s="2">
        <f t="shared" si="19"/>
        <v>247019.73</v>
      </c>
      <c r="Z60" s="2">
        <f t="shared" si="20"/>
        <v>0.83</v>
      </c>
      <c r="AA60" s="2">
        <f t="shared" si="22"/>
        <v>43208037.504944772</v>
      </c>
      <c r="AB60" s="2">
        <f t="shared" si="21"/>
        <v>-89727.759429931641</v>
      </c>
    </row>
    <row r="61" spans="1:28">
      <c r="A61" s="2">
        <v>58</v>
      </c>
      <c r="B61" s="2" t="s">
        <v>341</v>
      </c>
      <c r="C61" s="2" t="s">
        <v>1219</v>
      </c>
      <c r="D61" s="4" t="s">
        <v>61</v>
      </c>
      <c r="E61" s="5" t="s">
        <v>134</v>
      </c>
      <c r="F61" s="2" t="s">
        <v>135</v>
      </c>
      <c r="G61" s="2" t="s">
        <v>97</v>
      </c>
      <c r="H61" s="2" t="s">
        <v>99</v>
      </c>
      <c r="I61" s="2" t="s">
        <v>49</v>
      </c>
      <c r="J61" s="2" t="s">
        <v>1320</v>
      </c>
      <c r="K61" s="2">
        <f t="shared" si="10"/>
        <v>43118309.74551484</v>
      </c>
      <c r="L61" s="2" t="s">
        <v>1321</v>
      </c>
      <c r="M61" s="2" t="s">
        <v>1085</v>
      </c>
      <c r="N61" s="2" t="s">
        <v>1322</v>
      </c>
      <c r="O61" s="2">
        <v>258</v>
      </c>
      <c r="P61" s="2">
        <v>4988.85009765625</v>
      </c>
      <c r="Q61" s="2">
        <v>4834.4501953125</v>
      </c>
      <c r="R61" s="2">
        <f t="shared" si="12"/>
        <v>1287123.3251953125</v>
      </c>
      <c r="S61" s="2">
        <f t="shared" si="13"/>
        <v>1247288.150390625</v>
      </c>
      <c r="T61" s="2">
        <f t="shared" si="14"/>
        <v>2534411.4755859375</v>
      </c>
      <c r="U61" s="2">
        <f t="shared" si="15"/>
        <v>1267.21</v>
      </c>
      <c r="V61" s="2">
        <f t="shared" si="16"/>
        <v>-39835.1748046875</v>
      </c>
      <c r="W61" s="2">
        <f t="shared" si="17"/>
        <v>-41102.384804687499</v>
      </c>
      <c r="X61" s="2">
        <f t="shared" si="18"/>
        <v>43077207.360710151</v>
      </c>
      <c r="Y61" s="2">
        <f t="shared" si="19"/>
        <v>257424.67</v>
      </c>
      <c r="Z61" s="2">
        <f t="shared" si="20"/>
        <v>-15.97</v>
      </c>
      <c r="AA61" s="2">
        <f t="shared" si="22"/>
        <v>43208037.504944772</v>
      </c>
      <c r="AB61" s="2">
        <f t="shared" si="21"/>
        <v>-130830.14423462003</v>
      </c>
    </row>
    <row r="62" spans="1:28">
      <c r="A62" s="2">
        <v>59</v>
      </c>
      <c r="B62" s="2" t="s">
        <v>347</v>
      </c>
      <c r="C62" s="2" t="s">
        <v>1219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1323</v>
      </c>
      <c r="J62" s="2" t="s">
        <v>1324</v>
      </c>
      <c r="K62" s="2">
        <f t="shared" si="10"/>
        <v>43077207.360710151</v>
      </c>
      <c r="L62" s="2" t="s">
        <v>289</v>
      </c>
      <c r="M62" s="2" t="s">
        <v>946</v>
      </c>
      <c r="N62" s="2" t="s">
        <v>979</v>
      </c>
      <c r="O62" s="2">
        <v>125</v>
      </c>
      <c r="P62" s="2">
        <v>1271.175415039062</v>
      </c>
      <c r="Q62" s="2">
        <v>1295.022094726562</v>
      </c>
      <c r="R62" s="2">
        <f t="shared" si="12"/>
        <v>158896.92687988275</v>
      </c>
      <c r="S62" s="2">
        <f t="shared" si="13"/>
        <v>161877.76184082025</v>
      </c>
      <c r="T62" s="2">
        <f t="shared" si="14"/>
        <v>320774.68872070301</v>
      </c>
      <c r="U62" s="2">
        <f t="shared" si="15"/>
        <v>160.38999999999999</v>
      </c>
      <c r="V62" s="2">
        <f t="shared" si="16"/>
        <v>2980.8349609375</v>
      </c>
      <c r="W62" s="2">
        <f t="shared" si="17"/>
        <v>2820.4449609375001</v>
      </c>
      <c r="X62" s="2">
        <f t="shared" si="18"/>
        <v>43080027.805671088</v>
      </c>
      <c r="Y62" s="2">
        <f t="shared" si="19"/>
        <v>31779.39</v>
      </c>
      <c r="Z62" s="2">
        <f t="shared" si="20"/>
        <v>8.8800000000000008</v>
      </c>
      <c r="AA62" s="2">
        <f t="shared" si="22"/>
        <v>43208037.504944772</v>
      </c>
      <c r="AB62" s="2">
        <f t="shared" si="21"/>
        <v>-128009.69927368313</v>
      </c>
    </row>
    <row r="63" spans="1:28">
      <c r="A63" s="2">
        <v>60</v>
      </c>
      <c r="B63" s="2" t="s">
        <v>351</v>
      </c>
      <c r="C63" s="2" t="s">
        <v>1219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1325</v>
      </c>
      <c r="J63" s="2" t="s">
        <v>1326</v>
      </c>
      <c r="K63" s="2">
        <f t="shared" si="10"/>
        <v>43080027.805671088</v>
      </c>
      <c r="L63" s="2" t="s">
        <v>959</v>
      </c>
      <c r="M63" s="2" t="s">
        <v>974</v>
      </c>
      <c r="N63" s="2" t="s">
        <v>951</v>
      </c>
      <c r="O63" s="2">
        <v>175</v>
      </c>
      <c r="P63" s="2">
        <v>4769.99951171875</v>
      </c>
      <c r="Q63" s="2">
        <v>4813.23876953125</v>
      </c>
      <c r="R63" s="2">
        <f t="shared" si="12"/>
        <v>834749.91455078125</v>
      </c>
      <c r="S63" s="2">
        <f t="shared" si="13"/>
        <v>842316.78466796875</v>
      </c>
      <c r="T63" s="2">
        <f t="shared" si="14"/>
        <v>1677066.69921875</v>
      </c>
      <c r="U63" s="2">
        <f t="shared" si="15"/>
        <v>838.53</v>
      </c>
      <c r="V63" s="2">
        <f t="shared" si="16"/>
        <v>7566.8701171875</v>
      </c>
      <c r="W63" s="2">
        <f t="shared" si="17"/>
        <v>6728.3401171875003</v>
      </c>
      <c r="X63" s="2">
        <f t="shared" si="18"/>
        <v>43086756.145788275</v>
      </c>
      <c r="Y63" s="2">
        <f t="shared" si="19"/>
        <v>166949.98000000001</v>
      </c>
      <c r="Z63" s="2">
        <f t="shared" si="20"/>
        <v>4.03</v>
      </c>
      <c r="AA63" s="2">
        <f t="shared" si="22"/>
        <v>43208037.504944772</v>
      </c>
      <c r="AB63" s="2">
        <f t="shared" si="21"/>
        <v>-121281.35915649682</v>
      </c>
    </row>
    <row r="64" spans="1:28">
      <c r="A64" s="2">
        <v>61</v>
      </c>
      <c r="B64" s="2" t="s">
        <v>355</v>
      </c>
      <c r="C64" s="2" t="s">
        <v>1219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1327</v>
      </c>
      <c r="J64" s="2" t="s">
        <v>1328</v>
      </c>
      <c r="K64" s="2">
        <f t="shared" si="10"/>
        <v>43086756.145788275</v>
      </c>
      <c r="L64" s="2" t="s">
        <v>1272</v>
      </c>
      <c r="M64" s="2" t="s">
        <v>1283</v>
      </c>
      <c r="N64" s="2" t="s">
        <v>1268</v>
      </c>
      <c r="O64" s="2">
        <v>3399</v>
      </c>
      <c r="P64" s="2">
        <v>227.1300048828125</v>
      </c>
      <c r="Q64" s="2">
        <v>265.67001342773437</v>
      </c>
      <c r="R64" s="2">
        <f t="shared" si="12"/>
        <v>772014.88659667969</v>
      </c>
      <c r="S64" s="2">
        <f t="shared" si="13"/>
        <v>903012.37564086914</v>
      </c>
      <c r="T64" s="2">
        <f t="shared" si="14"/>
        <v>1675027.2622375488</v>
      </c>
      <c r="U64" s="2">
        <f t="shared" si="15"/>
        <v>837.51</v>
      </c>
      <c r="V64" s="2">
        <f t="shared" si="16"/>
        <v>130997.48904418945</v>
      </c>
      <c r="W64" s="2">
        <f t="shared" si="17"/>
        <v>130159.97904418946</v>
      </c>
      <c r="X64" s="2">
        <f t="shared" si="18"/>
        <v>43216916.124832466</v>
      </c>
      <c r="Y64" s="2">
        <f t="shared" si="19"/>
        <v>154402.98000000001</v>
      </c>
      <c r="Z64" s="2">
        <f t="shared" si="20"/>
        <v>84.3</v>
      </c>
      <c r="AA64" s="2">
        <f t="shared" si="22"/>
        <v>43216916.124832466</v>
      </c>
      <c r="AB64" s="2">
        <f t="shared" si="21"/>
        <v>0</v>
      </c>
    </row>
    <row r="65" spans="1:28">
      <c r="A65" s="2">
        <v>62</v>
      </c>
      <c r="B65" s="2" t="s">
        <v>360</v>
      </c>
      <c r="C65" s="2" t="s">
        <v>1219</v>
      </c>
      <c r="D65" s="3" t="s">
        <v>37</v>
      </c>
      <c r="E65" s="5" t="s">
        <v>134</v>
      </c>
      <c r="F65" s="2" t="s">
        <v>135</v>
      </c>
      <c r="G65" s="2" t="s">
        <v>77</v>
      </c>
      <c r="H65" s="2" t="s">
        <v>361</v>
      </c>
      <c r="I65" s="2" t="s">
        <v>1329</v>
      </c>
      <c r="J65" s="2" t="s">
        <v>115</v>
      </c>
      <c r="K65" s="2">
        <f t="shared" si="10"/>
        <v>43216916.124832466</v>
      </c>
      <c r="L65" s="2" t="s">
        <v>1318</v>
      </c>
      <c r="M65" s="2" t="s">
        <v>1004</v>
      </c>
      <c r="N65" s="2" t="s">
        <v>1244</v>
      </c>
      <c r="O65" s="2">
        <v>2823</v>
      </c>
      <c r="P65" s="2">
        <v>189.19462585449219</v>
      </c>
      <c r="Q65" s="2">
        <v>202.2377624511719</v>
      </c>
      <c r="R65" s="2">
        <f t="shared" si="12"/>
        <v>534096.42878723145</v>
      </c>
      <c r="S65" s="2">
        <f t="shared" si="13"/>
        <v>570917.20339965832</v>
      </c>
      <c r="T65" s="2">
        <f t="shared" si="14"/>
        <v>1105013.6321868896</v>
      </c>
      <c r="U65" s="2">
        <f t="shared" si="15"/>
        <v>552.51</v>
      </c>
      <c r="V65" s="2">
        <f t="shared" si="16"/>
        <v>36820.774612426874</v>
      </c>
      <c r="W65" s="2">
        <f t="shared" si="17"/>
        <v>36268.264612426872</v>
      </c>
      <c r="X65" s="2">
        <f t="shared" si="18"/>
        <v>43253184.389444895</v>
      </c>
      <c r="Y65" s="2">
        <f t="shared" si="19"/>
        <v>106819.29</v>
      </c>
      <c r="Z65" s="2">
        <f t="shared" si="20"/>
        <v>33.950000000000003</v>
      </c>
      <c r="AA65" s="2">
        <f t="shared" si="22"/>
        <v>43253184.389444895</v>
      </c>
      <c r="AB65" s="2">
        <f t="shared" si="21"/>
        <v>0</v>
      </c>
    </row>
    <row r="66" spans="1:28">
      <c r="A66" s="2">
        <v>63</v>
      </c>
      <c r="B66" s="2" t="s">
        <v>364</v>
      </c>
      <c r="C66" s="2" t="s">
        <v>1219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366</v>
      </c>
      <c r="J66" s="2" t="s">
        <v>367</v>
      </c>
      <c r="K66" s="2">
        <f t="shared" si="10"/>
        <v>43253184.389444895</v>
      </c>
      <c r="L66" s="2" t="s">
        <v>67</v>
      </c>
      <c r="M66" s="2" t="s">
        <v>44</v>
      </c>
      <c r="N66" s="2" t="s">
        <v>368</v>
      </c>
      <c r="O66" s="2">
        <v>100</v>
      </c>
      <c r="P66" s="2">
        <v>17197</v>
      </c>
      <c r="Q66" s="2">
        <v>17618</v>
      </c>
      <c r="R66" s="2">
        <f t="shared" si="12"/>
        <v>1719700</v>
      </c>
      <c r="S66" s="2">
        <f t="shared" si="13"/>
        <v>1761800</v>
      </c>
      <c r="T66" s="2">
        <f t="shared" si="14"/>
        <v>3481500</v>
      </c>
      <c r="U66" s="2">
        <f t="shared" si="15"/>
        <v>1740.75</v>
      </c>
      <c r="V66" s="2">
        <f t="shared" si="16"/>
        <v>42100</v>
      </c>
      <c r="W66" s="2">
        <f t="shared" si="17"/>
        <v>40359.25</v>
      </c>
      <c r="X66" s="2">
        <f t="shared" si="18"/>
        <v>43293543.639444895</v>
      </c>
      <c r="Y66" s="2">
        <f t="shared" si="19"/>
        <v>343940</v>
      </c>
      <c r="Z66" s="2">
        <f t="shared" si="20"/>
        <v>11.73</v>
      </c>
      <c r="AA66" s="2">
        <f t="shared" si="22"/>
        <v>43293543.639444895</v>
      </c>
      <c r="AB66" s="2">
        <f t="shared" si="21"/>
        <v>0</v>
      </c>
    </row>
    <row r="67" spans="1:28">
      <c r="A67" s="2">
        <v>64</v>
      </c>
      <c r="B67" s="2" t="s">
        <v>369</v>
      </c>
      <c r="C67" s="2" t="s">
        <v>1219</v>
      </c>
      <c r="D67" s="3" t="s">
        <v>37</v>
      </c>
      <c r="E67" s="5" t="s">
        <v>134</v>
      </c>
      <c r="F67" s="2" t="s">
        <v>135</v>
      </c>
      <c r="G67" s="2" t="s">
        <v>103</v>
      </c>
      <c r="H67" s="2" t="s">
        <v>370</v>
      </c>
      <c r="I67" s="2" t="s">
        <v>1330</v>
      </c>
      <c r="J67" s="2" t="s">
        <v>1331</v>
      </c>
      <c r="K67" s="2">
        <f t="shared" si="10"/>
        <v>43293543.639444895</v>
      </c>
      <c r="L67" s="2" t="s">
        <v>1272</v>
      </c>
      <c r="M67" s="2" t="s">
        <v>1255</v>
      </c>
      <c r="N67" s="2" t="s">
        <v>1269</v>
      </c>
      <c r="O67" s="2">
        <v>1053</v>
      </c>
      <c r="P67" s="2">
        <v>501.07522583007812</v>
      </c>
      <c r="Q67" s="2">
        <v>498.33139038085937</v>
      </c>
      <c r="R67" s="2">
        <f t="shared" si="12"/>
        <v>527632.21279907227</v>
      </c>
      <c r="S67" s="2">
        <f t="shared" si="13"/>
        <v>524742.95407104492</v>
      </c>
      <c r="T67" s="2">
        <f t="shared" si="14"/>
        <v>1052375.1668701172</v>
      </c>
      <c r="U67" s="2">
        <f t="shared" si="15"/>
        <v>526.19000000000005</v>
      </c>
      <c r="V67" s="2">
        <f t="shared" si="16"/>
        <v>-2889.2587280273437</v>
      </c>
      <c r="W67" s="2">
        <f t="shared" si="17"/>
        <v>-3415.4487280273438</v>
      </c>
      <c r="X67" s="2">
        <f t="shared" si="18"/>
        <v>43290128.19071687</v>
      </c>
      <c r="Y67" s="2">
        <f t="shared" si="19"/>
        <v>105526.44</v>
      </c>
      <c r="Z67" s="2">
        <f t="shared" si="20"/>
        <v>-3.24</v>
      </c>
      <c r="AA67" s="2">
        <f t="shared" si="22"/>
        <v>43293543.639444895</v>
      </c>
      <c r="AB67" s="2">
        <f t="shared" si="21"/>
        <v>-3415.4487280249596</v>
      </c>
    </row>
    <row r="68" spans="1:28">
      <c r="A68" s="2">
        <v>65</v>
      </c>
      <c r="B68" s="2" t="s">
        <v>372</v>
      </c>
      <c r="C68" s="2" t="s">
        <v>1219</v>
      </c>
      <c r="D68" s="3" t="s">
        <v>37</v>
      </c>
      <c r="E68" s="5" t="s">
        <v>134</v>
      </c>
      <c r="F68" s="2" t="s">
        <v>135</v>
      </c>
      <c r="G68" s="2" t="s">
        <v>177</v>
      </c>
      <c r="H68" s="2" t="s">
        <v>373</v>
      </c>
      <c r="I68" s="2" t="s">
        <v>104</v>
      </c>
      <c r="J68" s="2" t="s">
        <v>1332</v>
      </c>
      <c r="K68" s="2">
        <f t="shared" si="10"/>
        <v>43290128.19071687</v>
      </c>
      <c r="L68" s="2" t="s">
        <v>959</v>
      </c>
      <c r="M68" s="2" t="s">
        <v>989</v>
      </c>
      <c r="N68" s="2" t="s">
        <v>973</v>
      </c>
      <c r="O68" s="2">
        <v>5759</v>
      </c>
      <c r="P68" s="2">
        <v>182.27662658691409</v>
      </c>
      <c r="Q68" s="2">
        <v>180.38130187988281</v>
      </c>
      <c r="R68" s="2">
        <f t="shared" ref="R68:R86" si="23">O68*P68</f>
        <v>1049731.0925140383</v>
      </c>
      <c r="S68" s="2">
        <f t="shared" ref="S68:S86" si="24">O68*Q68</f>
        <v>1038815.9175262451</v>
      </c>
      <c r="T68" s="2">
        <f t="shared" ref="T68:T99" si="25">R68+S68</f>
        <v>2088547.0100402834</v>
      </c>
      <c r="U68" s="2">
        <f t="shared" ref="U68:U99" si="26">ROUND(T68*0.0005, 2)</f>
        <v>1044.27</v>
      </c>
      <c r="V68" s="2">
        <f t="shared" ref="V68:V86" si="27">S68-R68</f>
        <v>-10915.174987793202</v>
      </c>
      <c r="W68" s="2">
        <f t="shared" ref="W68:W99" si="28">V68-U68</f>
        <v>-11959.444987793202</v>
      </c>
      <c r="X68" s="2">
        <f t="shared" ref="X68:X99" si="29">K68+W68</f>
        <v>43278168.745729074</v>
      </c>
      <c r="Y68" s="2">
        <f t="shared" ref="Y68:Y86" si="30">ROUND(0.2*R68, 2)</f>
        <v>209946.22</v>
      </c>
      <c r="Z68" s="2">
        <f t="shared" ref="Z68:Z99" si="31">ROUND((W68/Y68)*100, 2)</f>
        <v>-5.7</v>
      </c>
      <c r="AA68" s="2">
        <f t="shared" si="22"/>
        <v>43293543.639444895</v>
      </c>
      <c r="AB68" s="2">
        <f t="shared" ref="AB68:AB99" si="32">X68-AA68</f>
        <v>-15374.893715821207</v>
      </c>
    </row>
    <row r="69" spans="1:28">
      <c r="A69" s="2">
        <v>66</v>
      </c>
      <c r="B69" s="2" t="s">
        <v>376</v>
      </c>
      <c r="C69" s="2" t="s">
        <v>1219</v>
      </c>
      <c r="D69" s="3" t="s">
        <v>37</v>
      </c>
      <c r="E69" s="5" t="s">
        <v>134</v>
      </c>
      <c r="F69" s="2" t="s">
        <v>135</v>
      </c>
      <c r="G69" s="2" t="s">
        <v>177</v>
      </c>
      <c r="H69" s="2" t="s">
        <v>377</v>
      </c>
      <c r="I69" s="2" t="s">
        <v>1333</v>
      </c>
      <c r="J69" s="2" t="s">
        <v>841</v>
      </c>
      <c r="K69" s="2">
        <f t="shared" ref="K69:K132" si="33">X68</f>
        <v>43278168.745729074</v>
      </c>
      <c r="L69" s="2" t="s">
        <v>1255</v>
      </c>
      <c r="M69" s="2" t="s">
        <v>1334</v>
      </c>
      <c r="N69" s="2" t="s">
        <v>1250</v>
      </c>
      <c r="O69" s="2">
        <v>456</v>
      </c>
      <c r="P69" s="2">
        <v>1496.679931640625</v>
      </c>
      <c r="Q69" s="2">
        <v>1674.239379882812</v>
      </c>
      <c r="R69" s="2">
        <f t="shared" si="23"/>
        <v>682486.048828125</v>
      </c>
      <c r="S69" s="2">
        <f t="shared" si="24"/>
        <v>763453.15722656227</v>
      </c>
      <c r="T69" s="2">
        <f t="shared" si="25"/>
        <v>1445939.2060546873</v>
      </c>
      <c r="U69" s="2">
        <f t="shared" si="26"/>
        <v>722.97</v>
      </c>
      <c r="V69" s="2">
        <f t="shared" si="27"/>
        <v>80967.108398437267</v>
      </c>
      <c r="W69" s="2">
        <f t="shared" si="28"/>
        <v>80244.138398437266</v>
      </c>
      <c r="X69" s="2">
        <f t="shared" si="29"/>
        <v>43358412.884127513</v>
      </c>
      <c r="Y69" s="2">
        <f t="shared" si="30"/>
        <v>136497.21</v>
      </c>
      <c r="Z69" s="2">
        <f t="shared" si="31"/>
        <v>58.79</v>
      </c>
      <c r="AA69" s="2">
        <f t="shared" ref="AA69:AA86" si="34">MAX(AA68, X69)</f>
        <v>43358412.884127513</v>
      </c>
      <c r="AB69" s="2">
        <f t="shared" si="32"/>
        <v>0</v>
      </c>
    </row>
    <row r="70" spans="1:28">
      <c r="A70" s="2">
        <v>67</v>
      </c>
      <c r="B70" s="2" t="s">
        <v>381</v>
      </c>
      <c r="C70" s="2" t="s">
        <v>1219</v>
      </c>
      <c r="D70" s="4" t="s">
        <v>61</v>
      </c>
      <c r="E70" s="5" t="s">
        <v>134</v>
      </c>
      <c r="F70" s="2" t="s">
        <v>135</v>
      </c>
      <c r="G70" s="2" t="s">
        <v>177</v>
      </c>
      <c r="H70" s="2" t="s">
        <v>382</v>
      </c>
      <c r="I70" s="2" t="s">
        <v>86</v>
      </c>
      <c r="J70" s="2" t="s">
        <v>684</v>
      </c>
      <c r="K70" s="2">
        <f t="shared" si="33"/>
        <v>43358412.884127513</v>
      </c>
      <c r="L70" s="2" t="s">
        <v>1255</v>
      </c>
      <c r="M70" s="2" t="s">
        <v>1334</v>
      </c>
      <c r="N70" s="2" t="s">
        <v>1250</v>
      </c>
      <c r="O70" s="2">
        <v>9623</v>
      </c>
      <c r="P70" s="2">
        <v>94.919998168945327</v>
      </c>
      <c r="Q70" s="2">
        <v>98.019996643066406</v>
      </c>
      <c r="R70" s="2">
        <f t="shared" si="23"/>
        <v>913415.14237976086</v>
      </c>
      <c r="S70" s="2">
        <f t="shared" si="24"/>
        <v>943246.42769622803</v>
      </c>
      <c r="T70" s="2">
        <f t="shared" si="25"/>
        <v>1856661.5700759888</v>
      </c>
      <c r="U70" s="2">
        <f t="shared" si="26"/>
        <v>928.33</v>
      </c>
      <c r="V70" s="2">
        <f t="shared" si="27"/>
        <v>29831.285316467169</v>
      </c>
      <c r="W70" s="2">
        <f t="shared" si="28"/>
        <v>28902.955316467167</v>
      </c>
      <c r="X70" s="2">
        <f t="shared" si="29"/>
        <v>43387315.839443982</v>
      </c>
      <c r="Y70" s="2">
        <f t="shared" si="30"/>
        <v>182683.03</v>
      </c>
      <c r="Z70" s="2">
        <f t="shared" si="31"/>
        <v>15.82</v>
      </c>
      <c r="AA70" s="2">
        <f t="shared" si="34"/>
        <v>43387315.839443982</v>
      </c>
      <c r="AB70" s="2">
        <f t="shared" si="32"/>
        <v>0</v>
      </c>
    </row>
    <row r="71" spans="1:28">
      <c r="A71" s="2">
        <v>68</v>
      </c>
      <c r="B71" s="2" t="s">
        <v>385</v>
      </c>
      <c r="C71" s="2" t="s">
        <v>1219</v>
      </c>
      <c r="D71" s="3" t="s">
        <v>37</v>
      </c>
      <c r="E71" s="5" t="s">
        <v>134</v>
      </c>
      <c r="F71" s="2" t="s">
        <v>135</v>
      </c>
      <c r="G71" s="2" t="s">
        <v>54</v>
      </c>
      <c r="H71" s="2" t="s">
        <v>386</v>
      </c>
      <c r="I71" s="2" t="s">
        <v>872</v>
      </c>
      <c r="J71" s="2" t="s">
        <v>1335</v>
      </c>
      <c r="K71" s="2">
        <f t="shared" si="33"/>
        <v>43387315.839443982</v>
      </c>
      <c r="L71" s="2" t="s">
        <v>1292</v>
      </c>
      <c r="M71" s="2" t="s">
        <v>1312</v>
      </c>
      <c r="N71" s="2" t="s">
        <v>1283</v>
      </c>
      <c r="O71" s="2">
        <v>469</v>
      </c>
      <c r="P71" s="2">
        <v>1357.243408203125</v>
      </c>
      <c r="Q71" s="2">
        <v>1424.794921875</v>
      </c>
      <c r="R71" s="2">
        <f t="shared" si="23"/>
        <v>636547.15844726562</v>
      </c>
      <c r="S71" s="2">
        <f t="shared" si="24"/>
        <v>668228.818359375</v>
      </c>
      <c r="T71" s="2">
        <f t="shared" si="25"/>
        <v>1304775.9768066406</v>
      </c>
      <c r="U71" s="2">
        <f t="shared" si="26"/>
        <v>652.39</v>
      </c>
      <c r="V71" s="2">
        <f t="shared" si="27"/>
        <v>31681.659912109375</v>
      </c>
      <c r="W71" s="2">
        <f t="shared" si="28"/>
        <v>31029.269912109376</v>
      </c>
      <c r="X71" s="2">
        <f t="shared" si="29"/>
        <v>43418345.10935609</v>
      </c>
      <c r="Y71" s="2">
        <f t="shared" si="30"/>
        <v>127309.43</v>
      </c>
      <c r="Z71" s="2">
        <f t="shared" si="31"/>
        <v>24.37</v>
      </c>
      <c r="AA71" s="2">
        <f t="shared" si="34"/>
        <v>43418345.10935609</v>
      </c>
      <c r="AB71" s="2">
        <f t="shared" si="32"/>
        <v>0</v>
      </c>
    </row>
    <row r="72" spans="1:28">
      <c r="A72" s="2">
        <v>69</v>
      </c>
      <c r="B72" s="2" t="s">
        <v>390</v>
      </c>
      <c r="C72" s="2" t="s">
        <v>1219</v>
      </c>
      <c r="D72" s="3" t="s">
        <v>37</v>
      </c>
      <c r="E72" s="5" t="s">
        <v>134</v>
      </c>
      <c r="F72" s="2" t="s">
        <v>135</v>
      </c>
      <c r="G72" s="2" t="s">
        <v>143</v>
      </c>
      <c r="H72" s="2" t="s">
        <v>243</v>
      </c>
      <c r="I72" s="2" t="s">
        <v>668</v>
      </c>
      <c r="J72" s="2" t="s">
        <v>104</v>
      </c>
      <c r="K72" s="2">
        <f t="shared" si="33"/>
        <v>43418345.10935609</v>
      </c>
      <c r="L72" s="2" t="s">
        <v>1270</v>
      </c>
      <c r="M72" s="2" t="s">
        <v>1251</v>
      </c>
      <c r="N72" s="2" t="s">
        <v>1283</v>
      </c>
      <c r="O72" s="2">
        <v>932</v>
      </c>
      <c r="P72" s="2">
        <v>1393.370483398438</v>
      </c>
      <c r="Q72" s="2">
        <v>1415.759399414062</v>
      </c>
      <c r="R72" s="2">
        <f t="shared" si="23"/>
        <v>1298621.2905273442</v>
      </c>
      <c r="S72" s="2">
        <f t="shared" si="24"/>
        <v>1319487.7602539058</v>
      </c>
      <c r="T72" s="2">
        <f t="shared" si="25"/>
        <v>2618109.05078125</v>
      </c>
      <c r="U72" s="2">
        <f t="shared" si="26"/>
        <v>1309.05</v>
      </c>
      <c r="V72" s="2">
        <f t="shared" si="27"/>
        <v>20866.469726561569</v>
      </c>
      <c r="W72" s="2">
        <f t="shared" si="28"/>
        <v>19557.419726561569</v>
      </c>
      <c r="X72" s="2">
        <f t="shared" si="29"/>
        <v>43437902.529082648</v>
      </c>
      <c r="Y72" s="2">
        <f t="shared" si="30"/>
        <v>259724.26</v>
      </c>
      <c r="Z72" s="2">
        <f t="shared" si="31"/>
        <v>7.53</v>
      </c>
      <c r="AA72" s="2">
        <f t="shared" si="34"/>
        <v>43437902.529082648</v>
      </c>
      <c r="AB72" s="2">
        <f t="shared" si="32"/>
        <v>0</v>
      </c>
    </row>
    <row r="73" spans="1:28">
      <c r="A73" s="2">
        <v>70</v>
      </c>
      <c r="B73" s="2" t="s">
        <v>393</v>
      </c>
      <c r="C73" s="2" t="s">
        <v>1219</v>
      </c>
      <c r="D73" s="4" t="s">
        <v>61</v>
      </c>
      <c r="E73" s="5" t="s">
        <v>134</v>
      </c>
      <c r="F73" s="2" t="s">
        <v>135</v>
      </c>
      <c r="G73" s="2" t="s">
        <v>231</v>
      </c>
      <c r="H73" s="2" t="s">
        <v>394</v>
      </c>
      <c r="I73" s="2" t="s">
        <v>683</v>
      </c>
      <c r="J73" s="2" t="s">
        <v>1336</v>
      </c>
      <c r="K73" s="2">
        <f t="shared" si="33"/>
        <v>43437902.529082648</v>
      </c>
      <c r="L73" s="2" t="s">
        <v>1084</v>
      </c>
      <c r="M73" s="2" t="s">
        <v>1268</v>
      </c>
      <c r="N73" s="2" t="s">
        <v>1270</v>
      </c>
      <c r="O73" s="2">
        <v>473</v>
      </c>
      <c r="P73" s="2">
        <v>3112.15673828125</v>
      </c>
      <c r="Q73" s="2">
        <v>3226.504150390625</v>
      </c>
      <c r="R73" s="2">
        <f t="shared" si="23"/>
        <v>1472050.1372070313</v>
      </c>
      <c r="S73" s="2">
        <f t="shared" si="24"/>
        <v>1526136.4631347656</v>
      </c>
      <c r="T73" s="2">
        <f t="shared" si="25"/>
        <v>2998186.6003417969</v>
      </c>
      <c r="U73" s="2">
        <f t="shared" si="26"/>
        <v>1499.09</v>
      </c>
      <c r="V73" s="2">
        <f t="shared" si="27"/>
        <v>54086.325927734375</v>
      </c>
      <c r="W73" s="2">
        <f t="shared" si="28"/>
        <v>52587.235927734378</v>
      </c>
      <c r="X73" s="2">
        <f t="shared" si="29"/>
        <v>43490489.765010379</v>
      </c>
      <c r="Y73" s="2">
        <f t="shared" si="30"/>
        <v>294410.03000000003</v>
      </c>
      <c r="Z73" s="2">
        <f t="shared" si="31"/>
        <v>17.86</v>
      </c>
      <c r="AA73" s="2">
        <f t="shared" si="34"/>
        <v>43490489.765010379</v>
      </c>
      <c r="AB73" s="2">
        <f t="shared" si="32"/>
        <v>0</v>
      </c>
    </row>
    <row r="74" spans="1:28">
      <c r="A74" s="2">
        <v>71</v>
      </c>
      <c r="B74" s="2" t="s">
        <v>397</v>
      </c>
      <c r="C74" s="2" t="s">
        <v>1219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1337</v>
      </c>
      <c r="J74" s="2" t="s">
        <v>849</v>
      </c>
      <c r="K74" s="2">
        <f t="shared" si="33"/>
        <v>43490489.765010379</v>
      </c>
      <c r="L74" s="2" t="s">
        <v>948</v>
      </c>
      <c r="M74" s="2" t="s">
        <v>1037</v>
      </c>
      <c r="N74" s="2" t="s">
        <v>980</v>
      </c>
      <c r="O74" s="2">
        <v>250</v>
      </c>
      <c r="P74" s="2">
        <v>2589.230712890625</v>
      </c>
      <c r="Q74" s="2">
        <v>2535.6259765625</v>
      </c>
      <c r="R74" s="2">
        <f t="shared" si="23"/>
        <v>647307.67822265625</v>
      </c>
      <c r="S74" s="2">
        <f t="shared" si="24"/>
        <v>633906.494140625</v>
      </c>
      <c r="T74" s="2">
        <f t="shared" si="25"/>
        <v>1281214.1723632812</v>
      </c>
      <c r="U74" s="2">
        <f t="shared" si="26"/>
        <v>640.61</v>
      </c>
      <c r="V74" s="2">
        <f t="shared" si="27"/>
        <v>-13401.18408203125</v>
      </c>
      <c r="W74" s="2">
        <f t="shared" si="28"/>
        <v>-14041.794082031251</v>
      </c>
      <c r="X74" s="2">
        <f t="shared" si="29"/>
        <v>43476447.970928349</v>
      </c>
      <c r="Y74" s="2">
        <f t="shared" si="30"/>
        <v>129461.54</v>
      </c>
      <c r="Z74" s="2">
        <f t="shared" si="31"/>
        <v>-10.85</v>
      </c>
      <c r="AA74" s="2">
        <f t="shared" si="34"/>
        <v>43490489.765010379</v>
      </c>
      <c r="AB74" s="2">
        <f t="shared" si="32"/>
        <v>-14041.794082030654</v>
      </c>
    </row>
    <row r="75" spans="1:28">
      <c r="A75" s="2">
        <v>72</v>
      </c>
      <c r="B75" s="2" t="s">
        <v>403</v>
      </c>
      <c r="C75" s="2" t="s">
        <v>1219</v>
      </c>
      <c r="D75" s="3" t="s">
        <v>37</v>
      </c>
      <c r="E75" s="5" t="s">
        <v>134</v>
      </c>
      <c r="F75" s="2" t="s">
        <v>135</v>
      </c>
      <c r="G75" s="2" t="s">
        <v>54</v>
      </c>
      <c r="H75" s="2" t="s">
        <v>310</v>
      </c>
      <c r="I75" s="2" t="s">
        <v>1338</v>
      </c>
      <c r="J75" s="2" t="s">
        <v>319</v>
      </c>
      <c r="K75" s="2">
        <f t="shared" si="33"/>
        <v>43476447.970928349</v>
      </c>
      <c r="L75" s="2" t="s">
        <v>1245</v>
      </c>
      <c r="M75" s="2" t="s">
        <v>1269</v>
      </c>
      <c r="N75" s="2" t="s">
        <v>1270</v>
      </c>
      <c r="O75" s="2">
        <v>237</v>
      </c>
      <c r="P75" s="2">
        <v>1563.46826171875</v>
      </c>
      <c r="Q75" s="2">
        <v>1671.341918945312</v>
      </c>
      <c r="R75" s="2">
        <f t="shared" si="23"/>
        <v>370541.97802734375</v>
      </c>
      <c r="S75" s="2">
        <f t="shared" si="24"/>
        <v>396108.03479003895</v>
      </c>
      <c r="T75" s="2">
        <f t="shared" si="25"/>
        <v>766650.0128173827</v>
      </c>
      <c r="U75" s="2">
        <f t="shared" si="26"/>
        <v>383.33</v>
      </c>
      <c r="V75" s="2">
        <f t="shared" si="27"/>
        <v>25566.056762695196</v>
      </c>
      <c r="W75" s="2">
        <f t="shared" si="28"/>
        <v>25182.726762695194</v>
      </c>
      <c r="X75" s="2">
        <f t="shared" si="29"/>
        <v>43501630.697691046</v>
      </c>
      <c r="Y75" s="2">
        <f t="shared" si="30"/>
        <v>74108.399999999994</v>
      </c>
      <c r="Z75" s="2">
        <f t="shared" si="31"/>
        <v>33.979999999999997</v>
      </c>
      <c r="AA75" s="2">
        <f t="shared" si="34"/>
        <v>43501630.697691046</v>
      </c>
      <c r="AB75" s="2">
        <f t="shared" si="32"/>
        <v>0</v>
      </c>
    </row>
    <row r="76" spans="1:28">
      <c r="A76" s="2">
        <v>73</v>
      </c>
      <c r="B76" s="2" t="s">
        <v>406</v>
      </c>
      <c r="C76" s="2" t="s">
        <v>1219</v>
      </c>
      <c r="D76" s="3" t="s">
        <v>37</v>
      </c>
      <c r="E76" s="5" t="s">
        <v>134</v>
      </c>
      <c r="F76" s="2" t="s">
        <v>135</v>
      </c>
      <c r="G76" s="2" t="s">
        <v>241</v>
      </c>
      <c r="H76" s="2" t="s">
        <v>407</v>
      </c>
      <c r="I76" s="2" t="s">
        <v>1339</v>
      </c>
      <c r="J76" s="2" t="s">
        <v>1340</v>
      </c>
      <c r="K76" s="2">
        <f t="shared" si="33"/>
        <v>43501630.697691046</v>
      </c>
      <c r="L76" s="2" t="s">
        <v>1251</v>
      </c>
      <c r="M76" s="2" t="s">
        <v>1334</v>
      </c>
      <c r="N76" s="2" t="s">
        <v>1250</v>
      </c>
      <c r="O76" s="2">
        <v>218</v>
      </c>
      <c r="P76" s="2">
        <v>4568.0869140625</v>
      </c>
      <c r="Q76" s="2">
        <v>4642.77783203125</v>
      </c>
      <c r="R76" s="2">
        <f t="shared" si="23"/>
        <v>995842.947265625</v>
      </c>
      <c r="S76" s="2">
        <f t="shared" si="24"/>
        <v>1012125.5673828125</v>
      </c>
      <c r="T76" s="2">
        <f t="shared" si="25"/>
        <v>2007968.5146484375</v>
      </c>
      <c r="U76" s="2">
        <f t="shared" si="26"/>
        <v>1003.98</v>
      </c>
      <c r="V76" s="2">
        <f t="shared" si="27"/>
        <v>16282.6201171875</v>
      </c>
      <c r="W76" s="2">
        <f t="shared" si="28"/>
        <v>15278.6401171875</v>
      </c>
      <c r="X76" s="2">
        <f t="shared" si="29"/>
        <v>43516909.337808236</v>
      </c>
      <c r="Y76" s="2">
        <f t="shared" si="30"/>
        <v>199168.59</v>
      </c>
      <c r="Z76" s="2">
        <f t="shared" si="31"/>
        <v>7.67</v>
      </c>
      <c r="AA76" s="2">
        <f t="shared" si="34"/>
        <v>43516909.337808236</v>
      </c>
      <c r="AB76" s="2">
        <f t="shared" si="32"/>
        <v>0</v>
      </c>
    </row>
    <row r="77" spans="1:28">
      <c r="A77" s="2">
        <v>74</v>
      </c>
      <c r="B77" s="2" t="s">
        <v>410</v>
      </c>
      <c r="C77" s="2" t="s">
        <v>1219</v>
      </c>
      <c r="D77" s="4" t="s">
        <v>61</v>
      </c>
      <c r="E77" s="5" t="s">
        <v>134</v>
      </c>
      <c r="F77" s="2" t="s">
        <v>135</v>
      </c>
      <c r="G77" s="2" t="s">
        <v>103</v>
      </c>
      <c r="H77" s="2" t="s">
        <v>411</v>
      </c>
      <c r="I77" s="2" t="s">
        <v>1073</v>
      </c>
      <c r="J77" s="2" t="s">
        <v>273</v>
      </c>
      <c r="K77" s="2">
        <f t="shared" si="33"/>
        <v>43516909.337808236</v>
      </c>
      <c r="L77" s="2" t="s">
        <v>1321</v>
      </c>
      <c r="M77" s="2" t="s">
        <v>1244</v>
      </c>
      <c r="N77" s="2" t="s">
        <v>1296</v>
      </c>
      <c r="O77" s="2">
        <v>792</v>
      </c>
      <c r="P77" s="2">
        <v>1766.1259765625</v>
      </c>
      <c r="Q77" s="2">
        <v>1901.856689453125</v>
      </c>
      <c r="R77" s="2">
        <f t="shared" si="23"/>
        <v>1398771.7734375</v>
      </c>
      <c r="S77" s="2">
        <f t="shared" si="24"/>
        <v>1506270.498046875</v>
      </c>
      <c r="T77" s="2">
        <f t="shared" si="25"/>
        <v>2905042.271484375</v>
      </c>
      <c r="U77" s="2">
        <f t="shared" si="26"/>
        <v>1452.52</v>
      </c>
      <c r="V77" s="2">
        <f t="shared" si="27"/>
        <v>107498.724609375</v>
      </c>
      <c r="W77" s="2">
        <f t="shared" si="28"/>
        <v>106046.204609375</v>
      </c>
      <c r="X77" s="2">
        <f t="shared" si="29"/>
        <v>43622955.542417608</v>
      </c>
      <c r="Y77" s="2">
        <f t="shared" si="30"/>
        <v>279754.34999999998</v>
      </c>
      <c r="Z77" s="2">
        <f t="shared" si="31"/>
        <v>37.909999999999997</v>
      </c>
      <c r="AA77" s="2">
        <f t="shared" si="34"/>
        <v>43622955.542417608</v>
      </c>
      <c r="AB77" s="2">
        <f t="shared" si="32"/>
        <v>0</v>
      </c>
    </row>
    <row r="78" spans="1:28">
      <c r="A78" s="2">
        <v>75</v>
      </c>
      <c r="B78" s="2" t="s">
        <v>414</v>
      </c>
      <c r="C78" s="2" t="s">
        <v>1219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707</v>
      </c>
      <c r="J78" s="2" t="s">
        <v>338</v>
      </c>
      <c r="K78" s="2">
        <f t="shared" si="33"/>
        <v>43622955.542417608</v>
      </c>
      <c r="L78" s="2" t="s">
        <v>1027</v>
      </c>
      <c r="M78" s="2" t="s">
        <v>985</v>
      </c>
      <c r="N78" s="2" t="s">
        <v>956</v>
      </c>
      <c r="O78" s="2">
        <v>350</v>
      </c>
      <c r="P78" s="2">
        <v>1687.298461914062</v>
      </c>
      <c r="Q78" s="2">
        <v>1718.905395507812</v>
      </c>
      <c r="R78" s="2">
        <f t="shared" si="23"/>
        <v>590554.46166992176</v>
      </c>
      <c r="S78" s="2">
        <f t="shared" si="24"/>
        <v>601616.88842773426</v>
      </c>
      <c r="T78" s="2">
        <f t="shared" si="25"/>
        <v>1192171.350097656</v>
      </c>
      <c r="U78" s="2">
        <f t="shared" si="26"/>
        <v>596.09</v>
      </c>
      <c r="V78" s="2">
        <f t="shared" si="27"/>
        <v>11062.4267578125</v>
      </c>
      <c r="W78" s="2">
        <f t="shared" si="28"/>
        <v>10466.3367578125</v>
      </c>
      <c r="X78" s="2">
        <f t="shared" si="29"/>
        <v>43633421.879175417</v>
      </c>
      <c r="Y78" s="2">
        <f t="shared" si="30"/>
        <v>118110.89</v>
      </c>
      <c r="Z78" s="2">
        <f t="shared" si="31"/>
        <v>8.86</v>
      </c>
      <c r="AA78" s="2">
        <f t="shared" si="34"/>
        <v>43633421.879175417</v>
      </c>
      <c r="AB78" s="2">
        <f t="shared" si="32"/>
        <v>0</v>
      </c>
    </row>
    <row r="79" spans="1:28">
      <c r="A79" s="2">
        <v>76</v>
      </c>
      <c r="B79" s="2" t="s">
        <v>419</v>
      </c>
      <c r="C79" s="2" t="s">
        <v>1219</v>
      </c>
      <c r="D79" s="4" t="s">
        <v>61</v>
      </c>
      <c r="E79" s="5" t="s">
        <v>134</v>
      </c>
      <c r="F79" s="2" t="s">
        <v>135</v>
      </c>
      <c r="G79" s="2" t="s">
        <v>169</v>
      </c>
      <c r="H79" s="2" t="s">
        <v>420</v>
      </c>
      <c r="I79" s="2" t="s">
        <v>745</v>
      </c>
      <c r="J79" s="2" t="s">
        <v>1341</v>
      </c>
      <c r="K79" s="2">
        <f t="shared" si="33"/>
        <v>43633421.879175417</v>
      </c>
      <c r="L79" s="2" t="s">
        <v>1342</v>
      </c>
      <c r="M79" s="2" t="s">
        <v>1343</v>
      </c>
      <c r="N79" s="2" t="s">
        <v>1085</v>
      </c>
      <c r="O79" s="2">
        <v>392</v>
      </c>
      <c r="P79" s="2">
        <v>1963.332275390625</v>
      </c>
      <c r="Q79" s="2">
        <v>2010.928466796875</v>
      </c>
      <c r="R79" s="2">
        <f t="shared" si="23"/>
        <v>769626.251953125</v>
      </c>
      <c r="S79" s="2">
        <f t="shared" si="24"/>
        <v>788283.958984375</v>
      </c>
      <c r="T79" s="2">
        <f t="shared" si="25"/>
        <v>1557910.2109375</v>
      </c>
      <c r="U79" s="2">
        <f t="shared" si="26"/>
        <v>778.96</v>
      </c>
      <c r="V79" s="2">
        <f t="shared" si="27"/>
        <v>18657.70703125</v>
      </c>
      <c r="W79" s="2">
        <f t="shared" si="28"/>
        <v>17878.747031250001</v>
      </c>
      <c r="X79" s="2">
        <f t="shared" si="29"/>
        <v>43651300.626206666</v>
      </c>
      <c r="Y79" s="2">
        <f t="shared" si="30"/>
        <v>153925.25</v>
      </c>
      <c r="Z79" s="2">
        <f t="shared" si="31"/>
        <v>11.62</v>
      </c>
      <c r="AA79" s="2">
        <f t="shared" si="34"/>
        <v>43651300.626206666</v>
      </c>
      <c r="AB79" s="2">
        <f t="shared" si="32"/>
        <v>0</v>
      </c>
    </row>
    <row r="80" spans="1:28">
      <c r="A80" s="2">
        <v>77</v>
      </c>
      <c r="B80" s="2" t="s">
        <v>423</v>
      </c>
      <c r="C80" s="2" t="s">
        <v>1219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1344</v>
      </c>
      <c r="J80" s="2" t="s">
        <v>1126</v>
      </c>
      <c r="K80" s="2">
        <f t="shared" si="33"/>
        <v>43651300.626206666</v>
      </c>
      <c r="L80" s="2" t="s">
        <v>1049</v>
      </c>
      <c r="M80" s="2" t="s">
        <v>957</v>
      </c>
      <c r="N80" s="2" t="s">
        <v>1345</v>
      </c>
      <c r="O80" s="2">
        <v>550</v>
      </c>
      <c r="P80" s="2">
        <v>806.77093505859375</v>
      </c>
      <c r="Q80" s="2">
        <v>846.0806884765625</v>
      </c>
      <c r="R80" s="2">
        <f t="shared" si="23"/>
        <v>443724.01428222656</v>
      </c>
      <c r="S80" s="2">
        <f t="shared" si="24"/>
        <v>465344.37866210938</v>
      </c>
      <c r="T80" s="2">
        <f t="shared" si="25"/>
        <v>909068.39294433594</v>
      </c>
      <c r="U80" s="2">
        <f t="shared" si="26"/>
        <v>454.53</v>
      </c>
      <c r="V80" s="2">
        <f t="shared" si="27"/>
        <v>21620.364379882813</v>
      </c>
      <c r="W80" s="2">
        <f t="shared" si="28"/>
        <v>21165.834379882814</v>
      </c>
      <c r="X80" s="2">
        <f t="shared" si="29"/>
        <v>43672466.460586548</v>
      </c>
      <c r="Y80" s="2">
        <f t="shared" si="30"/>
        <v>88744.8</v>
      </c>
      <c r="Z80" s="2">
        <f t="shared" si="31"/>
        <v>23.85</v>
      </c>
      <c r="AA80" s="2">
        <f t="shared" si="34"/>
        <v>43672466.460586548</v>
      </c>
      <c r="AB80" s="2">
        <f t="shared" si="32"/>
        <v>0</v>
      </c>
    </row>
    <row r="81" spans="1:28">
      <c r="A81" s="2">
        <v>78</v>
      </c>
      <c r="B81" s="2" t="s">
        <v>428</v>
      </c>
      <c r="C81" s="2" t="s">
        <v>1219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323</v>
      </c>
      <c r="J81" s="2" t="s">
        <v>968</v>
      </c>
      <c r="K81" s="2">
        <f t="shared" si="33"/>
        <v>43672466.460586548</v>
      </c>
      <c r="L81" s="2" t="s">
        <v>1346</v>
      </c>
      <c r="M81" s="2" t="s">
        <v>1084</v>
      </c>
      <c r="N81" s="2" t="s">
        <v>1085</v>
      </c>
      <c r="O81" s="2">
        <v>1100</v>
      </c>
      <c r="P81" s="2">
        <v>633.3856201171875</v>
      </c>
      <c r="Q81" s="2">
        <v>630.25537109375</v>
      </c>
      <c r="R81" s="2">
        <f t="shared" si="23"/>
        <v>696724.18212890625</v>
      </c>
      <c r="S81" s="2">
        <f t="shared" si="24"/>
        <v>693280.908203125</v>
      </c>
      <c r="T81" s="2">
        <f t="shared" si="25"/>
        <v>1390005.0903320313</v>
      </c>
      <c r="U81" s="2">
        <f t="shared" si="26"/>
        <v>695</v>
      </c>
      <c r="V81" s="2">
        <f t="shared" si="27"/>
        <v>-3443.27392578125</v>
      </c>
      <c r="W81" s="2">
        <f t="shared" si="28"/>
        <v>-4138.27392578125</v>
      </c>
      <c r="X81" s="2">
        <f t="shared" si="29"/>
        <v>43668328.186660767</v>
      </c>
      <c r="Y81" s="2">
        <f t="shared" si="30"/>
        <v>139344.84</v>
      </c>
      <c r="Z81" s="2">
        <f t="shared" si="31"/>
        <v>-2.97</v>
      </c>
      <c r="AA81" s="2">
        <f t="shared" si="34"/>
        <v>43672466.460586548</v>
      </c>
      <c r="AB81" s="2">
        <f t="shared" si="32"/>
        <v>-4138.27392578125</v>
      </c>
    </row>
    <row r="82" spans="1:28">
      <c r="A82" s="2">
        <v>79</v>
      </c>
      <c r="B82" s="2" t="s">
        <v>433</v>
      </c>
      <c r="C82" s="2" t="s">
        <v>1219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1347</v>
      </c>
      <c r="J82" s="2" t="s">
        <v>1314</v>
      </c>
      <c r="K82" s="2">
        <f t="shared" si="33"/>
        <v>43668328.186660767</v>
      </c>
      <c r="L82" s="2" t="s">
        <v>947</v>
      </c>
      <c r="M82" s="2" t="s">
        <v>1037</v>
      </c>
      <c r="N82" s="2" t="s">
        <v>1038</v>
      </c>
      <c r="O82" s="2">
        <v>150</v>
      </c>
      <c r="P82" s="2">
        <v>4484.51171875</v>
      </c>
      <c r="Q82" s="2">
        <v>4519.01220703125</v>
      </c>
      <c r="R82" s="2">
        <f t="shared" si="23"/>
        <v>672676.7578125</v>
      </c>
      <c r="S82" s="2">
        <f t="shared" si="24"/>
        <v>677851.8310546875</v>
      </c>
      <c r="T82" s="2">
        <f t="shared" si="25"/>
        <v>1350528.5888671875</v>
      </c>
      <c r="U82" s="2">
        <f t="shared" si="26"/>
        <v>675.26</v>
      </c>
      <c r="V82" s="2">
        <f t="shared" si="27"/>
        <v>5175.0732421875</v>
      </c>
      <c r="W82" s="2">
        <f t="shared" si="28"/>
        <v>4499.8132421874998</v>
      </c>
      <c r="X82" s="2">
        <f t="shared" si="29"/>
        <v>43672827.999902956</v>
      </c>
      <c r="Y82" s="2">
        <f t="shared" si="30"/>
        <v>134535.35</v>
      </c>
      <c r="Z82" s="2">
        <f t="shared" si="31"/>
        <v>3.34</v>
      </c>
      <c r="AA82" s="2">
        <f t="shared" si="34"/>
        <v>43672827.999902956</v>
      </c>
      <c r="AB82" s="2">
        <f t="shared" si="32"/>
        <v>0</v>
      </c>
    </row>
    <row r="83" spans="1:28">
      <c r="A83" s="2">
        <v>80</v>
      </c>
      <c r="B83" s="2" t="s">
        <v>438</v>
      </c>
      <c r="C83" s="2" t="s">
        <v>1219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786</v>
      </c>
      <c r="J83" s="2" t="s">
        <v>1348</v>
      </c>
      <c r="K83" s="2">
        <f t="shared" si="33"/>
        <v>43672827.999902956</v>
      </c>
      <c r="L83" s="2" t="s">
        <v>946</v>
      </c>
      <c r="M83" s="2" t="s">
        <v>951</v>
      </c>
      <c r="N83" s="2" t="s">
        <v>947</v>
      </c>
      <c r="O83" s="2">
        <v>1400</v>
      </c>
      <c r="P83" s="2">
        <v>618.81011962890625</v>
      </c>
      <c r="Q83" s="2">
        <v>640.04278564453125</v>
      </c>
      <c r="R83" s="2">
        <f t="shared" si="23"/>
        <v>866334.16748046875</v>
      </c>
      <c r="S83" s="2">
        <f t="shared" si="24"/>
        <v>896059.89990234375</v>
      </c>
      <c r="T83" s="2">
        <f t="shared" si="25"/>
        <v>1762394.0673828125</v>
      </c>
      <c r="U83" s="2">
        <f t="shared" si="26"/>
        <v>881.2</v>
      </c>
      <c r="V83" s="2">
        <f t="shared" si="27"/>
        <v>29725.732421875</v>
      </c>
      <c r="W83" s="2">
        <f t="shared" si="28"/>
        <v>28844.532421874999</v>
      </c>
      <c r="X83" s="2">
        <f t="shared" si="29"/>
        <v>43701672.532324828</v>
      </c>
      <c r="Y83" s="2">
        <f t="shared" si="30"/>
        <v>173266.83</v>
      </c>
      <c r="Z83" s="2">
        <f t="shared" si="31"/>
        <v>16.649999999999999</v>
      </c>
      <c r="AA83" s="2">
        <f t="shared" si="34"/>
        <v>43701672.532324828</v>
      </c>
      <c r="AB83" s="2">
        <f t="shared" si="32"/>
        <v>0</v>
      </c>
    </row>
    <row r="84" spans="1:28">
      <c r="A84" s="2">
        <v>81</v>
      </c>
      <c r="B84" s="2" t="s">
        <v>443</v>
      </c>
      <c r="C84" s="2" t="s">
        <v>1219</v>
      </c>
      <c r="D84" s="4" t="s">
        <v>61</v>
      </c>
      <c r="E84" s="5" t="s">
        <v>134</v>
      </c>
      <c r="F84" s="2" t="s">
        <v>135</v>
      </c>
      <c r="G84" s="2" t="s">
        <v>127</v>
      </c>
      <c r="H84" s="2" t="s">
        <v>444</v>
      </c>
      <c r="I84" s="2" t="s">
        <v>1349</v>
      </c>
      <c r="J84" s="2" t="s">
        <v>1350</v>
      </c>
      <c r="K84" s="2">
        <f t="shared" si="33"/>
        <v>43701672.532324828</v>
      </c>
      <c r="L84" s="2" t="s">
        <v>1245</v>
      </c>
      <c r="M84" s="2" t="s">
        <v>1292</v>
      </c>
      <c r="N84" s="2" t="s">
        <v>1005</v>
      </c>
      <c r="O84" s="2">
        <v>2574</v>
      </c>
      <c r="P84" s="2">
        <v>364.78524780273437</v>
      </c>
      <c r="Q84" s="2">
        <v>352.88345336914062</v>
      </c>
      <c r="R84" s="2">
        <f t="shared" si="23"/>
        <v>938957.22784423828</v>
      </c>
      <c r="S84" s="2">
        <f t="shared" si="24"/>
        <v>908322.00897216797</v>
      </c>
      <c r="T84" s="2">
        <f t="shared" si="25"/>
        <v>1847279.2368164063</v>
      </c>
      <c r="U84" s="2">
        <f t="shared" si="26"/>
        <v>923.64</v>
      </c>
      <c r="V84" s="2">
        <f t="shared" si="27"/>
        <v>-30635.218872070313</v>
      </c>
      <c r="W84" s="2">
        <f t="shared" si="28"/>
        <v>-31558.858872070312</v>
      </c>
      <c r="X84" s="2">
        <f t="shared" si="29"/>
        <v>43670113.673452757</v>
      </c>
      <c r="Y84" s="2">
        <f t="shared" si="30"/>
        <v>187791.45</v>
      </c>
      <c r="Z84" s="2">
        <f t="shared" si="31"/>
        <v>-16.809999999999999</v>
      </c>
      <c r="AA84" s="2">
        <f t="shared" si="34"/>
        <v>43701672.532324828</v>
      </c>
      <c r="AB84" s="2">
        <f t="shared" si="32"/>
        <v>-31558.858872070909</v>
      </c>
    </row>
    <row r="85" spans="1:28">
      <c r="A85" s="2">
        <v>82</v>
      </c>
      <c r="B85" s="2" t="s">
        <v>447</v>
      </c>
      <c r="C85" s="2" t="s">
        <v>1219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1351</v>
      </c>
      <c r="J85" s="2" t="s">
        <v>1352</v>
      </c>
      <c r="K85" s="2">
        <f t="shared" si="33"/>
        <v>43670113.673452757</v>
      </c>
      <c r="L85" s="2" t="s">
        <v>999</v>
      </c>
      <c r="M85" s="2" t="s">
        <v>986</v>
      </c>
      <c r="N85" s="2" t="s">
        <v>1011</v>
      </c>
      <c r="O85" s="2">
        <v>300</v>
      </c>
      <c r="P85" s="2">
        <v>2454.817626953125</v>
      </c>
      <c r="Q85" s="2">
        <v>2672.44091796875</v>
      </c>
      <c r="R85" s="2">
        <f t="shared" si="23"/>
        <v>736445.2880859375</v>
      </c>
      <c r="S85" s="2">
        <f t="shared" si="24"/>
        <v>801732.275390625</v>
      </c>
      <c r="T85" s="2">
        <f t="shared" si="25"/>
        <v>1538177.5634765625</v>
      </c>
      <c r="U85" s="2">
        <f t="shared" si="26"/>
        <v>769.09</v>
      </c>
      <c r="V85" s="2">
        <f t="shared" si="27"/>
        <v>65286.9873046875</v>
      </c>
      <c r="W85" s="2">
        <f t="shared" si="28"/>
        <v>64517.897304687503</v>
      </c>
      <c r="X85" s="2">
        <f t="shared" si="29"/>
        <v>43734631.570757441</v>
      </c>
      <c r="Y85" s="2">
        <f t="shared" si="30"/>
        <v>147289.06</v>
      </c>
      <c r="Z85" s="2">
        <f t="shared" si="31"/>
        <v>43.8</v>
      </c>
      <c r="AA85" s="2">
        <f t="shared" si="34"/>
        <v>43734631.570757441</v>
      </c>
      <c r="AB85" s="2">
        <f t="shared" si="32"/>
        <v>0</v>
      </c>
    </row>
    <row r="86" spans="1:28">
      <c r="A86" s="2">
        <v>83</v>
      </c>
      <c r="B86" s="2" t="s">
        <v>451</v>
      </c>
      <c r="C86" s="2" t="s">
        <v>1219</v>
      </c>
      <c r="D86" s="4" t="s">
        <v>61</v>
      </c>
      <c r="E86" s="5" t="s">
        <v>134</v>
      </c>
      <c r="F86" s="2" t="s">
        <v>135</v>
      </c>
      <c r="G86" s="2" t="s">
        <v>54</v>
      </c>
      <c r="H86" s="2" t="s">
        <v>452</v>
      </c>
      <c r="I86" s="2" t="s">
        <v>997</v>
      </c>
      <c r="J86" s="2" t="s">
        <v>560</v>
      </c>
      <c r="K86" s="2">
        <f t="shared" si="33"/>
        <v>43734631.570757441</v>
      </c>
      <c r="L86" s="2" t="s">
        <v>1272</v>
      </c>
      <c r="M86" s="2" t="s">
        <v>1251</v>
      </c>
      <c r="N86" s="2" t="s">
        <v>1292</v>
      </c>
      <c r="O86" s="2">
        <v>1866</v>
      </c>
      <c r="P86" s="2">
        <v>557.080322265625</v>
      </c>
      <c r="Q86" s="2">
        <v>595.661376953125</v>
      </c>
      <c r="R86" s="2">
        <f t="shared" si="23"/>
        <v>1039511.8813476563</v>
      </c>
      <c r="S86" s="2">
        <f t="shared" si="24"/>
        <v>1111504.1293945313</v>
      </c>
      <c r="T86" s="2">
        <f t="shared" si="25"/>
        <v>2151016.0107421875</v>
      </c>
      <c r="U86" s="2">
        <f t="shared" si="26"/>
        <v>1075.51</v>
      </c>
      <c r="V86" s="2">
        <f t="shared" si="27"/>
        <v>71992.248046875</v>
      </c>
      <c r="W86" s="2">
        <f t="shared" si="28"/>
        <v>70916.738046875005</v>
      </c>
      <c r="X86" s="2">
        <f t="shared" si="29"/>
        <v>43805548.308804318</v>
      </c>
      <c r="Y86" s="2">
        <f t="shared" si="30"/>
        <v>207902.38</v>
      </c>
      <c r="Z86" s="2">
        <f t="shared" si="31"/>
        <v>34.11</v>
      </c>
      <c r="AA86" s="2">
        <f t="shared" si="34"/>
        <v>43805548.308804318</v>
      </c>
      <c r="AB86" s="2">
        <f t="shared" si="32"/>
        <v>0</v>
      </c>
    </row>
    <row r="87" spans="1:28">
      <c r="A87" s="2">
        <v>84</v>
      </c>
      <c r="B87" s="2" t="s">
        <v>455</v>
      </c>
      <c r="C87" s="2" t="s">
        <v>1219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33"/>
        <v>43805548.308804318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43805548.308804318</v>
      </c>
      <c r="Y87" s="6" t="s">
        <v>1195</v>
      </c>
      <c r="Z87" s="6" t="s">
        <v>1195</v>
      </c>
      <c r="AA87" s="2">
        <f>AA86</f>
        <v>43805548.308804318</v>
      </c>
      <c r="AB87" s="2">
        <v>0</v>
      </c>
    </row>
    <row r="88" spans="1:28">
      <c r="A88" s="2">
        <v>85</v>
      </c>
      <c r="B88" s="2" t="s">
        <v>459</v>
      </c>
      <c r="C88" s="2" t="s">
        <v>1219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945</v>
      </c>
      <c r="J88" s="2" t="s">
        <v>1353</v>
      </c>
      <c r="K88" s="2">
        <f t="shared" si="33"/>
        <v>43805548.308804318</v>
      </c>
      <c r="L88" s="2" t="s">
        <v>1052</v>
      </c>
      <c r="M88" s="2" t="s">
        <v>983</v>
      </c>
      <c r="N88" s="2" t="s">
        <v>290</v>
      </c>
      <c r="O88" s="2">
        <v>700</v>
      </c>
      <c r="P88" s="2">
        <v>1233.631225585938</v>
      </c>
      <c r="Q88" s="2">
        <v>1281.90869140625</v>
      </c>
      <c r="R88" s="2">
        <f t="shared" ref="R88:R119" si="35">O88*P88</f>
        <v>863541.8579101566</v>
      </c>
      <c r="S88" s="2">
        <f t="shared" ref="S88:S119" si="36">O88*Q88</f>
        <v>897336.083984375</v>
      </c>
      <c r="T88" s="2">
        <f t="shared" ref="T88:T119" si="37">R88+S88</f>
        <v>1760877.9418945317</v>
      </c>
      <c r="U88" s="2">
        <f t="shared" ref="U88:U119" si="38">ROUND(T88*0.0005, 2)</f>
        <v>880.44</v>
      </c>
      <c r="V88" s="2">
        <f t="shared" ref="V88:V119" si="39">S88-R88</f>
        <v>33794.226074218401</v>
      </c>
      <c r="W88" s="2">
        <f t="shared" ref="W88:W119" si="40">V88-U88</f>
        <v>32913.786074218398</v>
      </c>
      <c r="X88" s="2">
        <f t="shared" ref="X88:X119" si="41">K88+W88</f>
        <v>43838462.094878539</v>
      </c>
      <c r="Y88" s="2">
        <f t="shared" ref="Y88:Y119" si="42">ROUND(0.2*R88, 2)</f>
        <v>172708.37</v>
      </c>
      <c r="Z88" s="2">
        <f t="shared" ref="Z88:Z119" si="43">ROUND((W88/Y88)*100, 2)</f>
        <v>19.059999999999999</v>
      </c>
      <c r="AA88" s="2">
        <f t="shared" ref="AA88:AA119" si="44">MAX(AA87, X88)</f>
        <v>43838462.094878539</v>
      </c>
      <c r="AB88" s="2">
        <f t="shared" ref="AB88:AB119" si="45">X88-AA88</f>
        <v>0</v>
      </c>
    </row>
    <row r="89" spans="1:28">
      <c r="A89" s="2">
        <v>86</v>
      </c>
      <c r="B89" s="2" t="s">
        <v>463</v>
      </c>
      <c r="C89" s="2" t="s">
        <v>1219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1060</v>
      </c>
      <c r="J89" s="2" t="s">
        <v>1061</v>
      </c>
      <c r="K89" s="2">
        <f t="shared" si="33"/>
        <v>43838462.094878539</v>
      </c>
      <c r="L89" s="2" t="s">
        <v>1062</v>
      </c>
      <c r="M89" s="2" t="s">
        <v>1063</v>
      </c>
      <c r="N89" s="2" t="s">
        <v>1064</v>
      </c>
      <c r="O89" s="2">
        <v>629</v>
      </c>
      <c r="P89" s="2">
        <v>1829</v>
      </c>
      <c r="Q89" s="2">
        <v>1693</v>
      </c>
      <c r="R89" s="2">
        <f t="shared" si="35"/>
        <v>1150441</v>
      </c>
      <c r="S89" s="2">
        <f t="shared" si="36"/>
        <v>1064897</v>
      </c>
      <c r="T89" s="2">
        <f t="shared" si="37"/>
        <v>2215338</v>
      </c>
      <c r="U89" s="2">
        <f t="shared" si="38"/>
        <v>1107.67</v>
      </c>
      <c r="V89" s="2">
        <f t="shared" si="39"/>
        <v>-85544</v>
      </c>
      <c r="W89" s="2">
        <f t="shared" si="40"/>
        <v>-86651.67</v>
      </c>
      <c r="X89" s="2">
        <f t="shared" si="41"/>
        <v>43751810.424878538</v>
      </c>
      <c r="Y89" s="2">
        <f t="shared" si="42"/>
        <v>230088.2</v>
      </c>
      <c r="Z89" s="2">
        <f t="shared" si="43"/>
        <v>-37.659999999999997</v>
      </c>
      <c r="AA89" s="2">
        <f t="shared" si="44"/>
        <v>43838462.094878539</v>
      </c>
      <c r="AB89" s="2">
        <f t="shared" si="45"/>
        <v>-86651.670000001788</v>
      </c>
    </row>
    <row r="90" spans="1:28">
      <c r="A90" s="2">
        <v>87</v>
      </c>
      <c r="B90" s="2" t="s">
        <v>471</v>
      </c>
      <c r="C90" s="2" t="s">
        <v>1219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1354</v>
      </c>
      <c r="J90" s="2" t="s">
        <v>1185</v>
      </c>
      <c r="K90" s="2">
        <f t="shared" si="33"/>
        <v>43751810.424878538</v>
      </c>
      <c r="L90" s="2" t="s">
        <v>1355</v>
      </c>
      <c r="M90" s="2" t="s">
        <v>1356</v>
      </c>
      <c r="N90" s="2" t="s">
        <v>1357</v>
      </c>
      <c r="O90" s="2">
        <v>1958</v>
      </c>
      <c r="P90" s="2">
        <v>548.197509765625</v>
      </c>
      <c r="Q90" s="2">
        <v>511.57461547851562</v>
      </c>
      <c r="R90" s="2">
        <f t="shared" si="35"/>
        <v>1073370.7241210938</v>
      </c>
      <c r="S90" s="2">
        <f t="shared" si="36"/>
        <v>1001663.0971069336</v>
      </c>
      <c r="T90" s="2">
        <f t="shared" si="37"/>
        <v>2075033.8212280273</v>
      </c>
      <c r="U90" s="2">
        <f t="shared" si="38"/>
        <v>1037.52</v>
      </c>
      <c r="V90" s="2">
        <f t="shared" si="39"/>
        <v>-71707.627014160156</v>
      </c>
      <c r="W90" s="2">
        <f t="shared" si="40"/>
        <v>-72745.14701416016</v>
      </c>
      <c r="X90" s="2">
        <f t="shared" si="41"/>
        <v>43679065.277864374</v>
      </c>
      <c r="Y90" s="2">
        <f t="shared" si="42"/>
        <v>214674.14</v>
      </c>
      <c r="Z90" s="2">
        <f t="shared" si="43"/>
        <v>-33.89</v>
      </c>
      <c r="AA90" s="2">
        <f t="shared" si="44"/>
        <v>43838462.094878539</v>
      </c>
      <c r="AB90" s="2">
        <f t="shared" si="45"/>
        <v>-159396.81701416522</v>
      </c>
    </row>
    <row r="91" spans="1:28">
      <c r="A91" s="2">
        <v>88</v>
      </c>
      <c r="B91" s="2" t="s">
        <v>476</v>
      </c>
      <c r="C91" s="2" t="s">
        <v>1219</v>
      </c>
      <c r="D91" s="4" t="s">
        <v>61</v>
      </c>
      <c r="E91" s="5" t="s">
        <v>134</v>
      </c>
      <c r="F91" s="2" t="s">
        <v>135</v>
      </c>
      <c r="G91" s="2" t="s">
        <v>103</v>
      </c>
      <c r="H91" s="2" t="s">
        <v>477</v>
      </c>
      <c r="I91" s="2" t="s">
        <v>608</v>
      </c>
      <c r="J91" s="2" t="s">
        <v>1358</v>
      </c>
      <c r="K91" s="2">
        <f t="shared" si="33"/>
        <v>43679065.277864374</v>
      </c>
      <c r="L91" s="2" t="s">
        <v>1254</v>
      </c>
      <c r="M91" s="2" t="s">
        <v>1359</v>
      </c>
      <c r="N91" s="2" t="s">
        <v>1255</v>
      </c>
      <c r="O91" s="2">
        <v>77700</v>
      </c>
      <c r="P91" s="2">
        <v>15.94999980926514</v>
      </c>
      <c r="Q91" s="2">
        <v>15.35999965667725</v>
      </c>
      <c r="R91" s="2">
        <f t="shared" si="35"/>
        <v>1239314.9851799014</v>
      </c>
      <c r="S91" s="2">
        <f t="shared" si="36"/>
        <v>1193471.9733238223</v>
      </c>
      <c r="T91" s="2">
        <f t="shared" si="37"/>
        <v>2432786.9585037236</v>
      </c>
      <c r="U91" s="2">
        <f t="shared" si="38"/>
        <v>1216.3900000000001</v>
      </c>
      <c r="V91" s="2">
        <f t="shared" si="39"/>
        <v>-45843.011856079102</v>
      </c>
      <c r="W91" s="2">
        <f t="shared" si="40"/>
        <v>-47059.401856079101</v>
      </c>
      <c r="X91" s="2">
        <f t="shared" si="41"/>
        <v>43632005.876008295</v>
      </c>
      <c r="Y91" s="2">
        <f t="shared" si="42"/>
        <v>247863</v>
      </c>
      <c r="Z91" s="2">
        <f t="shared" si="43"/>
        <v>-18.989999999999998</v>
      </c>
      <c r="AA91" s="2">
        <f t="shared" si="44"/>
        <v>43838462.094878539</v>
      </c>
      <c r="AB91" s="2">
        <f t="shared" si="45"/>
        <v>-206456.21887024492</v>
      </c>
    </row>
    <row r="92" spans="1:28">
      <c r="A92" s="2">
        <v>89</v>
      </c>
      <c r="B92" s="2" t="s">
        <v>480</v>
      </c>
      <c r="C92" s="2" t="s">
        <v>1219</v>
      </c>
      <c r="D92" s="4" t="s">
        <v>61</v>
      </c>
      <c r="E92" s="5" t="s">
        <v>134</v>
      </c>
      <c r="F92" s="2" t="s">
        <v>135</v>
      </c>
      <c r="G92" s="2" t="s">
        <v>231</v>
      </c>
      <c r="H92" s="2" t="s">
        <v>329</v>
      </c>
      <c r="I92" s="2" t="s">
        <v>172</v>
      </c>
      <c r="J92" s="2" t="s">
        <v>1229</v>
      </c>
      <c r="K92" s="2">
        <f t="shared" si="33"/>
        <v>43632005.876008295</v>
      </c>
      <c r="L92" s="2" t="s">
        <v>1343</v>
      </c>
      <c r="M92" s="2" t="s">
        <v>1005</v>
      </c>
      <c r="N92" s="2" t="s">
        <v>1006</v>
      </c>
      <c r="O92" s="2">
        <v>11798</v>
      </c>
      <c r="P92" s="2">
        <v>74.58587646484375</v>
      </c>
      <c r="Q92" s="2">
        <v>77.695693969726563</v>
      </c>
      <c r="R92" s="2">
        <f t="shared" si="35"/>
        <v>879964.17053222656</v>
      </c>
      <c r="S92" s="2">
        <f t="shared" si="36"/>
        <v>916653.79745483398</v>
      </c>
      <c r="T92" s="2">
        <f t="shared" si="37"/>
        <v>1796617.9679870605</v>
      </c>
      <c r="U92" s="2">
        <f t="shared" si="38"/>
        <v>898.31</v>
      </c>
      <c r="V92" s="2">
        <f t="shared" si="39"/>
        <v>36689.626922607422</v>
      </c>
      <c r="W92" s="2">
        <f t="shared" si="40"/>
        <v>35791.316922607424</v>
      </c>
      <c r="X92" s="2">
        <f t="shared" si="41"/>
        <v>43667797.1929309</v>
      </c>
      <c r="Y92" s="2">
        <f t="shared" si="42"/>
        <v>175992.83</v>
      </c>
      <c r="Z92" s="2">
        <f t="shared" si="43"/>
        <v>20.34</v>
      </c>
      <c r="AA92" s="2">
        <f t="shared" si="44"/>
        <v>43838462.094878539</v>
      </c>
      <c r="AB92" s="2">
        <f t="shared" si="45"/>
        <v>-170664.90194763988</v>
      </c>
    </row>
    <row r="93" spans="1:28">
      <c r="A93" s="2">
        <v>90</v>
      </c>
      <c r="B93" s="2" t="s">
        <v>483</v>
      </c>
      <c r="C93" s="2" t="s">
        <v>1219</v>
      </c>
      <c r="D93" s="3" t="s">
        <v>37</v>
      </c>
      <c r="E93" s="5" t="s">
        <v>134</v>
      </c>
      <c r="F93" s="2" t="s">
        <v>135</v>
      </c>
      <c r="G93" s="2" t="s">
        <v>63</v>
      </c>
      <c r="H93" s="2" t="s">
        <v>484</v>
      </c>
      <c r="I93" s="2" t="s">
        <v>329</v>
      </c>
      <c r="J93" s="2" t="s">
        <v>690</v>
      </c>
      <c r="K93" s="2">
        <f t="shared" si="33"/>
        <v>43667797.1929309</v>
      </c>
      <c r="L93" s="2" t="s">
        <v>1267</v>
      </c>
      <c r="M93" s="2" t="s">
        <v>1004</v>
      </c>
      <c r="N93" s="2" t="s">
        <v>1244</v>
      </c>
      <c r="O93" s="2">
        <v>7610</v>
      </c>
      <c r="P93" s="2">
        <v>161.01982116699219</v>
      </c>
      <c r="Q93" s="2">
        <v>168.54249572753909</v>
      </c>
      <c r="R93" s="2">
        <f t="shared" si="35"/>
        <v>1225360.8390808105</v>
      </c>
      <c r="S93" s="2">
        <f t="shared" si="36"/>
        <v>1282608.3924865725</v>
      </c>
      <c r="T93" s="2">
        <f t="shared" si="37"/>
        <v>2507969.2315673828</v>
      </c>
      <c r="U93" s="2">
        <f t="shared" si="38"/>
        <v>1253.98</v>
      </c>
      <c r="V93" s="2">
        <f t="shared" si="39"/>
        <v>57247.553405761952</v>
      </c>
      <c r="W93" s="2">
        <f t="shared" si="40"/>
        <v>55993.573405761948</v>
      </c>
      <c r="X93" s="2">
        <f t="shared" si="41"/>
        <v>43723790.766336665</v>
      </c>
      <c r="Y93" s="2">
        <f t="shared" si="42"/>
        <v>245072.17</v>
      </c>
      <c r="Z93" s="2">
        <f t="shared" si="43"/>
        <v>22.85</v>
      </c>
      <c r="AA93" s="2">
        <f t="shared" si="44"/>
        <v>43838462.094878539</v>
      </c>
      <c r="AB93" s="2">
        <f t="shared" si="45"/>
        <v>-114671.32854187489</v>
      </c>
    </row>
    <row r="94" spans="1:28">
      <c r="A94" s="2">
        <v>91</v>
      </c>
      <c r="B94" s="2" t="s">
        <v>486</v>
      </c>
      <c r="C94" s="2" t="s">
        <v>1219</v>
      </c>
      <c r="D94" s="3" t="s">
        <v>37</v>
      </c>
      <c r="E94" s="5" t="s">
        <v>134</v>
      </c>
      <c r="F94" s="2" t="s">
        <v>135</v>
      </c>
      <c r="G94" s="2" t="s">
        <v>54</v>
      </c>
      <c r="H94" s="2" t="s">
        <v>487</v>
      </c>
      <c r="I94" s="2" t="s">
        <v>1360</v>
      </c>
      <c r="J94" s="2" t="s">
        <v>313</v>
      </c>
      <c r="K94" s="2">
        <f t="shared" si="33"/>
        <v>43723790.766336665</v>
      </c>
      <c r="L94" s="2" t="s">
        <v>1085</v>
      </c>
      <c r="M94" s="2" t="s">
        <v>1004</v>
      </c>
      <c r="N94" s="2" t="s">
        <v>1318</v>
      </c>
      <c r="O94" s="2">
        <v>1334</v>
      </c>
      <c r="P94" s="2">
        <v>587.29974365234375</v>
      </c>
      <c r="Q94" s="2">
        <v>618.86590576171875</v>
      </c>
      <c r="R94" s="2">
        <f t="shared" si="35"/>
        <v>783457.85803222656</v>
      </c>
      <c r="S94" s="2">
        <f t="shared" si="36"/>
        <v>825567.11828613281</v>
      </c>
      <c r="T94" s="2">
        <f t="shared" si="37"/>
        <v>1609024.9763183594</v>
      </c>
      <c r="U94" s="2">
        <f t="shared" si="38"/>
        <v>804.51</v>
      </c>
      <c r="V94" s="2">
        <f t="shared" si="39"/>
        <v>42109.26025390625</v>
      </c>
      <c r="W94" s="2">
        <f t="shared" si="40"/>
        <v>41304.750253906248</v>
      </c>
      <c r="X94" s="2">
        <f t="shared" si="41"/>
        <v>43765095.516590573</v>
      </c>
      <c r="Y94" s="2">
        <f t="shared" si="42"/>
        <v>156691.57</v>
      </c>
      <c r="Z94" s="2">
        <f t="shared" si="43"/>
        <v>26.36</v>
      </c>
      <c r="AA94" s="2">
        <f t="shared" si="44"/>
        <v>43838462.094878539</v>
      </c>
      <c r="AB94" s="2">
        <f t="shared" si="45"/>
        <v>-73366.578287966549</v>
      </c>
    </row>
    <row r="95" spans="1:28">
      <c r="A95" s="2">
        <v>92</v>
      </c>
      <c r="B95" s="2" t="s">
        <v>490</v>
      </c>
      <c r="C95" s="2" t="s">
        <v>1219</v>
      </c>
      <c r="D95" s="3" t="s">
        <v>37</v>
      </c>
      <c r="E95" s="5" t="s">
        <v>134</v>
      </c>
      <c r="F95" s="2" t="s">
        <v>135</v>
      </c>
      <c r="G95" s="2" t="s">
        <v>54</v>
      </c>
      <c r="H95" s="2" t="s">
        <v>491</v>
      </c>
      <c r="I95" s="2" t="s">
        <v>1126</v>
      </c>
      <c r="J95" s="2" t="s">
        <v>1361</v>
      </c>
      <c r="K95" s="2">
        <f t="shared" si="33"/>
        <v>43765095.516590573</v>
      </c>
      <c r="L95" s="2" t="s">
        <v>1244</v>
      </c>
      <c r="M95" s="2" t="s">
        <v>1292</v>
      </c>
      <c r="N95" s="2" t="s">
        <v>1005</v>
      </c>
      <c r="O95" s="2">
        <v>1208</v>
      </c>
      <c r="P95" s="2">
        <v>543.8145751953125</v>
      </c>
      <c r="Q95" s="2">
        <v>568.9718017578125</v>
      </c>
      <c r="R95" s="2">
        <f t="shared" si="35"/>
        <v>656928.0068359375</v>
      </c>
      <c r="S95" s="2">
        <f t="shared" si="36"/>
        <v>687317.9365234375</v>
      </c>
      <c r="T95" s="2">
        <f t="shared" si="37"/>
        <v>1344245.943359375</v>
      </c>
      <c r="U95" s="2">
        <f t="shared" si="38"/>
        <v>672.12</v>
      </c>
      <c r="V95" s="2">
        <f t="shared" si="39"/>
        <v>30389.9296875</v>
      </c>
      <c r="W95" s="2">
        <f t="shared" si="40"/>
        <v>29717.809687500001</v>
      </c>
      <c r="X95" s="2">
        <f t="shared" si="41"/>
        <v>43794813.326278076</v>
      </c>
      <c r="Y95" s="2">
        <f t="shared" si="42"/>
        <v>131385.60000000001</v>
      </c>
      <c r="Z95" s="2">
        <f t="shared" si="43"/>
        <v>22.62</v>
      </c>
      <c r="AA95" s="2">
        <f t="shared" si="44"/>
        <v>43838462.094878539</v>
      </c>
      <c r="AB95" s="2">
        <f t="shared" si="45"/>
        <v>-43648.768600463867</v>
      </c>
    </row>
    <row r="96" spans="1:28">
      <c r="A96" s="2">
        <v>93</v>
      </c>
      <c r="B96" s="2" t="s">
        <v>493</v>
      </c>
      <c r="C96" s="2" t="s">
        <v>1219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1179</v>
      </c>
      <c r="J96" s="2" t="s">
        <v>706</v>
      </c>
      <c r="K96" s="2">
        <f t="shared" si="33"/>
        <v>43794813.326278076</v>
      </c>
      <c r="L96" s="2" t="s">
        <v>1343</v>
      </c>
      <c r="M96" s="2" t="s">
        <v>1005</v>
      </c>
      <c r="N96" s="2" t="s">
        <v>1245</v>
      </c>
      <c r="O96" s="2">
        <v>196</v>
      </c>
      <c r="P96" s="2">
        <v>4423.62451171875</v>
      </c>
      <c r="Q96" s="2">
        <v>4431.810546875</v>
      </c>
      <c r="R96" s="2">
        <f t="shared" si="35"/>
        <v>867030.404296875</v>
      </c>
      <c r="S96" s="2">
        <f t="shared" si="36"/>
        <v>868634.8671875</v>
      </c>
      <c r="T96" s="2">
        <f t="shared" si="37"/>
        <v>1735665.271484375</v>
      </c>
      <c r="U96" s="2">
        <f t="shared" si="38"/>
        <v>867.83</v>
      </c>
      <c r="V96" s="2">
        <f t="shared" si="39"/>
        <v>1604.462890625</v>
      </c>
      <c r="W96" s="2">
        <f t="shared" si="40"/>
        <v>736.63289062499996</v>
      </c>
      <c r="X96" s="2">
        <f t="shared" si="41"/>
        <v>43795549.959168702</v>
      </c>
      <c r="Y96" s="2">
        <f t="shared" si="42"/>
        <v>173406.07999999999</v>
      </c>
      <c r="Z96" s="2">
        <f t="shared" si="43"/>
        <v>0.42</v>
      </c>
      <c r="AA96" s="2">
        <f t="shared" si="44"/>
        <v>43838462.094878539</v>
      </c>
      <c r="AB96" s="2">
        <f t="shared" si="45"/>
        <v>-42912.135709837079</v>
      </c>
    </row>
    <row r="97" spans="1:28">
      <c r="A97" s="2">
        <v>94</v>
      </c>
      <c r="B97" s="2" t="s">
        <v>498</v>
      </c>
      <c r="C97" s="2" t="s">
        <v>1219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1362</v>
      </c>
      <c r="J97" s="2" t="s">
        <v>1363</v>
      </c>
      <c r="K97" s="2">
        <f t="shared" si="33"/>
        <v>43795549.959168702</v>
      </c>
      <c r="L97" s="2" t="s">
        <v>1011</v>
      </c>
      <c r="M97" s="2" t="s">
        <v>967</v>
      </c>
      <c r="N97" s="2" t="s">
        <v>288</v>
      </c>
      <c r="O97" s="2">
        <v>500</v>
      </c>
      <c r="P97" s="2">
        <v>1272.239379882812</v>
      </c>
      <c r="Q97" s="2">
        <v>1053.892944335938</v>
      </c>
      <c r="R97" s="2">
        <f t="shared" si="35"/>
        <v>636119.68994140602</v>
      </c>
      <c r="S97" s="2">
        <f t="shared" si="36"/>
        <v>526946.47216796898</v>
      </c>
      <c r="T97" s="2">
        <f t="shared" si="37"/>
        <v>1163066.162109375</v>
      </c>
      <c r="U97" s="2">
        <f t="shared" si="38"/>
        <v>581.53</v>
      </c>
      <c r="V97" s="2">
        <f t="shared" si="39"/>
        <v>-109173.21777343703</v>
      </c>
      <c r="W97" s="2">
        <f t="shared" si="40"/>
        <v>-109754.74777343703</v>
      </c>
      <c r="X97" s="2">
        <f t="shared" si="41"/>
        <v>43685795.211395264</v>
      </c>
      <c r="Y97" s="2">
        <f t="shared" si="42"/>
        <v>127223.94</v>
      </c>
      <c r="Z97" s="2">
        <f t="shared" si="43"/>
        <v>-86.27</v>
      </c>
      <c r="AA97" s="2">
        <f t="shared" si="44"/>
        <v>43838462.094878539</v>
      </c>
      <c r="AB97" s="2">
        <f t="shared" si="45"/>
        <v>-152666.88348327577</v>
      </c>
    </row>
    <row r="98" spans="1:28">
      <c r="A98" s="2">
        <v>95</v>
      </c>
      <c r="B98" s="2" t="s">
        <v>502</v>
      </c>
      <c r="C98" s="2" t="s">
        <v>1219</v>
      </c>
      <c r="D98" s="4" t="s">
        <v>61</v>
      </c>
      <c r="E98" s="5" t="s">
        <v>134</v>
      </c>
      <c r="F98" s="2" t="s">
        <v>135</v>
      </c>
      <c r="G98" s="2" t="s">
        <v>77</v>
      </c>
      <c r="H98" s="2" t="s">
        <v>503</v>
      </c>
      <c r="I98" s="2" t="s">
        <v>1364</v>
      </c>
      <c r="J98" s="2" t="s">
        <v>1365</v>
      </c>
      <c r="K98" s="2">
        <f t="shared" si="33"/>
        <v>43685795.211395264</v>
      </c>
      <c r="L98" s="2" t="s">
        <v>1245</v>
      </c>
      <c r="M98" s="2" t="s">
        <v>1268</v>
      </c>
      <c r="N98" s="2" t="s">
        <v>1270</v>
      </c>
      <c r="O98" s="2">
        <v>2545</v>
      </c>
      <c r="P98" s="2">
        <v>428.75</v>
      </c>
      <c r="Q98" s="2">
        <v>444.85000610351562</v>
      </c>
      <c r="R98" s="2">
        <f t="shared" si="35"/>
        <v>1091168.75</v>
      </c>
      <c r="S98" s="2">
        <f t="shared" si="36"/>
        <v>1132143.2655334473</v>
      </c>
      <c r="T98" s="2">
        <f t="shared" si="37"/>
        <v>2223312.0155334473</v>
      </c>
      <c r="U98" s="2">
        <f t="shared" si="38"/>
        <v>1111.6600000000001</v>
      </c>
      <c r="V98" s="2">
        <f t="shared" si="39"/>
        <v>40974.515533447266</v>
      </c>
      <c r="W98" s="2">
        <f t="shared" si="40"/>
        <v>39862.855533447262</v>
      </c>
      <c r="X98" s="2">
        <f t="shared" si="41"/>
        <v>43725658.066928715</v>
      </c>
      <c r="Y98" s="2">
        <f t="shared" si="42"/>
        <v>218233.75</v>
      </c>
      <c r="Z98" s="2">
        <f t="shared" si="43"/>
        <v>18.27</v>
      </c>
      <c r="AA98" s="2">
        <f t="shared" si="44"/>
        <v>43838462.094878539</v>
      </c>
      <c r="AB98" s="2">
        <f t="shared" si="45"/>
        <v>-112804.02794982493</v>
      </c>
    </row>
    <row r="99" spans="1:28">
      <c r="A99" s="2">
        <v>96</v>
      </c>
      <c r="B99" s="2" t="s">
        <v>506</v>
      </c>
      <c r="C99" s="2" t="s">
        <v>1219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1366</v>
      </c>
      <c r="J99" s="2" t="s">
        <v>1367</v>
      </c>
      <c r="K99" s="2">
        <f t="shared" si="33"/>
        <v>43725658.066928715</v>
      </c>
      <c r="L99" s="2" t="s">
        <v>1055</v>
      </c>
      <c r="M99" s="2" t="s">
        <v>985</v>
      </c>
      <c r="N99" s="2" t="s">
        <v>1014</v>
      </c>
      <c r="O99" s="2">
        <v>400</v>
      </c>
      <c r="P99" s="2">
        <v>1741.550415039062</v>
      </c>
      <c r="Q99" s="2">
        <v>1818.957885742188</v>
      </c>
      <c r="R99" s="2">
        <f t="shared" si="35"/>
        <v>696620.16601562477</v>
      </c>
      <c r="S99" s="2">
        <f t="shared" si="36"/>
        <v>727583.15429687523</v>
      </c>
      <c r="T99" s="2">
        <f t="shared" si="37"/>
        <v>1424203.3203125</v>
      </c>
      <c r="U99" s="2">
        <f t="shared" si="38"/>
        <v>712.1</v>
      </c>
      <c r="V99" s="2">
        <f t="shared" si="39"/>
        <v>30962.988281250466</v>
      </c>
      <c r="W99" s="2">
        <f t="shared" si="40"/>
        <v>30250.888281250467</v>
      </c>
      <c r="X99" s="2">
        <f t="shared" si="41"/>
        <v>43755908.955209963</v>
      </c>
      <c r="Y99" s="2">
        <f t="shared" si="42"/>
        <v>139324.03</v>
      </c>
      <c r="Z99" s="2">
        <f t="shared" si="43"/>
        <v>21.71</v>
      </c>
      <c r="AA99" s="2">
        <f t="shared" si="44"/>
        <v>43838462.094878539</v>
      </c>
      <c r="AB99" s="2">
        <f t="shared" si="45"/>
        <v>-82553.139668576419</v>
      </c>
    </row>
    <row r="100" spans="1:28">
      <c r="A100" s="2">
        <v>97</v>
      </c>
      <c r="B100" s="2" t="s">
        <v>511</v>
      </c>
      <c r="C100" s="2" t="s">
        <v>1219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2" t="s">
        <v>512</v>
      </c>
      <c r="I100" s="2" t="s">
        <v>1368</v>
      </c>
      <c r="J100" s="2" t="s">
        <v>767</v>
      </c>
      <c r="K100" s="2">
        <f t="shared" si="33"/>
        <v>43755908.955209963</v>
      </c>
      <c r="L100" s="2" t="s">
        <v>1052</v>
      </c>
      <c r="M100" s="2" t="s">
        <v>289</v>
      </c>
      <c r="N100" s="2" t="s">
        <v>957</v>
      </c>
      <c r="O100" s="2">
        <v>13336</v>
      </c>
      <c r="P100" s="2">
        <v>219.67999267578119</v>
      </c>
      <c r="Q100" s="2">
        <v>212.96000671386719</v>
      </c>
      <c r="R100" s="2">
        <f t="shared" si="35"/>
        <v>2929652.3823242178</v>
      </c>
      <c r="S100" s="2">
        <f t="shared" si="36"/>
        <v>2840034.6495361328</v>
      </c>
      <c r="T100" s="2">
        <f t="shared" si="37"/>
        <v>5769687.0318603506</v>
      </c>
      <c r="U100" s="2">
        <f t="shared" si="38"/>
        <v>2884.84</v>
      </c>
      <c r="V100" s="2">
        <f t="shared" si="39"/>
        <v>-89617.732788085006</v>
      </c>
      <c r="W100" s="2">
        <f t="shared" si="40"/>
        <v>-92502.572788085003</v>
      </c>
      <c r="X100" s="2">
        <f t="shared" si="41"/>
        <v>43663406.382421881</v>
      </c>
      <c r="Y100" s="2">
        <f t="shared" si="42"/>
        <v>585930.48</v>
      </c>
      <c r="Z100" s="2">
        <f t="shared" si="43"/>
        <v>-15.79</v>
      </c>
      <c r="AA100" s="2">
        <f t="shared" si="44"/>
        <v>43838462.094878539</v>
      </c>
      <c r="AB100" s="2">
        <f t="shared" si="45"/>
        <v>-175055.71245665848</v>
      </c>
    </row>
    <row r="101" spans="1:28">
      <c r="A101" s="2">
        <v>98</v>
      </c>
      <c r="B101" s="2" t="s">
        <v>516</v>
      </c>
      <c r="C101" s="2" t="s">
        <v>1219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2" t="s">
        <v>517</v>
      </c>
      <c r="I101" s="2" t="s">
        <v>1369</v>
      </c>
      <c r="J101" s="2" t="s">
        <v>1370</v>
      </c>
      <c r="K101" s="2">
        <f t="shared" si="33"/>
        <v>43663406.382421881</v>
      </c>
      <c r="L101" s="2" t="s">
        <v>1267</v>
      </c>
      <c r="M101" s="2" t="s">
        <v>1254</v>
      </c>
      <c r="N101" s="2" t="s">
        <v>1272</v>
      </c>
      <c r="O101" s="2">
        <v>7145</v>
      </c>
      <c r="P101" s="2">
        <v>159.99552917480469</v>
      </c>
      <c r="Q101" s="2">
        <v>155.52177429199219</v>
      </c>
      <c r="R101" s="2">
        <f t="shared" si="35"/>
        <v>1143168.0559539795</v>
      </c>
      <c r="S101" s="2">
        <f t="shared" si="36"/>
        <v>1111203.0773162842</v>
      </c>
      <c r="T101" s="2">
        <f t="shared" si="37"/>
        <v>2254371.1332702637</v>
      </c>
      <c r="U101" s="2">
        <f t="shared" si="38"/>
        <v>1127.19</v>
      </c>
      <c r="V101" s="2">
        <f t="shared" si="39"/>
        <v>-31964.978637695312</v>
      </c>
      <c r="W101" s="2">
        <f t="shared" si="40"/>
        <v>-33092.168637695315</v>
      </c>
      <c r="X101" s="2">
        <f t="shared" si="41"/>
        <v>43630314.213784188</v>
      </c>
      <c r="Y101" s="2">
        <f t="shared" si="42"/>
        <v>228633.61</v>
      </c>
      <c r="Z101" s="2">
        <f t="shared" si="43"/>
        <v>-14.47</v>
      </c>
      <c r="AA101" s="2">
        <f t="shared" si="44"/>
        <v>43838462.094878539</v>
      </c>
      <c r="AB101" s="2">
        <f t="shared" si="45"/>
        <v>-208147.88109435141</v>
      </c>
    </row>
    <row r="102" spans="1:28">
      <c r="A102" s="2">
        <v>99</v>
      </c>
      <c r="B102" s="2" t="s">
        <v>519</v>
      </c>
      <c r="C102" s="2" t="s">
        <v>1219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2" t="s">
        <v>521</v>
      </c>
      <c r="I102" s="2" t="s">
        <v>1371</v>
      </c>
      <c r="J102" s="2" t="s">
        <v>1372</v>
      </c>
      <c r="K102" s="2">
        <f t="shared" si="33"/>
        <v>43630314.213784188</v>
      </c>
      <c r="L102" s="2" t="s">
        <v>1373</v>
      </c>
      <c r="M102" s="2" t="s">
        <v>1374</v>
      </c>
      <c r="N102" s="2" t="s">
        <v>1375</v>
      </c>
      <c r="O102" s="2">
        <v>8341</v>
      </c>
      <c r="P102" s="2">
        <v>175.51936340332031</v>
      </c>
      <c r="Q102" s="2">
        <v>166.3678894042969</v>
      </c>
      <c r="R102" s="2">
        <f t="shared" si="35"/>
        <v>1464007.0101470947</v>
      </c>
      <c r="S102" s="2">
        <f t="shared" si="36"/>
        <v>1387674.5655212405</v>
      </c>
      <c r="T102" s="2">
        <f t="shared" si="37"/>
        <v>2851681.575668335</v>
      </c>
      <c r="U102" s="2">
        <f t="shared" si="38"/>
        <v>1425.84</v>
      </c>
      <c r="V102" s="2">
        <f t="shared" si="39"/>
        <v>-76332.444625854259</v>
      </c>
      <c r="W102" s="2">
        <f t="shared" si="40"/>
        <v>-77758.284625854256</v>
      </c>
      <c r="X102" s="2">
        <f t="shared" si="41"/>
        <v>43552555.929158337</v>
      </c>
      <c r="Y102" s="2">
        <f t="shared" si="42"/>
        <v>292801.40000000002</v>
      </c>
      <c r="Z102" s="2">
        <f t="shared" si="43"/>
        <v>-26.56</v>
      </c>
      <c r="AA102" s="2">
        <f t="shared" si="44"/>
        <v>43838462.094878539</v>
      </c>
      <c r="AB102" s="2">
        <f t="shared" si="45"/>
        <v>-285906.16572020203</v>
      </c>
    </row>
    <row r="103" spans="1:28">
      <c r="A103" s="2">
        <v>100</v>
      </c>
      <c r="B103" s="2" t="s">
        <v>525</v>
      </c>
      <c r="C103" s="2" t="s">
        <v>1219</v>
      </c>
      <c r="D103" s="4" t="s">
        <v>61</v>
      </c>
      <c r="E103" s="5" t="s">
        <v>134</v>
      </c>
      <c r="F103" s="2" t="s">
        <v>135</v>
      </c>
      <c r="G103" s="2" t="s">
        <v>97</v>
      </c>
      <c r="H103" s="2" t="s">
        <v>526</v>
      </c>
      <c r="I103" s="2" t="s">
        <v>619</v>
      </c>
      <c r="J103" s="2" t="s">
        <v>1086</v>
      </c>
      <c r="K103" s="2">
        <f t="shared" si="33"/>
        <v>43552555.929158337</v>
      </c>
      <c r="L103" s="2" t="s">
        <v>959</v>
      </c>
      <c r="M103" s="2" t="s">
        <v>979</v>
      </c>
      <c r="N103" s="2" t="s">
        <v>1255</v>
      </c>
      <c r="O103" s="2">
        <v>11813</v>
      </c>
      <c r="P103" s="2">
        <v>151.30000000000001</v>
      </c>
      <c r="Q103" s="2">
        <v>152.80000000000001</v>
      </c>
      <c r="R103" s="2">
        <f t="shared" si="35"/>
        <v>1787306.9000000001</v>
      </c>
      <c r="S103" s="2">
        <f t="shared" si="36"/>
        <v>1805026.4000000001</v>
      </c>
      <c r="T103" s="2">
        <f t="shared" si="37"/>
        <v>3592333.3000000003</v>
      </c>
      <c r="U103" s="2">
        <f t="shared" si="38"/>
        <v>1796.17</v>
      </c>
      <c r="V103" s="2">
        <f t="shared" si="39"/>
        <v>17719.5</v>
      </c>
      <c r="W103" s="2">
        <f t="shared" si="40"/>
        <v>15923.33</v>
      </c>
      <c r="X103" s="2">
        <f t="shared" si="41"/>
        <v>43568479.259158336</v>
      </c>
      <c r="Y103" s="2">
        <f t="shared" si="42"/>
        <v>357461.38</v>
      </c>
      <c r="Z103" s="2">
        <f t="shared" si="43"/>
        <v>4.45</v>
      </c>
      <c r="AA103" s="2">
        <f t="shared" si="44"/>
        <v>43838462.094878539</v>
      </c>
      <c r="AB103" s="2">
        <f t="shared" si="45"/>
        <v>-269982.83572020382</v>
      </c>
    </row>
    <row r="104" spans="1:28">
      <c r="A104" s="2">
        <v>101</v>
      </c>
      <c r="B104" s="2" t="s">
        <v>527</v>
      </c>
      <c r="C104" s="2" t="s">
        <v>1219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152</v>
      </c>
      <c r="J104" s="2" t="s">
        <v>276</v>
      </c>
      <c r="K104" s="2">
        <f t="shared" si="33"/>
        <v>43568479.259158336</v>
      </c>
      <c r="L104" s="2" t="s">
        <v>999</v>
      </c>
      <c r="M104" s="2" t="s">
        <v>289</v>
      </c>
      <c r="N104" s="2" t="s">
        <v>288</v>
      </c>
      <c r="O104" s="2">
        <v>1600</v>
      </c>
      <c r="P104" s="2">
        <v>429.69107055664062</v>
      </c>
      <c r="Q104" s="2">
        <v>442.4713134765625</v>
      </c>
      <c r="R104" s="2">
        <f t="shared" si="35"/>
        <v>687505.712890625</v>
      </c>
      <c r="S104" s="2">
        <f t="shared" si="36"/>
        <v>707954.1015625</v>
      </c>
      <c r="T104" s="2">
        <f t="shared" si="37"/>
        <v>1395459.814453125</v>
      </c>
      <c r="U104" s="2">
        <f t="shared" si="38"/>
        <v>697.73</v>
      </c>
      <c r="V104" s="2">
        <f t="shared" si="39"/>
        <v>20448.388671875</v>
      </c>
      <c r="W104" s="2">
        <f t="shared" si="40"/>
        <v>19750.658671875</v>
      </c>
      <c r="X104" s="2">
        <f t="shared" si="41"/>
        <v>43588229.917830214</v>
      </c>
      <c r="Y104" s="2">
        <f t="shared" si="42"/>
        <v>137501.14000000001</v>
      </c>
      <c r="Z104" s="2">
        <f t="shared" si="43"/>
        <v>14.36</v>
      </c>
      <c r="AA104" s="2">
        <f t="shared" si="44"/>
        <v>43838462.094878539</v>
      </c>
      <c r="AB104" s="2">
        <f t="shared" si="45"/>
        <v>-250232.17704832554</v>
      </c>
    </row>
    <row r="105" spans="1:28">
      <c r="A105" s="2">
        <v>102</v>
      </c>
      <c r="B105" s="2" t="s">
        <v>530</v>
      </c>
      <c r="C105" s="2" t="s">
        <v>1219</v>
      </c>
      <c r="D105" s="3" t="s">
        <v>37</v>
      </c>
      <c r="E105" s="5" t="s">
        <v>134</v>
      </c>
      <c r="F105" s="2" t="s">
        <v>135</v>
      </c>
      <c r="G105" s="2" t="s">
        <v>77</v>
      </c>
      <c r="H105" s="2" t="s">
        <v>531</v>
      </c>
      <c r="I105" s="2" t="s">
        <v>41</v>
      </c>
      <c r="J105" s="2" t="s">
        <v>194</v>
      </c>
      <c r="K105" s="2">
        <f t="shared" si="33"/>
        <v>43588229.917830214</v>
      </c>
      <c r="L105" s="2" t="s">
        <v>1084</v>
      </c>
      <c r="M105" s="2" t="s">
        <v>1245</v>
      </c>
      <c r="N105" s="2" t="s">
        <v>1004</v>
      </c>
      <c r="O105" s="2">
        <v>914</v>
      </c>
      <c r="P105" s="2">
        <v>948.72833251953125</v>
      </c>
      <c r="Q105" s="2">
        <v>968.39801025390625</v>
      </c>
      <c r="R105" s="2">
        <f t="shared" si="35"/>
        <v>867137.69592285156</v>
      </c>
      <c r="S105" s="2">
        <f t="shared" si="36"/>
        <v>885115.78137207031</v>
      </c>
      <c r="T105" s="2">
        <f t="shared" si="37"/>
        <v>1752253.4772949219</v>
      </c>
      <c r="U105" s="2">
        <f t="shared" si="38"/>
        <v>876.13</v>
      </c>
      <c r="V105" s="2">
        <f t="shared" si="39"/>
        <v>17978.08544921875</v>
      </c>
      <c r="W105" s="2">
        <f t="shared" si="40"/>
        <v>17101.955449218749</v>
      </c>
      <c r="X105" s="2">
        <f t="shared" si="41"/>
        <v>43605331.87327943</v>
      </c>
      <c r="Y105" s="2">
        <f t="shared" si="42"/>
        <v>173427.54</v>
      </c>
      <c r="Z105" s="2">
        <f t="shared" si="43"/>
        <v>9.86</v>
      </c>
      <c r="AA105" s="2">
        <f t="shared" si="44"/>
        <v>43838462.094878539</v>
      </c>
      <c r="AB105" s="2">
        <f t="shared" si="45"/>
        <v>-233130.22159910947</v>
      </c>
    </row>
    <row r="106" spans="1:28">
      <c r="A106" s="2">
        <v>103</v>
      </c>
      <c r="B106" s="2" t="s">
        <v>534</v>
      </c>
      <c r="C106" s="2" t="s">
        <v>1219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158</v>
      </c>
      <c r="J106" s="2" t="s">
        <v>1319</v>
      </c>
      <c r="K106" s="2">
        <f t="shared" si="33"/>
        <v>43605331.87327943</v>
      </c>
      <c r="L106" s="2" t="s">
        <v>1014</v>
      </c>
      <c r="M106" s="2" t="s">
        <v>288</v>
      </c>
      <c r="N106" s="2" t="s">
        <v>970</v>
      </c>
      <c r="O106" s="2">
        <v>4127</v>
      </c>
      <c r="P106" s="2">
        <v>315.60784912109369</v>
      </c>
      <c r="Q106" s="2">
        <v>328.63754272460937</v>
      </c>
      <c r="R106" s="2">
        <f t="shared" si="35"/>
        <v>1302513.5933227537</v>
      </c>
      <c r="S106" s="2">
        <f t="shared" si="36"/>
        <v>1356287.1388244629</v>
      </c>
      <c r="T106" s="2">
        <f t="shared" si="37"/>
        <v>2658800.7321472168</v>
      </c>
      <c r="U106" s="2">
        <f t="shared" si="38"/>
        <v>1329.4</v>
      </c>
      <c r="V106" s="2">
        <f t="shared" si="39"/>
        <v>53773.545501709217</v>
      </c>
      <c r="W106" s="2">
        <f t="shared" si="40"/>
        <v>52444.145501709216</v>
      </c>
      <c r="X106" s="2">
        <f t="shared" si="41"/>
        <v>43657776.01878114</v>
      </c>
      <c r="Y106" s="2">
        <f t="shared" si="42"/>
        <v>260502.72</v>
      </c>
      <c r="Z106" s="2">
        <f t="shared" si="43"/>
        <v>20.13</v>
      </c>
      <c r="AA106" s="2">
        <f t="shared" si="44"/>
        <v>43838462.094878539</v>
      </c>
      <c r="AB106" s="2">
        <f t="shared" si="45"/>
        <v>-180686.076097399</v>
      </c>
    </row>
    <row r="107" spans="1:28">
      <c r="A107" s="2">
        <v>104</v>
      </c>
      <c r="B107" s="2" t="s">
        <v>539</v>
      </c>
      <c r="C107" s="2" t="s">
        <v>1219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2" t="s">
        <v>257</v>
      </c>
      <c r="I107" s="2" t="s">
        <v>1376</v>
      </c>
      <c r="J107" s="2" t="s">
        <v>1377</v>
      </c>
      <c r="K107" s="2">
        <f t="shared" si="33"/>
        <v>43657776.01878114</v>
      </c>
      <c r="L107" s="2" t="s">
        <v>1346</v>
      </c>
      <c r="M107" s="2" t="s">
        <v>1084</v>
      </c>
      <c r="N107" s="2" t="s">
        <v>1318</v>
      </c>
      <c r="O107" s="2">
        <v>1839</v>
      </c>
      <c r="P107" s="2">
        <v>704.609619140625</v>
      </c>
      <c r="Q107" s="2">
        <v>707.7862548828125</v>
      </c>
      <c r="R107" s="2">
        <f t="shared" si="35"/>
        <v>1295777.0895996094</v>
      </c>
      <c r="S107" s="2">
        <f t="shared" si="36"/>
        <v>1301618.9227294922</v>
      </c>
      <c r="T107" s="2">
        <f t="shared" si="37"/>
        <v>2597396.0123291016</v>
      </c>
      <c r="U107" s="2">
        <f t="shared" si="38"/>
        <v>1298.7</v>
      </c>
      <c r="V107" s="2">
        <f t="shared" si="39"/>
        <v>5841.8331298828125</v>
      </c>
      <c r="W107" s="2">
        <f t="shared" si="40"/>
        <v>4543.1331298828127</v>
      </c>
      <c r="X107" s="2">
        <f t="shared" si="41"/>
        <v>43662319.15191102</v>
      </c>
      <c r="Y107" s="2">
        <f t="shared" si="42"/>
        <v>259155.42</v>
      </c>
      <c r="Z107" s="2">
        <f t="shared" si="43"/>
        <v>1.75</v>
      </c>
      <c r="AA107" s="2">
        <f t="shared" si="44"/>
        <v>43838462.094878539</v>
      </c>
      <c r="AB107" s="2">
        <f t="shared" si="45"/>
        <v>-176142.94296751916</v>
      </c>
    </row>
    <row r="108" spans="1:28">
      <c r="A108" s="2">
        <v>105</v>
      </c>
      <c r="B108" s="2" t="s">
        <v>542</v>
      </c>
      <c r="C108" s="2" t="s">
        <v>1219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57</v>
      </c>
      <c r="J108" s="2" t="s">
        <v>1378</v>
      </c>
      <c r="K108" s="2">
        <f t="shared" si="33"/>
        <v>43662319.15191102</v>
      </c>
      <c r="L108" s="2" t="s">
        <v>970</v>
      </c>
      <c r="M108" s="2" t="s">
        <v>967</v>
      </c>
      <c r="N108" s="2" t="s">
        <v>957</v>
      </c>
      <c r="O108" s="2">
        <v>675</v>
      </c>
      <c r="P108" s="2">
        <v>984.28070068359375</v>
      </c>
      <c r="Q108" s="2">
        <v>955.57330322265625</v>
      </c>
      <c r="R108" s="2">
        <f t="shared" si="35"/>
        <v>664389.47296142578</v>
      </c>
      <c r="S108" s="2">
        <f t="shared" si="36"/>
        <v>645011.97967529297</v>
      </c>
      <c r="T108" s="2">
        <f t="shared" si="37"/>
        <v>1309401.4526367187</v>
      </c>
      <c r="U108" s="2">
        <f t="shared" si="38"/>
        <v>654.70000000000005</v>
      </c>
      <c r="V108" s="2">
        <f t="shared" si="39"/>
        <v>-19377.493286132813</v>
      </c>
      <c r="W108" s="2">
        <f t="shared" si="40"/>
        <v>-20032.193286132813</v>
      </c>
      <c r="X108" s="2">
        <f t="shared" si="41"/>
        <v>43642286.958624884</v>
      </c>
      <c r="Y108" s="2">
        <f t="shared" si="42"/>
        <v>132877.89000000001</v>
      </c>
      <c r="Z108" s="2">
        <f t="shared" si="43"/>
        <v>-15.08</v>
      </c>
      <c r="AA108" s="2">
        <f t="shared" si="44"/>
        <v>43838462.094878539</v>
      </c>
      <c r="AB108" s="2">
        <f t="shared" si="45"/>
        <v>-196175.13625365496</v>
      </c>
    </row>
    <row r="109" spans="1:28">
      <c r="A109" s="2">
        <v>106</v>
      </c>
      <c r="B109" s="2" t="s">
        <v>547</v>
      </c>
      <c r="C109" s="2" t="s">
        <v>1219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2" t="s">
        <v>548</v>
      </c>
      <c r="I109" s="2" t="s">
        <v>491</v>
      </c>
      <c r="J109" s="2" t="s">
        <v>978</v>
      </c>
      <c r="K109" s="2">
        <f t="shared" si="33"/>
        <v>43642286.958624884</v>
      </c>
      <c r="L109" s="2" t="s">
        <v>1292</v>
      </c>
      <c r="M109" s="2" t="s">
        <v>1379</v>
      </c>
      <c r="N109" s="2" t="s">
        <v>1278</v>
      </c>
      <c r="O109" s="2">
        <v>2273</v>
      </c>
      <c r="P109" s="2">
        <v>603.92657470703125</v>
      </c>
      <c r="Q109" s="2">
        <v>642.051513671875</v>
      </c>
      <c r="R109" s="2">
        <f t="shared" si="35"/>
        <v>1372725.104309082</v>
      </c>
      <c r="S109" s="2">
        <f t="shared" si="36"/>
        <v>1459383.0905761719</v>
      </c>
      <c r="T109" s="2">
        <f t="shared" si="37"/>
        <v>2832108.1948852539</v>
      </c>
      <c r="U109" s="2">
        <f t="shared" si="38"/>
        <v>1416.05</v>
      </c>
      <c r="V109" s="2">
        <f t="shared" si="39"/>
        <v>86657.986267089844</v>
      </c>
      <c r="W109" s="2">
        <f t="shared" si="40"/>
        <v>85241.936267089841</v>
      </c>
      <c r="X109" s="2">
        <f t="shared" si="41"/>
        <v>43727528.894891977</v>
      </c>
      <c r="Y109" s="2">
        <f t="shared" si="42"/>
        <v>274545.02</v>
      </c>
      <c r="Z109" s="2">
        <f t="shared" si="43"/>
        <v>31.05</v>
      </c>
      <c r="AA109" s="2">
        <f t="shared" si="44"/>
        <v>43838462.094878539</v>
      </c>
      <c r="AB109" s="2">
        <f t="shared" si="45"/>
        <v>-110933.19998656213</v>
      </c>
    </row>
    <row r="110" spans="1:28">
      <c r="A110" s="2">
        <v>107</v>
      </c>
      <c r="B110" s="2" t="s">
        <v>551</v>
      </c>
      <c r="C110" s="2" t="s">
        <v>1219</v>
      </c>
      <c r="D110" s="4" t="s">
        <v>61</v>
      </c>
      <c r="E110" s="5" t="s">
        <v>134</v>
      </c>
      <c r="F110" s="2" t="s">
        <v>135</v>
      </c>
      <c r="G110" s="2" t="s">
        <v>77</v>
      </c>
      <c r="H110" s="2" t="s">
        <v>145</v>
      </c>
      <c r="I110" s="2" t="s">
        <v>1380</v>
      </c>
      <c r="J110" s="2" t="s">
        <v>665</v>
      </c>
      <c r="K110" s="2">
        <f t="shared" si="33"/>
        <v>43727528.894891977</v>
      </c>
      <c r="L110" s="2" t="s">
        <v>1272</v>
      </c>
      <c r="M110" s="2" t="s">
        <v>1254</v>
      </c>
      <c r="N110" s="2" t="s">
        <v>1292</v>
      </c>
      <c r="O110" s="2">
        <v>1575</v>
      </c>
      <c r="P110" s="2">
        <v>541.7965087890625</v>
      </c>
      <c r="Q110" s="2">
        <v>569.85137939453125</v>
      </c>
      <c r="R110" s="2">
        <f t="shared" si="35"/>
        <v>853329.50134277344</v>
      </c>
      <c r="S110" s="2">
        <f t="shared" si="36"/>
        <v>897515.92254638672</v>
      </c>
      <c r="T110" s="2">
        <f t="shared" si="37"/>
        <v>1750845.4238891602</v>
      </c>
      <c r="U110" s="2">
        <f t="shared" si="38"/>
        <v>875.42</v>
      </c>
      <c r="V110" s="2">
        <f t="shared" si="39"/>
        <v>44186.421203613281</v>
      </c>
      <c r="W110" s="2">
        <f t="shared" si="40"/>
        <v>43311.001203613283</v>
      </c>
      <c r="X110" s="2">
        <f t="shared" si="41"/>
        <v>43770839.896095589</v>
      </c>
      <c r="Y110" s="2">
        <f t="shared" si="42"/>
        <v>170665.9</v>
      </c>
      <c r="Z110" s="2">
        <f t="shared" si="43"/>
        <v>25.38</v>
      </c>
      <c r="AA110" s="2">
        <f t="shared" si="44"/>
        <v>43838462.094878539</v>
      </c>
      <c r="AB110" s="2">
        <f t="shared" si="45"/>
        <v>-67622.19878295064</v>
      </c>
    </row>
    <row r="111" spans="1:28">
      <c r="A111" s="2">
        <v>108</v>
      </c>
      <c r="B111" s="2" t="s">
        <v>554</v>
      </c>
      <c r="C111" s="2" t="s">
        <v>1219</v>
      </c>
      <c r="D111" s="3" t="s">
        <v>37</v>
      </c>
      <c r="E111" s="5" t="s">
        <v>134</v>
      </c>
      <c r="F111" s="2" t="s">
        <v>135</v>
      </c>
      <c r="G111" s="2" t="s">
        <v>54</v>
      </c>
      <c r="H111" s="2" t="s">
        <v>555</v>
      </c>
      <c r="I111" s="2" t="s">
        <v>1381</v>
      </c>
      <c r="J111" s="2" t="s">
        <v>1382</v>
      </c>
      <c r="K111" s="2">
        <f t="shared" si="33"/>
        <v>43770839.896095589</v>
      </c>
      <c r="L111" s="2" t="s">
        <v>1267</v>
      </c>
      <c r="M111" s="2" t="s">
        <v>1268</v>
      </c>
      <c r="N111" s="2" t="s">
        <v>1245</v>
      </c>
      <c r="O111" s="2">
        <v>276</v>
      </c>
      <c r="P111" s="2">
        <v>4051.050048828125</v>
      </c>
      <c r="Q111" s="2">
        <v>4378.2001953125</v>
      </c>
      <c r="R111" s="2">
        <f t="shared" si="35"/>
        <v>1118089.8134765625</v>
      </c>
      <c r="S111" s="2">
        <f t="shared" si="36"/>
        <v>1208383.25390625</v>
      </c>
      <c r="T111" s="2">
        <f t="shared" si="37"/>
        <v>2326473.0673828125</v>
      </c>
      <c r="U111" s="2">
        <f t="shared" si="38"/>
        <v>1163.24</v>
      </c>
      <c r="V111" s="2">
        <f t="shared" si="39"/>
        <v>90293.4404296875</v>
      </c>
      <c r="W111" s="2">
        <f t="shared" si="40"/>
        <v>89130.200429687495</v>
      </c>
      <c r="X111" s="2">
        <f t="shared" si="41"/>
        <v>43859970.096525274</v>
      </c>
      <c r="Y111" s="2">
        <f t="shared" si="42"/>
        <v>223617.96</v>
      </c>
      <c r="Z111" s="2">
        <f t="shared" si="43"/>
        <v>39.86</v>
      </c>
      <c r="AA111" s="2">
        <f t="shared" si="44"/>
        <v>43859970.096525274</v>
      </c>
      <c r="AB111" s="2">
        <f t="shared" si="45"/>
        <v>0</v>
      </c>
    </row>
    <row r="112" spans="1:28">
      <c r="A112" s="2">
        <v>109</v>
      </c>
      <c r="B112" s="2" t="s">
        <v>558</v>
      </c>
      <c r="C112" s="2" t="s">
        <v>1219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2" t="s">
        <v>559</v>
      </c>
      <c r="I112" s="2" t="s">
        <v>1383</v>
      </c>
      <c r="J112" s="2" t="s">
        <v>1384</v>
      </c>
      <c r="K112" s="2">
        <f t="shared" si="33"/>
        <v>43859970.096525274</v>
      </c>
      <c r="L112" s="2" t="s">
        <v>1343</v>
      </c>
      <c r="M112" s="2" t="s">
        <v>1292</v>
      </c>
      <c r="N112" s="2" t="s">
        <v>1005</v>
      </c>
      <c r="O112" s="2">
        <v>208</v>
      </c>
      <c r="P112" s="2">
        <v>4237.1904296875</v>
      </c>
      <c r="Q112" s="2">
        <v>4470.39404296875</v>
      </c>
      <c r="R112" s="2">
        <f t="shared" si="35"/>
        <v>881335.609375</v>
      </c>
      <c r="S112" s="2">
        <f t="shared" si="36"/>
        <v>929841.9609375</v>
      </c>
      <c r="T112" s="2">
        <f t="shared" si="37"/>
        <v>1811177.5703125</v>
      </c>
      <c r="U112" s="2">
        <f t="shared" si="38"/>
        <v>905.59</v>
      </c>
      <c r="V112" s="2">
        <f t="shared" si="39"/>
        <v>48506.3515625</v>
      </c>
      <c r="W112" s="2">
        <f t="shared" si="40"/>
        <v>47600.761562500003</v>
      </c>
      <c r="X112" s="2">
        <f t="shared" si="41"/>
        <v>43907570.858087771</v>
      </c>
      <c r="Y112" s="2">
        <f t="shared" si="42"/>
        <v>176267.12</v>
      </c>
      <c r="Z112" s="2">
        <f t="shared" si="43"/>
        <v>27</v>
      </c>
      <c r="AA112" s="2">
        <f t="shared" si="44"/>
        <v>43907570.858087771</v>
      </c>
      <c r="AB112" s="2">
        <f t="shared" si="45"/>
        <v>0</v>
      </c>
    </row>
    <row r="113" spans="1:28">
      <c r="A113" s="2">
        <v>110</v>
      </c>
      <c r="B113" s="2" t="s">
        <v>562</v>
      </c>
      <c r="C113" s="2" t="s">
        <v>1219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2" t="s">
        <v>563</v>
      </c>
      <c r="I113" s="2" t="s">
        <v>1385</v>
      </c>
      <c r="J113" s="2" t="s">
        <v>1386</v>
      </c>
      <c r="K113" s="2">
        <f t="shared" si="33"/>
        <v>43907570.858087771</v>
      </c>
      <c r="L113" s="2" t="s">
        <v>1085</v>
      </c>
      <c r="M113" s="2" t="s">
        <v>1005</v>
      </c>
      <c r="N113" s="2" t="s">
        <v>1245</v>
      </c>
      <c r="O113" s="2">
        <v>1063</v>
      </c>
      <c r="P113" s="2">
        <v>737.67169189453125</v>
      </c>
      <c r="Q113" s="2">
        <v>778.26092529296875</v>
      </c>
      <c r="R113" s="2">
        <f t="shared" si="35"/>
        <v>784145.00848388672</v>
      </c>
      <c r="S113" s="2">
        <f t="shared" si="36"/>
        <v>827291.36358642578</v>
      </c>
      <c r="T113" s="2">
        <f t="shared" si="37"/>
        <v>1611436.3720703125</v>
      </c>
      <c r="U113" s="2">
        <f t="shared" si="38"/>
        <v>805.72</v>
      </c>
      <c r="V113" s="2">
        <f t="shared" si="39"/>
        <v>43146.355102539063</v>
      </c>
      <c r="W113" s="2">
        <f t="shared" si="40"/>
        <v>42340.635102539061</v>
      </c>
      <c r="X113" s="2">
        <f t="shared" si="41"/>
        <v>43949911.493190311</v>
      </c>
      <c r="Y113" s="2">
        <f t="shared" si="42"/>
        <v>156829</v>
      </c>
      <c r="Z113" s="2">
        <f t="shared" si="43"/>
        <v>27</v>
      </c>
      <c r="AA113" s="2">
        <f t="shared" si="44"/>
        <v>43949911.493190311</v>
      </c>
      <c r="AB113" s="2">
        <f t="shared" si="45"/>
        <v>0</v>
      </c>
    </row>
    <row r="114" spans="1:28">
      <c r="A114" s="2">
        <v>111</v>
      </c>
      <c r="B114" s="2" t="s">
        <v>566</v>
      </c>
      <c r="C114" s="2" t="s">
        <v>1219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1387</v>
      </c>
      <c r="J114" s="2" t="s">
        <v>453</v>
      </c>
      <c r="K114" s="2">
        <f t="shared" si="33"/>
        <v>43949911.493190311</v>
      </c>
      <c r="L114" s="2" t="s">
        <v>1052</v>
      </c>
      <c r="M114" s="2" t="s">
        <v>966</v>
      </c>
      <c r="N114" s="2" t="s">
        <v>1161</v>
      </c>
      <c r="O114" s="2">
        <v>400</v>
      </c>
      <c r="P114" s="2">
        <v>352.22390747070312</v>
      </c>
      <c r="Q114" s="2">
        <v>374.83782958984381</v>
      </c>
      <c r="R114" s="2">
        <f t="shared" si="35"/>
        <v>140889.56298828125</v>
      </c>
      <c r="S114" s="2">
        <f t="shared" si="36"/>
        <v>149935.13183593753</v>
      </c>
      <c r="T114" s="2">
        <f t="shared" si="37"/>
        <v>290824.69482421875</v>
      </c>
      <c r="U114" s="2">
        <f t="shared" si="38"/>
        <v>145.41</v>
      </c>
      <c r="V114" s="2">
        <f t="shared" si="39"/>
        <v>9045.5688476562791</v>
      </c>
      <c r="W114" s="2">
        <f t="shared" si="40"/>
        <v>8900.1588476562792</v>
      </c>
      <c r="X114" s="2">
        <f t="shared" si="41"/>
        <v>43958811.652037971</v>
      </c>
      <c r="Y114" s="2">
        <f t="shared" si="42"/>
        <v>28177.91</v>
      </c>
      <c r="Z114" s="2">
        <f t="shared" si="43"/>
        <v>31.59</v>
      </c>
      <c r="AA114" s="2">
        <f t="shared" si="44"/>
        <v>43958811.652037971</v>
      </c>
      <c r="AB114" s="2">
        <f t="shared" si="45"/>
        <v>0</v>
      </c>
    </row>
    <row r="115" spans="1:28">
      <c r="A115" s="2">
        <v>112</v>
      </c>
      <c r="B115" s="2" t="s">
        <v>570</v>
      </c>
      <c r="C115" s="2" t="s">
        <v>1219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2" t="s">
        <v>571</v>
      </c>
      <c r="I115" s="2" t="s">
        <v>1388</v>
      </c>
      <c r="J115" s="2" t="s">
        <v>1389</v>
      </c>
      <c r="K115" s="2">
        <f t="shared" si="33"/>
        <v>43958811.652037971</v>
      </c>
      <c r="L115" s="2" t="s">
        <v>1343</v>
      </c>
      <c r="M115" s="2" t="s">
        <v>1004</v>
      </c>
      <c r="N115" s="2" t="s">
        <v>1244</v>
      </c>
      <c r="O115" s="2">
        <v>1695</v>
      </c>
      <c r="P115" s="2">
        <v>1847.067993164062</v>
      </c>
      <c r="Q115" s="2">
        <v>1753.414794921875</v>
      </c>
      <c r="R115" s="2">
        <f t="shared" si="35"/>
        <v>3130780.248413085</v>
      </c>
      <c r="S115" s="2">
        <f t="shared" si="36"/>
        <v>2972038.0773925781</v>
      </c>
      <c r="T115" s="2">
        <f t="shared" si="37"/>
        <v>6102818.3258056631</v>
      </c>
      <c r="U115" s="2">
        <f t="shared" si="38"/>
        <v>3051.41</v>
      </c>
      <c r="V115" s="2">
        <f t="shared" si="39"/>
        <v>-158742.17102050688</v>
      </c>
      <c r="W115" s="2">
        <f t="shared" si="40"/>
        <v>-161793.58102050688</v>
      </c>
      <c r="X115" s="2">
        <f t="shared" si="41"/>
        <v>43797018.071017466</v>
      </c>
      <c r="Y115" s="2">
        <f t="shared" si="42"/>
        <v>626156.05000000005</v>
      </c>
      <c r="Z115" s="2">
        <f t="shared" si="43"/>
        <v>-25.84</v>
      </c>
      <c r="AA115" s="2">
        <f t="shared" si="44"/>
        <v>43958811.652037971</v>
      </c>
      <c r="AB115" s="2">
        <f t="shared" si="45"/>
        <v>-161793.58102050424</v>
      </c>
    </row>
    <row r="116" spans="1:28">
      <c r="A116" s="2">
        <v>113</v>
      </c>
      <c r="B116" s="2" t="s">
        <v>574</v>
      </c>
      <c r="C116" s="2" t="s">
        <v>1219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2" t="s">
        <v>575</v>
      </c>
      <c r="I116" s="2" t="s">
        <v>1390</v>
      </c>
      <c r="J116" s="2" t="s">
        <v>1391</v>
      </c>
      <c r="K116" s="2">
        <f t="shared" si="33"/>
        <v>43797018.071017466</v>
      </c>
      <c r="L116" s="2" t="s">
        <v>1318</v>
      </c>
      <c r="M116" s="2" t="s">
        <v>1245</v>
      </c>
      <c r="N116" s="2" t="s">
        <v>1004</v>
      </c>
      <c r="O116" s="2">
        <v>561</v>
      </c>
      <c r="P116" s="2">
        <v>447.25637817382812</v>
      </c>
      <c r="Q116" s="2">
        <v>438.64093017578131</v>
      </c>
      <c r="R116" s="2">
        <f t="shared" si="35"/>
        <v>250910.82815551758</v>
      </c>
      <c r="S116" s="2">
        <f t="shared" si="36"/>
        <v>246077.56182861331</v>
      </c>
      <c r="T116" s="2">
        <f t="shared" si="37"/>
        <v>496988.38998413086</v>
      </c>
      <c r="U116" s="2">
        <f t="shared" si="38"/>
        <v>248.49</v>
      </c>
      <c r="V116" s="2">
        <f t="shared" si="39"/>
        <v>-4833.2663269042678</v>
      </c>
      <c r="W116" s="2">
        <f t="shared" si="40"/>
        <v>-5081.7563269042676</v>
      </c>
      <c r="X116" s="2">
        <f t="shared" si="41"/>
        <v>43791936.31469056</v>
      </c>
      <c r="Y116" s="2">
        <f t="shared" si="42"/>
        <v>50182.17</v>
      </c>
      <c r="Z116" s="2">
        <f t="shared" si="43"/>
        <v>-10.130000000000001</v>
      </c>
      <c r="AA116" s="2">
        <f t="shared" si="44"/>
        <v>43958811.652037971</v>
      </c>
      <c r="AB116" s="2">
        <f t="shared" si="45"/>
        <v>-166875.33734741062</v>
      </c>
    </row>
    <row r="117" spans="1:28">
      <c r="A117" s="2">
        <v>114</v>
      </c>
      <c r="B117" s="2" t="s">
        <v>578</v>
      </c>
      <c r="C117" s="2" t="s">
        <v>1219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2" t="s">
        <v>65</v>
      </c>
      <c r="I117" s="2" t="s">
        <v>1258</v>
      </c>
      <c r="J117" s="2" t="s">
        <v>1392</v>
      </c>
      <c r="K117" s="2">
        <f t="shared" si="33"/>
        <v>43791936.31469056</v>
      </c>
      <c r="L117" s="2" t="s">
        <v>1270</v>
      </c>
      <c r="M117" s="2" t="s">
        <v>1251</v>
      </c>
      <c r="N117" s="2" t="s">
        <v>1292</v>
      </c>
      <c r="O117" s="2">
        <v>1848</v>
      </c>
      <c r="P117" s="2">
        <v>744.02764892578125</v>
      </c>
      <c r="Q117" s="2">
        <v>620.629150390625</v>
      </c>
      <c r="R117" s="2">
        <f t="shared" si="35"/>
        <v>1374963.0952148438</v>
      </c>
      <c r="S117" s="2">
        <f t="shared" si="36"/>
        <v>1146922.669921875</v>
      </c>
      <c r="T117" s="2">
        <f t="shared" si="37"/>
        <v>2521885.7651367187</v>
      </c>
      <c r="U117" s="2">
        <f t="shared" si="38"/>
        <v>1260.94</v>
      </c>
      <c r="V117" s="2">
        <f t="shared" si="39"/>
        <v>-228040.42529296875</v>
      </c>
      <c r="W117" s="2">
        <f t="shared" si="40"/>
        <v>-229301.36529296875</v>
      </c>
      <c r="X117" s="2">
        <f t="shared" si="41"/>
        <v>43562634.949397594</v>
      </c>
      <c r="Y117" s="2">
        <f t="shared" si="42"/>
        <v>274992.62</v>
      </c>
      <c r="Z117" s="2">
        <f t="shared" si="43"/>
        <v>-83.38</v>
      </c>
      <c r="AA117" s="2">
        <f t="shared" si="44"/>
        <v>43958811.652037971</v>
      </c>
      <c r="AB117" s="2">
        <f t="shared" si="45"/>
        <v>-396176.70264037699</v>
      </c>
    </row>
    <row r="118" spans="1:28">
      <c r="A118" s="2">
        <v>115</v>
      </c>
      <c r="B118" s="2" t="s">
        <v>581</v>
      </c>
      <c r="C118" s="2" t="s">
        <v>1219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1393</v>
      </c>
      <c r="J118" s="2" t="s">
        <v>1394</v>
      </c>
      <c r="K118" s="2">
        <f t="shared" si="33"/>
        <v>43562634.949397594</v>
      </c>
      <c r="L118" s="2" t="s">
        <v>1395</v>
      </c>
      <c r="M118" s="2" t="s">
        <v>1396</v>
      </c>
      <c r="N118" s="2" t="s">
        <v>1397</v>
      </c>
      <c r="O118" s="2">
        <v>2364</v>
      </c>
      <c r="P118" s="2">
        <v>402.80770874023437</v>
      </c>
      <c r="Q118" s="2">
        <v>430.38623046875</v>
      </c>
      <c r="R118" s="2">
        <f t="shared" si="35"/>
        <v>952237.42346191406</v>
      </c>
      <c r="S118" s="2">
        <f t="shared" si="36"/>
        <v>1017433.048828125</v>
      </c>
      <c r="T118" s="2">
        <f t="shared" si="37"/>
        <v>1969670.4722900391</v>
      </c>
      <c r="U118" s="2">
        <f t="shared" si="38"/>
        <v>984.84</v>
      </c>
      <c r="V118" s="2">
        <f t="shared" si="39"/>
        <v>65195.625366210938</v>
      </c>
      <c r="W118" s="2">
        <f t="shared" si="40"/>
        <v>64210.785366210941</v>
      </c>
      <c r="X118" s="2">
        <f t="shared" si="41"/>
        <v>43626845.734763801</v>
      </c>
      <c r="Y118" s="2">
        <f t="shared" si="42"/>
        <v>190447.48</v>
      </c>
      <c r="Z118" s="2">
        <f t="shared" si="43"/>
        <v>33.72</v>
      </c>
      <c r="AA118" s="2">
        <f t="shared" si="44"/>
        <v>43958811.652037971</v>
      </c>
      <c r="AB118" s="2">
        <f t="shared" si="45"/>
        <v>-331965.91727416962</v>
      </c>
    </row>
    <row r="119" spans="1:28">
      <c r="A119" s="2">
        <v>116</v>
      </c>
      <c r="B119" s="2" t="s">
        <v>586</v>
      </c>
      <c r="C119" s="2" t="s">
        <v>1219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2" t="s">
        <v>587</v>
      </c>
      <c r="I119" s="2" t="s">
        <v>1253</v>
      </c>
      <c r="J119" s="2" t="s">
        <v>1398</v>
      </c>
      <c r="K119" s="2">
        <f t="shared" si="33"/>
        <v>43626845.734763801</v>
      </c>
      <c r="L119" s="2" t="s">
        <v>985</v>
      </c>
      <c r="M119" s="2" t="s">
        <v>289</v>
      </c>
      <c r="N119" s="2" t="s">
        <v>957</v>
      </c>
      <c r="O119" s="2">
        <v>776</v>
      </c>
      <c r="P119" s="2">
        <v>1104.55908203125</v>
      </c>
      <c r="Q119" s="2">
        <v>1133.463745117188</v>
      </c>
      <c r="R119" s="2">
        <f t="shared" si="35"/>
        <v>857137.84765625</v>
      </c>
      <c r="S119" s="2">
        <f t="shared" si="36"/>
        <v>879567.86621093785</v>
      </c>
      <c r="T119" s="2">
        <f t="shared" si="37"/>
        <v>1736705.713867188</v>
      </c>
      <c r="U119" s="2">
        <f t="shared" si="38"/>
        <v>868.35</v>
      </c>
      <c r="V119" s="2">
        <f t="shared" si="39"/>
        <v>22430.018554687849</v>
      </c>
      <c r="W119" s="2">
        <f t="shared" si="40"/>
        <v>21561.668554687851</v>
      </c>
      <c r="X119" s="2">
        <f t="shared" si="41"/>
        <v>43648407.403318487</v>
      </c>
      <c r="Y119" s="2">
        <f t="shared" si="42"/>
        <v>171427.57</v>
      </c>
      <c r="Z119" s="2">
        <f t="shared" si="43"/>
        <v>12.58</v>
      </c>
      <c r="AA119" s="2">
        <f t="shared" si="44"/>
        <v>43958811.652037971</v>
      </c>
      <c r="AB119" s="2">
        <f t="shared" si="45"/>
        <v>-310404.24871948361</v>
      </c>
    </row>
    <row r="120" spans="1:28">
      <c r="A120" s="2">
        <v>117</v>
      </c>
      <c r="B120" s="2" t="s">
        <v>592</v>
      </c>
      <c r="C120" s="2" t="s">
        <v>1219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1399</v>
      </c>
      <c r="J120" s="2" t="s">
        <v>1400</v>
      </c>
      <c r="K120" s="2">
        <f t="shared" si="33"/>
        <v>43648407.403318487</v>
      </c>
      <c r="L120" s="2" t="s">
        <v>967</v>
      </c>
      <c r="M120" s="2" t="s">
        <v>959</v>
      </c>
      <c r="N120" s="2" t="s">
        <v>967</v>
      </c>
      <c r="O120" s="2">
        <v>300</v>
      </c>
      <c r="P120" s="2">
        <v>3554.115234375</v>
      </c>
      <c r="Q120" s="2">
        <v>3507.165771484375</v>
      </c>
      <c r="R120" s="2">
        <f t="shared" ref="R120:R151" si="46">O120*P120</f>
        <v>1066234.5703125</v>
      </c>
      <c r="S120" s="2">
        <f t="shared" ref="S120:S151" si="47">O120*Q120</f>
        <v>1052149.7314453125</v>
      </c>
      <c r="T120" s="2">
        <f t="shared" ref="T120:T151" si="48">R120+S120</f>
        <v>2118384.3017578125</v>
      </c>
      <c r="U120" s="2">
        <f t="shared" ref="U120:U151" si="49">ROUND(T120*0.0005, 2)</f>
        <v>1059.19</v>
      </c>
      <c r="V120" s="2">
        <f t="shared" ref="V120:V151" si="50">S120-R120</f>
        <v>-14084.8388671875</v>
      </c>
      <c r="W120" s="2">
        <f t="shared" ref="W120:W151" si="51">V120-U120</f>
        <v>-15144.028867187501</v>
      </c>
      <c r="X120" s="2">
        <f t="shared" ref="X120:X151" si="52">K120+W120</f>
        <v>43633263.374451302</v>
      </c>
      <c r="Y120" s="2">
        <f t="shared" ref="Y120:Y151" si="53">ROUND(0.2*R120, 2)</f>
        <v>213246.91</v>
      </c>
      <c r="Z120" s="2">
        <f t="shared" ref="Z120:Z151" si="54">ROUND((W120/Y120)*100, 2)</f>
        <v>-7.1</v>
      </c>
      <c r="AA120" s="2">
        <f t="shared" ref="AA120:AA151" si="55">MAX(AA119, X120)</f>
        <v>43958811.652037971</v>
      </c>
      <c r="AB120" s="2">
        <f t="shared" ref="AB120:AB151" si="56">X120-AA120</f>
        <v>-325548.27758666873</v>
      </c>
    </row>
    <row r="121" spans="1:28">
      <c r="A121" s="2">
        <v>118</v>
      </c>
      <c r="B121" s="2" t="s">
        <v>597</v>
      </c>
      <c r="C121" s="2" t="s">
        <v>1219</v>
      </c>
      <c r="D121" s="4" t="s">
        <v>61</v>
      </c>
      <c r="E121" s="5" t="s">
        <v>134</v>
      </c>
      <c r="F121" s="2" t="s">
        <v>135</v>
      </c>
      <c r="G121" s="2" t="s">
        <v>63</v>
      </c>
      <c r="H121" s="2" t="s">
        <v>598</v>
      </c>
      <c r="I121" s="2" t="s">
        <v>1401</v>
      </c>
      <c r="J121" s="2" t="s">
        <v>1402</v>
      </c>
      <c r="K121" s="2">
        <f t="shared" si="33"/>
        <v>43633263.374451302</v>
      </c>
      <c r="L121" s="2" t="s">
        <v>1085</v>
      </c>
      <c r="M121" s="2" t="s">
        <v>1296</v>
      </c>
      <c r="N121" s="2" t="s">
        <v>1343</v>
      </c>
      <c r="O121" s="2">
        <v>3265</v>
      </c>
      <c r="P121" s="2">
        <v>179.80656433105469</v>
      </c>
      <c r="Q121" s="2">
        <v>181.05352783203119</v>
      </c>
      <c r="R121" s="2">
        <f t="shared" si="46"/>
        <v>587068.43254089355</v>
      </c>
      <c r="S121" s="2">
        <f t="shared" si="47"/>
        <v>591139.7683715818</v>
      </c>
      <c r="T121" s="2">
        <f t="shared" si="48"/>
        <v>1178208.2009124754</v>
      </c>
      <c r="U121" s="2">
        <f t="shared" si="49"/>
        <v>589.1</v>
      </c>
      <c r="V121" s="2">
        <f t="shared" si="50"/>
        <v>4071.3358306882437</v>
      </c>
      <c r="W121" s="2">
        <f t="shared" si="51"/>
        <v>3482.2358306882438</v>
      </c>
      <c r="X121" s="2">
        <f t="shared" si="52"/>
        <v>43636745.610281989</v>
      </c>
      <c r="Y121" s="2">
        <f t="shared" si="53"/>
        <v>117413.69</v>
      </c>
      <c r="Z121" s="2">
        <f t="shared" si="54"/>
        <v>2.97</v>
      </c>
      <c r="AA121" s="2">
        <f t="shared" si="55"/>
        <v>43958811.652037971</v>
      </c>
      <c r="AB121" s="2">
        <f t="shared" si="56"/>
        <v>-322066.04175598174</v>
      </c>
    </row>
    <row r="122" spans="1:28">
      <c r="A122" s="2">
        <v>119</v>
      </c>
      <c r="B122" s="2" t="s">
        <v>601</v>
      </c>
      <c r="C122" s="2" t="s">
        <v>1219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2" t="s">
        <v>602</v>
      </c>
      <c r="I122" s="2" t="s">
        <v>608</v>
      </c>
      <c r="J122" s="2" t="s">
        <v>1403</v>
      </c>
      <c r="K122" s="2">
        <f t="shared" si="33"/>
        <v>43636745.610281989</v>
      </c>
      <c r="L122" s="2" t="s">
        <v>1085</v>
      </c>
      <c r="M122" s="2" t="s">
        <v>1267</v>
      </c>
      <c r="N122" s="2" t="s">
        <v>1404</v>
      </c>
      <c r="O122" s="2">
        <v>225</v>
      </c>
      <c r="P122" s="2">
        <v>5522.734375</v>
      </c>
      <c r="Q122" s="2">
        <v>5318.419921875</v>
      </c>
      <c r="R122" s="2">
        <f t="shared" si="46"/>
        <v>1242615.234375</v>
      </c>
      <c r="S122" s="2">
        <f t="shared" si="47"/>
        <v>1196644.482421875</v>
      </c>
      <c r="T122" s="2">
        <f t="shared" si="48"/>
        <v>2439259.716796875</v>
      </c>
      <c r="U122" s="2">
        <f t="shared" si="49"/>
        <v>1219.6300000000001</v>
      </c>
      <c r="V122" s="2">
        <f t="shared" si="50"/>
        <v>-45970.751953125</v>
      </c>
      <c r="W122" s="2">
        <f t="shared" si="51"/>
        <v>-47190.381953124997</v>
      </c>
      <c r="X122" s="2">
        <f t="shared" si="52"/>
        <v>43589555.228328861</v>
      </c>
      <c r="Y122" s="2">
        <f t="shared" si="53"/>
        <v>248523.05</v>
      </c>
      <c r="Z122" s="2">
        <f t="shared" si="54"/>
        <v>-18.989999999999998</v>
      </c>
      <c r="AA122" s="2">
        <f t="shared" si="55"/>
        <v>43958811.652037971</v>
      </c>
      <c r="AB122" s="2">
        <f t="shared" si="56"/>
        <v>-369256.42370910943</v>
      </c>
    </row>
    <row r="123" spans="1:28">
      <c r="A123" s="2">
        <v>120</v>
      </c>
      <c r="B123" s="2" t="s">
        <v>605</v>
      </c>
      <c r="C123" s="2" t="s">
        <v>1219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2" t="s">
        <v>606</v>
      </c>
      <c r="I123" s="2" t="s">
        <v>1405</v>
      </c>
      <c r="J123" s="2" t="s">
        <v>1406</v>
      </c>
      <c r="K123" s="2">
        <f t="shared" si="33"/>
        <v>43589555.228328861</v>
      </c>
      <c r="L123" s="2" t="s">
        <v>1004</v>
      </c>
      <c r="M123" s="2" t="s">
        <v>1283</v>
      </c>
      <c r="N123" s="2" t="s">
        <v>1269</v>
      </c>
      <c r="O123" s="2">
        <v>413</v>
      </c>
      <c r="P123" s="2">
        <v>1776.341918945312</v>
      </c>
      <c r="Q123" s="2">
        <v>1967.853637695312</v>
      </c>
      <c r="R123" s="2">
        <f t="shared" si="46"/>
        <v>733629.21252441383</v>
      </c>
      <c r="S123" s="2">
        <f t="shared" si="47"/>
        <v>812723.55236816383</v>
      </c>
      <c r="T123" s="2">
        <f t="shared" si="48"/>
        <v>1546352.7648925777</v>
      </c>
      <c r="U123" s="2">
        <f t="shared" si="49"/>
        <v>773.18</v>
      </c>
      <c r="V123" s="2">
        <f t="shared" si="50"/>
        <v>79094.33984375</v>
      </c>
      <c r="W123" s="2">
        <f t="shared" si="51"/>
        <v>78321.159843750007</v>
      </c>
      <c r="X123" s="2">
        <f t="shared" si="52"/>
        <v>43667876.388172612</v>
      </c>
      <c r="Y123" s="2">
        <f t="shared" si="53"/>
        <v>146725.84</v>
      </c>
      <c r="Z123" s="2">
        <f t="shared" si="54"/>
        <v>53.38</v>
      </c>
      <c r="AA123" s="2">
        <f t="shared" si="55"/>
        <v>43958811.652037971</v>
      </c>
      <c r="AB123" s="2">
        <f t="shared" si="56"/>
        <v>-290935.26386535913</v>
      </c>
    </row>
    <row r="124" spans="1:28">
      <c r="A124" s="2">
        <v>121</v>
      </c>
      <c r="B124" s="2" t="s">
        <v>609</v>
      </c>
      <c r="C124" s="2" t="s">
        <v>1219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247</v>
      </c>
      <c r="J124" s="2" t="s">
        <v>1407</v>
      </c>
      <c r="K124" s="2">
        <f t="shared" si="33"/>
        <v>43667876.388172612</v>
      </c>
      <c r="L124" s="2" t="s">
        <v>959</v>
      </c>
      <c r="M124" s="2" t="s">
        <v>947</v>
      </c>
      <c r="N124" s="2" t="s">
        <v>946</v>
      </c>
      <c r="O124" s="2">
        <v>350</v>
      </c>
      <c r="P124" s="2">
        <v>2831.232666015625</v>
      </c>
      <c r="Q124" s="2">
        <v>2877.030029296875</v>
      </c>
      <c r="R124" s="2">
        <f t="shared" si="46"/>
        <v>990931.43310546875</v>
      </c>
      <c r="S124" s="2">
        <f t="shared" si="47"/>
        <v>1006960.5102539062</v>
      </c>
      <c r="T124" s="2">
        <f t="shared" si="48"/>
        <v>1997891.943359375</v>
      </c>
      <c r="U124" s="2">
        <f t="shared" si="49"/>
        <v>998.95</v>
      </c>
      <c r="V124" s="2">
        <f t="shared" si="50"/>
        <v>16029.0771484375</v>
      </c>
      <c r="W124" s="2">
        <f t="shared" si="51"/>
        <v>15030.127148437499</v>
      </c>
      <c r="X124" s="2">
        <f t="shared" si="52"/>
        <v>43682906.515321046</v>
      </c>
      <c r="Y124" s="2">
        <f t="shared" si="53"/>
        <v>198186.29</v>
      </c>
      <c r="Z124" s="2">
        <f t="shared" si="54"/>
        <v>7.58</v>
      </c>
      <c r="AA124" s="2">
        <f t="shared" si="55"/>
        <v>43958811.652037971</v>
      </c>
      <c r="AB124" s="2">
        <f t="shared" si="56"/>
        <v>-275905.13671692461</v>
      </c>
    </row>
    <row r="125" spans="1:28">
      <c r="A125" s="2">
        <v>122</v>
      </c>
      <c r="B125" s="2" t="s">
        <v>613</v>
      </c>
      <c r="C125" s="2" t="s">
        <v>1219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2" t="s">
        <v>614</v>
      </c>
      <c r="I125" s="2" t="s">
        <v>1408</v>
      </c>
      <c r="J125" s="2" t="s">
        <v>1409</v>
      </c>
      <c r="K125" s="2">
        <f t="shared" si="33"/>
        <v>43682906.515321046</v>
      </c>
      <c r="L125" s="2" t="s">
        <v>1342</v>
      </c>
      <c r="M125" s="2" t="s">
        <v>1084</v>
      </c>
      <c r="N125" s="2" t="s">
        <v>1085</v>
      </c>
      <c r="O125" s="2">
        <v>12616</v>
      </c>
      <c r="P125" s="2">
        <v>60.980506896972663</v>
      </c>
      <c r="Q125" s="2">
        <v>62.665523529052727</v>
      </c>
      <c r="R125" s="2">
        <f t="shared" si="46"/>
        <v>769330.07501220715</v>
      </c>
      <c r="S125" s="2">
        <f t="shared" si="47"/>
        <v>790588.24484252918</v>
      </c>
      <c r="T125" s="2">
        <f t="shared" si="48"/>
        <v>1559918.3198547363</v>
      </c>
      <c r="U125" s="2">
        <f t="shared" si="49"/>
        <v>779.96</v>
      </c>
      <c r="V125" s="2">
        <f t="shared" si="50"/>
        <v>21258.169830322033</v>
      </c>
      <c r="W125" s="2">
        <f t="shared" si="51"/>
        <v>20478.209830322034</v>
      </c>
      <c r="X125" s="2">
        <f t="shared" si="52"/>
        <v>43703384.725151367</v>
      </c>
      <c r="Y125" s="2">
        <f t="shared" si="53"/>
        <v>153866.01999999999</v>
      </c>
      <c r="Z125" s="2">
        <f t="shared" si="54"/>
        <v>13.31</v>
      </c>
      <c r="AA125" s="2">
        <f t="shared" si="55"/>
        <v>43958811.652037971</v>
      </c>
      <c r="AB125" s="2">
        <f t="shared" si="56"/>
        <v>-255426.92688660324</v>
      </c>
    </row>
    <row r="126" spans="1:28">
      <c r="A126" s="2">
        <v>123</v>
      </c>
      <c r="B126" s="2" t="s">
        <v>617</v>
      </c>
      <c r="C126" s="2" t="s">
        <v>1219</v>
      </c>
      <c r="D126" s="3" t="s">
        <v>37</v>
      </c>
      <c r="E126" s="5" t="s">
        <v>134</v>
      </c>
      <c r="F126" s="2" t="s">
        <v>135</v>
      </c>
      <c r="G126" s="2" t="s">
        <v>97</v>
      </c>
      <c r="H126" s="2" t="s">
        <v>618</v>
      </c>
      <c r="I126" s="2" t="s">
        <v>715</v>
      </c>
      <c r="J126" s="2" t="s">
        <v>1410</v>
      </c>
      <c r="K126" s="2">
        <f t="shared" si="33"/>
        <v>43703384.725151367</v>
      </c>
      <c r="L126" s="2" t="s">
        <v>1278</v>
      </c>
      <c r="M126" s="2" t="s">
        <v>1250</v>
      </c>
      <c r="N126" s="2" t="s">
        <v>1312</v>
      </c>
      <c r="O126" s="2">
        <v>2714</v>
      </c>
      <c r="P126" s="2">
        <v>199.67448425292969</v>
      </c>
      <c r="Q126" s="2">
        <v>196.49559020996091</v>
      </c>
      <c r="R126" s="2">
        <f t="shared" si="46"/>
        <v>541916.55026245117</v>
      </c>
      <c r="S126" s="2">
        <f t="shared" si="47"/>
        <v>533289.03182983387</v>
      </c>
      <c r="T126" s="2">
        <f t="shared" si="48"/>
        <v>1075205.5820922852</v>
      </c>
      <c r="U126" s="2">
        <f t="shared" si="49"/>
        <v>537.6</v>
      </c>
      <c r="V126" s="2">
        <f t="shared" si="50"/>
        <v>-8627.5184326173039</v>
      </c>
      <c r="W126" s="2">
        <f t="shared" si="51"/>
        <v>-9165.1184326173043</v>
      </c>
      <c r="X126" s="2">
        <f t="shared" si="52"/>
        <v>43694219.606718749</v>
      </c>
      <c r="Y126" s="2">
        <f t="shared" si="53"/>
        <v>108383.31</v>
      </c>
      <c r="Z126" s="2">
        <f t="shared" si="54"/>
        <v>-8.4600000000000009</v>
      </c>
      <c r="AA126" s="2">
        <f t="shared" si="55"/>
        <v>43958811.652037971</v>
      </c>
      <c r="AB126" s="2">
        <f t="shared" si="56"/>
        <v>-264592.04531922191</v>
      </c>
    </row>
    <row r="127" spans="1:28">
      <c r="A127" s="2">
        <v>124</v>
      </c>
      <c r="B127" s="2" t="s">
        <v>621</v>
      </c>
      <c r="C127" s="2" t="s">
        <v>1219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2" t="s">
        <v>622</v>
      </c>
      <c r="I127" s="2" t="s">
        <v>1015</v>
      </c>
      <c r="J127" s="2" t="s">
        <v>663</v>
      </c>
      <c r="K127" s="2">
        <f t="shared" si="33"/>
        <v>43694219.606718749</v>
      </c>
      <c r="L127" s="2" t="s">
        <v>1004</v>
      </c>
      <c r="M127" s="2" t="s">
        <v>1268</v>
      </c>
      <c r="N127" s="2" t="s">
        <v>1270</v>
      </c>
      <c r="O127" s="2">
        <v>388</v>
      </c>
      <c r="P127" s="2">
        <v>2003.960083007812</v>
      </c>
      <c r="Q127" s="2">
        <v>2143.554931640625</v>
      </c>
      <c r="R127" s="2">
        <f t="shared" si="46"/>
        <v>777536.51220703102</v>
      </c>
      <c r="S127" s="2">
        <f t="shared" si="47"/>
        <v>831699.3134765625</v>
      </c>
      <c r="T127" s="2">
        <f t="shared" si="48"/>
        <v>1609235.8256835935</v>
      </c>
      <c r="U127" s="2">
        <f t="shared" si="49"/>
        <v>804.62</v>
      </c>
      <c r="V127" s="2">
        <f t="shared" si="50"/>
        <v>54162.801269531483</v>
      </c>
      <c r="W127" s="2">
        <f t="shared" si="51"/>
        <v>53358.18126953148</v>
      </c>
      <c r="X127" s="2">
        <f t="shared" si="52"/>
        <v>43747577.787988283</v>
      </c>
      <c r="Y127" s="2">
        <f t="shared" si="53"/>
        <v>155507.29999999999</v>
      </c>
      <c r="Z127" s="2">
        <f t="shared" si="54"/>
        <v>34.31</v>
      </c>
      <c r="AA127" s="2">
        <f t="shared" si="55"/>
        <v>43958811.652037971</v>
      </c>
      <c r="AB127" s="2">
        <f t="shared" si="56"/>
        <v>-211233.86404968798</v>
      </c>
    </row>
    <row r="128" spans="1:28">
      <c r="A128" s="2">
        <v>125</v>
      </c>
      <c r="B128" s="2" t="s">
        <v>625</v>
      </c>
      <c r="C128" s="2" t="s">
        <v>1219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2" t="s">
        <v>626</v>
      </c>
      <c r="I128" s="2" t="s">
        <v>1411</v>
      </c>
      <c r="J128" s="2" t="s">
        <v>1098</v>
      </c>
      <c r="K128" s="2">
        <f t="shared" si="33"/>
        <v>43747577.787988283</v>
      </c>
      <c r="L128" s="2" t="s">
        <v>1005</v>
      </c>
      <c r="M128" s="2" t="s">
        <v>1278</v>
      </c>
      <c r="N128" s="2" t="s">
        <v>1254</v>
      </c>
      <c r="O128" s="2">
        <v>1129</v>
      </c>
      <c r="P128" s="2">
        <v>669.6732177734375</v>
      </c>
      <c r="Q128" s="2">
        <v>640.21173095703125</v>
      </c>
      <c r="R128" s="2">
        <f t="shared" si="46"/>
        <v>756061.06286621094</v>
      </c>
      <c r="S128" s="2">
        <f t="shared" si="47"/>
        <v>722799.04425048828</v>
      </c>
      <c r="T128" s="2">
        <f t="shared" si="48"/>
        <v>1478860.1071166992</v>
      </c>
      <c r="U128" s="2">
        <f t="shared" si="49"/>
        <v>739.43</v>
      </c>
      <c r="V128" s="2">
        <f t="shared" si="50"/>
        <v>-33262.018615722656</v>
      </c>
      <c r="W128" s="2">
        <f t="shared" si="51"/>
        <v>-34001.448615722657</v>
      </c>
      <c r="X128" s="2">
        <f t="shared" si="52"/>
        <v>43713576.33937256</v>
      </c>
      <c r="Y128" s="2">
        <f t="shared" si="53"/>
        <v>151212.21</v>
      </c>
      <c r="Z128" s="2">
        <f t="shared" si="54"/>
        <v>-22.49</v>
      </c>
      <c r="AA128" s="2">
        <f t="shared" si="55"/>
        <v>43958811.652037971</v>
      </c>
      <c r="AB128" s="2">
        <f t="shared" si="56"/>
        <v>-245235.31266541034</v>
      </c>
    </row>
    <row r="129" spans="1:28">
      <c r="A129" s="2">
        <v>126</v>
      </c>
      <c r="B129" s="2" t="s">
        <v>629</v>
      </c>
      <c r="C129" s="2" t="s">
        <v>1219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1133</v>
      </c>
      <c r="J129" s="2" t="s">
        <v>1386</v>
      </c>
      <c r="K129" s="2">
        <f t="shared" si="33"/>
        <v>43713576.33937256</v>
      </c>
      <c r="L129" s="2" t="s">
        <v>957</v>
      </c>
      <c r="M129" s="2" t="s">
        <v>967</v>
      </c>
      <c r="N129" s="2" t="s">
        <v>994</v>
      </c>
      <c r="O129" s="2">
        <v>100</v>
      </c>
      <c r="P129" s="2">
        <v>10957.849609375</v>
      </c>
      <c r="Q129" s="2">
        <v>11379.6826171875</v>
      </c>
      <c r="R129" s="2">
        <f t="shared" si="46"/>
        <v>1095784.9609375</v>
      </c>
      <c r="S129" s="2">
        <f t="shared" si="47"/>
        <v>1137968.26171875</v>
      </c>
      <c r="T129" s="2">
        <f t="shared" si="48"/>
        <v>2233753.22265625</v>
      </c>
      <c r="U129" s="2">
        <f t="shared" si="49"/>
        <v>1116.8800000000001</v>
      </c>
      <c r="V129" s="2">
        <f t="shared" si="50"/>
        <v>42183.30078125</v>
      </c>
      <c r="W129" s="2">
        <f t="shared" si="51"/>
        <v>41066.420781250003</v>
      </c>
      <c r="X129" s="2">
        <f t="shared" si="52"/>
        <v>43754642.760153808</v>
      </c>
      <c r="Y129" s="2">
        <f t="shared" si="53"/>
        <v>219156.99</v>
      </c>
      <c r="Z129" s="2">
        <f t="shared" si="54"/>
        <v>18.739999999999998</v>
      </c>
      <c r="AA129" s="2">
        <f t="shared" si="55"/>
        <v>43958811.652037971</v>
      </c>
      <c r="AB129" s="2">
        <f t="shared" si="56"/>
        <v>-204168.89188416302</v>
      </c>
    </row>
    <row r="130" spans="1:28">
      <c r="A130" s="2">
        <v>127</v>
      </c>
      <c r="B130" s="2" t="s">
        <v>632</v>
      </c>
      <c r="C130" s="2" t="s">
        <v>1219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864</v>
      </c>
      <c r="J130" s="2" t="s">
        <v>300</v>
      </c>
      <c r="K130" s="2">
        <f t="shared" si="33"/>
        <v>43754642.760153808</v>
      </c>
      <c r="L130" s="2" t="s">
        <v>1245</v>
      </c>
      <c r="M130" s="2" t="s">
        <v>1292</v>
      </c>
      <c r="N130" s="2" t="s">
        <v>1268</v>
      </c>
      <c r="O130" s="2">
        <v>922</v>
      </c>
      <c r="P130" s="2">
        <v>944.09228515625</v>
      </c>
      <c r="Q130" s="2">
        <v>912.04193115234375</v>
      </c>
      <c r="R130" s="2">
        <f t="shared" si="46"/>
        <v>870453.0869140625</v>
      </c>
      <c r="S130" s="2">
        <f t="shared" si="47"/>
        <v>840902.66052246094</v>
      </c>
      <c r="T130" s="2">
        <f t="shared" si="48"/>
        <v>1711355.7474365234</v>
      </c>
      <c r="U130" s="2">
        <f t="shared" si="49"/>
        <v>855.68</v>
      </c>
      <c r="V130" s="2">
        <f t="shared" si="50"/>
        <v>-29550.426391601563</v>
      </c>
      <c r="W130" s="2">
        <f t="shared" si="51"/>
        <v>-30406.106391601563</v>
      </c>
      <c r="X130" s="2">
        <f t="shared" si="52"/>
        <v>43724236.653762206</v>
      </c>
      <c r="Y130" s="2">
        <f t="shared" si="53"/>
        <v>174090.62</v>
      </c>
      <c r="Z130" s="2">
        <f t="shared" si="54"/>
        <v>-17.47</v>
      </c>
      <c r="AA130" s="2">
        <f t="shared" si="55"/>
        <v>43958811.652037971</v>
      </c>
      <c r="AB130" s="2">
        <f t="shared" si="56"/>
        <v>-234574.99827576429</v>
      </c>
    </row>
    <row r="131" spans="1:28">
      <c r="A131" s="2">
        <v>128</v>
      </c>
      <c r="B131" s="2" t="s">
        <v>637</v>
      </c>
      <c r="C131" s="2" t="s">
        <v>1219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2" t="s">
        <v>638</v>
      </c>
      <c r="I131" s="2" t="s">
        <v>725</v>
      </c>
      <c r="J131" s="2" t="s">
        <v>138</v>
      </c>
      <c r="K131" s="2">
        <f t="shared" si="33"/>
        <v>43724236.653762206</v>
      </c>
      <c r="L131" s="2" t="s">
        <v>1251</v>
      </c>
      <c r="M131" s="2" t="s">
        <v>1334</v>
      </c>
      <c r="N131" s="2" t="s">
        <v>1250</v>
      </c>
      <c r="O131" s="2">
        <v>431</v>
      </c>
      <c r="P131" s="2">
        <v>2233.72705078125</v>
      </c>
      <c r="Q131" s="2">
        <v>2403.705322265625</v>
      </c>
      <c r="R131" s="2">
        <f t="shared" si="46"/>
        <v>962736.35888671875</v>
      </c>
      <c r="S131" s="2">
        <f t="shared" si="47"/>
        <v>1035996.9938964844</v>
      </c>
      <c r="T131" s="2">
        <f t="shared" si="48"/>
        <v>1998733.3527832031</v>
      </c>
      <c r="U131" s="2">
        <f t="shared" si="49"/>
        <v>999.37</v>
      </c>
      <c r="V131" s="2">
        <f t="shared" si="50"/>
        <v>73260.635009765625</v>
      </c>
      <c r="W131" s="2">
        <f t="shared" si="51"/>
        <v>72261.26500976563</v>
      </c>
      <c r="X131" s="2">
        <f t="shared" si="52"/>
        <v>43796497.918771975</v>
      </c>
      <c r="Y131" s="2">
        <f t="shared" si="53"/>
        <v>192547.27</v>
      </c>
      <c r="Z131" s="2">
        <f t="shared" si="54"/>
        <v>37.53</v>
      </c>
      <c r="AA131" s="2">
        <f t="shared" si="55"/>
        <v>43958811.652037971</v>
      </c>
      <c r="AB131" s="2">
        <f t="shared" si="56"/>
        <v>-162313.73326599598</v>
      </c>
    </row>
    <row r="132" spans="1:28">
      <c r="A132" s="2">
        <v>129</v>
      </c>
      <c r="B132" s="2" t="s">
        <v>640</v>
      </c>
      <c r="C132" s="2" t="s">
        <v>1219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2" t="s">
        <v>641</v>
      </c>
      <c r="I132" s="2" t="s">
        <v>1412</v>
      </c>
      <c r="J132" s="2" t="s">
        <v>1413</v>
      </c>
      <c r="K132" s="2">
        <f t="shared" si="33"/>
        <v>43796497.918771975</v>
      </c>
      <c r="L132" s="2" t="s">
        <v>1414</v>
      </c>
      <c r="M132" s="2" t="s">
        <v>1415</v>
      </c>
      <c r="N132" s="2" t="s">
        <v>1416</v>
      </c>
      <c r="O132" s="2">
        <v>373</v>
      </c>
      <c r="P132" s="2">
        <v>62.213623046875</v>
      </c>
      <c r="Q132" s="2">
        <v>79.998428344726563</v>
      </c>
      <c r="R132" s="2">
        <f t="shared" si="46"/>
        <v>23205.681396484375</v>
      </c>
      <c r="S132" s="2">
        <f t="shared" si="47"/>
        <v>29839.413772583008</v>
      </c>
      <c r="T132" s="2">
        <f t="shared" si="48"/>
        <v>53045.095169067383</v>
      </c>
      <c r="U132" s="2">
        <f t="shared" si="49"/>
        <v>26.52</v>
      </c>
      <c r="V132" s="2">
        <f t="shared" si="50"/>
        <v>6633.7323760986328</v>
      </c>
      <c r="W132" s="2">
        <f t="shared" si="51"/>
        <v>6607.2123760986324</v>
      </c>
      <c r="X132" s="2">
        <f t="shared" si="52"/>
        <v>43803105.13114807</v>
      </c>
      <c r="Y132" s="2">
        <f t="shared" si="53"/>
        <v>4641.1400000000003</v>
      </c>
      <c r="Z132" s="2">
        <f t="shared" si="54"/>
        <v>142.36000000000001</v>
      </c>
      <c r="AA132" s="2">
        <f t="shared" si="55"/>
        <v>43958811.652037971</v>
      </c>
      <c r="AB132" s="2">
        <f t="shared" si="56"/>
        <v>-155706.52088990062</v>
      </c>
    </row>
    <row r="133" spans="1:28">
      <c r="A133" s="2">
        <v>130</v>
      </c>
      <c r="B133" s="2" t="s">
        <v>647</v>
      </c>
      <c r="C133" s="2" t="s">
        <v>1219</v>
      </c>
      <c r="D133" s="4" t="s">
        <v>61</v>
      </c>
      <c r="E133" s="5" t="s">
        <v>134</v>
      </c>
      <c r="F133" s="2" t="s">
        <v>135</v>
      </c>
      <c r="G133" s="2" t="s">
        <v>97</v>
      </c>
      <c r="H133" s="2" t="s">
        <v>648</v>
      </c>
      <c r="I133" s="2" t="s">
        <v>1417</v>
      </c>
      <c r="J133" s="2" t="s">
        <v>1418</v>
      </c>
      <c r="K133" s="2">
        <f t="shared" ref="K133:K196" si="57">X132</f>
        <v>43803105.13114807</v>
      </c>
      <c r="L133" s="2" t="s">
        <v>1278</v>
      </c>
      <c r="M133" s="2" t="s">
        <v>1250</v>
      </c>
      <c r="N133" s="2" t="s">
        <v>1312</v>
      </c>
      <c r="O133" s="2">
        <v>661</v>
      </c>
      <c r="P133" s="2">
        <v>1040.25</v>
      </c>
      <c r="Q133" s="2">
        <v>1092.199951171875</v>
      </c>
      <c r="R133" s="2">
        <f t="shared" si="46"/>
        <v>687605.25</v>
      </c>
      <c r="S133" s="2">
        <f t="shared" si="47"/>
        <v>721944.16772460938</v>
      </c>
      <c r="T133" s="2">
        <f t="shared" si="48"/>
        <v>1409549.4177246094</v>
      </c>
      <c r="U133" s="2">
        <f t="shared" si="49"/>
        <v>704.77</v>
      </c>
      <c r="V133" s="2">
        <f t="shared" si="50"/>
        <v>34338.917724609375</v>
      </c>
      <c r="W133" s="2">
        <f t="shared" si="51"/>
        <v>33634.147724609378</v>
      </c>
      <c r="X133" s="2">
        <f t="shared" si="52"/>
        <v>43836739.278872676</v>
      </c>
      <c r="Y133" s="2">
        <f t="shared" si="53"/>
        <v>137521.04999999999</v>
      </c>
      <c r="Z133" s="2">
        <f t="shared" si="54"/>
        <v>24.46</v>
      </c>
      <c r="AA133" s="2">
        <f t="shared" si="55"/>
        <v>43958811.652037971</v>
      </c>
      <c r="AB133" s="2">
        <f t="shared" si="56"/>
        <v>-122072.37316529453</v>
      </c>
    </row>
    <row r="134" spans="1:28">
      <c r="A134" s="2">
        <v>131</v>
      </c>
      <c r="B134" s="2" t="s">
        <v>651</v>
      </c>
      <c r="C134" s="2" t="s">
        <v>1219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2" t="s">
        <v>361</v>
      </c>
      <c r="I134" s="2" t="s">
        <v>1419</v>
      </c>
      <c r="J134" s="2" t="s">
        <v>1420</v>
      </c>
      <c r="K134" s="2">
        <f t="shared" si="57"/>
        <v>43836739.278872676</v>
      </c>
      <c r="L134" s="2" t="s">
        <v>1283</v>
      </c>
      <c r="M134" s="2" t="s">
        <v>1421</v>
      </c>
      <c r="N134" s="2" t="s">
        <v>1312</v>
      </c>
      <c r="O134" s="2">
        <v>6815</v>
      </c>
      <c r="P134" s="2">
        <v>124.9621200561523</v>
      </c>
      <c r="Q134" s="2">
        <v>118.7631759643555</v>
      </c>
      <c r="R134" s="2">
        <f t="shared" si="46"/>
        <v>851616.84818267799</v>
      </c>
      <c r="S134" s="2">
        <f t="shared" si="47"/>
        <v>809371.04419708275</v>
      </c>
      <c r="T134" s="2">
        <f t="shared" si="48"/>
        <v>1660987.8923797607</v>
      </c>
      <c r="U134" s="2">
        <f t="shared" si="49"/>
        <v>830.49</v>
      </c>
      <c r="V134" s="2">
        <f t="shared" si="50"/>
        <v>-42245.803985595237</v>
      </c>
      <c r="W134" s="2">
        <f t="shared" si="51"/>
        <v>-43076.293985595235</v>
      </c>
      <c r="X134" s="2">
        <f t="shared" si="52"/>
        <v>43793662.984887078</v>
      </c>
      <c r="Y134" s="2">
        <f t="shared" si="53"/>
        <v>170323.37</v>
      </c>
      <c r="Z134" s="2">
        <f t="shared" si="54"/>
        <v>-25.29</v>
      </c>
      <c r="AA134" s="2">
        <f t="shared" si="55"/>
        <v>43958811.652037971</v>
      </c>
      <c r="AB134" s="2">
        <f t="shared" si="56"/>
        <v>-165148.66715089232</v>
      </c>
    </row>
    <row r="135" spans="1:28">
      <c r="A135" s="2">
        <v>132</v>
      </c>
      <c r="B135" s="2" t="s">
        <v>654</v>
      </c>
      <c r="C135" s="2" t="s">
        <v>1219</v>
      </c>
      <c r="D135" s="3" t="s">
        <v>37</v>
      </c>
      <c r="E135" s="5" t="s">
        <v>134</v>
      </c>
      <c r="F135" s="2" t="s">
        <v>135</v>
      </c>
      <c r="G135" s="2" t="s">
        <v>63</v>
      </c>
      <c r="H135" s="2" t="s">
        <v>642</v>
      </c>
      <c r="I135" s="2" t="s">
        <v>172</v>
      </c>
      <c r="J135" s="2" t="s">
        <v>1422</v>
      </c>
      <c r="K135" s="2">
        <f t="shared" si="57"/>
        <v>43793662.984887078</v>
      </c>
      <c r="L135" s="2" t="s">
        <v>1244</v>
      </c>
      <c r="M135" s="2" t="s">
        <v>1245</v>
      </c>
      <c r="N135" s="2" t="s">
        <v>1004</v>
      </c>
      <c r="O135" s="2">
        <v>1194</v>
      </c>
      <c r="P135" s="2">
        <v>559.1387939453125</v>
      </c>
      <c r="Q135" s="2">
        <v>581.48272705078125</v>
      </c>
      <c r="R135" s="2">
        <f t="shared" si="46"/>
        <v>667611.71997070312</v>
      </c>
      <c r="S135" s="2">
        <f t="shared" si="47"/>
        <v>694290.37609863281</v>
      </c>
      <c r="T135" s="2">
        <f t="shared" si="48"/>
        <v>1361902.0960693359</v>
      </c>
      <c r="U135" s="2">
        <f t="shared" si="49"/>
        <v>680.95</v>
      </c>
      <c r="V135" s="2">
        <f t="shared" si="50"/>
        <v>26678.656127929687</v>
      </c>
      <c r="W135" s="2">
        <f t="shared" si="51"/>
        <v>25997.706127929687</v>
      </c>
      <c r="X135" s="2">
        <f t="shared" si="52"/>
        <v>43819660.691015005</v>
      </c>
      <c r="Y135" s="2">
        <f t="shared" si="53"/>
        <v>133522.34</v>
      </c>
      <c r="Z135" s="2">
        <f t="shared" si="54"/>
        <v>19.47</v>
      </c>
      <c r="AA135" s="2">
        <f t="shared" si="55"/>
        <v>43958811.652037971</v>
      </c>
      <c r="AB135" s="2">
        <f t="shared" si="56"/>
        <v>-139150.96102296561</v>
      </c>
    </row>
    <row r="136" spans="1:28">
      <c r="A136" s="2">
        <v>133</v>
      </c>
      <c r="B136" s="2" t="s">
        <v>656</v>
      </c>
      <c r="C136" s="2" t="s">
        <v>1219</v>
      </c>
      <c r="D136" s="3" t="s">
        <v>37</v>
      </c>
      <c r="E136" s="5" t="s">
        <v>134</v>
      </c>
      <c r="F136" s="2" t="s">
        <v>135</v>
      </c>
      <c r="G136" s="2" t="s">
        <v>40</v>
      </c>
      <c r="H136" s="2" t="s">
        <v>657</v>
      </c>
      <c r="I136" s="2" t="s">
        <v>361</v>
      </c>
      <c r="J136" s="2" t="s">
        <v>1423</v>
      </c>
      <c r="K136" s="2">
        <f t="shared" si="57"/>
        <v>43819660.691015005</v>
      </c>
      <c r="L136" s="2" t="s">
        <v>1343</v>
      </c>
      <c r="M136" s="2" t="s">
        <v>1268</v>
      </c>
      <c r="N136" s="2" t="s">
        <v>1245</v>
      </c>
      <c r="O136" s="2">
        <v>426</v>
      </c>
      <c r="P136" s="2">
        <v>2672.947265625</v>
      </c>
      <c r="Q136" s="2">
        <v>2725.987060546875</v>
      </c>
      <c r="R136" s="2">
        <f t="shared" si="46"/>
        <v>1138675.53515625</v>
      </c>
      <c r="S136" s="2">
        <f t="shared" si="47"/>
        <v>1161270.4877929688</v>
      </c>
      <c r="T136" s="2">
        <f t="shared" si="48"/>
        <v>2299946.0229492187</v>
      </c>
      <c r="U136" s="2">
        <f t="shared" si="49"/>
        <v>1149.97</v>
      </c>
      <c r="V136" s="2">
        <f t="shared" si="50"/>
        <v>22594.95263671875</v>
      </c>
      <c r="W136" s="2">
        <f t="shared" si="51"/>
        <v>21444.982636718749</v>
      </c>
      <c r="X136" s="2">
        <f t="shared" si="52"/>
        <v>43841105.673651725</v>
      </c>
      <c r="Y136" s="2">
        <f t="shared" si="53"/>
        <v>227735.11</v>
      </c>
      <c r="Z136" s="2">
        <f t="shared" si="54"/>
        <v>9.42</v>
      </c>
      <c r="AA136" s="2">
        <f t="shared" si="55"/>
        <v>43958811.652037971</v>
      </c>
      <c r="AB136" s="2">
        <f t="shared" si="56"/>
        <v>-117705.97838624567</v>
      </c>
    </row>
    <row r="137" spans="1:28">
      <c r="A137" s="2">
        <v>134</v>
      </c>
      <c r="B137" s="2" t="s">
        <v>658</v>
      </c>
      <c r="C137" s="2" t="s">
        <v>1219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1128</v>
      </c>
      <c r="J137" s="2" t="s">
        <v>1129</v>
      </c>
      <c r="K137" s="2">
        <f t="shared" si="57"/>
        <v>43841105.673651725</v>
      </c>
      <c r="L137" s="2" t="s">
        <v>1130</v>
      </c>
      <c r="M137" s="2" t="s">
        <v>1106</v>
      </c>
      <c r="N137" s="2" t="s">
        <v>1131</v>
      </c>
      <c r="O137" s="2">
        <v>332</v>
      </c>
      <c r="P137" s="2">
        <v>3353.39990234375</v>
      </c>
      <c r="Q137" s="2">
        <v>3272.699951171875</v>
      </c>
      <c r="R137" s="2">
        <f t="shared" si="46"/>
        <v>1113328.767578125</v>
      </c>
      <c r="S137" s="2">
        <f t="shared" si="47"/>
        <v>1086536.3837890625</v>
      </c>
      <c r="T137" s="2">
        <f t="shared" si="48"/>
        <v>2199865.1513671875</v>
      </c>
      <c r="U137" s="2">
        <f t="shared" si="49"/>
        <v>1099.93</v>
      </c>
      <c r="V137" s="2">
        <f t="shared" si="50"/>
        <v>-26792.3837890625</v>
      </c>
      <c r="W137" s="2">
        <f t="shared" si="51"/>
        <v>-27892.3137890625</v>
      </c>
      <c r="X137" s="2">
        <f t="shared" si="52"/>
        <v>43813213.359862663</v>
      </c>
      <c r="Y137" s="2">
        <f t="shared" si="53"/>
        <v>222665.75</v>
      </c>
      <c r="Z137" s="2">
        <f t="shared" si="54"/>
        <v>-12.53</v>
      </c>
      <c r="AA137" s="2">
        <f t="shared" si="55"/>
        <v>43958811.652037971</v>
      </c>
      <c r="AB137" s="2">
        <f t="shared" si="56"/>
        <v>-145598.29217530787</v>
      </c>
    </row>
    <row r="138" spans="1:28">
      <c r="A138" s="2">
        <v>135</v>
      </c>
      <c r="B138" s="2" t="s">
        <v>661</v>
      </c>
      <c r="C138" s="2" t="s">
        <v>1219</v>
      </c>
      <c r="D138" s="4" t="s">
        <v>61</v>
      </c>
      <c r="E138" s="5" t="s">
        <v>134</v>
      </c>
      <c r="F138" s="2" t="s">
        <v>135</v>
      </c>
      <c r="G138" s="2" t="s">
        <v>63</v>
      </c>
      <c r="H138" s="2" t="s">
        <v>662</v>
      </c>
      <c r="I138" s="2" t="s">
        <v>465</v>
      </c>
      <c r="J138" s="2" t="s">
        <v>111</v>
      </c>
      <c r="K138" s="2">
        <f t="shared" si="57"/>
        <v>43813213.359862663</v>
      </c>
      <c r="L138" s="2" t="s">
        <v>1296</v>
      </c>
      <c r="M138" s="2" t="s">
        <v>1084</v>
      </c>
      <c r="N138" s="2" t="s">
        <v>1318</v>
      </c>
      <c r="O138" s="2">
        <v>871</v>
      </c>
      <c r="P138" s="2">
        <v>610.73382568359375</v>
      </c>
      <c r="Q138" s="2">
        <v>623.30706787109375</v>
      </c>
      <c r="R138" s="2">
        <f t="shared" si="46"/>
        <v>531949.16217041016</v>
      </c>
      <c r="S138" s="2">
        <f t="shared" si="47"/>
        <v>542900.45611572266</v>
      </c>
      <c r="T138" s="2">
        <f t="shared" si="48"/>
        <v>1074849.6182861328</v>
      </c>
      <c r="U138" s="2">
        <f t="shared" si="49"/>
        <v>537.41999999999996</v>
      </c>
      <c r="V138" s="2">
        <f t="shared" si="50"/>
        <v>10951.2939453125</v>
      </c>
      <c r="W138" s="2">
        <f t="shared" si="51"/>
        <v>10413.8739453125</v>
      </c>
      <c r="X138" s="2">
        <f t="shared" si="52"/>
        <v>43823627.233807974</v>
      </c>
      <c r="Y138" s="2">
        <f t="shared" si="53"/>
        <v>106389.83</v>
      </c>
      <c r="Z138" s="2">
        <f t="shared" si="54"/>
        <v>9.7899999999999991</v>
      </c>
      <c r="AA138" s="2">
        <f t="shared" si="55"/>
        <v>43958811.652037971</v>
      </c>
      <c r="AB138" s="2">
        <f t="shared" si="56"/>
        <v>-135184.41822999716</v>
      </c>
    </row>
    <row r="139" spans="1:28">
      <c r="A139" s="2">
        <v>136</v>
      </c>
      <c r="B139" s="2" t="s">
        <v>664</v>
      </c>
      <c r="C139" s="2" t="s">
        <v>1219</v>
      </c>
      <c r="D139" s="4" t="s">
        <v>61</v>
      </c>
      <c r="E139" s="5" t="s">
        <v>134</v>
      </c>
      <c r="F139" s="2" t="s">
        <v>135</v>
      </c>
      <c r="G139" s="2" t="s">
        <v>77</v>
      </c>
      <c r="H139" s="2" t="s">
        <v>665</v>
      </c>
      <c r="I139" s="2" t="s">
        <v>1424</v>
      </c>
      <c r="J139" s="2" t="s">
        <v>1425</v>
      </c>
      <c r="K139" s="2">
        <f t="shared" si="57"/>
        <v>43823627.233807974</v>
      </c>
      <c r="L139" s="2" t="s">
        <v>1283</v>
      </c>
      <c r="M139" s="2" t="s">
        <v>1312</v>
      </c>
      <c r="N139" s="2" t="s">
        <v>1255</v>
      </c>
      <c r="O139" s="2">
        <v>2876</v>
      </c>
      <c r="P139" s="2">
        <v>154.8677978515625</v>
      </c>
      <c r="Q139" s="2">
        <v>163.4918212890625</v>
      </c>
      <c r="R139" s="2">
        <f t="shared" si="46"/>
        <v>445399.78662109375</v>
      </c>
      <c r="S139" s="2">
        <f t="shared" si="47"/>
        <v>470202.47802734375</v>
      </c>
      <c r="T139" s="2">
        <f t="shared" si="48"/>
        <v>915602.2646484375</v>
      </c>
      <c r="U139" s="2">
        <f t="shared" si="49"/>
        <v>457.8</v>
      </c>
      <c r="V139" s="2">
        <f t="shared" si="50"/>
        <v>24802.69140625</v>
      </c>
      <c r="W139" s="2">
        <f t="shared" si="51"/>
        <v>24344.891406250001</v>
      </c>
      <c r="X139" s="2">
        <f t="shared" si="52"/>
        <v>43847972.125214227</v>
      </c>
      <c r="Y139" s="2">
        <f t="shared" si="53"/>
        <v>89079.96</v>
      </c>
      <c r="Z139" s="2">
        <f t="shared" si="54"/>
        <v>27.33</v>
      </c>
      <c r="AA139" s="2">
        <f t="shared" si="55"/>
        <v>43958811.652037971</v>
      </c>
      <c r="AB139" s="2">
        <f t="shared" si="56"/>
        <v>-110839.52682374418</v>
      </c>
    </row>
    <row r="140" spans="1:28">
      <c r="A140" s="2">
        <v>137</v>
      </c>
      <c r="B140" s="2" t="s">
        <v>667</v>
      </c>
      <c r="C140" s="2" t="s">
        <v>1219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2" t="s">
        <v>668</v>
      </c>
      <c r="I140" s="2" t="s">
        <v>1426</v>
      </c>
      <c r="J140" s="2" t="s">
        <v>178</v>
      </c>
      <c r="K140" s="2">
        <f t="shared" si="57"/>
        <v>43847972.125214227</v>
      </c>
      <c r="L140" s="2" t="s">
        <v>1254</v>
      </c>
      <c r="M140" s="2" t="s">
        <v>1255</v>
      </c>
      <c r="N140" s="2" t="s">
        <v>1278</v>
      </c>
      <c r="O140" s="2">
        <v>803</v>
      </c>
      <c r="P140" s="2">
        <v>1379.364624023438</v>
      </c>
      <c r="Q140" s="2">
        <v>1419.90234375</v>
      </c>
      <c r="R140" s="2">
        <f t="shared" si="46"/>
        <v>1107629.7930908208</v>
      </c>
      <c r="S140" s="2">
        <f t="shared" si="47"/>
        <v>1140181.58203125</v>
      </c>
      <c r="T140" s="2">
        <f t="shared" si="48"/>
        <v>2247811.3751220708</v>
      </c>
      <c r="U140" s="2">
        <f t="shared" si="49"/>
        <v>1123.9100000000001</v>
      </c>
      <c r="V140" s="2">
        <f t="shared" si="50"/>
        <v>32551.788940429222</v>
      </c>
      <c r="W140" s="2">
        <f t="shared" si="51"/>
        <v>31427.878940429222</v>
      </c>
      <c r="X140" s="2">
        <f t="shared" si="52"/>
        <v>43879400.004154652</v>
      </c>
      <c r="Y140" s="2">
        <f t="shared" si="53"/>
        <v>221525.96</v>
      </c>
      <c r="Z140" s="2">
        <f t="shared" si="54"/>
        <v>14.19</v>
      </c>
      <c r="AA140" s="2">
        <f t="shared" si="55"/>
        <v>43958811.652037971</v>
      </c>
      <c r="AB140" s="2">
        <f t="shared" si="56"/>
        <v>-79411.647883318365</v>
      </c>
    </row>
    <row r="141" spans="1:28">
      <c r="A141" s="2">
        <v>138</v>
      </c>
      <c r="B141" s="2" t="s">
        <v>670</v>
      </c>
      <c r="C141" s="2" t="s">
        <v>1219</v>
      </c>
      <c r="D141" s="4" t="s">
        <v>61</v>
      </c>
      <c r="E141" s="5" t="s">
        <v>134</v>
      </c>
      <c r="F141" s="2" t="s">
        <v>135</v>
      </c>
      <c r="G141" s="2" t="s">
        <v>97</v>
      </c>
      <c r="H141" s="2" t="s">
        <v>671</v>
      </c>
      <c r="I141" s="2" t="s">
        <v>495</v>
      </c>
      <c r="J141" s="2" t="s">
        <v>1427</v>
      </c>
      <c r="K141" s="2">
        <f t="shared" si="57"/>
        <v>43879400.004154652</v>
      </c>
      <c r="L141" s="2" t="s">
        <v>1255</v>
      </c>
      <c r="M141" s="2" t="s">
        <v>1379</v>
      </c>
      <c r="N141" s="2" t="s">
        <v>1250</v>
      </c>
      <c r="O141" s="2">
        <v>10687</v>
      </c>
      <c r="P141" s="2">
        <v>119.8747100830078</v>
      </c>
      <c r="Q141" s="2">
        <v>119.2123489379883</v>
      </c>
      <c r="R141" s="2">
        <f t="shared" si="46"/>
        <v>1281101.0266571043</v>
      </c>
      <c r="S141" s="2">
        <f t="shared" si="47"/>
        <v>1274022.373100281</v>
      </c>
      <c r="T141" s="2">
        <f t="shared" si="48"/>
        <v>2555123.3997573853</v>
      </c>
      <c r="U141" s="2">
        <f t="shared" si="49"/>
        <v>1277.56</v>
      </c>
      <c r="V141" s="2">
        <f t="shared" si="50"/>
        <v>-7078.6535568232648</v>
      </c>
      <c r="W141" s="2">
        <f t="shared" si="51"/>
        <v>-8356.2135568232643</v>
      </c>
      <c r="X141" s="2">
        <f t="shared" si="52"/>
        <v>43871043.790597826</v>
      </c>
      <c r="Y141" s="2">
        <f t="shared" si="53"/>
        <v>256220.21</v>
      </c>
      <c r="Z141" s="2">
        <f t="shared" si="54"/>
        <v>-3.26</v>
      </c>
      <c r="AA141" s="2">
        <f t="shared" si="55"/>
        <v>43958811.652037971</v>
      </c>
      <c r="AB141" s="2">
        <f t="shared" si="56"/>
        <v>-87767.861440144479</v>
      </c>
    </row>
    <row r="142" spans="1:28">
      <c r="A142" s="2">
        <v>139</v>
      </c>
      <c r="B142" s="2" t="s">
        <v>674</v>
      </c>
      <c r="C142" s="2" t="s">
        <v>1219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628</v>
      </c>
      <c r="J142" s="2" t="s">
        <v>1309</v>
      </c>
      <c r="K142" s="2">
        <f t="shared" si="57"/>
        <v>43871043.790597826</v>
      </c>
      <c r="L142" s="2" t="s">
        <v>1014</v>
      </c>
      <c r="M142" s="2" t="s">
        <v>985</v>
      </c>
      <c r="N142" s="2" t="s">
        <v>1014</v>
      </c>
      <c r="O142" s="2">
        <v>200</v>
      </c>
      <c r="P142" s="2">
        <v>1164.914306640625</v>
      </c>
      <c r="Q142" s="2">
        <v>1153.136474609375</v>
      </c>
      <c r="R142" s="2">
        <f t="shared" si="46"/>
        <v>232982.861328125</v>
      </c>
      <c r="S142" s="2">
        <f t="shared" si="47"/>
        <v>230627.294921875</v>
      </c>
      <c r="T142" s="2">
        <f t="shared" si="48"/>
        <v>463610.15625</v>
      </c>
      <c r="U142" s="2">
        <f t="shared" si="49"/>
        <v>231.81</v>
      </c>
      <c r="V142" s="2">
        <f t="shared" si="50"/>
        <v>-2355.56640625</v>
      </c>
      <c r="W142" s="2">
        <f t="shared" si="51"/>
        <v>-2587.3764062499999</v>
      </c>
      <c r="X142" s="2">
        <f t="shared" si="52"/>
        <v>43868456.414191574</v>
      </c>
      <c r="Y142" s="2">
        <f t="shared" si="53"/>
        <v>46596.57</v>
      </c>
      <c r="Z142" s="2">
        <f t="shared" si="54"/>
        <v>-5.55</v>
      </c>
      <c r="AA142" s="2">
        <f t="shared" si="55"/>
        <v>43958811.652037971</v>
      </c>
      <c r="AB142" s="2">
        <f t="shared" si="56"/>
        <v>-90355.237846396863</v>
      </c>
    </row>
    <row r="143" spans="1:28">
      <c r="A143" s="2">
        <v>140</v>
      </c>
      <c r="B143" s="2" t="s">
        <v>678</v>
      </c>
      <c r="C143" s="2" t="s">
        <v>1219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2" t="s">
        <v>679</v>
      </c>
      <c r="I143" s="2" t="s">
        <v>1428</v>
      </c>
      <c r="J143" s="2" t="s">
        <v>1103</v>
      </c>
      <c r="K143" s="2">
        <f t="shared" si="57"/>
        <v>43868456.414191574</v>
      </c>
      <c r="L143" s="2" t="s">
        <v>1268</v>
      </c>
      <c r="M143" s="2" t="s">
        <v>1312</v>
      </c>
      <c r="N143" s="2" t="s">
        <v>1283</v>
      </c>
      <c r="O143" s="2">
        <v>12809</v>
      </c>
      <c r="P143" s="2">
        <v>91.117660522460938</v>
      </c>
      <c r="Q143" s="2">
        <v>100.1152038574219</v>
      </c>
      <c r="R143" s="2">
        <f t="shared" si="46"/>
        <v>1167126.1136322021</v>
      </c>
      <c r="S143" s="2">
        <f t="shared" si="47"/>
        <v>1282375.6462097173</v>
      </c>
      <c r="T143" s="2">
        <f t="shared" si="48"/>
        <v>2449501.7598419194</v>
      </c>
      <c r="U143" s="2">
        <f t="shared" si="49"/>
        <v>1224.75</v>
      </c>
      <c r="V143" s="2">
        <f t="shared" si="50"/>
        <v>115249.53257751511</v>
      </c>
      <c r="W143" s="2">
        <f t="shared" si="51"/>
        <v>114024.78257751511</v>
      </c>
      <c r="X143" s="2">
        <f t="shared" si="52"/>
        <v>43982481.196769089</v>
      </c>
      <c r="Y143" s="2">
        <f t="shared" si="53"/>
        <v>233425.22</v>
      </c>
      <c r="Z143" s="2">
        <f t="shared" si="54"/>
        <v>48.85</v>
      </c>
      <c r="AA143" s="2">
        <f t="shared" si="55"/>
        <v>43982481.196769089</v>
      </c>
      <c r="AB143" s="2">
        <f t="shared" si="56"/>
        <v>0</v>
      </c>
    </row>
    <row r="144" spans="1:28">
      <c r="A144" s="2">
        <v>141</v>
      </c>
      <c r="B144" s="2" t="s">
        <v>681</v>
      </c>
      <c r="C144" s="2" t="s">
        <v>1219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2" t="s">
        <v>682</v>
      </c>
      <c r="I144" s="2" t="s">
        <v>1347</v>
      </c>
      <c r="J144" s="2" t="s">
        <v>247</v>
      </c>
      <c r="K144" s="2">
        <f t="shared" si="57"/>
        <v>43982481.196769089</v>
      </c>
      <c r="L144" s="2" t="s">
        <v>1269</v>
      </c>
      <c r="M144" s="2" t="s">
        <v>1312</v>
      </c>
      <c r="N144" s="2" t="s">
        <v>1255</v>
      </c>
      <c r="O144" s="2">
        <v>11763</v>
      </c>
      <c r="P144" s="2">
        <v>68.217193603515625</v>
      </c>
      <c r="Q144" s="2">
        <v>68.743972778320313</v>
      </c>
      <c r="R144" s="2">
        <f t="shared" si="46"/>
        <v>802438.8483581543</v>
      </c>
      <c r="S144" s="2">
        <f t="shared" si="47"/>
        <v>808635.35179138184</v>
      </c>
      <c r="T144" s="2">
        <f t="shared" si="48"/>
        <v>1611074.2001495361</v>
      </c>
      <c r="U144" s="2">
        <f t="shared" si="49"/>
        <v>805.54</v>
      </c>
      <c r="V144" s="2">
        <f t="shared" si="50"/>
        <v>6196.5034332275391</v>
      </c>
      <c r="W144" s="2">
        <f t="shared" si="51"/>
        <v>5390.9634332275391</v>
      </c>
      <c r="X144" s="2">
        <f t="shared" si="52"/>
        <v>43987872.160202317</v>
      </c>
      <c r="Y144" s="2">
        <f t="shared" si="53"/>
        <v>160487.76999999999</v>
      </c>
      <c r="Z144" s="2">
        <f t="shared" si="54"/>
        <v>3.36</v>
      </c>
      <c r="AA144" s="2">
        <f t="shared" si="55"/>
        <v>43987872.160202317</v>
      </c>
      <c r="AB144" s="2">
        <f t="shared" si="56"/>
        <v>0</v>
      </c>
    </row>
    <row r="145" spans="1:28">
      <c r="A145" s="2">
        <v>142</v>
      </c>
      <c r="B145" s="2" t="s">
        <v>685</v>
      </c>
      <c r="C145" s="2" t="s">
        <v>1219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1429</v>
      </c>
      <c r="J145" s="2" t="s">
        <v>1034</v>
      </c>
      <c r="K145" s="2">
        <f t="shared" si="57"/>
        <v>43987872.160202317</v>
      </c>
      <c r="L145" s="2" t="s">
        <v>1052</v>
      </c>
      <c r="M145" s="2" t="s">
        <v>967</v>
      </c>
      <c r="N145" s="2" t="s">
        <v>288</v>
      </c>
      <c r="O145" s="2">
        <v>1500</v>
      </c>
      <c r="P145" s="2">
        <v>394.57757568359381</v>
      </c>
      <c r="Q145" s="2">
        <v>407.63217163085937</v>
      </c>
      <c r="R145" s="2">
        <f t="shared" si="46"/>
        <v>591866.36352539074</v>
      </c>
      <c r="S145" s="2">
        <f t="shared" si="47"/>
        <v>611448.25744628906</v>
      </c>
      <c r="T145" s="2">
        <f t="shared" si="48"/>
        <v>1203314.6209716797</v>
      </c>
      <c r="U145" s="2">
        <f t="shared" si="49"/>
        <v>601.66</v>
      </c>
      <c r="V145" s="2">
        <f t="shared" si="50"/>
        <v>19581.893920898321</v>
      </c>
      <c r="W145" s="2">
        <f t="shared" si="51"/>
        <v>18980.233920898321</v>
      </c>
      <c r="X145" s="2">
        <f t="shared" si="52"/>
        <v>44006852.394123219</v>
      </c>
      <c r="Y145" s="2">
        <f t="shared" si="53"/>
        <v>118373.27</v>
      </c>
      <c r="Z145" s="2">
        <f t="shared" si="54"/>
        <v>16.03</v>
      </c>
      <c r="AA145" s="2">
        <f t="shared" si="55"/>
        <v>44006852.394123219</v>
      </c>
      <c r="AB145" s="2">
        <f t="shared" si="56"/>
        <v>0</v>
      </c>
    </row>
    <row r="146" spans="1:28">
      <c r="A146" s="2">
        <v>143</v>
      </c>
      <c r="B146" s="2" t="s">
        <v>689</v>
      </c>
      <c r="C146" s="2" t="s">
        <v>1219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2" t="s">
        <v>690</v>
      </c>
      <c r="I146" s="2" t="s">
        <v>1430</v>
      </c>
      <c r="J146" s="2" t="s">
        <v>1431</v>
      </c>
      <c r="K146" s="2">
        <f t="shared" si="57"/>
        <v>44006852.394123219</v>
      </c>
      <c r="L146" s="2" t="s">
        <v>1292</v>
      </c>
      <c r="M146" s="2" t="s">
        <v>1250</v>
      </c>
      <c r="N146" s="2" t="s">
        <v>1312</v>
      </c>
      <c r="O146" s="2">
        <v>2996</v>
      </c>
      <c r="P146" s="2">
        <v>189.27000427246091</v>
      </c>
      <c r="Q146" s="2">
        <v>200.1199951171875</v>
      </c>
      <c r="R146" s="2">
        <f t="shared" si="46"/>
        <v>567052.93280029285</v>
      </c>
      <c r="S146" s="2">
        <f t="shared" si="47"/>
        <v>599559.50537109375</v>
      </c>
      <c r="T146" s="2">
        <f t="shared" si="48"/>
        <v>1166612.4381713867</v>
      </c>
      <c r="U146" s="2">
        <f t="shared" si="49"/>
        <v>583.30999999999995</v>
      </c>
      <c r="V146" s="2">
        <f t="shared" si="50"/>
        <v>32506.572570800898</v>
      </c>
      <c r="W146" s="2">
        <f t="shared" si="51"/>
        <v>31923.262570800896</v>
      </c>
      <c r="X146" s="2">
        <f t="shared" si="52"/>
        <v>44038775.656694017</v>
      </c>
      <c r="Y146" s="2">
        <f t="shared" si="53"/>
        <v>113410.59</v>
      </c>
      <c r="Z146" s="2">
        <f t="shared" si="54"/>
        <v>28.15</v>
      </c>
      <c r="AA146" s="2">
        <f t="shared" si="55"/>
        <v>44038775.656694017</v>
      </c>
      <c r="AB146" s="2">
        <f t="shared" si="56"/>
        <v>0</v>
      </c>
    </row>
    <row r="147" spans="1:28">
      <c r="A147" s="2">
        <v>144</v>
      </c>
      <c r="B147" s="2" t="s">
        <v>692</v>
      </c>
      <c r="C147" s="2" t="s">
        <v>1219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2" t="s">
        <v>693</v>
      </c>
      <c r="I147" s="2" t="s">
        <v>206</v>
      </c>
      <c r="J147" s="2" t="s">
        <v>1432</v>
      </c>
      <c r="K147" s="2">
        <f t="shared" si="57"/>
        <v>44038775.656694017</v>
      </c>
      <c r="L147" s="2" t="s">
        <v>1346</v>
      </c>
      <c r="M147" s="2" t="s">
        <v>1004</v>
      </c>
      <c r="N147" s="2" t="s">
        <v>1318</v>
      </c>
      <c r="O147" s="2">
        <v>551</v>
      </c>
      <c r="P147" s="2">
        <v>1693.750366210938</v>
      </c>
      <c r="Q147" s="2">
        <v>1711.316040039062</v>
      </c>
      <c r="R147" s="2">
        <f t="shared" si="46"/>
        <v>933256.4517822268</v>
      </c>
      <c r="S147" s="2">
        <f t="shared" si="47"/>
        <v>942935.1380615232</v>
      </c>
      <c r="T147" s="2">
        <f t="shared" si="48"/>
        <v>1876191.58984375</v>
      </c>
      <c r="U147" s="2">
        <f t="shared" si="49"/>
        <v>938.1</v>
      </c>
      <c r="V147" s="2">
        <f t="shared" si="50"/>
        <v>9678.6862792964093</v>
      </c>
      <c r="W147" s="2">
        <f t="shared" si="51"/>
        <v>8740.586279296409</v>
      </c>
      <c r="X147" s="2">
        <f t="shared" si="52"/>
        <v>44047516.242973313</v>
      </c>
      <c r="Y147" s="2">
        <f t="shared" si="53"/>
        <v>186651.29</v>
      </c>
      <c r="Z147" s="2">
        <f t="shared" si="54"/>
        <v>4.68</v>
      </c>
      <c r="AA147" s="2">
        <f t="shared" si="55"/>
        <v>44047516.242973313</v>
      </c>
      <c r="AB147" s="2">
        <f t="shared" si="56"/>
        <v>0</v>
      </c>
    </row>
    <row r="148" spans="1:28">
      <c r="A148" s="2">
        <v>145</v>
      </c>
      <c r="B148" s="2" t="s">
        <v>696</v>
      </c>
      <c r="C148" s="2" t="s">
        <v>1219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2" t="s">
        <v>697</v>
      </c>
      <c r="I148" s="2" t="s">
        <v>1433</v>
      </c>
      <c r="J148" s="2" t="s">
        <v>1224</v>
      </c>
      <c r="K148" s="2">
        <f t="shared" si="57"/>
        <v>44047516.242973313</v>
      </c>
      <c r="L148" s="2" t="s">
        <v>1346</v>
      </c>
      <c r="M148" s="2" t="s">
        <v>1272</v>
      </c>
      <c r="N148" s="2" t="s">
        <v>1244</v>
      </c>
      <c r="O148" s="2">
        <v>100</v>
      </c>
      <c r="P148" s="2">
        <v>10300.5</v>
      </c>
      <c r="Q148" s="2">
        <v>9416.6640625</v>
      </c>
      <c r="R148" s="2">
        <f t="shared" si="46"/>
        <v>1030050</v>
      </c>
      <c r="S148" s="2">
        <f t="shared" si="47"/>
        <v>941666.40625</v>
      </c>
      <c r="T148" s="2">
        <f t="shared" si="48"/>
        <v>1971716.40625</v>
      </c>
      <c r="U148" s="2">
        <f t="shared" si="49"/>
        <v>985.86</v>
      </c>
      <c r="V148" s="2">
        <f t="shared" si="50"/>
        <v>-88383.59375</v>
      </c>
      <c r="W148" s="2">
        <f t="shared" si="51"/>
        <v>-89369.453750000001</v>
      </c>
      <c r="X148" s="2">
        <f t="shared" si="52"/>
        <v>43958146.789223313</v>
      </c>
      <c r="Y148" s="2">
        <f t="shared" si="53"/>
        <v>206010</v>
      </c>
      <c r="Z148" s="2">
        <f t="shared" si="54"/>
        <v>-43.38</v>
      </c>
      <c r="AA148" s="2">
        <f t="shared" si="55"/>
        <v>44047516.242973313</v>
      </c>
      <c r="AB148" s="2">
        <f t="shared" si="56"/>
        <v>-89369.453749999404</v>
      </c>
    </row>
    <row r="149" spans="1:28">
      <c r="A149" s="2">
        <v>146</v>
      </c>
      <c r="B149" s="2" t="s">
        <v>701</v>
      </c>
      <c r="C149" s="2" t="s">
        <v>1219</v>
      </c>
      <c r="D149" s="3" t="s">
        <v>37</v>
      </c>
      <c r="E149" s="5" t="s">
        <v>134</v>
      </c>
      <c r="F149" s="2" t="s">
        <v>135</v>
      </c>
      <c r="G149" s="2" t="s">
        <v>77</v>
      </c>
      <c r="H149" s="2" t="s">
        <v>702</v>
      </c>
      <c r="I149" s="2" t="s">
        <v>1434</v>
      </c>
      <c r="J149" s="2" t="s">
        <v>1107</v>
      </c>
      <c r="K149" s="2">
        <f t="shared" si="57"/>
        <v>43958146.789223313</v>
      </c>
      <c r="L149" s="2" t="s">
        <v>1269</v>
      </c>
      <c r="M149" s="2" t="s">
        <v>1255</v>
      </c>
      <c r="N149" s="2" t="s">
        <v>1278</v>
      </c>
      <c r="O149" s="2">
        <v>2188</v>
      </c>
      <c r="P149" s="2">
        <v>541.021484375</v>
      </c>
      <c r="Q149" s="2">
        <v>631.88629150390625</v>
      </c>
      <c r="R149" s="2">
        <f t="shared" si="46"/>
        <v>1183755.0078125</v>
      </c>
      <c r="S149" s="2">
        <f t="shared" si="47"/>
        <v>1382567.2058105469</v>
      </c>
      <c r="T149" s="2">
        <f t="shared" si="48"/>
        <v>2566322.2136230469</v>
      </c>
      <c r="U149" s="2">
        <f t="shared" si="49"/>
        <v>1283.1600000000001</v>
      </c>
      <c r="V149" s="2">
        <f t="shared" si="50"/>
        <v>198812.19799804688</v>
      </c>
      <c r="W149" s="2">
        <f t="shared" si="51"/>
        <v>197529.03799804687</v>
      </c>
      <c r="X149" s="2">
        <f t="shared" si="52"/>
        <v>44155675.827221364</v>
      </c>
      <c r="Y149" s="2">
        <f t="shared" si="53"/>
        <v>236751</v>
      </c>
      <c r="Z149" s="2">
        <f t="shared" si="54"/>
        <v>83.43</v>
      </c>
      <c r="AA149" s="2">
        <f t="shared" si="55"/>
        <v>44155675.827221364</v>
      </c>
      <c r="AB149" s="2">
        <f t="shared" si="56"/>
        <v>0</v>
      </c>
    </row>
    <row r="150" spans="1:28">
      <c r="A150" s="2">
        <v>147</v>
      </c>
      <c r="B150" s="2" t="s">
        <v>705</v>
      </c>
      <c r="C150" s="2" t="s">
        <v>1219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1137</v>
      </c>
      <c r="J150" s="2" t="s">
        <v>1435</v>
      </c>
      <c r="K150" s="2">
        <f t="shared" si="57"/>
        <v>44155675.827221364</v>
      </c>
      <c r="L150" s="2" t="s">
        <v>959</v>
      </c>
      <c r="M150" s="2" t="s">
        <v>1070</v>
      </c>
      <c r="N150" s="2" t="s">
        <v>989</v>
      </c>
      <c r="O150" s="2">
        <v>3750</v>
      </c>
      <c r="P150" s="2">
        <v>225.2326354980469</v>
      </c>
      <c r="Q150" s="2">
        <v>240.85826110839841</v>
      </c>
      <c r="R150" s="2">
        <f t="shared" si="46"/>
        <v>844622.3831176759</v>
      </c>
      <c r="S150" s="2">
        <f t="shared" si="47"/>
        <v>903218.47915649402</v>
      </c>
      <c r="T150" s="2">
        <f t="shared" si="48"/>
        <v>1747840.8622741699</v>
      </c>
      <c r="U150" s="2">
        <f t="shared" si="49"/>
        <v>873.92</v>
      </c>
      <c r="V150" s="2">
        <f t="shared" si="50"/>
        <v>58596.096038818127</v>
      </c>
      <c r="W150" s="2">
        <f t="shared" si="51"/>
        <v>57722.176038818128</v>
      </c>
      <c r="X150" s="2">
        <f t="shared" si="52"/>
        <v>44213398.00326018</v>
      </c>
      <c r="Y150" s="2">
        <f t="shared" si="53"/>
        <v>168924.48</v>
      </c>
      <c r="Z150" s="2">
        <f t="shared" si="54"/>
        <v>34.17</v>
      </c>
      <c r="AA150" s="2">
        <f t="shared" si="55"/>
        <v>44213398.00326018</v>
      </c>
      <c r="AB150" s="2">
        <f t="shared" si="56"/>
        <v>0</v>
      </c>
    </row>
    <row r="151" spans="1:28">
      <c r="A151" s="2">
        <v>148</v>
      </c>
      <c r="B151" s="2" t="s">
        <v>708</v>
      </c>
      <c r="C151" s="2" t="s">
        <v>1219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2" t="s">
        <v>579</v>
      </c>
      <c r="I151" s="2" t="s">
        <v>634</v>
      </c>
      <c r="J151" s="2" t="s">
        <v>427</v>
      </c>
      <c r="K151" s="2">
        <f t="shared" si="57"/>
        <v>44213398.00326018</v>
      </c>
      <c r="L151" s="2" t="s">
        <v>1005</v>
      </c>
      <c r="M151" s="2" t="s">
        <v>1278</v>
      </c>
      <c r="N151" s="2" t="s">
        <v>1251</v>
      </c>
      <c r="O151" s="2">
        <v>100</v>
      </c>
      <c r="P151" s="2">
        <v>40169</v>
      </c>
      <c r="Q151" s="2">
        <v>41250</v>
      </c>
      <c r="R151" s="2">
        <f t="shared" si="46"/>
        <v>4016900</v>
      </c>
      <c r="S151" s="2">
        <f t="shared" si="47"/>
        <v>4125000</v>
      </c>
      <c r="T151" s="2">
        <f t="shared" si="48"/>
        <v>8141900</v>
      </c>
      <c r="U151" s="2">
        <f t="shared" si="49"/>
        <v>4070.95</v>
      </c>
      <c r="V151" s="2">
        <f t="shared" si="50"/>
        <v>108100</v>
      </c>
      <c r="W151" s="2">
        <f t="shared" si="51"/>
        <v>104029.05</v>
      </c>
      <c r="X151" s="2">
        <f t="shared" si="52"/>
        <v>44317427.053260177</v>
      </c>
      <c r="Y151" s="2">
        <f t="shared" si="53"/>
        <v>803380</v>
      </c>
      <c r="Z151" s="2">
        <f t="shared" si="54"/>
        <v>12.95</v>
      </c>
      <c r="AA151" s="2">
        <f t="shared" si="55"/>
        <v>44317427.053260177</v>
      </c>
      <c r="AB151" s="2">
        <f t="shared" si="56"/>
        <v>0</v>
      </c>
    </row>
    <row r="152" spans="1:28">
      <c r="A152" s="2">
        <v>149</v>
      </c>
      <c r="B152" s="2" t="s">
        <v>710</v>
      </c>
      <c r="C152" s="2" t="s">
        <v>1219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2" t="s">
        <v>711</v>
      </c>
      <c r="I152" s="2" t="s">
        <v>401</v>
      </c>
      <c r="J152" s="2" t="s">
        <v>1436</v>
      </c>
      <c r="K152" s="2">
        <f t="shared" si="57"/>
        <v>44317427.053260177</v>
      </c>
      <c r="L152" s="2" t="s">
        <v>1346</v>
      </c>
      <c r="M152" s="2" t="s">
        <v>1084</v>
      </c>
      <c r="N152" s="2" t="s">
        <v>1318</v>
      </c>
      <c r="O152" s="2">
        <v>2806</v>
      </c>
      <c r="P152" s="2">
        <v>529.95086669921875</v>
      </c>
      <c r="Q152" s="2">
        <v>535.81195068359375</v>
      </c>
      <c r="R152" s="2">
        <f t="shared" ref="R152:R166" si="58">O152*P152</f>
        <v>1487042.1319580078</v>
      </c>
      <c r="S152" s="2">
        <f t="shared" ref="S152:S166" si="59">O152*Q152</f>
        <v>1503488.3336181641</v>
      </c>
      <c r="T152" s="2">
        <f t="shared" ref="T152:T183" si="60">R152+S152</f>
        <v>2990530.4655761719</v>
      </c>
      <c r="U152" s="2">
        <f t="shared" ref="U152:U183" si="61">ROUND(T152*0.0005, 2)</f>
        <v>1495.27</v>
      </c>
      <c r="V152" s="2">
        <f t="shared" ref="V152:V166" si="62">S152-R152</f>
        <v>16446.20166015625</v>
      </c>
      <c r="W152" s="2">
        <f t="shared" ref="W152:W183" si="63">V152-U152</f>
        <v>14950.93166015625</v>
      </c>
      <c r="X152" s="2">
        <f t="shared" ref="X152:X183" si="64">K152+W152</f>
        <v>44332377.98492033</v>
      </c>
      <c r="Y152" s="2">
        <f t="shared" ref="Y152:Y166" si="65">ROUND(0.2*R152, 2)</f>
        <v>297408.43</v>
      </c>
      <c r="Z152" s="2">
        <f t="shared" ref="Z152:Z183" si="66">ROUND((W152/Y152)*100, 2)</f>
        <v>5.03</v>
      </c>
      <c r="AA152" s="2">
        <f t="shared" ref="AA152:AA166" si="67">MAX(AA151, X152)</f>
        <v>44332377.98492033</v>
      </c>
      <c r="AB152" s="2">
        <f t="shared" ref="AB152:AB183" si="68">X152-AA152</f>
        <v>0</v>
      </c>
    </row>
    <row r="153" spans="1:28">
      <c r="A153" s="2">
        <v>150</v>
      </c>
      <c r="B153" s="2" t="s">
        <v>714</v>
      </c>
      <c r="C153" s="2" t="s">
        <v>1219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2" t="s">
        <v>715</v>
      </c>
      <c r="I153" s="2" t="s">
        <v>485</v>
      </c>
      <c r="J153" s="2" t="s">
        <v>610</v>
      </c>
      <c r="K153" s="2">
        <f t="shared" si="57"/>
        <v>44332377.98492033</v>
      </c>
      <c r="L153" s="2" t="s">
        <v>1437</v>
      </c>
      <c r="M153" s="2" t="s">
        <v>1004</v>
      </c>
      <c r="N153" s="2" t="s">
        <v>1318</v>
      </c>
      <c r="O153" s="2">
        <v>750</v>
      </c>
      <c r="P153" s="2">
        <v>462.79998779296881</v>
      </c>
      <c r="Q153" s="2">
        <v>465.95001220703131</v>
      </c>
      <c r="R153" s="2">
        <f t="shared" si="58"/>
        <v>347099.99084472662</v>
      </c>
      <c r="S153" s="2">
        <f t="shared" si="59"/>
        <v>349462.5091552735</v>
      </c>
      <c r="T153" s="2">
        <f t="shared" si="60"/>
        <v>696562.50000000012</v>
      </c>
      <c r="U153" s="2">
        <f t="shared" si="61"/>
        <v>348.28</v>
      </c>
      <c r="V153" s="2">
        <f t="shared" si="62"/>
        <v>2362.518310546875</v>
      </c>
      <c r="W153" s="2">
        <f t="shared" si="63"/>
        <v>2014.238310546875</v>
      </c>
      <c r="X153" s="2">
        <f t="shared" si="64"/>
        <v>44334392.223230876</v>
      </c>
      <c r="Y153" s="2">
        <f t="shared" si="65"/>
        <v>69420</v>
      </c>
      <c r="Z153" s="2">
        <f t="shared" si="66"/>
        <v>2.9</v>
      </c>
      <c r="AA153" s="2">
        <f t="shared" si="67"/>
        <v>44334392.223230876</v>
      </c>
      <c r="AB153" s="2">
        <f t="shared" si="68"/>
        <v>0</v>
      </c>
    </row>
    <row r="154" spans="1:28">
      <c r="A154" s="2">
        <v>151</v>
      </c>
      <c r="B154" s="2" t="s">
        <v>718</v>
      </c>
      <c r="C154" s="2" t="s">
        <v>1219</v>
      </c>
      <c r="D154" s="3" t="s">
        <v>37</v>
      </c>
      <c r="E154" s="5" t="s">
        <v>134</v>
      </c>
      <c r="F154" s="2" t="s">
        <v>135</v>
      </c>
      <c r="G154" s="2" t="s">
        <v>40</v>
      </c>
      <c r="H154" s="2" t="s">
        <v>691</v>
      </c>
      <c r="I154" s="2" t="s">
        <v>258</v>
      </c>
      <c r="J154" s="2" t="s">
        <v>896</v>
      </c>
      <c r="K154" s="2">
        <f t="shared" si="57"/>
        <v>44334392.223230876</v>
      </c>
      <c r="L154" s="2" t="s">
        <v>1438</v>
      </c>
      <c r="M154" s="2" t="s">
        <v>1244</v>
      </c>
      <c r="N154" s="2" t="s">
        <v>1296</v>
      </c>
      <c r="O154" s="2">
        <v>181</v>
      </c>
      <c r="P154" s="2">
        <v>4516.9755859375</v>
      </c>
      <c r="Q154" s="2">
        <v>4756.0361328125</v>
      </c>
      <c r="R154" s="2">
        <f t="shared" si="58"/>
        <v>817572.5810546875</v>
      </c>
      <c r="S154" s="2">
        <f t="shared" si="59"/>
        <v>860842.5400390625</v>
      </c>
      <c r="T154" s="2">
        <f t="shared" si="60"/>
        <v>1678415.12109375</v>
      </c>
      <c r="U154" s="2">
        <f t="shared" si="61"/>
        <v>839.21</v>
      </c>
      <c r="V154" s="2">
        <f t="shared" si="62"/>
        <v>43269.958984375</v>
      </c>
      <c r="W154" s="2">
        <f t="shared" si="63"/>
        <v>42430.748984375001</v>
      </c>
      <c r="X154" s="2">
        <f t="shared" si="64"/>
        <v>44376822.97221525</v>
      </c>
      <c r="Y154" s="2">
        <f t="shared" si="65"/>
        <v>163514.51999999999</v>
      </c>
      <c r="Z154" s="2">
        <f t="shared" si="66"/>
        <v>25.95</v>
      </c>
      <c r="AA154" s="2">
        <f t="shared" si="67"/>
        <v>44376822.97221525</v>
      </c>
      <c r="AB154" s="2">
        <f t="shared" si="68"/>
        <v>0</v>
      </c>
    </row>
    <row r="155" spans="1:28">
      <c r="A155" s="2">
        <v>152</v>
      </c>
      <c r="B155" s="2" t="s">
        <v>720</v>
      </c>
      <c r="C155" s="2" t="s">
        <v>1219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2" t="s">
        <v>320</v>
      </c>
      <c r="I155" s="2" t="s">
        <v>1439</v>
      </c>
      <c r="J155" s="2" t="s">
        <v>1440</v>
      </c>
      <c r="K155" s="2">
        <f t="shared" si="57"/>
        <v>44376822.97221525</v>
      </c>
      <c r="L155" s="2" t="s">
        <v>1343</v>
      </c>
      <c r="M155" s="2" t="s">
        <v>1272</v>
      </c>
      <c r="N155" s="2" t="s">
        <v>1244</v>
      </c>
      <c r="O155" s="2">
        <v>3585</v>
      </c>
      <c r="P155" s="2">
        <v>339.41864013671881</v>
      </c>
      <c r="Q155" s="2">
        <v>328.5269775390625</v>
      </c>
      <c r="R155" s="2">
        <f t="shared" si="58"/>
        <v>1216815.824890137</v>
      </c>
      <c r="S155" s="2">
        <f t="shared" si="59"/>
        <v>1177769.2144775391</v>
      </c>
      <c r="T155" s="2">
        <f t="shared" si="60"/>
        <v>2394585.0393676758</v>
      </c>
      <c r="U155" s="2">
        <f t="shared" si="61"/>
        <v>1197.29</v>
      </c>
      <c r="V155" s="2">
        <f t="shared" si="62"/>
        <v>-39046.610412597889</v>
      </c>
      <c r="W155" s="2">
        <f t="shared" si="63"/>
        <v>-40243.90041259789</v>
      </c>
      <c r="X155" s="2">
        <f t="shared" si="64"/>
        <v>44336579.071802653</v>
      </c>
      <c r="Y155" s="2">
        <f t="shared" si="65"/>
        <v>243363.16</v>
      </c>
      <c r="Z155" s="2">
        <f t="shared" si="66"/>
        <v>-16.54</v>
      </c>
      <c r="AA155" s="2">
        <f t="shared" si="67"/>
        <v>44376822.97221525</v>
      </c>
      <c r="AB155" s="2">
        <f t="shared" si="68"/>
        <v>-40243.900412596762</v>
      </c>
    </row>
    <row r="156" spans="1:28">
      <c r="A156" s="2">
        <v>153</v>
      </c>
      <c r="B156" s="2" t="s">
        <v>723</v>
      </c>
      <c r="C156" s="2" t="s">
        <v>1219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2" t="s">
        <v>724</v>
      </c>
      <c r="I156" s="2" t="s">
        <v>1441</v>
      </c>
      <c r="J156" s="2" t="s">
        <v>1442</v>
      </c>
      <c r="K156" s="2">
        <f t="shared" si="57"/>
        <v>44336579.071802653</v>
      </c>
      <c r="L156" s="2" t="s">
        <v>1245</v>
      </c>
      <c r="M156" s="2" t="s">
        <v>1312</v>
      </c>
      <c r="N156" s="2" t="s">
        <v>1283</v>
      </c>
      <c r="O156" s="2">
        <v>2346</v>
      </c>
      <c r="P156" s="2">
        <v>448.5435791015625</v>
      </c>
      <c r="Q156" s="2">
        <v>500.86514282226563</v>
      </c>
      <c r="R156" s="2">
        <f t="shared" si="58"/>
        <v>1052283.2365722656</v>
      </c>
      <c r="S156" s="2">
        <f t="shared" si="59"/>
        <v>1175029.6250610352</v>
      </c>
      <c r="T156" s="2">
        <f t="shared" si="60"/>
        <v>2227312.8616333008</v>
      </c>
      <c r="U156" s="2">
        <f t="shared" si="61"/>
        <v>1113.6600000000001</v>
      </c>
      <c r="V156" s="2">
        <f t="shared" si="62"/>
        <v>122746.38848876953</v>
      </c>
      <c r="W156" s="2">
        <f t="shared" si="63"/>
        <v>121632.72848876953</v>
      </c>
      <c r="X156" s="2">
        <f t="shared" si="64"/>
        <v>44458211.800291426</v>
      </c>
      <c r="Y156" s="2">
        <f t="shared" si="65"/>
        <v>210456.65</v>
      </c>
      <c r="Z156" s="2">
        <f t="shared" si="66"/>
        <v>57.79</v>
      </c>
      <c r="AA156" s="2">
        <f t="shared" si="67"/>
        <v>44458211.800291426</v>
      </c>
      <c r="AB156" s="2">
        <f t="shared" si="68"/>
        <v>0</v>
      </c>
    </row>
    <row r="157" spans="1:28">
      <c r="A157" s="2">
        <v>154</v>
      </c>
      <c r="B157" s="2" t="s">
        <v>727</v>
      </c>
      <c r="C157" s="2" t="s">
        <v>1219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2" t="s">
        <v>728</v>
      </c>
      <c r="I157" s="2" t="s">
        <v>1443</v>
      </c>
      <c r="J157" s="2" t="s">
        <v>1444</v>
      </c>
      <c r="K157" s="2">
        <f t="shared" si="57"/>
        <v>44458211.800291426</v>
      </c>
      <c r="L157" s="2" t="s">
        <v>1343</v>
      </c>
      <c r="M157" s="2" t="s">
        <v>1004</v>
      </c>
      <c r="N157" s="2" t="s">
        <v>1244</v>
      </c>
      <c r="O157" s="2">
        <v>1631</v>
      </c>
      <c r="P157" s="2">
        <v>363.47122192382812</v>
      </c>
      <c r="Q157" s="2">
        <v>449.2054443359375</v>
      </c>
      <c r="R157" s="2">
        <f t="shared" si="58"/>
        <v>592821.56295776367</v>
      </c>
      <c r="S157" s="2">
        <f t="shared" si="59"/>
        <v>732654.07971191406</v>
      </c>
      <c r="T157" s="2">
        <f t="shared" si="60"/>
        <v>1325475.6426696777</v>
      </c>
      <c r="U157" s="2">
        <f t="shared" si="61"/>
        <v>662.74</v>
      </c>
      <c r="V157" s="2">
        <f t="shared" si="62"/>
        <v>139832.51675415039</v>
      </c>
      <c r="W157" s="2">
        <f t="shared" si="63"/>
        <v>139169.7767541504</v>
      </c>
      <c r="X157" s="2">
        <f t="shared" si="64"/>
        <v>44597381.577045575</v>
      </c>
      <c r="Y157" s="2">
        <f t="shared" si="65"/>
        <v>118564.31</v>
      </c>
      <c r="Z157" s="2">
        <f t="shared" si="66"/>
        <v>117.38</v>
      </c>
      <c r="AA157" s="2">
        <f t="shared" si="67"/>
        <v>44597381.577045575</v>
      </c>
      <c r="AB157" s="2">
        <f t="shared" si="68"/>
        <v>0</v>
      </c>
    </row>
    <row r="158" spans="1:28">
      <c r="A158" s="2">
        <v>155</v>
      </c>
      <c r="B158" s="2" t="s">
        <v>729</v>
      </c>
      <c r="C158" s="2" t="s">
        <v>1219</v>
      </c>
      <c r="D158" s="4" t="s">
        <v>61</v>
      </c>
      <c r="E158" s="5" t="s">
        <v>134</v>
      </c>
      <c r="F158" s="2" t="s">
        <v>135</v>
      </c>
      <c r="G158" s="2" t="s">
        <v>54</v>
      </c>
      <c r="H158" s="2" t="s">
        <v>104</v>
      </c>
      <c r="I158" s="2" t="s">
        <v>1445</v>
      </c>
      <c r="J158" s="2" t="s">
        <v>1446</v>
      </c>
      <c r="K158" s="2">
        <f t="shared" si="57"/>
        <v>44597381.577045575</v>
      </c>
      <c r="L158" s="2" t="s">
        <v>1005</v>
      </c>
      <c r="M158" s="2" t="s">
        <v>1283</v>
      </c>
      <c r="N158" s="2" t="s">
        <v>1268</v>
      </c>
      <c r="O158" s="2">
        <v>529</v>
      </c>
      <c r="P158" s="2">
        <v>1630.141479492188</v>
      </c>
      <c r="Q158" s="2">
        <v>1808.573852539062</v>
      </c>
      <c r="R158" s="2">
        <f t="shared" si="58"/>
        <v>862344.84265136742</v>
      </c>
      <c r="S158" s="2">
        <f t="shared" si="59"/>
        <v>956735.56799316383</v>
      </c>
      <c r="T158" s="2">
        <f t="shared" si="60"/>
        <v>1819080.4106445313</v>
      </c>
      <c r="U158" s="2">
        <f t="shared" si="61"/>
        <v>909.54</v>
      </c>
      <c r="V158" s="2">
        <f t="shared" si="62"/>
        <v>94390.725341796409</v>
      </c>
      <c r="W158" s="2">
        <f t="shared" si="63"/>
        <v>93481.185341796416</v>
      </c>
      <c r="X158" s="2">
        <f t="shared" si="64"/>
        <v>44690862.762387373</v>
      </c>
      <c r="Y158" s="2">
        <f t="shared" si="65"/>
        <v>172468.97</v>
      </c>
      <c r="Z158" s="2">
        <f t="shared" si="66"/>
        <v>54.2</v>
      </c>
      <c r="AA158" s="2">
        <f t="shared" si="67"/>
        <v>44690862.762387373</v>
      </c>
      <c r="AB158" s="2">
        <f t="shared" si="68"/>
        <v>0</v>
      </c>
    </row>
    <row r="159" spans="1:28">
      <c r="A159" s="2">
        <v>156</v>
      </c>
      <c r="B159" s="2" t="s">
        <v>732</v>
      </c>
      <c r="C159" s="2" t="s">
        <v>1219</v>
      </c>
      <c r="D159" s="3" t="s">
        <v>37</v>
      </c>
      <c r="E159" s="5" t="s">
        <v>134</v>
      </c>
      <c r="F159" s="2" t="s">
        <v>135</v>
      </c>
      <c r="G159" s="2" t="s">
        <v>77</v>
      </c>
      <c r="H159" s="2" t="s">
        <v>733</v>
      </c>
      <c r="I159" s="2" t="s">
        <v>401</v>
      </c>
      <c r="J159" s="2" t="s">
        <v>1447</v>
      </c>
      <c r="K159" s="2">
        <f t="shared" si="57"/>
        <v>44690862.762387373</v>
      </c>
      <c r="L159" s="2" t="s">
        <v>1292</v>
      </c>
      <c r="M159" s="2" t="s">
        <v>1251</v>
      </c>
      <c r="N159" s="2" t="s">
        <v>1283</v>
      </c>
      <c r="O159" s="2">
        <v>613</v>
      </c>
      <c r="P159" s="2">
        <v>1545.217895507812</v>
      </c>
      <c r="Q159" s="2">
        <v>1562.104614257812</v>
      </c>
      <c r="R159" s="2">
        <f t="shared" si="58"/>
        <v>947218.56994628883</v>
      </c>
      <c r="S159" s="2">
        <f t="shared" si="59"/>
        <v>957570.12854003883</v>
      </c>
      <c r="T159" s="2">
        <f t="shared" si="60"/>
        <v>1904788.6984863277</v>
      </c>
      <c r="U159" s="2">
        <f t="shared" si="61"/>
        <v>952.39</v>
      </c>
      <c r="V159" s="2">
        <f t="shared" si="62"/>
        <v>10351.55859375</v>
      </c>
      <c r="W159" s="2">
        <f t="shared" si="63"/>
        <v>9399.1685937500006</v>
      </c>
      <c r="X159" s="2">
        <f t="shared" si="64"/>
        <v>44700261.930981122</v>
      </c>
      <c r="Y159" s="2">
        <f t="shared" si="65"/>
        <v>189443.71</v>
      </c>
      <c r="Z159" s="2">
        <f t="shared" si="66"/>
        <v>4.96</v>
      </c>
      <c r="AA159" s="2">
        <f t="shared" si="67"/>
        <v>44700261.930981122</v>
      </c>
      <c r="AB159" s="2">
        <f t="shared" si="68"/>
        <v>0</v>
      </c>
    </row>
    <row r="160" spans="1:28">
      <c r="A160" s="2">
        <v>157</v>
      </c>
      <c r="B160" s="2" t="s">
        <v>736</v>
      </c>
      <c r="C160" s="2" t="s">
        <v>1219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2" t="s">
        <v>676</v>
      </c>
      <c r="I160" s="2" t="s">
        <v>1210</v>
      </c>
      <c r="J160" s="2" t="s">
        <v>238</v>
      </c>
      <c r="K160" s="2">
        <f t="shared" si="57"/>
        <v>44700261.930981122</v>
      </c>
      <c r="L160" s="2" t="s">
        <v>1005</v>
      </c>
      <c r="M160" s="2" t="s">
        <v>1251</v>
      </c>
      <c r="N160" s="2" t="s">
        <v>1283</v>
      </c>
      <c r="O160" s="2">
        <v>360</v>
      </c>
      <c r="P160" s="2">
        <v>4361.65087890625</v>
      </c>
      <c r="Q160" s="2">
        <v>4421.56689453125</v>
      </c>
      <c r="R160" s="2">
        <f t="shared" si="58"/>
        <v>1570194.31640625</v>
      </c>
      <c r="S160" s="2">
        <f t="shared" si="59"/>
        <v>1591764.08203125</v>
      </c>
      <c r="T160" s="2">
        <f t="shared" si="60"/>
        <v>3161958.3984375</v>
      </c>
      <c r="U160" s="2">
        <f t="shared" si="61"/>
        <v>1580.98</v>
      </c>
      <c r="V160" s="2">
        <f t="shared" si="62"/>
        <v>21569.765625</v>
      </c>
      <c r="W160" s="2">
        <f t="shared" si="63"/>
        <v>19988.785625</v>
      </c>
      <c r="X160" s="2">
        <f t="shared" si="64"/>
        <v>44720250.716606125</v>
      </c>
      <c r="Y160" s="2">
        <f t="shared" si="65"/>
        <v>314038.86</v>
      </c>
      <c r="Z160" s="2">
        <f t="shared" si="66"/>
        <v>6.37</v>
      </c>
      <c r="AA160" s="2">
        <f t="shared" si="67"/>
        <v>44720250.716606125</v>
      </c>
      <c r="AB160" s="2">
        <f t="shared" si="68"/>
        <v>0</v>
      </c>
    </row>
    <row r="161" spans="1:28">
      <c r="A161" s="2">
        <v>158</v>
      </c>
      <c r="B161" s="2" t="s">
        <v>738</v>
      </c>
      <c r="C161" s="2" t="s">
        <v>1219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2" t="s">
        <v>427</v>
      </c>
      <c r="I161" s="2" t="s">
        <v>992</v>
      </c>
      <c r="J161" s="2" t="s">
        <v>1448</v>
      </c>
      <c r="K161" s="2">
        <f t="shared" si="57"/>
        <v>44720250.716606125</v>
      </c>
      <c r="L161" s="2" t="s">
        <v>1449</v>
      </c>
      <c r="M161" s="2" t="s">
        <v>1450</v>
      </c>
      <c r="N161" s="2" t="s">
        <v>1451</v>
      </c>
      <c r="O161" s="2">
        <v>8957</v>
      </c>
      <c r="P161" s="2">
        <v>106.658088684082</v>
      </c>
      <c r="Q161" s="2">
        <v>110.8322448730469</v>
      </c>
      <c r="R161" s="2">
        <f t="shared" si="58"/>
        <v>955336.50034332252</v>
      </c>
      <c r="S161" s="2">
        <f t="shared" si="59"/>
        <v>992724.41732788109</v>
      </c>
      <c r="T161" s="2">
        <f t="shared" si="60"/>
        <v>1948060.9176712036</v>
      </c>
      <c r="U161" s="2">
        <f t="shared" si="61"/>
        <v>974.03</v>
      </c>
      <c r="V161" s="2">
        <f t="shared" si="62"/>
        <v>37387.916984558571</v>
      </c>
      <c r="W161" s="2">
        <f t="shared" si="63"/>
        <v>36413.886984558572</v>
      </c>
      <c r="X161" s="2">
        <f t="shared" si="64"/>
        <v>44756664.603590682</v>
      </c>
      <c r="Y161" s="2">
        <f t="shared" si="65"/>
        <v>191067.3</v>
      </c>
      <c r="Z161" s="2">
        <f t="shared" si="66"/>
        <v>19.059999999999999</v>
      </c>
      <c r="AA161" s="2">
        <f t="shared" si="67"/>
        <v>44756664.603590682</v>
      </c>
      <c r="AB161" s="2">
        <f t="shared" si="68"/>
        <v>0</v>
      </c>
    </row>
    <row r="162" spans="1:28">
      <c r="A162" s="2">
        <v>159</v>
      </c>
      <c r="B162" s="2" t="s">
        <v>741</v>
      </c>
      <c r="C162" s="2" t="s">
        <v>1219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2" t="s">
        <v>314</v>
      </c>
      <c r="I162" s="2" t="s">
        <v>1151</v>
      </c>
      <c r="J162" s="2" t="s">
        <v>1152</v>
      </c>
      <c r="K162" s="2">
        <f t="shared" si="57"/>
        <v>44756664.603590682</v>
      </c>
      <c r="L162" s="2" t="s">
        <v>1318</v>
      </c>
      <c r="M162" s="2" t="s">
        <v>1268</v>
      </c>
      <c r="N162" s="2" t="s">
        <v>1245</v>
      </c>
      <c r="O162" s="2">
        <v>967</v>
      </c>
      <c r="P162" s="2">
        <v>805.44561767578125</v>
      </c>
      <c r="Q162" s="2">
        <v>776.84136962890625</v>
      </c>
      <c r="R162" s="2">
        <f t="shared" si="58"/>
        <v>778865.91229248047</v>
      </c>
      <c r="S162" s="2">
        <f t="shared" si="59"/>
        <v>751205.60443115234</v>
      </c>
      <c r="T162" s="2">
        <f t="shared" si="60"/>
        <v>1530071.5167236328</v>
      </c>
      <c r="U162" s="2">
        <f t="shared" si="61"/>
        <v>765.04</v>
      </c>
      <c r="V162" s="2">
        <f t="shared" si="62"/>
        <v>-27660.307861328125</v>
      </c>
      <c r="W162" s="2">
        <f t="shared" si="63"/>
        <v>-28425.347861328126</v>
      </c>
      <c r="X162" s="2">
        <f t="shared" si="64"/>
        <v>44728239.255729355</v>
      </c>
      <c r="Y162" s="2">
        <f t="shared" si="65"/>
        <v>155773.18</v>
      </c>
      <c r="Z162" s="2">
        <f t="shared" si="66"/>
        <v>-18.25</v>
      </c>
      <c r="AA162" s="2">
        <f t="shared" si="67"/>
        <v>44756664.603590682</v>
      </c>
      <c r="AB162" s="2">
        <f t="shared" si="68"/>
        <v>-28425.347861327231</v>
      </c>
    </row>
    <row r="163" spans="1:28">
      <c r="A163" s="2">
        <v>160</v>
      </c>
      <c r="B163" s="2" t="s">
        <v>743</v>
      </c>
      <c r="C163" s="2" t="s">
        <v>1219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2" t="s">
        <v>744</v>
      </c>
      <c r="I163" s="2" t="s">
        <v>1452</v>
      </c>
      <c r="J163" s="2" t="s">
        <v>1453</v>
      </c>
      <c r="K163" s="2">
        <f t="shared" si="57"/>
        <v>44728239.255729355</v>
      </c>
      <c r="L163" s="2" t="s">
        <v>1272</v>
      </c>
      <c r="M163" s="2" t="s">
        <v>1283</v>
      </c>
      <c r="N163" s="2" t="s">
        <v>1269</v>
      </c>
      <c r="O163" s="2">
        <v>627</v>
      </c>
      <c r="P163" s="2">
        <v>1456.199951171875</v>
      </c>
      <c r="Q163" s="2">
        <v>1513.5</v>
      </c>
      <c r="R163" s="2">
        <f t="shared" si="58"/>
        <v>913037.36938476562</v>
      </c>
      <c r="S163" s="2">
        <f t="shared" si="59"/>
        <v>948964.5</v>
      </c>
      <c r="T163" s="2">
        <f t="shared" si="60"/>
        <v>1862001.8693847656</v>
      </c>
      <c r="U163" s="2">
        <f t="shared" si="61"/>
        <v>931</v>
      </c>
      <c r="V163" s="2">
        <f t="shared" si="62"/>
        <v>35927.130615234375</v>
      </c>
      <c r="W163" s="2">
        <f t="shared" si="63"/>
        <v>34996.130615234375</v>
      </c>
      <c r="X163" s="2">
        <f t="shared" si="64"/>
        <v>44763235.386344589</v>
      </c>
      <c r="Y163" s="2">
        <f t="shared" si="65"/>
        <v>182607.47</v>
      </c>
      <c r="Z163" s="2">
        <f t="shared" si="66"/>
        <v>19.16</v>
      </c>
      <c r="AA163" s="2">
        <f t="shared" si="67"/>
        <v>44763235.386344589</v>
      </c>
      <c r="AB163" s="2">
        <f t="shared" si="68"/>
        <v>0</v>
      </c>
    </row>
    <row r="164" spans="1:28">
      <c r="A164" s="2">
        <v>161</v>
      </c>
      <c r="B164" s="2" t="s">
        <v>746</v>
      </c>
      <c r="C164" s="2" t="s">
        <v>1219</v>
      </c>
      <c r="D164" s="4" t="s">
        <v>61</v>
      </c>
      <c r="E164" s="5" t="s">
        <v>134</v>
      </c>
      <c r="F164" s="2" t="s">
        <v>135</v>
      </c>
      <c r="G164" s="2" t="s">
        <v>77</v>
      </c>
      <c r="H164" s="2" t="s">
        <v>747</v>
      </c>
      <c r="I164" s="2" t="s">
        <v>504</v>
      </c>
      <c r="J164" s="2" t="s">
        <v>1454</v>
      </c>
      <c r="K164" s="2">
        <f t="shared" si="57"/>
        <v>44763235.386344589</v>
      </c>
      <c r="L164" s="2" t="s">
        <v>1437</v>
      </c>
      <c r="M164" s="2" t="s">
        <v>1318</v>
      </c>
      <c r="N164" s="2" t="s">
        <v>1296</v>
      </c>
      <c r="O164" s="2">
        <v>112</v>
      </c>
      <c r="P164" s="2">
        <v>6284.6943359375</v>
      </c>
      <c r="Q164" s="2">
        <v>6513.47265625</v>
      </c>
      <c r="R164" s="2">
        <f t="shared" si="58"/>
        <v>703885.765625</v>
      </c>
      <c r="S164" s="2">
        <f t="shared" si="59"/>
        <v>729508.9375</v>
      </c>
      <c r="T164" s="2">
        <f t="shared" si="60"/>
        <v>1433394.703125</v>
      </c>
      <c r="U164" s="2">
        <f t="shared" si="61"/>
        <v>716.7</v>
      </c>
      <c r="V164" s="2">
        <f t="shared" si="62"/>
        <v>25623.171875</v>
      </c>
      <c r="W164" s="2">
        <f t="shared" si="63"/>
        <v>24906.471874999999</v>
      </c>
      <c r="X164" s="2">
        <f t="shared" si="64"/>
        <v>44788141.858219586</v>
      </c>
      <c r="Y164" s="2">
        <f t="shared" si="65"/>
        <v>140777.15</v>
      </c>
      <c r="Z164" s="2">
        <f t="shared" si="66"/>
        <v>17.690000000000001</v>
      </c>
      <c r="AA164" s="2">
        <f t="shared" si="67"/>
        <v>44788141.858219586</v>
      </c>
      <c r="AB164" s="2">
        <f t="shared" si="68"/>
        <v>0</v>
      </c>
    </row>
    <row r="165" spans="1:28">
      <c r="A165" s="2">
        <v>162</v>
      </c>
      <c r="B165" s="2" t="s">
        <v>750</v>
      </c>
      <c r="C165" s="2" t="s">
        <v>1219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261</v>
      </c>
      <c r="J165" s="2" t="s">
        <v>1087</v>
      </c>
      <c r="K165" s="2">
        <f t="shared" si="57"/>
        <v>44788141.858219586</v>
      </c>
      <c r="L165" s="2" t="s">
        <v>973</v>
      </c>
      <c r="M165" s="2" t="s">
        <v>980</v>
      </c>
      <c r="N165" s="2" t="s">
        <v>946</v>
      </c>
      <c r="O165" s="2">
        <v>1800</v>
      </c>
      <c r="P165" s="2">
        <v>298.72879028320312</v>
      </c>
      <c r="Q165" s="2">
        <v>300.54061889648437</v>
      </c>
      <c r="R165" s="2">
        <f t="shared" si="58"/>
        <v>537711.82250976562</v>
      </c>
      <c r="S165" s="2">
        <f t="shared" si="59"/>
        <v>540973.11401367187</v>
      </c>
      <c r="T165" s="2">
        <f t="shared" si="60"/>
        <v>1078684.9365234375</v>
      </c>
      <c r="U165" s="2">
        <f t="shared" si="61"/>
        <v>539.34</v>
      </c>
      <c r="V165" s="2">
        <f t="shared" si="62"/>
        <v>3261.29150390625</v>
      </c>
      <c r="W165" s="2">
        <f t="shared" si="63"/>
        <v>2721.9515039062499</v>
      </c>
      <c r="X165" s="2">
        <f t="shared" si="64"/>
        <v>44790863.809723489</v>
      </c>
      <c r="Y165" s="2">
        <f t="shared" si="65"/>
        <v>107542.36</v>
      </c>
      <c r="Z165" s="2">
        <f t="shared" si="66"/>
        <v>2.5299999999999998</v>
      </c>
      <c r="AA165" s="2">
        <f t="shared" si="67"/>
        <v>44790863.809723489</v>
      </c>
      <c r="AB165" s="2">
        <f t="shared" si="68"/>
        <v>0</v>
      </c>
    </row>
    <row r="166" spans="1:28">
      <c r="A166" s="2">
        <v>163</v>
      </c>
      <c r="B166" s="2" t="s">
        <v>754</v>
      </c>
      <c r="C166" s="2" t="s">
        <v>1219</v>
      </c>
      <c r="D166" s="4" t="s">
        <v>61</v>
      </c>
      <c r="E166" s="5" t="s">
        <v>134</v>
      </c>
      <c r="F166" s="2" t="s">
        <v>135</v>
      </c>
      <c r="G166" s="2" t="s">
        <v>97</v>
      </c>
      <c r="H166" s="2" t="s">
        <v>755</v>
      </c>
      <c r="I166" s="2" t="s">
        <v>755</v>
      </c>
      <c r="J166" s="2" t="s">
        <v>42</v>
      </c>
      <c r="K166" s="2">
        <f t="shared" si="57"/>
        <v>44790863.809723489</v>
      </c>
      <c r="L166" s="2" t="s">
        <v>756</v>
      </c>
      <c r="M166" s="2" t="s">
        <v>757</v>
      </c>
      <c r="N166" s="2" t="s">
        <v>1244</v>
      </c>
      <c r="O166" s="2">
        <v>100</v>
      </c>
      <c r="P166" s="2">
        <v>18220</v>
      </c>
      <c r="Q166" s="2">
        <v>18225</v>
      </c>
      <c r="R166" s="2">
        <f t="shared" si="58"/>
        <v>1822000</v>
      </c>
      <c r="S166" s="2">
        <f t="shared" si="59"/>
        <v>1822500</v>
      </c>
      <c r="T166" s="2">
        <f t="shared" si="60"/>
        <v>3644500</v>
      </c>
      <c r="U166" s="2">
        <f t="shared" si="61"/>
        <v>1822.25</v>
      </c>
      <c r="V166" s="2">
        <f t="shared" si="62"/>
        <v>500</v>
      </c>
      <c r="W166" s="2">
        <f t="shared" si="63"/>
        <v>-1322.25</v>
      </c>
      <c r="X166" s="2">
        <f t="shared" si="64"/>
        <v>44789541.559723489</v>
      </c>
      <c r="Y166" s="2">
        <f t="shared" si="65"/>
        <v>364400</v>
      </c>
      <c r="Z166" s="2">
        <f t="shared" si="66"/>
        <v>-0.36</v>
      </c>
      <c r="AA166" s="2">
        <f t="shared" si="67"/>
        <v>44790863.809723489</v>
      </c>
      <c r="AB166" s="2">
        <f t="shared" si="68"/>
        <v>-1322.25</v>
      </c>
    </row>
    <row r="167" spans="1:28">
      <c r="A167" s="2">
        <v>164</v>
      </c>
      <c r="B167" s="2" t="s">
        <v>758</v>
      </c>
      <c r="C167" s="2" t="s">
        <v>1219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57"/>
        <v>44789541.559723489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44789541.559723489</v>
      </c>
      <c r="Y167" s="6" t="s">
        <v>1195</v>
      </c>
      <c r="Z167" s="6" t="s">
        <v>1195</v>
      </c>
      <c r="AA167" s="2">
        <f>AA166</f>
        <v>44790863.809723489</v>
      </c>
      <c r="AB167" s="2">
        <v>0</v>
      </c>
    </row>
    <row r="168" spans="1:28">
      <c r="A168" s="2">
        <v>165</v>
      </c>
      <c r="B168" s="2" t="s">
        <v>760</v>
      </c>
      <c r="C168" s="2" t="s">
        <v>1219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2" t="s">
        <v>196</v>
      </c>
      <c r="I168" s="2" t="s">
        <v>1455</v>
      </c>
      <c r="J168" s="2" t="s">
        <v>1456</v>
      </c>
      <c r="K168" s="2">
        <f t="shared" si="57"/>
        <v>44789541.559723489</v>
      </c>
      <c r="L168" s="2" t="s">
        <v>1004</v>
      </c>
      <c r="M168" s="2" t="s">
        <v>1283</v>
      </c>
      <c r="N168" s="2" t="s">
        <v>1268</v>
      </c>
      <c r="O168" s="2">
        <v>627</v>
      </c>
      <c r="P168" s="2">
        <v>1643.280883789062</v>
      </c>
      <c r="Q168" s="2">
        <v>1846.152709960937</v>
      </c>
      <c r="R168" s="2">
        <f t="shared" ref="R168:R173" si="69">O168*P168</f>
        <v>1030337.114135742</v>
      </c>
      <c r="S168" s="2">
        <f t="shared" ref="S168:S173" si="70">O168*Q168</f>
        <v>1157537.7491455076</v>
      </c>
      <c r="T168" s="2">
        <f t="shared" ref="T168:T173" si="71">R168+S168</f>
        <v>2187874.8632812495</v>
      </c>
      <c r="U168" s="2">
        <f t="shared" ref="U168:U173" si="72">ROUND(T168*0.0005, 2)</f>
        <v>1093.94</v>
      </c>
      <c r="V168" s="2">
        <f t="shared" ref="V168:V173" si="73">S168-R168</f>
        <v>127200.63500976563</v>
      </c>
      <c r="W168" s="2">
        <f t="shared" ref="W168:W173" si="74">V168-U168</f>
        <v>126106.69500976562</v>
      </c>
      <c r="X168" s="2">
        <f t="shared" ref="X168:X173" si="75">K168+W168</f>
        <v>44915648.254733257</v>
      </c>
      <c r="Y168" s="2">
        <f t="shared" ref="Y168:Y173" si="76">ROUND(0.2*R168, 2)</f>
        <v>206067.42</v>
      </c>
      <c r="Z168" s="2">
        <f t="shared" ref="Z168:Z173" si="77">ROUND((W168/Y168)*100, 2)</f>
        <v>61.2</v>
      </c>
      <c r="AA168" s="2">
        <f t="shared" ref="AA168:AA173" si="78">MAX(AA167, X168)</f>
        <v>44915648.254733257</v>
      </c>
      <c r="AB168" s="2">
        <f t="shared" ref="AB168:AB173" si="79">X168-AA168</f>
        <v>0</v>
      </c>
    </row>
    <row r="169" spans="1:28">
      <c r="A169" s="2">
        <v>166</v>
      </c>
      <c r="B169" s="2" t="s">
        <v>763</v>
      </c>
      <c r="C169" s="2" t="s">
        <v>1219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2" t="s">
        <v>198</v>
      </c>
      <c r="I169" s="2" t="s">
        <v>186</v>
      </c>
      <c r="J169" s="2" t="s">
        <v>990</v>
      </c>
      <c r="K169" s="2">
        <f t="shared" si="57"/>
        <v>44915648.254733257</v>
      </c>
      <c r="L169" s="2" t="s">
        <v>1245</v>
      </c>
      <c r="M169" s="2" t="s">
        <v>1251</v>
      </c>
      <c r="N169" s="2" t="s">
        <v>1283</v>
      </c>
      <c r="O169" s="2">
        <v>229</v>
      </c>
      <c r="P169" s="2">
        <v>1697.267333984375</v>
      </c>
      <c r="Q169" s="2">
        <v>1725.662963867188</v>
      </c>
      <c r="R169" s="2">
        <f t="shared" si="69"/>
        <v>388674.21948242188</v>
      </c>
      <c r="S169" s="2">
        <f t="shared" si="70"/>
        <v>395176.81872558605</v>
      </c>
      <c r="T169" s="2">
        <f t="shared" si="71"/>
        <v>783851.03820800793</v>
      </c>
      <c r="U169" s="2">
        <f t="shared" si="72"/>
        <v>391.93</v>
      </c>
      <c r="V169" s="2">
        <f t="shared" si="73"/>
        <v>6502.5992431641789</v>
      </c>
      <c r="W169" s="2">
        <f t="shared" si="74"/>
        <v>6110.6692431641786</v>
      </c>
      <c r="X169" s="2">
        <f t="shared" si="75"/>
        <v>44921758.923976421</v>
      </c>
      <c r="Y169" s="2">
        <f t="shared" si="76"/>
        <v>77734.84</v>
      </c>
      <c r="Z169" s="2">
        <f t="shared" si="77"/>
        <v>7.86</v>
      </c>
      <c r="AA169" s="2">
        <f t="shared" si="78"/>
        <v>44921758.923976421</v>
      </c>
      <c r="AB169" s="2">
        <f t="shared" si="79"/>
        <v>0</v>
      </c>
    </row>
    <row r="170" spans="1:28">
      <c r="A170" s="2">
        <v>167</v>
      </c>
      <c r="B170" s="2" t="s">
        <v>764</v>
      </c>
      <c r="C170" s="2" t="s">
        <v>1219</v>
      </c>
      <c r="D170" s="4" t="s">
        <v>61</v>
      </c>
      <c r="E170" s="5" t="s">
        <v>134</v>
      </c>
      <c r="F170" s="2" t="s">
        <v>135</v>
      </c>
      <c r="G170" s="2" t="s">
        <v>77</v>
      </c>
      <c r="H170" s="2" t="s">
        <v>765</v>
      </c>
      <c r="I170" s="2" t="s">
        <v>804</v>
      </c>
      <c r="J170" s="2" t="s">
        <v>431</v>
      </c>
      <c r="K170" s="2">
        <f t="shared" si="57"/>
        <v>44921758.923976421</v>
      </c>
      <c r="L170" s="2" t="s">
        <v>1085</v>
      </c>
      <c r="M170" s="2" t="s">
        <v>1084</v>
      </c>
      <c r="N170" s="2" t="s">
        <v>1457</v>
      </c>
      <c r="O170" s="2">
        <v>2645</v>
      </c>
      <c r="P170" s="2">
        <v>239.99745178222659</v>
      </c>
      <c r="Q170" s="2">
        <v>243.9075012207031</v>
      </c>
      <c r="R170" s="2">
        <f t="shared" si="69"/>
        <v>634793.25996398937</v>
      </c>
      <c r="S170" s="2">
        <f t="shared" si="70"/>
        <v>645135.34072875965</v>
      </c>
      <c r="T170" s="2">
        <f t="shared" si="71"/>
        <v>1279928.600692749</v>
      </c>
      <c r="U170" s="2">
        <f t="shared" si="72"/>
        <v>639.96</v>
      </c>
      <c r="V170" s="2">
        <f t="shared" si="73"/>
        <v>10342.080764770275</v>
      </c>
      <c r="W170" s="2">
        <f t="shared" si="74"/>
        <v>9702.1207647702759</v>
      </c>
      <c r="X170" s="2">
        <f t="shared" si="75"/>
        <v>44931461.044741191</v>
      </c>
      <c r="Y170" s="2">
        <f t="shared" si="76"/>
        <v>126958.65</v>
      </c>
      <c r="Z170" s="2">
        <f t="shared" si="77"/>
        <v>7.64</v>
      </c>
      <c r="AA170" s="2">
        <f t="shared" si="78"/>
        <v>44931461.044741191</v>
      </c>
      <c r="AB170" s="2">
        <f t="shared" si="79"/>
        <v>0</v>
      </c>
    </row>
    <row r="171" spans="1:28">
      <c r="A171" s="2">
        <v>168</v>
      </c>
      <c r="B171" s="2" t="s">
        <v>769</v>
      </c>
      <c r="C171" s="2" t="s">
        <v>1219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1458</v>
      </c>
      <c r="J171" s="2" t="s">
        <v>1459</v>
      </c>
      <c r="K171" s="2">
        <f t="shared" si="57"/>
        <v>44931461.044741191</v>
      </c>
      <c r="L171" s="2" t="s">
        <v>1131</v>
      </c>
      <c r="M171" s="2" t="s">
        <v>1460</v>
      </c>
      <c r="N171" s="2" t="s">
        <v>1461</v>
      </c>
      <c r="O171" s="2">
        <v>2667</v>
      </c>
      <c r="P171" s="2">
        <v>348.29998779296881</v>
      </c>
      <c r="Q171" s="2">
        <v>334.25</v>
      </c>
      <c r="R171" s="2">
        <f t="shared" si="69"/>
        <v>928916.06744384777</v>
      </c>
      <c r="S171" s="2">
        <f t="shared" si="70"/>
        <v>891444.75</v>
      </c>
      <c r="T171" s="2">
        <f t="shared" si="71"/>
        <v>1820360.8174438477</v>
      </c>
      <c r="U171" s="2">
        <f t="shared" si="72"/>
        <v>910.18</v>
      </c>
      <c r="V171" s="2">
        <f t="shared" si="73"/>
        <v>-37471.317443847773</v>
      </c>
      <c r="W171" s="2">
        <f t="shared" si="74"/>
        <v>-38381.497443847773</v>
      </c>
      <c r="X171" s="2">
        <f t="shared" si="75"/>
        <v>44893079.547297344</v>
      </c>
      <c r="Y171" s="2">
        <f t="shared" si="76"/>
        <v>185783.21</v>
      </c>
      <c r="Z171" s="2">
        <f t="shared" si="77"/>
        <v>-20.66</v>
      </c>
      <c r="AA171" s="2">
        <f t="shared" si="78"/>
        <v>44931461.044741191</v>
      </c>
      <c r="AB171" s="2">
        <f t="shared" si="79"/>
        <v>-38381.497443847358</v>
      </c>
    </row>
    <row r="172" spans="1:28">
      <c r="A172" s="2">
        <v>169</v>
      </c>
      <c r="B172" s="2" t="s">
        <v>773</v>
      </c>
      <c r="C172" s="2" t="s">
        <v>1219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1462</v>
      </c>
      <c r="J172" s="2" t="s">
        <v>1463</v>
      </c>
      <c r="K172" s="2">
        <f t="shared" si="57"/>
        <v>44893079.547297344</v>
      </c>
      <c r="L172" s="2" t="s">
        <v>1055</v>
      </c>
      <c r="M172" s="2" t="s">
        <v>985</v>
      </c>
      <c r="N172" s="2" t="s">
        <v>956</v>
      </c>
      <c r="O172" s="2">
        <v>250</v>
      </c>
      <c r="P172" s="2">
        <v>1357.476928710938</v>
      </c>
      <c r="Q172" s="2">
        <v>1360.35205078125</v>
      </c>
      <c r="R172" s="2">
        <f t="shared" si="69"/>
        <v>339369.23217773449</v>
      </c>
      <c r="S172" s="2">
        <f t="shared" si="70"/>
        <v>340088.0126953125</v>
      </c>
      <c r="T172" s="2">
        <f t="shared" si="71"/>
        <v>679457.24487304699</v>
      </c>
      <c r="U172" s="2">
        <f t="shared" si="72"/>
        <v>339.73</v>
      </c>
      <c r="V172" s="2">
        <f t="shared" si="73"/>
        <v>718.78051757800858</v>
      </c>
      <c r="W172" s="2">
        <f t="shared" si="74"/>
        <v>379.05051757800857</v>
      </c>
      <c r="X172" s="2">
        <f t="shared" si="75"/>
        <v>44893458.597814925</v>
      </c>
      <c r="Y172" s="2">
        <f t="shared" si="76"/>
        <v>67873.850000000006</v>
      </c>
      <c r="Z172" s="2">
        <f t="shared" si="77"/>
        <v>0.56000000000000005</v>
      </c>
      <c r="AA172" s="2">
        <f t="shared" si="78"/>
        <v>44931461.044741191</v>
      </c>
      <c r="AB172" s="2">
        <f t="shared" si="79"/>
        <v>-38002.446926265955</v>
      </c>
    </row>
    <row r="173" spans="1:28">
      <c r="A173" s="2">
        <v>170</v>
      </c>
      <c r="B173" s="2" t="s">
        <v>778</v>
      </c>
      <c r="C173" s="2" t="s">
        <v>1219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2" t="s">
        <v>779</v>
      </c>
      <c r="I173" s="2" t="s">
        <v>1464</v>
      </c>
      <c r="J173" s="2" t="s">
        <v>1010</v>
      </c>
      <c r="K173" s="2">
        <f t="shared" si="57"/>
        <v>44893458.597814925</v>
      </c>
      <c r="L173" s="2" t="s">
        <v>1005</v>
      </c>
      <c r="M173" s="2" t="s">
        <v>1278</v>
      </c>
      <c r="N173" s="2" t="s">
        <v>1251</v>
      </c>
      <c r="O173" s="2">
        <v>4486</v>
      </c>
      <c r="P173" s="2">
        <v>511.8502197265625</v>
      </c>
      <c r="Q173" s="2">
        <v>598.92840576171875</v>
      </c>
      <c r="R173" s="2">
        <f t="shared" si="69"/>
        <v>2296160.0856933594</v>
      </c>
      <c r="S173" s="2">
        <f t="shared" si="70"/>
        <v>2686792.8282470703</v>
      </c>
      <c r="T173" s="2">
        <f t="shared" si="71"/>
        <v>4982952.9139404297</v>
      </c>
      <c r="U173" s="2">
        <f t="shared" si="72"/>
        <v>2491.48</v>
      </c>
      <c r="V173" s="2">
        <f t="shared" si="73"/>
        <v>390632.74255371094</v>
      </c>
      <c r="W173" s="2">
        <f t="shared" si="74"/>
        <v>388141.26255371096</v>
      </c>
      <c r="X173" s="2">
        <f t="shared" si="75"/>
        <v>45281599.860368639</v>
      </c>
      <c r="Y173" s="2">
        <f t="shared" si="76"/>
        <v>459232.02</v>
      </c>
      <c r="Z173" s="2">
        <f t="shared" si="77"/>
        <v>84.52</v>
      </c>
      <c r="AA173" s="2">
        <f t="shared" si="78"/>
        <v>45281599.860368639</v>
      </c>
      <c r="AB173" s="2">
        <f t="shared" si="79"/>
        <v>0</v>
      </c>
    </row>
    <row r="174" spans="1:28">
      <c r="A174" s="2">
        <v>171</v>
      </c>
      <c r="B174" s="2" t="s">
        <v>782</v>
      </c>
      <c r="C174" s="2" t="s">
        <v>1219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57"/>
        <v>45281599.860368639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45281599.860368639</v>
      </c>
      <c r="Y174" s="6" t="s">
        <v>1195</v>
      </c>
      <c r="Z174" s="6" t="s">
        <v>1195</v>
      </c>
      <c r="AA174" s="2">
        <f>AA173</f>
        <v>45281599.860368639</v>
      </c>
      <c r="AB174" s="2">
        <v>0</v>
      </c>
    </row>
    <row r="175" spans="1:28">
      <c r="A175" s="2">
        <v>172</v>
      </c>
      <c r="B175" s="2" t="s">
        <v>784</v>
      </c>
      <c r="C175" s="2" t="s">
        <v>1219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2" t="s">
        <v>785</v>
      </c>
      <c r="I175" s="2" t="s">
        <v>309</v>
      </c>
      <c r="J175" s="2" t="s">
        <v>361</v>
      </c>
      <c r="K175" s="2">
        <f t="shared" si="57"/>
        <v>45281599.860368639</v>
      </c>
      <c r="L175" s="2" t="s">
        <v>1254</v>
      </c>
      <c r="M175" s="2" t="s">
        <v>1379</v>
      </c>
      <c r="N175" s="2" t="s">
        <v>1278</v>
      </c>
      <c r="O175" s="2">
        <v>5915</v>
      </c>
      <c r="P175" s="2">
        <v>125.71494293212891</v>
      </c>
      <c r="Q175" s="2">
        <v>133.88818359375</v>
      </c>
      <c r="R175" s="2">
        <f t="shared" ref="R175:R187" si="80">O175*P175</f>
        <v>743603.88744354248</v>
      </c>
      <c r="S175" s="2">
        <f t="shared" ref="S175:S187" si="81">O175*Q175</f>
        <v>791948.60595703125</v>
      </c>
      <c r="T175" s="2">
        <f t="shared" ref="T175:T187" si="82">R175+S175</f>
        <v>1535552.4934005737</v>
      </c>
      <c r="U175" s="2">
        <f t="shared" ref="U175:U187" si="83">ROUND(T175*0.0005, 2)</f>
        <v>767.78</v>
      </c>
      <c r="V175" s="2">
        <f t="shared" ref="V175:V187" si="84">S175-R175</f>
        <v>48344.71851348877</v>
      </c>
      <c r="W175" s="2">
        <f t="shared" ref="W175:W187" si="85">V175-U175</f>
        <v>47576.938513488771</v>
      </c>
      <c r="X175" s="2">
        <f t="shared" ref="X175:X187" si="86">K175+W175</f>
        <v>45329176.798882127</v>
      </c>
      <c r="Y175" s="2">
        <f t="shared" ref="Y175:Y187" si="87">ROUND(0.2*R175, 2)</f>
        <v>148720.78</v>
      </c>
      <c r="Z175" s="2">
        <f t="shared" ref="Z175:Z187" si="88">ROUND((W175/Y175)*100, 2)</f>
        <v>31.99</v>
      </c>
      <c r="AA175" s="2">
        <f t="shared" ref="AA175:AA187" si="89">MAX(AA174, X175)</f>
        <v>45329176.798882127</v>
      </c>
      <c r="AB175" s="2">
        <f t="shared" ref="AB175:AB187" si="90">X175-AA175</f>
        <v>0</v>
      </c>
    </row>
    <row r="176" spans="1:28">
      <c r="A176" s="2">
        <v>173</v>
      </c>
      <c r="B176" s="2" t="s">
        <v>787</v>
      </c>
      <c r="C176" s="2" t="s">
        <v>1219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2" t="s">
        <v>788</v>
      </c>
      <c r="I176" s="2" t="s">
        <v>607</v>
      </c>
      <c r="J176" s="2" t="s">
        <v>1465</v>
      </c>
      <c r="K176" s="2">
        <f t="shared" si="57"/>
        <v>45329176.798882127</v>
      </c>
      <c r="L176" s="2" t="s">
        <v>1466</v>
      </c>
      <c r="M176" s="2" t="s">
        <v>1298</v>
      </c>
      <c r="N176" s="2" t="s">
        <v>1467</v>
      </c>
      <c r="O176" s="2">
        <v>1550</v>
      </c>
      <c r="P176" s="2">
        <v>722.85</v>
      </c>
      <c r="Q176" s="2">
        <v>722.5</v>
      </c>
      <c r="R176" s="2">
        <f t="shared" si="80"/>
        <v>1120417.5</v>
      </c>
      <c r="S176" s="2">
        <f t="shared" si="81"/>
        <v>1119875</v>
      </c>
      <c r="T176" s="2">
        <f t="shared" si="82"/>
        <v>2240292.5</v>
      </c>
      <c r="U176" s="2">
        <f t="shared" si="83"/>
        <v>1120.1500000000001</v>
      </c>
      <c r="V176" s="2">
        <f t="shared" si="84"/>
        <v>-542.5</v>
      </c>
      <c r="W176" s="2">
        <f t="shared" si="85"/>
        <v>-1662.65</v>
      </c>
      <c r="X176" s="2">
        <f t="shared" si="86"/>
        <v>45327514.148882128</v>
      </c>
      <c r="Y176" s="2">
        <f t="shared" si="87"/>
        <v>224083.5</v>
      </c>
      <c r="Z176" s="2">
        <f t="shared" si="88"/>
        <v>-0.74</v>
      </c>
      <c r="AA176" s="2">
        <f t="shared" si="89"/>
        <v>45329176.798882127</v>
      </c>
      <c r="AB176" s="2">
        <f t="shared" si="90"/>
        <v>-1662.6499999985099</v>
      </c>
    </row>
    <row r="177" spans="1:28">
      <c r="A177" s="2">
        <v>174</v>
      </c>
      <c r="B177" s="2" t="s">
        <v>790</v>
      </c>
      <c r="C177" s="2" t="s">
        <v>1219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305</v>
      </c>
      <c r="J177" s="2" t="s">
        <v>1468</v>
      </c>
      <c r="K177" s="2">
        <f t="shared" si="57"/>
        <v>45327514.148882128</v>
      </c>
      <c r="L177" s="2" t="s">
        <v>1267</v>
      </c>
      <c r="M177" s="2" t="s">
        <v>1004</v>
      </c>
      <c r="N177" s="2" t="s">
        <v>1244</v>
      </c>
      <c r="O177" s="2">
        <v>375</v>
      </c>
      <c r="P177" s="2">
        <v>1589.610473632812</v>
      </c>
      <c r="Q177" s="2">
        <v>1689.830322265625</v>
      </c>
      <c r="R177" s="2">
        <f t="shared" si="80"/>
        <v>596103.92761230457</v>
      </c>
      <c r="S177" s="2">
        <f t="shared" si="81"/>
        <v>633686.37084960937</v>
      </c>
      <c r="T177" s="2">
        <f t="shared" si="82"/>
        <v>1229790.2984619141</v>
      </c>
      <c r="U177" s="2">
        <f t="shared" si="83"/>
        <v>614.9</v>
      </c>
      <c r="V177" s="2">
        <f t="shared" si="84"/>
        <v>37582.443237304804</v>
      </c>
      <c r="W177" s="2">
        <f t="shared" si="85"/>
        <v>36967.543237304802</v>
      </c>
      <c r="X177" s="2">
        <f t="shared" si="86"/>
        <v>45364481.692119434</v>
      </c>
      <c r="Y177" s="2">
        <f t="shared" si="87"/>
        <v>119220.79</v>
      </c>
      <c r="Z177" s="2">
        <f t="shared" si="88"/>
        <v>31.01</v>
      </c>
      <c r="AA177" s="2">
        <f t="shared" si="89"/>
        <v>45364481.692119434</v>
      </c>
      <c r="AB177" s="2">
        <f t="shared" si="90"/>
        <v>0</v>
      </c>
    </row>
    <row r="178" spans="1:28">
      <c r="A178" s="2">
        <v>175</v>
      </c>
      <c r="B178" s="2" t="s">
        <v>794</v>
      </c>
      <c r="C178" s="2" t="s">
        <v>1219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1326</v>
      </c>
      <c r="J178" s="2" t="s">
        <v>1469</v>
      </c>
      <c r="K178" s="2">
        <f t="shared" si="57"/>
        <v>45364481.692119434</v>
      </c>
      <c r="L178" s="2" t="s">
        <v>946</v>
      </c>
      <c r="M178" s="2" t="s">
        <v>947</v>
      </c>
      <c r="N178" s="2" t="s">
        <v>948</v>
      </c>
      <c r="O178" s="2">
        <v>1500</v>
      </c>
      <c r="P178" s="2">
        <v>827.7589111328125</v>
      </c>
      <c r="Q178" s="2">
        <v>816.25164794921875</v>
      </c>
      <c r="R178" s="2">
        <f t="shared" si="80"/>
        <v>1241638.3666992188</v>
      </c>
      <c r="S178" s="2">
        <f t="shared" si="81"/>
        <v>1224377.4719238281</v>
      </c>
      <c r="T178" s="2">
        <f t="shared" si="82"/>
        <v>2466015.8386230469</v>
      </c>
      <c r="U178" s="2">
        <f t="shared" si="83"/>
        <v>1233.01</v>
      </c>
      <c r="V178" s="2">
        <f t="shared" si="84"/>
        <v>-17260.894775390625</v>
      </c>
      <c r="W178" s="2">
        <f t="shared" si="85"/>
        <v>-18493.904775390623</v>
      </c>
      <c r="X178" s="2">
        <f t="shared" si="86"/>
        <v>45345987.787344046</v>
      </c>
      <c r="Y178" s="2">
        <f t="shared" si="87"/>
        <v>248327.67</v>
      </c>
      <c r="Z178" s="2">
        <f t="shared" si="88"/>
        <v>-7.45</v>
      </c>
      <c r="AA178" s="2">
        <f t="shared" si="89"/>
        <v>45364481.692119434</v>
      </c>
      <c r="AB178" s="2">
        <f t="shared" si="90"/>
        <v>-18493.904775388539</v>
      </c>
    </row>
    <row r="179" spans="1:28">
      <c r="A179" s="2">
        <v>176</v>
      </c>
      <c r="B179" s="2" t="s">
        <v>798</v>
      </c>
      <c r="C179" s="2" t="s">
        <v>1219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2" t="s">
        <v>266</v>
      </c>
      <c r="I179" s="2" t="s">
        <v>1470</v>
      </c>
      <c r="J179" s="2" t="s">
        <v>1471</v>
      </c>
      <c r="K179" s="2">
        <f t="shared" si="57"/>
        <v>45345987.787344046</v>
      </c>
      <c r="L179" s="2" t="s">
        <v>1004</v>
      </c>
      <c r="M179" s="2" t="s">
        <v>1283</v>
      </c>
      <c r="N179" s="2" t="s">
        <v>1269</v>
      </c>
      <c r="O179" s="2">
        <v>100</v>
      </c>
      <c r="P179" s="2">
        <v>27233.5234375</v>
      </c>
      <c r="Q179" s="2">
        <v>24869.548828125</v>
      </c>
      <c r="R179" s="2">
        <f t="shared" si="80"/>
        <v>2723352.34375</v>
      </c>
      <c r="S179" s="2">
        <f t="shared" si="81"/>
        <v>2486954.8828125</v>
      </c>
      <c r="T179" s="2">
        <f t="shared" si="82"/>
        <v>5210307.2265625</v>
      </c>
      <c r="U179" s="2">
        <f t="shared" si="83"/>
        <v>2605.15</v>
      </c>
      <c r="V179" s="2">
        <f t="shared" si="84"/>
        <v>-236397.4609375</v>
      </c>
      <c r="W179" s="2">
        <f t="shared" si="85"/>
        <v>-239002.61093749999</v>
      </c>
      <c r="X179" s="2">
        <f t="shared" si="86"/>
        <v>45106985.176406547</v>
      </c>
      <c r="Y179" s="2">
        <f t="shared" si="87"/>
        <v>544670.47</v>
      </c>
      <c r="Z179" s="2">
        <f t="shared" si="88"/>
        <v>-43.88</v>
      </c>
      <c r="AA179" s="2">
        <f t="shared" si="89"/>
        <v>45364481.692119434</v>
      </c>
      <c r="AB179" s="2">
        <f t="shared" si="90"/>
        <v>-257496.51571288705</v>
      </c>
    </row>
    <row r="180" spans="1:28">
      <c r="A180" s="2">
        <v>177</v>
      </c>
      <c r="B180" s="2" t="s">
        <v>801</v>
      </c>
      <c r="C180" s="2" t="s">
        <v>1219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1129</v>
      </c>
      <c r="J180" s="2" t="s">
        <v>643</v>
      </c>
      <c r="K180" s="2">
        <f t="shared" si="57"/>
        <v>45106985.176406547</v>
      </c>
      <c r="L180" s="2" t="s">
        <v>288</v>
      </c>
      <c r="M180" s="2" t="s">
        <v>967</v>
      </c>
      <c r="N180" s="2" t="s">
        <v>957</v>
      </c>
      <c r="O180" s="2">
        <v>957</v>
      </c>
      <c r="P180" s="2">
        <v>631.2418212890625</v>
      </c>
      <c r="Q180" s="2">
        <v>610.58367919921875</v>
      </c>
      <c r="R180" s="2">
        <f t="shared" si="80"/>
        <v>604098.42297363281</v>
      </c>
      <c r="S180" s="2">
        <f t="shared" si="81"/>
        <v>584328.58099365234</v>
      </c>
      <c r="T180" s="2">
        <f t="shared" si="82"/>
        <v>1188427.0039672852</v>
      </c>
      <c r="U180" s="2">
        <f t="shared" si="83"/>
        <v>594.21</v>
      </c>
      <c r="V180" s="2">
        <f t="shared" si="84"/>
        <v>-19769.841979980469</v>
      </c>
      <c r="W180" s="2">
        <f t="shared" si="85"/>
        <v>-20364.051979980468</v>
      </c>
      <c r="X180" s="2">
        <f t="shared" si="86"/>
        <v>45086621.124426566</v>
      </c>
      <c r="Y180" s="2">
        <f t="shared" si="87"/>
        <v>120819.68</v>
      </c>
      <c r="Z180" s="2">
        <f t="shared" si="88"/>
        <v>-16.850000000000001</v>
      </c>
      <c r="AA180" s="2">
        <f t="shared" si="89"/>
        <v>45364481.692119434</v>
      </c>
      <c r="AB180" s="2">
        <f t="shared" si="90"/>
        <v>-277860.56769286841</v>
      </c>
    </row>
    <row r="181" spans="1:28">
      <c r="A181" s="2">
        <v>178</v>
      </c>
      <c r="B181" s="2" t="s">
        <v>806</v>
      </c>
      <c r="C181" s="2" t="s">
        <v>1219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2" t="s">
        <v>517</v>
      </c>
      <c r="I181" s="2" t="s">
        <v>660</v>
      </c>
      <c r="J181" s="2" t="s">
        <v>1472</v>
      </c>
      <c r="K181" s="2">
        <f t="shared" si="57"/>
        <v>45086621.124426566</v>
      </c>
      <c r="L181" s="2" t="s">
        <v>1272</v>
      </c>
      <c r="M181" s="2" t="s">
        <v>1255</v>
      </c>
      <c r="N181" s="2" t="s">
        <v>1278</v>
      </c>
      <c r="O181" s="2">
        <v>273</v>
      </c>
      <c r="P181" s="2">
        <v>4086.863525390625</v>
      </c>
      <c r="Q181" s="2">
        <v>4028.538818359375</v>
      </c>
      <c r="R181" s="2">
        <f t="shared" si="80"/>
        <v>1115713.7424316406</v>
      </c>
      <c r="S181" s="2">
        <f t="shared" si="81"/>
        <v>1099791.0974121094</v>
      </c>
      <c r="T181" s="2">
        <f t="shared" si="82"/>
        <v>2215504.83984375</v>
      </c>
      <c r="U181" s="2">
        <f t="shared" si="83"/>
        <v>1107.75</v>
      </c>
      <c r="V181" s="2">
        <f t="shared" si="84"/>
        <v>-15922.64501953125</v>
      </c>
      <c r="W181" s="2">
        <f t="shared" si="85"/>
        <v>-17030.39501953125</v>
      </c>
      <c r="X181" s="2">
        <f t="shared" si="86"/>
        <v>45069590.729407035</v>
      </c>
      <c r="Y181" s="2">
        <f t="shared" si="87"/>
        <v>223142.75</v>
      </c>
      <c r="Z181" s="2">
        <f t="shared" si="88"/>
        <v>-7.63</v>
      </c>
      <c r="AA181" s="2">
        <f t="shared" si="89"/>
        <v>45364481.692119434</v>
      </c>
      <c r="AB181" s="2">
        <f t="shared" si="90"/>
        <v>-294890.96271239966</v>
      </c>
    </row>
    <row r="182" spans="1:28">
      <c r="A182" s="2">
        <v>179</v>
      </c>
      <c r="B182" s="2" t="s">
        <v>809</v>
      </c>
      <c r="C182" s="2" t="s">
        <v>1219</v>
      </c>
      <c r="D182" s="3" t="s">
        <v>37</v>
      </c>
      <c r="E182" s="5" t="s">
        <v>134</v>
      </c>
      <c r="F182" s="2" t="s">
        <v>135</v>
      </c>
      <c r="G182" s="2" t="s">
        <v>40</v>
      </c>
      <c r="H182" s="2" t="s">
        <v>810</v>
      </c>
      <c r="I182" s="2" t="s">
        <v>1301</v>
      </c>
      <c r="J182" s="2" t="s">
        <v>921</v>
      </c>
      <c r="K182" s="2">
        <f t="shared" si="57"/>
        <v>45069590.729407035</v>
      </c>
      <c r="L182" s="2" t="s">
        <v>1005</v>
      </c>
      <c r="M182" s="2" t="s">
        <v>1312</v>
      </c>
      <c r="N182" s="2" t="s">
        <v>1283</v>
      </c>
      <c r="O182" s="2">
        <v>100</v>
      </c>
      <c r="P182" s="2">
        <v>10872.1142578125</v>
      </c>
      <c r="Q182" s="2">
        <v>10051.94140625</v>
      </c>
      <c r="R182" s="2">
        <f t="shared" si="80"/>
        <v>1087211.42578125</v>
      </c>
      <c r="S182" s="2">
        <f t="shared" si="81"/>
        <v>1005194.140625</v>
      </c>
      <c r="T182" s="2">
        <f t="shared" si="82"/>
        <v>2092405.56640625</v>
      </c>
      <c r="U182" s="2">
        <f t="shared" si="83"/>
        <v>1046.2</v>
      </c>
      <c r="V182" s="2">
        <f t="shared" si="84"/>
        <v>-82017.28515625</v>
      </c>
      <c r="W182" s="2">
        <f t="shared" si="85"/>
        <v>-83063.485156249997</v>
      </c>
      <c r="X182" s="2">
        <f t="shared" si="86"/>
        <v>44986527.244250782</v>
      </c>
      <c r="Y182" s="2">
        <f t="shared" si="87"/>
        <v>217442.29</v>
      </c>
      <c r="Z182" s="2">
        <f t="shared" si="88"/>
        <v>-38.200000000000003</v>
      </c>
      <c r="AA182" s="2">
        <f t="shared" si="89"/>
        <v>45364481.692119434</v>
      </c>
      <c r="AB182" s="2">
        <f t="shared" si="90"/>
        <v>-377954.44786865264</v>
      </c>
    </row>
    <row r="183" spans="1:28">
      <c r="A183" s="2">
        <v>180</v>
      </c>
      <c r="B183" s="2" t="s">
        <v>813</v>
      </c>
      <c r="C183" s="2" t="s">
        <v>1219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2" t="s">
        <v>814</v>
      </c>
      <c r="I183" s="2" t="s">
        <v>1380</v>
      </c>
      <c r="J183" s="2" t="s">
        <v>1473</v>
      </c>
      <c r="K183" s="2">
        <f t="shared" si="57"/>
        <v>44986527.244250782</v>
      </c>
      <c r="L183" s="2" t="s">
        <v>1343</v>
      </c>
      <c r="M183" s="2" t="s">
        <v>1272</v>
      </c>
      <c r="N183" s="2" t="s">
        <v>1244</v>
      </c>
      <c r="O183" s="2">
        <v>1309</v>
      </c>
      <c r="P183" s="2">
        <v>670.44500732421875</v>
      </c>
      <c r="Q183" s="2">
        <v>705.1522216796875</v>
      </c>
      <c r="R183" s="2">
        <f t="shared" si="80"/>
        <v>877612.51458740234</v>
      </c>
      <c r="S183" s="2">
        <f t="shared" si="81"/>
        <v>923044.25817871094</v>
      </c>
      <c r="T183" s="2">
        <f t="shared" si="82"/>
        <v>1800656.7727661133</v>
      </c>
      <c r="U183" s="2">
        <f t="shared" si="83"/>
        <v>900.33</v>
      </c>
      <c r="V183" s="2">
        <f t="shared" si="84"/>
        <v>45431.743591308594</v>
      </c>
      <c r="W183" s="2">
        <f t="shared" si="85"/>
        <v>44531.413591308592</v>
      </c>
      <c r="X183" s="2">
        <f t="shared" si="86"/>
        <v>45031058.657842092</v>
      </c>
      <c r="Y183" s="2">
        <f t="shared" si="87"/>
        <v>175522.5</v>
      </c>
      <c r="Z183" s="2">
        <f t="shared" si="88"/>
        <v>25.37</v>
      </c>
      <c r="AA183" s="2">
        <f t="shared" si="89"/>
        <v>45364481.692119434</v>
      </c>
      <c r="AB183" s="2">
        <f t="shared" si="90"/>
        <v>-333423.03427734226</v>
      </c>
    </row>
    <row r="184" spans="1:28">
      <c r="A184" s="2">
        <v>181</v>
      </c>
      <c r="B184" s="2" t="s">
        <v>817</v>
      </c>
      <c r="C184" s="2" t="s">
        <v>1219</v>
      </c>
      <c r="D184" s="4" t="s">
        <v>61</v>
      </c>
      <c r="E184" s="5" t="s">
        <v>134</v>
      </c>
      <c r="F184" s="2" t="s">
        <v>135</v>
      </c>
      <c r="G184" s="2" t="s">
        <v>54</v>
      </c>
      <c r="H184" s="2" t="s">
        <v>747</v>
      </c>
      <c r="I184" s="2" t="s">
        <v>1474</v>
      </c>
      <c r="J184" s="2" t="s">
        <v>1475</v>
      </c>
      <c r="K184" s="2">
        <f t="shared" si="57"/>
        <v>45031058.657842092</v>
      </c>
      <c r="L184" s="2" t="s">
        <v>1296</v>
      </c>
      <c r="M184" s="2" t="s">
        <v>1005</v>
      </c>
      <c r="N184" s="2" t="s">
        <v>1267</v>
      </c>
      <c r="O184" s="2">
        <v>383</v>
      </c>
      <c r="P184" s="2">
        <v>2489.835693359375</v>
      </c>
      <c r="Q184" s="2">
        <v>2386.0859375</v>
      </c>
      <c r="R184" s="2">
        <f t="shared" si="80"/>
        <v>953607.07055664062</v>
      </c>
      <c r="S184" s="2">
        <f t="shared" si="81"/>
        <v>913870.9140625</v>
      </c>
      <c r="T184" s="2">
        <f t="shared" si="82"/>
        <v>1867477.9846191406</v>
      </c>
      <c r="U184" s="2">
        <f t="shared" si="83"/>
        <v>933.74</v>
      </c>
      <c r="V184" s="2">
        <f t="shared" si="84"/>
        <v>-39736.156494140625</v>
      </c>
      <c r="W184" s="2">
        <f t="shared" si="85"/>
        <v>-40669.896494140623</v>
      </c>
      <c r="X184" s="2">
        <f t="shared" si="86"/>
        <v>44990388.76134795</v>
      </c>
      <c r="Y184" s="2">
        <f t="shared" si="87"/>
        <v>190721.41</v>
      </c>
      <c r="Z184" s="2">
        <f t="shared" si="88"/>
        <v>-21.32</v>
      </c>
      <c r="AA184" s="2">
        <f t="shared" si="89"/>
        <v>45364481.692119434</v>
      </c>
      <c r="AB184" s="2">
        <f t="shared" si="90"/>
        <v>-374092.93077148497</v>
      </c>
    </row>
    <row r="185" spans="1:28">
      <c r="A185" s="2">
        <v>182</v>
      </c>
      <c r="B185" s="2" t="s">
        <v>820</v>
      </c>
      <c r="C185" s="2" t="s">
        <v>1219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1476</v>
      </c>
      <c r="J185" s="2" t="s">
        <v>1477</v>
      </c>
      <c r="K185" s="2">
        <f t="shared" si="57"/>
        <v>44990388.76134795</v>
      </c>
      <c r="L185" s="2" t="s">
        <v>970</v>
      </c>
      <c r="M185" s="2" t="s">
        <v>959</v>
      </c>
      <c r="N185" s="2" t="s">
        <v>289</v>
      </c>
      <c r="O185" s="2">
        <v>350</v>
      </c>
      <c r="P185" s="2">
        <v>1875.545043945312</v>
      </c>
      <c r="Q185" s="2">
        <v>1775.943359375</v>
      </c>
      <c r="R185" s="2">
        <f t="shared" si="80"/>
        <v>656440.76538085926</v>
      </c>
      <c r="S185" s="2">
        <f t="shared" si="81"/>
        <v>621580.17578125</v>
      </c>
      <c r="T185" s="2">
        <f t="shared" si="82"/>
        <v>1278020.9411621094</v>
      </c>
      <c r="U185" s="2">
        <f t="shared" si="83"/>
        <v>639.01</v>
      </c>
      <c r="V185" s="2">
        <f t="shared" si="84"/>
        <v>-34860.589599609259</v>
      </c>
      <c r="W185" s="2">
        <f t="shared" si="85"/>
        <v>-35499.599599609261</v>
      </c>
      <c r="X185" s="2">
        <f t="shared" si="86"/>
        <v>44954889.161748342</v>
      </c>
      <c r="Y185" s="2">
        <f t="shared" si="87"/>
        <v>131288.15</v>
      </c>
      <c r="Z185" s="2">
        <f t="shared" si="88"/>
        <v>-27.04</v>
      </c>
      <c r="AA185" s="2">
        <f t="shared" si="89"/>
        <v>45364481.692119434</v>
      </c>
      <c r="AB185" s="2">
        <f t="shared" si="90"/>
        <v>-409592.53037109226</v>
      </c>
    </row>
    <row r="186" spans="1:28">
      <c r="A186" s="2">
        <v>183</v>
      </c>
      <c r="B186" s="2" t="s">
        <v>823</v>
      </c>
      <c r="C186" s="2" t="s">
        <v>1219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2" t="s">
        <v>824</v>
      </c>
      <c r="I186" s="2" t="s">
        <v>1478</v>
      </c>
      <c r="J186" s="2" t="s">
        <v>1017</v>
      </c>
      <c r="K186" s="2">
        <f t="shared" si="57"/>
        <v>44954889.161748342</v>
      </c>
      <c r="L186" s="2" t="s">
        <v>1321</v>
      </c>
      <c r="M186" s="2" t="s">
        <v>1267</v>
      </c>
      <c r="N186" s="2" t="s">
        <v>1084</v>
      </c>
      <c r="O186" s="2">
        <v>289</v>
      </c>
      <c r="P186" s="2">
        <v>5412.64697265625</v>
      </c>
      <c r="Q186" s="2">
        <v>5814.3876953125</v>
      </c>
      <c r="R186" s="2">
        <f t="shared" si="80"/>
        <v>1564254.9750976563</v>
      </c>
      <c r="S186" s="2">
        <f t="shared" si="81"/>
        <v>1680358.0439453125</v>
      </c>
      <c r="T186" s="2">
        <f t="shared" si="82"/>
        <v>3244613.0190429687</v>
      </c>
      <c r="U186" s="2">
        <f t="shared" si="83"/>
        <v>1622.31</v>
      </c>
      <c r="V186" s="2">
        <f t="shared" si="84"/>
        <v>116103.06884765625</v>
      </c>
      <c r="W186" s="2">
        <f t="shared" si="85"/>
        <v>114480.75884765625</v>
      </c>
      <c r="X186" s="2">
        <f t="shared" si="86"/>
        <v>45069369.920595996</v>
      </c>
      <c r="Y186" s="2">
        <f t="shared" si="87"/>
        <v>312851</v>
      </c>
      <c r="Z186" s="2">
        <f t="shared" si="88"/>
        <v>36.590000000000003</v>
      </c>
      <c r="AA186" s="2">
        <f t="shared" si="89"/>
        <v>45364481.692119434</v>
      </c>
      <c r="AB186" s="2">
        <f t="shared" si="90"/>
        <v>-295111.77152343839</v>
      </c>
    </row>
    <row r="187" spans="1:28">
      <c r="A187" s="2">
        <v>184</v>
      </c>
      <c r="B187" s="2" t="s">
        <v>827</v>
      </c>
      <c r="C187" s="2" t="s">
        <v>1219</v>
      </c>
      <c r="D187" s="3" t="s">
        <v>37</v>
      </c>
      <c r="E187" s="5" t="s">
        <v>134</v>
      </c>
      <c r="F187" s="2" t="s">
        <v>135</v>
      </c>
      <c r="G187" s="2" t="s">
        <v>40</v>
      </c>
      <c r="H187" s="2" t="s">
        <v>828</v>
      </c>
      <c r="I187" s="2" t="s">
        <v>1479</v>
      </c>
      <c r="J187" s="2" t="s">
        <v>309</v>
      </c>
      <c r="K187" s="2">
        <f t="shared" si="57"/>
        <v>45069369.920595996</v>
      </c>
      <c r="L187" s="2" t="s">
        <v>1321</v>
      </c>
      <c r="M187" s="2" t="s">
        <v>1245</v>
      </c>
      <c r="N187" s="2" t="s">
        <v>1084</v>
      </c>
      <c r="O187" s="2">
        <v>21097</v>
      </c>
      <c r="P187" s="2">
        <v>54.889999389648438</v>
      </c>
      <c r="Q187" s="2">
        <v>61.889999389648438</v>
      </c>
      <c r="R187" s="2">
        <f t="shared" si="80"/>
        <v>1158014.3171234131</v>
      </c>
      <c r="S187" s="2">
        <f t="shared" si="81"/>
        <v>1305693.3171234131</v>
      </c>
      <c r="T187" s="2">
        <f t="shared" si="82"/>
        <v>2463707.6342468262</v>
      </c>
      <c r="U187" s="2">
        <f t="shared" si="83"/>
        <v>1231.8499999999999</v>
      </c>
      <c r="V187" s="2">
        <f t="shared" si="84"/>
        <v>147679</v>
      </c>
      <c r="W187" s="2">
        <f t="shared" si="85"/>
        <v>146447.15</v>
      </c>
      <c r="X187" s="2">
        <f t="shared" si="86"/>
        <v>45215817.070595995</v>
      </c>
      <c r="Y187" s="2">
        <f t="shared" si="87"/>
        <v>231602.86</v>
      </c>
      <c r="Z187" s="2">
        <f t="shared" si="88"/>
        <v>63.23</v>
      </c>
      <c r="AA187" s="2">
        <f t="shared" si="89"/>
        <v>45364481.692119434</v>
      </c>
      <c r="AB187" s="2">
        <f t="shared" si="90"/>
        <v>-148664.62152343988</v>
      </c>
    </row>
    <row r="188" spans="1:28">
      <c r="A188" s="2">
        <v>185</v>
      </c>
      <c r="B188" s="2" t="s">
        <v>831</v>
      </c>
      <c r="C188" s="2" t="s">
        <v>1219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57"/>
        <v>45215817.070595995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45215817.070595995</v>
      </c>
      <c r="Y188" s="6" t="s">
        <v>1195</v>
      </c>
      <c r="Z188" s="6" t="s">
        <v>1195</v>
      </c>
      <c r="AA188" s="2">
        <f>AA187</f>
        <v>45364481.692119434</v>
      </c>
      <c r="AB188" s="2">
        <v>0</v>
      </c>
    </row>
    <row r="189" spans="1:28">
      <c r="A189" s="2">
        <v>186</v>
      </c>
      <c r="B189" s="2" t="s">
        <v>835</v>
      </c>
      <c r="C189" s="2" t="s">
        <v>1219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1480</v>
      </c>
      <c r="J189" s="2" t="s">
        <v>1481</v>
      </c>
      <c r="K189" s="2">
        <f t="shared" si="57"/>
        <v>45215817.070595995</v>
      </c>
      <c r="L189" s="2" t="s">
        <v>999</v>
      </c>
      <c r="M189" s="2" t="s">
        <v>288</v>
      </c>
      <c r="N189" s="2" t="s">
        <v>970</v>
      </c>
      <c r="O189" s="2">
        <v>450</v>
      </c>
      <c r="P189" s="2">
        <v>980.81988525390625</v>
      </c>
      <c r="Q189" s="2">
        <v>1097.756469726562</v>
      </c>
      <c r="R189" s="2">
        <f>O189*P189</f>
        <v>441368.94836425781</v>
      </c>
      <c r="S189" s="2">
        <f>O189*Q189</f>
        <v>493990.41137695289</v>
      </c>
      <c r="T189" s="2">
        <f>R189+S189</f>
        <v>935359.3597412107</v>
      </c>
      <c r="U189" s="2">
        <f>ROUND(T189*0.0005, 2)</f>
        <v>467.68</v>
      </c>
      <c r="V189" s="2">
        <f>S189-R189</f>
        <v>52621.46301269508</v>
      </c>
      <c r="W189" s="2">
        <f>V189-U189</f>
        <v>52153.783012695079</v>
      </c>
      <c r="X189" s="2">
        <f>K189+W189</f>
        <v>45267970.85360869</v>
      </c>
      <c r="Y189" s="2">
        <f>ROUND(0.2*R189, 2)</f>
        <v>88273.79</v>
      </c>
      <c r="Z189" s="2">
        <f>ROUND((W189/Y189)*100, 2)</f>
        <v>59.08</v>
      </c>
      <c r="AA189" s="2">
        <f>MAX(AA188, X189)</f>
        <v>45364481.692119434</v>
      </c>
      <c r="AB189" s="2">
        <f>X189-AA189</f>
        <v>-96510.838510744274</v>
      </c>
    </row>
    <row r="190" spans="1:28">
      <c r="A190" s="2">
        <v>187</v>
      </c>
      <c r="B190" s="2" t="s">
        <v>840</v>
      </c>
      <c r="C190" s="2" t="s">
        <v>1219</v>
      </c>
      <c r="D190" s="4" t="s">
        <v>61</v>
      </c>
      <c r="E190" s="5" t="s">
        <v>134</v>
      </c>
      <c r="F190" s="2" t="s">
        <v>135</v>
      </c>
      <c r="G190" s="2" t="s">
        <v>40</v>
      </c>
      <c r="H190" s="2" t="s">
        <v>841</v>
      </c>
      <c r="I190" s="2" t="s">
        <v>1482</v>
      </c>
      <c r="J190" s="2" t="s">
        <v>1483</v>
      </c>
      <c r="K190" s="2">
        <f t="shared" si="57"/>
        <v>45267970.85360869</v>
      </c>
      <c r="L190" s="2" t="s">
        <v>1484</v>
      </c>
      <c r="M190" s="2" t="s">
        <v>1296</v>
      </c>
      <c r="N190" s="2" t="s">
        <v>1346</v>
      </c>
      <c r="O190" s="2">
        <v>273</v>
      </c>
      <c r="P190" s="2">
        <v>6833.1748046875</v>
      </c>
      <c r="Q190" s="2">
        <v>6855.85693359375</v>
      </c>
      <c r="R190" s="2">
        <f>O190*P190</f>
        <v>1865456.7216796875</v>
      </c>
      <c r="S190" s="2">
        <f>O190*Q190</f>
        <v>1871648.9428710938</v>
      </c>
      <c r="T190" s="2">
        <f>R190+S190</f>
        <v>3737105.6645507812</v>
      </c>
      <c r="U190" s="2">
        <f>ROUND(T190*0.0005, 2)</f>
        <v>1868.55</v>
      </c>
      <c r="V190" s="2">
        <f>S190-R190</f>
        <v>6192.22119140625</v>
      </c>
      <c r="W190" s="2">
        <f>V190-U190</f>
        <v>4323.6711914062498</v>
      </c>
      <c r="X190" s="2">
        <f>K190+W190</f>
        <v>45272294.524800099</v>
      </c>
      <c r="Y190" s="2">
        <f>ROUND(0.2*R190, 2)</f>
        <v>373091.34</v>
      </c>
      <c r="Z190" s="2">
        <f>ROUND((W190/Y190)*100, 2)</f>
        <v>1.1599999999999999</v>
      </c>
      <c r="AA190" s="2">
        <f>MAX(AA189, X190)</f>
        <v>45364481.692119434</v>
      </c>
      <c r="AB190" s="2">
        <f>X190-AA190</f>
        <v>-92187.167319335043</v>
      </c>
    </row>
    <row r="191" spans="1:28">
      <c r="A191" s="2">
        <v>188</v>
      </c>
      <c r="B191" s="2" t="s">
        <v>845</v>
      </c>
      <c r="C191" s="2" t="s">
        <v>1219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57"/>
        <v>45272294.524800099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45272294.524800099</v>
      </c>
      <c r="Y191" s="6" t="s">
        <v>1195</v>
      </c>
      <c r="Z191" s="6" t="s">
        <v>1195</v>
      </c>
      <c r="AA191" s="2">
        <f>AA190</f>
        <v>45364481.692119434</v>
      </c>
      <c r="AB191" s="2">
        <v>0</v>
      </c>
    </row>
    <row r="192" spans="1:28">
      <c r="A192" s="2">
        <v>189</v>
      </c>
      <c r="B192" s="2" t="s">
        <v>848</v>
      </c>
      <c r="C192" s="2" t="s">
        <v>1219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2" t="s">
        <v>829</v>
      </c>
      <c r="I192" s="2" t="s">
        <v>1485</v>
      </c>
      <c r="J192" s="2" t="s">
        <v>1486</v>
      </c>
      <c r="K192" s="2">
        <f t="shared" si="57"/>
        <v>45272294.524800099</v>
      </c>
      <c r="L192" s="2" t="s">
        <v>1272</v>
      </c>
      <c r="M192" s="2" t="s">
        <v>1255</v>
      </c>
      <c r="N192" s="2" t="s">
        <v>1269</v>
      </c>
      <c r="O192" s="2">
        <v>2659</v>
      </c>
      <c r="P192" s="2">
        <v>413.14334106445312</v>
      </c>
      <c r="Q192" s="2">
        <v>438.78262329101562</v>
      </c>
      <c r="R192" s="2">
        <f t="shared" ref="R192:R208" si="91">O192*P192</f>
        <v>1098548.1438903809</v>
      </c>
      <c r="S192" s="2">
        <f t="shared" ref="S192:S208" si="92">O192*Q192</f>
        <v>1166722.9953308105</v>
      </c>
      <c r="T192" s="2">
        <f t="shared" ref="T192:T208" si="93">R192+S192</f>
        <v>2265271.1392211914</v>
      </c>
      <c r="U192" s="2">
        <f t="shared" ref="U192:U208" si="94">ROUND(T192*0.0005, 2)</f>
        <v>1132.6400000000001</v>
      </c>
      <c r="V192" s="2">
        <f t="shared" ref="V192:V208" si="95">S192-R192</f>
        <v>68174.851440429688</v>
      </c>
      <c r="W192" s="2">
        <f t="shared" ref="W192:W208" si="96">V192-U192</f>
        <v>67042.211440429688</v>
      </c>
      <c r="X192" s="2">
        <f t="shared" ref="X192:X208" si="97">K192+W192</f>
        <v>45339336.736240529</v>
      </c>
      <c r="Y192" s="2">
        <f t="shared" ref="Y192:Y208" si="98">ROUND(0.2*R192, 2)</f>
        <v>219709.63</v>
      </c>
      <c r="Z192" s="2">
        <f t="shared" ref="Z192:Z208" si="99">ROUND((W192/Y192)*100, 2)</f>
        <v>30.51</v>
      </c>
      <c r="AA192" s="2">
        <f t="shared" ref="AA192:AA208" si="100">MAX(AA191, X192)</f>
        <v>45364481.692119434</v>
      </c>
      <c r="AB192" s="2">
        <f t="shared" ref="AB192:AB208" si="101">X192-AA192</f>
        <v>-25144.955878905952</v>
      </c>
    </row>
    <row r="193" spans="1:28">
      <c r="A193" s="2">
        <v>190</v>
      </c>
      <c r="B193" s="2" t="s">
        <v>851</v>
      </c>
      <c r="C193" s="2" t="s">
        <v>1219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1487</v>
      </c>
      <c r="J193" s="2" t="s">
        <v>1488</v>
      </c>
      <c r="K193" s="2">
        <f t="shared" si="57"/>
        <v>45339336.736240529</v>
      </c>
      <c r="L193" s="2" t="s">
        <v>289</v>
      </c>
      <c r="M193" s="2" t="s">
        <v>951</v>
      </c>
      <c r="N193" s="2" t="s">
        <v>973</v>
      </c>
      <c r="O193" s="2">
        <v>5500</v>
      </c>
      <c r="P193" s="2">
        <v>133.25044250488281</v>
      </c>
      <c r="Q193" s="2">
        <v>143.02616882324219</v>
      </c>
      <c r="R193" s="2">
        <f t="shared" si="91"/>
        <v>732877.43377685547</v>
      </c>
      <c r="S193" s="2">
        <f t="shared" si="92"/>
        <v>786643.92852783203</v>
      </c>
      <c r="T193" s="2">
        <f t="shared" si="93"/>
        <v>1519521.3623046875</v>
      </c>
      <c r="U193" s="2">
        <f t="shared" si="94"/>
        <v>759.76</v>
      </c>
      <c r="V193" s="2">
        <f t="shared" si="95"/>
        <v>53766.494750976563</v>
      </c>
      <c r="W193" s="2">
        <f t="shared" si="96"/>
        <v>53006.73475097656</v>
      </c>
      <c r="X193" s="2">
        <f t="shared" si="97"/>
        <v>45392343.470991507</v>
      </c>
      <c r="Y193" s="2">
        <f t="shared" si="98"/>
        <v>146575.49</v>
      </c>
      <c r="Z193" s="2">
        <f t="shared" si="99"/>
        <v>36.159999999999997</v>
      </c>
      <c r="AA193" s="2">
        <f t="shared" si="100"/>
        <v>45392343.470991507</v>
      </c>
      <c r="AB193" s="2">
        <f t="shared" si="101"/>
        <v>0</v>
      </c>
    </row>
    <row r="194" spans="1:28">
      <c r="A194" s="2">
        <v>191</v>
      </c>
      <c r="B194" s="2" t="s">
        <v>854</v>
      </c>
      <c r="C194" s="2" t="s">
        <v>1219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1235</v>
      </c>
      <c r="J194" s="2" t="s">
        <v>1144</v>
      </c>
      <c r="K194" s="2">
        <f t="shared" si="57"/>
        <v>45392343.470991507</v>
      </c>
      <c r="L194" s="2" t="s">
        <v>1489</v>
      </c>
      <c r="M194" s="2" t="s">
        <v>956</v>
      </c>
      <c r="N194" s="2" t="s">
        <v>1049</v>
      </c>
      <c r="O194" s="2">
        <v>175</v>
      </c>
      <c r="P194" s="2">
        <v>3864.2705078125</v>
      </c>
      <c r="Q194" s="2">
        <v>3991.503173828125</v>
      </c>
      <c r="R194" s="2">
        <f t="shared" si="91"/>
        <v>676247.3388671875</v>
      </c>
      <c r="S194" s="2">
        <f t="shared" si="92"/>
        <v>698513.05541992188</v>
      </c>
      <c r="T194" s="2">
        <f t="shared" si="93"/>
        <v>1374760.3942871094</v>
      </c>
      <c r="U194" s="2">
        <f t="shared" si="94"/>
        <v>687.38</v>
      </c>
      <c r="V194" s="2">
        <f t="shared" si="95"/>
        <v>22265.716552734375</v>
      </c>
      <c r="W194" s="2">
        <f t="shared" si="96"/>
        <v>21578.336552734374</v>
      </c>
      <c r="X194" s="2">
        <f t="shared" si="97"/>
        <v>45413921.807544239</v>
      </c>
      <c r="Y194" s="2">
        <f t="shared" si="98"/>
        <v>135249.47</v>
      </c>
      <c r="Z194" s="2">
        <f t="shared" si="99"/>
        <v>15.95</v>
      </c>
      <c r="AA194" s="2">
        <f t="shared" si="100"/>
        <v>45413921.807544239</v>
      </c>
      <c r="AB194" s="2">
        <f t="shared" si="101"/>
        <v>0</v>
      </c>
    </row>
    <row r="195" spans="1:28">
      <c r="A195" s="2">
        <v>192</v>
      </c>
      <c r="B195" s="2" t="s">
        <v>860</v>
      </c>
      <c r="C195" s="2" t="s">
        <v>1219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1490</v>
      </c>
      <c r="J195" s="2" t="s">
        <v>1491</v>
      </c>
      <c r="K195" s="2">
        <f t="shared" si="57"/>
        <v>45413921.807544239</v>
      </c>
      <c r="L195" s="2" t="s">
        <v>1014</v>
      </c>
      <c r="M195" s="2" t="s">
        <v>957</v>
      </c>
      <c r="N195" s="2" t="s">
        <v>1161</v>
      </c>
      <c r="O195" s="2">
        <v>600</v>
      </c>
      <c r="P195" s="2">
        <v>1611.4560546875</v>
      </c>
      <c r="Q195" s="2">
        <v>1595.073486328125</v>
      </c>
      <c r="R195" s="2">
        <f t="shared" si="91"/>
        <v>966873.6328125</v>
      </c>
      <c r="S195" s="2">
        <f t="shared" si="92"/>
        <v>957044.091796875</v>
      </c>
      <c r="T195" s="2">
        <f t="shared" si="93"/>
        <v>1923917.724609375</v>
      </c>
      <c r="U195" s="2">
        <f t="shared" si="94"/>
        <v>961.96</v>
      </c>
      <c r="V195" s="2">
        <f t="shared" si="95"/>
        <v>-9829.541015625</v>
      </c>
      <c r="W195" s="2">
        <f t="shared" si="96"/>
        <v>-10791.501015624999</v>
      </c>
      <c r="X195" s="2">
        <f t="shared" si="97"/>
        <v>45403130.306528613</v>
      </c>
      <c r="Y195" s="2">
        <f t="shared" si="98"/>
        <v>193374.73</v>
      </c>
      <c r="Z195" s="2">
        <f t="shared" si="99"/>
        <v>-5.58</v>
      </c>
      <c r="AA195" s="2">
        <f t="shared" si="100"/>
        <v>45413921.807544239</v>
      </c>
      <c r="AB195" s="2">
        <f t="shared" si="101"/>
        <v>-10791.501015625894</v>
      </c>
    </row>
    <row r="196" spans="1:28">
      <c r="A196" s="2">
        <v>193</v>
      </c>
      <c r="B196" s="2" t="s">
        <v>865</v>
      </c>
      <c r="C196" s="2" t="s">
        <v>1219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2" t="s">
        <v>866</v>
      </c>
      <c r="I196" s="2" t="s">
        <v>427</v>
      </c>
      <c r="J196" s="2" t="s">
        <v>1492</v>
      </c>
      <c r="K196" s="2">
        <f t="shared" si="57"/>
        <v>45403130.306528613</v>
      </c>
      <c r="L196" s="2" t="s">
        <v>1245</v>
      </c>
      <c r="M196" s="2" t="s">
        <v>1292</v>
      </c>
      <c r="N196" s="2" t="s">
        <v>1268</v>
      </c>
      <c r="O196" s="2">
        <v>371</v>
      </c>
      <c r="P196" s="2">
        <v>4041.97705078125</v>
      </c>
      <c r="Q196" s="2">
        <v>4154.498046875</v>
      </c>
      <c r="R196" s="2">
        <f t="shared" si="91"/>
        <v>1499573.4858398437</v>
      </c>
      <c r="S196" s="2">
        <f t="shared" si="92"/>
        <v>1541318.775390625</v>
      </c>
      <c r="T196" s="2">
        <f t="shared" si="93"/>
        <v>3040892.2612304687</v>
      </c>
      <c r="U196" s="2">
        <f t="shared" si="94"/>
        <v>1520.45</v>
      </c>
      <c r="V196" s="2">
        <f t="shared" si="95"/>
        <v>41745.28955078125</v>
      </c>
      <c r="W196" s="2">
        <f t="shared" si="96"/>
        <v>40224.839550781253</v>
      </c>
      <c r="X196" s="2">
        <f t="shared" si="97"/>
        <v>45443355.146079391</v>
      </c>
      <c r="Y196" s="2">
        <f t="shared" si="98"/>
        <v>299914.7</v>
      </c>
      <c r="Z196" s="2">
        <f t="shared" si="99"/>
        <v>13.41</v>
      </c>
      <c r="AA196" s="2">
        <f t="shared" si="100"/>
        <v>45443355.146079391</v>
      </c>
      <c r="AB196" s="2">
        <f t="shared" si="101"/>
        <v>0</v>
      </c>
    </row>
    <row r="197" spans="1:28">
      <c r="A197" s="2">
        <v>194</v>
      </c>
      <c r="B197" s="2" t="s">
        <v>868</v>
      </c>
      <c r="C197" s="2" t="s">
        <v>1219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984</v>
      </c>
      <c r="J197" s="2" t="s">
        <v>1493</v>
      </c>
      <c r="K197" s="2">
        <f t="shared" ref="K197:K214" si="102">X196</f>
        <v>45443355.146079391</v>
      </c>
      <c r="L197" s="2" t="s">
        <v>979</v>
      </c>
      <c r="M197" s="2" t="s">
        <v>946</v>
      </c>
      <c r="N197" s="2" t="s">
        <v>979</v>
      </c>
      <c r="O197" s="2">
        <v>175</v>
      </c>
      <c r="P197" s="2">
        <v>3101.309814453125</v>
      </c>
      <c r="Q197" s="2">
        <v>3210.02490234375</v>
      </c>
      <c r="R197" s="2">
        <f t="shared" si="91"/>
        <v>542729.21752929687</v>
      </c>
      <c r="S197" s="2">
        <f t="shared" si="92"/>
        <v>561754.35791015625</v>
      </c>
      <c r="T197" s="2">
        <f t="shared" si="93"/>
        <v>1104483.5754394531</v>
      </c>
      <c r="U197" s="2">
        <f t="shared" si="94"/>
        <v>552.24</v>
      </c>
      <c r="V197" s="2">
        <f t="shared" si="95"/>
        <v>19025.140380859375</v>
      </c>
      <c r="W197" s="2">
        <f t="shared" si="96"/>
        <v>18472.900380859373</v>
      </c>
      <c r="X197" s="2">
        <f t="shared" si="97"/>
        <v>45461828.046460249</v>
      </c>
      <c r="Y197" s="2">
        <f t="shared" si="98"/>
        <v>108545.84</v>
      </c>
      <c r="Z197" s="2">
        <f t="shared" si="99"/>
        <v>17.02</v>
      </c>
      <c r="AA197" s="2">
        <f t="shared" si="100"/>
        <v>45461828.046460249</v>
      </c>
      <c r="AB197" s="2">
        <f t="shared" si="101"/>
        <v>0</v>
      </c>
    </row>
    <row r="198" spans="1:28">
      <c r="A198" s="2">
        <v>195</v>
      </c>
      <c r="B198" s="2" t="s">
        <v>873</v>
      </c>
      <c r="C198" s="2" t="s">
        <v>1219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1494</v>
      </c>
      <c r="J198" s="2" t="s">
        <v>1074</v>
      </c>
      <c r="K198" s="2">
        <f t="shared" si="102"/>
        <v>45461828.046460249</v>
      </c>
      <c r="L198" s="2" t="s">
        <v>1495</v>
      </c>
      <c r="M198" s="2" t="s">
        <v>1496</v>
      </c>
      <c r="N198" s="2" t="s">
        <v>1497</v>
      </c>
      <c r="O198" s="2">
        <v>3054</v>
      </c>
      <c r="P198" s="2">
        <v>221.24110412597659</v>
      </c>
      <c r="Q198" s="2">
        <v>232.9312438964844</v>
      </c>
      <c r="R198" s="2">
        <f t="shared" si="91"/>
        <v>675670.33200073254</v>
      </c>
      <c r="S198" s="2">
        <f t="shared" si="92"/>
        <v>711372.0188598634</v>
      </c>
      <c r="T198" s="2">
        <f t="shared" si="93"/>
        <v>1387042.3508605959</v>
      </c>
      <c r="U198" s="2">
        <f t="shared" si="94"/>
        <v>693.52</v>
      </c>
      <c r="V198" s="2">
        <f t="shared" si="95"/>
        <v>35701.686859130859</v>
      </c>
      <c r="W198" s="2">
        <f t="shared" si="96"/>
        <v>35008.166859130863</v>
      </c>
      <c r="X198" s="2">
        <f t="shared" si="97"/>
        <v>45496836.213319376</v>
      </c>
      <c r="Y198" s="2">
        <f t="shared" si="98"/>
        <v>135134.07</v>
      </c>
      <c r="Z198" s="2">
        <f t="shared" si="99"/>
        <v>25.91</v>
      </c>
      <c r="AA198" s="2">
        <f t="shared" si="100"/>
        <v>45496836.213319376</v>
      </c>
      <c r="AB198" s="2">
        <f t="shared" si="101"/>
        <v>0</v>
      </c>
    </row>
    <row r="199" spans="1:28">
      <c r="A199" s="2">
        <v>196</v>
      </c>
      <c r="B199" s="2" t="s">
        <v>878</v>
      </c>
      <c r="C199" s="2" t="s">
        <v>1219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2" t="s">
        <v>879</v>
      </c>
      <c r="I199" s="2" t="s">
        <v>1498</v>
      </c>
      <c r="J199" s="2" t="s">
        <v>196</v>
      </c>
      <c r="K199" s="2">
        <f t="shared" si="102"/>
        <v>45496836.213319376</v>
      </c>
      <c r="L199" s="2" t="s">
        <v>1084</v>
      </c>
      <c r="M199" s="2" t="s">
        <v>1005</v>
      </c>
      <c r="N199" s="2" t="s">
        <v>1267</v>
      </c>
      <c r="O199" s="2">
        <v>205</v>
      </c>
      <c r="P199" s="2">
        <v>2974.296875</v>
      </c>
      <c r="Q199" s="2">
        <v>3139.80810546875</v>
      </c>
      <c r="R199" s="2">
        <f t="shared" si="91"/>
        <v>609730.859375</v>
      </c>
      <c r="S199" s="2">
        <f t="shared" si="92"/>
        <v>643660.66162109375</v>
      </c>
      <c r="T199" s="2">
        <f t="shared" si="93"/>
        <v>1253391.5209960938</v>
      </c>
      <c r="U199" s="2">
        <f t="shared" si="94"/>
        <v>626.70000000000005</v>
      </c>
      <c r="V199" s="2">
        <f t="shared" si="95"/>
        <v>33929.80224609375</v>
      </c>
      <c r="W199" s="2">
        <f t="shared" si="96"/>
        <v>33303.102246093753</v>
      </c>
      <c r="X199" s="2">
        <f t="shared" si="97"/>
        <v>45530139.315565467</v>
      </c>
      <c r="Y199" s="2">
        <f t="shared" si="98"/>
        <v>121946.17</v>
      </c>
      <c r="Z199" s="2">
        <f t="shared" si="99"/>
        <v>27.31</v>
      </c>
      <c r="AA199" s="2">
        <f t="shared" si="100"/>
        <v>45530139.315565467</v>
      </c>
      <c r="AB199" s="2">
        <f t="shared" si="101"/>
        <v>0</v>
      </c>
    </row>
    <row r="200" spans="1:28">
      <c r="A200" s="2">
        <v>197</v>
      </c>
      <c r="B200" s="2" t="s">
        <v>881</v>
      </c>
      <c r="C200" s="2" t="s">
        <v>1219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1499</v>
      </c>
      <c r="J200" s="2" t="s">
        <v>1500</v>
      </c>
      <c r="K200" s="2">
        <f t="shared" si="102"/>
        <v>45530139.315565467</v>
      </c>
      <c r="L200" s="2" t="s">
        <v>973</v>
      </c>
      <c r="M200" s="2" t="s">
        <v>980</v>
      </c>
      <c r="N200" s="2" t="s">
        <v>948</v>
      </c>
      <c r="O200" s="2">
        <v>345</v>
      </c>
      <c r="P200" s="2">
        <v>6941.1796875</v>
      </c>
      <c r="Q200" s="2">
        <v>6449.73974609375</v>
      </c>
      <c r="R200" s="2">
        <f t="shared" si="91"/>
        <v>2394706.9921875</v>
      </c>
      <c r="S200" s="2">
        <f t="shared" si="92"/>
        <v>2225160.2124023437</v>
      </c>
      <c r="T200" s="2">
        <f t="shared" si="93"/>
        <v>4619867.2045898437</v>
      </c>
      <c r="U200" s="2">
        <f t="shared" si="94"/>
        <v>2309.9299999999998</v>
      </c>
      <c r="V200" s="2">
        <f t="shared" si="95"/>
        <v>-169546.77978515625</v>
      </c>
      <c r="W200" s="2">
        <f t="shared" si="96"/>
        <v>-171856.70978515624</v>
      </c>
      <c r="X200" s="2">
        <f t="shared" si="97"/>
        <v>45358282.605780311</v>
      </c>
      <c r="Y200" s="2">
        <f t="shared" si="98"/>
        <v>478941.4</v>
      </c>
      <c r="Z200" s="2">
        <f t="shared" si="99"/>
        <v>-35.880000000000003</v>
      </c>
      <c r="AA200" s="2">
        <f t="shared" si="100"/>
        <v>45530139.315565467</v>
      </c>
      <c r="AB200" s="2">
        <f t="shared" si="101"/>
        <v>-171856.70978515595</v>
      </c>
    </row>
    <row r="201" spans="1:28">
      <c r="A201" s="2">
        <v>198</v>
      </c>
      <c r="B201" s="2" t="s">
        <v>886</v>
      </c>
      <c r="C201" s="2" t="s">
        <v>1219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2" t="s">
        <v>887</v>
      </c>
      <c r="I201" s="2" t="s">
        <v>1236</v>
      </c>
      <c r="J201" s="2" t="s">
        <v>1501</v>
      </c>
      <c r="K201" s="2">
        <f t="shared" si="102"/>
        <v>45358282.605780311</v>
      </c>
      <c r="L201" s="2" t="s">
        <v>1270</v>
      </c>
      <c r="M201" s="2" t="s">
        <v>1283</v>
      </c>
      <c r="N201" s="2" t="s">
        <v>1269</v>
      </c>
      <c r="O201" s="2">
        <v>237</v>
      </c>
      <c r="P201" s="2">
        <v>2554.987548828125</v>
      </c>
      <c r="Q201" s="2">
        <v>2511.7685546875</v>
      </c>
      <c r="R201" s="2">
        <f t="shared" si="91"/>
        <v>605532.04907226562</v>
      </c>
      <c r="S201" s="2">
        <f t="shared" si="92"/>
        <v>595289.1474609375</v>
      </c>
      <c r="T201" s="2">
        <f t="shared" si="93"/>
        <v>1200821.1965332031</v>
      </c>
      <c r="U201" s="2">
        <f t="shared" si="94"/>
        <v>600.41</v>
      </c>
      <c r="V201" s="2">
        <f t="shared" si="95"/>
        <v>-10242.901611328125</v>
      </c>
      <c r="W201" s="2">
        <f t="shared" si="96"/>
        <v>-10843.311611328125</v>
      </c>
      <c r="X201" s="2">
        <f t="shared" si="97"/>
        <v>45347439.294168986</v>
      </c>
      <c r="Y201" s="2">
        <f t="shared" si="98"/>
        <v>121106.41</v>
      </c>
      <c r="Z201" s="2">
        <f t="shared" si="99"/>
        <v>-8.9499999999999993</v>
      </c>
      <c r="AA201" s="2">
        <f t="shared" si="100"/>
        <v>45530139.315565467</v>
      </c>
      <c r="AB201" s="2">
        <f t="shared" si="101"/>
        <v>-182700.0213964805</v>
      </c>
    </row>
    <row r="202" spans="1:28">
      <c r="A202" s="2">
        <v>199</v>
      </c>
      <c r="B202" s="2" t="s">
        <v>890</v>
      </c>
      <c r="C202" s="2" t="s">
        <v>1219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1502</v>
      </c>
      <c r="J202" s="2" t="s">
        <v>1503</v>
      </c>
      <c r="K202" s="2">
        <f t="shared" si="102"/>
        <v>45347439.294168986</v>
      </c>
      <c r="L202" s="2" t="s">
        <v>999</v>
      </c>
      <c r="M202" s="2" t="s">
        <v>289</v>
      </c>
      <c r="N202" s="2" t="s">
        <v>985</v>
      </c>
      <c r="O202" s="2">
        <v>100</v>
      </c>
      <c r="P202" s="2">
        <v>11022.7294921875</v>
      </c>
      <c r="Q202" s="2">
        <v>11344.98828125</v>
      </c>
      <c r="R202" s="2">
        <f t="shared" si="91"/>
        <v>1102272.94921875</v>
      </c>
      <c r="S202" s="2">
        <f t="shared" si="92"/>
        <v>1134498.828125</v>
      </c>
      <c r="T202" s="2">
        <f t="shared" si="93"/>
        <v>2236771.77734375</v>
      </c>
      <c r="U202" s="2">
        <f t="shared" si="94"/>
        <v>1118.3900000000001</v>
      </c>
      <c r="V202" s="2">
        <f t="shared" si="95"/>
        <v>32225.87890625</v>
      </c>
      <c r="W202" s="2">
        <f t="shared" si="96"/>
        <v>31107.488906250001</v>
      </c>
      <c r="X202" s="2">
        <f t="shared" si="97"/>
        <v>45378546.783075236</v>
      </c>
      <c r="Y202" s="2">
        <f t="shared" si="98"/>
        <v>220454.59</v>
      </c>
      <c r="Z202" s="2">
        <f t="shared" si="99"/>
        <v>14.11</v>
      </c>
      <c r="AA202" s="2">
        <f t="shared" si="100"/>
        <v>45530139.315565467</v>
      </c>
      <c r="AB202" s="2">
        <f t="shared" si="101"/>
        <v>-151592.5324902311</v>
      </c>
    </row>
    <row r="203" spans="1:28">
      <c r="A203" s="2">
        <v>200</v>
      </c>
      <c r="B203" s="2" t="s">
        <v>894</v>
      </c>
      <c r="C203" s="2" t="s">
        <v>1219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2" t="s">
        <v>895</v>
      </c>
      <c r="I203" s="2" t="s">
        <v>1504</v>
      </c>
      <c r="J203" s="2" t="s">
        <v>858</v>
      </c>
      <c r="K203" s="2">
        <f t="shared" si="102"/>
        <v>45378546.783075236</v>
      </c>
      <c r="L203" s="2" t="s">
        <v>1343</v>
      </c>
      <c r="M203" s="2" t="s">
        <v>1004</v>
      </c>
      <c r="N203" s="2" t="s">
        <v>1457</v>
      </c>
      <c r="O203" s="2">
        <v>5868</v>
      </c>
      <c r="P203" s="2">
        <v>127.8221130371094</v>
      </c>
      <c r="Q203" s="2">
        <v>124.0417022705078</v>
      </c>
      <c r="R203" s="2">
        <f t="shared" si="91"/>
        <v>750060.15930175793</v>
      </c>
      <c r="S203" s="2">
        <f t="shared" si="92"/>
        <v>727876.70892333973</v>
      </c>
      <c r="T203" s="2">
        <f t="shared" si="93"/>
        <v>1477936.8682250977</v>
      </c>
      <c r="U203" s="2">
        <f t="shared" si="94"/>
        <v>738.97</v>
      </c>
      <c r="V203" s="2">
        <f t="shared" si="95"/>
        <v>-22183.450378418202</v>
      </c>
      <c r="W203" s="2">
        <f t="shared" si="96"/>
        <v>-22922.420378418203</v>
      </c>
      <c r="X203" s="2">
        <f t="shared" si="97"/>
        <v>45355624.362696819</v>
      </c>
      <c r="Y203" s="2">
        <f t="shared" si="98"/>
        <v>150012.03</v>
      </c>
      <c r="Z203" s="2">
        <f t="shared" si="99"/>
        <v>-15.28</v>
      </c>
      <c r="AA203" s="2">
        <f t="shared" si="100"/>
        <v>45530139.315565467</v>
      </c>
      <c r="AB203" s="2">
        <f t="shared" si="101"/>
        <v>-174514.95286864787</v>
      </c>
    </row>
    <row r="204" spans="1:28">
      <c r="A204" s="2">
        <v>201</v>
      </c>
      <c r="B204" s="2" t="s">
        <v>897</v>
      </c>
      <c r="C204" s="2" t="s">
        <v>1219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2" t="s">
        <v>898</v>
      </c>
      <c r="I204" s="2" t="s">
        <v>1505</v>
      </c>
      <c r="J204" s="2" t="s">
        <v>1506</v>
      </c>
      <c r="K204" s="2">
        <f t="shared" si="102"/>
        <v>45355624.362696819</v>
      </c>
      <c r="L204" s="2" t="s">
        <v>1343</v>
      </c>
      <c r="M204" s="2" t="s">
        <v>1005</v>
      </c>
      <c r="N204" s="2" t="s">
        <v>1267</v>
      </c>
      <c r="O204" s="2">
        <v>652</v>
      </c>
      <c r="P204" s="2">
        <v>1391.620483398438</v>
      </c>
      <c r="Q204" s="2">
        <v>1271.66162109375</v>
      </c>
      <c r="R204" s="2">
        <f t="shared" si="91"/>
        <v>907336.5551757816</v>
      </c>
      <c r="S204" s="2">
        <f t="shared" si="92"/>
        <v>829123.376953125</v>
      </c>
      <c r="T204" s="2">
        <f t="shared" si="93"/>
        <v>1736459.9321289067</v>
      </c>
      <c r="U204" s="2">
        <f t="shared" si="94"/>
        <v>868.23</v>
      </c>
      <c r="V204" s="2">
        <f t="shared" si="95"/>
        <v>-78213.178222656599</v>
      </c>
      <c r="W204" s="2">
        <f t="shared" si="96"/>
        <v>-79081.408222656595</v>
      </c>
      <c r="X204" s="2">
        <f t="shared" si="97"/>
        <v>45276542.954474166</v>
      </c>
      <c r="Y204" s="2">
        <f t="shared" si="98"/>
        <v>181467.31</v>
      </c>
      <c r="Z204" s="2">
        <f t="shared" si="99"/>
        <v>-43.58</v>
      </c>
      <c r="AA204" s="2">
        <f t="shared" si="100"/>
        <v>45530139.315565467</v>
      </c>
      <c r="AB204" s="2">
        <f t="shared" si="101"/>
        <v>-253596.36109130085</v>
      </c>
    </row>
    <row r="205" spans="1:28">
      <c r="A205" s="2">
        <v>202</v>
      </c>
      <c r="B205" s="2" t="s">
        <v>899</v>
      </c>
      <c r="C205" s="2" t="s">
        <v>1219</v>
      </c>
      <c r="D205" s="3" t="s">
        <v>37</v>
      </c>
      <c r="E205" s="5" t="s">
        <v>134</v>
      </c>
      <c r="F205" s="2" t="s">
        <v>135</v>
      </c>
      <c r="G205" s="2" t="s">
        <v>40</v>
      </c>
      <c r="H205" s="2" t="s">
        <v>638</v>
      </c>
      <c r="I205" s="2" t="s">
        <v>285</v>
      </c>
      <c r="J205" s="2" t="s">
        <v>1507</v>
      </c>
      <c r="K205" s="2">
        <f t="shared" si="102"/>
        <v>45276542.954474166</v>
      </c>
      <c r="L205" s="2" t="s">
        <v>1005</v>
      </c>
      <c r="M205" s="2" t="s">
        <v>1312</v>
      </c>
      <c r="N205" s="2" t="s">
        <v>1283</v>
      </c>
      <c r="O205" s="2">
        <v>852</v>
      </c>
      <c r="P205" s="2">
        <v>1054.312622070312</v>
      </c>
      <c r="Q205" s="2">
        <v>1043.163330078125</v>
      </c>
      <c r="R205" s="2">
        <f t="shared" si="91"/>
        <v>898274.3540039059</v>
      </c>
      <c r="S205" s="2">
        <f t="shared" si="92"/>
        <v>888775.1572265625</v>
      </c>
      <c r="T205" s="2">
        <f t="shared" si="93"/>
        <v>1787049.5112304683</v>
      </c>
      <c r="U205" s="2">
        <f t="shared" si="94"/>
        <v>893.52</v>
      </c>
      <c r="V205" s="2">
        <f t="shared" si="95"/>
        <v>-9499.1967773434008</v>
      </c>
      <c r="W205" s="2">
        <f t="shared" si="96"/>
        <v>-10392.716777343401</v>
      </c>
      <c r="X205" s="2">
        <f t="shared" si="97"/>
        <v>45266150.237696819</v>
      </c>
      <c r="Y205" s="2">
        <f t="shared" si="98"/>
        <v>179654.87</v>
      </c>
      <c r="Z205" s="2">
        <f t="shared" si="99"/>
        <v>-5.78</v>
      </c>
      <c r="AA205" s="2">
        <f t="shared" si="100"/>
        <v>45530139.315565467</v>
      </c>
      <c r="AB205" s="2">
        <f t="shared" si="101"/>
        <v>-263989.07786864787</v>
      </c>
    </row>
    <row r="206" spans="1:28">
      <c r="A206" s="2">
        <v>203</v>
      </c>
      <c r="B206" s="2" t="s">
        <v>902</v>
      </c>
      <c r="C206" s="2" t="s">
        <v>1219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2" t="s">
        <v>903</v>
      </c>
      <c r="I206" s="2" t="s">
        <v>739</v>
      </c>
      <c r="J206" s="2" t="s">
        <v>1508</v>
      </c>
      <c r="K206" s="2">
        <f t="shared" si="102"/>
        <v>45266150.237696819</v>
      </c>
      <c r="L206" s="2" t="s">
        <v>1005</v>
      </c>
      <c r="M206" s="2" t="s">
        <v>1251</v>
      </c>
      <c r="N206" s="2" t="s">
        <v>1292</v>
      </c>
      <c r="O206" s="2">
        <v>1659</v>
      </c>
      <c r="P206" s="2">
        <v>536.6983642578125</v>
      </c>
      <c r="Q206" s="2">
        <v>541.94000244140625</v>
      </c>
      <c r="R206" s="2">
        <f t="shared" si="91"/>
        <v>890382.58630371094</v>
      </c>
      <c r="S206" s="2">
        <f t="shared" si="92"/>
        <v>899078.46405029297</v>
      </c>
      <c r="T206" s="2">
        <f t="shared" si="93"/>
        <v>1789461.0503540039</v>
      </c>
      <c r="U206" s="2">
        <f t="shared" si="94"/>
        <v>894.73</v>
      </c>
      <c r="V206" s="2">
        <f t="shared" si="95"/>
        <v>8695.8777465820312</v>
      </c>
      <c r="W206" s="2">
        <f t="shared" si="96"/>
        <v>7801.1477465820317</v>
      </c>
      <c r="X206" s="2">
        <f t="shared" si="97"/>
        <v>45273951.385443404</v>
      </c>
      <c r="Y206" s="2">
        <f t="shared" si="98"/>
        <v>178076.52</v>
      </c>
      <c r="Z206" s="2">
        <f t="shared" si="99"/>
        <v>4.38</v>
      </c>
      <c r="AA206" s="2">
        <f t="shared" si="100"/>
        <v>45530139.315565467</v>
      </c>
      <c r="AB206" s="2">
        <f t="shared" si="101"/>
        <v>-256187.93012206256</v>
      </c>
    </row>
    <row r="207" spans="1:28">
      <c r="A207" s="2">
        <v>204</v>
      </c>
      <c r="B207" s="2" t="s">
        <v>906</v>
      </c>
      <c r="C207" s="2" t="s">
        <v>1219</v>
      </c>
      <c r="D207" s="4" t="s">
        <v>61</v>
      </c>
      <c r="E207" s="5" t="s">
        <v>134</v>
      </c>
      <c r="F207" s="2" t="s">
        <v>135</v>
      </c>
      <c r="G207" s="2" t="s">
        <v>77</v>
      </c>
      <c r="H207" s="2" t="s">
        <v>907</v>
      </c>
      <c r="I207" s="2" t="s">
        <v>615</v>
      </c>
      <c r="J207" s="2" t="s">
        <v>1509</v>
      </c>
      <c r="K207" s="2">
        <f t="shared" si="102"/>
        <v>45273951.385443404</v>
      </c>
      <c r="L207" s="2" t="s">
        <v>1004</v>
      </c>
      <c r="M207" s="2" t="s">
        <v>1270</v>
      </c>
      <c r="N207" s="2" t="s">
        <v>1272</v>
      </c>
      <c r="O207" s="2">
        <v>2215</v>
      </c>
      <c r="P207" s="2">
        <v>627.2529296875</v>
      </c>
      <c r="Q207" s="2">
        <v>656.95745849609375</v>
      </c>
      <c r="R207" s="2">
        <f t="shared" si="91"/>
        <v>1389365.2392578125</v>
      </c>
      <c r="S207" s="2">
        <f t="shared" si="92"/>
        <v>1455160.7705688477</v>
      </c>
      <c r="T207" s="2">
        <f t="shared" si="93"/>
        <v>2844526.0098266602</v>
      </c>
      <c r="U207" s="2">
        <f t="shared" si="94"/>
        <v>1422.26</v>
      </c>
      <c r="V207" s="2">
        <f t="shared" si="95"/>
        <v>65795.531311035156</v>
      </c>
      <c r="W207" s="2">
        <f t="shared" si="96"/>
        <v>64373.271311035154</v>
      </c>
      <c r="X207" s="2">
        <f t="shared" si="97"/>
        <v>45338324.656754442</v>
      </c>
      <c r="Y207" s="2">
        <f t="shared" si="98"/>
        <v>277873.05</v>
      </c>
      <c r="Z207" s="2">
        <f t="shared" si="99"/>
        <v>23.17</v>
      </c>
      <c r="AA207" s="2">
        <f t="shared" si="100"/>
        <v>45530139.315565467</v>
      </c>
      <c r="AB207" s="2">
        <f t="shared" si="101"/>
        <v>-191814.65881102532</v>
      </c>
    </row>
    <row r="208" spans="1:28">
      <c r="A208" s="2">
        <v>205</v>
      </c>
      <c r="B208" s="2" t="s">
        <v>910</v>
      </c>
      <c r="C208" s="2" t="s">
        <v>1219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2" t="s">
        <v>911</v>
      </c>
      <c r="I208" s="2" t="s">
        <v>320</v>
      </c>
      <c r="J208" s="2" t="s">
        <v>72</v>
      </c>
      <c r="K208" s="2">
        <f t="shared" si="102"/>
        <v>45338324.656754442</v>
      </c>
      <c r="L208" s="2" t="s">
        <v>1292</v>
      </c>
      <c r="M208" s="2" t="s">
        <v>1255</v>
      </c>
      <c r="N208" s="2" t="s">
        <v>1269</v>
      </c>
      <c r="O208" s="2">
        <v>3738</v>
      </c>
      <c r="P208" s="2">
        <v>380.89651489257812</v>
      </c>
      <c r="Q208" s="2">
        <v>379.05426025390631</v>
      </c>
      <c r="R208" s="2">
        <f t="shared" si="91"/>
        <v>1423791.172668457</v>
      </c>
      <c r="S208" s="2">
        <f t="shared" si="92"/>
        <v>1416904.8248291018</v>
      </c>
      <c r="T208" s="2">
        <f t="shared" si="93"/>
        <v>2840695.9974975586</v>
      </c>
      <c r="U208" s="2">
        <f t="shared" si="94"/>
        <v>1420.35</v>
      </c>
      <c r="V208" s="2">
        <f t="shared" si="95"/>
        <v>-6886.3478393552359</v>
      </c>
      <c r="W208" s="2">
        <f t="shared" si="96"/>
        <v>-8306.6978393552363</v>
      </c>
      <c r="X208" s="2">
        <f t="shared" si="97"/>
        <v>45330017.958915085</v>
      </c>
      <c r="Y208" s="2">
        <f t="shared" si="98"/>
        <v>284758.23</v>
      </c>
      <c r="Z208" s="2">
        <f t="shared" si="99"/>
        <v>-2.92</v>
      </c>
      <c r="AA208" s="2">
        <f t="shared" si="100"/>
        <v>45530139.315565467</v>
      </c>
      <c r="AB208" s="2">
        <f t="shared" si="101"/>
        <v>-200121.35665038228</v>
      </c>
    </row>
    <row r="209" spans="1:28">
      <c r="A209" s="2">
        <v>206</v>
      </c>
      <c r="B209" s="2" t="s">
        <v>913</v>
      </c>
      <c r="C209" s="2" t="s">
        <v>1219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102"/>
        <v>45330017.958915085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>K209</f>
        <v>45330017.958915085</v>
      </c>
      <c r="Y209" s="6" t="s">
        <v>1195</v>
      </c>
      <c r="Z209" s="6" t="s">
        <v>1195</v>
      </c>
      <c r="AA209" s="2">
        <f>AA208</f>
        <v>45530139.315565467</v>
      </c>
      <c r="AB209" s="2">
        <v>0</v>
      </c>
    </row>
    <row r="210" spans="1:28">
      <c r="A210" s="2">
        <v>207</v>
      </c>
      <c r="B210" s="2" t="s">
        <v>915</v>
      </c>
      <c r="C210" s="2" t="s">
        <v>1219</v>
      </c>
      <c r="D210" s="4" t="s">
        <v>61</v>
      </c>
      <c r="E210" s="5" t="s">
        <v>134</v>
      </c>
      <c r="F210" s="2" t="s">
        <v>135</v>
      </c>
      <c r="G210" s="2" t="s">
        <v>54</v>
      </c>
      <c r="H210" s="2" t="s">
        <v>247</v>
      </c>
      <c r="I210" s="2" t="s">
        <v>1510</v>
      </c>
      <c r="J210" s="2" t="s">
        <v>1511</v>
      </c>
      <c r="K210" s="2">
        <f t="shared" si="102"/>
        <v>45330017.958915085</v>
      </c>
      <c r="L210" s="2" t="s">
        <v>1283</v>
      </c>
      <c r="M210" s="2" t="s">
        <v>1359</v>
      </c>
      <c r="N210" s="2" t="s">
        <v>1255</v>
      </c>
      <c r="O210" s="2">
        <v>750</v>
      </c>
      <c r="P210" s="2">
        <v>1593.768676757812</v>
      </c>
      <c r="Q210" s="2">
        <v>1457.063598632812</v>
      </c>
      <c r="R210" s="2">
        <f>O210*P210</f>
        <v>1195326.5075683591</v>
      </c>
      <c r="S210" s="2">
        <f>O210*Q210</f>
        <v>1092797.6989746091</v>
      </c>
      <c r="T210" s="2">
        <f>R210+S210</f>
        <v>2288124.2065429683</v>
      </c>
      <c r="U210" s="2">
        <f>ROUND(T210*0.0005, 2)</f>
        <v>1144.06</v>
      </c>
      <c r="V210" s="2">
        <f>S210-R210</f>
        <v>-102528.80859375</v>
      </c>
      <c r="W210" s="2">
        <f>V210-U210</f>
        <v>-103672.86859375</v>
      </c>
      <c r="X210" s="2">
        <f>K210+W210</f>
        <v>45226345.090321332</v>
      </c>
      <c r="Y210" s="2">
        <f>ROUND(0.2*R210, 2)</f>
        <v>239065.3</v>
      </c>
      <c r="Z210" s="2">
        <f>ROUND((W210/Y210)*100, 2)</f>
        <v>-43.37</v>
      </c>
      <c r="AA210" s="2">
        <f>MAX(AA209, X210)</f>
        <v>45530139.315565467</v>
      </c>
      <c r="AB210" s="2">
        <f>X210-AA210</f>
        <v>-303794.22524413466</v>
      </c>
    </row>
    <row r="211" spans="1:28">
      <c r="A211" s="2">
        <v>208</v>
      </c>
      <c r="B211" s="2" t="s">
        <v>918</v>
      </c>
      <c r="C211" s="2" t="s">
        <v>1219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102"/>
        <v>45226345.090321332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>K211</f>
        <v>45226345.090321332</v>
      </c>
      <c r="Y211" s="6" t="s">
        <v>1195</v>
      </c>
      <c r="Z211" s="6" t="s">
        <v>1195</v>
      </c>
      <c r="AA211" s="2">
        <f>AA210</f>
        <v>45530139.315565467</v>
      </c>
      <c r="AB211" s="2">
        <v>0</v>
      </c>
    </row>
    <row r="212" spans="1:28">
      <c r="A212" s="2">
        <v>209</v>
      </c>
      <c r="B212" s="2" t="s">
        <v>922</v>
      </c>
      <c r="C212" s="2" t="s">
        <v>1219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1486</v>
      </c>
      <c r="J212" s="2" t="s">
        <v>1512</v>
      </c>
      <c r="K212" s="2">
        <f t="shared" si="102"/>
        <v>45226345.090321332</v>
      </c>
      <c r="L212" s="2" t="s">
        <v>1055</v>
      </c>
      <c r="M212" s="2" t="s">
        <v>288</v>
      </c>
      <c r="N212" s="2" t="s">
        <v>1014</v>
      </c>
      <c r="O212" s="2">
        <v>1500</v>
      </c>
      <c r="P212" s="2">
        <v>247.6143798828125</v>
      </c>
      <c r="Q212" s="2">
        <v>256.33221435546881</v>
      </c>
      <c r="R212" s="2">
        <f>O212*P212</f>
        <v>371421.56982421875</v>
      </c>
      <c r="S212" s="2">
        <f>O212*Q212</f>
        <v>384498.32153320318</v>
      </c>
      <c r="T212" s="2">
        <f>R212+S212</f>
        <v>755919.89135742187</v>
      </c>
      <c r="U212" s="2">
        <f>ROUND(T212*0.0005, 2)</f>
        <v>377.96</v>
      </c>
      <c r="V212" s="2">
        <f>S212-R212</f>
        <v>13076.751708984433</v>
      </c>
      <c r="W212" s="2">
        <f>V212-U212</f>
        <v>12698.791708984434</v>
      </c>
      <c r="X212" s="2">
        <f>K212+W212</f>
        <v>45239043.882030316</v>
      </c>
      <c r="Y212" s="2">
        <f>ROUND(0.2*R212, 2)</f>
        <v>74284.31</v>
      </c>
      <c r="Z212" s="2">
        <f>ROUND((W212/Y212)*100, 2)</f>
        <v>17.09</v>
      </c>
      <c r="AA212" s="2">
        <f>MAX(AA211, X212)</f>
        <v>45530139.315565467</v>
      </c>
      <c r="AB212" s="2">
        <f>X212-AA212</f>
        <v>-291095.43353515118</v>
      </c>
    </row>
    <row r="213" spans="1:28">
      <c r="A213" s="2">
        <v>210</v>
      </c>
      <c r="B213" s="2" t="s">
        <v>925</v>
      </c>
      <c r="C213" s="2" t="s">
        <v>1219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2" t="s">
        <v>635</v>
      </c>
      <c r="I213" s="2" t="s">
        <v>1513</v>
      </c>
      <c r="J213" s="2" t="s">
        <v>1514</v>
      </c>
      <c r="K213" s="2">
        <f t="shared" si="102"/>
        <v>45239043.882030316</v>
      </c>
      <c r="L213" s="2" t="s">
        <v>1438</v>
      </c>
      <c r="M213" s="2" t="s">
        <v>1004</v>
      </c>
      <c r="N213" s="2" t="s">
        <v>1457</v>
      </c>
      <c r="O213" s="2">
        <v>44365</v>
      </c>
      <c r="P213" s="2">
        <v>24.620000839233398</v>
      </c>
      <c r="Q213" s="2">
        <v>25.680000305175781</v>
      </c>
      <c r="R213" s="2">
        <f>O213*P213</f>
        <v>1092266.3372325897</v>
      </c>
      <c r="S213" s="2">
        <f>O213*Q213</f>
        <v>1139293.2135391235</v>
      </c>
      <c r="T213" s="2">
        <f>R213+S213</f>
        <v>2231559.5507717133</v>
      </c>
      <c r="U213" s="2">
        <f>ROUND(T213*0.0005, 2)</f>
        <v>1115.78</v>
      </c>
      <c r="V213" s="2">
        <f>S213-R213</f>
        <v>47026.876306533813</v>
      </c>
      <c r="W213" s="2">
        <f>V213-U213</f>
        <v>45911.096306533815</v>
      </c>
      <c r="X213" s="2">
        <f>K213+W213</f>
        <v>45284954.978336848</v>
      </c>
      <c r="Y213" s="2">
        <f>ROUND(0.2*R213, 2)</f>
        <v>218453.27</v>
      </c>
      <c r="Z213" s="2">
        <f>ROUND((W213/Y213)*100, 2)</f>
        <v>21.02</v>
      </c>
      <c r="AA213" s="2">
        <f>MAX(AA212, X213)</f>
        <v>45530139.315565467</v>
      </c>
      <c r="AB213" s="2">
        <f>X213-AA213</f>
        <v>-245184.33722861856</v>
      </c>
    </row>
    <row r="214" spans="1:28">
      <c r="A214" s="2">
        <v>211</v>
      </c>
      <c r="B214" s="2" t="s">
        <v>928</v>
      </c>
      <c r="C214" s="2" t="s">
        <v>1219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2" t="s">
        <v>929</v>
      </c>
      <c r="I214" s="2" t="s">
        <v>497</v>
      </c>
      <c r="J214" s="2" t="s">
        <v>1336</v>
      </c>
      <c r="K214" s="2">
        <f t="shared" si="102"/>
        <v>45284954.978336848</v>
      </c>
      <c r="L214" s="2" t="s">
        <v>1254</v>
      </c>
      <c r="M214" s="2" t="s">
        <v>1379</v>
      </c>
      <c r="N214" s="2" t="s">
        <v>1278</v>
      </c>
      <c r="O214" s="2">
        <v>896</v>
      </c>
      <c r="P214" s="2">
        <v>1173.046264648438</v>
      </c>
      <c r="Q214" s="2">
        <v>1212.5576171875</v>
      </c>
      <c r="R214" s="2">
        <f>O214*P214</f>
        <v>1051049.4531250005</v>
      </c>
      <c r="S214" s="2">
        <f>O214*Q214</f>
        <v>1086451.625</v>
      </c>
      <c r="T214" s="2">
        <f>R214+S214</f>
        <v>2137501.0781250005</v>
      </c>
      <c r="U214" s="2">
        <f>ROUND(T214*0.0005, 2)</f>
        <v>1068.75</v>
      </c>
      <c r="V214" s="2">
        <f>S214-R214</f>
        <v>35402.171874999534</v>
      </c>
      <c r="W214" s="2">
        <f>V214-U214</f>
        <v>34333.421874999534</v>
      </c>
      <c r="X214" s="2">
        <f>K214+W214</f>
        <v>45319288.400211848</v>
      </c>
      <c r="Y214" s="2">
        <f>ROUND(0.2*R214, 2)</f>
        <v>210209.89</v>
      </c>
      <c r="Z214" s="2">
        <f>ROUND((W214/Y214)*100, 2)</f>
        <v>16.329999999999998</v>
      </c>
      <c r="AA214" s="2">
        <f>MAX(AA213, X214)</f>
        <v>45530139.315565467</v>
      </c>
      <c r="AB214" s="2">
        <f>X214-AA214</f>
        <v>-210850.91535361856</v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1515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1516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1220</v>
      </c>
      <c r="J4" s="2" t="s">
        <v>1221</v>
      </c>
      <c r="K4" s="2">
        <v>42511150.109999999</v>
      </c>
      <c r="L4" s="2" t="s">
        <v>1222</v>
      </c>
      <c r="M4" s="2" t="s">
        <v>106</v>
      </c>
      <c r="N4" s="2" t="s">
        <v>119</v>
      </c>
      <c r="O4" s="2">
        <v>874</v>
      </c>
      <c r="P4" s="2">
        <v>1091.699951171875</v>
      </c>
      <c r="Q4" s="2">
        <v>1083.199951171875</v>
      </c>
      <c r="R4" s="2">
        <f t="shared" ref="R4:R35" si="0">O4*P4</f>
        <v>954145.75732421875</v>
      </c>
      <c r="S4" s="2">
        <f t="shared" ref="S4:S35" si="1">O4*Q4</f>
        <v>946716.75732421875</v>
      </c>
      <c r="T4" s="2">
        <f t="shared" ref="T4:T35" si="2">R4+S4</f>
        <v>1900862.5146484375</v>
      </c>
      <c r="U4" s="2">
        <f t="shared" ref="U4:U35" si="3">ROUND(T4*0.0005, 2)</f>
        <v>950.43</v>
      </c>
      <c r="V4" s="2">
        <f t="shared" ref="V4:V35" si="4">S4-R4</f>
        <v>-7429</v>
      </c>
      <c r="W4" s="2">
        <f t="shared" ref="W4:W35" si="5">V4-U4</f>
        <v>-8379.43</v>
      </c>
      <c r="X4" s="2">
        <f t="shared" ref="X4:X35" si="6">K4+W4</f>
        <v>42502770.68</v>
      </c>
      <c r="Y4" s="2">
        <f t="shared" ref="Y4:Y35" si="7">ROUND(0.2*R4, 2)</f>
        <v>190829.15</v>
      </c>
      <c r="Z4" s="2">
        <f t="shared" ref="Z4:Z35" si="8">ROUND((W4/Y4)*100, 2)</f>
        <v>-4.3899999999999997</v>
      </c>
      <c r="AA4" s="2">
        <f>MAX(42511150.11, X4)</f>
        <v>42511150.109999999</v>
      </c>
      <c r="AB4" s="2">
        <f t="shared" ref="AB4:AB35" si="9">X4-AA4</f>
        <v>-8379.429999999702</v>
      </c>
    </row>
    <row r="5" spans="1:29">
      <c r="A5" s="2">
        <v>2</v>
      </c>
      <c r="B5" s="2" t="s">
        <v>46</v>
      </c>
      <c r="C5" s="2" t="s">
        <v>1516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202</v>
      </c>
      <c r="J5" s="2" t="s">
        <v>1517</v>
      </c>
      <c r="K5" s="2">
        <f t="shared" ref="K5:K68" si="10">X4</f>
        <v>42502770.68</v>
      </c>
      <c r="L5" s="2" t="s">
        <v>1518</v>
      </c>
      <c r="M5" s="2" t="s">
        <v>1519</v>
      </c>
      <c r="N5" s="2" t="s">
        <v>1520</v>
      </c>
      <c r="O5" s="2">
        <v>137</v>
      </c>
      <c r="P5" s="2">
        <v>6413.5</v>
      </c>
      <c r="Q5" s="2">
        <v>7146</v>
      </c>
      <c r="R5" s="2">
        <f t="shared" si="0"/>
        <v>878649.5</v>
      </c>
      <c r="S5" s="2">
        <f t="shared" si="1"/>
        <v>979002</v>
      </c>
      <c r="T5" s="2">
        <f t="shared" si="2"/>
        <v>1857651.5</v>
      </c>
      <c r="U5" s="2">
        <f t="shared" si="3"/>
        <v>928.83</v>
      </c>
      <c r="V5" s="2">
        <f t="shared" si="4"/>
        <v>100352.5</v>
      </c>
      <c r="W5" s="2">
        <f t="shared" si="5"/>
        <v>99423.67</v>
      </c>
      <c r="X5" s="2">
        <f t="shared" si="6"/>
        <v>42602194.350000001</v>
      </c>
      <c r="Y5" s="2">
        <f t="shared" si="7"/>
        <v>175729.9</v>
      </c>
      <c r="Z5" s="2">
        <f t="shared" si="8"/>
        <v>56.58</v>
      </c>
      <c r="AA5" s="2">
        <f t="shared" ref="AA5:AA36" si="11">MAX(AA4, X5)</f>
        <v>42602194.350000001</v>
      </c>
      <c r="AB5" s="2">
        <f t="shared" si="9"/>
        <v>0</v>
      </c>
    </row>
    <row r="6" spans="1:29">
      <c r="A6" s="2">
        <v>3</v>
      </c>
      <c r="B6" s="2" t="s">
        <v>52</v>
      </c>
      <c r="C6" s="2" t="s">
        <v>1516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72</v>
      </c>
      <c r="J6" s="2" t="s">
        <v>1521</v>
      </c>
      <c r="K6" s="2">
        <f t="shared" si="10"/>
        <v>42602194.350000001</v>
      </c>
      <c r="L6" s="2" t="s">
        <v>118</v>
      </c>
      <c r="M6" s="2" t="s">
        <v>106</v>
      </c>
      <c r="N6" s="2" t="s">
        <v>1522</v>
      </c>
      <c r="O6" s="2">
        <v>2537</v>
      </c>
      <c r="P6" s="2">
        <v>399.25</v>
      </c>
      <c r="Q6" s="2">
        <v>392.25</v>
      </c>
      <c r="R6" s="2">
        <f t="shared" si="0"/>
        <v>1012897.25</v>
      </c>
      <c r="S6" s="2">
        <f t="shared" si="1"/>
        <v>995138.25</v>
      </c>
      <c r="T6" s="2">
        <f t="shared" si="2"/>
        <v>2008035.5</v>
      </c>
      <c r="U6" s="2">
        <f t="shared" si="3"/>
        <v>1004.02</v>
      </c>
      <c r="V6" s="2">
        <f t="shared" si="4"/>
        <v>-17759</v>
      </c>
      <c r="W6" s="2">
        <f t="shared" si="5"/>
        <v>-18763.02</v>
      </c>
      <c r="X6" s="2">
        <f t="shared" si="6"/>
        <v>42583431.329999998</v>
      </c>
      <c r="Y6" s="2">
        <f t="shared" si="7"/>
        <v>202579.45</v>
      </c>
      <c r="Z6" s="2">
        <f t="shared" si="8"/>
        <v>-9.26</v>
      </c>
      <c r="AA6" s="2">
        <f t="shared" si="11"/>
        <v>42602194.350000001</v>
      </c>
      <c r="AB6" s="2">
        <f t="shared" si="9"/>
        <v>-18763.020000003278</v>
      </c>
    </row>
    <row r="7" spans="1:29">
      <c r="A7" s="2">
        <v>4</v>
      </c>
      <c r="B7" s="2" t="s">
        <v>60</v>
      </c>
      <c r="C7" s="2" t="s">
        <v>1516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1223</v>
      </c>
      <c r="J7" s="2" t="s">
        <v>1523</v>
      </c>
      <c r="K7" s="2">
        <f t="shared" si="10"/>
        <v>42583431.329999998</v>
      </c>
      <c r="L7" s="2" t="s">
        <v>1226</v>
      </c>
      <c r="M7" s="2" t="s">
        <v>468</v>
      </c>
      <c r="N7" s="2" t="s">
        <v>1226</v>
      </c>
      <c r="O7" s="2">
        <v>602</v>
      </c>
      <c r="P7" s="2">
        <v>1622.800048828125</v>
      </c>
      <c r="Q7" s="2">
        <v>1556.900024414062</v>
      </c>
      <c r="R7" s="2">
        <f t="shared" si="0"/>
        <v>976925.62939453125</v>
      </c>
      <c r="S7" s="2">
        <f t="shared" si="1"/>
        <v>937253.81469726539</v>
      </c>
      <c r="T7" s="2">
        <f t="shared" si="2"/>
        <v>1914179.4440917966</v>
      </c>
      <c r="U7" s="2">
        <f t="shared" si="3"/>
        <v>957.09</v>
      </c>
      <c r="V7" s="2">
        <f t="shared" si="4"/>
        <v>-39671.814697265858</v>
      </c>
      <c r="W7" s="2">
        <f t="shared" si="5"/>
        <v>-40628.904697265854</v>
      </c>
      <c r="X7" s="2">
        <f t="shared" si="6"/>
        <v>42542802.425302729</v>
      </c>
      <c r="Y7" s="2">
        <f t="shared" si="7"/>
        <v>195385.13</v>
      </c>
      <c r="Z7" s="2">
        <f t="shared" si="8"/>
        <v>-20.79</v>
      </c>
      <c r="AA7" s="2">
        <f t="shared" si="11"/>
        <v>42602194.350000001</v>
      </c>
      <c r="AB7" s="2">
        <f t="shared" si="9"/>
        <v>-59391.92469727248</v>
      </c>
    </row>
    <row r="8" spans="1:29">
      <c r="A8" s="2">
        <v>5</v>
      </c>
      <c r="B8" s="2" t="s">
        <v>68</v>
      </c>
      <c r="C8" s="2" t="s">
        <v>1516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1229</v>
      </c>
      <c r="J8" s="2" t="s">
        <v>1230</v>
      </c>
      <c r="K8" s="2">
        <f t="shared" si="10"/>
        <v>42542802.425302729</v>
      </c>
      <c r="L8" s="2" t="s">
        <v>986</v>
      </c>
      <c r="M8" s="2" t="s">
        <v>983</v>
      </c>
      <c r="N8" s="2" t="s">
        <v>986</v>
      </c>
      <c r="O8" s="2">
        <v>300</v>
      </c>
      <c r="P8" s="2">
        <v>2966.50244140625</v>
      </c>
      <c r="Q8" s="2">
        <v>2946.720947265625</v>
      </c>
      <c r="R8" s="2">
        <f t="shared" si="0"/>
        <v>889950.732421875</v>
      </c>
      <c r="S8" s="2">
        <f t="shared" si="1"/>
        <v>884016.2841796875</v>
      </c>
      <c r="T8" s="2">
        <f t="shared" si="2"/>
        <v>1773967.0166015625</v>
      </c>
      <c r="U8" s="2">
        <f t="shared" si="3"/>
        <v>886.98</v>
      </c>
      <c r="V8" s="2">
        <f t="shared" si="4"/>
        <v>-5934.4482421875</v>
      </c>
      <c r="W8" s="2">
        <f t="shared" si="5"/>
        <v>-6821.4282421874996</v>
      </c>
      <c r="X8" s="2">
        <f t="shared" si="6"/>
        <v>42535980.997060545</v>
      </c>
      <c r="Y8" s="2">
        <f t="shared" si="7"/>
        <v>177990.15</v>
      </c>
      <c r="Z8" s="2">
        <f t="shared" si="8"/>
        <v>-3.83</v>
      </c>
      <c r="AA8" s="2">
        <f t="shared" si="11"/>
        <v>42602194.350000001</v>
      </c>
      <c r="AB8" s="2">
        <f t="shared" si="9"/>
        <v>-66213.352939456701</v>
      </c>
    </row>
    <row r="9" spans="1:29">
      <c r="A9" s="2">
        <v>6</v>
      </c>
      <c r="B9" s="2" t="s">
        <v>75</v>
      </c>
      <c r="C9" s="2" t="s">
        <v>1516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497</v>
      </c>
      <c r="J9" s="2" t="s">
        <v>1524</v>
      </c>
      <c r="K9" s="2">
        <f t="shared" si="10"/>
        <v>42535980.997060545</v>
      </c>
      <c r="L9" s="2" t="s">
        <v>1525</v>
      </c>
      <c r="M9" s="2" t="s">
        <v>1526</v>
      </c>
      <c r="N9" s="2" t="s">
        <v>1527</v>
      </c>
      <c r="O9" s="2">
        <v>500</v>
      </c>
      <c r="P9" s="2">
        <v>1249.949951171875</v>
      </c>
      <c r="Q9" s="2">
        <v>1290.699951171875</v>
      </c>
      <c r="R9" s="2">
        <f t="shared" si="0"/>
        <v>624974.9755859375</v>
      </c>
      <c r="S9" s="2">
        <f t="shared" si="1"/>
        <v>645349.9755859375</v>
      </c>
      <c r="T9" s="2">
        <f t="shared" si="2"/>
        <v>1270324.951171875</v>
      </c>
      <c r="U9" s="2">
        <f t="shared" si="3"/>
        <v>635.16</v>
      </c>
      <c r="V9" s="2">
        <f t="shared" si="4"/>
        <v>20375</v>
      </c>
      <c r="W9" s="2">
        <f t="shared" si="5"/>
        <v>19739.84</v>
      </c>
      <c r="X9" s="2">
        <f t="shared" si="6"/>
        <v>42555720.837060548</v>
      </c>
      <c r="Y9" s="2">
        <f t="shared" si="7"/>
        <v>124995</v>
      </c>
      <c r="Z9" s="2">
        <f t="shared" si="8"/>
        <v>15.79</v>
      </c>
      <c r="AA9" s="2">
        <f t="shared" si="11"/>
        <v>42602194.350000001</v>
      </c>
      <c r="AB9" s="2">
        <f t="shared" si="9"/>
        <v>-46473.512939453125</v>
      </c>
    </row>
    <row r="10" spans="1:29">
      <c r="A10" s="2">
        <v>7</v>
      </c>
      <c r="B10" s="2" t="s">
        <v>82</v>
      </c>
      <c r="C10" s="2" t="s">
        <v>1516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1117</v>
      </c>
      <c r="J10" s="2" t="s">
        <v>1234</v>
      </c>
      <c r="K10" s="2">
        <f t="shared" si="10"/>
        <v>42555720.837060548</v>
      </c>
      <c r="L10" s="2" t="s">
        <v>985</v>
      </c>
      <c r="M10" s="2" t="s">
        <v>979</v>
      </c>
      <c r="N10" s="2" t="s">
        <v>994</v>
      </c>
      <c r="O10" s="2">
        <v>625</v>
      </c>
      <c r="P10" s="2">
        <v>1363.095581054688</v>
      </c>
      <c r="Q10" s="2">
        <v>1317.36181640625</v>
      </c>
      <c r="R10" s="2">
        <f t="shared" si="0"/>
        <v>851934.73815917992</v>
      </c>
      <c r="S10" s="2">
        <f t="shared" si="1"/>
        <v>823351.13525390625</v>
      </c>
      <c r="T10" s="2">
        <f t="shared" si="2"/>
        <v>1675285.8734130862</v>
      </c>
      <c r="U10" s="2">
        <f t="shared" si="3"/>
        <v>837.64</v>
      </c>
      <c r="V10" s="2">
        <f t="shared" si="4"/>
        <v>-28583.60290527367</v>
      </c>
      <c r="W10" s="2">
        <f t="shared" si="5"/>
        <v>-29421.24290527367</v>
      </c>
      <c r="X10" s="2">
        <f t="shared" si="6"/>
        <v>42526299.594155274</v>
      </c>
      <c r="Y10" s="2">
        <f t="shared" si="7"/>
        <v>170386.95</v>
      </c>
      <c r="Z10" s="2">
        <f t="shared" si="8"/>
        <v>-17.27</v>
      </c>
      <c r="AA10" s="2">
        <f t="shared" si="11"/>
        <v>42602194.350000001</v>
      </c>
      <c r="AB10" s="2">
        <f t="shared" si="9"/>
        <v>-75894.755844727159</v>
      </c>
    </row>
    <row r="11" spans="1:29">
      <c r="A11" s="2">
        <v>8</v>
      </c>
      <c r="B11" s="2" t="s">
        <v>90</v>
      </c>
      <c r="C11" s="2" t="s">
        <v>1516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717</v>
      </c>
      <c r="J11" s="2" t="s">
        <v>427</v>
      </c>
      <c r="K11" s="2">
        <f t="shared" si="10"/>
        <v>42526299.594155274</v>
      </c>
      <c r="L11" s="2" t="s">
        <v>933</v>
      </c>
      <c r="M11" s="2" t="s">
        <v>772</v>
      </c>
      <c r="N11" s="2" t="s">
        <v>469</v>
      </c>
      <c r="O11" s="2">
        <v>4785</v>
      </c>
      <c r="P11" s="2">
        <v>213.66000366210929</v>
      </c>
      <c r="Q11" s="2">
        <v>219.9700012207031</v>
      </c>
      <c r="R11" s="2">
        <f t="shared" si="0"/>
        <v>1022363.1175231929</v>
      </c>
      <c r="S11" s="2">
        <f t="shared" si="1"/>
        <v>1052556.4558410642</v>
      </c>
      <c r="T11" s="2">
        <f t="shared" si="2"/>
        <v>2074919.5733642571</v>
      </c>
      <c r="U11" s="2">
        <f t="shared" si="3"/>
        <v>1037.46</v>
      </c>
      <c r="V11" s="2">
        <f t="shared" si="4"/>
        <v>30193.338317871327</v>
      </c>
      <c r="W11" s="2">
        <f t="shared" si="5"/>
        <v>29155.878317871327</v>
      </c>
      <c r="X11" s="2">
        <f t="shared" si="6"/>
        <v>42555455.472473145</v>
      </c>
      <c r="Y11" s="2">
        <f t="shared" si="7"/>
        <v>204472.62</v>
      </c>
      <c r="Z11" s="2">
        <f t="shared" si="8"/>
        <v>14.26</v>
      </c>
      <c r="AA11" s="2">
        <f t="shared" si="11"/>
        <v>42602194.350000001</v>
      </c>
      <c r="AB11" s="2">
        <f t="shared" si="9"/>
        <v>-46738.877526856959</v>
      </c>
    </row>
    <row r="12" spans="1:29">
      <c r="A12" s="2">
        <v>9</v>
      </c>
      <c r="B12" s="2" t="s">
        <v>95</v>
      </c>
      <c r="C12" s="2" t="s">
        <v>1516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>
        <f t="shared" si="10"/>
        <v>42555455.472473145</v>
      </c>
      <c r="L12" s="2" t="s">
        <v>67</v>
      </c>
      <c r="M12" s="2" t="s">
        <v>44</v>
      </c>
      <c r="N12" s="2" t="s">
        <v>44</v>
      </c>
      <c r="O12" s="2">
        <v>171</v>
      </c>
      <c r="P12" s="2">
        <v>5651.5</v>
      </c>
      <c r="Q12" s="2">
        <v>5816.5</v>
      </c>
      <c r="R12" s="2">
        <f t="shared" si="0"/>
        <v>966406.5</v>
      </c>
      <c r="S12" s="2">
        <f t="shared" si="1"/>
        <v>994621.5</v>
      </c>
      <c r="T12" s="2">
        <f t="shared" si="2"/>
        <v>1961028</v>
      </c>
      <c r="U12" s="2">
        <f t="shared" si="3"/>
        <v>980.51</v>
      </c>
      <c r="V12" s="2">
        <f t="shared" si="4"/>
        <v>28215</v>
      </c>
      <c r="W12" s="2">
        <f t="shared" si="5"/>
        <v>27234.49</v>
      </c>
      <c r="X12" s="2">
        <f t="shared" si="6"/>
        <v>42582689.962473147</v>
      </c>
      <c r="Y12" s="2">
        <f t="shared" si="7"/>
        <v>193281.3</v>
      </c>
      <c r="Z12" s="2">
        <f t="shared" si="8"/>
        <v>14.09</v>
      </c>
      <c r="AA12" s="2">
        <f t="shared" si="11"/>
        <v>42602194.350000001</v>
      </c>
      <c r="AB12" s="2">
        <f t="shared" si="9"/>
        <v>-19504.387526854873</v>
      </c>
    </row>
    <row r="13" spans="1:29">
      <c r="A13" s="2">
        <v>10</v>
      </c>
      <c r="B13" s="2" t="s">
        <v>102</v>
      </c>
      <c r="C13" s="2" t="s">
        <v>1516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42582689.962473147</v>
      </c>
      <c r="L13" s="2" t="s">
        <v>106</v>
      </c>
      <c r="M13" s="2" t="s">
        <v>44</v>
      </c>
      <c r="N13" s="2" t="s">
        <v>59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42585603.872473143</v>
      </c>
      <c r="Y13" s="2">
        <f t="shared" si="7"/>
        <v>199827</v>
      </c>
      <c r="Z13" s="2">
        <f t="shared" si="8"/>
        <v>1.46</v>
      </c>
      <c r="AA13" s="2">
        <f t="shared" si="11"/>
        <v>42602194.350000001</v>
      </c>
      <c r="AB13" s="2">
        <f t="shared" si="9"/>
        <v>-16590.477526858449</v>
      </c>
    </row>
    <row r="14" spans="1:29">
      <c r="A14" s="2">
        <v>11</v>
      </c>
      <c r="B14" s="2" t="s">
        <v>108</v>
      </c>
      <c r="C14" s="2" t="s">
        <v>1516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1528</v>
      </c>
      <c r="J14" s="2" t="s">
        <v>1475</v>
      </c>
      <c r="K14" s="2">
        <f t="shared" si="10"/>
        <v>42585603.872473143</v>
      </c>
      <c r="L14" s="2" t="s">
        <v>1529</v>
      </c>
      <c r="M14" s="2" t="s">
        <v>468</v>
      </c>
      <c r="N14" s="2" t="s">
        <v>1233</v>
      </c>
      <c r="O14" s="2">
        <v>2303</v>
      </c>
      <c r="P14" s="2">
        <v>441.39999389648438</v>
      </c>
      <c r="Q14" s="2">
        <v>423.95001220703131</v>
      </c>
      <c r="R14" s="2">
        <f t="shared" si="0"/>
        <v>1016544.1859436035</v>
      </c>
      <c r="S14" s="2">
        <f t="shared" si="1"/>
        <v>976356.87811279309</v>
      </c>
      <c r="T14" s="2">
        <f t="shared" si="2"/>
        <v>1992901.0640563965</v>
      </c>
      <c r="U14" s="2">
        <f t="shared" si="3"/>
        <v>996.45</v>
      </c>
      <c r="V14" s="2">
        <f t="shared" si="4"/>
        <v>-40187.30783081043</v>
      </c>
      <c r="W14" s="2">
        <f t="shared" si="5"/>
        <v>-41183.757830810428</v>
      </c>
      <c r="X14" s="2">
        <f t="shared" si="6"/>
        <v>42544420.11464233</v>
      </c>
      <c r="Y14" s="2">
        <f t="shared" si="7"/>
        <v>203308.84</v>
      </c>
      <c r="Z14" s="2">
        <f t="shared" si="8"/>
        <v>-20.260000000000002</v>
      </c>
      <c r="AA14" s="2">
        <f t="shared" si="11"/>
        <v>42602194.350000001</v>
      </c>
      <c r="AB14" s="2">
        <f t="shared" si="9"/>
        <v>-57774.235357671976</v>
      </c>
    </row>
    <row r="15" spans="1:29">
      <c r="A15" s="2">
        <v>12</v>
      </c>
      <c r="B15" s="2" t="s">
        <v>113</v>
      </c>
      <c r="C15" s="2" t="s">
        <v>1516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1530</v>
      </c>
      <c r="J15" s="2" t="s">
        <v>1531</v>
      </c>
      <c r="K15" s="2">
        <f t="shared" si="10"/>
        <v>42544420.11464233</v>
      </c>
      <c r="L15" s="2" t="s">
        <v>1532</v>
      </c>
      <c r="M15" s="2" t="s">
        <v>1533</v>
      </c>
      <c r="N15" s="2" t="s">
        <v>1238</v>
      </c>
      <c r="O15" s="2">
        <v>3428</v>
      </c>
      <c r="P15" s="2">
        <v>353.70608520507812</v>
      </c>
      <c r="Q15" s="2">
        <v>339.35049438476562</v>
      </c>
      <c r="R15" s="2">
        <f t="shared" si="0"/>
        <v>1212504.4600830078</v>
      </c>
      <c r="S15" s="2">
        <f t="shared" si="1"/>
        <v>1163293.4947509766</v>
      </c>
      <c r="T15" s="2">
        <f t="shared" si="2"/>
        <v>2375797.9548339844</v>
      </c>
      <c r="U15" s="2">
        <f t="shared" si="3"/>
        <v>1187.9000000000001</v>
      </c>
      <c r="V15" s="2">
        <f t="shared" si="4"/>
        <v>-49210.96533203125</v>
      </c>
      <c r="W15" s="2">
        <f t="shared" si="5"/>
        <v>-50398.865332031251</v>
      </c>
      <c r="X15" s="2">
        <f t="shared" si="6"/>
        <v>42494021.2493103</v>
      </c>
      <c r="Y15" s="2">
        <f t="shared" si="7"/>
        <v>242500.89</v>
      </c>
      <c r="Z15" s="2">
        <f t="shared" si="8"/>
        <v>-20.78</v>
      </c>
      <c r="AA15" s="2">
        <f t="shared" si="11"/>
        <v>42602194.350000001</v>
      </c>
      <c r="AB15" s="2">
        <f t="shared" si="9"/>
        <v>-108173.10068970174</v>
      </c>
    </row>
    <row r="16" spans="1:29">
      <c r="A16" s="2">
        <v>13</v>
      </c>
      <c r="B16" s="2" t="s">
        <v>120</v>
      </c>
      <c r="C16" s="2" t="s">
        <v>1516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1534</v>
      </c>
      <c r="J16" s="2" t="s">
        <v>1535</v>
      </c>
      <c r="K16" s="2">
        <f t="shared" si="10"/>
        <v>42494021.2493103</v>
      </c>
      <c r="L16" s="2" t="s">
        <v>1526</v>
      </c>
      <c r="M16" s="2" t="s">
        <v>1536</v>
      </c>
      <c r="N16" s="2" t="s">
        <v>1537</v>
      </c>
      <c r="O16" s="2">
        <v>528</v>
      </c>
      <c r="P16" s="2">
        <v>1873</v>
      </c>
      <c r="Q16" s="2">
        <v>1948.599975585937</v>
      </c>
      <c r="R16" s="2">
        <f t="shared" si="0"/>
        <v>988944</v>
      </c>
      <c r="S16" s="2">
        <f t="shared" si="1"/>
        <v>1028860.7871093748</v>
      </c>
      <c r="T16" s="2">
        <f t="shared" si="2"/>
        <v>2017804.7871093748</v>
      </c>
      <c r="U16" s="2">
        <f t="shared" si="3"/>
        <v>1008.9</v>
      </c>
      <c r="V16" s="2">
        <f t="shared" si="4"/>
        <v>39916.787109374767</v>
      </c>
      <c r="W16" s="2">
        <f t="shared" si="5"/>
        <v>38907.887109374766</v>
      </c>
      <c r="X16" s="2">
        <f t="shared" si="6"/>
        <v>42532929.136419676</v>
      </c>
      <c r="Y16" s="2">
        <f t="shared" si="7"/>
        <v>197788.79999999999</v>
      </c>
      <c r="Z16" s="2">
        <f t="shared" si="8"/>
        <v>19.670000000000002</v>
      </c>
      <c r="AA16" s="2">
        <f t="shared" si="11"/>
        <v>42602194.350000001</v>
      </c>
      <c r="AB16" s="2">
        <f t="shared" si="9"/>
        <v>-69265.213580325246</v>
      </c>
    </row>
    <row r="17" spans="1:28">
      <c r="A17" s="2">
        <v>14</v>
      </c>
      <c r="B17" s="2" t="s">
        <v>126</v>
      </c>
      <c r="C17" s="2" t="s">
        <v>1516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1240</v>
      </c>
      <c r="J17" s="2" t="s">
        <v>1241</v>
      </c>
      <c r="K17" s="2">
        <f t="shared" si="10"/>
        <v>42532929.136419676</v>
      </c>
      <c r="L17" s="2" t="s">
        <v>946</v>
      </c>
      <c r="M17" s="2" t="s">
        <v>980</v>
      </c>
      <c r="N17" s="2" t="s">
        <v>946</v>
      </c>
      <c r="O17" s="2">
        <v>125</v>
      </c>
      <c r="P17" s="2">
        <v>7395.06787109375</v>
      </c>
      <c r="Q17" s="2">
        <v>6833.13037109375</v>
      </c>
      <c r="R17" s="2">
        <f t="shared" si="0"/>
        <v>924383.48388671875</v>
      </c>
      <c r="S17" s="2">
        <f t="shared" si="1"/>
        <v>854141.29638671875</v>
      </c>
      <c r="T17" s="2">
        <f t="shared" si="2"/>
        <v>1778524.7802734375</v>
      </c>
      <c r="U17" s="2">
        <f t="shared" si="3"/>
        <v>889.26</v>
      </c>
      <c r="V17" s="2">
        <f t="shared" si="4"/>
        <v>-70242.1875</v>
      </c>
      <c r="W17" s="2">
        <f t="shared" si="5"/>
        <v>-71131.447499999995</v>
      </c>
      <c r="X17" s="2">
        <f t="shared" si="6"/>
        <v>42461797.688919678</v>
      </c>
      <c r="Y17" s="2">
        <f t="shared" si="7"/>
        <v>184876.7</v>
      </c>
      <c r="Z17" s="2">
        <f t="shared" si="8"/>
        <v>-38.479999999999997</v>
      </c>
      <c r="AA17" s="2">
        <f t="shared" si="11"/>
        <v>42602194.350000001</v>
      </c>
      <c r="AB17" s="2">
        <f t="shared" si="9"/>
        <v>-140396.66108032316</v>
      </c>
    </row>
    <row r="18" spans="1:28">
      <c r="A18" s="2">
        <v>15</v>
      </c>
      <c r="B18" s="2" t="s">
        <v>133</v>
      </c>
      <c r="C18" s="2" t="s">
        <v>1516</v>
      </c>
      <c r="D18" s="3" t="s">
        <v>37</v>
      </c>
      <c r="E18" s="5" t="s">
        <v>134</v>
      </c>
      <c r="F18" s="2" t="s">
        <v>135</v>
      </c>
      <c r="G18" s="2" t="s">
        <v>63</v>
      </c>
      <c r="H18" s="2" t="s">
        <v>136</v>
      </c>
      <c r="I18" s="2" t="s">
        <v>335</v>
      </c>
      <c r="J18" s="2" t="s">
        <v>1538</v>
      </c>
      <c r="K18" s="2">
        <f t="shared" si="10"/>
        <v>42461797.688919678</v>
      </c>
      <c r="L18" s="2" t="s">
        <v>1539</v>
      </c>
      <c r="M18" s="2" t="s">
        <v>1540</v>
      </c>
      <c r="N18" s="2" t="s">
        <v>1541</v>
      </c>
      <c r="O18" s="2">
        <v>5000</v>
      </c>
      <c r="P18" s="2">
        <v>100.9641189575195</v>
      </c>
      <c r="Q18" s="2">
        <v>107.78697204589839</v>
      </c>
      <c r="R18" s="2">
        <f t="shared" si="0"/>
        <v>504820.59478759754</v>
      </c>
      <c r="S18" s="2">
        <f t="shared" si="1"/>
        <v>538934.86022949195</v>
      </c>
      <c r="T18" s="2">
        <f t="shared" si="2"/>
        <v>1043755.4550170895</v>
      </c>
      <c r="U18" s="2">
        <f t="shared" si="3"/>
        <v>521.88</v>
      </c>
      <c r="V18" s="2">
        <f t="shared" si="4"/>
        <v>34114.265441894415</v>
      </c>
      <c r="W18" s="2">
        <f t="shared" si="5"/>
        <v>33592.385441894417</v>
      </c>
      <c r="X18" s="2">
        <f t="shared" si="6"/>
        <v>42495390.07436157</v>
      </c>
      <c r="Y18" s="2">
        <f t="shared" si="7"/>
        <v>100964.12</v>
      </c>
      <c r="Z18" s="2">
        <f t="shared" si="8"/>
        <v>33.270000000000003</v>
      </c>
      <c r="AA18" s="2">
        <f t="shared" si="11"/>
        <v>42602194.350000001</v>
      </c>
      <c r="AB18" s="2">
        <f t="shared" si="9"/>
        <v>-106804.27563843131</v>
      </c>
    </row>
    <row r="19" spans="1:28">
      <c r="A19" s="2">
        <v>16</v>
      </c>
      <c r="B19" s="2" t="s">
        <v>141</v>
      </c>
      <c r="C19" s="2" t="s">
        <v>1516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1246</v>
      </c>
      <c r="J19" s="2" t="s">
        <v>1247</v>
      </c>
      <c r="K19" s="2">
        <f t="shared" si="10"/>
        <v>42495390.07436157</v>
      </c>
      <c r="L19" s="2" t="s">
        <v>959</v>
      </c>
      <c r="M19" s="2" t="s">
        <v>989</v>
      </c>
      <c r="N19" s="2" t="s">
        <v>960</v>
      </c>
      <c r="O19" s="2">
        <v>200</v>
      </c>
      <c r="P19" s="2">
        <v>2423.191162109375</v>
      </c>
      <c r="Q19" s="2">
        <v>2854.447021484375</v>
      </c>
      <c r="R19" s="2">
        <f t="shared" si="0"/>
        <v>484638.232421875</v>
      </c>
      <c r="S19" s="2">
        <f t="shared" si="1"/>
        <v>570889.404296875</v>
      </c>
      <c r="T19" s="2">
        <f t="shared" si="2"/>
        <v>1055527.63671875</v>
      </c>
      <c r="U19" s="2">
        <f t="shared" si="3"/>
        <v>527.76</v>
      </c>
      <c r="V19" s="2">
        <f t="shared" si="4"/>
        <v>86251.171875</v>
      </c>
      <c r="W19" s="2">
        <f t="shared" si="5"/>
        <v>85723.411875000005</v>
      </c>
      <c r="X19" s="2">
        <f t="shared" si="6"/>
        <v>42581113.486236572</v>
      </c>
      <c r="Y19" s="2">
        <f t="shared" si="7"/>
        <v>96927.65</v>
      </c>
      <c r="Z19" s="2">
        <f t="shared" si="8"/>
        <v>88.44</v>
      </c>
      <c r="AA19" s="2">
        <f t="shared" si="11"/>
        <v>42602194.350000001</v>
      </c>
      <c r="AB19" s="2">
        <f t="shared" si="9"/>
        <v>-21080.863763429224</v>
      </c>
    </row>
    <row r="20" spans="1:28">
      <c r="A20" s="2">
        <v>17</v>
      </c>
      <c r="B20" s="2" t="s">
        <v>149</v>
      </c>
      <c r="C20" s="2" t="s">
        <v>1516</v>
      </c>
      <c r="D20" s="3" t="s">
        <v>37</v>
      </c>
      <c r="E20" s="5" t="s">
        <v>134</v>
      </c>
      <c r="F20" s="2" t="s">
        <v>135</v>
      </c>
      <c r="G20" s="2" t="s">
        <v>150</v>
      </c>
      <c r="H20" s="2" t="s">
        <v>151</v>
      </c>
      <c r="I20" s="2" t="s">
        <v>1542</v>
      </c>
      <c r="J20" s="2" t="s">
        <v>512</v>
      </c>
      <c r="K20" s="2">
        <f t="shared" si="10"/>
        <v>42581113.486236572</v>
      </c>
      <c r="L20" s="2" t="s">
        <v>1543</v>
      </c>
      <c r="M20" s="2" t="s">
        <v>1544</v>
      </c>
      <c r="N20" s="2" t="s">
        <v>1545</v>
      </c>
      <c r="O20" s="2">
        <v>679</v>
      </c>
      <c r="P20" s="2">
        <v>2058.744873046875</v>
      </c>
      <c r="Q20" s="2">
        <v>2138.761962890625</v>
      </c>
      <c r="R20" s="2">
        <f t="shared" si="0"/>
        <v>1397887.7687988281</v>
      </c>
      <c r="S20" s="2">
        <f t="shared" si="1"/>
        <v>1452219.3728027344</v>
      </c>
      <c r="T20" s="2">
        <f t="shared" si="2"/>
        <v>2850107.1416015625</v>
      </c>
      <c r="U20" s="2">
        <f t="shared" si="3"/>
        <v>1425.05</v>
      </c>
      <c r="V20" s="2">
        <f t="shared" si="4"/>
        <v>54331.60400390625</v>
      </c>
      <c r="W20" s="2">
        <f t="shared" si="5"/>
        <v>52906.554003906247</v>
      </c>
      <c r="X20" s="2">
        <f t="shared" si="6"/>
        <v>42634020.040240481</v>
      </c>
      <c r="Y20" s="2">
        <f t="shared" si="7"/>
        <v>279577.55</v>
      </c>
      <c r="Z20" s="2">
        <f t="shared" si="8"/>
        <v>18.920000000000002</v>
      </c>
      <c r="AA20" s="2">
        <f t="shared" si="11"/>
        <v>42634020.040240481</v>
      </c>
      <c r="AB20" s="2">
        <f t="shared" si="9"/>
        <v>0</v>
      </c>
    </row>
    <row r="21" spans="1:28">
      <c r="A21" s="2">
        <v>18</v>
      </c>
      <c r="B21" s="2" t="s">
        <v>154</v>
      </c>
      <c r="C21" s="2" t="s">
        <v>1516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42634020.040240481</v>
      </c>
      <c r="L21" s="2" t="s">
        <v>159</v>
      </c>
      <c r="M21" s="2" t="s">
        <v>81</v>
      </c>
      <c r="N21" s="2" t="s">
        <v>1546</v>
      </c>
      <c r="O21" s="2">
        <v>668</v>
      </c>
      <c r="P21" s="2">
        <v>1280</v>
      </c>
      <c r="Q21" s="2">
        <v>1470.2</v>
      </c>
      <c r="R21" s="2">
        <f t="shared" si="0"/>
        <v>855040</v>
      </c>
      <c r="S21" s="2">
        <f t="shared" si="1"/>
        <v>982093.6</v>
      </c>
      <c r="T21" s="2">
        <f t="shared" si="2"/>
        <v>1837133.6</v>
      </c>
      <c r="U21" s="2">
        <f t="shared" si="3"/>
        <v>918.57</v>
      </c>
      <c r="V21" s="2">
        <f t="shared" si="4"/>
        <v>127053.59999999998</v>
      </c>
      <c r="W21" s="2">
        <f t="shared" si="5"/>
        <v>126135.02999999997</v>
      </c>
      <c r="X21" s="2">
        <f t="shared" si="6"/>
        <v>42760155.070240483</v>
      </c>
      <c r="Y21" s="2">
        <f t="shared" si="7"/>
        <v>171008</v>
      </c>
      <c r="Z21" s="2">
        <f t="shared" si="8"/>
        <v>73.760000000000005</v>
      </c>
      <c r="AA21" s="2">
        <f t="shared" si="11"/>
        <v>42760155.070240483</v>
      </c>
      <c r="AB21" s="2">
        <f t="shared" si="9"/>
        <v>0</v>
      </c>
    </row>
    <row r="22" spans="1:28">
      <c r="A22" s="2">
        <v>19</v>
      </c>
      <c r="B22" s="2" t="s">
        <v>160</v>
      </c>
      <c r="C22" s="2" t="s">
        <v>1516</v>
      </c>
      <c r="D22" s="4" t="s">
        <v>61</v>
      </c>
      <c r="E22" s="5" t="s">
        <v>134</v>
      </c>
      <c r="F22" s="2" t="s">
        <v>135</v>
      </c>
      <c r="G22" s="2" t="s">
        <v>161</v>
      </c>
      <c r="H22" s="2" t="s">
        <v>162</v>
      </c>
      <c r="I22" s="2" t="s">
        <v>309</v>
      </c>
      <c r="J22" s="2" t="s">
        <v>636</v>
      </c>
      <c r="K22" s="2">
        <f t="shared" si="10"/>
        <v>42760155.070240483</v>
      </c>
      <c r="L22" s="2" t="s">
        <v>1547</v>
      </c>
      <c r="M22" s="2" t="s">
        <v>1467</v>
      </c>
      <c r="N22" s="2" t="s">
        <v>1374</v>
      </c>
      <c r="O22" s="2">
        <v>970</v>
      </c>
      <c r="P22" s="2">
        <v>598.11541748046875</v>
      </c>
      <c r="Q22" s="2">
        <v>636.95599365234375</v>
      </c>
      <c r="R22" s="2">
        <f t="shared" si="0"/>
        <v>580171.95495605469</v>
      </c>
      <c r="S22" s="2">
        <f t="shared" si="1"/>
        <v>617847.31384277344</v>
      </c>
      <c r="T22" s="2">
        <f t="shared" si="2"/>
        <v>1198019.2687988281</v>
      </c>
      <c r="U22" s="2">
        <f t="shared" si="3"/>
        <v>599.01</v>
      </c>
      <c r="V22" s="2">
        <f t="shared" si="4"/>
        <v>37675.35888671875</v>
      </c>
      <c r="W22" s="2">
        <f t="shared" si="5"/>
        <v>37076.348886718748</v>
      </c>
      <c r="X22" s="2">
        <f t="shared" si="6"/>
        <v>42797231.419127204</v>
      </c>
      <c r="Y22" s="2">
        <f t="shared" si="7"/>
        <v>116034.39</v>
      </c>
      <c r="Z22" s="2">
        <f t="shared" si="8"/>
        <v>31.95</v>
      </c>
      <c r="AA22" s="2">
        <f t="shared" si="11"/>
        <v>42797231.419127204</v>
      </c>
      <c r="AB22" s="2">
        <f t="shared" si="9"/>
        <v>0</v>
      </c>
    </row>
    <row r="23" spans="1:28">
      <c r="A23" s="2">
        <v>20</v>
      </c>
      <c r="B23" s="2" t="s">
        <v>168</v>
      </c>
      <c r="C23" s="2" t="s">
        <v>1516</v>
      </c>
      <c r="D23" s="3" t="s">
        <v>37</v>
      </c>
      <c r="E23" s="5" t="s">
        <v>134</v>
      </c>
      <c r="F23" s="2" t="s">
        <v>135</v>
      </c>
      <c r="G23" s="2" t="s">
        <v>169</v>
      </c>
      <c r="H23" s="2" t="s">
        <v>170</v>
      </c>
      <c r="I23" s="2" t="s">
        <v>1548</v>
      </c>
      <c r="J23" s="2" t="s">
        <v>810</v>
      </c>
      <c r="K23" s="2">
        <f t="shared" si="10"/>
        <v>42797231.419127204</v>
      </c>
      <c r="L23" s="2" t="s">
        <v>1545</v>
      </c>
      <c r="M23" s="2" t="s">
        <v>1540</v>
      </c>
      <c r="N23" s="2" t="s">
        <v>1541</v>
      </c>
      <c r="O23" s="2">
        <v>634</v>
      </c>
      <c r="P23" s="2">
        <v>1160.693115234375</v>
      </c>
      <c r="Q23" s="2">
        <v>1191.8759765625</v>
      </c>
      <c r="R23" s="2">
        <f t="shared" si="0"/>
        <v>735879.43505859375</v>
      </c>
      <c r="S23" s="2">
        <f t="shared" si="1"/>
        <v>755649.369140625</v>
      </c>
      <c r="T23" s="2">
        <f t="shared" si="2"/>
        <v>1491528.8041992188</v>
      </c>
      <c r="U23" s="2">
        <f t="shared" si="3"/>
        <v>745.76</v>
      </c>
      <c r="V23" s="2">
        <f t="shared" si="4"/>
        <v>19769.93408203125</v>
      </c>
      <c r="W23" s="2">
        <f t="shared" si="5"/>
        <v>19024.174082031252</v>
      </c>
      <c r="X23" s="2">
        <f t="shared" si="6"/>
        <v>42816255.593209237</v>
      </c>
      <c r="Y23" s="2">
        <f t="shared" si="7"/>
        <v>147175.89000000001</v>
      </c>
      <c r="Z23" s="2">
        <f t="shared" si="8"/>
        <v>12.93</v>
      </c>
      <c r="AA23" s="2">
        <f t="shared" si="11"/>
        <v>42816255.593209237</v>
      </c>
      <c r="AB23" s="2">
        <f t="shared" si="9"/>
        <v>0</v>
      </c>
    </row>
    <row r="24" spans="1:28">
      <c r="A24" s="2">
        <v>21</v>
      </c>
      <c r="B24" s="2" t="s">
        <v>175</v>
      </c>
      <c r="C24" s="2" t="s">
        <v>1516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775</v>
      </c>
      <c r="J24" s="2" t="s">
        <v>413</v>
      </c>
      <c r="K24" s="2">
        <f t="shared" si="10"/>
        <v>42816255.593209237</v>
      </c>
      <c r="L24" s="2" t="s">
        <v>1052</v>
      </c>
      <c r="M24" s="2" t="s">
        <v>288</v>
      </c>
      <c r="N24" s="2" t="s">
        <v>970</v>
      </c>
      <c r="O24" s="2">
        <v>625</v>
      </c>
      <c r="P24" s="2">
        <v>1151.327270507812</v>
      </c>
      <c r="Q24" s="2">
        <v>1165.454345703125</v>
      </c>
      <c r="R24" s="2">
        <f t="shared" si="0"/>
        <v>719579.54406738258</v>
      </c>
      <c r="S24" s="2">
        <f t="shared" si="1"/>
        <v>728408.96606445312</v>
      </c>
      <c r="T24" s="2">
        <f t="shared" si="2"/>
        <v>1447988.5101318357</v>
      </c>
      <c r="U24" s="2">
        <f t="shared" si="3"/>
        <v>723.99</v>
      </c>
      <c r="V24" s="2">
        <f t="shared" si="4"/>
        <v>8829.4219970705453</v>
      </c>
      <c r="W24" s="2">
        <f t="shared" si="5"/>
        <v>8105.4319970705455</v>
      </c>
      <c r="X24" s="2">
        <f t="shared" si="6"/>
        <v>42824361.025206305</v>
      </c>
      <c r="Y24" s="2">
        <f t="shared" si="7"/>
        <v>143915.91</v>
      </c>
      <c r="Z24" s="2">
        <f t="shared" si="8"/>
        <v>5.63</v>
      </c>
      <c r="AA24" s="2">
        <f t="shared" si="11"/>
        <v>42824361.025206305</v>
      </c>
      <c r="AB24" s="2">
        <f t="shared" si="9"/>
        <v>0</v>
      </c>
    </row>
    <row r="25" spans="1:28">
      <c r="A25" s="2">
        <v>22</v>
      </c>
      <c r="B25" s="2" t="s">
        <v>184</v>
      </c>
      <c r="C25" s="2" t="s">
        <v>1516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1257</v>
      </c>
      <c r="J25" s="2" t="s">
        <v>1258</v>
      </c>
      <c r="K25" s="2">
        <f t="shared" si="10"/>
        <v>42824361.025206305</v>
      </c>
      <c r="L25" s="2" t="s">
        <v>1049</v>
      </c>
      <c r="M25" s="2" t="s">
        <v>970</v>
      </c>
      <c r="N25" s="2" t="s">
        <v>1052</v>
      </c>
      <c r="O25" s="2">
        <v>125</v>
      </c>
      <c r="P25" s="2">
        <v>11379.396484375</v>
      </c>
      <c r="Q25" s="2">
        <v>9678.9794921875</v>
      </c>
      <c r="R25" s="2">
        <f t="shared" si="0"/>
        <v>1422424.560546875</v>
      </c>
      <c r="S25" s="2">
        <f t="shared" si="1"/>
        <v>1209872.4365234375</v>
      </c>
      <c r="T25" s="2">
        <f t="shared" si="2"/>
        <v>2632296.9970703125</v>
      </c>
      <c r="U25" s="2">
        <f t="shared" si="3"/>
        <v>1316.15</v>
      </c>
      <c r="V25" s="2">
        <f t="shared" si="4"/>
        <v>-212552.1240234375</v>
      </c>
      <c r="W25" s="2">
        <f t="shared" si="5"/>
        <v>-213868.27402343749</v>
      </c>
      <c r="X25" s="2">
        <f t="shared" si="6"/>
        <v>42610492.751182869</v>
      </c>
      <c r="Y25" s="2">
        <f t="shared" si="7"/>
        <v>284484.90999999997</v>
      </c>
      <c r="Z25" s="2">
        <f t="shared" si="8"/>
        <v>-75.180000000000007</v>
      </c>
      <c r="AA25" s="2">
        <f t="shared" si="11"/>
        <v>42824361.025206305</v>
      </c>
      <c r="AB25" s="2">
        <f t="shared" si="9"/>
        <v>-213868.27402343601</v>
      </c>
    </row>
    <row r="26" spans="1:28">
      <c r="A26" s="2">
        <v>23</v>
      </c>
      <c r="B26" s="2" t="s">
        <v>190</v>
      </c>
      <c r="C26" s="2" t="s">
        <v>1516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1229</v>
      </c>
      <c r="J26" s="2" t="s">
        <v>1259</v>
      </c>
      <c r="K26" s="2">
        <f t="shared" si="10"/>
        <v>42610492.751182869</v>
      </c>
      <c r="L26" s="2" t="s">
        <v>288</v>
      </c>
      <c r="M26" s="2" t="s">
        <v>289</v>
      </c>
      <c r="N26" s="2" t="s">
        <v>288</v>
      </c>
      <c r="O26" s="2">
        <v>500</v>
      </c>
      <c r="P26" s="2">
        <v>1739.766967773438</v>
      </c>
      <c r="Q26" s="2">
        <v>1728.132690429688</v>
      </c>
      <c r="R26" s="2">
        <f t="shared" si="0"/>
        <v>869883.48388671898</v>
      </c>
      <c r="S26" s="2">
        <f t="shared" si="1"/>
        <v>864066.34521484398</v>
      </c>
      <c r="T26" s="2">
        <f t="shared" si="2"/>
        <v>1733949.829101563</v>
      </c>
      <c r="U26" s="2">
        <f t="shared" si="3"/>
        <v>866.97</v>
      </c>
      <c r="V26" s="2">
        <f t="shared" si="4"/>
        <v>-5817.138671875</v>
      </c>
      <c r="W26" s="2">
        <f t="shared" si="5"/>
        <v>-6684.1086718750003</v>
      </c>
      <c r="X26" s="2">
        <f t="shared" si="6"/>
        <v>42603808.642510995</v>
      </c>
      <c r="Y26" s="2">
        <f t="shared" si="7"/>
        <v>173976.7</v>
      </c>
      <c r="Z26" s="2">
        <f t="shared" si="8"/>
        <v>-3.84</v>
      </c>
      <c r="AA26" s="2">
        <f t="shared" si="11"/>
        <v>42824361.025206305</v>
      </c>
      <c r="AB26" s="2">
        <f t="shared" si="9"/>
        <v>-220552.38269530982</v>
      </c>
    </row>
    <row r="27" spans="1:28">
      <c r="A27" s="2">
        <v>24</v>
      </c>
      <c r="B27" s="2" t="s">
        <v>195</v>
      </c>
      <c r="C27" s="2" t="s">
        <v>1516</v>
      </c>
      <c r="D27" s="3" t="s">
        <v>37</v>
      </c>
      <c r="E27" s="5" t="s">
        <v>134</v>
      </c>
      <c r="F27" s="2" t="s">
        <v>135</v>
      </c>
      <c r="G27" s="2" t="s">
        <v>103</v>
      </c>
      <c r="H27" s="2" t="s">
        <v>196</v>
      </c>
      <c r="I27" s="2" t="s">
        <v>1549</v>
      </c>
      <c r="J27" s="2" t="s">
        <v>1550</v>
      </c>
      <c r="K27" s="2">
        <f t="shared" si="10"/>
        <v>42603808.642510995</v>
      </c>
      <c r="L27" s="2" t="s">
        <v>1551</v>
      </c>
      <c r="M27" s="2" t="s">
        <v>1552</v>
      </c>
      <c r="N27" s="2" t="s">
        <v>1553</v>
      </c>
      <c r="O27" s="2">
        <v>100</v>
      </c>
      <c r="P27" s="2">
        <v>2294.362548828125</v>
      </c>
      <c r="Q27" s="2">
        <v>2501.460205078125</v>
      </c>
      <c r="R27" s="2">
        <f t="shared" si="0"/>
        <v>229436.2548828125</v>
      </c>
      <c r="S27" s="2">
        <f t="shared" si="1"/>
        <v>250146.0205078125</v>
      </c>
      <c r="T27" s="2">
        <f t="shared" si="2"/>
        <v>479582.275390625</v>
      </c>
      <c r="U27" s="2">
        <f t="shared" si="3"/>
        <v>239.79</v>
      </c>
      <c r="V27" s="2">
        <f t="shared" si="4"/>
        <v>20709.765625</v>
      </c>
      <c r="W27" s="2">
        <f t="shared" si="5"/>
        <v>20469.975624999999</v>
      </c>
      <c r="X27" s="2">
        <f t="shared" si="6"/>
        <v>42624278.618135996</v>
      </c>
      <c r="Y27" s="2">
        <f t="shared" si="7"/>
        <v>45887.25</v>
      </c>
      <c r="Z27" s="2">
        <f t="shared" si="8"/>
        <v>44.61</v>
      </c>
      <c r="AA27" s="2">
        <f t="shared" si="11"/>
        <v>42824361.025206305</v>
      </c>
      <c r="AB27" s="2">
        <f t="shared" si="9"/>
        <v>-200082.40707030892</v>
      </c>
    </row>
    <row r="28" spans="1:28">
      <c r="A28" s="2">
        <v>25</v>
      </c>
      <c r="B28" s="2" t="s">
        <v>199</v>
      </c>
      <c r="C28" s="2" t="s">
        <v>1516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1264</v>
      </c>
      <c r="J28" s="2" t="s">
        <v>238</v>
      </c>
      <c r="K28" s="2">
        <f t="shared" si="10"/>
        <v>42624278.618135996</v>
      </c>
      <c r="L28" s="2" t="s">
        <v>985</v>
      </c>
      <c r="M28" s="2" t="s">
        <v>994</v>
      </c>
      <c r="N28" s="2" t="s">
        <v>966</v>
      </c>
      <c r="O28" s="2">
        <v>125</v>
      </c>
      <c r="P28" s="2">
        <v>669.81402587890625</v>
      </c>
      <c r="Q28" s="2">
        <v>693.67913818359375</v>
      </c>
      <c r="R28" s="2">
        <f t="shared" si="0"/>
        <v>83726.753234863281</v>
      </c>
      <c r="S28" s="2">
        <f t="shared" si="1"/>
        <v>86709.892272949219</v>
      </c>
      <c r="T28" s="2">
        <f t="shared" si="2"/>
        <v>170436.6455078125</v>
      </c>
      <c r="U28" s="2">
        <f t="shared" si="3"/>
        <v>85.22</v>
      </c>
      <c r="V28" s="2">
        <f t="shared" si="4"/>
        <v>2983.1390380859375</v>
      </c>
      <c r="W28" s="2">
        <f t="shared" si="5"/>
        <v>2897.9190380859377</v>
      </c>
      <c r="X28" s="2">
        <f t="shared" si="6"/>
        <v>42627176.537174083</v>
      </c>
      <c r="Y28" s="2">
        <f t="shared" si="7"/>
        <v>16745.349999999999</v>
      </c>
      <c r="Z28" s="2">
        <f t="shared" si="8"/>
        <v>17.309999999999999</v>
      </c>
      <c r="AA28" s="2">
        <f t="shared" si="11"/>
        <v>42824361.025206305</v>
      </c>
      <c r="AB28" s="2">
        <f t="shared" si="9"/>
        <v>-197184.48803222179</v>
      </c>
    </row>
    <row r="29" spans="1:28">
      <c r="A29" s="2">
        <v>26</v>
      </c>
      <c r="B29" s="2" t="s">
        <v>205</v>
      </c>
      <c r="C29" s="2" t="s">
        <v>1516</v>
      </c>
      <c r="D29" s="3" t="s">
        <v>37</v>
      </c>
      <c r="E29" s="5" t="s">
        <v>134</v>
      </c>
      <c r="F29" s="2" t="s">
        <v>135</v>
      </c>
      <c r="G29" s="2" t="s">
        <v>54</v>
      </c>
      <c r="H29" s="2" t="s">
        <v>206</v>
      </c>
      <c r="I29" s="2" t="s">
        <v>1554</v>
      </c>
      <c r="J29" s="2" t="s">
        <v>863</v>
      </c>
      <c r="K29" s="2">
        <f t="shared" si="10"/>
        <v>42627176.537174083</v>
      </c>
      <c r="L29" s="2" t="s">
        <v>1555</v>
      </c>
      <c r="M29" s="2" t="s">
        <v>1544</v>
      </c>
      <c r="N29" s="2" t="s">
        <v>1556</v>
      </c>
      <c r="O29" s="2">
        <v>6099</v>
      </c>
      <c r="P29" s="2">
        <v>183.8274230957031</v>
      </c>
      <c r="Q29" s="2">
        <v>181.6337890625</v>
      </c>
      <c r="R29" s="2">
        <f t="shared" si="0"/>
        <v>1121163.4534606931</v>
      </c>
      <c r="S29" s="2">
        <f t="shared" si="1"/>
        <v>1107784.4794921875</v>
      </c>
      <c r="T29" s="2">
        <f t="shared" si="2"/>
        <v>2228947.9329528809</v>
      </c>
      <c r="U29" s="2">
        <f t="shared" si="3"/>
        <v>1114.47</v>
      </c>
      <c r="V29" s="2">
        <f t="shared" si="4"/>
        <v>-13378.973968505627</v>
      </c>
      <c r="W29" s="2">
        <f t="shared" si="5"/>
        <v>-14493.443968505626</v>
      </c>
      <c r="X29" s="2">
        <f t="shared" si="6"/>
        <v>42612683.093205579</v>
      </c>
      <c r="Y29" s="2">
        <f t="shared" si="7"/>
        <v>224232.69</v>
      </c>
      <c r="Z29" s="2">
        <f t="shared" si="8"/>
        <v>-6.46</v>
      </c>
      <c r="AA29" s="2">
        <f t="shared" si="11"/>
        <v>42824361.025206305</v>
      </c>
      <c r="AB29" s="2">
        <f t="shared" si="9"/>
        <v>-211677.93200072646</v>
      </c>
    </row>
    <row r="30" spans="1:28">
      <c r="A30" s="2">
        <v>27</v>
      </c>
      <c r="B30" s="2" t="s">
        <v>209</v>
      </c>
      <c r="C30" s="2" t="s">
        <v>1516</v>
      </c>
      <c r="D30" s="4" t="s">
        <v>61</v>
      </c>
      <c r="E30" s="5" t="s">
        <v>134</v>
      </c>
      <c r="F30" s="2" t="s">
        <v>135</v>
      </c>
      <c r="G30" s="2" t="s">
        <v>103</v>
      </c>
      <c r="H30" s="2" t="s">
        <v>210</v>
      </c>
      <c r="I30" s="2" t="s">
        <v>1341</v>
      </c>
      <c r="J30" s="2" t="s">
        <v>171</v>
      </c>
      <c r="K30" s="2">
        <f t="shared" si="10"/>
        <v>42612683.093205579</v>
      </c>
      <c r="L30" s="2" t="s">
        <v>1557</v>
      </c>
      <c r="M30" s="2" t="s">
        <v>1558</v>
      </c>
      <c r="N30" s="2" t="s">
        <v>1559</v>
      </c>
      <c r="O30" s="2">
        <v>4138</v>
      </c>
      <c r="P30" s="2">
        <v>239.49354553222659</v>
      </c>
      <c r="Q30" s="2">
        <v>251.19950866699219</v>
      </c>
      <c r="R30" s="2">
        <f t="shared" si="0"/>
        <v>991024.29141235363</v>
      </c>
      <c r="S30" s="2">
        <f t="shared" si="1"/>
        <v>1039463.5668640137</v>
      </c>
      <c r="T30" s="2">
        <f t="shared" si="2"/>
        <v>2030487.8582763672</v>
      </c>
      <c r="U30" s="2">
        <f t="shared" si="3"/>
        <v>1015.24</v>
      </c>
      <c r="V30" s="2">
        <f t="shared" si="4"/>
        <v>48439.27545166004</v>
      </c>
      <c r="W30" s="2">
        <f t="shared" si="5"/>
        <v>47424.035451660042</v>
      </c>
      <c r="X30" s="2">
        <f t="shared" si="6"/>
        <v>42660107.128657237</v>
      </c>
      <c r="Y30" s="2">
        <f t="shared" si="7"/>
        <v>198204.86</v>
      </c>
      <c r="Z30" s="2">
        <f t="shared" si="8"/>
        <v>23.93</v>
      </c>
      <c r="AA30" s="2">
        <f t="shared" si="11"/>
        <v>42824361.025206305</v>
      </c>
      <c r="AB30" s="2">
        <f t="shared" si="9"/>
        <v>-164253.89654906839</v>
      </c>
    </row>
    <row r="31" spans="1:28">
      <c r="A31" s="2">
        <v>28</v>
      </c>
      <c r="B31" s="2" t="s">
        <v>213</v>
      </c>
      <c r="C31" s="2" t="s">
        <v>1516</v>
      </c>
      <c r="D31" s="4" t="s">
        <v>61</v>
      </c>
      <c r="E31" s="5" t="s">
        <v>134</v>
      </c>
      <c r="F31" s="2" t="s">
        <v>135</v>
      </c>
      <c r="G31" s="2" t="s">
        <v>54</v>
      </c>
      <c r="H31" s="2" t="s">
        <v>214</v>
      </c>
      <c r="I31" s="2" t="s">
        <v>1560</v>
      </c>
      <c r="J31" s="2" t="s">
        <v>541</v>
      </c>
      <c r="K31" s="2">
        <f t="shared" si="10"/>
        <v>42660107.128657237</v>
      </c>
      <c r="L31" s="2" t="s">
        <v>1543</v>
      </c>
      <c r="M31" s="2" t="s">
        <v>1558</v>
      </c>
      <c r="N31" s="2" t="s">
        <v>1559</v>
      </c>
      <c r="O31" s="2">
        <v>7287</v>
      </c>
      <c r="P31" s="2">
        <v>111.1922912597656</v>
      </c>
      <c r="Q31" s="2">
        <v>128.78022766113281</v>
      </c>
      <c r="R31" s="2">
        <f t="shared" si="0"/>
        <v>810258.22640991188</v>
      </c>
      <c r="S31" s="2">
        <f t="shared" si="1"/>
        <v>938421.5189666748</v>
      </c>
      <c r="T31" s="2">
        <f t="shared" si="2"/>
        <v>1748679.7453765867</v>
      </c>
      <c r="U31" s="2">
        <f t="shared" si="3"/>
        <v>874.34</v>
      </c>
      <c r="V31" s="2">
        <f t="shared" si="4"/>
        <v>128163.29255676293</v>
      </c>
      <c r="W31" s="2">
        <f t="shared" si="5"/>
        <v>127288.95255676293</v>
      </c>
      <c r="X31" s="2">
        <f t="shared" si="6"/>
        <v>42787396.081214003</v>
      </c>
      <c r="Y31" s="2">
        <f t="shared" si="7"/>
        <v>162051.65</v>
      </c>
      <c r="Z31" s="2">
        <f t="shared" si="8"/>
        <v>78.55</v>
      </c>
      <c r="AA31" s="2">
        <f t="shared" si="11"/>
        <v>42824361.025206305</v>
      </c>
      <c r="AB31" s="2">
        <f t="shared" si="9"/>
        <v>-36964.943992301822</v>
      </c>
    </row>
    <row r="32" spans="1:28">
      <c r="A32" s="2">
        <v>29</v>
      </c>
      <c r="B32" s="2" t="s">
        <v>218</v>
      </c>
      <c r="C32" s="2" t="s">
        <v>1516</v>
      </c>
      <c r="D32" s="4" t="s">
        <v>61</v>
      </c>
      <c r="E32" s="5" t="s">
        <v>134</v>
      </c>
      <c r="F32" s="2" t="s">
        <v>135</v>
      </c>
      <c r="G32" s="2" t="s">
        <v>161</v>
      </c>
      <c r="H32" s="2" t="s">
        <v>219</v>
      </c>
      <c r="I32" s="2" t="s">
        <v>1561</v>
      </c>
      <c r="J32" s="2" t="s">
        <v>1562</v>
      </c>
      <c r="K32" s="2">
        <f t="shared" si="10"/>
        <v>42787396.081214003</v>
      </c>
      <c r="L32" s="2" t="s">
        <v>1272</v>
      </c>
      <c r="M32" s="2" t="s">
        <v>1255</v>
      </c>
      <c r="N32" s="2" t="s">
        <v>1256</v>
      </c>
      <c r="O32" s="2">
        <v>793</v>
      </c>
      <c r="P32" s="2">
        <v>1333.065185546875</v>
      </c>
      <c r="Q32" s="2">
        <v>1466.3271484375</v>
      </c>
      <c r="R32" s="2">
        <f t="shared" si="0"/>
        <v>1057120.6921386719</v>
      </c>
      <c r="S32" s="2">
        <f t="shared" si="1"/>
        <v>1162797.4287109375</v>
      </c>
      <c r="T32" s="2">
        <f t="shared" si="2"/>
        <v>2219918.1208496094</v>
      </c>
      <c r="U32" s="2">
        <f t="shared" si="3"/>
        <v>1109.96</v>
      </c>
      <c r="V32" s="2">
        <f t="shared" si="4"/>
        <v>105676.73657226563</v>
      </c>
      <c r="W32" s="2">
        <f t="shared" si="5"/>
        <v>104566.77657226562</v>
      </c>
      <c r="X32" s="2">
        <f t="shared" si="6"/>
        <v>42891962.857786268</v>
      </c>
      <c r="Y32" s="2">
        <f t="shared" si="7"/>
        <v>211424.14</v>
      </c>
      <c r="Z32" s="2">
        <f t="shared" si="8"/>
        <v>49.46</v>
      </c>
      <c r="AA32" s="2">
        <f t="shared" si="11"/>
        <v>42891962.857786268</v>
      </c>
      <c r="AB32" s="2">
        <f t="shared" si="9"/>
        <v>0</v>
      </c>
    </row>
    <row r="33" spans="1:28">
      <c r="A33" s="2">
        <v>30</v>
      </c>
      <c r="B33" s="2" t="s">
        <v>225</v>
      </c>
      <c r="C33" s="2" t="s">
        <v>1516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887</v>
      </c>
      <c r="J33" s="2" t="s">
        <v>1276</v>
      </c>
      <c r="K33" s="2">
        <f t="shared" si="10"/>
        <v>42891962.857786268</v>
      </c>
      <c r="L33" s="2" t="s">
        <v>1052</v>
      </c>
      <c r="M33" s="2" t="s">
        <v>967</v>
      </c>
      <c r="N33" s="2" t="s">
        <v>957</v>
      </c>
      <c r="O33" s="2">
        <v>2438</v>
      </c>
      <c r="P33" s="2">
        <v>281.4766845703125</v>
      </c>
      <c r="Q33" s="2">
        <v>282.26708984375</v>
      </c>
      <c r="R33" s="2">
        <f t="shared" si="0"/>
        <v>686240.15698242188</v>
      </c>
      <c r="S33" s="2">
        <f t="shared" si="1"/>
        <v>688167.1650390625</v>
      </c>
      <c r="T33" s="2">
        <f t="shared" si="2"/>
        <v>1374407.3220214844</v>
      </c>
      <c r="U33" s="2">
        <f t="shared" si="3"/>
        <v>687.2</v>
      </c>
      <c r="V33" s="2">
        <f t="shared" si="4"/>
        <v>1927.008056640625</v>
      </c>
      <c r="W33" s="2">
        <f t="shared" si="5"/>
        <v>1239.808056640625</v>
      </c>
      <c r="X33" s="2">
        <f t="shared" si="6"/>
        <v>42893202.665842906</v>
      </c>
      <c r="Y33" s="2">
        <f t="shared" si="7"/>
        <v>137248.03</v>
      </c>
      <c r="Z33" s="2">
        <f t="shared" si="8"/>
        <v>0.9</v>
      </c>
      <c r="AA33" s="2">
        <f t="shared" si="11"/>
        <v>42893202.665842906</v>
      </c>
      <c r="AB33" s="2">
        <f t="shared" si="9"/>
        <v>0</v>
      </c>
    </row>
    <row r="34" spans="1:28">
      <c r="A34" s="2">
        <v>31</v>
      </c>
      <c r="B34" s="2" t="s">
        <v>230</v>
      </c>
      <c r="C34" s="2" t="s">
        <v>1516</v>
      </c>
      <c r="D34" s="4" t="s">
        <v>61</v>
      </c>
      <c r="E34" s="5" t="s">
        <v>134</v>
      </c>
      <c r="F34" s="2" t="s">
        <v>135</v>
      </c>
      <c r="G34" s="2" t="s">
        <v>231</v>
      </c>
      <c r="H34" s="2" t="s">
        <v>232</v>
      </c>
      <c r="I34" s="2" t="s">
        <v>1563</v>
      </c>
      <c r="J34" s="2" t="s">
        <v>1564</v>
      </c>
      <c r="K34" s="2">
        <f t="shared" si="10"/>
        <v>42893202.665842906</v>
      </c>
      <c r="L34" s="2" t="s">
        <v>1467</v>
      </c>
      <c r="M34" s="2" t="s">
        <v>1565</v>
      </c>
      <c r="N34" s="2" t="s">
        <v>1566</v>
      </c>
      <c r="O34" s="2">
        <v>461</v>
      </c>
      <c r="P34" s="2">
        <v>1391.697631835938</v>
      </c>
      <c r="Q34" s="2">
        <v>1290.380249023438</v>
      </c>
      <c r="R34" s="2">
        <f t="shared" si="0"/>
        <v>641572.60827636742</v>
      </c>
      <c r="S34" s="2">
        <f t="shared" si="1"/>
        <v>594865.29479980492</v>
      </c>
      <c r="T34" s="2">
        <f t="shared" si="2"/>
        <v>1236437.9030761723</v>
      </c>
      <c r="U34" s="2">
        <f t="shared" si="3"/>
        <v>618.22</v>
      </c>
      <c r="V34" s="2">
        <f t="shared" si="4"/>
        <v>-46707.3134765625</v>
      </c>
      <c r="W34" s="2">
        <f t="shared" si="5"/>
        <v>-47325.533476562501</v>
      </c>
      <c r="X34" s="2">
        <f t="shared" si="6"/>
        <v>42845877.132366344</v>
      </c>
      <c r="Y34" s="2">
        <f t="shared" si="7"/>
        <v>128314.52</v>
      </c>
      <c r="Z34" s="2">
        <f t="shared" si="8"/>
        <v>-36.880000000000003</v>
      </c>
      <c r="AA34" s="2">
        <f t="shared" si="11"/>
        <v>42893202.665842906</v>
      </c>
      <c r="AB34" s="2">
        <f t="shared" si="9"/>
        <v>-47325.533476561308</v>
      </c>
    </row>
    <row r="35" spans="1:28">
      <c r="A35" s="2">
        <v>32</v>
      </c>
      <c r="B35" s="2" t="s">
        <v>236</v>
      </c>
      <c r="C35" s="2" t="s">
        <v>1516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1279</v>
      </c>
      <c r="J35" s="2" t="s">
        <v>116</v>
      </c>
      <c r="K35" s="2">
        <f t="shared" si="10"/>
        <v>42845877.132366344</v>
      </c>
      <c r="L35" s="2" t="s">
        <v>1014</v>
      </c>
      <c r="M35" s="2" t="s">
        <v>959</v>
      </c>
      <c r="N35" s="2" t="s">
        <v>289</v>
      </c>
      <c r="O35" s="2">
        <v>950</v>
      </c>
      <c r="P35" s="2">
        <v>1687.046508789062</v>
      </c>
      <c r="Q35" s="2">
        <v>1578.0576171875</v>
      </c>
      <c r="R35" s="2">
        <f t="shared" si="0"/>
        <v>1602694.1833496089</v>
      </c>
      <c r="S35" s="2">
        <f t="shared" si="1"/>
        <v>1499154.736328125</v>
      </c>
      <c r="T35" s="2">
        <f t="shared" si="2"/>
        <v>3101848.9196777339</v>
      </c>
      <c r="U35" s="2">
        <f t="shared" si="3"/>
        <v>1550.92</v>
      </c>
      <c r="V35" s="2">
        <f t="shared" si="4"/>
        <v>-103539.44702148391</v>
      </c>
      <c r="W35" s="2">
        <f t="shared" si="5"/>
        <v>-105090.36702148391</v>
      </c>
      <c r="X35" s="2">
        <f t="shared" si="6"/>
        <v>42740786.765344858</v>
      </c>
      <c r="Y35" s="2">
        <f t="shared" si="7"/>
        <v>320538.84000000003</v>
      </c>
      <c r="Z35" s="2">
        <f t="shared" si="8"/>
        <v>-32.79</v>
      </c>
      <c r="AA35" s="2">
        <f t="shared" si="11"/>
        <v>42893202.665842906</v>
      </c>
      <c r="AB35" s="2">
        <f t="shared" si="9"/>
        <v>-152415.90049804747</v>
      </c>
    </row>
    <row r="36" spans="1:28">
      <c r="A36" s="2">
        <v>33</v>
      </c>
      <c r="B36" s="2" t="s">
        <v>240</v>
      </c>
      <c r="C36" s="2" t="s">
        <v>1516</v>
      </c>
      <c r="D36" s="4" t="s">
        <v>61</v>
      </c>
      <c r="E36" s="5" t="s">
        <v>134</v>
      </c>
      <c r="F36" s="2" t="s">
        <v>135</v>
      </c>
      <c r="G36" s="2" t="s">
        <v>241</v>
      </c>
      <c r="H36" s="2" t="s">
        <v>242</v>
      </c>
      <c r="I36" s="2" t="s">
        <v>1181</v>
      </c>
      <c r="J36" s="2" t="s">
        <v>1567</v>
      </c>
      <c r="K36" s="2">
        <f t="shared" si="10"/>
        <v>42740786.765344858</v>
      </c>
      <c r="L36" s="2" t="s">
        <v>1555</v>
      </c>
      <c r="M36" s="2" t="s">
        <v>1540</v>
      </c>
      <c r="N36" s="2" t="s">
        <v>1568</v>
      </c>
      <c r="O36" s="2">
        <v>2481</v>
      </c>
      <c r="P36" s="2">
        <v>296.71673583984369</v>
      </c>
      <c r="Q36" s="2">
        <v>286.47998046875</v>
      </c>
      <c r="R36" s="2">
        <f t="shared" ref="R36:R67" si="12">O36*P36</f>
        <v>736154.22161865223</v>
      </c>
      <c r="S36" s="2">
        <f t="shared" ref="S36:S67" si="13">O36*Q36</f>
        <v>710756.83154296875</v>
      </c>
      <c r="T36" s="2">
        <f t="shared" ref="T36:T67" si="14">R36+S36</f>
        <v>1446911.0531616211</v>
      </c>
      <c r="U36" s="2">
        <f t="shared" ref="U36:U67" si="15">ROUND(T36*0.0005, 2)</f>
        <v>723.46</v>
      </c>
      <c r="V36" s="2">
        <f t="shared" ref="V36:V67" si="16">S36-R36</f>
        <v>-25397.390075683477</v>
      </c>
      <c r="W36" s="2">
        <f t="shared" ref="W36:W67" si="17">V36-U36</f>
        <v>-26120.850075683476</v>
      </c>
      <c r="X36" s="2">
        <f t="shared" ref="X36:X67" si="18">K36+W36</f>
        <v>42714665.915269174</v>
      </c>
      <c r="Y36" s="2">
        <f t="shared" ref="Y36:Y67" si="19">ROUND(0.2*R36, 2)</f>
        <v>147230.84</v>
      </c>
      <c r="Z36" s="2">
        <f t="shared" ref="Z36:Z67" si="20">ROUND((W36/Y36)*100, 2)</f>
        <v>-17.739999999999998</v>
      </c>
      <c r="AA36" s="2">
        <f t="shared" si="11"/>
        <v>42893202.665842906</v>
      </c>
      <c r="AB36" s="2">
        <f t="shared" ref="AB36:AB67" si="21">X36-AA36</f>
        <v>-178536.75057373196</v>
      </c>
    </row>
    <row r="37" spans="1:28">
      <c r="A37" s="2">
        <v>34</v>
      </c>
      <c r="B37" s="2" t="s">
        <v>245</v>
      </c>
      <c r="C37" s="2" t="s">
        <v>1516</v>
      </c>
      <c r="D37" s="4" t="s">
        <v>61</v>
      </c>
      <c r="E37" s="5" t="s">
        <v>134</v>
      </c>
      <c r="F37" s="2" t="s">
        <v>135</v>
      </c>
      <c r="G37" s="2" t="s">
        <v>231</v>
      </c>
      <c r="H37" s="2" t="s">
        <v>99</v>
      </c>
      <c r="I37" s="2" t="s">
        <v>1569</v>
      </c>
      <c r="J37" s="2" t="s">
        <v>1570</v>
      </c>
      <c r="K37" s="2">
        <f t="shared" si="10"/>
        <v>42714665.915269174</v>
      </c>
      <c r="L37" s="2" t="s">
        <v>1543</v>
      </c>
      <c r="M37" s="2" t="s">
        <v>1545</v>
      </c>
      <c r="N37" s="2" t="s">
        <v>1558</v>
      </c>
      <c r="O37" s="2">
        <v>2351</v>
      </c>
      <c r="P37" s="2">
        <v>304.65457153320312</v>
      </c>
      <c r="Q37" s="2">
        <v>293.89678955078119</v>
      </c>
      <c r="R37" s="2">
        <f t="shared" si="12"/>
        <v>716242.89767456055</v>
      </c>
      <c r="S37" s="2">
        <f t="shared" si="13"/>
        <v>690951.3522338866</v>
      </c>
      <c r="T37" s="2">
        <f t="shared" si="14"/>
        <v>1407194.2499084473</v>
      </c>
      <c r="U37" s="2">
        <f t="shared" si="15"/>
        <v>703.6</v>
      </c>
      <c r="V37" s="2">
        <f t="shared" si="16"/>
        <v>-25291.545440673945</v>
      </c>
      <c r="W37" s="2">
        <f t="shared" si="17"/>
        <v>-25995.145440673943</v>
      </c>
      <c r="X37" s="2">
        <f t="shared" si="18"/>
        <v>42688670.769828498</v>
      </c>
      <c r="Y37" s="2">
        <f t="shared" si="19"/>
        <v>143248.57999999999</v>
      </c>
      <c r="Z37" s="2">
        <f t="shared" si="20"/>
        <v>-18.149999999999999</v>
      </c>
      <c r="AA37" s="2">
        <f t="shared" ref="AA37:AA68" si="22">MAX(AA36, X37)</f>
        <v>42893202.665842906</v>
      </c>
      <c r="AB37" s="2">
        <f t="shared" si="21"/>
        <v>-204531.89601440728</v>
      </c>
    </row>
    <row r="38" spans="1:28">
      <c r="A38" s="2">
        <v>35</v>
      </c>
      <c r="B38" s="2" t="s">
        <v>248</v>
      </c>
      <c r="C38" s="2" t="s">
        <v>1516</v>
      </c>
      <c r="D38" s="4" t="s">
        <v>61</v>
      </c>
      <c r="E38" s="5" t="s">
        <v>134</v>
      </c>
      <c r="F38" s="2" t="s">
        <v>135</v>
      </c>
      <c r="G38" s="2" t="s">
        <v>161</v>
      </c>
      <c r="H38" s="2" t="s">
        <v>192</v>
      </c>
      <c r="I38" s="2" t="s">
        <v>1571</v>
      </c>
      <c r="J38" s="2" t="s">
        <v>394</v>
      </c>
      <c r="K38" s="2">
        <f t="shared" si="10"/>
        <v>42688670.769828498</v>
      </c>
      <c r="L38" s="2" t="s">
        <v>1375</v>
      </c>
      <c r="M38" s="2" t="s">
        <v>1557</v>
      </c>
      <c r="N38" s="2" t="s">
        <v>1299</v>
      </c>
      <c r="O38" s="2">
        <v>591</v>
      </c>
      <c r="P38" s="2">
        <v>1428.02587890625</v>
      </c>
      <c r="Q38" s="2">
        <v>1402.925170898438</v>
      </c>
      <c r="R38" s="2">
        <f t="shared" si="12"/>
        <v>843963.29443359375</v>
      </c>
      <c r="S38" s="2">
        <f t="shared" si="13"/>
        <v>829128.7760009768</v>
      </c>
      <c r="T38" s="2">
        <f t="shared" si="14"/>
        <v>1673092.0704345705</v>
      </c>
      <c r="U38" s="2">
        <f t="shared" si="15"/>
        <v>836.55</v>
      </c>
      <c r="V38" s="2">
        <f t="shared" si="16"/>
        <v>-14834.518432616955</v>
      </c>
      <c r="W38" s="2">
        <f t="shared" si="17"/>
        <v>-15671.068432616954</v>
      </c>
      <c r="X38" s="2">
        <f t="shared" si="18"/>
        <v>42672999.701395884</v>
      </c>
      <c r="Y38" s="2">
        <f t="shared" si="19"/>
        <v>168792.66</v>
      </c>
      <c r="Z38" s="2">
        <f t="shared" si="20"/>
        <v>-9.2799999999999994</v>
      </c>
      <c r="AA38" s="2">
        <f t="shared" si="22"/>
        <v>42893202.665842906</v>
      </c>
      <c r="AB38" s="2">
        <f t="shared" si="21"/>
        <v>-220202.96444702148</v>
      </c>
    </row>
    <row r="39" spans="1:28">
      <c r="A39" s="2">
        <v>36</v>
      </c>
      <c r="B39" s="2" t="s">
        <v>252</v>
      </c>
      <c r="C39" s="2" t="s">
        <v>1516</v>
      </c>
      <c r="D39" s="4" t="s">
        <v>61</v>
      </c>
      <c r="E39" s="5" t="s">
        <v>134</v>
      </c>
      <c r="F39" s="2" t="s">
        <v>135</v>
      </c>
      <c r="G39" s="2" t="s">
        <v>150</v>
      </c>
      <c r="H39" s="2" t="s">
        <v>253</v>
      </c>
      <c r="I39" s="2" t="s">
        <v>48</v>
      </c>
      <c r="J39" s="2" t="s">
        <v>122</v>
      </c>
      <c r="K39" s="2">
        <f t="shared" si="10"/>
        <v>42672999.701395884</v>
      </c>
      <c r="L39" s="2" t="s">
        <v>1572</v>
      </c>
      <c r="M39" s="2" t="s">
        <v>1573</v>
      </c>
      <c r="N39" s="2" t="s">
        <v>1544</v>
      </c>
      <c r="O39" s="2">
        <v>100</v>
      </c>
      <c r="P39" s="2">
        <v>30054.38671875</v>
      </c>
      <c r="Q39" s="2">
        <v>30238.43359375</v>
      </c>
      <c r="R39" s="2">
        <f t="shared" si="12"/>
        <v>3005438.671875</v>
      </c>
      <c r="S39" s="2">
        <f t="shared" si="13"/>
        <v>3023843.359375</v>
      </c>
      <c r="T39" s="2">
        <f t="shared" si="14"/>
        <v>6029282.03125</v>
      </c>
      <c r="U39" s="2">
        <f t="shared" si="15"/>
        <v>3014.64</v>
      </c>
      <c r="V39" s="2">
        <f t="shared" si="16"/>
        <v>18404.6875</v>
      </c>
      <c r="W39" s="2">
        <f t="shared" si="17"/>
        <v>15390.047500000001</v>
      </c>
      <c r="X39" s="2">
        <f t="shared" si="18"/>
        <v>42688389.748895884</v>
      </c>
      <c r="Y39" s="2">
        <f t="shared" si="19"/>
        <v>601087.73</v>
      </c>
      <c r="Z39" s="2">
        <f t="shared" si="20"/>
        <v>2.56</v>
      </c>
      <c r="AA39" s="2">
        <f t="shared" si="22"/>
        <v>42893202.665842906</v>
      </c>
      <c r="AB39" s="2">
        <f t="shared" si="21"/>
        <v>-204812.91694702208</v>
      </c>
    </row>
    <row r="40" spans="1:28">
      <c r="A40" s="2">
        <v>37</v>
      </c>
      <c r="B40" s="2" t="s">
        <v>256</v>
      </c>
      <c r="C40" s="2" t="s">
        <v>1516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623</v>
      </c>
      <c r="J40" s="2" t="s">
        <v>1286</v>
      </c>
      <c r="K40" s="2">
        <f t="shared" si="10"/>
        <v>42688389.748895884</v>
      </c>
      <c r="L40" s="2" t="s">
        <v>970</v>
      </c>
      <c r="M40" s="2" t="s">
        <v>967</v>
      </c>
      <c r="N40" s="2" t="s">
        <v>957</v>
      </c>
      <c r="O40" s="2">
        <v>1800</v>
      </c>
      <c r="P40" s="2">
        <v>286.02090454101562</v>
      </c>
      <c r="Q40" s="2">
        <v>315.24423217773437</v>
      </c>
      <c r="R40" s="2">
        <f t="shared" si="12"/>
        <v>514837.62817382812</v>
      </c>
      <c r="S40" s="2">
        <f t="shared" si="13"/>
        <v>567439.61791992187</v>
      </c>
      <c r="T40" s="2">
        <f t="shared" si="14"/>
        <v>1082277.24609375</v>
      </c>
      <c r="U40" s="2">
        <f t="shared" si="15"/>
        <v>541.14</v>
      </c>
      <c r="V40" s="2">
        <f t="shared" si="16"/>
        <v>52601.98974609375</v>
      </c>
      <c r="W40" s="2">
        <f t="shared" si="17"/>
        <v>52060.849746093751</v>
      </c>
      <c r="X40" s="2">
        <f t="shared" si="18"/>
        <v>42740450.598641977</v>
      </c>
      <c r="Y40" s="2">
        <f t="shared" si="19"/>
        <v>102967.53</v>
      </c>
      <c r="Z40" s="2">
        <f t="shared" si="20"/>
        <v>50.56</v>
      </c>
      <c r="AA40" s="2">
        <f t="shared" si="22"/>
        <v>42893202.665842906</v>
      </c>
      <c r="AB40" s="2">
        <f t="shared" si="21"/>
        <v>-152752.06720092893</v>
      </c>
    </row>
    <row r="41" spans="1:28">
      <c r="A41" s="2">
        <v>38</v>
      </c>
      <c r="B41" s="2" t="s">
        <v>259</v>
      </c>
      <c r="C41" s="2" t="s">
        <v>1516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863</v>
      </c>
      <c r="J41" s="2" t="s">
        <v>1287</v>
      </c>
      <c r="K41" s="2">
        <f t="shared" si="10"/>
        <v>42740450.598641977</v>
      </c>
      <c r="L41" s="2" t="s">
        <v>989</v>
      </c>
      <c r="M41" s="2" t="s">
        <v>980</v>
      </c>
      <c r="N41" s="2" t="s">
        <v>989</v>
      </c>
      <c r="O41" s="2">
        <v>200</v>
      </c>
      <c r="P41" s="2">
        <v>4962.515625</v>
      </c>
      <c r="Q41" s="2">
        <v>4852.01416015625</v>
      </c>
      <c r="R41" s="2">
        <f t="shared" si="12"/>
        <v>992503.125</v>
      </c>
      <c r="S41" s="2">
        <f t="shared" si="13"/>
        <v>970402.83203125</v>
      </c>
      <c r="T41" s="2">
        <f t="shared" si="14"/>
        <v>1962905.95703125</v>
      </c>
      <c r="U41" s="2">
        <f t="shared" si="15"/>
        <v>981.45</v>
      </c>
      <c r="V41" s="2">
        <f t="shared" si="16"/>
        <v>-22100.29296875</v>
      </c>
      <c r="W41" s="2">
        <f t="shared" si="17"/>
        <v>-23081.742968750001</v>
      </c>
      <c r="X41" s="2">
        <f t="shared" si="18"/>
        <v>42717368.855673224</v>
      </c>
      <c r="Y41" s="2">
        <f t="shared" si="19"/>
        <v>198500.63</v>
      </c>
      <c r="Z41" s="2">
        <f t="shared" si="20"/>
        <v>-11.63</v>
      </c>
      <c r="AA41" s="2">
        <f t="shared" si="22"/>
        <v>42893202.665842906</v>
      </c>
      <c r="AB41" s="2">
        <f t="shared" si="21"/>
        <v>-175833.81016968191</v>
      </c>
    </row>
    <row r="42" spans="1:28">
      <c r="A42" s="2">
        <v>39</v>
      </c>
      <c r="B42" s="2" t="s">
        <v>265</v>
      </c>
      <c r="C42" s="2" t="s">
        <v>1516</v>
      </c>
      <c r="D42" s="3" t="s">
        <v>37</v>
      </c>
      <c r="E42" s="5" t="s">
        <v>134</v>
      </c>
      <c r="F42" s="2" t="s">
        <v>135</v>
      </c>
      <c r="G42" s="2" t="s">
        <v>231</v>
      </c>
      <c r="H42" s="2" t="s">
        <v>266</v>
      </c>
      <c r="I42" s="2" t="s">
        <v>1574</v>
      </c>
      <c r="J42" s="2" t="s">
        <v>1575</v>
      </c>
      <c r="K42" s="2">
        <f t="shared" si="10"/>
        <v>42717368.855673224</v>
      </c>
      <c r="L42" s="2" t="s">
        <v>1467</v>
      </c>
      <c r="M42" s="2" t="s">
        <v>1565</v>
      </c>
      <c r="N42" s="2" t="s">
        <v>1566</v>
      </c>
      <c r="O42" s="2">
        <v>283</v>
      </c>
      <c r="P42" s="2">
        <v>1058.116577148438</v>
      </c>
      <c r="Q42" s="2">
        <v>893.2529296875</v>
      </c>
      <c r="R42" s="2">
        <f t="shared" si="12"/>
        <v>299446.99133300793</v>
      </c>
      <c r="S42" s="2">
        <f t="shared" si="13"/>
        <v>252790.5791015625</v>
      </c>
      <c r="T42" s="2">
        <f t="shared" si="14"/>
        <v>552237.57043457043</v>
      </c>
      <c r="U42" s="2">
        <f t="shared" si="15"/>
        <v>276.12</v>
      </c>
      <c r="V42" s="2">
        <f t="shared" si="16"/>
        <v>-46656.412231445429</v>
      </c>
      <c r="W42" s="2">
        <f t="shared" si="17"/>
        <v>-46932.532231445432</v>
      </c>
      <c r="X42" s="2">
        <f t="shared" si="18"/>
        <v>42670436.323441781</v>
      </c>
      <c r="Y42" s="2">
        <f t="shared" si="19"/>
        <v>59889.4</v>
      </c>
      <c r="Z42" s="2">
        <f t="shared" si="20"/>
        <v>-78.37</v>
      </c>
      <c r="AA42" s="2">
        <f t="shared" si="22"/>
        <v>42893202.665842906</v>
      </c>
      <c r="AB42" s="2">
        <f t="shared" si="21"/>
        <v>-222766.34240112454</v>
      </c>
    </row>
    <row r="43" spans="1:28">
      <c r="A43" s="2">
        <v>40</v>
      </c>
      <c r="B43" s="2" t="s">
        <v>269</v>
      </c>
      <c r="C43" s="2" t="s">
        <v>1516</v>
      </c>
      <c r="D43" s="4" t="s">
        <v>61</v>
      </c>
      <c r="E43" s="5" t="s">
        <v>134</v>
      </c>
      <c r="F43" s="2" t="s">
        <v>135</v>
      </c>
      <c r="G43" s="2" t="s">
        <v>97</v>
      </c>
      <c r="H43" s="2" t="s">
        <v>270</v>
      </c>
      <c r="I43" s="2" t="s">
        <v>1576</v>
      </c>
      <c r="J43" s="2" t="s">
        <v>1577</v>
      </c>
      <c r="K43" s="2">
        <f t="shared" si="10"/>
        <v>42670436.323441781</v>
      </c>
      <c r="L43" s="2" t="s">
        <v>1543</v>
      </c>
      <c r="M43" s="2" t="s">
        <v>1559</v>
      </c>
      <c r="N43" s="2" t="s">
        <v>1565</v>
      </c>
      <c r="O43" s="2">
        <v>1260</v>
      </c>
      <c r="P43" s="2">
        <v>617.28167724609375</v>
      </c>
      <c r="Q43" s="2">
        <v>612.0181884765625</v>
      </c>
      <c r="R43" s="2">
        <f t="shared" si="12"/>
        <v>777774.91333007812</v>
      </c>
      <c r="S43" s="2">
        <f t="shared" si="13"/>
        <v>771142.91748046875</v>
      </c>
      <c r="T43" s="2">
        <f t="shared" si="14"/>
        <v>1548917.8308105469</v>
      </c>
      <c r="U43" s="2">
        <f t="shared" si="15"/>
        <v>774.46</v>
      </c>
      <c r="V43" s="2">
        <f t="shared" si="16"/>
        <v>-6631.995849609375</v>
      </c>
      <c r="W43" s="2">
        <f t="shared" si="17"/>
        <v>-7406.455849609375</v>
      </c>
      <c r="X43" s="2">
        <f t="shared" si="18"/>
        <v>42663029.867592171</v>
      </c>
      <c r="Y43" s="2">
        <f t="shared" si="19"/>
        <v>155554.98000000001</v>
      </c>
      <c r="Z43" s="2">
        <f t="shared" si="20"/>
        <v>-4.76</v>
      </c>
      <c r="AA43" s="2">
        <f t="shared" si="22"/>
        <v>42893202.665842906</v>
      </c>
      <c r="AB43" s="2">
        <f t="shared" si="21"/>
        <v>-230172.79825073481</v>
      </c>
    </row>
    <row r="44" spans="1:28">
      <c r="A44" s="2">
        <v>41</v>
      </c>
      <c r="B44" s="2" t="s">
        <v>272</v>
      </c>
      <c r="C44" s="2" t="s">
        <v>1516</v>
      </c>
      <c r="D44" s="4" t="s">
        <v>61</v>
      </c>
      <c r="E44" s="5" t="s">
        <v>134</v>
      </c>
      <c r="F44" s="2" t="s">
        <v>135</v>
      </c>
      <c r="G44" s="2" t="s">
        <v>40</v>
      </c>
      <c r="H44" s="2" t="s">
        <v>273</v>
      </c>
      <c r="I44" s="2" t="s">
        <v>1578</v>
      </c>
      <c r="J44" s="2" t="s">
        <v>577</v>
      </c>
      <c r="K44" s="2">
        <f t="shared" si="10"/>
        <v>42663029.867592171</v>
      </c>
      <c r="L44" s="2" t="s">
        <v>1467</v>
      </c>
      <c r="M44" s="2" t="s">
        <v>1555</v>
      </c>
      <c r="N44" s="2" t="s">
        <v>1566</v>
      </c>
      <c r="O44" s="2">
        <v>8046</v>
      </c>
      <c r="P44" s="2">
        <v>103.10044860839839</v>
      </c>
      <c r="Q44" s="2">
        <v>112.390495300293</v>
      </c>
      <c r="R44" s="2">
        <f t="shared" si="12"/>
        <v>829546.20950317348</v>
      </c>
      <c r="S44" s="2">
        <f t="shared" si="13"/>
        <v>904293.92518615746</v>
      </c>
      <c r="T44" s="2">
        <f t="shared" si="14"/>
        <v>1733840.1346893311</v>
      </c>
      <c r="U44" s="2">
        <f t="shared" si="15"/>
        <v>866.92</v>
      </c>
      <c r="V44" s="2">
        <f t="shared" si="16"/>
        <v>74747.715682983981</v>
      </c>
      <c r="W44" s="2">
        <f t="shared" si="17"/>
        <v>73880.795682983982</v>
      </c>
      <c r="X44" s="2">
        <f t="shared" si="18"/>
        <v>42736910.663275152</v>
      </c>
      <c r="Y44" s="2">
        <f t="shared" si="19"/>
        <v>165909.24</v>
      </c>
      <c r="Z44" s="2">
        <f t="shared" si="20"/>
        <v>44.53</v>
      </c>
      <c r="AA44" s="2">
        <f t="shared" si="22"/>
        <v>42893202.665842906</v>
      </c>
      <c r="AB44" s="2">
        <f t="shared" si="21"/>
        <v>-156292.0025677532</v>
      </c>
    </row>
    <row r="45" spans="1:28">
      <c r="A45" s="2">
        <v>42</v>
      </c>
      <c r="B45" s="2" t="s">
        <v>275</v>
      </c>
      <c r="C45" s="2" t="s">
        <v>1516</v>
      </c>
      <c r="D45" s="4" t="s">
        <v>61</v>
      </c>
      <c r="E45" s="5" t="s">
        <v>134</v>
      </c>
      <c r="F45" s="2" t="s">
        <v>135</v>
      </c>
      <c r="G45" s="2" t="s">
        <v>161</v>
      </c>
      <c r="H45" s="2" t="s">
        <v>276</v>
      </c>
      <c r="I45" s="2" t="s">
        <v>1185</v>
      </c>
      <c r="J45" s="2" t="s">
        <v>1579</v>
      </c>
      <c r="K45" s="2">
        <f t="shared" si="10"/>
        <v>42736910.663275152</v>
      </c>
      <c r="L45" s="2" t="s">
        <v>1580</v>
      </c>
      <c r="M45" s="2" t="s">
        <v>1581</v>
      </c>
      <c r="N45" s="2" t="s">
        <v>1582</v>
      </c>
      <c r="O45" s="2">
        <v>748</v>
      </c>
      <c r="P45" s="2">
        <v>1045.231811523438</v>
      </c>
      <c r="Q45" s="2">
        <v>979.90313720703125</v>
      </c>
      <c r="R45" s="2">
        <f t="shared" si="12"/>
        <v>781833.3950195316</v>
      </c>
      <c r="S45" s="2">
        <f t="shared" si="13"/>
        <v>732967.54663085938</v>
      </c>
      <c r="T45" s="2">
        <f t="shared" si="14"/>
        <v>1514800.9416503911</v>
      </c>
      <c r="U45" s="2">
        <f t="shared" si="15"/>
        <v>757.4</v>
      </c>
      <c r="V45" s="2">
        <f t="shared" si="16"/>
        <v>-48865.848388672224</v>
      </c>
      <c r="W45" s="2">
        <f t="shared" si="17"/>
        <v>-49623.248388672226</v>
      </c>
      <c r="X45" s="2">
        <f t="shared" si="18"/>
        <v>42687287.414886482</v>
      </c>
      <c r="Y45" s="2">
        <f t="shared" si="19"/>
        <v>156366.68</v>
      </c>
      <c r="Z45" s="2">
        <f t="shared" si="20"/>
        <v>-31.74</v>
      </c>
      <c r="AA45" s="2">
        <f t="shared" si="22"/>
        <v>42893202.665842906</v>
      </c>
      <c r="AB45" s="2">
        <f t="shared" si="21"/>
        <v>-205915.25095642358</v>
      </c>
    </row>
    <row r="46" spans="1:28">
      <c r="A46" s="2">
        <v>43</v>
      </c>
      <c r="B46" s="2" t="s">
        <v>280</v>
      </c>
      <c r="C46" s="2" t="s">
        <v>1516</v>
      </c>
      <c r="D46" s="3" t="s">
        <v>37</v>
      </c>
      <c r="E46" s="5" t="s">
        <v>134</v>
      </c>
      <c r="F46" s="2" t="s">
        <v>135</v>
      </c>
      <c r="G46" s="2" t="s">
        <v>241</v>
      </c>
      <c r="H46" s="2" t="s">
        <v>281</v>
      </c>
      <c r="I46" s="2" t="s">
        <v>1171</v>
      </c>
      <c r="J46" s="2" t="s">
        <v>759</v>
      </c>
      <c r="K46" s="2">
        <f t="shared" si="10"/>
        <v>42687287.414886482</v>
      </c>
      <c r="L46" s="2" t="s">
        <v>1298</v>
      </c>
      <c r="M46" s="2" t="s">
        <v>1559</v>
      </c>
      <c r="N46" s="2" t="s">
        <v>1581</v>
      </c>
      <c r="O46" s="2">
        <v>1201</v>
      </c>
      <c r="P46" s="2">
        <v>556.71099853515625</v>
      </c>
      <c r="Q46" s="2">
        <v>577.57330322265625</v>
      </c>
      <c r="R46" s="2">
        <f t="shared" si="12"/>
        <v>668609.90924072266</v>
      </c>
      <c r="S46" s="2">
        <f t="shared" si="13"/>
        <v>693665.53717041016</v>
      </c>
      <c r="T46" s="2">
        <f t="shared" si="14"/>
        <v>1362275.4464111328</v>
      </c>
      <c r="U46" s="2">
        <f t="shared" si="15"/>
        <v>681.14</v>
      </c>
      <c r="V46" s="2">
        <f t="shared" si="16"/>
        <v>25055.6279296875</v>
      </c>
      <c r="W46" s="2">
        <f t="shared" si="17"/>
        <v>24374.487929687501</v>
      </c>
      <c r="X46" s="2">
        <f t="shared" si="18"/>
        <v>42711661.902816169</v>
      </c>
      <c r="Y46" s="2">
        <f t="shared" si="19"/>
        <v>133721.98000000001</v>
      </c>
      <c r="Z46" s="2">
        <f t="shared" si="20"/>
        <v>18.23</v>
      </c>
      <c r="AA46" s="2">
        <f t="shared" si="22"/>
        <v>42893202.665842906</v>
      </c>
      <c r="AB46" s="2">
        <f t="shared" si="21"/>
        <v>-181540.76302673668</v>
      </c>
    </row>
    <row r="47" spans="1:28">
      <c r="A47" s="2">
        <v>44</v>
      </c>
      <c r="B47" s="2" t="s">
        <v>284</v>
      </c>
      <c r="C47" s="2" t="s">
        <v>1516</v>
      </c>
      <c r="D47" s="4" t="s">
        <v>61</v>
      </c>
      <c r="E47" s="5" t="s">
        <v>134</v>
      </c>
      <c r="F47" s="2" t="s">
        <v>135</v>
      </c>
      <c r="G47" s="2" t="s">
        <v>63</v>
      </c>
      <c r="H47" s="2" t="s">
        <v>285</v>
      </c>
      <c r="I47" s="2" t="s">
        <v>1583</v>
      </c>
      <c r="J47" s="2" t="s">
        <v>503</v>
      </c>
      <c r="K47" s="2">
        <f t="shared" si="10"/>
        <v>42711661.902816169</v>
      </c>
      <c r="L47" s="2" t="s">
        <v>1584</v>
      </c>
      <c r="M47" s="2" t="s">
        <v>1585</v>
      </c>
      <c r="N47" s="2" t="s">
        <v>1586</v>
      </c>
      <c r="O47" s="2">
        <v>563</v>
      </c>
      <c r="P47" s="2">
        <v>1225.716918945312</v>
      </c>
      <c r="Q47" s="2">
        <v>1240.654907226562</v>
      </c>
      <c r="R47" s="2">
        <f t="shared" si="12"/>
        <v>690078.6253662107</v>
      </c>
      <c r="S47" s="2">
        <f t="shared" si="13"/>
        <v>698488.71276855445</v>
      </c>
      <c r="T47" s="2">
        <f t="shared" si="14"/>
        <v>1388567.3381347652</v>
      </c>
      <c r="U47" s="2">
        <f t="shared" si="15"/>
        <v>694.28</v>
      </c>
      <c r="V47" s="2">
        <f t="shared" si="16"/>
        <v>8410.08740234375</v>
      </c>
      <c r="W47" s="2">
        <f t="shared" si="17"/>
        <v>7715.8074023437503</v>
      </c>
      <c r="X47" s="2">
        <f t="shared" si="18"/>
        <v>42719377.710218512</v>
      </c>
      <c r="Y47" s="2">
        <f t="shared" si="19"/>
        <v>138015.73000000001</v>
      </c>
      <c r="Z47" s="2">
        <f t="shared" si="20"/>
        <v>5.59</v>
      </c>
      <c r="AA47" s="2">
        <f t="shared" si="22"/>
        <v>42893202.665842906</v>
      </c>
      <c r="AB47" s="2">
        <f t="shared" si="21"/>
        <v>-173824.95562439412</v>
      </c>
    </row>
    <row r="48" spans="1:28">
      <c r="A48" s="2">
        <v>45</v>
      </c>
      <c r="B48" s="2" t="s">
        <v>291</v>
      </c>
      <c r="C48" s="2" t="s">
        <v>1516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1301</v>
      </c>
      <c r="J48" s="2" t="s">
        <v>1240</v>
      </c>
      <c r="K48" s="2">
        <f t="shared" si="10"/>
        <v>42719377.710218512</v>
      </c>
      <c r="L48" s="2" t="s">
        <v>957</v>
      </c>
      <c r="M48" s="2" t="s">
        <v>979</v>
      </c>
      <c r="N48" s="2" t="s">
        <v>994</v>
      </c>
      <c r="O48" s="2">
        <v>650</v>
      </c>
      <c r="P48" s="2">
        <v>1569.551391601562</v>
      </c>
      <c r="Q48" s="2">
        <v>1459.47119140625</v>
      </c>
      <c r="R48" s="2">
        <f t="shared" si="12"/>
        <v>1020208.4045410153</v>
      </c>
      <c r="S48" s="2">
        <f t="shared" si="13"/>
        <v>948656.2744140625</v>
      </c>
      <c r="T48" s="2">
        <f t="shared" si="14"/>
        <v>1968864.6789550777</v>
      </c>
      <c r="U48" s="2">
        <f t="shared" si="15"/>
        <v>984.43</v>
      </c>
      <c r="V48" s="2">
        <f t="shared" si="16"/>
        <v>-71552.130126952776</v>
      </c>
      <c r="W48" s="2">
        <f t="shared" si="17"/>
        <v>-72536.560126952769</v>
      </c>
      <c r="X48" s="2">
        <f t="shared" si="18"/>
        <v>42646841.150091559</v>
      </c>
      <c r="Y48" s="2">
        <f t="shared" si="19"/>
        <v>204041.68</v>
      </c>
      <c r="Z48" s="2">
        <f t="shared" si="20"/>
        <v>-35.549999999999997</v>
      </c>
      <c r="AA48" s="2">
        <f t="shared" si="22"/>
        <v>42893202.665842906</v>
      </c>
      <c r="AB48" s="2">
        <f t="shared" si="21"/>
        <v>-246361.51575134695</v>
      </c>
    </row>
    <row r="49" spans="1:28">
      <c r="A49" s="2">
        <v>46</v>
      </c>
      <c r="B49" s="2" t="s">
        <v>295</v>
      </c>
      <c r="C49" s="2" t="s">
        <v>1516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1302</v>
      </c>
      <c r="J49" s="2" t="s">
        <v>1303</v>
      </c>
      <c r="K49" s="2">
        <f t="shared" si="10"/>
        <v>42646841.150091559</v>
      </c>
      <c r="L49" s="2" t="s">
        <v>999</v>
      </c>
      <c r="M49" s="2" t="s">
        <v>289</v>
      </c>
      <c r="N49" s="2" t="s">
        <v>957</v>
      </c>
      <c r="O49" s="2">
        <v>2100</v>
      </c>
      <c r="P49" s="2">
        <v>439.0777587890625</v>
      </c>
      <c r="Q49" s="2">
        <v>392.190673828125</v>
      </c>
      <c r="R49" s="2">
        <f t="shared" si="12"/>
        <v>922063.29345703125</v>
      </c>
      <c r="S49" s="2">
        <f t="shared" si="13"/>
        <v>823600.4150390625</v>
      </c>
      <c r="T49" s="2">
        <f t="shared" si="14"/>
        <v>1745663.7084960937</v>
      </c>
      <c r="U49" s="2">
        <f t="shared" si="15"/>
        <v>872.83</v>
      </c>
      <c r="V49" s="2">
        <f t="shared" si="16"/>
        <v>-98462.87841796875</v>
      </c>
      <c r="W49" s="2">
        <f t="shared" si="17"/>
        <v>-99335.708417968752</v>
      </c>
      <c r="X49" s="2">
        <f t="shared" si="18"/>
        <v>42547505.441673592</v>
      </c>
      <c r="Y49" s="2">
        <f t="shared" si="19"/>
        <v>184412.66</v>
      </c>
      <c r="Z49" s="2">
        <f t="shared" si="20"/>
        <v>-53.87</v>
      </c>
      <c r="AA49" s="2">
        <f t="shared" si="22"/>
        <v>42893202.665842906</v>
      </c>
      <c r="AB49" s="2">
        <f t="shared" si="21"/>
        <v>-345697.22416931391</v>
      </c>
    </row>
    <row r="50" spans="1:28">
      <c r="A50" s="2">
        <v>47</v>
      </c>
      <c r="B50" s="2" t="s">
        <v>299</v>
      </c>
      <c r="C50" s="2" t="s">
        <v>1516</v>
      </c>
      <c r="D50" s="4" t="s">
        <v>61</v>
      </c>
      <c r="E50" s="5" t="s">
        <v>134</v>
      </c>
      <c r="F50" s="2" t="s">
        <v>135</v>
      </c>
      <c r="G50" s="2" t="s">
        <v>143</v>
      </c>
      <c r="H50" s="2" t="s">
        <v>300</v>
      </c>
      <c r="I50" s="2" t="s">
        <v>1587</v>
      </c>
      <c r="J50" s="2" t="s">
        <v>1588</v>
      </c>
      <c r="K50" s="2">
        <f t="shared" si="10"/>
        <v>42547505.441673592</v>
      </c>
      <c r="L50" s="2" t="s">
        <v>1558</v>
      </c>
      <c r="M50" s="2" t="s">
        <v>1540</v>
      </c>
      <c r="N50" s="2" t="s">
        <v>1544</v>
      </c>
      <c r="O50" s="2">
        <v>713</v>
      </c>
      <c r="P50" s="2">
        <v>1945.646118164062</v>
      </c>
      <c r="Q50" s="2">
        <v>1328.192138671875</v>
      </c>
      <c r="R50" s="2">
        <f t="shared" si="12"/>
        <v>1387245.6822509763</v>
      </c>
      <c r="S50" s="2">
        <f t="shared" si="13"/>
        <v>947000.99487304687</v>
      </c>
      <c r="T50" s="2">
        <f t="shared" si="14"/>
        <v>2334246.6771240234</v>
      </c>
      <c r="U50" s="2">
        <f t="shared" si="15"/>
        <v>1167.1199999999999</v>
      </c>
      <c r="V50" s="2">
        <f t="shared" si="16"/>
        <v>-440244.68737792945</v>
      </c>
      <c r="W50" s="2">
        <f t="shared" si="17"/>
        <v>-441411.80737792945</v>
      </c>
      <c r="X50" s="2">
        <f t="shared" si="18"/>
        <v>42106093.634295665</v>
      </c>
      <c r="Y50" s="2">
        <f t="shared" si="19"/>
        <v>277449.14</v>
      </c>
      <c r="Z50" s="2">
        <f t="shared" si="20"/>
        <v>-159.1</v>
      </c>
      <c r="AA50" s="2">
        <f t="shared" si="22"/>
        <v>42893202.665842906</v>
      </c>
      <c r="AB50" s="2">
        <f t="shared" si="21"/>
        <v>-787109.03154724091</v>
      </c>
    </row>
    <row r="51" spans="1:28">
      <c r="A51" s="2">
        <v>48</v>
      </c>
      <c r="B51" s="2" t="s">
        <v>303</v>
      </c>
      <c r="C51" s="2" t="s">
        <v>1516</v>
      </c>
      <c r="D51" s="3" t="s">
        <v>37</v>
      </c>
      <c r="E51" s="5" t="s">
        <v>134</v>
      </c>
      <c r="F51" s="2" t="s">
        <v>135</v>
      </c>
      <c r="G51" s="2" t="s">
        <v>127</v>
      </c>
      <c r="H51" s="2" t="s">
        <v>304</v>
      </c>
      <c r="I51" s="2" t="s">
        <v>1589</v>
      </c>
      <c r="J51" s="2" t="s">
        <v>1590</v>
      </c>
      <c r="K51" s="2">
        <f t="shared" si="10"/>
        <v>42106093.634295665</v>
      </c>
      <c r="L51" s="2" t="s">
        <v>1591</v>
      </c>
      <c r="M51" s="2" t="s">
        <v>1566</v>
      </c>
      <c r="N51" s="2" t="s">
        <v>1299</v>
      </c>
      <c r="O51" s="2">
        <v>572</v>
      </c>
      <c r="P51" s="2">
        <v>999.10565185546875</v>
      </c>
      <c r="Q51" s="2">
        <v>863.2943115234375</v>
      </c>
      <c r="R51" s="2">
        <f t="shared" si="12"/>
        <v>571488.43286132813</v>
      </c>
      <c r="S51" s="2">
        <f t="shared" si="13"/>
        <v>493804.34619140625</v>
      </c>
      <c r="T51" s="2">
        <f t="shared" si="14"/>
        <v>1065292.7790527344</v>
      </c>
      <c r="U51" s="2">
        <f t="shared" si="15"/>
        <v>532.65</v>
      </c>
      <c r="V51" s="2">
        <f t="shared" si="16"/>
        <v>-77684.086669921875</v>
      </c>
      <c r="W51" s="2">
        <f t="shared" si="17"/>
        <v>-78216.736669921869</v>
      </c>
      <c r="X51" s="2">
        <f t="shared" si="18"/>
        <v>42027876.897625744</v>
      </c>
      <c r="Y51" s="2">
        <f t="shared" si="19"/>
        <v>114297.69</v>
      </c>
      <c r="Z51" s="2">
        <f t="shared" si="20"/>
        <v>-68.430000000000007</v>
      </c>
      <c r="AA51" s="2">
        <f t="shared" si="22"/>
        <v>42893202.665842906</v>
      </c>
      <c r="AB51" s="2">
        <f t="shared" si="21"/>
        <v>-865325.7682171613</v>
      </c>
    </row>
    <row r="52" spans="1:28">
      <c r="A52" s="2">
        <v>49</v>
      </c>
      <c r="B52" s="2" t="s">
        <v>307</v>
      </c>
      <c r="C52" s="2" t="s">
        <v>1516</v>
      </c>
      <c r="D52" s="3" t="s">
        <v>37</v>
      </c>
      <c r="E52" s="5" t="s">
        <v>134</v>
      </c>
      <c r="F52" s="2" t="s">
        <v>135</v>
      </c>
      <c r="G52" s="2" t="s">
        <v>103</v>
      </c>
      <c r="H52" s="2" t="s">
        <v>308</v>
      </c>
      <c r="I52" s="2" t="s">
        <v>1592</v>
      </c>
      <c r="J52" s="2" t="s">
        <v>1593</v>
      </c>
      <c r="K52" s="2">
        <f t="shared" si="10"/>
        <v>42027876.897625744</v>
      </c>
      <c r="L52" s="2" t="s">
        <v>1543</v>
      </c>
      <c r="M52" s="2" t="s">
        <v>1568</v>
      </c>
      <c r="N52" s="2" t="s">
        <v>1555</v>
      </c>
      <c r="O52" s="2">
        <v>479</v>
      </c>
      <c r="P52" s="2">
        <v>2710.7548828125</v>
      </c>
      <c r="Q52" s="2">
        <v>2567.669921875</v>
      </c>
      <c r="R52" s="2">
        <f t="shared" si="12"/>
        <v>1298451.5888671875</v>
      </c>
      <c r="S52" s="2">
        <f t="shared" si="13"/>
        <v>1229913.892578125</v>
      </c>
      <c r="T52" s="2">
        <f t="shared" si="14"/>
        <v>2528365.4814453125</v>
      </c>
      <c r="U52" s="2">
        <f t="shared" si="15"/>
        <v>1264.18</v>
      </c>
      <c r="V52" s="2">
        <f t="shared" si="16"/>
        <v>-68537.6962890625</v>
      </c>
      <c r="W52" s="2">
        <f t="shared" si="17"/>
        <v>-69801.876289062493</v>
      </c>
      <c r="X52" s="2">
        <f t="shared" si="18"/>
        <v>41958075.021336682</v>
      </c>
      <c r="Y52" s="2">
        <f t="shared" si="19"/>
        <v>259690.32</v>
      </c>
      <c r="Z52" s="2">
        <f t="shared" si="20"/>
        <v>-26.88</v>
      </c>
      <c r="AA52" s="2">
        <f t="shared" si="22"/>
        <v>42893202.665842906</v>
      </c>
      <c r="AB52" s="2">
        <f t="shared" si="21"/>
        <v>-935127.6445062235</v>
      </c>
    </row>
    <row r="53" spans="1:28">
      <c r="A53" s="2">
        <v>50</v>
      </c>
      <c r="B53" s="2" t="s">
        <v>311</v>
      </c>
      <c r="C53" s="2" t="s">
        <v>1516</v>
      </c>
      <c r="D53" s="3" t="s">
        <v>37</v>
      </c>
      <c r="E53" s="5" t="s">
        <v>134</v>
      </c>
      <c r="F53" s="2" t="s">
        <v>135</v>
      </c>
      <c r="G53" s="2" t="s">
        <v>77</v>
      </c>
      <c r="H53" s="2" t="s">
        <v>312</v>
      </c>
      <c r="I53" s="2" t="s">
        <v>1594</v>
      </c>
      <c r="J53" s="2" t="s">
        <v>1139</v>
      </c>
      <c r="K53" s="2">
        <f t="shared" si="10"/>
        <v>41958075.021336682</v>
      </c>
      <c r="L53" s="2" t="s">
        <v>1555</v>
      </c>
      <c r="M53" s="2" t="s">
        <v>1568</v>
      </c>
      <c r="N53" s="2" t="s">
        <v>1545</v>
      </c>
      <c r="O53" s="2">
        <v>1904</v>
      </c>
      <c r="P53" s="2">
        <v>996.73236083984375</v>
      </c>
      <c r="Q53" s="2">
        <v>1061.508911132812</v>
      </c>
      <c r="R53" s="2">
        <f t="shared" si="12"/>
        <v>1897778.4150390625</v>
      </c>
      <c r="S53" s="2">
        <f t="shared" si="13"/>
        <v>2021112.9667968741</v>
      </c>
      <c r="T53" s="2">
        <f t="shared" si="14"/>
        <v>3918891.3818359366</v>
      </c>
      <c r="U53" s="2">
        <f t="shared" si="15"/>
        <v>1959.45</v>
      </c>
      <c r="V53" s="2">
        <f t="shared" si="16"/>
        <v>123334.55175781157</v>
      </c>
      <c r="W53" s="2">
        <f t="shared" si="17"/>
        <v>121375.10175781157</v>
      </c>
      <c r="X53" s="2">
        <f t="shared" si="18"/>
        <v>42079450.123094492</v>
      </c>
      <c r="Y53" s="2">
        <f t="shared" si="19"/>
        <v>379555.68</v>
      </c>
      <c r="Z53" s="2">
        <f t="shared" si="20"/>
        <v>31.98</v>
      </c>
      <c r="AA53" s="2">
        <f t="shared" si="22"/>
        <v>42893202.665842906</v>
      </c>
      <c r="AB53" s="2">
        <f t="shared" si="21"/>
        <v>-813752.54274841398</v>
      </c>
    </row>
    <row r="54" spans="1:28">
      <c r="A54" s="2">
        <v>51</v>
      </c>
      <c r="B54" s="2" t="s">
        <v>315</v>
      </c>
      <c r="C54" s="2" t="s">
        <v>1516</v>
      </c>
      <c r="D54" s="4" t="s">
        <v>61</v>
      </c>
      <c r="E54" s="5" t="s">
        <v>134</v>
      </c>
      <c r="F54" s="2" t="s">
        <v>135</v>
      </c>
      <c r="G54" s="2" t="s">
        <v>169</v>
      </c>
      <c r="H54" s="2" t="s">
        <v>316</v>
      </c>
      <c r="I54" s="2" t="s">
        <v>1595</v>
      </c>
      <c r="J54" s="2" t="s">
        <v>1596</v>
      </c>
      <c r="K54" s="2">
        <f t="shared" si="10"/>
        <v>42079450.123094492</v>
      </c>
      <c r="L54" s="2" t="s">
        <v>1559</v>
      </c>
      <c r="M54" s="2" t="s">
        <v>1545</v>
      </c>
      <c r="N54" s="2" t="s">
        <v>1558</v>
      </c>
      <c r="O54" s="2">
        <v>3841</v>
      </c>
      <c r="P54" s="2">
        <v>381.1334228515625</v>
      </c>
      <c r="Q54" s="2">
        <v>320.83673095703119</v>
      </c>
      <c r="R54" s="2">
        <f t="shared" si="12"/>
        <v>1463933.4771728516</v>
      </c>
      <c r="S54" s="2">
        <f t="shared" si="13"/>
        <v>1232333.8836059568</v>
      </c>
      <c r="T54" s="2">
        <f t="shared" si="14"/>
        <v>2696267.3607788086</v>
      </c>
      <c r="U54" s="2">
        <f t="shared" si="15"/>
        <v>1348.13</v>
      </c>
      <c r="V54" s="2">
        <f t="shared" si="16"/>
        <v>-231599.59356689476</v>
      </c>
      <c r="W54" s="2">
        <f t="shared" si="17"/>
        <v>-232947.72356689477</v>
      </c>
      <c r="X54" s="2">
        <f t="shared" si="18"/>
        <v>41846502.399527594</v>
      </c>
      <c r="Y54" s="2">
        <f t="shared" si="19"/>
        <v>292786.7</v>
      </c>
      <c r="Z54" s="2">
        <f t="shared" si="20"/>
        <v>-79.56</v>
      </c>
      <c r="AA54" s="2">
        <f t="shared" si="22"/>
        <v>42893202.665842906</v>
      </c>
      <c r="AB54" s="2">
        <f t="shared" si="21"/>
        <v>-1046700.2663153112</v>
      </c>
    </row>
    <row r="55" spans="1:28">
      <c r="A55" s="2">
        <v>52</v>
      </c>
      <c r="B55" s="2" t="s">
        <v>318</v>
      </c>
      <c r="C55" s="2" t="s">
        <v>1516</v>
      </c>
      <c r="D55" s="4" t="s">
        <v>61</v>
      </c>
      <c r="E55" s="5" t="s">
        <v>134</v>
      </c>
      <c r="F55" s="2" t="s">
        <v>135</v>
      </c>
      <c r="G55" s="2" t="s">
        <v>241</v>
      </c>
      <c r="H55" s="2" t="s">
        <v>319</v>
      </c>
      <c r="I55" s="2" t="s">
        <v>1597</v>
      </c>
      <c r="J55" s="2" t="s">
        <v>1598</v>
      </c>
      <c r="K55" s="2">
        <f t="shared" si="10"/>
        <v>41846502.399527594</v>
      </c>
      <c r="L55" s="2" t="s">
        <v>1544</v>
      </c>
      <c r="M55" s="2" t="s">
        <v>1599</v>
      </c>
      <c r="N55" s="2" t="s">
        <v>1573</v>
      </c>
      <c r="O55" s="2">
        <v>185</v>
      </c>
      <c r="P55" s="2">
        <v>3290.5908203125</v>
      </c>
      <c r="Q55" s="2">
        <v>3590.01171875</v>
      </c>
      <c r="R55" s="2">
        <f t="shared" si="12"/>
        <v>608759.3017578125</v>
      </c>
      <c r="S55" s="2">
        <f t="shared" si="13"/>
        <v>664152.16796875</v>
      </c>
      <c r="T55" s="2">
        <f t="shared" si="14"/>
        <v>1272911.4697265625</v>
      </c>
      <c r="U55" s="2">
        <f t="shared" si="15"/>
        <v>636.46</v>
      </c>
      <c r="V55" s="2">
        <f t="shared" si="16"/>
        <v>55392.8662109375</v>
      </c>
      <c r="W55" s="2">
        <f t="shared" si="17"/>
        <v>54756.406210937501</v>
      </c>
      <c r="X55" s="2">
        <f t="shared" si="18"/>
        <v>41901258.805738531</v>
      </c>
      <c r="Y55" s="2">
        <f t="shared" si="19"/>
        <v>121751.86</v>
      </c>
      <c r="Z55" s="2">
        <f t="shared" si="20"/>
        <v>44.97</v>
      </c>
      <c r="AA55" s="2">
        <f t="shared" si="22"/>
        <v>42893202.665842906</v>
      </c>
      <c r="AB55" s="2">
        <f t="shared" si="21"/>
        <v>-991943.86010437459</v>
      </c>
    </row>
    <row r="56" spans="1:28">
      <c r="A56" s="2">
        <v>53</v>
      </c>
      <c r="B56" s="2" t="s">
        <v>322</v>
      </c>
      <c r="C56" s="2" t="s">
        <v>1516</v>
      </c>
      <c r="D56" s="3" t="s">
        <v>37</v>
      </c>
      <c r="E56" s="5" t="s">
        <v>134</v>
      </c>
      <c r="F56" s="2" t="s">
        <v>135</v>
      </c>
      <c r="G56" s="2" t="s">
        <v>143</v>
      </c>
      <c r="H56" s="2" t="s">
        <v>238</v>
      </c>
      <c r="I56" s="2" t="s">
        <v>1600</v>
      </c>
      <c r="J56" s="2" t="s">
        <v>824</v>
      </c>
      <c r="K56" s="2">
        <f t="shared" si="10"/>
        <v>41901258.805738531</v>
      </c>
      <c r="L56" s="2" t="s">
        <v>1374</v>
      </c>
      <c r="M56" s="2" t="s">
        <v>1581</v>
      </c>
      <c r="N56" s="2" t="s">
        <v>1557</v>
      </c>
      <c r="O56" s="2">
        <v>2346</v>
      </c>
      <c r="P56" s="2">
        <v>487.77749633789062</v>
      </c>
      <c r="Q56" s="2">
        <v>511.22967529296881</v>
      </c>
      <c r="R56" s="2">
        <f t="shared" si="12"/>
        <v>1144326.0064086914</v>
      </c>
      <c r="S56" s="2">
        <f t="shared" si="13"/>
        <v>1199344.8182373049</v>
      </c>
      <c r="T56" s="2">
        <f t="shared" si="14"/>
        <v>2343670.8246459961</v>
      </c>
      <c r="U56" s="2">
        <f t="shared" si="15"/>
        <v>1171.8399999999999</v>
      </c>
      <c r="V56" s="2">
        <f t="shared" si="16"/>
        <v>55018.811828613514</v>
      </c>
      <c r="W56" s="2">
        <f t="shared" si="17"/>
        <v>53846.971828613518</v>
      </c>
      <c r="X56" s="2">
        <f t="shared" si="18"/>
        <v>41955105.777567148</v>
      </c>
      <c r="Y56" s="2">
        <f t="shared" si="19"/>
        <v>228865.2</v>
      </c>
      <c r="Z56" s="2">
        <f t="shared" si="20"/>
        <v>23.53</v>
      </c>
      <c r="AA56" s="2">
        <f t="shared" si="22"/>
        <v>42893202.665842906</v>
      </c>
      <c r="AB56" s="2">
        <f t="shared" si="21"/>
        <v>-938096.88827575743</v>
      </c>
    </row>
    <row r="57" spans="1:28">
      <c r="A57" s="2">
        <v>54</v>
      </c>
      <c r="B57" s="2" t="s">
        <v>324</v>
      </c>
      <c r="C57" s="2" t="s">
        <v>1516</v>
      </c>
      <c r="D57" s="4" t="s">
        <v>61</v>
      </c>
      <c r="E57" s="5" t="s">
        <v>134</v>
      </c>
      <c r="F57" s="2" t="s">
        <v>135</v>
      </c>
      <c r="G57" s="2" t="s">
        <v>97</v>
      </c>
      <c r="H57" s="2" t="s">
        <v>325</v>
      </c>
      <c r="I57" s="2" t="s">
        <v>1601</v>
      </c>
      <c r="J57" s="2" t="s">
        <v>1602</v>
      </c>
      <c r="K57" s="2">
        <f t="shared" si="10"/>
        <v>41955105.777567148</v>
      </c>
      <c r="L57" s="2" t="s">
        <v>1603</v>
      </c>
      <c r="M57" s="2" t="s">
        <v>1568</v>
      </c>
      <c r="N57" s="2" t="s">
        <v>1556</v>
      </c>
      <c r="O57" s="2">
        <v>2135</v>
      </c>
      <c r="P57" s="2">
        <v>389.75</v>
      </c>
      <c r="Q57" s="2">
        <v>449</v>
      </c>
      <c r="R57" s="2">
        <f t="shared" si="12"/>
        <v>832116.25</v>
      </c>
      <c r="S57" s="2">
        <f t="shared" si="13"/>
        <v>958615</v>
      </c>
      <c r="T57" s="2">
        <f t="shared" si="14"/>
        <v>1790731.25</v>
      </c>
      <c r="U57" s="2">
        <f t="shared" si="15"/>
        <v>895.37</v>
      </c>
      <c r="V57" s="2">
        <f t="shared" si="16"/>
        <v>126498.75</v>
      </c>
      <c r="W57" s="2">
        <f t="shared" si="17"/>
        <v>125603.38</v>
      </c>
      <c r="X57" s="2">
        <f t="shared" si="18"/>
        <v>42080709.157567151</v>
      </c>
      <c r="Y57" s="2">
        <f t="shared" si="19"/>
        <v>166423.25</v>
      </c>
      <c r="Z57" s="2">
        <f t="shared" si="20"/>
        <v>75.47</v>
      </c>
      <c r="AA57" s="2">
        <f t="shared" si="22"/>
        <v>42893202.665842906</v>
      </c>
      <c r="AB57" s="2">
        <f t="shared" si="21"/>
        <v>-812493.50827575475</v>
      </c>
    </row>
    <row r="58" spans="1:28">
      <c r="A58" s="2">
        <v>55</v>
      </c>
      <c r="B58" s="2" t="s">
        <v>328</v>
      </c>
      <c r="C58" s="2" t="s">
        <v>1516</v>
      </c>
      <c r="D58" s="3" t="s">
        <v>37</v>
      </c>
      <c r="E58" s="5" t="s">
        <v>134</v>
      </c>
      <c r="F58" s="2" t="s">
        <v>135</v>
      </c>
      <c r="G58" s="2" t="s">
        <v>143</v>
      </c>
      <c r="H58" s="2" t="s">
        <v>329</v>
      </c>
      <c r="I58" s="2" t="s">
        <v>1604</v>
      </c>
      <c r="J58" s="2" t="s">
        <v>1124</v>
      </c>
      <c r="K58" s="2">
        <f t="shared" si="10"/>
        <v>42080709.157567151</v>
      </c>
      <c r="L58" s="2" t="s">
        <v>1558</v>
      </c>
      <c r="M58" s="2" t="s">
        <v>1540</v>
      </c>
      <c r="N58" s="2" t="s">
        <v>1541</v>
      </c>
      <c r="O58" s="2">
        <v>200</v>
      </c>
      <c r="P58" s="2">
        <v>3873.48583984375</v>
      </c>
      <c r="Q58" s="2">
        <v>4192.83203125</v>
      </c>
      <c r="R58" s="2">
        <f t="shared" si="12"/>
        <v>774697.16796875</v>
      </c>
      <c r="S58" s="2">
        <f t="shared" si="13"/>
        <v>838566.40625</v>
      </c>
      <c r="T58" s="2">
        <f t="shared" si="14"/>
        <v>1613263.57421875</v>
      </c>
      <c r="U58" s="2">
        <f t="shared" si="15"/>
        <v>806.63</v>
      </c>
      <c r="V58" s="2">
        <f t="shared" si="16"/>
        <v>63869.23828125</v>
      </c>
      <c r="W58" s="2">
        <f t="shared" si="17"/>
        <v>63062.608281250003</v>
      </c>
      <c r="X58" s="2">
        <f t="shared" si="18"/>
        <v>42143771.765848398</v>
      </c>
      <c r="Y58" s="2">
        <f t="shared" si="19"/>
        <v>154939.43</v>
      </c>
      <c r="Z58" s="2">
        <f t="shared" si="20"/>
        <v>40.700000000000003</v>
      </c>
      <c r="AA58" s="2">
        <f t="shared" si="22"/>
        <v>42893202.665842906</v>
      </c>
      <c r="AB58" s="2">
        <f t="shared" si="21"/>
        <v>-749430.89999450743</v>
      </c>
    </row>
    <row r="59" spans="1:28">
      <c r="A59" s="2">
        <v>56</v>
      </c>
      <c r="B59" s="2" t="s">
        <v>332</v>
      </c>
      <c r="C59" s="2" t="s">
        <v>1516</v>
      </c>
      <c r="D59" s="4" t="s">
        <v>61</v>
      </c>
      <c r="E59" s="5" t="s">
        <v>134</v>
      </c>
      <c r="F59" s="2" t="s">
        <v>135</v>
      </c>
      <c r="G59" s="2" t="s">
        <v>231</v>
      </c>
      <c r="H59" s="2" t="s">
        <v>333</v>
      </c>
      <c r="I59" s="2" t="s">
        <v>1323</v>
      </c>
      <c r="J59" s="2" t="s">
        <v>263</v>
      </c>
      <c r="K59" s="2">
        <f t="shared" si="10"/>
        <v>42143771.765848398</v>
      </c>
      <c r="L59" s="2" t="s">
        <v>1581</v>
      </c>
      <c r="M59" s="2" t="s">
        <v>1558</v>
      </c>
      <c r="N59" s="2" t="s">
        <v>1603</v>
      </c>
      <c r="O59" s="2">
        <v>100</v>
      </c>
      <c r="P59" s="2">
        <v>8253.2255859375</v>
      </c>
      <c r="Q59" s="2">
        <v>8407.6513671875</v>
      </c>
      <c r="R59" s="2">
        <f t="shared" si="12"/>
        <v>825322.55859375</v>
      </c>
      <c r="S59" s="2">
        <f t="shared" si="13"/>
        <v>840765.13671875</v>
      </c>
      <c r="T59" s="2">
        <f t="shared" si="14"/>
        <v>1666087.6953125</v>
      </c>
      <c r="U59" s="2">
        <f t="shared" si="15"/>
        <v>833.04</v>
      </c>
      <c r="V59" s="2">
        <f t="shared" si="16"/>
        <v>15442.578125</v>
      </c>
      <c r="W59" s="2">
        <f t="shared" si="17"/>
        <v>14609.538124999999</v>
      </c>
      <c r="X59" s="2">
        <f t="shared" si="18"/>
        <v>42158381.303973399</v>
      </c>
      <c r="Y59" s="2">
        <f t="shared" si="19"/>
        <v>165064.51</v>
      </c>
      <c r="Z59" s="2">
        <f t="shared" si="20"/>
        <v>8.85</v>
      </c>
      <c r="AA59" s="2">
        <f t="shared" si="22"/>
        <v>42893202.665842906</v>
      </c>
      <c r="AB59" s="2">
        <f t="shared" si="21"/>
        <v>-734821.36186950654</v>
      </c>
    </row>
    <row r="60" spans="1:28">
      <c r="A60" s="2">
        <v>57</v>
      </c>
      <c r="B60" s="2" t="s">
        <v>337</v>
      </c>
      <c r="C60" s="2" t="s">
        <v>1516</v>
      </c>
      <c r="D60" s="4" t="s">
        <v>61</v>
      </c>
      <c r="E60" s="5" t="s">
        <v>134</v>
      </c>
      <c r="F60" s="2" t="s">
        <v>135</v>
      </c>
      <c r="G60" s="2" t="s">
        <v>77</v>
      </c>
      <c r="H60" s="2" t="s">
        <v>338</v>
      </c>
      <c r="I60" s="2" t="s">
        <v>244</v>
      </c>
      <c r="J60" s="2" t="s">
        <v>996</v>
      </c>
      <c r="K60" s="2">
        <f t="shared" si="10"/>
        <v>42158381.303973399</v>
      </c>
      <c r="L60" s="2" t="s">
        <v>1566</v>
      </c>
      <c r="M60" s="2" t="s">
        <v>1555</v>
      </c>
      <c r="N60" s="2" t="s">
        <v>1572</v>
      </c>
      <c r="O60" s="2">
        <v>1527</v>
      </c>
      <c r="P60" s="2">
        <v>817.954833984375</v>
      </c>
      <c r="Q60" s="2">
        <v>831.066650390625</v>
      </c>
      <c r="R60" s="2">
        <f t="shared" si="12"/>
        <v>1249017.0314941406</v>
      </c>
      <c r="S60" s="2">
        <f t="shared" si="13"/>
        <v>1269038.7751464844</v>
      </c>
      <c r="T60" s="2">
        <f t="shared" si="14"/>
        <v>2518055.806640625</v>
      </c>
      <c r="U60" s="2">
        <f t="shared" si="15"/>
        <v>1259.03</v>
      </c>
      <c r="V60" s="2">
        <f t="shared" si="16"/>
        <v>20021.74365234375</v>
      </c>
      <c r="W60" s="2">
        <f t="shared" si="17"/>
        <v>18762.713652343751</v>
      </c>
      <c r="X60" s="2">
        <f t="shared" si="18"/>
        <v>42177144.017625742</v>
      </c>
      <c r="Y60" s="2">
        <f t="shared" si="19"/>
        <v>249803.41</v>
      </c>
      <c r="Z60" s="2">
        <f t="shared" si="20"/>
        <v>7.51</v>
      </c>
      <c r="AA60" s="2">
        <f t="shared" si="22"/>
        <v>42893202.665842906</v>
      </c>
      <c r="AB60" s="2">
        <f t="shared" si="21"/>
        <v>-716058.64821716398</v>
      </c>
    </row>
    <row r="61" spans="1:28">
      <c r="A61" s="2">
        <v>58</v>
      </c>
      <c r="B61" s="2" t="s">
        <v>341</v>
      </c>
      <c r="C61" s="2" t="s">
        <v>1516</v>
      </c>
      <c r="D61" s="4" t="s">
        <v>61</v>
      </c>
      <c r="E61" s="5" t="s">
        <v>134</v>
      </c>
      <c r="F61" s="2" t="s">
        <v>135</v>
      </c>
      <c r="G61" s="2" t="s">
        <v>97</v>
      </c>
      <c r="H61" s="2" t="s">
        <v>99</v>
      </c>
      <c r="I61" s="2" t="s">
        <v>1605</v>
      </c>
      <c r="J61" s="2" t="s">
        <v>1221</v>
      </c>
      <c r="K61" s="2">
        <f t="shared" si="10"/>
        <v>42177144.017625742</v>
      </c>
      <c r="L61" s="2" t="s">
        <v>1591</v>
      </c>
      <c r="M61" s="2" t="s">
        <v>1581</v>
      </c>
      <c r="N61" s="2" t="s">
        <v>1582</v>
      </c>
      <c r="O61" s="2">
        <v>258</v>
      </c>
      <c r="P61" s="2">
        <v>4600.60009765625</v>
      </c>
      <c r="Q61" s="2">
        <v>4603.7998046875</v>
      </c>
      <c r="R61" s="2">
        <f t="shared" si="12"/>
        <v>1186954.8251953125</v>
      </c>
      <c r="S61" s="2">
        <f t="shared" si="13"/>
        <v>1187780.349609375</v>
      </c>
      <c r="T61" s="2">
        <f t="shared" si="14"/>
        <v>2374735.1748046875</v>
      </c>
      <c r="U61" s="2">
        <f t="shared" si="15"/>
        <v>1187.3699999999999</v>
      </c>
      <c r="V61" s="2">
        <f t="shared" si="16"/>
        <v>825.5244140625</v>
      </c>
      <c r="W61" s="2">
        <f t="shared" si="17"/>
        <v>-361.84558593749989</v>
      </c>
      <c r="X61" s="2">
        <f t="shared" si="18"/>
        <v>42176782.172039807</v>
      </c>
      <c r="Y61" s="2">
        <f t="shared" si="19"/>
        <v>237390.97</v>
      </c>
      <c r="Z61" s="2">
        <f t="shared" si="20"/>
        <v>-0.15</v>
      </c>
      <c r="AA61" s="2">
        <f t="shared" si="22"/>
        <v>42893202.665842906</v>
      </c>
      <c r="AB61" s="2">
        <f t="shared" si="21"/>
        <v>-716420.4938030988</v>
      </c>
    </row>
    <row r="62" spans="1:28">
      <c r="A62" s="2">
        <v>59</v>
      </c>
      <c r="B62" s="2" t="s">
        <v>347</v>
      </c>
      <c r="C62" s="2" t="s">
        <v>1516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1323</v>
      </c>
      <c r="J62" s="2" t="s">
        <v>1324</v>
      </c>
      <c r="K62" s="2">
        <f t="shared" si="10"/>
        <v>42176782.172039807</v>
      </c>
      <c r="L62" s="2" t="s">
        <v>289</v>
      </c>
      <c r="M62" s="2" t="s">
        <v>946</v>
      </c>
      <c r="N62" s="2" t="s">
        <v>979</v>
      </c>
      <c r="O62" s="2">
        <v>125</v>
      </c>
      <c r="P62" s="2">
        <v>1271.175415039062</v>
      </c>
      <c r="Q62" s="2">
        <v>1295.022094726562</v>
      </c>
      <c r="R62" s="2">
        <f t="shared" si="12"/>
        <v>158896.92687988275</v>
      </c>
      <c r="S62" s="2">
        <f t="shared" si="13"/>
        <v>161877.76184082025</v>
      </c>
      <c r="T62" s="2">
        <f t="shared" si="14"/>
        <v>320774.68872070301</v>
      </c>
      <c r="U62" s="2">
        <f t="shared" si="15"/>
        <v>160.38999999999999</v>
      </c>
      <c r="V62" s="2">
        <f t="shared" si="16"/>
        <v>2980.8349609375</v>
      </c>
      <c r="W62" s="2">
        <f t="shared" si="17"/>
        <v>2820.4449609375001</v>
      </c>
      <c r="X62" s="2">
        <f t="shared" si="18"/>
        <v>42179602.617000744</v>
      </c>
      <c r="Y62" s="2">
        <f t="shared" si="19"/>
        <v>31779.39</v>
      </c>
      <c r="Z62" s="2">
        <f t="shared" si="20"/>
        <v>8.8800000000000008</v>
      </c>
      <c r="AA62" s="2">
        <f t="shared" si="22"/>
        <v>42893202.665842906</v>
      </c>
      <c r="AB62" s="2">
        <f t="shared" si="21"/>
        <v>-713600.04884216189</v>
      </c>
    </row>
    <row r="63" spans="1:28">
      <c r="A63" s="2">
        <v>60</v>
      </c>
      <c r="B63" s="2" t="s">
        <v>351</v>
      </c>
      <c r="C63" s="2" t="s">
        <v>1516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1325</v>
      </c>
      <c r="J63" s="2" t="s">
        <v>1326</v>
      </c>
      <c r="K63" s="2">
        <f t="shared" si="10"/>
        <v>42179602.617000744</v>
      </c>
      <c r="L63" s="2" t="s">
        <v>959</v>
      </c>
      <c r="M63" s="2" t="s">
        <v>974</v>
      </c>
      <c r="N63" s="2" t="s">
        <v>951</v>
      </c>
      <c r="O63" s="2">
        <v>175</v>
      </c>
      <c r="P63" s="2">
        <v>4769.99951171875</v>
      </c>
      <c r="Q63" s="2">
        <v>4813.23876953125</v>
      </c>
      <c r="R63" s="2">
        <f t="shared" si="12"/>
        <v>834749.91455078125</v>
      </c>
      <c r="S63" s="2">
        <f t="shared" si="13"/>
        <v>842316.78466796875</v>
      </c>
      <c r="T63" s="2">
        <f t="shared" si="14"/>
        <v>1677066.69921875</v>
      </c>
      <c r="U63" s="2">
        <f t="shared" si="15"/>
        <v>838.53</v>
      </c>
      <c r="V63" s="2">
        <f t="shared" si="16"/>
        <v>7566.8701171875</v>
      </c>
      <c r="W63" s="2">
        <f t="shared" si="17"/>
        <v>6728.3401171875003</v>
      </c>
      <c r="X63" s="2">
        <f t="shared" si="18"/>
        <v>42186330.95711793</v>
      </c>
      <c r="Y63" s="2">
        <f t="shared" si="19"/>
        <v>166949.98000000001</v>
      </c>
      <c r="Z63" s="2">
        <f t="shared" si="20"/>
        <v>4.03</v>
      </c>
      <c r="AA63" s="2">
        <f t="shared" si="22"/>
        <v>42893202.665842906</v>
      </c>
      <c r="AB63" s="2">
        <f t="shared" si="21"/>
        <v>-706871.70872497559</v>
      </c>
    </row>
    <row r="64" spans="1:28">
      <c r="A64" s="2">
        <v>61</v>
      </c>
      <c r="B64" s="2" t="s">
        <v>355</v>
      </c>
      <c r="C64" s="2" t="s">
        <v>1516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898</v>
      </c>
      <c r="J64" s="2" t="s">
        <v>1606</v>
      </c>
      <c r="K64" s="2">
        <f t="shared" si="10"/>
        <v>42186330.95711793</v>
      </c>
      <c r="L64" s="2" t="s">
        <v>1565</v>
      </c>
      <c r="M64" s="2" t="s">
        <v>1545</v>
      </c>
      <c r="N64" s="2" t="s">
        <v>1572</v>
      </c>
      <c r="O64" s="2">
        <v>3399</v>
      </c>
      <c r="P64" s="2">
        <v>195.25</v>
      </c>
      <c r="Q64" s="2">
        <v>194.8500061035156</v>
      </c>
      <c r="R64" s="2">
        <f t="shared" si="12"/>
        <v>663654.75</v>
      </c>
      <c r="S64" s="2">
        <f t="shared" si="13"/>
        <v>662295.17074584949</v>
      </c>
      <c r="T64" s="2">
        <f t="shared" si="14"/>
        <v>1325949.9207458496</v>
      </c>
      <c r="U64" s="2">
        <f t="shared" si="15"/>
        <v>662.97</v>
      </c>
      <c r="V64" s="2">
        <f t="shared" si="16"/>
        <v>-1359.579254150507</v>
      </c>
      <c r="W64" s="2">
        <f t="shared" si="17"/>
        <v>-2022.5492541505071</v>
      </c>
      <c r="X64" s="2">
        <f t="shared" si="18"/>
        <v>42184308.407863781</v>
      </c>
      <c r="Y64" s="2">
        <f t="shared" si="19"/>
        <v>132730.95000000001</v>
      </c>
      <c r="Z64" s="2">
        <f t="shared" si="20"/>
        <v>-1.52</v>
      </c>
      <c r="AA64" s="2">
        <f t="shared" si="22"/>
        <v>42893202.665842906</v>
      </c>
      <c r="AB64" s="2">
        <f t="shared" si="21"/>
        <v>-708894.25797912478</v>
      </c>
    </row>
    <row r="65" spans="1:28">
      <c r="A65" s="2">
        <v>62</v>
      </c>
      <c r="B65" s="2" t="s">
        <v>360</v>
      </c>
      <c r="C65" s="2" t="s">
        <v>1516</v>
      </c>
      <c r="D65" s="3" t="s">
        <v>37</v>
      </c>
      <c r="E65" s="5" t="s">
        <v>134</v>
      </c>
      <c r="F65" s="2" t="s">
        <v>135</v>
      </c>
      <c r="G65" s="2" t="s">
        <v>77</v>
      </c>
      <c r="H65" s="2" t="s">
        <v>361</v>
      </c>
      <c r="I65" s="2" t="s">
        <v>163</v>
      </c>
      <c r="J65" s="2" t="s">
        <v>996</v>
      </c>
      <c r="K65" s="2">
        <f t="shared" si="10"/>
        <v>42184308.407863781</v>
      </c>
      <c r="L65" s="2" t="s">
        <v>1298</v>
      </c>
      <c r="M65" s="2" t="s">
        <v>1581</v>
      </c>
      <c r="N65" s="2" t="s">
        <v>1557</v>
      </c>
      <c r="O65" s="2">
        <v>2823</v>
      </c>
      <c r="P65" s="2">
        <v>158.54325866699219</v>
      </c>
      <c r="Q65" s="2">
        <v>161.754638671875</v>
      </c>
      <c r="R65" s="2">
        <f t="shared" si="12"/>
        <v>447567.61921691895</v>
      </c>
      <c r="S65" s="2">
        <f t="shared" si="13"/>
        <v>456633.34497070313</v>
      </c>
      <c r="T65" s="2">
        <f t="shared" si="14"/>
        <v>904200.96418762207</v>
      </c>
      <c r="U65" s="2">
        <f t="shared" si="15"/>
        <v>452.1</v>
      </c>
      <c r="V65" s="2">
        <f t="shared" si="16"/>
        <v>9065.7257537841797</v>
      </c>
      <c r="W65" s="2">
        <f t="shared" si="17"/>
        <v>8613.6257537841793</v>
      </c>
      <c r="X65" s="2">
        <f t="shared" si="18"/>
        <v>42192922.033617564</v>
      </c>
      <c r="Y65" s="2">
        <f t="shared" si="19"/>
        <v>89513.52</v>
      </c>
      <c r="Z65" s="2">
        <f t="shared" si="20"/>
        <v>9.6199999999999992</v>
      </c>
      <c r="AA65" s="2">
        <f t="shared" si="22"/>
        <v>42893202.665842906</v>
      </c>
      <c r="AB65" s="2">
        <f t="shared" si="21"/>
        <v>-700280.63222534209</v>
      </c>
    </row>
    <row r="66" spans="1:28">
      <c r="A66" s="2">
        <v>63</v>
      </c>
      <c r="B66" s="2" t="s">
        <v>364</v>
      </c>
      <c r="C66" s="2" t="s">
        <v>1516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713</v>
      </c>
      <c r="J66" s="2" t="s">
        <v>1593</v>
      </c>
      <c r="K66" s="2">
        <f t="shared" si="10"/>
        <v>42192922.033617564</v>
      </c>
      <c r="L66" s="2" t="s">
        <v>1525</v>
      </c>
      <c r="M66" s="2" t="s">
        <v>1537</v>
      </c>
      <c r="N66" s="2" t="s">
        <v>1607</v>
      </c>
      <c r="O66" s="2">
        <v>100</v>
      </c>
      <c r="P66" s="2">
        <v>20767</v>
      </c>
      <c r="Q66" s="2">
        <v>20173</v>
      </c>
      <c r="R66" s="2">
        <f t="shared" si="12"/>
        <v>2076700</v>
      </c>
      <c r="S66" s="2">
        <f t="shared" si="13"/>
        <v>2017300</v>
      </c>
      <c r="T66" s="2">
        <f t="shared" si="14"/>
        <v>4094000</v>
      </c>
      <c r="U66" s="2">
        <f t="shared" si="15"/>
        <v>2047</v>
      </c>
      <c r="V66" s="2">
        <f t="shared" si="16"/>
        <v>-59400</v>
      </c>
      <c r="W66" s="2">
        <f t="shared" si="17"/>
        <v>-61447</v>
      </c>
      <c r="X66" s="2">
        <f t="shared" si="18"/>
        <v>42131475.033617564</v>
      </c>
      <c r="Y66" s="2">
        <f t="shared" si="19"/>
        <v>415340</v>
      </c>
      <c r="Z66" s="2">
        <f t="shared" si="20"/>
        <v>-14.79</v>
      </c>
      <c r="AA66" s="2">
        <f t="shared" si="22"/>
        <v>42893202.665842906</v>
      </c>
      <c r="AB66" s="2">
        <f t="shared" si="21"/>
        <v>-761727.63222534209</v>
      </c>
    </row>
    <row r="67" spans="1:28">
      <c r="A67" s="2">
        <v>64</v>
      </c>
      <c r="B67" s="2" t="s">
        <v>369</v>
      </c>
      <c r="C67" s="2" t="s">
        <v>1516</v>
      </c>
      <c r="D67" s="3" t="s">
        <v>37</v>
      </c>
      <c r="E67" s="5" t="s">
        <v>134</v>
      </c>
      <c r="F67" s="2" t="s">
        <v>135</v>
      </c>
      <c r="G67" s="2" t="s">
        <v>103</v>
      </c>
      <c r="H67" s="2" t="s">
        <v>370</v>
      </c>
      <c r="I67" s="2" t="s">
        <v>1608</v>
      </c>
      <c r="J67" s="2" t="s">
        <v>606</v>
      </c>
      <c r="K67" s="2">
        <f t="shared" si="10"/>
        <v>42131475.033617564</v>
      </c>
      <c r="L67" s="2" t="s">
        <v>1603</v>
      </c>
      <c r="M67" s="2" t="s">
        <v>1609</v>
      </c>
      <c r="N67" s="2" t="s">
        <v>1539</v>
      </c>
      <c r="O67" s="2">
        <v>1053</v>
      </c>
      <c r="P67" s="2">
        <v>441.79757690429688</v>
      </c>
      <c r="Q67" s="2">
        <v>460.96502685546881</v>
      </c>
      <c r="R67" s="2">
        <f t="shared" si="12"/>
        <v>465212.84848022461</v>
      </c>
      <c r="S67" s="2">
        <f t="shared" si="13"/>
        <v>485396.17327880865</v>
      </c>
      <c r="T67" s="2">
        <f t="shared" si="14"/>
        <v>950609.0217590332</v>
      </c>
      <c r="U67" s="2">
        <f t="shared" si="15"/>
        <v>475.3</v>
      </c>
      <c r="V67" s="2">
        <f t="shared" si="16"/>
        <v>20183.324798584043</v>
      </c>
      <c r="W67" s="2">
        <f t="shared" si="17"/>
        <v>19708.024798584043</v>
      </c>
      <c r="X67" s="2">
        <f t="shared" si="18"/>
        <v>42151183.058416151</v>
      </c>
      <c r="Y67" s="2">
        <f t="shared" si="19"/>
        <v>93042.57</v>
      </c>
      <c r="Z67" s="2">
        <f t="shared" si="20"/>
        <v>21.18</v>
      </c>
      <c r="AA67" s="2">
        <f t="shared" si="22"/>
        <v>42893202.665842906</v>
      </c>
      <c r="AB67" s="2">
        <f t="shared" si="21"/>
        <v>-742019.60742675513</v>
      </c>
    </row>
    <row r="68" spans="1:28">
      <c r="A68" s="2">
        <v>65</v>
      </c>
      <c r="B68" s="2" t="s">
        <v>372</v>
      </c>
      <c r="C68" s="2" t="s">
        <v>1516</v>
      </c>
      <c r="D68" s="3" t="s">
        <v>37</v>
      </c>
      <c r="E68" s="5" t="s">
        <v>134</v>
      </c>
      <c r="F68" s="2" t="s">
        <v>135</v>
      </c>
      <c r="G68" s="2" t="s">
        <v>177</v>
      </c>
      <c r="H68" s="2" t="s">
        <v>373</v>
      </c>
      <c r="I68" s="2" t="s">
        <v>1610</v>
      </c>
      <c r="J68" s="2" t="s">
        <v>1611</v>
      </c>
      <c r="K68" s="2">
        <f t="shared" si="10"/>
        <v>42151183.058416151</v>
      </c>
      <c r="L68" s="2" t="s">
        <v>1245</v>
      </c>
      <c r="M68" s="2" t="s">
        <v>1254</v>
      </c>
      <c r="N68" s="2" t="s">
        <v>1272</v>
      </c>
      <c r="O68" s="2">
        <v>5759</v>
      </c>
      <c r="P68" s="2">
        <v>214.28350830078119</v>
      </c>
      <c r="Q68" s="2">
        <v>208.64398193359369</v>
      </c>
      <c r="R68" s="2">
        <f t="shared" ref="R68:R86" si="23">O68*P68</f>
        <v>1234058.724304199</v>
      </c>
      <c r="S68" s="2">
        <f t="shared" ref="S68:S86" si="24">O68*Q68</f>
        <v>1201580.6919555662</v>
      </c>
      <c r="T68" s="2">
        <f t="shared" ref="T68:T99" si="25">R68+S68</f>
        <v>2435639.4162597652</v>
      </c>
      <c r="U68" s="2">
        <f t="shared" ref="U68:U99" si="26">ROUND(T68*0.0005, 2)</f>
        <v>1217.82</v>
      </c>
      <c r="V68" s="2">
        <f t="shared" ref="V68:V86" si="27">S68-R68</f>
        <v>-32478.032348632813</v>
      </c>
      <c r="W68" s="2">
        <f t="shared" ref="W68:W99" si="28">V68-U68</f>
        <v>-33695.852348632812</v>
      </c>
      <c r="X68" s="2">
        <f t="shared" ref="X68:X99" si="29">K68+W68</f>
        <v>42117487.206067517</v>
      </c>
      <c r="Y68" s="2">
        <f t="shared" ref="Y68:Y86" si="30">ROUND(0.2*R68, 2)</f>
        <v>246811.74</v>
      </c>
      <c r="Z68" s="2">
        <f t="shared" ref="Z68:Z99" si="31">ROUND((W68/Y68)*100, 2)</f>
        <v>-13.65</v>
      </c>
      <c r="AA68" s="2">
        <f t="shared" si="22"/>
        <v>42893202.665842906</v>
      </c>
      <c r="AB68" s="2">
        <f t="shared" ref="AB68:AB99" si="32">X68-AA68</f>
        <v>-775715.45977538824</v>
      </c>
    </row>
    <row r="69" spans="1:28">
      <c r="A69" s="2">
        <v>66</v>
      </c>
      <c r="B69" s="2" t="s">
        <v>376</v>
      </c>
      <c r="C69" s="2" t="s">
        <v>1516</v>
      </c>
      <c r="D69" s="3" t="s">
        <v>37</v>
      </c>
      <c r="E69" s="5" t="s">
        <v>134</v>
      </c>
      <c r="F69" s="2" t="s">
        <v>135</v>
      </c>
      <c r="G69" s="2" t="s">
        <v>177</v>
      </c>
      <c r="H69" s="2" t="s">
        <v>377</v>
      </c>
      <c r="I69" s="2" t="s">
        <v>1612</v>
      </c>
      <c r="J69" s="2" t="s">
        <v>726</v>
      </c>
      <c r="K69" s="2">
        <f t="shared" ref="K69:K132" si="33">X68</f>
        <v>42117487.206067517</v>
      </c>
      <c r="L69" s="2" t="s">
        <v>1613</v>
      </c>
      <c r="M69" s="2" t="s">
        <v>1573</v>
      </c>
      <c r="N69" s="2" t="s">
        <v>1544</v>
      </c>
      <c r="O69" s="2">
        <v>456</v>
      </c>
      <c r="P69" s="2">
        <v>1021.378173828125</v>
      </c>
      <c r="Q69" s="2">
        <v>1151.522216796875</v>
      </c>
      <c r="R69" s="2">
        <f t="shared" si="23"/>
        <v>465748.447265625</v>
      </c>
      <c r="S69" s="2">
        <f t="shared" si="24"/>
        <v>525094.130859375</v>
      </c>
      <c r="T69" s="2">
        <f t="shared" si="25"/>
        <v>990842.578125</v>
      </c>
      <c r="U69" s="2">
        <f t="shared" si="26"/>
        <v>495.42</v>
      </c>
      <c r="V69" s="2">
        <f t="shared" si="27"/>
        <v>59345.68359375</v>
      </c>
      <c r="W69" s="2">
        <f t="shared" si="28"/>
        <v>58850.263593750002</v>
      </c>
      <c r="X69" s="2">
        <f t="shared" si="29"/>
        <v>42176337.469661266</v>
      </c>
      <c r="Y69" s="2">
        <f t="shared" si="30"/>
        <v>93149.69</v>
      </c>
      <c r="Z69" s="2">
        <f t="shared" si="31"/>
        <v>63.18</v>
      </c>
      <c r="AA69" s="2">
        <f t="shared" ref="AA69:AA86" si="34">MAX(AA68, X69)</f>
        <v>42893202.665842906</v>
      </c>
      <c r="AB69" s="2">
        <f t="shared" si="32"/>
        <v>-716865.19618164003</v>
      </c>
    </row>
    <row r="70" spans="1:28">
      <c r="A70" s="2">
        <v>67</v>
      </c>
      <c r="B70" s="2" t="s">
        <v>381</v>
      </c>
      <c r="C70" s="2" t="s">
        <v>1516</v>
      </c>
      <c r="D70" s="4" t="s">
        <v>61</v>
      </c>
      <c r="E70" s="5" t="s">
        <v>134</v>
      </c>
      <c r="F70" s="2" t="s">
        <v>135</v>
      </c>
      <c r="G70" s="2" t="s">
        <v>177</v>
      </c>
      <c r="H70" s="2" t="s">
        <v>382</v>
      </c>
      <c r="I70" s="2" t="s">
        <v>1614</v>
      </c>
      <c r="J70" s="2" t="s">
        <v>748</v>
      </c>
      <c r="K70" s="2">
        <f t="shared" si="33"/>
        <v>42176337.469661266</v>
      </c>
      <c r="L70" s="2" t="s">
        <v>1615</v>
      </c>
      <c r="M70" s="2" t="s">
        <v>1599</v>
      </c>
      <c r="N70" s="2" t="s">
        <v>1573</v>
      </c>
      <c r="O70" s="2">
        <v>9623</v>
      </c>
      <c r="P70" s="2">
        <v>81.75</v>
      </c>
      <c r="Q70" s="2">
        <v>87.5</v>
      </c>
      <c r="R70" s="2">
        <f t="shared" si="23"/>
        <v>786680.25</v>
      </c>
      <c r="S70" s="2">
        <f t="shared" si="24"/>
        <v>842012.5</v>
      </c>
      <c r="T70" s="2">
        <f t="shared" si="25"/>
        <v>1628692.75</v>
      </c>
      <c r="U70" s="2">
        <f t="shared" si="26"/>
        <v>814.35</v>
      </c>
      <c r="V70" s="2">
        <f t="shared" si="27"/>
        <v>55332.25</v>
      </c>
      <c r="W70" s="2">
        <f t="shared" si="28"/>
        <v>54517.9</v>
      </c>
      <c r="X70" s="2">
        <f t="shared" si="29"/>
        <v>42230855.369661264</v>
      </c>
      <c r="Y70" s="2">
        <f t="shared" si="30"/>
        <v>157336.04999999999</v>
      </c>
      <c r="Z70" s="2">
        <f t="shared" si="31"/>
        <v>34.65</v>
      </c>
      <c r="AA70" s="2">
        <f t="shared" si="34"/>
        <v>42893202.665842906</v>
      </c>
      <c r="AB70" s="2">
        <f t="shared" si="32"/>
        <v>-662347.29618164152</v>
      </c>
    </row>
    <row r="71" spans="1:28">
      <c r="A71" s="2">
        <v>68</v>
      </c>
      <c r="B71" s="2" t="s">
        <v>385</v>
      </c>
      <c r="C71" s="2" t="s">
        <v>1516</v>
      </c>
      <c r="D71" s="3" t="s">
        <v>37</v>
      </c>
      <c r="E71" s="5" t="s">
        <v>134</v>
      </c>
      <c r="F71" s="2" t="s">
        <v>135</v>
      </c>
      <c r="G71" s="2" t="s">
        <v>54</v>
      </c>
      <c r="H71" s="2" t="s">
        <v>386</v>
      </c>
      <c r="I71" s="2" t="s">
        <v>1616</v>
      </c>
      <c r="J71" s="2" t="s">
        <v>1617</v>
      </c>
      <c r="K71" s="2">
        <f t="shared" si="33"/>
        <v>42230855.369661264</v>
      </c>
      <c r="L71" s="2" t="s">
        <v>1540</v>
      </c>
      <c r="M71" s="2" t="s">
        <v>1599</v>
      </c>
      <c r="N71" s="2" t="s">
        <v>1573</v>
      </c>
      <c r="O71" s="2">
        <v>469</v>
      </c>
      <c r="P71" s="2">
        <v>1283.235229492188</v>
      </c>
      <c r="Q71" s="2">
        <v>1187.878051757812</v>
      </c>
      <c r="R71" s="2">
        <f t="shared" si="23"/>
        <v>601837.32263183617</v>
      </c>
      <c r="S71" s="2">
        <f t="shared" si="24"/>
        <v>557114.80627441383</v>
      </c>
      <c r="T71" s="2">
        <f t="shared" si="25"/>
        <v>1158952.12890625</v>
      </c>
      <c r="U71" s="2">
        <f t="shared" si="26"/>
        <v>579.48</v>
      </c>
      <c r="V71" s="2">
        <f t="shared" si="27"/>
        <v>-44722.516357422341</v>
      </c>
      <c r="W71" s="2">
        <f t="shared" si="28"/>
        <v>-45301.996357422344</v>
      </c>
      <c r="X71" s="2">
        <f t="shared" si="29"/>
        <v>42185553.373303838</v>
      </c>
      <c r="Y71" s="2">
        <f t="shared" si="30"/>
        <v>120367.46</v>
      </c>
      <c r="Z71" s="2">
        <f t="shared" si="31"/>
        <v>-37.64</v>
      </c>
      <c r="AA71" s="2">
        <f t="shared" si="34"/>
        <v>42893202.665842906</v>
      </c>
      <c r="AB71" s="2">
        <f t="shared" si="32"/>
        <v>-707649.29253906757</v>
      </c>
    </row>
    <row r="72" spans="1:28">
      <c r="A72" s="2">
        <v>69</v>
      </c>
      <c r="B72" s="2" t="s">
        <v>390</v>
      </c>
      <c r="C72" s="2" t="s">
        <v>1516</v>
      </c>
      <c r="D72" s="3" t="s">
        <v>37</v>
      </c>
      <c r="E72" s="5" t="s">
        <v>134</v>
      </c>
      <c r="F72" s="2" t="s">
        <v>135</v>
      </c>
      <c r="G72" s="2" t="s">
        <v>143</v>
      </c>
      <c r="H72" s="2" t="s">
        <v>243</v>
      </c>
      <c r="I72" s="2" t="s">
        <v>1160</v>
      </c>
      <c r="J72" s="2" t="s">
        <v>1618</v>
      </c>
      <c r="K72" s="2">
        <f t="shared" si="33"/>
        <v>42185553.373303838</v>
      </c>
      <c r="L72" s="2" t="s">
        <v>1467</v>
      </c>
      <c r="M72" s="2" t="s">
        <v>1543</v>
      </c>
      <c r="N72" s="2" t="s">
        <v>1581</v>
      </c>
      <c r="O72" s="2">
        <v>932</v>
      </c>
      <c r="P72" s="2">
        <v>1154.265625</v>
      </c>
      <c r="Q72" s="2">
        <v>1269.30810546875</v>
      </c>
      <c r="R72" s="2">
        <f t="shared" si="23"/>
        <v>1075775.5625</v>
      </c>
      <c r="S72" s="2">
        <f t="shared" si="24"/>
        <v>1182995.154296875</v>
      </c>
      <c r="T72" s="2">
        <f t="shared" si="25"/>
        <v>2258770.716796875</v>
      </c>
      <c r="U72" s="2">
        <f t="shared" si="26"/>
        <v>1129.3900000000001</v>
      </c>
      <c r="V72" s="2">
        <f t="shared" si="27"/>
        <v>107219.591796875</v>
      </c>
      <c r="W72" s="2">
        <f t="shared" si="28"/>
        <v>106090.201796875</v>
      </c>
      <c r="X72" s="2">
        <f t="shared" si="29"/>
        <v>42291643.575100712</v>
      </c>
      <c r="Y72" s="2">
        <f t="shared" si="30"/>
        <v>215155.11</v>
      </c>
      <c r="Z72" s="2">
        <f t="shared" si="31"/>
        <v>49.31</v>
      </c>
      <c r="AA72" s="2">
        <f t="shared" si="34"/>
        <v>42893202.665842906</v>
      </c>
      <c r="AB72" s="2">
        <f t="shared" si="32"/>
        <v>-601559.09074219316</v>
      </c>
    </row>
    <row r="73" spans="1:28">
      <c r="A73" s="2">
        <v>70</v>
      </c>
      <c r="B73" s="2" t="s">
        <v>393</v>
      </c>
      <c r="C73" s="2" t="s">
        <v>1516</v>
      </c>
      <c r="D73" s="4" t="s">
        <v>61</v>
      </c>
      <c r="E73" s="5" t="s">
        <v>134</v>
      </c>
      <c r="F73" s="2" t="s">
        <v>135</v>
      </c>
      <c r="G73" s="2" t="s">
        <v>231</v>
      </c>
      <c r="H73" s="2" t="s">
        <v>394</v>
      </c>
      <c r="I73" s="2" t="s">
        <v>1619</v>
      </c>
      <c r="J73" s="2" t="s">
        <v>1620</v>
      </c>
      <c r="K73" s="2">
        <f t="shared" si="33"/>
        <v>42291643.575100712</v>
      </c>
      <c r="L73" s="2" t="s">
        <v>1621</v>
      </c>
      <c r="M73" s="2" t="s">
        <v>1581</v>
      </c>
      <c r="N73" s="2" t="s">
        <v>1557</v>
      </c>
      <c r="O73" s="2">
        <v>473</v>
      </c>
      <c r="P73" s="2">
        <v>2829.0751953125</v>
      </c>
      <c r="Q73" s="2">
        <v>2523.601806640625</v>
      </c>
      <c r="R73" s="2">
        <f t="shared" si="23"/>
        <v>1338152.5673828125</v>
      </c>
      <c r="S73" s="2">
        <f t="shared" si="24"/>
        <v>1193663.6545410156</v>
      </c>
      <c r="T73" s="2">
        <f t="shared" si="25"/>
        <v>2531816.2219238281</v>
      </c>
      <c r="U73" s="2">
        <f t="shared" si="26"/>
        <v>1265.9100000000001</v>
      </c>
      <c r="V73" s="2">
        <f t="shared" si="27"/>
        <v>-144488.91284179687</v>
      </c>
      <c r="W73" s="2">
        <f t="shared" si="28"/>
        <v>-145754.82284179688</v>
      </c>
      <c r="X73" s="2">
        <f t="shared" si="29"/>
        <v>42145888.752258919</v>
      </c>
      <c r="Y73" s="2">
        <f t="shared" si="30"/>
        <v>267630.51</v>
      </c>
      <c r="Z73" s="2">
        <f t="shared" si="31"/>
        <v>-54.46</v>
      </c>
      <c r="AA73" s="2">
        <f t="shared" si="34"/>
        <v>42893202.665842906</v>
      </c>
      <c r="AB73" s="2">
        <f t="shared" si="32"/>
        <v>-747313.91358398646</v>
      </c>
    </row>
    <row r="74" spans="1:28">
      <c r="A74" s="2">
        <v>71</v>
      </c>
      <c r="B74" s="2" t="s">
        <v>397</v>
      </c>
      <c r="C74" s="2" t="s">
        <v>1516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1337</v>
      </c>
      <c r="J74" s="2" t="s">
        <v>849</v>
      </c>
      <c r="K74" s="2">
        <f t="shared" si="33"/>
        <v>42145888.752258919</v>
      </c>
      <c r="L74" s="2" t="s">
        <v>948</v>
      </c>
      <c r="M74" s="2" t="s">
        <v>1037</v>
      </c>
      <c r="N74" s="2" t="s">
        <v>980</v>
      </c>
      <c r="O74" s="2">
        <v>250</v>
      </c>
      <c r="P74" s="2">
        <v>2589.230712890625</v>
      </c>
      <c r="Q74" s="2">
        <v>2535.6259765625</v>
      </c>
      <c r="R74" s="2">
        <f t="shared" si="23"/>
        <v>647307.67822265625</v>
      </c>
      <c r="S74" s="2">
        <f t="shared" si="24"/>
        <v>633906.494140625</v>
      </c>
      <c r="T74" s="2">
        <f t="shared" si="25"/>
        <v>1281214.1723632812</v>
      </c>
      <c r="U74" s="2">
        <f t="shared" si="26"/>
        <v>640.61</v>
      </c>
      <c r="V74" s="2">
        <f t="shared" si="27"/>
        <v>-13401.18408203125</v>
      </c>
      <c r="W74" s="2">
        <f t="shared" si="28"/>
        <v>-14041.794082031251</v>
      </c>
      <c r="X74" s="2">
        <f t="shared" si="29"/>
        <v>42131846.958176889</v>
      </c>
      <c r="Y74" s="2">
        <f t="shared" si="30"/>
        <v>129461.54</v>
      </c>
      <c r="Z74" s="2">
        <f t="shared" si="31"/>
        <v>-10.85</v>
      </c>
      <c r="AA74" s="2">
        <f t="shared" si="34"/>
        <v>42893202.665842906</v>
      </c>
      <c r="AB74" s="2">
        <f t="shared" si="32"/>
        <v>-761355.70766601712</v>
      </c>
    </row>
    <row r="75" spans="1:28">
      <c r="A75" s="2">
        <v>72</v>
      </c>
      <c r="B75" s="2" t="s">
        <v>403</v>
      </c>
      <c r="C75" s="2" t="s">
        <v>1516</v>
      </c>
      <c r="D75" s="3" t="s">
        <v>37</v>
      </c>
      <c r="E75" s="5" t="s">
        <v>134</v>
      </c>
      <c r="F75" s="2" t="s">
        <v>135</v>
      </c>
      <c r="G75" s="2" t="s">
        <v>54</v>
      </c>
      <c r="H75" s="2" t="s">
        <v>310</v>
      </c>
      <c r="I75" s="2" t="s">
        <v>1622</v>
      </c>
      <c r="J75" s="2" t="s">
        <v>1623</v>
      </c>
      <c r="K75" s="2">
        <f t="shared" si="33"/>
        <v>42131846.958176889</v>
      </c>
      <c r="L75" s="2" t="s">
        <v>1558</v>
      </c>
      <c r="M75" s="2" t="s">
        <v>1615</v>
      </c>
      <c r="N75" s="2" t="s">
        <v>1613</v>
      </c>
      <c r="O75" s="2">
        <v>237</v>
      </c>
      <c r="P75" s="2">
        <v>1186.509155273438</v>
      </c>
      <c r="Q75" s="2">
        <v>1312.029296875</v>
      </c>
      <c r="R75" s="2">
        <f t="shared" si="23"/>
        <v>281202.6697998048</v>
      </c>
      <c r="S75" s="2">
        <f t="shared" si="24"/>
        <v>310950.943359375</v>
      </c>
      <c r="T75" s="2">
        <f t="shared" si="25"/>
        <v>592153.6131591798</v>
      </c>
      <c r="U75" s="2">
        <f t="shared" si="26"/>
        <v>296.08</v>
      </c>
      <c r="V75" s="2">
        <f t="shared" si="27"/>
        <v>29748.273559570196</v>
      </c>
      <c r="W75" s="2">
        <f t="shared" si="28"/>
        <v>29452.193559570194</v>
      </c>
      <c r="X75" s="2">
        <f t="shared" si="29"/>
        <v>42161299.151736461</v>
      </c>
      <c r="Y75" s="2">
        <f t="shared" si="30"/>
        <v>56240.53</v>
      </c>
      <c r="Z75" s="2">
        <f t="shared" si="31"/>
        <v>52.37</v>
      </c>
      <c r="AA75" s="2">
        <f t="shared" si="34"/>
        <v>42893202.665842906</v>
      </c>
      <c r="AB75" s="2">
        <f t="shared" si="32"/>
        <v>-731903.51410644501</v>
      </c>
    </row>
    <row r="76" spans="1:28">
      <c r="A76" s="2">
        <v>73</v>
      </c>
      <c r="B76" s="2" t="s">
        <v>406</v>
      </c>
      <c r="C76" s="2" t="s">
        <v>1516</v>
      </c>
      <c r="D76" s="3" t="s">
        <v>37</v>
      </c>
      <c r="E76" s="5" t="s">
        <v>134</v>
      </c>
      <c r="F76" s="2" t="s">
        <v>135</v>
      </c>
      <c r="G76" s="2" t="s">
        <v>241</v>
      </c>
      <c r="H76" s="2" t="s">
        <v>407</v>
      </c>
      <c r="I76" s="2" t="s">
        <v>1624</v>
      </c>
      <c r="J76" s="2" t="s">
        <v>1625</v>
      </c>
      <c r="K76" s="2">
        <f t="shared" si="33"/>
        <v>42161299.151736461</v>
      </c>
      <c r="L76" s="2" t="s">
        <v>1559</v>
      </c>
      <c r="M76" s="2" t="s">
        <v>1539</v>
      </c>
      <c r="N76" s="2" t="s">
        <v>1558</v>
      </c>
      <c r="O76" s="2">
        <v>218</v>
      </c>
      <c r="P76" s="2">
        <v>3790.126953125</v>
      </c>
      <c r="Q76" s="2">
        <v>4844.10791015625</v>
      </c>
      <c r="R76" s="2">
        <f t="shared" si="23"/>
        <v>826247.67578125</v>
      </c>
      <c r="S76" s="2">
        <f t="shared" si="24"/>
        <v>1056015.5244140625</v>
      </c>
      <c r="T76" s="2">
        <f t="shared" si="25"/>
        <v>1882263.2001953125</v>
      </c>
      <c r="U76" s="2">
        <f t="shared" si="26"/>
        <v>941.13</v>
      </c>
      <c r="V76" s="2">
        <f t="shared" si="27"/>
        <v>229767.8486328125</v>
      </c>
      <c r="W76" s="2">
        <f t="shared" si="28"/>
        <v>228826.7186328125</v>
      </c>
      <c r="X76" s="2">
        <f t="shared" si="29"/>
        <v>42390125.87036927</v>
      </c>
      <c r="Y76" s="2">
        <f t="shared" si="30"/>
        <v>165249.54</v>
      </c>
      <c r="Z76" s="2">
        <f t="shared" si="31"/>
        <v>138.47</v>
      </c>
      <c r="AA76" s="2">
        <f t="shared" si="34"/>
        <v>42893202.665842906</v>
      </c>
      <c r="AB76" s="2">
        <f t="shared" si="32"/>
        <v>-503076.7954736352</v>
      </c>
    </row>
    <row r="77" spans="1:28">
      <c r="A77" s="2">
        <v>74</v>
      </c>
      <c r="B77" s="2" t="s">
        <v>410</v>
      </c>
      <c r="C77" s="2" t="s">
        <v>1516</v>
      </c>
      <c r="D77" s="4" t="s">
        <v>61</v>
      </c>
      <c r="E77" s="5" t="s">
        <v>134</v>
      </c>
      <c r="F77" s="2" t="s">
        <v>135</v>
      </c>
      <c r="G77" s="2" t="s">
        <v>103</v>
      </c>
      <c r="H77" s="2" t="s">
        <v>411</v>
      </c>
      <c r="I77" s="2" t="s">
        <v>1626</v>
      </c>
      <c r="J77" s="2" t="s">
        <v>1627</v>
      </c>
      <c r="K77" s="2">
        <f t="shared" si="33"/>
        <v>42390125.87036927</v>
      </c>
      <c r="L77" s="2" t="s">
        <v>1621</v>
      </c>
      <c r="M77" s="2" t="s">
        <v>1543</v>
      </c>
      <c r="N77" s="2" t="s">
        <v>1300</v>
      </c>
      <c r="O77" s="2">
        <v>792</v>
      </c>
      <c r="P77" s="2">
        <v>1643.707275390625</v>
      </c>
      <c r="Q77" s="2">
        <v>1520.89208984375</v>
      </c>
      <c r="R77" s="2">
        <f t="shared" si="23"/>
        <v>1301816.162109375</v>
      </c>
      <c r="S77" s="2">
        <f t="shared" si="24"/>
        <v>1204546.53515625</v>
      </c>
      <c r="T77" s="2">
        <f t="shared" si="25"/>
        <v>2506362.697265625</v>
      </c>
      <c r="U77" s="2">
        <f t="shared" si="26"/>
        <v>1253.18</v>
      </c>
      <c r="V77" s="2">
        <f t="shared" si="27"/>
        <v>-97269.626953125</v>
      </c>
      <c r="W77" s="2">
        <f t="shared" si="28"/>
        <v>-98522.806953124993</v>
      </c>
      <c r="X77" s="2">
        <f t="shared" si="29"/>
        <v>42291603.063416146</v>
      </c>
      <c r="Y77" s="2">
        <f t="shared" si="30"/>
        <v>260363.23</v>
      </c>
      <c r="Z77" s="2">
        <f t="shared" si="31"/>
        <v>-37.840000000000003</v>
      </c>
      <c r="AA77" s="2">
        <f t="shared" si="34"/>
        <v>42893202.665842906</v>
      </c>
      <c r="AB77" s="2">
        <f t="shared" si="32"/>
        <v>-601599.6024267599</v>
      </c>
    </row>
    <row r="78" spans="1:28">
      <c r="A78" s="2">
        <v>75</v>
      </c>
      <c r="B78" s="2" t="s">
        <v>414</v>
      </c>
      <c r="C78" s="2" t="s">
        <v>1516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707</v>
      </c>
      <c r="J78" s="2" t="s">
        <v>338</v>
      </c>
      <c r="K78" s="2">
        <f t="shared" si="33"/>
        <v>42291603.063416146</v>
      </c>
      <c r="L78" s="2" t="s">
        <v>1027</v>
      </c>
      <c r="M78" s="2" t="s">
        <v>985</v>
      </c>
      <c r="N78" s="2" t="s">
        <v>956</v>
      </c>
      <c r="O78" s="2">
        <v>350</v>
      </c>
      <c r="P78" s="2">
        <v>1687.298461914062</v>
      </c>
      <c r="Q78" s="2">
        <v>1718.905395507812</v>
      </c>
      <c r="R78" s="2">
        <f t="shared" si="23"/>
        <v>590554.46166992176</v>
      </c>
      <c r="S78" s="2">
        <f t="shared" si="24"/>
        <v>601616.88842773426</v>
      </c>
      <c r="T78" s="2">
        <f t="shared" si="25"/>
        <v>1192171.350097656</v>
      </c>
      <c r="U78" s="2">
        <f t="shared" si="26"/>
        <v>596.09</v>
      </c>
      <c r="V78" s="2">
        <f t="shared" si="27"/>
        <v>11062.4267578125</v>
      </c>
      <c r="W78" s="2">
        <f t="shared" si="28"/>
        <v>10466.3367578125</v>
      </c>
      <c r="X78" s="2">
        <f t="shared" si="29"/>
        <v>42302069.400173955</v>
      </c>
      <c r="Y78" s="2">
        <f t="shared" si="30"/>
        <v>118110.89</v>
      </c>
      <c r="Z78" s="2">
        <f t="shared" si="31"/>
        <v>8.86</v>
      </c>
      <c r="AA78" s="2">
        <f t="shared" si="34"/>
        <v>42893202.665842906</v>
      </c>
      <c r="AB78" s="2">
        <f t="shared" si="32"/>
        <v>-591133.26566895097</v>
      </c>
    </row>
    <row r="79" spans="1:28">
      <c r="A79" s="2">
        <v>76</v>
      </c>
      <c r="B79" s="2" t="s">
        <v>419</v>
      </c>
      <c r="C79" s="2" t="s">
        <v>1516</v>
      </c>
      <c r="D79" s="4" t="s">
        <v>61</v>
      </c>
      <c r="E79" s="5" t="s">
        <v>134</v>
      </c>
      <c r="F79" s="2" t="s">
        <v>135</v>
      </c>
      <c r="G79" s="2" t="s">
        <v>169</v>
      </c>
      <c r="H79" s="2" t="s">
        <v>420</v>
      </c>
      <c r="I79" s="2" t="s">
        <v>1628</v>
      </c>
      <c r="J79" s="2" t="s">
        <v>386</v>
      </c>
      <c r="K79" s="2">
        <f t="shared" si="33"/>
        <v>42302069.400173955</v>
      </c>
      <c r="L79" s="2" t="s">
        <v>1547</v>
      </c>
      <c r="M79" s="2" t="s">
        <v>1580</v>
      </c>
      <c r="N79" s="2" t="s">
        <v>1375</v>
      </c>
      <c r="O79" s="2">
        <v>392</v>
      </c>
      <c r="P79" s="2">
        <v>1721.29150390625</v>
      </c>
      <c r="Q79" s="2">
        <v>1736.722900390625</v>
      </c>
      <c r="R79" s="2">
        <f t="shared" si="23"/>
        <v>674746.26953125</v>
      </c>
      <c r="S79" s="2">
        <f t="shared" si="24"/>
        <v>680795.376953125</v>
      </c>
      <c r="T79" s="2">
        <f t="shared" si="25"/>
        <v>1355541.646484375</v>
      </c>
      <c r="U79" s="2">
        <f t="shared" si="26"/>
        <v>677.77</v>
      </c>
      <c r="V79" s="2">
        <f t="shared" si="27"/>
        <v>6049.107421875</v>
      </c>
      <c r="W79" s="2">
        <f t="shared" si="28"/>
        <v>5371.3374218749996</v>
      </c>
      <c r="X79" s="2">
        <f t="shared" si="29"/>
        <v>42307440.737595826</v>
      </c>
      <c r="Y79" s="2">
        <f t="shared" si="30"/>
        <v>134949.25</v>
      </c>
      <c r="Z79" s="2">
        <f t="shared" si="31"/>
        <v>3.98</v>
      </c>
      <c r="AA79" s="2">
        <f t="shared" si="34"/>
        <v>42893202.665842906</v>
      </c>
      <c r="AB79" s="2">
        <f t="shared" si="32"/>
        <v>-585761.92824707925</v>
      </c>
    </row>
    <row r="80" spans="1:28">
      <c r="A80" s="2">
        <v>77</v>
      </c>
      <c r="B80" s="2" t="s">
        <v>423</v>
      </c>
      <c r="C80" s="2" t="s">
        <v>1516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1344</v>
      </c>
      <c r="J80" s="2" t="s">
        <v>1126</v>
      </c>
      <c r="K80" s="2">
        <f t="shared" si="33"/>
        <v>42307440.737595826</v>
      </c>
      <c r="L80" s="2" t="s">
        <v>1049</v>
      </c>
      <c r="M80" s="2" t="s">
        <v>957</v>
      </c>
      <c r="N80" s="2" t="s">
        <v>1345</v>
      </c>
      <c r="O80" s="2">
        <v>550</v>
      </c>
      <c r="P80" s="2">
        <v>806.77093505859375</v>
      </c>
      <c r="Q80" s="2">
        <v>846.0806884765625</v>
      </c>
      <c r="R80" s="2">
        <f t="shared" si="23"/>
        <v>443724.01428222656</v>
      </c>
      <c r="S80" s="2">
        <f t="shared" si="24"/>
        <v>465344.37866210938</v>
      </c>
      <c r="T80" s="2">
        <f t="shared" si="25"/>
        <v>909068.39294433594</v>
      </c>
      <c r="U80" s="2">
        <f t="shared" si="26"/>
        <v>454.53</v>
      </c>
      <c r="V80" s="2">
        <f t="shared" si="27"/>
        <v>21620.364379882813</v>
      </c>
      <c r="W80" s="2">
        <f t="shared" si="28"/>
        <v>21165.834379882814</v>
      </c>
      <c r="X80" s="2">
        <f t="shared" si="29"/>
        <v>42328606.571975708</v>
      </c>
      <c r="Y80" s="2">
        <f t="shared" si="30"/>
        <v>88744.8</v>
      </c>
      <c r="Z80" s="2">
        <f t="shared" si="31"/>
        <v>23.85</v>
      </c>
      <c r="AA80" s="2">
        <f t="shared" si="34"/>
        <v>42893202.665842906</v>
      </c>
      <c r="AB80" s="2">
        <f t="shared" si="32"/>
        <v>-564596.09386719763</v>
      </c>
    </row>
    <row r="81" spans="1:28">
      <c r="A81" s="2">
        <v>78</v>
      </c>
      <c r="B81" s="2" t="s">
        <v>428</v>
      </c>
      <c r="C81" s="2" t="s">
        <v>1516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266</v>
      </c>
      <c r="J81" s="2" t="s">
        <v>234</v>
      </c>
      <c r="K81" s="2">
        <f t="shared" si="33"/>
        <v>42328606.571975708</v>
      </c>
      <c r="L81" s="2" t="s">
        <v>1466</v>
      </c>
      <c r="M81" s="2" t="s">
        <v>1629</v>
      </c>
      <c r="N81" s="2" t="s">
        <v>1630</v>
      </c>
      <c r="O81" s="2">
        <v>1100</v>
      </c>
      <c r="P81" s="2">
        <v>588.4564208984375</v>
      </c>
      <c r="Q81" s="2">
        <v>607.02520751953125</v>
      </c>
      <c r="R81" s="2">
        <f t="shared" si="23"/>
        <v>647302.06298828125</v>
      </c>
      <c r="S81" s="2">
        <f t="shared" si="24"/>
        <v>667727.72827148437</v>
      </c>
      <c r="T81" s="2">
        <f t="shared" si="25"/>
        <v>1315029.7912597656</v>
      </c>
      <c r="U81" s="2">
        <f t="shared" si="26"/>
        <v>657.51</v>
      </c>
      <c r="V81" s="2">
        <f t="shared" si="27"/>
        <v>20425.665283203125</v>
      </c>
      <c r="W81" s="2">
        <f t="shared" si="28"/>
        <v>19768.155283203127</v>
      </c>
      <c r="X81" s="2">
        <f t="shared" si="29"/>
        <v>42348374.727258913</v>
      </c>
      <c r="Y81" s="2">
        <f t="shared" si="30"/>
        <v>129460.41</v>
      </c>
      <c r="Z81" s="2">
        <f t="shared" si="31"/>
        <v>15.27</v>
      </c>
      <c r="AA81" s="2">
        <f t="shared" si="34"/>
        <v>42893202.665842906</v>
      </c>
      <c r="AB81" s="2">
        <f t="shared" si="32"/>
        <v>-544827.93858399242</v>
      </c>
    </row>
    <row r="82" spans="1:28">
      <c r="A82" s="2">
        <v>79</v>
      </c>
      <c r="B82" s="2" t="s">
        <v>433</v>
      </c>
      <c r="C82" s="2" t="s">
        <v>1516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1347</v>
      </c>
      <c r="J82" s="2" t="s">
        <v>1314</v>
      </c>
      <c r="K82" s="2">
        <f t="shared" si="33"/>
        <v>42348374.727258913</v>
      </c>
      <c r="L82" s="2" t="s">
        <v>947</v>
      </c>
      <c r="M82" s="2" t="s">
        <v>1037</v>
      </c>
      <c r="N82" s="2" t="s">
        <v>1038</v>
      </c>
      <c r="O82" s="2">
        <v>150</v>
      </c>
      <c r="P82" s="2">
        <v>4484.51171875</v>
      </c>
      <c r="Q82" s="2">
        <v>4519.01220703125</v>
      </c>
      <c r="R82" s="2">
        <f t="shared" si="23"/>
        <v>672676.7578125</v>
      </c>
      <c r="S82" s="2">
        <f t="shared" si="24"/>
        <v>677851.8310546875</v>
      </c>
      <c r="T82" s="2">
        <f t="shared" si="25"/>
        <v>1350528.5888671875</v>
      </c>
      <c r="U82" s="2">
        <f t="shared" si="26"/>
        <v>675.26</v>
      </c>
      <c r="V82" s="2">
        <f t="shared" si="27"/>
        <v>5175.0732421875</v>
      </c>
      <c r="W82" s="2">
        <f t="shared" si="28"/>
        <v>4499.8132421874998</v>
      </c>
      <c r="X82" s="2">
        <f t="shared" si="29"/>
        <v>42352874.540501103</v>
      </c>
      <c r="Y82" s="2">
        <f t="shared" si="30"/>
        <v>134535.35</v>
      </c>
      <c r="Z82" s="2">
        <f t="shared" si="31"/>
        <v>3.34</v>
      </c>
      <c r="AA82" s="2">
        <f t="shared" si="34"/>
        <v>42893202.665842906</v>
      </c>
      <c r="AB82" s="2">
        <f t="shared" si="32"/>
        <v>-540328.12534180284</v>
      </c>
    </row>
    <row r="83" spans="1:28">
      <c r="A83" s="2">
        <v>80</v>
      </c>
      <c r="B83" s="2" t="s">
        <v>438</v>
      </c>
      <c r="C83" s="2" t="s">
        <v>1516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786</v>
      </c>
      <c r="J83" s="2" t="s">
        <v>1348</v>
      </c>
      <c r="K83" s="2">
        <f t="shared" si="33"/>
        <v>42352874.540501103</v>
      </c>
      <c r="L83" s="2" t="s">
        <v>946</v>
      </c>
      <c r="M83" s="2" t="s">
        <v>951</v>
      </c>
      <c r="N83" s="2" t="s">
        <v>947</v>
      </c>
      <c r="O83" s="2">
        <v>1400</v>
      </c>
      <c r="P83" s="2">
        <v>618.81011962890625</v>
      </c>
      <c r="Q83" s="2">
        <v>640.04278564453125</v>
      </c>
      <c r="R83" s="2">
        <f t="shared" si="23"/>
        <v>866334.16748046875</v>
      </c>
      <c r="S83" s="2">
        <f t="shared" si="24"/>
        <v>896059.89990234375</v>
      </c>
      <c r="T83" s="2">
        <f t="shared" si="25"/>
        <v>1762394.0673828125</v>
      </c>
      <c r="U83" s="2">
        <f t="shared" si="26"/>
        <v>881.2</v>
      </c>
      <c r="V83" s="2">
        <f t="shared" si="27"/>
        <v>29725.732421875</v>
      </c>
      <c r="W83" s="2">
        <f t="shared" si="28"/>
        <v>28844.532421874999</v>
      </c>
      <c r="X83" s="2">
        <f t="shared" si="29"/>
        <v>42381719.072922975</v>
      </c>
      <c r="Y83" s="2">
        <f t="shared" si="30"/>
        <v>173266.83</v>
      </c>
      <c r="Z83" s="2">
        <f t="shared" si="31"/>
        <v>16.649999999999999</v>
      </c>
      <c r="AA83" s="2">
        <f t="shared" si="34"/>
        <v>42893202.665842906</v>
      </c>
      <c r="AB83" s="2">
        <f t="shared" si="32"/>
        <v>-511483.59291993082</v>
      </c>
    </row>
    <row r="84" spans="1:28">
      <c r="A84" s="2">
        <v>81</v>
      </c>
      <c r="B84" s="2" t="s">
        <v>443</v>
      </c>
      <c r="C84" s="2" t="s">
        <v>1516</v>
      </c>
      <c r="D84" s="4" t="s">
        <v>61</v>
      </c>
      <c r="E84" s="5" t="s">
        <v>134</v>
      </c>
      <c r="F84" s="2" t="s">
        <v>135</v>
      </c>
      <c r="G84" s="2" t="s">
        <v>127</v>
      </c>
      <c r="H84" s="2" t="s">
        <v>444</v>
      </c>
      <c r="I84" s="2" t="s">
        <v>649</v>
      </c>
      <c r="J84" s="2" t="s">
        <v>1423</v>
      </c>
      <c r="K84" s="2">
        <f t="shared" si="33"/>
        <v>42381719.072922975</v>
      </c>
      <c r="L84" s="2" t="s">
        <v>1565</v>
      </c>
      <c r="M84" s="2" t="s">
        <v>1558</v>
      </c>
      <c r="N84" s="2" t="s">
        <v>1559</v>
      </c>
      <c r="O84" s="2">
        <v>2574</v>
      </c>
      <c r="P84" s="2">
        <v>311.69573974609369</v>
      </c>
      <c r="Q84" s="2">
        <v>313.00775146484369</v>
      </c>
      <c r="R84" s="2">
        <f t="shared" si="23"/>
        <v>802304.8341064452</v>
      </c>
      <c r="S84" s="2">
        <f t="shared" si="24"/>
        <v>805681.9522705077</v>
      </c>
      <c r="T84" s="2">
        <f t="shared" si="25"/>
        <v>1607986.7863769529</v>
      </c>
      <c r="U84" s="2">
        <f t="shared" si="26"/>
        <v>803.99</v>
      </c>
      <c r="V84" s="2">
        <f t="shared" si="27"/>
        <v>3377.1181640625</v>
      </c>
      <c r="W84" s="2">
        <f t="shared" si="28"/>
        <v>2573.1281640625002</v>
      </c>
      <c r="X84" s="2">
        <f t="shared" si="29"/>
        <v>42384292.201087035</v>
      </c>
      <c r="Y84" s="2">
        <f t="shared" si="30"/>
        <v>160460.97</v>
      </c>
      <c r="Z84" s="2">
        <f t="shared" si="31"/>
        <v>1.6</v>
      </c>
      <c r="AA84" s="2">
        <f t="shared" si="34"/>
        <v>42893202.665842906</v>
      </c>
      <c r="AB84" s="2">
        <f t="shared" si="32"/>
        <v>-508910.4647558704</v>
      </c>
    </row>
    <row r="85" spans="1:28">
      <c r="A85" s="2">
        <v>82</v>
      </c>
      <c r="B85" s="2" t="s">
        <v>447</v>
      </c>
      <c r="C85" s="2" t="s">
        <v>1516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1351</v>
      </c>
      <c r="J85" s="2" t="s">
        <v>1352</v>
      </c>
      <c r="K85" s="2">
        <f t="shared" si="33"/>
        <v>42384292.201087035</v>
      </c>
      <c r="L85" s="2" t="s">
        <v>999</v>
      </c>
      <c r="M85" s="2" t="s">
        <v>986</v>
      </c>
      <c r="N85" s="2" t="s">
        <v>1011</v>
      </c>
      <c r="O85" s="2">
        <v>300</v>
      </c>
      <c r="P85" s="2">
        <v>2454.817626953125</v>
      </c>
      <c r="Q85" s="2">
        <v>2672.44091796875</v>
      </c>
      <c r="R85" s="2">
        <f t="shared" si="23"/>
        <v>736445.2880859375</v>
      </c>
      <c r="S85" s="2">
        <f t="shared" si="24"/>
        <v>801732.275390625</v>
      </c>
      <c r="T85" s="2">
        <f t="shared" si="25"/>
        <v>1538177.5634765625</v>
      </c>
      <c r="U85" s="2">
        <f t="shared" si="26"/>
        <v>769.09</v>
      </c>
      <c r="V85" s="2">
        <f t="shared" si="27"/>
        <v>65286.9873046875</v>
      </c>
      <c r="W85" s="2">
        <f t="shared" si="28"/>
        <v>64517.897304687503</v>
      </c>
      <c r="X85" s="2">
        <f t="shared" si="29"/>
        <v>42448810.098391719</v>
      </c>
      <c r="Y85" s="2">
        <f t="shared" si="30"/>
        <v>147289.06</v>
      </c>
      <c r="Z85" s="2">
        <f t="shared" si="31"/>
        <v>43.8</v>
      </c>
      <c r="AA85" s="2">
        <f t="shared" si="34"/>
        <v>42893202.665842906</v>
      </c>
      <c r="AB85" s="2">
        <f t="shared" si="32"/>
        <v>-444392.56745118648</v>
      </c>
    </row>
    <row r="86" spans="1:28">
      <c r="A86" s="2">
        <v>83</v>
      </c>
      <c r="B86" s="2" t="s">
        <v>451</v>
      </c>
      <c r="C86" s="2" t="s">
        <v>1516</v>
      </c>
      <c r="D86" s="4" t="s">
        <v>61</v>
      </c>
      <c r="E86" s="5" t="s">
        <v>134</v>
      </c>
      <c r="F86" s="2" t="s">
        <v>135</v>
      </c>
      <c r="G86" s="2" t="s">
        <v>54</v>
      </c>
      <c r="H86" s="2" t="s">
        <v>452</v>
      </c>
      <c r="I86" s="2" t="s">
        <v>104</v>
      </c>
      <c r="J86" s="2" t="s">
        <v>1631</v>
      </c>
      <c r="K86" s="2">
        <f t="shared" si="33"/>
        <v>42448810.098391719</v>
      </c>
      <c r="L86" s="2" t="s">
        <v>1466</v>
      </c>
      <c r="M86" s="2" t="s">
        <v>1374</v>
      </c>
      <c r="N86" s="2" t="s">
        <v>1375</v>
      </c>
      <c r="O86" s="2">
        <v>1866</v>
      </c>
      <c r="P86" s="2">
        <v>375.271728515625</v>
      </c>
      <c r="Q86" s="2">
        <v>371.39590454101562</v>
      </c>
      <c r="R86" s="2">
        <f t="shared" si="23"/>
        <v>700257.04541015625</v>
      </c>
      <c r="S86" s="2">
        <f t="shared" si="24"/>
        <v>693024.75787353516</v>
      </c>
      <c r="T86" s="2">
        <f t="shared" si="25"/>
        <v>1393281.8032836914</v>
      </c>
      <c r="U86" s="2">
        <f t="shared" si="26"/>
        <v>696.64</v>
      </c>
      <c r="V86" s="2">
        <f t="shared" si="27"/>
        <v>-7232.2875366210937</v>
      </c>
      <c r="W86" s="2">
        <f t="shared" si="28"/>
        <v>-7928.9275366210941</v>
      </c>
      <c r="X86" s="2">
        <f t="shared" si="29"/>
        <v>42440881.170855097</v>
      </c>
      <c r="Y86" s="2">
        <f t="shared" si="30"/>
        <v>140051.41</v>
      </c>
      <c r="Z86" s="2">
        <f t="shared" si="31"/>
        <v>-5.66</v>
      </c>
      <c r="AA86" s="2">
        <f t="shared" si="34"/>
        <v>42893202.665842906</v>
      </c>
      <c r="AB86" s="2">
        <f t="shared" si="32"/>
        <v>-452321.49498780817</v>
      </c>
    </row>
    <row r="87" spans="1:28">
      <c r="A87" s="2">
        <v>84</v>
      </c>
      <c r="B87" s="2" t="s">
        <v>455</v>
      </c>
      <c r="C87" s="2" t="s">
        <v>1516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33"/>
        <v>42440881.170855097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42440881.170855097</v>
      </c>
      <c r="Y87" s="6" t="s">
        <v>1195</v>
      </c>
      <c r="Z87" s="6" t="s">
        <v>1195</v>
      </c>
      <c r="AA87" s="2">
        <f>AA86</f>
        <v>42893202.665842906</v>
      </c>
      <c r="AB87" s="2">
        <v>0</v>
      </c>
    </row>
    <row r="88" spans="1:28">
      <c r="A88" s="2">
        <v>85</v>
      </c>
      <c r="B88" s="2" t="s">
        <v>459</v>
      </c>
      <c r="C88" s="2" t="s">
        <v>1516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945</v>
      </c>
      <c r="J88" s="2" t="s">
        <v>1353</v>
      </c>
      <c r="K88" s="2">
        <f t="shared" si="33"/>
        <v>42440881.170855097</v>
      </c>
      <c r="L88" s="2" t="s">
        <v>1052</v>
      </c>
      <c r="M88" s="2" t="s">
        <v>983</v>
      </c>
      <c r="N88" s="2" t="s">
        <v>290</v>
      </c>
      <c r="O88" s="2">
        <v>700</v>
      </c>
      <c r="P88" s="2">
        <v>1233.631225585938</v>
      </c>
      <c r="Q88" s="2">
        <v>1281.90869140625</v>
      </c>
      <c r="R88" s="2">
        <f t="shared" ref="R88:R119" si="35">O88*P88</f>
        <v>863541.8579101566</v>
      </c>
      <c r="S88" s="2">
        <f t="shared" ref="S88:S119" si="36">O88*Q88</f>
        <v>897336.083984375</v>
      </c>
      <c r="T88" s="2">
        <f t="shared" ref="T88:T119" si="37">R88+S88</f>
        <v>1760877.9418945317</v>
      </c>
      <c r="U88" s="2">
        <f t="shared" ref="U88:U119" si="38">ROUND(T88*0.0005, 2)</f>
        <v>880.44</v>
      </c>
      <c r="V88" s="2">
        <f t="shared" ref="V88:V119" si="39">S88-R88</f>
        <v>33794.226074218401</v>
      </c>
      <c r="W88" s="2">
        <f t="shared" ref="W88:W119" si="40">V88-U88</f>
        <v>32913.786074218398</v>
      </c>
      <c r="X88" s="2">
        <f t="shared" ref="X88:X119" si="41">K88+W88</f>
        <v>42473794.956929319</v>
      </c>
      <c r="Y88" s="2">
        <f t="shared" ref="Y88:Y119" si="42">ROUND(0.2*R88, 2)</f>
        <v>172708.37</v>
      </c>
      <c r="Z88" s="2">
        <f t="shared" ref="Z88:Z119" si="43">ROUND((W88/Y88)*100, 2)</f>
        <v>19.059999999999999</v>
      </c>
      <c r="AA88" s="2">
        <f t="shared" ref="AA88:AA119" si="44">MAX(AA87, X88)</f>
        <v>42893202.665842906</v>
      </c>
      <c r="AB88" s="2">
        <f t="shared" ref="AB88:AB119" si="45">X88-AA88</f>
        <v>-419407.70891358703</v>
      </c>
    </row>
    <row r="89" spans="1:28">
      <c r="A89" s="2">
        <v>86</v>
      </c>
      <c r="B89" s="2" t="s">
        <v>463</v>
      </c>
      <c r="C89" s="2" t="s">
        <v>1516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301</v>
      </c>
      <c r="J89" s="2" t="s">
        <v>329</v>
      </c>
      <c r="K89" s="2">
        <f t="shared" si="33"/>
        <v>42473794.956929319</v>
      </c>
      <c r="L89" s="2" t="s">
        <v>1632</v>
      </c>
      <c r="M89" s="2" t="s">
        <v>1633</v>
      </c>
      <c r="N89" s="2" t="s">
        <v>1634</v>
      </c>
      <c r="O89" s="2">
        <v>629</v>
      </c>
      <c r="P89" s="2">
        <v>1840</v>
      </c>
      <c r="Q89" s="2">
        <v>1972</v>
      </c>
      <c r="R89" s="2">
        <f t="shared" si="35"/>
        <v>1157360</v>
      </c>
      <c r="S89" s="2">
        <f t="shared" si="36"/>
        <v>1240388</v>
      </c>
      <c r="T89" s="2">
        <f t="shared" si="37"/>
        <v>2397748</v>
      </c>
      <c r="U89" s="2">
        <f t="shared" si="38"/>
        <v>1198.8699999999999</v>
      </c>
      <c r="V89" s="2">
        <f t="shared" si="39"/>
        <v>83028</v>
      </c>
      <c r="W89" s="2">
        <f t="shared" si="40"/>
        <v>81829.13</v>
      </c>
      <c r="X89" s="2">
        <f t="shared" si="41"/>
        <v>42555624.086929321</v>
      </c>
      <c r="Y89" s="2">
        <f t="shared" si="42"/>
        <v>231472</v>
      </c>
      <c r="Z89" s="2">
        <f t="shared" si="43"/>
        <v>35.35</v>
      </c>
      <c r="AA89" s="2">
        <f t="shared" si="44"/>
        <v>42893202.665842906</v>
      </c>
      <c r="AB89" s="2">
        <f t="shared" si="45"/>
        <v>-337578.57891358435</v>
      </c>
    </row>
    <row r="90" spans="1:28">
      <c r="A90" s="2">
        <v>87</v>
      </c>
      <c r="B90" s="2" t="s">
        <v>471</v>
      </c>
      <c r="C90" s="2" t="s">
        <v>1516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1628</v>
      </c>
      <c r="J90" s="2" t="s">
        <v>883</v>
      </c>
      <c r="K90" s="2">
        <f t="shared" si="33"/>
        <v>42555624.086929321</v>
      </c>
      <c r="L90" s="2" t="s">
        <v>1635</v>
      </c>
      <c r="M90" s="2" t="s">
        <v>1396</v>
      </c>
      <c r="N90" s="2" t="s">
        <v>1397</v>
      </c>
      <c r="O90" s="2">
        <v>1958</v>
      </c>
      <c r="P90" s="2">
        <v>635.8931884765625</v>
      </c>
      <c r="Q90" s="2">
        <v>641.623291015625</v>
      </c>
      <c r="R90" s="2">
        <f t="shared" si="35"/>
        <v>1245078.8630371094</v>
      </c>
      <c r="S90" s="2">
        <f t="shared" si="36"/>
        <v>1256298.4038085938</v>
      </c>
      <c r="T90" s="2">
        <f t="shared" si="37"/>
        <v>2501377.2668457031</v>
      </c>
      <c r="U90" s="2">
        <f t="shared" si="38"/>
        <v>1250.69</v>
      </c>
      <c r="V90" s="2">
        <f t="shared" si="39"/>
        <v>11219.540771484375</v>
      </c>
      <c r="W90" s="2">
        <f t="shared" si="40"/>
        <v>9968.8507714843745</v>
      </c>
      <c r="X90" s="2">
        <f t="shared" si="41"/>
        <v>42565592.937700808</v>
      </c>
      <c r="Y90" s="2">
        <f t="shared" si="42"/>
        <v>249015.77</v>
      </c>
      <c r="Z90" s="2">
        <f t="shared" si="43"/>
        <v>4</v>
      </c>
      <c r="AA90" s="2">
        <f t="shared" si="44"/>
        <v>42893202.665842906</v>
      </c>
      <c r="AB90" s="2">
        <f t="shared" si="45"/>
        <v>-327609.72814209759</v>
      </c>
    </row>
    <row r="91" spans="1:28">
      <c r="A91" s="2">
        <v>88</v>
      </c>
      <c r="B91" s="2" t="s">
        <v>476</v>
      </c>
      <c r="C91" s="2" t="s">
        <v>1516</v>
      </c>
      <c r="D91" s="4" t="s">
        <v>61</v>
      </c>
      <c r="E91" s="5" t="s">
        <v>134</v>
      </c>
      <c r="F91" s="2" t="s">
        <v>135</v>
      </c>
      <c r="G91" s="2" t="s">
        <v>103</v>
      </c>
      <c r="H91" s="2" t="s">
        <v>477</v>
      </c>
      <c r="I91" s="2" t="s">
        <v>1636</v>
      </c>
      <c r="J91" s="2" t="s">
        <v>1637</v>
      </c>
      <c r="K91" s="2">
        <f t="shared" si="33"/>
        <v>42565592.937700808</v>
      </c>
      <c r="L91" s="2" t="s">
        <v>1565</v>
      </c>
      <c r="M91" s="2" t="s">
        <v>1539</v>
      </c>
      <c r="N91" s="2" t="s">
        <v>1558</v>
      </c>
      <c r="O91" s="2">
        <v>77700</v>
      </c>
      <c r="P91" s="2">
        <v>14.05000019073486</v>
      </c>
      <c r="Q91" s="2">
        <v>12.64999961853027</v>
      </c>
      <c r="R91" s="2">
        <f t="shared" si="35"/>
        <v>1091685.0148200986</v>
      </c>
      <c r="S91" s="2">
        <f t="shared" si="36"/>
        <v>982904.97035980201</v>
      </c>
      <c r="T91" s="2">
        <f t="shared" si="37"/>
        <v>2074589.9851799007</v>
      </c>
      <c r="U91" s="2">
        <f t="shared" si="38"/>
        <v>1037.29</v>
      </c>
      <c r="V91" s="2">
        <f t="shared" si="39"/>
        <v>-108780.04446029663</v>
      </c>
      <c r="W91" s="2">
        <f t="shared" si="40"/>
        <v>-109817.33446029662</v>
      </c>
      <c r="X91" s="2">
        <f t="shared" si="41"/>
        <v>42455775.603240512</v>
      </c>
      <c r="Y91" s="2">
        <f t="shared" si="42"/>
        <v>218337</v>
      </c>
      <c r="Z91" s="2">
        <f t="shared" si="43"/>
        <v>-50.3</v>
      </c>
      <c r="AA91" s="2">
        <f t="shared" si="44"/>
        <v>42893202.665842906</v>
      </c>
      <c r="AB91" s="2">
        <f t="shared" si="45"/>
        <v>-437427.06260239333</v>
      </c>
    </row>
    <row r="92" spans="1:28">
      <c r="A92" s="2">
        <v>89</v>
      </c>
      <c r="B92" s="2" t="s">
        <v>480</v>
      </c>
      <c r="C92" s="2" t="s">
        <v>1516</v>
      </c>
      <c r="D92" s="4" t="s">
        <v>61</v>
      </c>
      <c r="E92" s="5" t="s">
        <v>134</v>
      </c>
      <c r="F92" s="2" t="s">
        <v>135</v>
      </c>
      <c r="G92" s="2" t="s">
        <v>231</v>
      </c>
      <c r="H92" s="2" t="s">
        <v>329</v>
      </c>
      <c r="I92" s="2" t="s">
        <v>911</v>
      </c>
      <c r="J92" s="2" t="s">
        <v>1136</v>
      </c>
      <c r="K92" s="2">
        <f t="shared" si="33"/>
        <v>42455775.603240512</v>
      </c>
      <c r="L92" s="2" t="s">
        <v>1638</v>
      </c>
      <c r="M92" s="2" t="s">
        <v>1298</v>
      </c>
      <c r="N92" s="2" t="s">
        <v>1639</v>
      </c>
      <c r="O92" s="2">
        <v>11798</v>
      </c>
      <c r="P92" s="2">
        <v>81.383628845214844</v>
      </c>
      <c r="Q92" s="2">
        <v>82.430198669433594</v>
      </c>
      <c r="R92" s="2">
        <f t="shared" si="35"/>
        <v>960164.05311584473</v>
      </c>
      <c r="S92" s="2">
        <f t="shared" si="36"/>
        <v>972511.48390197754</v>
      </c>
      <c r="T92" s="2">
        <f t="shared" si="37"/>
        <v>1932675.5370178223</v>
      </c>
      <c r="U92" s="2">
        <f t="shared" si="38"/>
        <v>966.34</v>
      </c>
      <c r="V92" s="2">
        <f t="shared" si="39"/>
        <v>12347.430786132813</v>
      </c>
      <c r="W92" s="2">
        <f t="shared" si="40"/>
        <v>11381.090786132812</v>
      </c>
      <c r="X92" s="2">
        <f t="shared" si="41"/>
        <v>42467156.694026642</v>
      </c>
      <c r="Y92" s="2">
        <f t="shared" si="42"/>
        <v>192032.81</v>
      </c>
      <c r="Z92" s="2">
        <f t="shared" si="43"/>
        <v>5.93</v>
      </c>
      <c r="AA92" s="2">
        <f t="shared" si="44"/>
        <v>42893202.665842906</v>
      </c>
      <c r="AB92" s="2">
        <f t="shared" si="45"/>
        <v>-426045.97181626409</v>
      </c>
    </row>
    <row r="93" spans="1:28">
      <c r="A93" s="2">
        <v>90</v>
      </c>
      <c r="B93" s="2" t="s">
        <v>483</v>
      </c>
      <c r="C93" s="2" t="s">
        <v>1516</v>
      </c>
      <c r="D93" s="3" t="s">
        <v>37</v>
      </c>
      <c r="E93" s="5" t="s">
        <v>134</v>
      </c>
      <c r="F93" s="2" t="s">
        <v>135</v>
      </c>
      <c r="G93" s="2" t="s">
        <v>63</v>
      </c>
      <c r="H93" s="2" t="s">
        <v>484</v>
      </c>
      <c r="I93" s="2" t="s">
        <v>94</v>
      </c>
      <c r="J93" s="2" t="s">
        <v>210</v>
      </c>
      <c r="K93" s="2">
        <f t="shared" si="33"/>
        <v>42467156.694026642</v>
      </c>
      <c r="L93" s="2" t="s">
        <v>1555</v>
      </c>
      <c r="M93" s="2" t="s">
        <v>1558</v>
      </c>
      <c r="N93" s="2" t="s">
        <v>1603</v>
      </c>
      <c r="O93" s="2">
        <v>7610</v>
      </c>
      <c r="P93" s="2">
        <v>137.28593444824219</v>
      </c>
      <c r="Q93" s="2">
        <v>140.27142333984381</v>
      </c>
      <c r="R93" s="2">
        <f t="shared" si="35"/>
        <v>1044745.961151123</v>
      </c>
      <c r="S93" s="2">
        <f t="shared" si="36"/>
        <v>1067465.5316162114</v>
      </c>
      <c r="T93" s="2">
        <f t="shared" si="37"/>
        <v>2112211.4927673345</v>
      </c>
      <c r="U93" s="2">
        <f t="shared" si="38"/>
        <v>1056.1099999999999</v>
      </c>
      <c r="V93" s="2">
        <f t="shared" si="39"/>
        <v>22719.570465088356</v>
      </c>
      <c r="W93" s="2">
        <f t="shared" si="40"/>
        <v>21663.460465088356</v>
      </c>
      <c r="X93" s="2">
        <f t="shared" si="41"/>
        <v>42488820.15449173</v>
      </c>
      <c r="Y93" s="2">
        <f t="shared" si="42"/>
        <v>208949.19</v>
      </c>
      <c r="Z93" s="2">
        <f t="shared" si="43"/>
        <v>10.37</v>
      </c>
      <c r="AA93" s="2">
        <f t="shared" si="44"/>
        <v>42893202.665842906</v>
      </c>
      <c r="AB93" s="2">
        <f t="shared" si="45"/>
        <v>-404382.51135117561</v>
      </c>
    </row>
    <row r="94" spans="1:28">
      <c r="A94" s="2">
        <v>91</v>
      </c>
      <c r="B94" s="2" t="s">
        <v>486</v>
      </c>
      <c r="C94" s="2" t="s">
        <v>1516</v>
      </c>
      <c r="D94" s="3" t="s">
        <v>37</v>
      </c>
      <c r="E94" s="5" t="s">
        <v>134</v>
      </c>
      <c r="F94" s="2" t="s">
        <v>135</v>
      </c>
      <c r="G94" s="2" t="s">
        <v>54</v>
      </c>
      <c r="H94" s="2" t="s">
        <v>487</v>
      </c>
      <c r="I94" s="2" t="s">
        <v>1136</v>
      </c>
      <c r="J94" s="2" t="s">
        <v>1640</v>
      </c>
      <c r="K94" s="2">
        <f t="shared" si="33"/>
        <v>42488820.15449173</v>
      </c>
      <c r="L94" s="2" t="s">
        <v>1375</v>
      </c>
      <c r="M94" s="2" t="s">
        <v>1591</v>
      </c>
      <c r="N94" s="2" t="s">
        <v>1629</v>
      </c>
      <c r="O94" s="2">
        <v>1334</v>
      </c>
      <c r="P94" s="2">
        <v>590.88250732421875</v>
      </c>
      <c r="Q94" s="2">
        <v>570.792236328125</v>
      </c>
      <c r="R94" s="2">
        <f t="shared" si="35"/>
        <v>788237.26477050781</v>
      </c>
      <c r="S94" s="2">
        <f t="shared" si="36"/>
        <v>761436.84326171875</v>
      </c>
      <c r="T94" s="2">
        <f t="shared" si="37"/>
        <v>1549674.1080322266</v>
      </c>
      <c r="U94" s="2">
        <f t="shared" si="38"/>
        <v>774.84</v>
      </c>
      <c r="V94" s="2">
        <f t="shared" si="39"/>
        <v>-26800.421508789062</v>
      </c>
      <c r="W94" s="2">
        <f t="shared" si="40"/>
        <v>-27575.261508789063</v>
      </c>
      <c r="X94" s="2">
        <f t="shared" si="41"/>
        <v>42461244.892982937</v>
      </c>
      <c r="Y94" s="2">
        <f t="shared" si="42"/>
        <v>157647.45000000001</v>
      </c>
      <c r="Z94" s="2">
        <f t="shared" si="43"/>
        <v>-17.489999999999998</v>
      </c>
      <c r="AA94" s="2">
        <f t="shared" si="44"/>
        <v>42893202.665842906</v>
      </c>
      <c r="AB94" s="2">
        <f t="shared" si="45"/>
        <v>-431957.77285996825</v>
      </c>
    </row>
    <row r="95" spans="1:28">
      <c r="A95" s="2">
        <v>92</v>
      </c>
      <c r="B95" s="2" t="s">
        <v>490</v>
      </c>
      <c r="C95" s="2" t="s">
        <v>1516</v>
      </c>
      <c r="D95" s="3" t="s">
        <v>37</v>
      </c>
      <c r="E95" s="5" t="s">
        <v>134</v>
      </c>
      <c r="F95" s="2" t="s">
        <v>135</v>
      </c>
      <c r="G95" s="2" t="s">
        <v>54</v>
      </c>
      <c r="H95" s="2" t="s">
        <v>491</v>
      </c>
      <c r="I95" s="2" t="s">
        <v>1641</v>
      </c>
      <c r="J95" s="2" t="s">
        <v>1642</v>
      </c>
      <c r="K95" s="2">
        <f t="shared" si="33"/>
        <v>42461244.892982937</v>
      </c>
      <c r="L95" s="2" t="s">
        <v>1591</v>
      </c>
      <c r="M95" s="2" t="s">
        <v>1559</v>
      </c>
      <c r="N95" s="2" t="s">
        <v>1581</v>
      </c>
      <c r="O95" s="2">
        <v>1208</v>
      </c>
      <c r="P95" s="2">
        <v>511.85394287109381</v>
      </c>
      <c r="Q95" s="2">
        <v>480.15777587890631</v>
      </c>
      <c r="R95" s="2">
        <f t="shared" si="35"/>
        <v>618319.56298828137</v>
      </c>
      <c r="S95" s="2">
        <f t="shared" si="36"/>
        <v>580030.59326171887</v>
      </c>
      <c r="T95" s="2">
        <f t="shared" si="37"/>
        <v>1198350.1562500002</v>
      </c>
      <c r="U95" s="2">
        <f t="shared" si="38"/>
        <v>599.17999999999995</v>
      </c>
      <c r="V95" s="2">
        <f t="shared" si="39"/>
        <v>-38288.9697265625</v>
      </c>
      <c r="W95" s="2">
        <f t="shared" si="40"/>
        <v>-38888.1497265625</v>
      </c>
      <c r="X95" s="2">
        <f t="shared" si="41"/>
        <v>42422356.743256375</v>
      </c>
      <c r="Y95" s="2">
        <f t="shared" si="42"/>
        <v>123663.91</v>
      </c>
      <c r="Z95" s="2">
        <f t="shared" si="43"/>
        <v>-31.45</v>
      </c>
      <c r="AA95" s="2">
        <f t="shared" si="44"/>
        <v>42893202.665842906</v>
      </c>
      <c r="AB95" s="2">
        <f t="shared" si="45"/>
        <v>-470845.92258653045</v>
      </c>
    </row>
    <row r="96" spans="1:28">
      <c r="A96" s="2">
        <v>93</v>
      </c>
      <c r="B96" s="2" t="s">
        <v>493</v>
      </c>
      <c r="C96" s="2" t="s">
        <v>1516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1643</v>
      </c>
      <c r="J96" s="2" t="s">
        <v>1155</v>
      </c>
      <c r="K96" s="2">
        <f t="shared" si="33"/>
        <v>42422356.743256375</v>
      </c>
      <c r="L96" s="2" t="s">
        <v>1572</v>
      </c>
      <c r="M96" s="2" t="s">
        <v>1544</v>
      </c>
      <c r="N96" s="2" t="s">
        <v>1539</v>
      </c>
      <c r="O96" s="2">
        <v>196</v>
      </c>
      <c r="P96" s="2">
        <v>4075.113525390625</v>
      </c>
      <c r="Q96" s="2">
        <v>4249.31884765625</v>
      </c>
      <c r="R96" s="2">
        <f t="shared" si="35"/>
        <v>798722.2509765625</v>
      </c>
      <c r="S96" s="2">
        <f t="shared" si="36"/>
        <v>832866.494140625</v>
      </c>
      <c r="T96" s="2">
        <f t="shared" si="37"/>
        <v>1631588.7451171875</v>
      </c>
      <c r="U96" s="2">
        <f t="shared" si="38"/>
        <v>815.79</v>
      </c>
      <c r="V96" s="2">
        <f t="shared" si="39"/>
        <v>34144.2431640625</v>
      </c>
      <c r="W96" s="2">
        <f t="shared" si="40"/>
        <v>33328.453164062499</v>
      </c>
      <c r="X96" s="2">
        <f t="shared" si="41"/>
        <v>42455685.196420439</v>
      </c>
      <c r="Y96" s="2">
        <f t="shared" si="42"/>
        <v>159744.45000000001</v>
      </c>
      <c r="Z96" s="2">
        <f t="shared" si="43"/>
        <v>20.86</v>
      </c>
      <c r="AA96" s="2">
        <f t="shared" si="44"/>
        <v>42893202.665842906</v>
      </c>
      <c r="AB96" s="2">
        <f t="shared" si="45"/>
        <v>-437517.46942246705</v>
      </c>
    </row>
    <row r="97" spans="1:28">
      <c r="A97" s="2">
        <v>94</v>
      </c>
      <c r="B97" s="2" t="s">
        <v>498</v>
      </c>
      <c r="C97" s="2" t="s">
        <v>1516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1362</v>
      </c>
      <c r="J97" s="2" t="s">
        <v>1363</v>
      </c>
      <c r="K97" s="2">
        <f t="shared" si="33"/>
        <v>42455685.196420439</v>
      </c>
      <c r="L97" s="2" t="s">
        <v>1011</v>
      </c>
      <c r="M97" s="2" t="s">
        <v>967</v>
      </c>
      <c r="N97" s="2" t="s">
        <v>288</v>
      </c>
      <c r="O97" s="2">
        <v>500</v>
      </c>
      <c r="P97" s="2">
        <v>1272.239379882812</v>
      </c>
      <c r="Q97" s="2">
        <v>1053.892944335938</v>
      </c>
      <c r="R97" s="2">
        <f t="shared" si="35"/>
        <v>636119.68994140602</v>
      </c>
      <c r="S97" s="2">
        <f t="shared" si="36"/>
        <v>526946.47216796898</v>
      </c>
      <c r="T97" s="2">
        <f t="shared" si="37"/>
        <v>1163066.162109375</v>
      </c>
      <c r="U97" s="2">
        <f t="shared" si="38"/>
        <v>581.53</v>
      </c>
      <c r="V97" s="2">
        <f t="shared" si="39"/>
        <v>-109173.21777343703</v>
      </c>
      <c r="W97" s="2">
        <f t="shared" si="40"/>
        <v>-109754.74777343703</v>
      </c>
      <c r="X97" s="2">
        <f t="shared" si="41"/>
        <v>42345930.448647</v>
      </c>
      <c r="Y97" s="2">
        <f t="shared" si="42"/>
        <v>127223.94</v>
      </c>
      <c r="Z97" s="2">
        <f t="shared" si="43"/>
        <v>-86.27</v>
      </c>
      <c r="AA97" s="2">
        <f t="shared" si="44"/>
        <v>42893202.665842906</v>
      </c>
      <c r="AB97" s="2">
        <f t="shared" si="45"/>
        <v>-547272.21719590575</v>
      </c>
    </row>
    <row r="98" spans="1:28">
      <c r="A98" s="2">
        <v>95</v>
      </c>
      <c r="B98" s="2" t="s">
        <v>502</v>
      </c>
      <c r="C98" s="2" t="s">
        <v>1516</v>
      </c>
      <c r="D98" s="4" t="s">
        <v>61</v>
      </c>
      <c r="E98" s="5" t="s">
        <v>134</v>
      </c>
      <c r="F98" s="2" t="s">
        <v>135</v>
      </c>
      <c r="G98" s="2" t="s">
        <v>77</v>
      </c>
      <c r="H98" s="2" t="s">
        <v>503</v>
      </c>
      <c r="I98" s="2" t="s">
        <v>805</v>
      </c>
      <c r="J98" s="2" t="s">
        <v>1610</v>
      </c>
      <c r="K98" s="2">
        <f t="shared" si="33"/>
        <v>42345930.448647</v>
      </c>
      <c r="L98" s="2" t="s">
        <v>1374</v>
      </c>
      <c r="M98" s="2" t="s">
        <v>1299</v>
      </c>
      <c r="N98" s="2" t="s">
        <v>1300</v>
      </c>
      <c r="O98" s="2">
        <v>2545</v>
      </c>
      <c r="P98" s="2">
        <v>352.95001220703119</v>
      </c>
      <c r="Q98" s="2">
        <v>351.64999389648437</v>
      </c>
      <c r="R98" s="2">
        <f t="shared" si="35"/>
        <v>898257.78106689441</v>
      </c>
      <c r="S98" s="2">
        <f t="shared" si="36"/>
        <v>894949.23446655273</v>
      </c>
      <c r="T98" s="2">
        <f t="shared" si="37"/>
        <v>1793207.0155334473</v>
      </c>
      <c r="U98" s="2">
        <f t="shared" si="38"/>
        <v>896.6</v>
      </c>
      <c r="V98" s="2">
        <f t="shared" si="39"/>
        <v>-3308.5466003416805</v>
      </c>
      <c r="W98" s="2">
        <f t="shared" si="40"/>
        <v>-4205.1466003416808</v>
      </c>
      <c r="X98" s="2">
        <f t="shared" si="41"/>
        <v>42341725.302046657</v>
      </c>
      <c r="Y98" s="2">
        <f t="shared" si="42"/>
        <v>179651.56</v>
      </c>
      <c r="Z98" s="2">
        <f t="shared" si="43"/>
        <v>-2.34</v>
      </c>
      <c r="AA98" s="2">
        <f t="shared" si="44"/>
        <v>42893202.665842906</v>
      </c>
      <c r="AB98" s="2">
        <f t="shared" si="45"/>
        <v>-551477.36379624903</v>
      </c>
    </row>
    <row r="99" spans="1:28">
      <c r="A99" s="2">
        <v>96</v>
      </c>
      <c r="B99" s="2" t="s">
        <v>506</v>
      </c>
      <c r="C99" s="2" t="s">
        <v>1516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1366</v>
      </c>
      <c r="J99" s="2" t="s">
        <v>1367</v>
      </c>
      <c r="K99" s="2">
        <f t="shared" si="33"/>
        <v>42341725.302046657</v>
      </c>
      <c r="L99" s="2" t="s">
        <v>1055</v>
      </c>
      <c r="M99" s="2" t="s">
        <v>985</v>
      </c>
      <c r="N99" s="2" t="s">
        <v>1014</v>
      </c>
      <c r="O99" s="2">
        <v>400</v>
      </c>
      <c r="P99" s="2">
        <v>1741.550415039062</v>
      </c>
      <c r="Q99" s="2">
        <v>1818.957885742188</v>
      </c>
      <c r="R99" s="2">
        <f t="shared" si="35"/>
        <v>696620.16601562477</v>
      </c>
      <c r="S99" s="2">
        <f t="shared" si="36"/>
        <v>727583.15429687523</v>
      </c>
      <c r="T99" s="2">
        <f t="shared" si="37"/>
        <v>1424203.3203125</v>
      </c>
      <c r="U99" s="2">
        <f t="shared" si="38"/>
        <v>712.1</v>
      </c>
      <c r="V99" s="2">
        <f t="shared" si="39"/>
        <v>30962.988281250466</v>
      </c>
      <c r="W99" s="2">
        <f t="shared" si="40"/>
        <v>30250.888281250467</v>
      </c>
      <c r="X99" s="2">
        <f t="shared" si="41"/>
        <v>42371976.190327905</v>
      </c>
      <c r="Y99" s="2">
        <f t="shared" si="42"/>
        <v>139324.03</v>
      </c>
      <c r="Z99" s="2">
        <f t="shared" si="43"/>
        <v>21.71</v>
      </c>
      <c r="AA99" s="2">
        <f t="shared" si="44"/>
        <v>42893202.665842906</v>
      </c>
      <c r="AB99" s="2">
        <f t="shared" si="45"/>
        <v>-521226.47551500052</v>
      </c>
    </row>
    <row r="100" spans="1:28">
      <c r="A100" s="2">
        <v>97</v>
      </c>
      <c r="B100" s="2" t="s">
        <v>511</v>
      </c>
      <c r="C100" s="2" t="s">
        <v>1516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2" t="s">
        <v>512</v>
      </c>
      <c r="I100" s="2" t="s">
        <v>1644</v>
      </c>
      <c r="J100" s="2" t="s">
        <v>1645</v>
      </c>
      <c r="K100" s="2">
        <f t="shared" si="33"/>
        <v>42371976.190327905</v>
      </c>
      <c r="L100" s="2" t="s">
        <v>1270</v>
      </c>
      <c r="M100" s="2" t="s">
        <v>1255</v>
      </c>
      <c r="N100" s="2" t="s">
        <v>1278</v>
      </c>
      <c r="O100" s="2">
        <v>13336</v>
      </c>
      <c r="P100" s="2">
        <v>183.6199951171875</v>
      </c>
      <c r="Q100" s="2">
        <v>208.55000305175781</v>
      </c>
      <c r="R100" s="2">
        <f t="shared" si="35"/>
        <v>2448756.2548828125</v>
      </c>
      <c r="S100" s="2">
        <f t="shared" si="36"/>
        <v>2781222.8406982422</v>
      </c>
      <c r="T100" s="2">
        <f t="shared" si="37"/>
        <v>5229979.0955810547</v>
      </c>
      <c r="U100" s="2">
        <f t="shared" si="38"/>
        <v>2614.9899999999998</v>
      </c>
      <c r="V100" s="2">
        <f t="shared" si="39"/>
        <v>332466.58581542969</v>
      </c>
      <c r="W100" s="2">
        <f t="shared" si="40"/>
        <v>329851.5958154297</v>
      </c>
      <c r="X100" s="2">
        <f t="shared" si="41"/>
        <v>42701827.786143333</v>
      </c>
      <c r="Y100" s="2">
        <f t="shared" si="42"/>
        <v>489751.25</v>
      </c>
      <c r="Z100" s="2">
        <f t="shared" si="43"/>
        <v>67.349999999999994</v>
      </c>
      <c r="AA100" s="2">
        <f t="shared" si="44"/>
        <v>42893202.665842906</v>
      </c>
      <c r="AB100" s="2">
        <f t="shared" si="45"/>
        <v>-191374.87969957292</v>
      </c>
    </row>
    <row r="101" spans="1:28">
      <c r="A101" s="2">
        <v>98</v>
      </c>
      <c r="B101" s="2" t="s">
        <v>516</v>
      </c>
      <c r="C101" s="2" t="s">
        <v>1516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2" t="s">
        <v>517</v>
      </c>
      <c r="I101" s="2" t="s">
        <v>1646</v>
      </c>
      <c r="J101" s="2" t="s">
        <v>496</v>
      </c>
      <c r="K101" s="2">
        <f t="shared" si="33"/>
        <v>42701827.786143333</v>
      </c>
      <c r="L101" s="2" t="s">
        <v>1621</v>
      </c>
      <c r="M101" s="2" t="s">
        <v>1543</v>
      </c>
      <c r="N101" s="2" t="s">
        <v>1591</v>
      </c>
      <c r="O101" s="2">
        <v>7145</v>
      </c>
      <c r="P101" s="2">
        <v>144.0414123535156</v>
      </c>
      <c r="Q101" s="2">
        <v>151.3335266113281</v>
      </c>
      <c r="R101" s="2">
        <f t="shared" si="35"/>
        <v>1029175.8912658689</v>
      </c>
      <c r="S101" s="2">
        <f t="shared" si="36"/>
        <v>1081278.0476379392</v>
      </c>
      <c r="T101" s="2">
        <f t="shared" si="37"/>
        <v>2110453.9389038081</v>
      </c>
      <c r="U101" s="2">
        <f t="shared" si="38"/>
        <v>1055.23</v>
      </c>
      <c r="V101" s="2">
        <f t="shared" si="39"/>
        <v>52102.156372070313</v>
      </c>
      <c r="W101" s="2">
        <f t="shared" si="40"/>
        <v>51046.926372070309</v>
      </c>
      <c r="X101" s="2">
        <f t="shared" si="41"/>
        <v>42752874.712515406</v>
      </c>
      <c r="Y101" s="2">
        <f t="shared" si="42"/>
        <v>205835.18</v>
      </c>
      <c r="Z101" s="2">
        <f t="shared" si="43"/>
        <v>24.8</v>
      </c>
      <c r="AA101" s="2">
        <f t="shared" si="44"/>
        <v>42893202.665842906</v>
      </c>
      <c r="AB101" s="2">
        <f t="shared" si="45"/>
        <v>-140327.95332749933</v>
      </c>
    </row>
    <row r="102" spans="1:28">
      <c r="A102" s="2">
        <v>99</v>
      </c>
      <c r="B102" s="2" t="s">
        <v>519</v>
      </c>
      <c r="C102" s="2" t="s">
        <v>1516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2" t="s">
        <v>521</v>
      </c>
      <c r="I102" s="2" t="s">
        <v>1647</v>
      </c>
      <c r="J102" s="2" t="s">
        <v>1648</v>
      </c>
      <c r="K102" s="2">
        <f t="shared" si="33"/>
        <v>42752874.712515406</v>
      </c>
      <c r="L102" s="2" t="s">
        <v>1649</v>
      </c>
      <c r="M102" s="2" t="s">
        <v>1585</v>
      </c>
      <c r="N102" s="2" t="s">
        <v>1650</v>
      </c>
      <c r="O102" s="2">
        <v>8341</v>
      </c>
      <c r="P102" s="2">
        <v>102.7551727294922</v>
      </c>
      <c r="Q102" s="2">
        <v>177.30986022949219</v>
      </c>
      <c r="R102" s="2">
        <f t="shared" si="35"/>
        <v>857080.89573669445</v>
      </c>
      <c r="S102" s="2">
        <f t="shared" si="36"/>
        <v>1478941.5441741943</v>
      </c>
      <c r="T102" s="2">
        <f t="shared" si="37"/>
        <v>2336022.4399108887</v>
      </c>
      <c r="U102" s="2">
        <f t="shared" si="38"/>
        <v>1168.01</v>
      </c>
      <c r="V102" s="2">
        <f t="shared" si="39"/>
        <v>621860.64843749988</v>
      </c>
      <c r="W102" s="2">
        <f t="shared" si="40"/>
        <v>620692.63843749987</v>
      </c>
      <c r="X102" s="2">
        <f t="shared" si="41"/>
        <v>43373567.350952908</v>
      </c>
      <c r="Y102" s="2">
        <f t="shared" si="42"/>
        <v>171416.18</v>
      </c>
      <c r="Z102" s="2">
        <f t="shared" si="43"/>
        <v>362.1</v>
      </c>
      <c r="AA102" s="2">
        <f t="shared" si="44"/>
        <v>43373567.350952908</v>
      </c>
      <c r="AB102" s="2">
        <f t="shared" si="45"/>
        <v>0</v>
      </c>
    </row>
    <row r="103" spans="1:28">
      <c r="A103" s="2">
        <v>100</v>
      </c>
      <c r="B103" s="2" t="s">
        <v>525</v>
      </c>
      <c r="C103" s="2" t="s">
        <v>1516</v>
      </c>
      <c r="D103" s="4" t="s">
        <v>61</v>
      </c>
      <c r="E103" s="5" t="s">
        <v>134</v>
      </c>
      <c r="F103" s="2" t="s">
        <v>135</v>
      </c>
      <c r="G103" s="2" t="s">
        <v>97</v>
      </c>
      <c r="H103" s="2" t="s">
        <v>526</v>
      </c>
      <c r="I103" s="2" t="s">
        <v>619</v>
      </c>
      <c r="J103" s="2" t="s">
        <v>1086</v>
      </c>
      <c r="K103" s="2">
        <f t="shared" si="33"/>
        <v>43373567.350952908</v>
      </c>
      <c r="L103" s="2" t="s">
        <v>959</v>
      </c>
      <c r="M103" s="2" t="s">
        <v>979</v>
      </c>
      <c r="N103" s="2" t="s">
        <v>1651</v>
      </c>
      <c r="O103" s="2">
        <v>11813</v>
      </c>
      <c r="P103" s="2">
        <v>151.30000000000001</v>
      </c>
      <c r="Q103" s="2">
        <v>152.80000000000001</v>
      </c>
      <c r="R103" s="2">
        <f t="shared" si="35"/>
        <v>1787306.9000000001</v>
      </c>
      <c r="S103" s="2">
        <f t="shared" si="36"/>
        <v>1805026.4000000001</v>
      </c>
      <c r="T103" s="2">
        <f t="shared" si="37"/>
        <v>3592333.3000000003</v>
      </c>
      <c r="U103" s="2">
        <f t="shared" si="38"/>
        <v>1796.17</v>
      </c>
      <c r="V103" s="2">
        <f t="shared" si="39"/>
        <v>17719.5</v>
      </c>
      <c r="W103" s="2">
        <f t="shared" si="40"/>
        <v>15923.33</v>
      </c>
      <c r="X103" s="2">
        <f t="shared" si="41"/>
        <v>43389490.680952907</v>
      </c>
      <c r="Y103" s="2">
        <f t="shared" si="42"/>
        <v>357461.38</v>
      </c>
      <c r="Z103" s="2">
        <f t="shared" si="43"/>
        <v>4.45</v>
      </c>
      <c r="AA103" s="2">
        <f t="shared" si="44"/>
        <v>43389490.680952907</v>
      </c>
      <c r="AB103" s="2">
        <f t="shared" si="45"/>
        <v>0</v>
      </c>
    </row>
    <row r="104" spans="1:28">
      <c r="A104" s="2">
        <v>101</v>
      </c>
      <c r="B104" s="2" t="s">
        <v>527</v>
      </c>
      <c r="C104" s="2" t="s">
        <v>1516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152</v>
      </c>
      <c r="J104" s="2" t="s">
        <v>276</v>
      </c>
      <c r="K104" s="2">
        <f t="shared" si="33"/>
        <v>43389490.680952907</v>
      </c>
      <c r="L104" s="2" t="s">
        <v>999</v>
      </c>
      <c r="M104" s="2" t="s">
        <v>289</v>
      </c>
      <c r="N104" s="2" t="s">
        <v>288</v>
      </c>
      <c r="O104" s="2">
        <v>1600</v>
      </c>
      <c r="P104" s="2">
        <v>429.69107055664062</v>
      </c>
      <c r="Q104" s="2">
        <v>442.4713134765625</v>
      </c>
      <c r="R104" s="2">
        <f t="shared" si="35"/>
        <v>687505.712890625</v>
      </c>
      <c r="S104" s="2">
        <f t="shared" si="36"/>
        <v>707954.1015625</v>
      </c>
      <c r="T104" s="2">
        <f t="shared" si="37"/>
        <v>1395459.814453125</v>
      </c>
      <c r="U104" s="2">
        <f t="shared" si="38"/>
        <v>697.73</v>
      </c>
      <c r="V104" s="2">
        <f t="shared" si="39"/>
        <v>20448.388671875</v>
      </c>
      <c r="W104" s="2">
        <f t="shared" si="40"/>
        <v>19750.658671875</v>
      </c>
      <c r="X104" s="2">
        <f t="shared" si="41"/>
        <v>43409241.339624785</v>
      </c>
      <c r="Y104" s="2">
        <f t="shared" si="42"/>
        <v>137501.14000000001</v>
      </c>
      <c r="Z104" s="2">
        <f t="shared" si="43"/>
        <v>14.36</v>
      </c>
      <c r="AA104" s="2">
        <f t="shared" si="44"/>
        <v>43409241.339624785</v>
      </c>
      <c r="AB104" s="2">
        <f t="shared" si="45"/>
        <v>0</v>
      </c>
    </row>
    <row r="105" spans="1:28">
      <c r="A105" s="2">
        <v>102</v>
      </c>
      <c r="B105" s="2" t="s">
        <v>530</v>
      </c>
      <c r="C105" s="2" t="s">
        <v>1516</v>
      </c>
      <c r="D105" s="3" t="s">
        <v>37</v>
      </c>
      <c r="E105" s="5" t="s">
        <v>134</v>
      </c>
      <c r="F105" s="2" t="s">
        <v>135</v>
      </c>
      <c r="G105" s="2" t="s">
        <v>77</v>
      </c>
      <c r="H105" s="2" t="s">
        <v>531</v>
      </c>
      <c r="I105" s="2" t="s">
        <v>1652</v>
      </c>
      <c r="J105" s="2" t="s">
        <v>1435</v>
      </c>
      <c r="K105" s="2">
        <f t="shared" si="33"/>
        <v>43409241.339624785</v>
      </c>
      <c r="L105" s="2" t="s">
        <v>1565</v>
      </c>
      <c r="M105" s="2" t="s">
        <v>1603</v>
      </c>
      <c r="N105" s="2" t="s">
        <v>1555</v>
      </c>
      <c r="O105" s="2">
        <v>914</v>
      </c>
      <c r="P105" s="2">
        <v>917.55554199218761</v>
      </c>
      <c r="Q105" s="2">
        <v>989.51190185546875</v>
      </c>
      <c r="R105" s="2">
        <f t="shared" si="35"/>
        <v>838645.76538085949</v>
      </c>
      <c r="S105" s="2">
        <f t="shared" si="36"/>
        <v>904413.87829589844</v>
      </c>
      <c r="T105" s="2">
        <f t="shared" si="37"/>
        <v>1743059.6436767578</v>
      </c>
      <c r="U105" s="2">
        <f t="shared" si="38"/>
        <v>871.53</v>
      </c>
      <c r="V105" s="2">
        <f t="shared" si="39"/>
        <v>65768.112915038946</v>
      </c>
      <c r="W105" s="2">
        <f t="shared" si="40"/>
        <v>64896.582915038947</v>
      </c>
      <c r="X105" s="2">
        <f t="shared" si="41"/>
        <v>43474137.922539823</v>
      </c>
      <c r="Y105" s="2">
        <f t="shared" si="42"/>
        <v>167729.15</v>
      </c>
      <c r="Z105" s="2">
        <f t="shared" si="43"/>
        <v>38.69</v>
      </c>
      <c r="AA105" s="2">
        <f t="shared" si="44"/>
        <v>43474137.922539823</v>
      </c>
      <c r="AB105" s="2">
        <f t="shared" si="45"/>
        <v>0</v>
      </c>
    </row>
    <row r="106" spans="1:28">
      <c r="A106" s="2">
        <v>103</v>
      </c>
      <c r="B106" s="2" t="s">
        <v>534</v>
      </c>
      <c r="C106" s="2" t="s">
        <v>1516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158</v>
      </c>
      <c r="J106" s="2" t="s">
        <v>1319</v>
      </c>
      <c r="K106" s="2">
        <f t="shared" si="33"/>
        <v>43474137.922539823</v>
      </c>
      <c r="L106" s="2" t="s">
        <v>1014</v>
      </c>
      <c r="M106" s="2" t="s">
        <v>288</v>
      </c>
      <c r="N106" s="2" t="s">
        <v>970</v>
      </c>
      <c r="O106" s="2">
        <v>4127</v>
      </c>
      <c r="P106" s="2">
        <v>315.60784912109369</v>
      </c>
      <c r="Q106" s="2">
        <v>328.63754272460937</v>
      </c>
      <c r="R106" s="2">
        <f t="shared" si="35"/>
        <v>1302513.5933227537</v>
      </c>
      <c r="S106" s="2">
        <f t="shared" si="36"/>
        <v>1356287.1388244629</v>
      </c>
      <c r="T106" s="2">
        <f t="shared" si="37"/>
        <v>2658800.7321472168</v>
      </c>
      <c r="U106" s="2">
        <f t="shared" si="38"/>
        <v>1329.4</v>
      </c>
      <c r="V106" s="2">
        <f t="shared" si="39"/>
        <v>53773.545501709217</v>
      </c>
      <c r="W106" s="2">
        <f t="shared" si="40"/>
        <v>52444.145501709216</v>
      </c>
      <c r="X106" s="2">
        <f t="shared" si="41"/>
        <v>43526582.068041533</v>
      </c>
      <c r="Y106" s="2">
        <f t="shared" si="42"/>
        <v>260502.72</v>
      </c>
      <c r="Z106" s="2">
        <f t="shared" si="43"/>
        <v>20.13</v>
      </c>
      <c r="AA106" s="2">
        <f t="shared" si="44"/>
        <v>43526582.068041533</v>
      </c>
      <c r="AB106" s="2">
        <f t="shared" si="45"/>
        <v>0</v>
      </c>
    </row>
    <row r="107" spans="1:28">
      <c r="A107" s="2">
        <v>104</v>
      </c>
      <c r="B107" s="2" t="s">
        <v>539</v>
      </c>
      <c r="C107" s="2" t="s">
        <v>1516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2" t="s">
        <v>257</v>
      </c>
      <c r="I107" s="2" t="s">
        <v>286</v>
      </c>
      <c r="J107" s="2" t="s">
        <v>1144</v>
      </c>
      <c r="K107" s="2">
        <f t="shared" si="33"/>
        <v>43526582.068041533</v>
      </c>
      <c r="L107" s="2" t="s">
        <v>1298</v>
      </c>
      <c r="M107" s="2" t="s">
        <v>1566</v>
      </c>
      <c r="N107" s="2" t="s">
        <v>1543</v>
      </c>
      <c r="O107" s="2">
        <v>1839</v>
      </c>
      <c r="P107" s="2">
        <v>551.35845947265625</v>
      </c>
      <c r="Q107" s="2">
        <v>596.92156982421875</v>
      </c>
      <c r="R107" s="2">
        <f t="shared" si="35"/>
        <v>1013948.2069702148</v>
      </c>
      <c r="S107" s="2">
        <f t="shared" si="36"/>
        <v>1097738.7669067383</v>
      </c>
      <c r="T107" s="2">
        <f t="shared" si="37"/>
        <v>2111686.9738769531</v>
      </c>
      <c r="U107" s="2">
        <f t="shared" si="38"/>
        <v>1055.8399999999999</v>
      </c>
      <c r="V107" s="2">
        <f t="shared" si="39"/>
        <v>83790.559936523438</v>
      </c>
      <c r="W107" s="2">
        <f t="shared" si="40"/>
        <v>82734.719936523441</v>
      </c>
      <c r="X107" s="2">
        <f t="shared" si="41"/>
        <v>43609316.787978053</v>
      </c>
      <c r="Y107" s="2">
        <f t="shared" si="42"/>
        <v>202789.64</v>
      </c>
      <c r="Z107" s="2">
        <f t="shared" si="43"/>
        <v>40.799999999999997</v>
      </c>
      <c r="AA107" s="2">
        <f t="shared" si="44"/>
        <v>43609316.787978053</v>
      </c>
      <c r="AB107" s="2">
        <f t="shared" si="45"/>
        <v>0</v>
      </c>
    </row>
    <row r="108" spans="1:28">
      <c r="A108" s="2">
        <v>105</v>
      </c>
      <c r="B108" s="2" t="s">
        <v>542</v>
      </c>
      <c r="C108" s="2" t="s">
        <v>1516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57</v>
      </c>
      <c r="J108" s="2" t="s">
        <v>1378</v>
      </c>
      <c r="K108" s="2">
        <f t="shared" si="33"/>
        <v>43609316.787978053</v>
      </c>
      <c r="L108" s="2" t="s">
        <v>970</v>
      </c>
      <c r="M108" s="2" t="s">
        <v>967</v>
      </c>
      <c r="N108" s="2" t="s">
        <v>957</v>
      </c>
      <c r="O108" s="2">
        <v>675</v>
      </c>
      <c r="P108" s="2">
        <v>984.28070068359375</v>
      </c>
      <c r="Q108" s="2">
        <v>955.57330322265625</v>
      </c>
      <c r="R108" s="2">
        <f t="shared" si="35"/>
        <v>664389.47296142578</v>
      </c>
      <c r="S108" s="2">
        <f t="shared" si="36"/>
        <v>645011.97967529297</v>
      </c>
      <c r="T108" s="2">
        <f t="shared" si="37"/>
        <v>1309401.4526367187</v>
      </c>
      <c r="U108" s="2">
        <f t="shared" si="38"/>
        <v>654.70000000000005</v>
      </c>
      <c r="V108" s="2">
        <f t="shared" si="39"/>
        <v>-19377.493286132813</v>
      </c>
      <c r="W108" s="2">
        <f t="shared" si="40"/>
        <v>-20032.193286132813</v>
      </c>
      <c r="X108" s="2">
        <f t="shared" si="41"/>
        <v>43589284.594691917</v>
      </c>
      <c r="Y108" s="2">
        <f t="shared" si="42"/>
        <v>132877.89000000001</v>
      </c>
      <c r="Z108" s="2">
        <f t="shared" si="43"/>
        <v>-15.08</v>
      </c>
      <c r="AA108" s="2">
        <f t="shared" si="44"/>
        <v>43609316.787978053</v>
      </c>
      <c r="AB108" s="2">
        <f t="shared" si="45"/>
        <v>-20032.193286135793</v>
      </c>
    </row>
    <row r="109" spans="1:28">
      <c r="A109" s="2">
        <v>106</v>
      </c>
      <c r="B109" s="2" t="s">
        <v>547</v>
      </c>
      <c r="C109" s="2" t="s">
        <v>1516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2" t="s">
        <v>548</v>
      </c>
      <c r="I109" s="2" t="s">
        <v>1653</v>
      </c>
      <c r="J109" s="2" t="s">
        <v>85</v>
      </c>
      <c r="K109" s="2">
        <f t="shared" si="33"/>
        <v>43589284.594691917</v>
      </c>
      <c r="L109" s="2" t="s">
        <v>1555</v>
      </c>
      <c r="M109" s="2" t="s">
        <v>1615</v>
      </c>
      <c r="N109" s="2" t="s">
        <v>1613</v>
      </c>
      <c r="O109" s="2">
        <v>2273</v>
      </c>
      <c r="P109" s="2">
        <v>470.86001586914062</v>
      </c>
      <c r="Q109" s="2">
        <v>494.70101928710937</v>
      </c>
      <c r="R109" s="2">
        <f t="shared" si="35"/>
        <v>1070264.8160705566</v>
      </c>
      <c r="S109" s="2">
        <f t="shared" si="36"/>
        <v>1124455.4168395996</v>
      </c>
      <c r="T109" s="2">
        <f t="shared" si="37"/>
        <v>2194720.2329101563</v>
      </c>
      <c r="U109" s="2">
        <f t="shared" si="38"/>
        <v>1097.3599999999999</v>
      </c>
      <c r="V109" s="2">
        <f t="shared" si="39"/>
        <v>54190.600769042969</v>
      </c>
      <c r="W109" s="2">
        <f t="shared" si="40"/>
        <v>53093.240769042968</v>
      </c>
      <c r="X109" s="2">
        <f t="shared" si="41"/>
        <v>43642377.835460961</v>
      </c>
      <c r="Y109" s="2">
        <f t="shared" si="42"/>
        <v>214052.96</v>
      </c>
      <c r="Z109" s="2">
        <f t="shared" si="43"/>
        <v>24.8</v>
      </c>
      <c r="AA109" s="2">
        <f t="shared" si="44"/>
        <v>43642377.835460961</v>
      </c>
      <c r="AB109" s="2">
        <f t="shared" si="45"/>
        <v>0</v>
      </c>
    </row>
    <row r="110" spans="1:28">
      <c r="A110" s="2">
        <v>107</v>
      </c>
      <c r="B110" s="2" t="s">
        <v>551</v>
      </c>
      <c r="C110" s="2" t="s">
        <v>1516</v>
      </c>
      <c r="D110" s="4" t="s">
        <v>61</v>
      </c>
      <c r="E110" s="5" t="s">
        <v>134</v>
      </c>
      <c r="F110" s="2" t="s">
        <v>135</v>
      </c>
      <c r="G110" s="2" t="s">
        <v>77</v>
      </c>
      <c r="H110" s="2" t="s">
        <v>145</v>
      </c>
      <c r="I110" s="2" t="s">
        <v>1654</v>
      </c>
      <c r="J110" s="2" t="s">
        <v>1655</v>
      </c>
      <c r="K110" s="2">
        <f t="shared" si="33"/>
        <v>43642377.835460961</v>
      </c>
      <c r="L110" s="2" t="s">
        <v>1543</v>
      </c>
      <c r="M110" s="2" t="s">
        <v>1572</v>
      </c>
      <c r="N110" s="2" t="s">
        <v>1559</v>
      </c>
      <c r="O110" s="2">
        <v>1575</v>
      </c>
      <c r="P110" s="2">
        <v>398.04043579101563</v>
      </c>
      <c r="Q110" s="2">
        <v>386.50015258789062</v>
      </c>
      <c r="R110" s="2">
        <f t="shared" si="35"/>
        <v>626913.68637084961</v>
      </c>
      <c r="S110" s="2">
        <f t="shared" si="36"/>
        <v>608737.74032592773</v>
      </c>
      <c r="T110" s="2">
        <f t="shared" si="37"/>
        <v>1235651.4266967773</v>
      </c>
      <c r="U110" s="2">
        <f t="shared" si="38"/>
        <v>617.83000000000004</v>
      </c>
      <c r="V110" s="2">
        <f t="shared" si="39"/>
        <v>-18175.946044921875</v>
      </c>
      <c r="W110" s="2">
        <f t="shared" si="40"/>
        <v>-18793.776044921877</v>
      </c>
      <c r="X110" s="2">
        <f t="shared" si="41"/>
        <v>43623584.059416041</v>
      </c>
      <c r="Y110" s="2">
        <f t="shared" si="42"/>
        <v>125382.74</v>
      </c>
      <c r="Z110" s="2">
        <f t="shared" si="43"/>
        <v>-14.99</v>
      </c>
      <c r="AA110" s="2">
        <f t="shared" si="44"/>
        <v>43642377.835460961</v>
      </c>
      <c r="AB110" s="2">
        <f t="shared" si="45"/>
        <v>-18793.776044920087</v>
      </c>
    </row>
    <row r="111" spans="1:28">
      <c r="A111" s="2">
        <v>108</v>
      </c>
      <c r="B111" s="2" t="s">
        <v>554</v>
      </c>
      <c r="C111" s="2" t="s">
        <v>1516</v>
      </c>
      <c r="D111" s="3" t="s">
        <v>37</v>
      </c>
      <c r="E111" s="5" t="s">
        <v>134</v>
      </c>
      <c r="F111" s="2" t="s">
        <v>135</v>
      </c>
      <c r="G111" s="2" t="s">
        <v>54</v>
      </c>
      <c r="H111" s="2" t="s">
        <v>555</v>
      </c>
      <c r="I111" s="2" t="s">
        <v>1656</v>
      </c>
      <c r="J111" s="2" t="s">
        <v>1657</v>
      </c>
      <c r="K111" s="2">
        <f t="shared" si="33"/>
        <v>43623584.059416041</v>
      </c>
      <c r="L111" s="2" t="s">
        <v>1572</v>
      </c>
      <c r="M111" s="2" t="s">
        <v>1539</v>
      </c>
      <c r="N111" s="2" t="s">
        <v>1558</v>
      </c>
      <c r="O111" s="2">
        <v>276</v>
      </c>
      <c r="P111" s="2">
        <v>2465.64990234375</v>
      </c>
      <c r="Q111" s="2">
        <v>3342.5</v>
      </c>
      <c r="R111" s="2">
        <f t="shared" si="35"/>
        <v>680519.373046875</v>
      </c>
      <c r="S111" s="2">
        <f t="shared" si="36"/>
        <v>922530</v>
      </c>
      <c r="T111" s="2">
        <f t="shared" si="37"/>
        <v>1603049.373046875</v>
      </c>
      <c r="U111" s="2">
        <f t="shared" si="38"/>
        <v>801.52</v>
      </c>
      <c r="V111" s="2">
        <f t="shared" si="39"/>
        <v>242010.626953125</v>
      </c>
      <c r="W111" s="2">
        <f t="shared" si="40"/>
        <v>241209.10695312501</v>
      </c>
      <c r="X111" s="2">
        <f t="shared" si="41"/>
        <v>43864793.166369162</v>
      </c>
      <c r="Y111" s="2">
        <f t="shared" si="42"/>
        <v>136103.87</v>
      </c>
      <c r="Z111" s="2">
        <f t="shared" si="43"/>
        <v>177.22</v>
      </c>
      <c r="AA111" s="2">
        <f t="shared" si="44"/>
        <v>43864793.166369162</v>
      </c>
      <c r="AB111" s="2">
        <f t="shared" si="45"/>
        <v>0</v>
      </c>
    </row>
    <row r="112" spans="1:28">
      <c r="A112" s="2">
        <v>109</v>
      </c>
      <c r="B112" s="2" t="s">
        <v>558</v>
      </c>
      <c r="C112" s="2" t="s">
        <v>1516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2" t="s">
        <v>559</v>
      </c>
      <c r="I112" s="2" t="s">
        <v>584</v>
      </c>
      <c r="J112" s="2" t="s">
        <v>1474</v>
      </c>
      <c r="K112" s="2">
        <f t="shared" si="33"/>
        <v>43864793.166369162</v>
      </c>
      <c r="L112" s="2" t="s">
        <v>1580</v>
      </c>
      <c r="M112" s="2" t="s">
        <v>1565</v>
      </c>
      <c r="N112" s="2" t="s">
        <v>1557</v>
      </c>
      <c r="O112" s="2">
        <v>208</v>
      </c>
      <c r="P112" s="2">
        <v>3833.498291015625</v>
      </c>
      <c r="Q112" s="2">
        <v>3810.14794921875</v>
      </c>
      <c r="R112" s="2">
        <f t="shared" si="35"/>
        <v>797367.64453125</v>
      </c>
      <c r="S112" s="2">
        <f t="shared" si="36"/>
        <v>792510.7734375</v>
      </c>
      <c r="T112" s="2">
        <f t="shared" si="37"/>
        <v>1589878.41796875</v>
      </c>
      <c r="U112" s="2">
        <f t="shared" si="38"/>
        <v>794.94</v>
      </c>
      <c r="V112" s="2">
        <f t="shared" si="39"/>
        <v>-4856.87109375</v>
      </c>
      <c r="W112" s="2">
        <f t="shared" si="40"/>
        <v>-5651.8110937500005</v>
      </c>
      <c r="X112" s="2">
        <f t="shared" si="41"/>
        <v>43859141.355275415</v>
      </c>
      <c r="Y112" s="2">
        <f t="shared" si="42"/>
        <v>159473.53</v>
      </c>
      <c r="Z112" s="2">
        <f t="shared" si="43"/>
        <v>-3.54</v>
      </c>
      <c r="AA112" s="2">
        <f t="shared" si="44"/>
        <v>43864793.166369162</v>
      </c>
      <c r="AB112" s="2">
        <f t="shared" si="45"/>
        <v>-5651.8110937476158</v>
      </c>
    </row>
    <row r="113" spans="1:28">
      <c r="A113" s="2">
        <v>110</v>
      </c>
      <c r="B113" s="2" t="s">
        <v>562</v>
      </c>
      <c r="C113" s="2" t="s">
        <v>1516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2" t="s">
        <v>563</v>
      </c>
      <c r="I113" s="2" t="s">
        <v>1658</v>
      </c>
      <c r="J113" s="2" t="s">
        <v>1659</v>
      </c>
      <c r="K113" s="2">
        <f t="shared" si="33"/>
        <v>43859141.355275415</v>
      </c>
      <c r="L113" s="2" t="s">
        <v>1638</v>
      </c>
      <c r="M113" s="2" t="s">
        <v>1591</v>
      </c>
      <c r="N113" s="2" t="s">
        <v>1298</v>
      </c>
      <c r="O113" s="2">
        <v>1063</v>
      </c>
      <c r="P113" s="2">
        <v>602.7965087890625</v>
      </c>
      <c r="Q113" s="2">
        <v>730.8499755859375</v>
      </c>
      <c r="R113" s="2">
        <f t="shared" si="35"/>
        <v>640772.68884277344</v>
      </c>
      <c r="S113" s="2">
        <f t="shared" si="36"/>
        <v>776893.52404785156</v>
      </c>
      <c r="T113" s="2">
        <f t="shared" si="37"/>
        <v>1417666.212890625</v>
      </c>
      <c r="U113" s="2">
        <f t="shared" si="38"/>
        <v>708.83</v>
      </c>
      <c r="V113" s="2">
        <f t="shared" si="39"/>
        <v>136120.83520507813</v>
      </c>
      <c r="W113" s="2">
        <f t="shared" si="40"/>
        <v>135412.00520507814</v>
      </c>
      <c r="X113" s="2">
        <f t="shared" si="41"/>
        <v>43994553.360480495</v>
      </c>
      <c r="Y113" s="2">
        <f t="shared" si="42"/>
        <v>128154.54</v>
      </c>
      <c r="Z113" s="2">
        <f t="shared" si="43"/>
        <v>105.66</v>
      </c>
      <c r="AA113" s="2">
        <f t="shared" si="44"/>
        <v>43994553.360480495</v>
      </c>
      <c r="AB113" s="2">
        <f t="shared" si="45"/>
        <v>0</v>
      </c>
    </row>
    <row r="114" spans="1:28">
      <c r="A114" s="2">
        <v>111</v>
      </c>
      <c r="B114" s="2" t="s">
        <v>566</v>
      </c>
      <c r="C114" s="2" t="s">
        <v>1516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1387</v>
      </c>
      <c r="J114" s="2" t="s">
        <v>453</v>
      </c>
      <c r="K114" s="2">
        <f t="shared" si="33"/>
        <v>43994553.360480495</v>
      </c>
      <c r="L114" s="2" t="s">
        <v>1052</v>
      </c>
      <c r="M114" s="2" t="s">
        <v>966</v>
      </c>
      <c r="N114" s="2" t="s">
        <v>1161</v>
      </c>
      <c r="O114" s="2">
        <v>400</v>
      </c>
      <c r="P114" s="2">
        <v>352.22390747070312</v>
      </c>
      <c r="Q114" s="2">
        <v>374.83782958984381</v>
      </c>
      <c r="R114" s="2">
        <f t="shared" si="35"/>
        <v>140889.56298828125</v>
      </c>
      <c r="S114" s="2">
        <f t="shared" si="36"/>
        <v>149935.13183593753</v>
      </c>
      <c r="T114" s="2">
        <f t="shared" si="37"/>
        <v>290824.69482421875</v>
      </c>
      <c r="U114" s="2">
        <f t="shared" si="38"/>
        <v>145.41</v>
      </c>
      <c r="V114" s="2">
        <f t="shared" si="39"/>
        <v>9045.5688476562791</v>
      </c>
      <c r="W114" s="2">
        <f t="shared" si="40"/>
        <v>8900.1588476562792</v>
      </c>
      <c r="X114" s="2">
        <f t="shared" si="41"/>
        <v>44003453.519328155</v>
      </c>
      <c r="Y114" s="2">
        <f t="shared" si="42"/>
        <v>28177.91</v>
      </c>
      <c r="Z114" s="2">
        <f t="shared" si="43"/>
        <v>31.59</v>
      </c>
      <c r="AA114" s="2">
        <f t="shared" si="44"/>
        <v>44003453.519328155</v>
      </c>
      <c r="AB114" s="2">
        <f t="shared" si="45"/>
        <v>0</v>
      </c>
    </row>
    <row r="115" spans="1:28">
      <c r="A115" s="2">
        <v>112</v>
      </c>
      <c r="B115" s="2" t="s">
        <v>570</v>
      </c>
      <c r="C115" s="2" t="s">
        <v>1516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2" t="s">
        <v>571</v>
      </c>
      <c r="I115" s="2" t="s">
        <v>726</v>
      </c>
      <c r="J115" s="2" t="s">
        <v>1660</v>
      </c>
      <c r="K115" s="2">
        <f t="shared" si="33"/>
        <v>44003453.519328155</v>
      </c>
      <c r="L115" s="2" t="s">
        <v>1580</v>
      </c>
      <c r="M115" s="2" t="s">
        <v>1591</v>
      </c>
      <c r="N115" s="2" t="s">
        <v>1298</v>
      </c>
      <c r="O115" s="2">
        <v>1695</v>
      </c>
      <c r="P115" s="2">
        <v>1362.690795898438</v>
      </c>
      <c r="Q115" s="2">
        <v>1476.903076171875</v>
      </c>
      <c r="R115" s="2">
        <f t="shared" si="35"/>
        <v>2309760.8990478525</v>
      </c>
      <c r="S115" s="2">
        <f t="shared" si="36"/>
        <v>2503350.7141113281</v>
      </c>
      <c r="T115" s="2">
        <f t="shared" si="37"/>
        <v>4813111.6131591806</v>
      </c>
      <c r="U115" s="2">
        <f t="shared" si="38"/>
        <v>2406.56</v>
      </c>
      <c r="V115" s="2">
        <f t="shared" si="39"/>
        <v>193589.81506347563</v>
      </c>
      <c r="W115" s="2">
        <f t="shared" si="40"/>
        <v>191183.25506347563</v>
      </c>
      <c r="X115" s="2">
        <f t="shared" si="41"/>
        <v>44194636.774391629</v>
      </c>
      <c r="Y115" s="2">
        <f t="shared" si="42"/>
        <v>461952.18</v>
      </c>
      <c r="Z115" s="2">
        <f t="shared" si="43"/>
        <v>41.39</v>
      </c>
      <c r="AA115" s="2">
        <f t="shared" si="44"/>
        <v>44194636.774391629</v>
      </c>
      <c r="AB115" s="2">
        <f t="shared" si="45"/>
        <v>0</v>
      </c>
    </row>
    <row r="116" spans="1:28">
      <c r="A116" s="2">
        <v>113</v>
      </c>
      <c r="B116" s="2" t="s">
        <v>574</v>
      </c>
      <c r="C116" s="2" t="s">
        <v>1516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2" t="s">
        <v>575</v>
      </c>
      <c r="I116" s="2" t="s">
        <v>1661</v>
      </c>
      <c r="J116" s="2" t="s">
        <v>1662</v>
      </c>
      <c r="K116" s="2">
        <f t="shared" si="33"/>
        <v>44194636.774391629</v>
      </c>
      <c r="L116" s="2" t="s">
        <v>1375</v>
      </c>
      <c r="M116" s="2" t="s">
        <v>1467</v>
      </c>
      <c r="N116" s="2" t="s">
        <v>1374</v>
      </c>
      <c r="O116" s="2">
        <v>561</v>
      </c>
      <c r="P116" s="2">
        <v>434.79937744140631</v>
      </c>
      <c r="Q116" s="2">
        <v>424.40081787109381</v>
      </c>
      <c r="R116" s="2">
        <f t="shared" si="35"/>
        <v>243922.45074462894</v>
      </c>
      <c r="S116" s="2">
        <f t="shared" si="36"/>
        <v>238088.85882568362</v>
      </c>
      <c r="T116" s="2">
        <f t="shared" si="37"/>
        <v>482011.30957031256</v>
      </c>
      <c r="U116" s="2">
        <f t="shared" si="38"/>
        <v>241.01</v>
      </c>
      <c r="V116" s="2">
        <f t="shared" si="39"/>
        <v>-5833.5919189453125</v>
      </c>
      <c r="W116" s="2">
        <f t="shared" si="40"/>
        <v>-6074.6019189453127</v>
      </c>
      <c r="X116" s="2">
        <f t="shared" si="41"/>
        <v>44188562.172472686</v>
      </c>
      <c r="Y116" s="2">
        <f t="shared" si="42"/>
        <v>48784.49</v>
      </c>
      <c r="Z116" s="2">
        <f t="shared" si="43"/>
        <v>-12.45</v>
      </c>
      <c r="AA116" s="2">
        <f t="shared" si="44"/>
        <v>44194636.774391629</v>
      </c>
      <c r="AB116" s="2">
        <f t="shared" si="45"/>
        <v>-6074.6019189432263</v>
      </c>
    </row>
    <row r="117" spans="1:28">
      <c r="A117" s="2">
        <v>114</v>
      </c>
      <c r="B117" s="2" t="s">
        <v>578</v>
      </c>
      <c r="C117" s="2" t="s">
        <v>1516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2" t="s">
        <v>65</v>
      </c>
      <c r="I117" s="2" t="s">
        <v>1663</v>
      </c>
      <c r="J117" s="2" t="s">
        <v>1664</v>
      </c>
      <c r="K117" s="2">
        <f t="shared" si="33"/>
        <v>44188562.172472686</v>
      </c>
      <c r="L117" s="2" t="s">
        <v>1572</v>
      </c>
      <c r="M117" s="2" t="s">
        <v>1613</v>
      </c>
      <c r="N117" s="2" t="s">
        <v>1603</v>
      </c>
      <c r="O117" s="2">
        <v>1848</v>
      </c>
      <c r="P117" s="2">
        <v>606.13153076171875</v>
      </c>
      <c r="Q117" s="2">
        <v>635.70843505859375</v>
      </c>
      <c r="R117" s="2">
        <f t="shared" si="35"/>
        <v>1120131.0688476563</v>
      </c>
      <c r="S117" s="2">
        <f t="shared" si="36"/>
        <v>1174789.1879882813</v>
      </c>
      <c r="T117" s="2">
        <f t="shared" si="37"/>
        <v>2294920.2568359375</v>
      </c>
      <c r="U117" s="2">
        <f t="shared" si="38"/>
        <v>1147.46</v>
      </c>
      <c r="V117" s="2">
        <f t="shared" si="39"/>
        <v>54658.119140625</v>
      </c>
      <c r="W117" s="2">
        <f t="shared" si="40"/>
        <v>53510.659140625001</v>
      </c>
      <c r="X117" s="2">
        <f t="shared" si="41"/>
        <v>44242072.83161331</v>
      </c>
      <c r="Y117" s="2">
        <f t="shared" si="42"/>
        <v>224026.21</v>
      </c>
      <c r="Z117" s="2">
        <f t="shared" si="43"/>
        <v>23.89</v>
      </c>
      <c r="AA117" s="2">
        <f t="shared" si="44"/>
        <v>44242072.83161331</v>
      </c>
      <c r="AB117" s="2">
        <f t="shared" si="45"/>
        <v>0</v>
      </c>
    </row>
    <row r="118" spans="1:28">
      <c r="A118" s="2">
        <v>115</v>
      </c>
      <c r="B118" s="2" t="s">
        <v>581</v>
      </c>
      <c r="C118" s="2" t="s">
        <v>1516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1182</v>
      </c>
      <c r="J118" s="2" t="s">
        <v>1665</v>
      </c>
      <c r="K118" s="2">
        <f t="shared" si="33"/>
        <v>44242072.83161331</v>
      </c>
      <c r="L118" s="2" t="s">
        <v>1666</v>
      </c>
      <c r="M118" s="2" t="s">
        <v>1667</v>
      </c>
      <c r="N118" s="2" t="s">
        <v>1668</v>
      </c>
      <c r="O118" s="2">
        <v>2364</v>
      </c>
      <c r="P118" s="2">
        <v>440.05947875976562</v>
      </c>
      <c r="Q118" s="2">
        <v>441.08541870117187</v>
      </c>
      <c r="R118" s="2">
        <f t="shared" si="35"/>
        <v>1040300.6077880859</v>
      </c>
      <c r="S118" s="2">
        <f t="shared" si="36"/>
        <v>1042725.9298095703</v>
      </c>
      <c r="T118" s="2">
        <f t="shared" si="37"/>
        <v>2083026.5375976563</v>
      </c>
      <c r="U118" s="2">
        <f t="shared" si="38"/>
        <v>1041.51</v>
      </c>
      <c r="V118" s="2">
        <f t="shared" si="39"/>
        <v>2425.322021484375</v>
      </c>
      <c r="W118" s="2">
        <f t="shared" si="40"/>
        <v>1383.812021484375</v>
      </c>
      <c r="X118" s="2">
        <f t="shared" si="41"/>
        <v>44243456.643634796</v>
      </c>
      <c r="Y118" s="2">
        <f t="shared" si="42"/>
        <v>208060.12</v>
      </c>
      <c r="Z118" s="2">
        <f t="shared" si="43"/>
        <v>0.67</v>
      </c>
      <c r="AA118" s="2">
        <f t="shared" si="44"/>
        <v>44243456.643634796</v>
      </c>
      <c r="AB118" s="2">
        <f t="shared" si="45"/>
        <v>0</v>
      </c>
    </row>
    <row r="119" spans="1:28">
      <c r="A119" s="2">
        <v>116</v>
      </c>
      <c r="B119" s="2" t="s">
        <v>586</v>
      </c>
      <c r="C119" s="2" t="s">
        <v>1516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2" t="s">
        <v>587</v>
      </c>
      <c r="I119" s="2" t="s">
        <v>1669</v>
      </c>
      <c r="J119" s="2" t="s">
        <v>1538</v>
      </c>
      <c r="K119" s="2">
        <f t="shared" si="33"/>
        <v>44243456.643634796</v>
      </c>
      <c r="L119" s="2" t="s">
        <v>1244</v>
      </c>
      <c r="M119" s="2" t="s">
        <v>1270</v>
      </c>
      <c r="N119" s="2" t="s">
        <v>1272</v>
      </c>
      <c r="O119" s="2">
        <v>776</v>
      </c>
      <c r="P119" s="2">
        <v>1302.21435546875</v>
      </c>
      <c r="Q119" s="2">
        <v>1393.2041015625</v>
      </c>
      <c r="R119" s="2">
        <f t="shared" si="35"/>
        <v>1010518.33984375</v>
      </c>
      <c r="S119" s="2">
        <f t="shared" si="36"/>
        <v>1081126.3828125</v>
      </c>
      <c r="T119" s="2">
        <f t="shared" si="37"/>
        <v>2091644.72265625</v>
      </c>
      <c r="U119" s="2">
        <f t="shared" si="38"/>
        <v>1045.82</v>
      </c>
      <c r="V119" s="2">
        <f t="shared" si="39"/>
        <v>70608.04296875</v>
      </c>
      <c r="W119" s="2">
        <f t="shared" si="40"/>
        <v>69562.222968749993</v>
      </c>
      <c r="X119" s="2">
        <f t="shared" si="41"/>
        <v>44313018.866603546</v>
      </c>
      <c r="Y119" s="2">
        <f t="shared" si="42"/>
        <v>202103.67</v>
      </c>
      <c r="Z119" s="2">
        <f t="shared" si="43"/>
        <v>34.42</v>
      </c>
      <c r="AA119" s="2">
        <f t="shared" si="44"/>
        <v>44313018.866603546</v>
      </c>
      <c r="AB119" s="2">
        <f t="shared" si="45"/>
        <v>0</v>
      </c>
    </row>
    <row r="120" spans="1:28">
      <c r="A120" s="2">
        <v>117</v>
      </c>
      <c r="B120" s="2" t="s">
        <v>592</v>
      </c>
      <c r="C120" s="2" t="s">
        <v>1516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1399</v>
      </c>
      <c r="J120" s="2" t="s">
        <v>1400</v>
      </c>
      <c r="K120" s="2">
        <f t="shared" si="33"/>
        <v>44313018.866603546</v>
      </c>
      <c r="L120" s="2" t="s">
        <v>967</v>
      </c>
      <c r="M120" s="2" t="s">
        <v>959</v>
      </c>
      <c r="N120" s="2" t="s">
        <v>967</v>
      </c>
      <c r="O120" s="2">
        <v>300</v>
      </c>
      <c r="P120" s="2">
        <v>3554.115234375</v>
      </c>
      <c r="Q120" s="2">
        <v>3507.165771484375</v>
      </c>
      <c r="R120" s="2">
        <f t="shared" ref="R120:R151" si="46">O120*P120</f>
        <v>1066234.5703125</v>
      </c>
      <c r="S120" s="2">
        <f t="shared" ref="S120:S151" si="47">O120*Q120</f>
        <v>1052149.7314453125</v>
      </c>
      <c r="T120" s="2">
        <f t="shared" ref="T120:T151" si="48">R120+S120</f>
        <v>2118384.3017578125</v>
      </c>
      <c r="U120" s="2">
        <f t="shared" ref="U120:U151" si="49">ROUND(T120*0.0005, 2)</f>
        <v>1059.19</v>
      </c>
      <c r="V120" s="2">
        <f t="shared" ref="V120:V151" si="50">S120-R120</f>
        <v>-14084.8388671875</v>
      </c>
      <c r="W120" s="2">
        <f t="shared" ref="W120:W151" si="51">V120-U120</f>
        <v>-15144.028867187501</v>
      </c>
      <c r="X120" s="2">
        <f t="shared" ref="X120:X151" si="52">K120+W120</f>
        <v>44297874.837736361</v>
      </c>
      <c r="Y120" s="2">
        <f t="shared" ref="Y120:Y151" si="53">ROUND(0.2*R120, 2)</f>
        <v>213246.91</v>
      </c>
      <c r="Z120" s="2">
        <f t="shared" ref="Z120:Z151" si="54">ROUND((W120/Y120)*100, 2)</f>
        <v>-7.1</v>
      </c>
      <c r="AA120" s="2">
        <f t="shared" ref="AA120:AA151" si="55">MAX(AA119, X120)</f>
        <v>44313018.866603546</v>
      </c>
      <c r="AB120" s="2">
        <f t="shared" ref="AB120:AB151" si="56">X120-AA120</f>
        <v>-15144.028867185116</v>
      </c>
    </row>
    <row r="121" spans="1:28">
      <c r="A121" s="2">
        <v>118</v>
      </c>
      <c r="B121" s="2" t="s">
        <v>597</v>
      </c>
      <c r="C121" s="2" t="s">
        <v>1516</v>
      </c>
      <c r="D121" s="4" t="s">
        <v>61</v>
      </c>
      <c r="E121" s="5" t="s">
        <v>134</v>
      </c>
      <c r="F121" s="2" t="s">
        <v>135</v>
      </c>
      <c r="G121" s="2" t="s">
        <v>63</v>
      </c>
      <c r="H121" s="2" t="s">
        <v>598</v>
      </c>
      <c r="I121" s="2" t="s">
        <v>1670</v>
      </c>
      <c r="J121" s="2" t="s">
        <v>1671</v>
      </c>
      <c r="K121" s="2">
        <f t="shared" si="33"/>
        <v>44297874.837736361</v>
      </c>
      <c r="L121" s="2" t="s">
        <v>1374</v>
      </c>
      <c r="M121" s="2" t="s">
        <v>1298</v>
      </c>
      <c r="N121" s="2" t="s">
        <v>1639</v>
      </c>
      <c r="O121" s="2">
        <v>3265</v>
      </c>
      <c r="P121" s="2">
        <v>162.18310546875</v>
      </c>
      <c r="Q121" s="2">
        <v>161.17424011230469</v>
      </c>
      <c r="R121" s="2">
        <f t="shared" si="46"/>
        <v>529527.83935546875</v>
      </c>
      <c r="S121" s="2">
        <f t="shared" si="47"/>
        <v>526233.8939666748</v>
      </c>
      <c r="T121" s="2">
        <f t="shared" si="48"/>
        <v>1055761.7333221436</v>
      </c>
      <c r="U121" s="2">
        <f t="shared" si="49"/>
        <v>527.88</v>
      </c>
      <c r="V121" s="2">
        <f t="shared" si="50"/>
        <v>-3293.9453887939453</v>
      </c>
      <c r="W121" s="2">
        <f t="shared" si="51"/>
        <v>-3821.8253887939454</v>
      </c>
      <c r="X121" s="2">
        <f t="shared" si="52"/>
        <v>44294053.012347564</v>
      </c>
      <c r="Y121" s="2">
        <f t="shared" si="53"/>
        <v>105905.57</v>
      </c>
      <c r="Z121" s="2">
        <f t="shared" si="54"/>
        <v>-3.61</v>
      </c>
      <c r="AA121" s="2">
        <f t="shared" si="55"/>
        <v>44313018.866603546</v>
      </c>
      <c r="AB121" s="2">
        <f t="shared" si="56"/>
        <v>-18965.854255981743</v>
      </c>
    </row>
    <row r="122" spans="1:28">
      <c r="A122" s="2">
        <v>119</v>
      </c>
      <c r="B122" s="2" t="s">
        <v>601</v>
      </c>
      <c r="C122" s="2" t="s">
        <v>1516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2" t="s">
        <v>602</v>
      </c>
      <c r="I122" s="2" t="s">
        <v>210</v>
      </c>
      <c r="J122" s="2" t="s">
        <v>1672</v>
      </c>
      <c r="K122" s="2">
        <f t="shared" si="33"/>
        <v>44294053.012347564</v>
      </c>
      <c r="L122" s="2" t="s">
        <v>1621</v>
      </c>
      <c r="M122" s="2" t="s">
        <v>1591</v>
      </c>
      <c r="N122" s="2" t="s">
        <v>1629</v>
      </c>
      <c r="O122" s="2">
        <v>225</v>
      </c>
      <c r="P122" s="2">
        <v>4528.77392578125</v>
      </c>
      <c r="Q122" s="2">
        <v>4545.1318359375</v>
      </c>
      <c r="R122" s="2">
        <f t="shared" si="46"/>
        <v>1018974.1333007812</v>
      </c>
      <c r="S122" s="2">
        <f t="shared" si="47"/>
        <v>1022654.6630859375</v>
      </c>
      <c r="T122" s="2">
        <f t="shared" si="48"/>
        <v>2041628.7963867188</v>
      </c>
      <c r="U122" s="2">
        <f t="shared" si="49"/>
        <v>1020.81</v>
      </c>
      <c r="V122" s="2">
        <f t="shared" si="50"/>
        <v>3680.52978515625</v>
      </c>
      <c r="W122" s="2">
        <f t="shared" si="51"/>
        <v>2659.7197851562501</v>
      </c>
      <c r="X122" s="2">
        <f t="shared" si="52"/>
        <v>44296712.732132718</v>
      </c>
      <c r="Y122" s="2">
        <f t="shared" si="53"/>
        <v>203794.83</v>
      </c>
      <c r="Z122" s="2">
        <f t="shared" si="54"/>
        <v>1.31</v>
      </c>
      <c r="AA122" s="2">
        <f t="shared" si="55"/>
        <v>44313018.866603546</v>
      </c>
      <c r="AB122" s="2">
        <f t="shared" si="56"/>
        <v>-16306.134470827878</v>
      </c>
    </row>
    <row r="123" spans="1:28">
      <c r="A123" s="2">
        <v>120</v>
      </c>
      <c r="B123" s="2" t="s">
        <v>605</v>
      </c>
      <c r="C123" s="2" t="s">
        <v>1516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2" t="s">
        <v>606</v>
      </c>
      <c r="I123" s="2" t="s">
        <v>1673</v>
      </c>
      <c r="J123" s="2" t="s">
        <v>1197</v>
      </c>
      <c r="K123" s="2">
        <f t="shared" si="33"/>
        <v>44296712.732132718</v>
      </c>
      <c r="L123" s="2" t="s">
        <v>1629</v>
      </c>
      <c r="M123" s="2" t="s">
        <v>1566</v>
      </c>
      <c r="N123" s="2" t="s">
        <v>1543</v>
      </c>
      <c r="O123" s="2">
        <v>413</v>
      </c>
      <c r="P123" s="2">
        <v>1552.125610351562</v>
      </c>
      <c r="Q123" s="2">
        <v>1587.637817382812</v>
      </c>
      <c r="R123" s="2">
        <f t="shared" si="46"/>
        <v>641027.87707519508</v>
      </c>
      <c r="S123" s="2">
        <f t="shared" si="47"/>
        <v>655694.41857910133</v>
      </c>
      <c r="T123" s="2">
        <f t="shared" si="48"/>
        <v>1296722.2956542964</v>
      </c>
      <c r="U123" s="2">
        <f t="shared" si="49"/>
        <v>648.36</v>
      </c>
      <c r="V123" s="2">
        <f t="shared" si="50"/>
        <v>14666.54150390625</v>
      </c>
      <c r="W123" s="2">
        <f t="shared" si="51"/>
        <v>14018.181503906249</v>
      </c>
      <c r="X123" s="2">
        <f t="shared" si="52"/>
        <v>44310730.913636625</v>
      </c>
      <c r="Y123" s="2">
        <f t="shared" si="53"/>
        <v>128205.58</v>
      </c>
      <c r="Z123" s="2">
        <f t="shared" si="54"/>
        <v>10.93</v>
      </c>
      <c r="AA123" s="2">
        <f t="shared" si="55"/>
        <v>44313018.866603546</v>
      </c>
      <c r="AB123" s="2">
        <f t="shared" si="56"/>
        <v>-2287.9529669210315</v>
      </c>
    </row>
    <row r="124" spans="1:28">
      <c r="A124" s="2">
        <v>121</v>
      </c>
      <c r="B124" s="2" t="s">
        <v>609</v>
      </c>
      <c r="C124" s="2" t="s">
        <v>1516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247</v>
      </c>
      <c r="J124" s="2" t="s">
        <v>1407</v>
      </c>
      <c r="K124" s="2">
        <f t="shared" si="33"/>
        <v>44310730.913636625</v>
      </c>
      <c r="L124" s="2" t="s">
        <v>959</v>
      </c>
      <c r="M124" s="2" t="s">
        <v>947</v>
      </c>
      <c r="N124" s="2" t="s">
        <v>946</v>
      </c>
      <c r="O124" s="2">
        <v>350</v>
      </c>
      <c r="P124" s="2">
        <v>2831.232666015625</v>
      </c>
      <c r="Q124" s="2">
        <v>2877.030029296875</v>
      </c>
      <c r="R124" s="2">
        <f t="shared" si="46"/>
        <v>990931.43310546875</v>
      </c>
      <c r="S124" s="2">
        <f t="shared" si="47"/>
        <v>1006960.5102539062</v>
      </c>
      <c r="T124" s="2">
        <f t="shared" si="48"/>
        <v>1997891.943359375</v>
      </c>
      <c r="U124" s="2">
        <f t="shared" si="49"/>
        <v>998.95</v>
      </c>
      <c r="V124" s="2">
        <f t="shared" si="50"/>
        <v>16029.0771484375</v>
      </c>
      <c r="W124" s="2">
        <f t="shared" si="51"/>
        <v>15030.127148437499</v>
      </c>
      <c r="X124" s="2">
        <f t="shared" si="52"/>
        <v>44325761.040785059</v>
      </c>
      <c r="Y124" s="2">
        <f t="shared" si="53"/>
        <v>198186.29</v>
      </c>
      <c r="Z124" s="2">
        <f t="shared" si="54"/>
        <v>7.58</v>
      </c>
      <c r="AA124" s="2">
        <f t="shared" si="55"/>
        <v>44325761.040785059</v>
      </c>
      <c r="AB124" s="2">
        <f t="shared" si="56"/>
        <v>0</v>
      </c>
    </row>
    <row r="125" spans="1:28">
      <c r="A125" s="2">
        <v>122</v>
      </c>
      <c r="B125" s="2" t="s">
        <v>613</v>
      </c>
      <c r="C125" s="2" t="s">
        <v>1516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2" t="s">
        <v>614</v>
      </c>
      <c r="I125" s="2" t="s">
        <v>1103</v>
      </c>
      <c r="J125" s="2" t="s">
        <v>1524</v>
      </c>
      <c r="K125" s="2">
        <f t="shared" si="33"/>
        <v>44325761.040785059</v>
      </c>
      <c r="L125" s="2" t="s">
        <v>1580</v>
      </c>
      <c r="M125" s="2" t="s">
        <v>1557</v>
      </c>
      <c r="N125" s="2" t="s">
        <v>1467</v>
      </c>
      <c r="O125" s="2">
        <v>12616</v>
      </c>
      <c r="P125" s="2">
        <v>59.287284851074219</v>
      </c>
      <c r="Q125" s="2">
        <v>62.9697265625</v>
      </c>
      <c r="R125" s="2">
        <f t="shared" si="46"/>
        <v>747968.38568115234</v>
      </c>
      <c r="S125" s="2">
        <f t="shared" si="47"/>
        <v>794426.0703125</v>
      </c>
      <c r="T125" s="2">
        <f t="shared" si="48"/>
        <v>1542394.4559936523</v>
      </c>
      <c r="U125" s="2">
        <f t="shared" si="49"/>
        <v>771.2</v>
      </c>
      <c r="V125" s="2">
        <f t="shared" si="50"/>
        <v>46457.684631347656</v>
      </c>
      <c r="W125" s="2">
        <f t="shared" si="51"/>
        <v>45686.484631347659</v>
      </c>
      <c r="X125" s="2">
        <f t="shared" si="52"/>
        <v>44371447.525416404</v>
      </c>
      <c r="Y125" s="2">
        <f t="shared" si="53"/>
        <v>149593.68</v>
      </c>
      <c r="Z125" s="2">
        <f t="shared" si="54"/>
        <v>30.54</v>
      </c>
      <c r="AA125" s="2">
        <f t="shared" si="55"/>
        <v>44371447.525416404</v>
      </c>
      <c r="AB125" s="2">
        <f t="shared" si="56"/>
        <v>0</v>
      </c>
    </row>
    <row r="126" spans="1:28">
      <c r="A126" s="2">
        <v>123</v>
      </c>
      <c r="B126" s="2" t="s">
        <v>617</v>
      </c>
      <c r="C126" s="2" t="s">
        <v>1516</v>
      </c>
      <c r="D126" s="3" t="s">
        <v>37</v>
      </c>
      <c r="E126" s="5" t="s">
        <v>134</v>
      </c>
      <c r="F126" s="2" t="s">
        <v>135</v>
      </c>
      <c r="G126" s="2" t="s">
        <v>97</v>
      </c>
      <c r="H126" s="2" t="s">
        <v>618</v>
      </c>
      <c r="I126" s="2" t="s">
        <v>1674</v>
      </c>
      <c r="J126" s="2" t="s">
        <v>1675</v>
      </c>
      <c r="K126" s="2">
        <f t="shared" si="33"/>
        <v>44371447.525416404</v>
      </c>
      <c r="L126" s="2" t="s">
        <v>1676</v>
      </c>
      <c r="M126" s="2" t="s">
        <v>1677</v>
      </c>
      <c r="N126" s="2" t="s">
        <v>1678</v>
      </c>
      <c r="O126" s="2">
        <v>2714</v>
      </c>
      <c r="P126" s="2">
        <v>91.641342163085937</v>
      </c>
      <c r="Q126" s="2">
        <v>94.439544677734375</v>
      </c>
      <c r="R126" s="2">
        <f t="shared" si="46"/>
        <v>248714.60263061523</v>
      </c>
      <c r="S126" s="2">
        <f t="shared" si="47"/>
        <v>256308.92425537109</v>
      </c>
      <c r="T126" s="2">
        <f t="shared" si="48"/>
        <v>505023.52688598633</v>
      </c>
      <c r="U126" s="2">
        <f t="shared" si="49"/>
        <v>252.51</v>
      </c>
      <c r="V126" s="2">
        <f t="shared" si="50"/>
        <v>7594.3216247558594</v>
      </c>
      <c r="W126" s="2">
        <f t="shared" si="51"/>
        <v>7341.8116247558592</v>
      </c>
      <c r="X126" s="2">
        <f t="shared" si="52"/>
        <v>44378789.337041162</v>
      </c>
      <c r="Y126" s="2">
        <f t="shared" si="53"/>
        <v>49742.92</v>
      </c>
      <c r="Z126" s="2">
        <f t="shared" si="54"/>
        <v>14.76</v>
      </c>
      <c r="AA126" s="2">
        <f t="shared" si="55"/>
        <v>44378789.337041162</v>
      </c>
      <c r="AB126" s="2">
        <f t="shared" si="56"/>
        <v>0</v>
      </c>
    </row>
    <row r="127" spans="1:28">
      <c r="A127" s="2">
        <v>124</v>
      </c>
      <c r="B127" s="2" t="s">
        <v>621</v>
      </c>
      <c r="C127" s="2" t="s">
        <v>1516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2" t="s">
        <v>622</v>
      </c>
      <c r="I127" s="2" t="s">
        <v>1138</v>
      </c>
      <c r="J127" s="2" t="s">
        <v>192</v>
      </c>
      <c r="K127" s="2">
        <f t="shared" si="33"/>
        <v>44378789.337041162</v>
      </c>
      <c r="L127" s="2" t="s">
        <v>1565</v>
      </c>
      <c r="M127" s="2" t="s">
        <v>1558</v>
      </c>
      <c r="N127" s="2" t="s">
        <v>1603</v>
      </c>
      <c r="O127" s="2">
        <v>388</v>
      </c>
      <c r="P127" s="2">
        <v>2091.7255859375</v>
      </c>
      <c r="Q127" s="2">
        <v>2170.4443359375</v>
      </c>
      <c r="R127" s="2">
        <f t="shared" si="46"/>
        <v>811589.52734375</v>
      </c>
      <c r="S127" s="2">
        <f t="shared" si="47"/>
        <v>842132.40234375</v>
      </c>
      <c r="T127" s="2">
        <f t="shared" si="48"/>
        <v>1653721.9296875</v>
      </c>
      <c r="U127" s="2">
        <f t="shared" si="49"/>
        <v>826.86</v>
      </c>
      <c r="V127" s="2">
        <f t="shared" si="50"/>
        <v>30542.875</v>
      </c>
      <c r="W127" s="2">
        <f t="shared" si="51"/>
        <v>29716.014999999999</v>
      </c>
      <c r="X127" s="2">
        <f t="shared" si="52"/>
        <v>44408505.352041163</v>
      </c>
      <c r="Y127" s="2">
        <f t="shared" si="53"/>
        <v>162317.91</v>
      </c>
      <c r="Z127" s="2">
        <f t="shared" si="54"/>
        <v>18.309999999999999</v>
      </c>
      <c r="AA127" s="2">
        <f t="shared" si="55"/>
        <v>44408505.352041163</v>
      </c>
      <c r="AB127" s="2">
        <f t="shared" si="56"/>
        <v>0</v>
      </c>
    </row>
    <row r="128" spans="1:28">
      <c r="A128" s="2">
        <v>125</v>
      </c>
      <c r="B128" s="2" t="s">
        <v>625</v>
      </c>
      <c r="C128" s="2" t="s">
        <v>1516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2" t="s">
        <v>626</v>
      </c>
      <c r="I128" s="2" t="s">
        <v>1679</v>
      </c>
      <c r="J128" s="2" t="s">
        <v>1680</v>
      </c>
      <c r="K128" s="2">
        <f t="shared" si="33"/>
        <v>44408505.352041163</v>
      </c>
      <c r="L128" s="2" t="s">
        <v>1467</v>
      </c>
      <c r="M128" s="2" t="s">
        <v>1559</v>
      </c>
      <c r="N128" s="2" t="s">
        <v>1581</v>
      </c>
      <c r="O128" s="2">
        <v>1129</v>
      </c>
      <c r="P128" s="2">
        <v>507.70846557617187</v>
      </c>
      <c r="Q128" s="2">
        <v>575.6513671875</v>
      </c>
      <c r="R128" s="2">
        <f t="shared" si="46"/>
        <v>573202.85763549805</v>
      </c>
      <c r="S128" s="2">
        <f t="shared" si="47"/>
        <v>649910.3935546875</v>
      </c>
      <c r="T128" s="2">
        <f t="shared" si="48"/>
        <v>1223113.2511901855</v>
      </c>
      <c r="U128" s="2">
        <f t="shared" si="49"/>
        <v>611.55999999999995</v>
      </c>
      <c r="V128" s="2">
        <f t="shared" si="50"/>
        <v>76707.535919189453</v>
      </c>
      <c r="W128" s="2">
        <f t="shared" si="51"/>
        <v>76095.975919189455</v>
      </c>
      <c r="X128" s="2">
        <f t="shared" si="52"/>
        <v>44484601.32796035</v>
      </c>
      <c r="Y128" s="2">
        <f t="shared" si="53"/>
        <v>114640.57</v>
      </c>
      <c r="Z128" s="2">
        <f t="shared" si="54"/>
        <v>66.38</v>
      </c>
      <c r="AA128" s="2">
        <f t="shared" si="55"/>
        <v>44484601.32796035</v>
      </c>
      <c r="AB128" s="2">
        <f t="shared" si="56"/>
        <v>0</v>
      </c>
    </row>
    <row r="129" spans="1:28">
      <c r="A129" s="2">
        <v>126</v>
      </c>
      <c r="B129" s="2" t="s">
        <v>629</v>
      </c>
      <c r="C129" s="2" t="s">
        <v>1516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1133</v>
      </c>
      <c r="J129" s="2" t="s">
        <v>1386</v>
      </c>
      <c r="K129" s="2">
        <f t="shared" si="33"/>
        <v>44484601.32796035</v>
      </c>
      <c r="L129" s="2" t="s">
        <v>957</v>
      </c>
      <c r="M129" s="2" t="s">
        <v>967</v>
      </c>
      <c r="N129" s="2" t="s">
        <v>994</v>
      </c>
      <c r="O129" s="2">
        <v>100</v>
      </c>
      <c r="P129" s="2">
        <v>10957.849609375</v>
      </c>
      <c r="Q129" s="2">
        <v>11379.6826171875</v>
      </c>
      <c r="R129" s="2">
        <f t="shared" si="46"/>
        <v>1095784.9609375</v>
      </c>
      <c r="S129" s="2">
        <f t="shared" si="47"/>
        <v>1137968.26171875</v>
      </c>
      <c r="T129" s="2">
        <f t="shared" si="48"/>
        <v>2233753.22265625</v>
      </c>
      <c r="U129" s="2">
        <f t="shared" si="49"/>
        <v>1116.8800000000001</v>
      </c>
      <c r="V129" s="2">
        <f t="shared" si="50"/>
        <v>42183.30078125</v>
      </c>
      <c r="W129" s="2">
        <f t="shared" si="51"/>
        <v>41066.420781250003</v>
      </c>
      <c r="X129" s="2">
        <f t="shared" si="52"/>
        <v>44525667.748741597</v>
      </c>
      <c r="Y129" s="2">
        <f t="shared" si="53"/>
        <v>219156.99</v>
      </c>
      <c r="Z129" s="2">
        <f t="shared" si="54"/>
        <v>18.739999999999998</v>
      </c>
      <c r="AA129" s="2">
        <f t="shared" si="55"/>
        <v>44525667.748741597</v>
      </c>
      <c r="AB129" s="2">
        <f t="shared" si="56"/>
        <v>0</v>
      </c>
    </row>
    <row r="130" spans="1:28">
      <c r="A130" s="2">
        <v>127</v>
      </c>
      <c r="B130" s="2" t="s">
        <v>632</v>
      </c>
      <c r="C130" s="2" t="s">
        <v>1516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49</v>
      </c>
      <c r="J130" s="2" t="s">
        <v>1681</v>
      </c>
      <c r="K130" s="2">
        <f t="shared" si="33"/>
        <v>44525667.748741597</v>
      </c>
      <c r="L130" s="2" t="s">
        <v>1603</v>
      </c>
      <c r="M130" s="2" t="s">
        <v>1539</v>
      </c>
      <c r="N130" s="2" t="s">
        <v>1613</v>
      </c>
      <c r="O130" s="2">
        <v>922</v>
      </c>
      <c r="P130" s="2">
        <v>825.64532470703125</v>
      </c>
      <c r="Q130" s="2">
        <v>799.31829833984375</v>
      </c>
      <c r="R130" s="2">
        <f t="shared" si="46"/>
        <v>761244.98937988281</v>
      </c>
      <c r="S130" s="2">
        <f t="shared" si="47"/>
        <v>736971.47106933594</v>
      </c>
      <c r="T130" s="2">
        <f t="shared" si="48"/>
        <v>1498216.4604492187</v>
      </c>
      <c r="U130" s="2">
        <f t="shared" si="49"/>
        <v>749.11</v>
      </c>
      <c r="V130" s="2">
        <f t="shared" si="50"/>
        <v>-24273.518310546875</v>
      </c>
      <c r="W130" s="2">
        <f t="shared" si="51"/>
        <v>-25022.628310546876</v>
      </c>
      <c r="X130" s="2">
        <f t="shared" si="52"/>
        <v>44500645.120431051</v>
      </c>
      <c r="Y130" s="2">
        <f t="shared" si="53"/>
        <v>152249</v>
      </c>
      <c r="Z130" s="2">
        <f t="shared" si="54"/>
        <v>-16.440000000000001</v>
      </c>
      <c r="AA130" s="2">
        <f t="shared" si="55"/>
        <v>44525667.748741597</v>
      </c>
      <c r="AB130" s="2">
        <f t="shared" si="56"/>
        <v>-25022.628310546279</v>
      </c>
    </row>
    <row r="131" spans="1:28">
      <c r="A131" s="2">
        <v>128</v>
      </c>
      <c r="B131" s="2" t="s">
        <v>637</v>
      </c>
      <c r="C131" s="2" t="s">
        <v>1516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2" t="s">
        <v>638</v>
      </c>
      <c r="I131" s="2" t="s">
        <v>1682</v>
      </c>
      <c r="J131" s="2" t="s">
        <v>1683</v>
      </c>
      <c r="K131" s="2">
        <f t="shared" si="33"/>
        <v>44500645.120431051</v>
      </c>
      <c r="L131" s="2" t="s">
        <v>1539</v>
      </c>
      <c r="M131" s="2" t="s">
        <v>1684</v>
      </c>
      <c r="N131" s="2" t="s">
        <v>1609</v>
      </c>
      <c r="O131" s="2">
        <v>431</v>
      </c>
      <c r="P131" s="2">
        <v>1318.443603515625</v>
      </c>
      <c r="Q131" s="2">
        <v>1538.020141601562</v>
      </c>
      <c r="R131" s="2">
        <f t="shared" si="46"/>
        <v>568249.19311523437</v>
      </c>
      <c r="S131" s="2">
        <f t="shared" si="47"/>
        <v>662886.6810302732</v>
      </c>
      <c r="T131" s="2">
        <f t="shared" si="48"/>
        <v>1231135.8741455076</v>
      </c>
      <c r="U131" s="2">
        <f t="shared" si="49"/>
        <v>615.57000000000005</v>
      </c>
      <c r="V131" s="2">
        <f t="shared" si="50"/>
        <v>94637.48791503883</v>
      </c>
      <c r="W131" s="2">
        <f t="shared" si="51"/>
        <v>94021.917915038823</v>
      </c>
      <c r="X131" s="2">
        <f t="shared" si="52"/>
        <v>44594667.038346089</v>
      </c>
      <c r="Y131" s="2">
        <f t="shared" si="53"/>
        <v>113649.84</v>
      </c>
      <c r="Z131" s="2">
        <f t="shared" si="54"/>
        <v>82.73</v>
      </c>
      <c r="AA131" s="2">
        <f t="shared" si="55"/>
        <v>44594667.038346089</v>
      </c>
      <c r="AB131" s="2">
        <f t="shared" si="56"/>
        <v>0</v>
      </c>
    </row>
    <row r="132" spans="1:28">
      <c r="A132" s="2">
        <v>129</v>
      </c>
      <c r="B132" s="2" t="s">
        <v>640</v>
      </c>
      <c r="C132" s="2" t="s">
        <v>1516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2" t="s">
        <v>641</v>
      </c>
      <c r="I132" s="2" t="s">
        <v>128</v>
      </c>
      <c r="J132" s="2" t="s">
        <v>1685</v>
      </c>
      <c r="K132" s="2">
        <f t="shared" si="33"/>
        <v>44594667.038346089</v>
      </c>
      <c r="L132" s="2" t="s">
        <v>1686</v>
      </c>
      <c r="M132" s="2" t="s">
        <v>1687</v>
      </c>
      <c r="N132" s="2" t="s">
        <v>1688</v>
      </c>
      <c r="O132" s="2">
        <v>373</v>
      </c>
      <c r="P132" s="2">
        <v>150.76341247558591</v>
      </c>
      <c r="Q132" s="2">
        <v>154.7313232421875</v>
      </c>
      <c r="R132" s="2">
        <f t="shared" si="46"/>
        <v>56234.752853393547</v>
      </c>
      <c r="S132" s="2">
        <f t="shared" si="47"/>
        <v>57714.783569335938</v>
      </c>
      <c r="T132" s="2">
        <f t="shared" si="48"/>
        <v>113949.53642272949</v>
      </c>
      <c r="U132" s="2">
        <f t="shared" si="49"/>
        <v>56.97</v>
      </c>
      <c r="V132" s="2">
        <f t="shared" si="50"/>
        <v>1480.0307159423901</v>
      </c>
      <c r="W132" s="2">
        <f t="shared" si="51"/>
        <v>1423.0607159423901</v>
      </c>
      <c r="X132" s="2">
        <f t="shared" si="52"/>
        <v>44596090.099062033</v>
      </c>
      <c r="Y132" s="2">
        <f t="shared" si="53"/>
        <v>11246.95</v>
      </c>
      <c r="Z132" s="2">
        <f t="shared" si="54"/>
        <v>12.65</v>
      </c>
      <c r="AA132" s="2">
        <f t="shared" si="55"/>
        <v>44596090.099062033</v>
      </c>
      <c r="AB132" s="2">
        <f t="shared" si="56"/>
        <v>0</v>
      </c>
    </row>
    <row r="133" spans="1:28">
      <c r="A133" s="2">
        <v>130</v>
      </c>
      <c r="B133" s="2" t="s">
        <v>647</v>
      </c>
      <c r="C133" s="2" t="s">
        <v>1516</v>
      </c>
      <c r="D133" s="4" t="s">
        <v>61</v>
      </c>
      <c r="E133" s="5" t="s">
        <v>134</v>
      </c>
      <c r="F133" s="2" t="s">
        <v>135</v>
      </c>
      <c r="G133" s="2" t="s">
        <v>97</v>
      </c>
      <c r="H133" s="2" t="s">
        <v>648</v>
      </c>
      <c r="I133" s="2" t="s">
        <v>207</v>
      </c>
      <c r="J133" s="2" t="s">
        <v>1689</v>
      </c>
      <c r="K133" s="2">
        <f t="shared" ref="K133:K196" si="57">X132</f>
        <v>44596090.099062033</v>
      </c>
      <c r="L133" s="2" t="s">
        <v>1557</v>
      </c>
      <c r="M133" s="2" t="s">
        <v>1566</v>
      </c>
      <c r="N133" s="2" t="s">
        <v>1543</v>
      </c>
      <c r="O133" s="2">
        <v>661</v>
      </c>
      <c r="P133" s="2">
        <v>982.79998779296875</v>
      </c>
      <c r="Q133" s="2">
        <v>1001.650024414062</v>
      </c>
      <c r="R133" s="2">
        <f t="shared" si="46"/>
        <v>649630.79193115234</v>
      </c>
      <c r="S133" s="2">
        <f t="shared" si="47"/>
        <v>662090.66613769496</v>
      </c>
      <c r="T133" s="2">
        <f t="shared" si="48"/>
        <v>1311721.4580688472</v>
      </c>
      <c r="U133" s="2">
        <f t="shared" si="49"/>
        <v>655.86</v>
      </c>
      <c r="V133" s="2">
        <f t="shared" si="50"/>
        <v>12459.87420654262</v>
      </c>
      <c r="W133" s="2">
        <f t="shared" si="51"/>
        <v>11804.014206542619</v>
      </c>
      <c r="X133" s="2">
        <f t="shared" si="52"/>
        <v>44607894.113268577</v>
      </c>
      <c r="Y133" s="2">
        <f t="shared" si="53"/>
        <v>129926.16</v>
      </c>
      <c r="Z133" s="2">
        <f t="shared" si="54"/>
        <v>9.09</v>
      </c>
      <c r="AA133" s="2">
        <f t="shared" si="55"/>
        <v>44607894.113268577</v>
      </c>
      <c r="AB133" s="2">
        <f t="shared" si="56"/>
        <v>0</v>
      </c>
    </row>
    <row r="134" spans="1:28">
      <c r="A134" s="2">
        <v>131</v>
      </c>
      <c r="B134" s="2" t="s">
        <v>651</v>
      </c>
      <c r="C134" s="2" t="s">
        <v>1516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2" t="s">
        <v>361</v>
      </c>
      <c r="I134" s="2" t="s">
        <v>1690</v>
      </c>
      <c r="J134" s="2" t="s">
        <v>839</v>
      </c>
      <c r="K134" s="2">
        <f t="shared" si="57"/>
        <v>44607894.113268577</v>
      </c>
      <c r="L134" s="2" t="s">
        <v>1539</v>
      </c>
      <c r="M134" s="2" t="s">
        <v>1684</v>
      </c>
      <c r="N134" s="2" t="s">
        <v>1609</v>
      </c>
      <c r="O134" s="2">
        <v>6815</v>
      </c>
      <c r="P134" s="2">
        <v>93.318138122558594</v>
      </c>
      <c r="Q134" s="2">
        <v>90.167053222656236</v>
      </c>
      <c r="R134" s="2">
        <f t="shared" si="46"/>
        <v>635963.11130523682</v>
      </c>
      <c r="S134" s="2">
        <f t="shared" si="47"/>
        <v>614488.46771240223</v>
      </c>
      <c r="T134" s="2">
        <f t="shared" si="48"/>
        <v>1250451.5790176392</v>
      </c>
      <c r="U134" s="2">
        <f t="shared" si="49"/>
        <v>625.23</v>
      </c>
      <c r="V134" s="2">
        <f t="shared" si="50"/>
        <v>-21474.643592834589</v>
      </c>
      <c r="W134" s="2">
        <f t="shared" si="51"/>
        <v>-22099.873592834589</v>
      </c>
      <c r="X134" s="2">
        <f t="shared" si="52"/>
        <v>44585794.239675745</v>
      </c>
      <c r="Y134" s="2">
        <f t="shared" si="53"/>
        <v>127192.62</v>
      </c>
      <c r="Z134" s="2">
        <f t="shared" si="54"/>
        <v>-17.38</v>
      </c>
      <c r="AA134" s="2">
        <f t="shared" si="55"/>
        <v>44607894.113268577</v>
      </c>
      <c r="AB134" s="2">
        <f t="shared" si="56"/>
        <v>-22099.873592831194</v>
      </c>
    </row>
    <row r="135" spans="1:28">
      <c r="A135" s="2">
        <v>132</v>
      </c>
      <c r="B135" s="2" t="s">
        <v>654</v>
      </c>
      <c r="C135" s="2" t="s">
        <v>1516</v>
      </c>
      <c r="D135" s="3" t="s">
        <v>37</v>
      </c>
      <c r="E135" s="5" t="s">
        <v>134</v>
      </c>
      <c r="F135" s="2" t="s">
        <v>135</v>
      </c>
      <c r="G135" s="2" t="s">
        <v>63</v>
      </c>
      <c r="H135" s="2" t="s">
        <v>642</v>
      </c>
      <c r="I135" s="2" t="s">
        <v>548</v>
      </c>
      <c r="J135" s="2" t="s">
        <v>1691</v>
      </c>
      <c r="K135" s="2">
        <f t="shared" si="57"/>
        <v>44585794.239675745</v>
      </c>
      <c r="L135" s="2" t="s">
        <v>1374</v>
      </c>
      <c r="M135" s="2" t="s">
        <v>1298</v>
      </c>
      <c r="N135" s="2" t="s">
        <v>1467</v>
      </c>
      <c r="O135" s="2">
        <v>1194</v>
      </c>
      <c r="P135" s="2">
        <v>606.275146484375</v>
      </c>
      <c r="Q135" s="2">
        <v>613.8173828125</v>
      </c>
      <c r="R135" s="2">
        <f t="shared" si="46"/>
        <v>723892.52490234375</v>
      </c>
      <c r="S135" s="2">
        <f t="shared" si="47"/>
        <v>732897.955078125</v>
      </c>
      <c r="T135" s="2">
        <f t="shared" si="48"/>
        <v>1456790.4799804687</v>
      </c>
      <c r="U135" s="2">
        <f t="shared" si="49"/>
        <v>728.4</v>
      </c>
      <c r="V135" s="2">
        <f t="shared" si="50"/>
        <v>9005.43017578125</v>
      </c>
      <c r="W135" s="2">
        <f t="shared" si="51"/>
        <v>8277.0301757812504</v>
      </c>
      <c r="X135" s="2">
        <f t="shared" si="52"/>
        <v>44594071.269851528</v>
      </c>
      <c r="Y135" s="2">
        <f t="shared" si="53"/>
        <v>144778.5</v>
      </c>
      <c r="Z135" s="2">
        <f t="shared" si="54"/>
        <v>5.72</v>
      </c>
      <c r="AA135" s="2">
        <f t="shared" si="55"/>
        <v>44607894.113268577</v>
      </c>
      <c r="AB135" s="2">
        <f t="shared" si="56"/>
        <v>-13822.843417048454</v>
      </c>
    </row>
    <row r="136" spans="1:28">
      <c r="A136" s="2">
        <v>133</v>
      </c>
      <c r="B136" s="2" t="s">
        <v>656</v>
      </c>
      <c r="C136" s="2" t="s">
        <v>1516</v>
      </c>
      <c r="D136" s="3" t="s">
        <v>37</v>
      </c>
      <c r="E136" s="5" t="s">
        <v>134</v>
      </c>
      <c r="F136" s="2" t="s">
        <v>135</v>
      </c>
      <c r="G136" s="2" t="s">
        <v>40</v>
      </c>
      <c r="H136" s="2" t="s">
        <v>657</v>
      </c>
      <c r="I136" s="2" t="s">
        <v>1692</v>
      </c>
      <c r="J136" s="2" t="s">
        <v>1693</v>
      </c>
      <c r="K136" s="2">
        <f t="shared" si="57"/>
        <v>44594071.269851528</v>
      </c>
      <c r="L136" s="2" t="s">
        <v>1638</v>
      </c>
      <c r="M136" s="2" t="s">
        <v>1557</v>
      </c>
      <c r="N136" s="2" t="s">
        <v>1467</v>
      </c>
      <c r="O136" s="2">
        <v>426</v>
      </c>
      <c r="P136" s="2">
        <v>2157.09716796875</v>
      </c>
      <c r="Q136" s="2">
        <v>2142.0498046875</v>
      </c>
      <c r="R136" s="2">
        <f t="shared" si="46"/>
        <v>918923.3935546875</v>
      </c>
      <c r="S136" s="2">
        <f t="shared" si="47"/>
        <v>912513.216796875</v>
      </c>
      <c r="T136" s="2">
        <f t="shared" si="48"/>
        <v>1831436.6103515625</v>
      </c>
      <c r="U136" s="2">
        <f t="shared" si="49"/>
        <v>915.72</v>
      </c>
      <c r="V136" s="2">
        <f t="shared" si="50"/>
        <v>-6410.1767578125</v>
      </c>
      <c r="W136" s="2">
        <f t="shared" si="51"/>
        <v>-7325.8967578125003</v>
      </c>
      <c r="X136" s="2">
        <f t="shared" si="52"/>
        <v>44586745.373093717</v>
      </c>
      <c r="Y136" s="2">
        <f t="shared" si="53"/>
        <v>183784.68</v>
      </c>
      <c r="Z136" s="2">
        <f t="shared" si="54"/>
        <v>-3.99</v>
      </c>
      <c r="AA136" s="2">
        <f t="shared" si="55"/>
        <v>44607894.113268577</v>
      </c>
      <c r="AB136" s="2">
        <f t="shared" si="56"/>
        <v>-21148.740174859762</v>
      </c>
    </row>
    <row r="137" spans="1:28">
      <c r="A137" s="2">
        <v>134</v>
      </c>
      <c r="B137" s="2" t="s">
        <v>658</v>
      </c>
      <c r="C137" s="2" t="s">
        <v>1516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1694</v>
      </c>
      <c r="J137" s="2" t="s">
        <v>1695</v>
      </c>
      <c r="K137" s="2">
        <f t="shared" si="57"/>
        <v>44586745.373093717</v>
      </c>
      <c r="L137" s="2" t="s">
        <v>1062</v>
      </c>
      <c r="M137" s="2" t="s">
        <v>1064</v>
      </c>
      <c r="N137" s="2" t="s">
        <v>1696</v>
      </c>
      <c r="O137" s="2">
        <v>332</v>
      </c>
      <c r="P137" s="2">
        <v>3152.147216796875</v>
      </c>
      <c r="Q137" s="2">
        <v>3567.832275390625</v>
      </c>
      <c r="R137" s="2">
        <f t="shared" si="46"/>
        <v>1046512.8759765625</v>
      </c>
      <c r="S137" s="2">
        <f t="shared" si="47"/>
        <v>1184520.3154296875</v>
      </c>
      <c r="T137" s="2">
        <f t="shared" si="48"/>
        <v>2231033.19140625</v>
      </c>
      <c r="U137" s="2">
        <f t="shared" si="49"/>
        <v>1115.52</v>
      </c>
      <c r="V137" s="2">
        <f t="shared" si="50"/>
        <v>138007.439453125</v>
      </c>
      <c r="W137" s="2">
        <f t="shared" si="51"/>
        <v>136891.91945312501</v>
      </c>
      <c r="X137" s="2">
        <f t="shared" si="52"/>
        <v>44723637.292546839</v>
      </c>
      <c r="Y137" s="2">
        <f t="shared" si="53"/>
        <v>209302.58</v>
      </c>
      <c r="Z137" s="2">
        <f t="shared" si="54"/>
        <v>65.400000000000006</v>
      </c>
      <c r="AA137" s="2">
        <f t="shared" si="55"/>
        <v>44723637.292546839</v>
      </c>
      <c r="AB137" s="2">
        <f t="shared" si="56"/>
        <v>0</v>
      </c>
    </row>
    <row r="138" spans="1:28">
      <c r="A138" s="2">
        <v>135</v>
      </c>
      <c r="B138" s="2" t="s">
        <v>661</v>
      </c>
      <c r="C138" s="2" t="s">
        <v>1516</v>
      </c>
      <c r="D138" s="4" t="s">
        <v>61</v>
      </c>
      <c r="E138" s="5" t="s">
        <v>134</v>
      </c>
      <c r="F138" s="2" t="s">
        <v>135</v>
      </c>
      <c r="G138" s="2" t="s">
        <v>63</v>
      </c>
      <c r="H138" s="2" t="s">
        <v>662</v>
      </c>
      <c r="I138" s="2" t="s">
        <v>1697</v>
      </c>
      <c r="J138" s="2" t="s">
        <v>294</v>
      </c>
      <c r="K138" s="2">
        <f t="shared" si="57"/>
        <v>44723637.292546839</v>
      </c>
      <c r="L138" s="2" t="s">
        <v>1621</v>
      </c>
      <c r="M138" s="2" t="s">
        <v>1374</v>
      </c>
      <c r="N138" s="2" t="s">
        <v>1629</v>
      </c>
      <c r="O138" s="2">
        <v>871</v>
      </c>
      <c r="P138" s="2">
        <v>546.71270751953125</v>
      </c>
      <c r="Q138" s="2">
        <v>529.03594970703125</v>
      </c>
      <c r="R138" s="2">
        <f t="shared" si="46"/>
        <v>476186.76824951172</v>
      </c>
      <c r="S138" s="2">
        <f t="shared" si="47"/>
        <v>460790.31219482422</v>
      </c>
      <c r="T138" s="2">
        <f t="shared" si="48"/>
        <v>936977.08044433594</v>
      </c>
      <c r="U138" s="2">
        <f t="shared" si="49"/>
        <v>468.49</v>
      </c>
      <c r="V138" s="2">
        <f t="shared" si="50"/>
        <v>-15396.4560546875</v>
      </c>
      <c r="W138" s="2">
        <f t="shared" si="51"/>
        <v>-15864.9460546875</v>
      </c>
      <c r="X138" s="2">
        <f t="shared" si="52"/>
        <v>44707772.346492149</v>
      </c>
      <c r="Y138" s="2">
        <f t="shared" si="53"/>
        <v>95237.35</v>
      </c>
      <c r="Z138" s="2">
        <f t="shared" si="54"/>
        <v>-16.66</v>
      </c>
      <c r="AA138" s="2">
        <f t="shared" si="55"/>
        <v>44723637.292546839</v>
      </c>
      <c r="AB138" s="2">
        <f t="shared" si="56"/>
        <v>-15864.946054689586</v>
      </c>
    </row>
    <row r="139" spans="1:28">
      <c r="A139" s="2">
        <v>136</v>
      </c>
      <c r="B139" s="2" t="s">
        <v>664</v>
      </c>
      <c r="C139" s="2" t="s">
        <v>1516</v>
      </c>
      <c r="D139" s="4" t="s">
        <v>61</v>
      </c>
      <c r="E139" s="5" t="s">
        <v>134</v>
      </c>
      <c r="F139" s="2" t="s">
        <v>135</v>
      </c>
      <c r="G139" s="2" t="s">
        <v>77</v>
      </c>
      <c r="H139" s="2" t="s">
        <v>665</v>
      </c>
      <c r="I139" s="2" t="s">
        <v>1059</v>
      </c>
      <c r="J139" s="2" t="s">
        <v>991</v>
      </c>
      <c r="K139" s="2">
        <f t="shared" si="57"/>
        <v>44707772.346492149</v>
      </c>
      <c r="L139" s="2" t="s">
        <v>1613</v>
      </c>
      <c r="M139" s="2" t="s">
        <v>1615</v>
      </c>
      <c r="N139" s="2" t="s">
        <v>1540</v>
      </c>
      <c r="O139" s="2">
        <v>2876</v>
      </c>
      <c r="P139" s="2">
        <v>174.486083984375</v>
      </c>
      <c r="Q139" s="2">
        <v>180.0470275878906</v>
      </c>
      <c r="R139" s="2">
        <f t="shared" si="46"/>
        <v>501821.9775390625</v>
      </c>
      <c r="S139" s="2">
        <f t="shared" si="47"/>
        <v>517815.25134277338</v>
      </c>
      <c r="T139" s="2">
        <f t="shared" si="48"/>
        <v>1019637.2288818359</v>
      </c>
      <c r="U139" s="2">
        <f t="shared" si="49"/>
        <v>509.82</v>
      </c>
      <c r="V139" s="2">
        <f t="shared" si="50"/>
        <v>15993.273803710879</v>
      </c>
      <c r="W139" s="2">
        <f t="shared" si="51"/>
        <v>15483.45380371088</v>
      </c>
      <c r="X139" s="2">
        <f t="shared" si="52"/>
        <v>44723255.80029586</v>
      </c>
      <c r="Y139" s="2">
        <f t="shared" si="53"/>
        <v>100364.4</v>
      </c>
      <c r="Z139" s="2">
        <f t="shared" si="54"/>
        <v>15.43</v>
      </c>
      <c r="AA139" s="2">
        <f t="shared" si="55"/>
        <v>44723637.292546839</v>
      </c>
      <c r="AB139" s="2">
        <f t="shared" si="56"/>
        <v>-381.49225097894669</v>
      </c>
    </row>
    <row r="140" spans="1:28">
      <c r="A140" s="2">
        <v>137</v>
      </c>
      <c r="B140" s="2" t="s">
        <v>667</v>
      </c>
      <c r="C140" s="2" t="s">
        <v>1516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2" t="s">
        <v>668</v>
      </c>
      <c r="I140" s="2" t="s">
        <v>1698</v>
      </c>
      <c r="J140" s="2" t="s">
        <v>247</v>
      </c>
      <c r="K140" s="2">
        <f t="shared" si="57"/>
        <v>44723255.80029586</v>
      </c>
      <c r="L140" s="2" t="s">
        <v>1559</v>
      </c>
      <c r="M140" s="2" t="s">
        <v>1545</v>
      </c>
      <c r="N140" s="2" t="s">
        <v>1558</v>
      </c>
      <c r="O140" s="2">
        <v>803</v>
      </c>
      <c r="P140" s="2">
        <v>1190.192016601562</v>
      </c>
      <c r="Q140" s="2">
        <v>1228.618286132812</v>
      </c>
      <c r="R140" s="2">
        <f t="shared" si="46"/>
        <v>955724.18933105434</v>
      </c>
      <c r="S140" s="2">
        <f t="shared" si="47"/>
        <v>986580.48376464809</v>
      </c>
      <c r="T140" s="2">
        <f t="shared" si="48"/>
        <v>1942304.6730957024</v>
      </c>
      <c r="U140" s="2">
        <f t="shared" si="49"/>
        <v>971.15</v>
      </c>
      <c r="V140" s="2">
        <f t="shared" si="50"/>
        <v>30856.29443359375</v>
      </c>
      <c r="W140" s="2">
        <f t="shared" si="51"/>
        <v>29885.144433593749</v>
      </c>
      <c r="X140" s="2">
        <f t="shared" si="52"/>
        <v>44753140.944729455</v>
      </c>
      <c r="Y140" s="2">
        <f t="shared" si="53"/>
        <v>191144.84</v>
      </c>
      <c r="Z140" s="2">
        <f t="shared" si="54"/>
        <v>15.63</v>
      </c>
      <c r="AA140" s="2">
        <f t="shared" si="55"/>
        <v>44753140.944729455</v>
      </c>
      <c r="AB140" s="2">
        <f t="shared" si="56"/>
        <v>0</v>
      </c>
    </row>
    <row r="141" spans="1:28">
      <c r="A141" s="2">
        <v>138</v>
      </c>
      <c r="B141" s="2" t="s">
        <v>670</v>
      </c>
      <c r="C141" s="2" t="s">
        <v>1516</v>
      </c>
      <c r="D141" s="4" t="s">
        <v>61</v>
      </c>
      <c r="E141" s="5" t="s">
        <v>134</v>
      </c>
      <c r="F141" s="2" t="s">
        <v>135</v>
      </c>
      <c r="G141" s="2" t="s">
        <v>97</v>
      </c>
      <c r="H141" s="2" t="s">
        <v>671</v>
      </c>
      <c r="I141" s="2" t="s">
        <v>1468</v>
      </c>
      <c r="J141" s="2" t="s">
        <v>847</v>
      </c>
      <c r="K141" s="2">
        <f t="shared" si="57"/>
        <v>44753140.944729455</v>
      </c>
      <c r="L141" s="2" t="s">
        <v>1540</v>
      </c>
      <c r="M141" s="2" t="s">
        <v>1573</v>
      </c>
      <c r="N141" s="2" t="s">
        <v>1609</v>
      </c>
      <c r="O141" s="2">
        <v>10687</v>
      </c>
      <c r="P141" s="2">
        <v>90.074897766113281</v>
      </c>
      <c r="Q141" s="2">
        <v>95.124595642089844</v>
      </c>
      <c r="R141" s="2">
        <f t="shared" si="46"/>
        <v>962630.43242645264</v>
      </c>
      <c r="S141" s="2">
        <f t="shared" si="47"/>
        <v>1016596.5536270142</v>
      </c>
      <c r="T141" s="2">
        <f t="shared" si="48"/>
        <v>1979226.9860534668</v>
      </c>
      <c r="U141" s="2">
        <f t="shared" si="49"/>
        <v>989.61</v>
      </c>
      <c r="V141" s="2">
        <f t="shared" si="50"/>
        <v>53966.121200561523</v>
      </c>
      <c r="W141" s="2">
        <f t="shared" si="51"/>
        <v>52976.511200561523</v>
      </c>
      <c r="X141" s="2">
        <f t="shared" si="52"/>
        <v>44806117.455930017</v>
      </c>
      <c r="Y141" s="2">
        <f t="shared" si="53"/>
        <v>192526.09</v>
      </c>
      <c r="Z141" s="2">
        <f t="shared" si="54"/>
        <v>27.52</v>
      </c>
      <c r="AA141" s="2">
        <f t="shared" si="55"/>
        <v>44806117.455930017</v>
      </c>
      <c r="AB141" s="2">
        <f t="shared" si="56"/>
        <v>0</v>
      </c>
    </row>
    <row r="142" spans="1:28">
      <c r="A142" s="2">
        <v>139</v>
      </c>
      <c r="B142" s="2" t="s">
        <v>674</v>
      </c>
      <c r="C142" s="2" t="s">
        <v>1516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628</v>
      </c>
      <c r="J142" s="2" t="s">
        <v>1309</v>
      </c>
      <c r="K142" s="2">
        <f t="shared" si="57"/>
        <v>44806117.455930017</v>
      </c>
      <c r="L142" s="2" t="s">
        <v>1014</v>
      </c>
      <c r="M142" s="2" t="s">
        <v>985</v>
      </c>
      <c r="N142" s="2" t="s">
        <v>1014</v>
      </c>
      <c r="O142" s="2">
        <v>200</v>
      </c>
      <c r="P142" s="2">
        <v>1164.914306640625</v>
      </c>
      <c r="Q142" s="2">
        <v>1153.136474609375</v>
      </c>
      <c r="R142" s="2">
        <f t="shared" si="46"/>
        <v>232982.861328125</v>
      </c>
      <c r="S142" s="2">
        <f t="shared" si="47"/>
        <v>230627.294921875</v>
      </c>
      <c r="T142" s="2">
        <f t="shared" si="48"/>
        <v>463610.15625</v>
      </c>
      <c r="U142" s="2">
        <f t="shared" si="49"/>
        <v>231.81</v>
      </c>
      <c r="V142" s="2">
        <f t="shared" si="50"/>
        <v>-2355.56640625</v>
      </c>
      <c r="W142" s="2">
        <f t="shared" si="51"/>
        <v>-2587.3764062499999</v>
      </c>
      <c r="X142" s="2">
        <f t="shared" si="52"/>
        <v>44803530.079523765</v>
      </c>
      <c r="Y142" s="2">
        <f t="shared" si="53"/>
        <v>46596.57</v>
      </c>
      <c r="Z142" s="2">
        <f t="shared" si="54"/>
        <v>-5.55</v>
      </c>
      <c r="AA142" s="2">
        <f t="shared" si="55"/>
        <v>44806117.455930017</v>
      </c>
      <c r="AB142" s="2">
        <f t="shared" si="56"/>
        <v>-2587.3764062523842</v>
      </c>
    </row>
    <row r="143" spans="1:28">
      <c r="A143" s="2">
        <v>140</v>
      </c>
      <c r="B143" s="2" t="s">
        <v>678</v>
      </c>
      <c r="C143" s="2" t="s">
        <v>1516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2" t="s">
        <v>679</v>
      </c>
      <c r="I143" s="2" t="s">
        <v>1699</v>
      </c>
      <c r="J143" s="2" t="s">
        <v>1700</v>
      </c>
      <c r="K143" s="2">
        <f t="shared" si="57"/>
        <v>44803530.079523765</v>
      </c>
      <c r="L143" s="2" t="s">
        <v>1572</v>
      </c>
      <c r="M143" s="2" t="s">
        <v>1544</v>
      </c>
      <c r="N143" s="2" t="s">
        <v>1545</v>
      </c>
      <c r="O143" s="2">
        <v>12809</v>
      </c>
      <c r="P143" s="2">
        <v>97.637344360351563</v>
      </c>
      <c r="Q143" s="2">
        <v>89.346031188964844</v>
      </c>
      <c r="R143" s="2">
        <f t="shared" si="46"/>
        <v>1250636.7439117432</v>
      </c>
      <c r="S143" s="2">
        <f t="shared" si="47"/>
        <v>1144433.3134994507</v>
      </c>
      <c r="T143" s="2">
        <f t="shared" si="48"/>
        <v>2395070.0574111938</v>
      </c>
      <c r="U143" s="2">
        <f t="shared" si="49"/>
        <v>1197.54</v>
      </c>
      <c r="V143" s="2">
        <f t="shared" si="50"/>
        <v>-106203.43041229248</v>
      </c>
      <c r="W143" s="2">
        <f t="shared" si="51"/>
        <v>-107400.97041229247</v>
      </c>
      <c r="X143" s="2">
        <f t="shared" si="52"/>
        <v>44696129.109111473</v>
      </c>
      <c r="Y143" s="2">
        <f t="shared" si="53"/>
        <v>250127.35</v>
      </c>
      <c r="Z143" s="2">
        <f t="shared" si="54"/>
        <v>-42.94</v>
      </c>
      <c r="AA143" s="2">
        <f t="shared" si="55"/>
        <v>44806117.455930017</v>
      </c>
      <c r="AB143" s="2">
        <f t="shared" si="56"/>
        <v>-109988.34681854397</v>
      </c>
    </row>
    <row r="144" spans="1:28">
      <c r="A144" s="2">
        <v>141</v>
      </c>
      <c r="B144" s="2" t="s">
        <v>681</v>
      </c>
      <c r="C144" s="2" t="s">
        <v>1516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2" t="s">
        <v>682</v>
      </c>
      <c r="I144" s="2" t="s">
        <v>1701</v>
      </c>
      <c r="J144" s="2" t="s">
        <v>1702</v>
      </c>
      <c r="K144" s="2">
        <f t="shared" si="57"/>
        <v>44696129.109111473</v>
      </c>
      <c r="L144" s="2" t="s">
        <v>1613</v>
      </c>
      <c r="M144" s="2" t="s">
        <v>1609</v>
      </c>
      <c r="N144" s="2" t="s">
        <v>1615</v>
      </c>
      <c r="O144" s="2">
        <v>11763</v>
      </c>
      <c r="P144" s="2">
        <v>83.671257019042969</v>
      </c>
      <c r="Q144" s="2">
        <v>79.061996459960937</v>
      </c>
      <c r="R144" s="2">
        <f t="shared" si="46"/>
        <v>984224.99631500244</v>
      </c>
      <c r="S144" s="2">
        <f t="shared" si="47"/>
        <v>930006.26435852051</v>
      </c>
      <c r="T144" s="2">
        <f t="shared" si="48"/>
        <v>1914231.2606735229</v>
      </c>
      <c r="U144" s="2">
        <f t="shared" si="49"/>
        <v>957.12</v>
      </c>
      <c r="V144" s="2">
        <f t="shared" si="50"/>
        <v>-54218.731956481934</v>
      </c>
      <c r="W144" s="2">
        <f t="shared" si="51"/>
        <v>-55175.851956481936</v>
      </c>
      <c r="X144" s="2">
        <f t="shared" si="52"/>
        <v>44640953.257154994</v>
      </c>
      <c r="Y144" s="2">
        <f t="shared" si="53"/>
        <v>196845</v>
      </c>
      <c r="Z144" s="2">
        <f t="shared" si="54"/>
        <v>-28.03</v>
      </c>
      <c r="AA144" s="2">
        <f t="shared" si="55"/>
        <v>44806117.455930017</v>
      </c>
      <c r="AB144" s="2">
        <f t="shared" si="56"/>
        <v>-165164.19877502322</v>
      </c>
    </row>
    <row r="145" spans="1:28">
      <c r="A145" s="2">
        <v>142</v>
      </c>
      <c r="B145" s="2" t="s">
        <v>685</v>
      </c>
      <c r="C145" s="2" t="s">
        <v>1516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1429</v>
      </c>
      <c r="J145" s="2" t="s">
        <v>1034</v>
      </c>
      <c r="K145" s="2">
        <f t="shared" si="57"/>
        <v>44640953.257154994</v>
      </c>
      <c r="L145" s="2" t="s">
        <v>1052</v>
      </c>
      <c r="M145" s="2" t="s">
        <v>967</v>
      </c>
      <c r="N145" s="2" t="s">
        <v>288</v>
      </c>
      <c r="O145" s="2">
        <v>1500</v>
      </c>
      <c r="P145" s="2">
        <v>394.57757568359381</v>
      </c>
      <c r="Q145" s="2">
        <v>407.63217163085937</v>
      </c>
      <c r="R145" s="2">
        <f t="shared" si="46"/>
        <v>591866.36352539074</v>
      </c>
      <c r="S145" s="2">
        <f t="shared" si="47"/>
        <v>611448.25744628906</v>
      </c>
      <c r="T145" s="2">
        <f t="shared" si="48"/>
        <v>1203314.6209716797</v>
      </c>
      <c r="U145" s="2">
        <f t="shared" si="49"/>
        <v>601.66</v>
      </c>
      <c r="V145" s="2">
        <f t="shared" si="50"/>
        <v>19581.893920898321</v>
      </c>
      <c r="W145" s="2">
        <f t="shared" si="51"/>
        <v>18980.233920898321</v>
      </c>
      <c r="X145" s="2">
        <f t="shared" si="52"/>
        <v>44659933.491075896</v>
      </c>
      <c r="Y145" s="2">
        <f t="shared" si="53"/>
        <v>118373.27</v>
      </c>
      <c r="Z145" s="2">
        <f t="shared" si="54"/>
        <v>16.03</v>
      </c>
      <c r="AA145" s="2">
        <f t="shared" si="55"/>
        <v>44806117.455930017</v>
      </c>
      <c r="AB145" s="2">
        <f t="shared" si="56"/>
        <v>-146183.96485412121</v>
      </c>
    </row>
    <row r="146" spans="1:28">
      <c r="A146" s="2">
        <v>143</v>
      </c>
      <c r="B146" s="2" t="s">
        <v>689</v>
      </c>
      <c r="C146" s="2" t="s">
        <v>1516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2" t="s">
        <v>690</v>
      </c>
      <c r="I146" s="2" t="s">
        <v>1703</v>
      </c>
      <c r="J146" s="2" t="s">
        <v>1704</v>
      </c>
      <c r="K146" s="2">
        <f t="shared" si="57"/>
        <v>44659933.491075896</v>
      </c>
      <c r="L146" s="2" t="s">
        <v>1559</v>
      </c>
      <c r="M146" s="2" t="s">
        <v>1539</v>
      </c>
      <c r="N146" s="2" t="s">
        <v>1613</v>
      </c>
      <c r="O146" s="2">
        <v>2996</v>
      </c>
      <c r="P146" s="2">
        <v>174.1000061035156</v>
      </c>
      <c r="Q146" s="2">
        <v>169.8999938964844</v>
      </c>
      <c r="R146" s="2">
        <f t="shared" si="46"/>
        <v>521603.61828613275</v>
      </c>
      <c r="S146" s="2">
        <f t="shared" si="47"/>
        <v>509020.38171386725</v>
      </c>
      <c r="T146" s="2">
        <f t="shared" si="48"/>
        <v>1030624</v>
      </c>
      <c r="U146" s="2">
        <f t="shared" si="49"/>
        <v>515.30999999999995</v>
      </c>
      <c r="V146" s="2">
        <f t="shared" si="50"/>
        <v>-12583.236572265509</v>
      </c>
      <c r="W146" s="2">
        <f t="shared" si="51"/>
        <v>-13098.546572265508</v>
      </c>
      <c r="X146" s="2">
        <f t="shared" si="52"/>
        <v>44646834.944503628</v>
      </c>
      <c r="Y146" s="2">
        <f t="shared" si="53"/>
        <v>104320.72</v>
      </c>
      <c r="Z146" s="2">
        <f t="shared" si="54"/>
        <v>-12.56</v>
      </c>
      <c r="AA146" s="2">
        <f t="shared" si="55"/>
        <v>44806117.455930017</v>
      </c>
      <c r="AB146" s="2">
        <f t="shared" si="56"/>
        <v>-159282.51142638922</v>
      </c>
    </row>
    <row r="147" spans="1:28">
      <c r="A147" s="2">
        <v>144</v>
      </c>
      <c r="B147" s="2" t="s">
        <v>692</v>
      </c>
      <c r="C147" s="2" t="s">
        <v>1516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2" t="s">
        <v>693</v>
      </c>
      <c r="I147" s="2" t="s">
        <v>1705</v>
      </c>
      <c r="J147" s="2" t="s">
        <v>1706</v>
      </c>
      <c r="K147" s="2">
        <f t="shared" si="57"/>
        <v>44646834.944503628</v>
      </c>
      <c r="L147" s="2" t="s">
        <v>1566</v>
      </c>
      <c r="M147" s="2" t="s">
        <v>1613</v>
      </c>
      <c r="N147" s="2" t="s">
        <v>1603</v>
      </c>
      <c r="O147" s="2">
        <v>551</v>
      </c>
      <c r="P147" s="2">
        <v>1480.557495117188</v>
      </c>
      <c r="Q147" s="2">
        <v>1753.987426757812</v>
      </c>
      <c r="R147" s="2">
        <f t="shared" si="46"/>
        <v>815787.17980957055</v>
      </c>
      <c r="S147" s="2">
        <f t="shared" si="47"/>
        <v>966447.07214355445</v>
      </c>
      <c r="T147" s="2">
        <f t="shared" si="48"/>
        <v>1782234.251953125</v>
      </c>
      <c r="U147" s="2">
        <f t="shared" si="49"/>
        <v>891.12</v>
      </c>
      <c r="V147" s="2">
        <f t="shared" si="50"/>
        <v>150659.89233398391</v>
      </c>
      <c r="W147" s="2">
        <f t="shared" si="51"/>
        <v>149768.77233398391</v>
      </c>
      <c r="X147" s="2">
        <f t="shared" si="52"/>
        <v>44796603.716837615</v>
      </c>
      <c r="Y147" s="2">
        <f t="shared" si="53"/>
        <v>163157.44</v>
      </c>
      <c r="Z147" s="2">
        <f t="shared" si="54"/>
        <v>91.79</v>
      </c>
      <c r="AA147" s="2">
        <f t="shared" si="55"/>
        <v>44806117.455930017</v>
      </c>
      <c r="AB147" s="2">
        <f t="shared" si="56"/>
        <v>-9513.7390924021602</v>
      </c>
    </row>
    <row r="148" spans="1:28">
      <c r="A148" s="2">
        <v>145</v>
      </c>
      <c r="B148" s="2" t="s">
        <v>696</v>
      </c>
      <c r="C148" s="2" t="s">
        <v>1516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2" t="s">
        <v>697</v>
      </c>
      <c r="I148" s="2" t="s">
        <v>1707</v>
      </c>
      <c r="J148" s="2" t="s">
        <v>1708</v>
      </c>
      <c r="K148" s="2">
        <f t="shared" si="57"/>
        <v>44796603.716837615</v>
      </c>
      <c r="L148" s="2" t="s">
        <v>1709</v>
      </c>
      <c r="M148" s="2" t="s">
        <v>1591</v>
      </c>
      <c r="N148" s="2" t="s">
        <v>1629</v>
      </c>
      <c r="O148" s="2">
        <v>100</v>
      </c>
      <c r="P148" s="2">
        <v>6833.0927734375</v>
      </c>
      <c r="Q148" s="2">
        <v>7491.3447265625</v>
      </c>
      <c r="R148" s="2">
        <f t="shared" si="46"/>
        <v>683309.27734375</v>
      </c>
      <c r="S148" s="2">
        <f t="shared" si="47"/>
        <v>749134.47265625</v>
      </c>
      <c r="T148" s="2">
        <f t="shared" si="48"/>
        <v>1432443.75</v>
      </c>
      <c r="U148" s="2">
        <f t="shared" si="49"/>
        <v>716.22</v>
      </c>
      <c r="V148" s="2">
        <f t="shared" si="50"/>
        <v>65825.1953125</v>
      </c>
      <c r="W148" s="2">
        <f t="shared" si="51"/>
        <v>65108.975312499999</v>
      </c>
      <c r="X148" s="2">
        <f t="shared" si="52"/>
        <v>44861712.692150116</v>
      </c>
      <c r="Y148" s="2">
        <f t="shared" si="53"/>
        <v>136661.85999999999</v>
      </c>
      <c r="Z148" s="2">
        <f t="shared" si="54"/>
        <v>47.64</v>
      </c>
      <c r="AA148" s="2">
        <f t="shared" si="55"/>
        <v>44861712.692150116</v>
      </c>
      <c r="AB148" s="2">
        <f t="shared" si="56"/>
        <v>0</v>
      </c>
    </row>
    <row r="149" spans="1:28">
      <c r="A149" s="2">
        <v>146</v>
      </c>
      <c r="B149" s="2" t="s">
        <v>701</v>
      </c>
      <c r="C149" s="2" t="s">
        <v>1516</v>
      </c>
      <c r="D149" s="3" t="s">
        <v>37</v>
      </c>
      <c r="E149" s="5" t="s">
        <v>134</v>
      </c>
      <c r="F149" s="2" t="s">
        <v>135</v>
      </c>
      <c r="G149" s="2" t="s">
        <v>77</v>
      </c>
      <c r="H149" s="2" t="s">
        <v>702</v>
      </c>
      <c r="I149" s="2" t="s">
        <v>1710</v>
      </c>
      <c r="J149" s="2" t="s">
        <v>1411</v>
      </c>
      <c r="K149" s="2">
        <f t="shared" si="57"/>
        <v>44861712.692150116</v>
      </c>
      <c r="L149" s="2" t="s">
        <v>1603</v>
      </c>
      <c r="M149" s="2" t="s">
        <v>1613</v>
      </c>
      <c r="N149" s="2" t="s">
        <v>1568</v>
      </c>
      <c r="O149" s="2">
        <v>2188</v>
      </c>
      <c r="P149" s="2">
        <v>399.69747924804687</v>
      </c>
      <c r="Q149" s="2">
        <v>414.4390869140625</v>
      </c>
      <c r="R149" s="2">
        <f t="shared" si="46"/>
        <v>874538.08459472656</v>
      </c>
      <c r="S149" s="2">
        <f t="shared" si="47"/>
        <v>906792.72216796875</v>
      </c>
      <c r="T149" s="2">
        <f t="shared" si="48"/>
        <v>1781330.8067626953</v>
      </c>
      <c r="U149" s="2">
        <f t="shared" si="49"/>
        <v>890.67</v>
      </c>
      <c r="V149" s="2">
        <f t="shared" si="50"/>
        <v>32254.637573242188</v>
      </c>
      <c r="W149" s="2">
        <f t="shared" si="51"/>
        <v>31363.967573242189</v>
      </c>
      <c r="X149" s="2">
        <f t="shared" si="52"/>
        <v>44893076.659723356</v>
      </c>
      <c r="Y149" s="2">
        <f t="shared" si="53"/>
        <v>174907.62</v>
      </c>
      <c r="Z149" s="2">
        <f t="shared" si="54"/>
        <v>17.93</v>
      </c>
      <c r="AA149" s="2">
        <f t="shared" si="55"/>
        <v>44893076.659723356</v>
      </c>
      <c r="AB149" s="2">
        <f t="shared" si="56"/>
        <v>0</v>
      </c>
    </row>
    <row r="150" spans="1:28">
      <c r="A150" s="2">
        <v>147</v>
      </c>
      <c r="B150" s="2" t="s">
        <v>705</v>
      </c>
      <c r="C150" s="2" t="s">
        <v>1516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1137</v>
      </c>
      <c r="J150" s="2" t="s">
        <v>1435</v>
      </c>
      <c r="K150" s="2">
        <f t="shared" si="57"/>
        <v>44893076.659723356</v>
      </c>
      <c r="L150" s="2" t="s">
        <v>959</v>
      </c>
      <c r="M150" s="2" t="s">
        <v>1070</v>
      </c>
      <c r="N150" s="2" t="s">
        <v>989</v>
      </c>
      <c r="O150" s="2">
        <v>3750</v>
      </c>
      <c r="P150" s="2">
        <v>225.2326354980469</v>
      </c>
      <c r="Q150" s="2">
        <v>240.85826110839841</v>
      </c>
      <c r="R150" s="2">
        <f t="shared" si="46"/>
        <v>844622.3831176759</v>
      </c>
      <c r="S150" s="2">
        <f t="shared" si="47"/>
        <v>903218.47915649402</v>
      </c>
      <c r="T150" s="2">
        <f t="shared" si="48"/>
        <v>1747840.8622741699</v>
      </c>
      <c r="U150" s="2">
        <f t="shared" si="49"/>
        <v>873.92</v>
      </c>
      <c r="V150" s="2">
        <f t="shared" si="50"/>
        <v>58596.096038818127</v>
      </c>
      <c r="W150" s="2">
        <f t="shared" si="51"/>
        <v>57722.176038818128</v>
      </c>
      <c r="X150" s="2">
        <f t="shared" si="52"/>
        <v>44950798.835762173</v>
      </c>
      <c r="Y150" s="2">
        <f t="shared" si="53"/>
        <v>168924.48</v>
      </c>
      <c r="Z150" s="2">
        <f t="shared" si="54"/>
        <v>34.17</v>
      </c>
      <c r="AA150" s="2">
        <f t="shared" si="55"/>
        <v>44950798.835762173</v>
      </c>
      <c r="AB150" s="2">
        <f t="shared" si="56"/>
        <v>0</v>
      </c>
    </row>
    <row r="151" spans="1:28">
      <c r="A151" s="2">
        <v>148</v>
      </c>
      <c r="B151" s="2" t="s">
        <v>708</v>
      </c>
      <c r="C151" s="2" t="s">
        <v>1516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2" t="s">
        <v>579</v>
      </c>
      <c r="I151" s="2" t="s">
        <v>1711</v>
      </c>
      <c r="J151" s="2" t="s">
        <v>1712</v>
      </c>
      <c r="K151" s="2">
        <f t="shared" si="57"/>
        <v>44950798.835762173</v>
      </c>
      <c r="L151" s="2" t="s">
        <v>1572</v>
      </c>
      <c r="M151" s="2" t="s">
        <v>1544</v>
      </c>
      <c r="N151" s="2" t="s">
        <v>1539</v>
      </c>
      <c r="O151" s="2">
        <v>100</v>
      </c>
      <c r="P151" s="2">
        <v>35600</v>
      </c>
      <c r="Q151" s="2">
        <v>34970.050000000003</v>
      </c>
      <c r="R151" s="2">
        <f t="shared" si="46"/>
        <v>3560000</v>
      </c>
      <c r="S151" s="2">
        <f t="shared" si="47"/>
        <v>3497005.0000000005</v>
      </c>
      <c r="T151" s="2">
        <f t="shared" si="48"/>
        <v>7057005</v>
      </c>
      <c r="U151" s="2">
        <f t="shared" si="49"/>
        <v>3528.5</v>
      </c>
      <c r="V151" s="2">
        <f t="shared" si="50"/>
        <v>-62994.999999999534</v>
      </c>
      <c r="W151" s="2">
        <f t="shared" si="51"/>
        <v>-66523.499999999534</v>
      </c>
      <c r="X151" s="2">
        <f t="shared" si="52"/>
        <v>44884275.335762173</v>
      </c>
      <c r="Y151" s="2">
        <f t="shared" si="53"/>
        <v>712000</v>
      </c>
      <c r="Z151" s="2">
        <f t="shared" si="54"/>
        <v>-9.34</v>
      </c>
      <c r="AA151" s="2">
        <f t="shared" si="55"/>
        <v>44950798.835762173</v>
      </c>
      <c r="AB151" s="2">
        <f t="shared" si="56"/>
        <v>-66523.5</v>
      </c>
    </row>
    <row r="152" spans="1:28">
      <c r="A152" s="2">
        <v>149</v>
      </c>
      <c r="B152" s="2" t="s">
        <v>710</v>
      </c>
      <c r="C152" s="2" t="s">
        <v>1516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2" t="s">
        <v>711</v>
      </c>
      <c r="I152" s="2" t="s">
        <v>1713</v>
      </c>
      <c r="J152" s="2" t="s">
        <v>1714</v>
      </c>
      <c r="K152" s="2">
        <f t="shared" si="57"/>
        <v>44884275.335762173</v>
      </c>
      <c r="L152" s="2" t="s">
        <v>1543</v>
      </c>
      <c r="M152" s="2" t="s">
        <v>1603</v>
      </c>
      <c r="N152" s="2" t="s">
        <v>1555</v>
      </c>
      <c r="O152" s="2">
        <v>2806</v>
      </c>
      <c r="P152" s="2">
        <v>453.97079467773437</v>
      </c>
      <c r="Q152" s="2">
        <v>476.57546997070312</v>
      </c>
      <c r="R152" s="2">
        <f t="shared" ref="R152:R166" si="58">O152*P152</f>
        <v>1273842.0498657227</v>
      </c>
      <c r="S152" s="2">
        <f t="shared" ref="S152:S166" si="59">O152*Q152</f>
        <v>1337270.768737793</v>
      </c>
      <c r="T152" s="2">
        <f t="shared" ref="T152:T183" si="60">R152+S152</f>
        <v>2611112.8186035156</v>
      </c>
      <c r="U152" s="2">
        <f t="shared" ref="U152:U183" si="61">ROUND(T152*0.0005, 2)</f>
        <v>1305.56</v>
      </c>
      <c r="V152" s="2">
        <f t="shared" ref="V152:V166" si="62">S152-R152</f>
        <v>63428.718872070313</v>
      </c>
      <c r="W152" s="2">
        <f t="shared" ref="W152:W183" si="63">V152-U152</f>
        <v>62123.158872070315</v>
      </c>
      <c r="X152" s="2">
        <f t="shared" ref="X152:X183" si="64">K152+W152</f>
        <v>44946398.494634241</v>
      </c>
      <c r="Y152" s="2">
        <f t="shared" ref="Y152:Y166" si="65">ROUND(0.2*R152, 2)</f>
        <v>254768.41</v>
      </c>
      <c r="Z152" s="2">
        <f t="shared" ref="Z152:Z183" si="66">ROUND((W152/Y152)*100, 2)</f>
        <v>24.38</v>
      </c>
      <c r="AA152" s="2">
        <f t="shared" ref="AA152:AA166" si="67">MAX(AA151, X152)</f>
        <v>44950798.835762173</v>
      </c>
      <c r="AB152" s="2">
        <f t="shared" ref="AB152:AB183" si="68">X152-AA152</f>
        <v>-4400.3411279320717</v>
      </c>
    </row>
    <row r="153" spans="1:28">
      <c r="A153" s="2">
        <v>150</v>
      </c>
      <c r="B153" s="2" t="s">
        <v>714</v>
      </c>
      <c r="C153" s="2" t="s">
        <v>1516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2" t="s">
        <v>715</v>
      </c>
      <c r="I153" s="2" t="s">
        <v>1319</v>
      </c>
      <c r="J153" s="2" t="s">
        <v>1715</v>
      </c>
      <c r="K153" s="2">
        <f t="shared" si="57"/>
        <v>44946398.494634241</v>
      </c>
      <c r="L153" s="2" t="s">
        <v>1603</v>
      </c>
      <c r="M153" s="2" t="s">
        <v>1615</v>
      </c>
      <c r="N153" s="2" t="s">
        <v>1613</v>
      </c>
      <c r="O153" s="2">
        <v>750</v>
      </c>
      <c r="P153" s="2">
        <v>342.35000610351562</v>
      </c>
      <c r="Q153" s="2">
        <v>343.25</v>
      </c>
      <c r="R153" s="2">
        <f t="shared" si="58"/>
        <v>256762.50457763672</v>
      </c>
      <c r="S153" s="2">
        <f t="shared" si="59"/>
        <v>257437.5</v>
      </c>
      <c r="T153" s="2">
        <f t="shared" si="60"/>
        <v>514200.00457763672</v>
      </c>
      <c r="U153" s="2">
        <f t="shared" si="61"/>
        <v>257.10000000000002</v>
      </c>
      <c r="V153" s="2">
        <f t="shared" si="62"/>
        <v>674.99542236328125</v>
      </c>
      <c r="W153" s="2">
        <f t="shared" si="63"/>
        <v>417.89542236328123</v>
      </c>
      <c r="X153" s="2">
        <f t="shared" si="64"/>
        <v>44946816.390056603</v>
      </c>
      <c r="Y153" s="2">
        <f t="shared" si="65"/>
        <v>51352.5</v>
      </c>
      <c r="Z153" s="2">
        <f t="shared" si="66"/>
        <v>0.81</v>
      </c>
      <c r="AA153" s="2">
        <f t="shared" si="67"/>
        <v>44950798.835762173</v>
      </c>
      <c r="AB153" s="2">
        <f t="shared" si="68"/>
        <v>-3982.4457055702806</v>
      </c>
    </row>
    <row r="154" spans="1:28">
      <c r="A154" s="2">
        <v>151</v>
      </c>
      <c r="B154" s="2" t="s">
        <v>718</v>
      </c>
      <c r="C154" s="2" t="s">
        <v>1516</v>
      </c>
      <c r="D154" s="3" t="s">
        <v>37</v>
      </c>
      <c r="E154" s="5" t="s">
        <v>134</v>
      </c>
      <c r="F154" s="2" t="s">
        <v>135</v>
      </c>
      <c r="G154" s="2" t="s">
        <v>40</v>
      </c>
      <c r="H154" s="2" t="s">
        <v>691</v>
      </c>
      <c r="I154" s="2" t="s">
        <v>1716</v>
      </c>
      <c r="J154" s="2" t="s">
        <v>1717</v>
      </c>
      <c r="K154" s="2">
        <f t="shared" si="57"/>
        <v>44946816.390056603</v>
      </c>
      <c r="L154" s="2" t="s">
        <v>1718</v>
      </c>
      <c r="M154" s="2" t="s">
        <v>1467</v>
      </c>
      <c r="N154" s="2" t="s">
        <v>1719</v>
      </c>
      <c r="O154" s="2">
        <v>181</v>
      </c>
      <c r="P154" s="2">
        <v>3897.040771484375</v>
      </c>
      <c r="Q154" s="2">
        <v>3346.095947265625</v>
      </c>
      <c r="R154" s="2">
        <f t="shared" si="58"/>
        <v>705364.37963867188</v>
      </c>
      <c r="S154" s="2">
        <f t="shared" si="59"/>
        <v>605643.36645507812</v>
      </c>
      <c r="T154" s="2">
        <f t="shared" si="60"/>
        <v>1311007.74609375</v>
      </c>
      <c r="U154" s="2">
        <f t="shared" si="61"/>
        <v>655.5</v>
      </c>
      <c r="V154" s="2">
        <f t="shared" si="62"/>
        <v>-99721.01318359375</v>
      </c>
      <c r="W154" s="2">
        <f t="shared" si="63"/>
        <v>-100376.51318359375</v>
      </c>
      <c r="X154" s="2">
        <f t="shared" si="64"/>
        <v>44846439.876873009</v>
      </c>
      <c r="Y154" s="2">
        <f t="shared" si="65"/>
        <v>141072.88</v>
      </c>
      <c r="Z154" s="2">
        <f t="shared" si="66"/>
        <v>-71.150000000000006</v>
      </c>
      <c r="AA154" s="2">
        <f t="shared" si="67"/>
        <v>44950798.835762173</v>
      </c>
      <c r="AB154" s="2">
        <f t="shared" si="68"/>
        <v>-104358.95888916403</v>
      </c>
    </row>
    <row r="155" spans="1:28">
      <c r="A155" s="2">
        <v>152</v>
      </c>
      <c r="B155" s="2" t="s">
        <v>720</v>
      </c>
      <c r="C155" s="2" t="s">
        <v>1516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2" t="s">
        <v>320</v>
      </c>
      <c r="I155" s="2" t="s">
        <v>457</v>
      </c>
      <c r="J155" s="2" t="s">
        <v>1171</v>
      </c>
      <c r="K155" s="2">
        <f t="shared" si="57"/>
        <v>44846439.876873009</v>
      </c>
      <c r="L155" s="2" t="s">
        <v>1603</v>
      </c>
      <c r="M155" s="2" t="s">
        <v>1609</v>
      </c>
      <c r="N155" s="2" t="s">
        <v>1539</v>
      </c>
      <c r="O155" s="2">
        <v>3585</v>
      </c>
      <c r="P155" s="2">
        <v>275.36874389648437</v>
      </c>
      <c r="Q155" s="2">
        <v>284.68212890625</v>
      </c>
      <c r="R155" s="2">
        <f t="shared" si="58"/>
        <v>987196.94686889648</v>
      </c>
      <c r="S155" s="2">
        <f t="shared" si="59"/>
        <v>1020585.4321289063</v>
      </c>
      <c r="T155" s="2">
        <f t="shared" si="60"/>
        <v>2007782.3789978027</v>
      </c>
      <c r="U155" s="2">
        <f t="shared" si="61"/>
        <v>1003.89</v>
      </c>
      <c r="V155" s="2">
        <f t="shared" si="62"/>
        <v>33388.485260009766</v>
      </c>
      <c r="W155" s="2">
        <f t="shared" si="63"/>
        <v>32384.595260009766</v>
      </c>
      <c r="X155" s="2">
        <f t="shared" si="64"/>
        <v>44878824.472133018</v>
      </c>
      <c r="Y155" s="2">
        <f t="shared" si="65"/>
        <v>197439.39</v>
      </c>
      <c r="Z155" s="2">
        <f t="shared" si="66"/>
        <v>16.399999999999999</v>
      </c>
      <c r="AA155" s="2">
        <f t="shared" si="67"/>
        <v>44950798.835762173</v>
      </c>
      <c r="AB155" s="2">
        <f t="shared" si="68"/>
        <v>-71974.363629154861</v>
      </c>
    </row>
    <row r="156" spans="1:28">
      <c r="A156" s="2">
        <v>153</v>
      </c>
      <c r="B156" s="2" t="s">
        <v>723</v>
      </c>
      <c r="C156" s="2" t="s">
        <v>1516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2" t="s">
        <v>724</v>
      </c>
      <c r="I156" s="2" t="s">
        <v>517</v>
      </c>
      <c r="J156" s="2" t="s">
        <v>1139</v>
      </c>
      <c r="K156" s="2">
        <f t="shared" si="57"/>
        <v>44878824.472133018</v>
      </c>
      <c r="L156" s="2" t="s">
        <v>1720</v>
      </c>
      <c r="M156" s="2" t="s">
        <v>1721</v>
      </c>
      <c r="N156" s="2" t="s">
        <v>1722</v>
      </c>
      <c r="O156" s="2">
        <v>2346</v>
      </c>
      <c r="P156" s="2">
        <v>396.38388061523437</v>
      </c>
      <c r="Q156" s="2">
        <v>404.98611450195312</v>
      </c>
      <c r="R156" s="2">
        <f t="shared" si="58"/>
        <v>929916.58392333984</v>
      </c>
      <c r="S156" s="2">
        <f t="shared" si="59"/>
        <v>950097.42462158203</v>
      </c>
      <c r="T156" s="2">
        <f t="shared" si="60"/>
        <v>1880014.0085449219</v>
      </c>
      <c r="U156" s="2">
        <f t="shared" si="61"/>
        <v>940.01</v>
      </c>
      <c r="V156" s="2">
        <f t="shared" si="62"/>
        <v>20180.840698242188</v>
      </c>
      <c r="W156" s="2">
        <f t="shared" si="63"/>
        <v>19240.830698242189</v>
      </c>
      <c r="X156" s="2">
        <f t="shared" si="64"/>
        <v>44898065.302831262</v>
      </c>
      <c r="Y156" s="2">
        <f t="shared" si="65"/>
        <v>185983.32</v>
      </c>
      <c r="Z156" s="2">
        <f t="shared" si="66"/>
        <v>10.35</v>
      </c>
      <c r="AA156" s="2">
        <f t="shared" si="67"/>
        <v>44950798.835762173</v>
      </c>
      <c r="AB156" s="2">
        <f t="shared" si="68"/>
        <v>-52733.532930910587</v>
      </c>
    </row>
    <row r="157" spans="1:28">
      <c r="A157" s="2">
        <v>154</v>
      </c>
      <c r="B157" s="2" t="s">
        <v>727</v>
      </c>
      <c r="C157" s="2" t="s">
        <v>1516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2" t="s">
        <v>728</v>
      </c>
      <c r="I157" s="2" t="s">
        <v>1723</v>
      </c>
      <c r="J157" s="2" t="s">
        <v>1724</v>
      </c>
      <c r="K157" s="2">
        <f t="shared" si="57"/>
        <v>44898065.302831262</v>
      </c>
      <c r="L157" s="2" t="s">
        <v>1603</v>
      </c>
      <c r="M157" s="2" t="s">
        <v>1544</v>
      </c>
      <c r="N157" s="2" t="s">
        <v>1539</v>
      </c>
      <c r="O157" s="2">
        <v>1631</v>
      </c>
      <c r="P157" s="2">
        <v>211.21299743652341</v>
      </c>
      <c r="Q157" s="2">
        <v>259.95059204101562</v>
      </c>
      <c r="R157" s="2">
        <f t="shared" si="58"/>
        <v>344488.39881896967</v>
      </c>
      <c r="S157" s="2">
        <f t="shared" si="59"/>
        <v>423979.41561889648</v>
      </c>
      <c r="T157" s="2">
        <f t="shared" si="60"/>
        <v>768467.81443786621</v>
      </c>
      <c r="U157" s="2">
        <f t="shared" si="61"/>
        <v>384.23</v>
      </c>
      <c r="V157" s="2">
        <f t="shared" si="62"/>
        <v>79491.016799926816</v>
      </c>
      <c r="W157" s="2">
        <f t="shared" si="63"/>
        <v>79106.78679992682</v>
      </c>
      <c r="X157" s="2">
        <f t="shared" si="64"/>
        <v>44977172.089631192</v>
      </c>
      <c r="Y157" s="2">
        <f t="shared" si="65"/>
        <v>68897.679999999993</v>
      </c>
      <c r="Z157" s="2">
        <f t="shared" si="66"/>
        <v>114.82</v>
      </c>
      <c r="AA157" s="2">
        <f t="shared" si="67"/>
        <v>44977172.089631192</v>
      </c>
      <c r="AB157" s="2">
        <f t="shared" si="68"/>
        <v>0</v>
      </c>
    </row>
    <row r="158" spans="1:28">
      <c r="A158" s="2">
        <v>155</v>
      </c>
      <c r="B158" s="2" t="s">
        <v>729</v>
      </c>
      <c r="C158" s="2" t="s">
        <v>1516</v>
      </c>
      <c r="D158" s="4" t="s">
        <v>61</v>
      </c>
      <c r="E158" s="5" t="s">
        <v>134</v>
      </c>
      <c r="F158" s="2" t="s">
        <v>135</v>
      </c>
      <c r="G158" s="2" t="s">
        <v>54</v>
      </c>
      <c r="H158" s="2" t="s">
        <v>104</v>
      </c>
      <c r="I158" s="2" t="s">
        <v>1616</v>
      </c>
      <c r="J158" s="2" t="s">
        <v>811</v>
      </c>
      <c r="K158" s="2">
        <f t="shared" si="57"/>
        <v>44977172.089631192</v>
      </c>
      <c r="L158" s="2" t="s">
        <v>1555</v>
      </c>
      <c r="M158" s="2" t="s">
        <v>1544</v>
      </c>
      <c r="N158" s="2" t="s">
        <v>1556</v>
      </c>
      <c r="O158" s="2">
        <v>529</v>
      </c>
      <c r="P158" s="2">
        <v>1599.609375</v>
      </c>
      <c r="Q158" s="2">
        <v>1489.045654296875</v>
      </c>
      <c r="R158" s="2">
        <f t="shared" si="58"/>
        <v>846193.359375</v>
      </c>
      <c r="S158" s="2">
        <f t="shared" si="59"/>
        <v>787705.15112304687</v>
      </c>
      <c r="T158" s="2">
        <f t="shared" si="60"/>
        <v>1633898.5104980469</v>
      </c>
      <c r="U158" s="2">
        <f t="shared" si="61"/>
        <v>816.95</v>
      </c>
      <c r="V158" s="2">
        <f t="shared" si="62"/>
        <v>-58488.208251953125</v>
      </c>
      <c r="W158" s="2">
        <f t="shared" si="63"/>
        <v>-59305.158251953122</v>
      </c>
      <c r="X158" s="2">
        <f t="shared" si="64"/>
        <v>44917866.931379236</v>
      </c>
      <c r="Y158" s="2">
        <f t="shared" si="65"/>
        <v>169238.67</v>
      </c>
      <c r="Z158" s="2">
        <f t="shared" si="66"/>
        <v>-35.04</v>
      </c>
      <c r="AA158" s="2">
        <f t="shared" si="67"/>
        <v>44977172.089631192</v>
      </c>
      <c r="AB158" s="2">
        <f t="shared" si="68"/>
        <v>-59305.158251956105</v>
      </c>
    </row>
    <row r="159" spans="1:28">
      <c r="A159" s="2">
        <v>156</v>
      </c>
      <c r="B159" s="2" t="s">
        <v>732</v>
      </c>
      <c r="C159" s="2" t="s">
        <v>1516</v>
      </c>
      <c r="D159" s="3" t="s">
        <v>37</v>
      </c>
      <c r="E159" s="5" t="s">
        <v>134</v>
      </c>
      <c r="F159" s="2" t="s">
        <v>135</v>
      </c>
      <c r="G159" s="2" t="s">
        <v>77</v>
      </c>
      <c r="H159" s="2" t="s">
        <v>733</v>
      </c>
      <c r="I159" s="2" t="s">
        <v>1725</v>
      </c>
      <c r="J159" s="2" t="s">
        <v>1726</v>
      </c>
      <c r="K159" s="2">
        <f t="shared" si="57"/>
        <v>44917866.931379236</v>
      </c>
      <c r="L159" s="2" t="s">
        <v>1557</v>
      </c>
      <c r="M159" s="2" t="s">
        <v>1565</v>
      </c>
      <c r="N159" s="2" t="s">
        <v>1566</v>
      </c>
      <c r="O159" s="2">
        <v>613</v>
      </c>
      <c r="P159" s="2">
        <v>1448.520751953125</v>
      </c>
      <c r="Q159" s="2">
        <v>1391.8857421875</v>
      </c>
      <c r="R159" s="2">
        <f t="shared" si="58"/>
        <v>887943.22094726563</v>
      </c>
      <c r="S159" s="2">
        <f t="shared" si="59"/>
        <v>853225.9599609375</v>
      </c>
      <c r="T159" s="2">
        <f t="shared" si="60"/>
        <v>1741169.1809082031</v>
      </c>
      <c r="U159" s="2">
        <f t="shared" si="61"/>
        <v>870.58</v>
      </c>
      <c r="V159" s="2">
        <f t="shared" si="62"/>
        <v>-34717.260986328125</v>
      </c>
      <c r="W159" s="2">
        <f t="shared" si="63"/>
        <v>-35587.840986328127</v>
      </c>
      <c r="X159" s="2">
        <f t="shared" si="64"/>
        <v>44882279.09039291</v>
      </c>
      <c r="Y159" s="2">
        <f t="shared" si="65"/>
        <v>177588.64</v>
      </c>
      <c r="Z159" s="2">
        <f t="shared" si="66"/>
        <v>-20.04</v>
      </c>
      <c r="AA159" s="2">
        <f t="shared" si="67"/>
        <v>44977172.089631192</v>
      </c>
      <c r="AB159" s="2">
        <f t="shared" si="68"/>
        <v>-94892.999238282442</v>
      </c>
    </row>
    <row r="160" spans="1:28">
      <c r="A160" s="2">
        <v>157</v>
      </c>
      <c r="B160" s="2" t="s">
        <v>736</v>
      </c>
      <c r="C160" s="2" t="s">
        <v>1516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2" t="s">
        <v>676</v>
      </c>
      <c r="I160" s="2" t="s">
        <v>652</v>
      </c>
      <c r="J160" s="2" t="s">
        <v>673</v>
      </c>
      <c r="K160" s="2">
        <f t="shared" si="57"/>
        <v>44882279.09039291</v>
      </c>
      <c r="L160" s="2" t="s">
        <v>1559</v>
      </c>
      <c r="M160" s="2" t="s">
        <v>1539</v>
      </c>
      <c r="N160" s="2" t="s">
        <v>1613</v>
      </c>
      <c r="O160" s="2">
        <v>360</v>
      </c>
      <c r="P160" s="2">
        <v>3534.07958984375</v>
      </c>
      <c r="Q160" s="2">
        <v>3630.203857421875</v>
      </c>
      <c r="R160" s="2">
        <f t="shared" si="58"/>
        <v>1272268.65234375</v>
      </c>
      <c r="S160" s="2">
        <f t="shared" si="59"/>
        <v>1306873.388671875</v>
      </c>
      <c r="T160" s="2">
        <f t="shared" si="60"/>
        <v>2579142.041015625</v>
      </c>
      <c r="U160" s="2">
        <f t="shared" si="61"/>
        <v>1289.57</v>
      </c>
      <c r="V160" s="2">
        <f t="shared" si="62"/>
        <v>34604.736328125</v>
      </c>
      <c r="W160" s="2">
        <f t="shared" si="63"/>
        <v>33315.166328125</v>
      </c>
      <c r="X160" s="2">
        <f t="shared" si="64"/>
        <v>44915594.256721035</v>
      </c>
      <c r="Y160" s="2">
        <f t="shared" si="65"/>
        <v>254453.73</v>
      </c>
      <c r="Z160" s="2">
        <f t="shared" si="66"/>
        <v>13.09</v>
      </c>
      <c r="AA160" s="2">
        <f t="shared" si="67"/>
        <v>44977172.089631192</v>
      </c>
      <c r="AB160" s="2">
        <f t="shared" si="68"/>
        <v>-61577.83291015774</v>
      </c>
    </row>
    <row r="161" spans="1:28">
      <c r="A161" s="2">
        <v>158</v>
      </c>
      <c r="B161" s="2" t="s">
        <v>738</v>
      </c>
      <c r="C161" s="2" t="s">
        <v>1516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2" t="s">
        <v>427</v>
      </c>
      <c r="I161" s="2" t="s">
        <v>1727</v>
      </c>
      <c r="J161" s="2" t="s">
        <v>1685</v>
      </c>
      <c r="K161" s="2">
        <f t="shared" si="57"/>
        <v>44915594.256721035</v>
      </c>
      <c r="L161" s="2" t="s">
        <v>1085</v>
      </c>
      <c r="M161" s="2" t="s">
        <v>1005</v>
      </c>
      <c r="N161" s="2" t="s">
        <v>1006</v>
      </c>
      <c r="O161" s="2">
        <v>8957</v>
      </c>
      <c r="P161" s="2">
        <v>119.93605041503911</v>
      </c>
      <c r="Q161" s="2">
        <v>114.20367431640619</v>
      </c>
      <c r="R161" s="2">
        <f t="shared" si="58"/>
        <v>1074267.2035675053</v>
      </c>
      <c r="S161" s="2">
        <f t="shared" si="59"/>
        <v>1022922.3108520503</v>
      </c>
      <c r="T161" s="2">
        <f t="shared" si="60"/>
        <v>2097189.5144195557</v>
      </c>
      <c r="U161" s="2">
        <f t="shared" si="61"/>
        <v>1048.5899999999999</v>
      </c>
      <c r="V161" s="2">
        <f t="shared" si="62"/>
        <v>-51344.892715455033</v>
      </c>
      <c r="W161" s="2">
        <f t="shared" si="63"/>
        <v>-52393.482715455029</v>
      </c>
      <c r="X161" s="2">
        <f t="shared" si="64"/>
        <v>44863200.774005577</v>
      </c>
      <c r="Y161" s="2">
        <f t="shared" si="65"/>
        <v>214853.44</v>
      </c>
      <c r="Z161" s="2">
        <f t="shared" si="66"/>
        <v>-24.39</v>
      </c>
      <c r="AA161" s="2">
        <f t="shared" si="67"/>
        <v>44977172.089631192</v>
      </c>
      <c r="AB161" s="2">
        <f t="shared" si="68"/>
        <v>-113971.31562561542</v>
      </c>
    </row>
    <row r="162" spans="1:28">
      <c r="A162" s="2">
        <v>159</v>
      </c>
      <c r="B162" s="2" t="s">
        <v>741</v>
      </c>
      <c r="C162" s="2" t="s">
        <v>1516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2" t="s">
        <v>314</v>
      </c>
      <c r="I162" s="2" t="s">
        <v>304</v>
      </c>
      <c r="J162" s="2" t="s">
        <v>1728</v>
      </c>
      <c r="K162" s="2">
        <f t="shared" si="57"/>
        <v>44863200.774005577</v>
      </c>
      <c r="L162" s="2" t="s">
        <v>1621</v>
      </c>
      <c r="M162" s="2" t="s">
        <v>1543</v>
      </c>
      <c r="N162" s="2" t="s">
        <v>1591</v>
      </c>
      <c r="O162" s="2">
        <v>967</v>
      </c>
      <c r="P162" s="2">
        <v>755.94781494140625</v>
      </c>
      <c r="Q162" s="2">
        <v>768.1854248046875</v>
      </c>
      <c r="R162" s="2">
        <f t="shared" si="58"/>
        <v>731001.53704833984</v>
      </c>
      <c r="S162" s="2">
        <f t="shared" si="59"/>
        <v>742835.30578613281</v>
      </c>
      <c r="T162" s="2">
        <f t="shared" si="60"/>
        <v>1473836.8428344727</v>
      </c>
      <c r="U162" s="2">
        <f t="shared" si="61"/>
        <v>736.92</v>
      </c>
      <c r="V162" s="2">
        <f t="shared" si="62"/>
        <v>11833.768737792969</v>
      </c>
      <c r="W162" s="2">
        <f t="shared" si="63"/>
        <v>11096.848737792969</v>
      </c>
      <c r="X162" s="2">
        <f t="shared" si="64"/>
        <v>44874297.622743368</v>
      </c>
      <c r="Y162" s="2">
        <f t="shared" si="65"/>
        <v>146200.31</v>
      </c>
      <c r="Z162" s="2">
        <f t="shared" si="66"/>
        <v>7.59</v>
      </c>
      <c r="AA162" s="2">
        <f t="shared" si="67"/>
        <v>44977172.089631192</v>
      </c>
      <c r="AB162" s="2">
        <f t="shared" si="68"/>
        <v>-102874.46688782424</v>
      </c>
    </row>
    <row r="163" spans="1:28">
      <c r="A163" s="2">
        <v>160</v>
      </c>
      <c r="B163" s="2" t="s">
        <v>743</v>
      </c>
      <c r="C163" s="2" t="s">
        <v>1516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2" t="s">
        <v>744</v>
      </c>
      <c r="I163" s="2" t="s">
        <v>492</v>
      </c>
      <c r="J163" s="2" t="s">
        <v>1729</v>
      </c>
      <c r="K163" s="2">
        <f t="shared" si="57"/>
        <v>44874297.622743368</v>
      </c>
      <c r="L163" s="2" t="s">
        <v>1591</v>
      </c>
      <c r="M163" s="2" t="s">
        <v>1565</v>
      </c>
      <c r="N163" s="2" t="s">
        <v>1566</v>
      </c>
      <c r="O163" s="2">
        <v>627</v>
      </c>
      <c r="P163" s="2">
        <v>1264.900024414062</v>
      </c>
      <c r="Q163" s="2">
        <v>1233.400024414062</v>
      </c>
      <c r="R163" s="2">
        <f t="shared" si="58"/>
        <v>793092.31530761695</v>
      </c>
      <c r="S163" s="2">
        <f t="shared" si="59"/>
        <v>773341.81530761695</v>
      </c>
      <c r="T163" s="2">
        <f t="shared" si="60"/>
        <v>1566434.1306152339</v>
      </c>
      <c r="U163" s="2">
        <f t="shared" si="61"/>
        <v>783.22</v>
      </c>
      <c r="V163" s="2">
        <f t="shared" si="62"/>
        <v>-19750.5</v>
      </c>
      <c r="W163" s="2">
        <f t="shared" si="63"/>
        <v>-20533.72</v>
      </c>
      <c r="X163" s="2">
        <f t="shared" si="64"/>
        <v>44853763.902743369</v>
      </c>
      <c r="Y163" s="2">
        <f t="shared" si="65"/>
        <v>158618.46</v>
      </c>
      <c r="Z163" s="2">
        <f t="shared" si="66"/>
        <v>-12.95</v>
      </c>
      <c r="AA163" s="2">
        <f t="shared" si="67"/>
        <v>44977172.089631192</v>
      </c>
      <c r="AB163" s="2">
        <f t="shared" si="68"/>
        <v>-123408.18688782305</v>
      </c>
    </row>
    <row r="164" spans="1:28">
      <c r="A164" s="2">
        <v>161</v>
      </c>
      <c r="B164" s="2" t="s">
        <v>746</v>
      </c>
      <c r="C164" s="2" t="s">
        <v>1516</v>
      </c>
      <c r="D164" s="4" t="s">
        <v>61</v>
      </c>
      <c r="E164" s="5" t="s">
        <v>134</v>
      </c>
      <c r="F164" s="2" t="s">
        <v>135</v>
      </c>
      <c r="G164" s="2" t="s">
        <v>77</v>
      </c>
      <c r="H164" s="2" t="s">
        <v>747</v>
      </c>
      <c r="I164" s="2" t="s">
        <v>1000</v>
      </c>
      <c r="J164" s="2" t="s">
        <v>1730</v>
      </c>
      <c r="K164" s="2">
        <f t="shared" si="57"/>
        <v>44853763.902743369</v>
      </c>
      <c r="L164" s="2" t="s">
        <v>1543</v>
      </c>
      <c r="M164" s="2" t="s">
        <v>1572</v>
      </c>
      <c r="N164" s="2" t="s">
        <v>1559</v>
      </c>
      <c r="O164" s="2">
        <v>112</v>
      </c>
      <c r="P164" s="2">
        <v>6335.7451171875</v>
      </c>
      <c r="Q164" s="2">
        <v>5722.85009765625</v>
      </c>
      <c r="R164" s="2">
        <f t="shared" si="58"/>
        <v>709603.453125</v>
      </c>
      <c r="S164" s="2">
        <f t="shared" si="59"/>
        <v>640959.2109375</v>
      </c>
      <c r="T164" s="2">
        <f t="shared" si="60"/>
        <v>1350562.6640625</v>
      </c>
      <c r="U164" s="2">
        <f t="shared" si="61"/>
        <v>675.28</v>
      </c>
      <c r="V164" s="2">
        <f t="shared" si="62"/>
        <v>-68644.2421875</v>
      </c>
      <c r="W164" s="2">
        <f t="shared" si="63"/>
        <v>-69319.522187499999</v>
      </c>
      <c r="X164" s="2">
        <f t="shared" si="64"/>
        <v>44784444.380555868</v>
      </c>
      <c r="Y164" s="2">
        <f t="shared" si="65"/>
        <v>141920.69</v>
      </c>
      <c r="Z164" s="2">
        <f t="shared" si="66"/>
        <v>-48.84</v>
      </c>
      <c r="AA164" s="2">
        <f t="shared" si="67"/>
        <v>44977172.089631192</v>
      </c>
      <c r="AB164" s="2">
        <f t="shared" si="68"/>
        <v>-192727.70907532424</v>
      </c>
    </row>
    <row r="165" spans="1:28">
      <c r="A165" s="2">
        <v>162</v>
      </c>
      <c r="B165" s="2" t="s">
        <v>750</v>
      </c>
      <c r="C165" s="2" t="s">
        <v>1516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261</v>
      </c>
      <c r="J165" s="2" t="s">
        <v>1087</v>
      </c>
      <c r="K165" s="2">
        <f t="shared" si="57"/>
        <v>44784444.380555868</v>
      </c>
      <c r="L165" s="2" t="s">
        <v>973</v>
      </c>
      <c r="M165" s="2" t="s">
        <v>980</v>
      </c>
      <c r="N165" s="2" t="s">
        <v>946</v>
      </c>
      <c r="O165" s="2">
        <v>1800</v>
      </c>
      <c r="P165" s="2">
        <v>298.72879028320312</v>
      </c>
      <c r="Q165" s="2">
        <v>300.54061889648437</v>
      </c>
      <c r="R165" s="2">
        <f t="shared" si="58"/>
        <v>537711.82250976562</v>
      </c>
      <c r="S165" s="2">
        <f t="shared" si="59"/>
        <v>540973.11401367187</v>
      </c>
      <c r="T165" s="2">
        <f t="shared" si="60"/>
        <v>1078684.9365234375</v>
      </c>
      <c r="U165" s="2">
        <f t="shared" si="61"/>
        <v>539.34</v>
      </c>
      <c r="V165" s="2">
        <f t="shared" si="62"/>
        <v>3261.29150390625</v>
      </c>
      <c r="W165" s="2">
        <f t="shared" si="63"/>
        <v>2721.9515039062499</v>
      </c>
      <c r="X165" s="2">
        <f t="shared" si="64"/>
        <v>44787166.332059771</v>
      </c>
      <c r="Y165" s="2">
        <f t="shared" si="65"/>
        <v>107542.36</v>
      </c>
      <c r="Z165" s="2">
        <f t="shared" si="66"/>
        <v>2.5299999999999998</v>
      </c>
      <c r="AA165" s="2">
        <f t="shared" si="67"/>
        <v>44977172.089631192</v>
      </c>
      <c r="AB165" s="2">
        <f t="shared" si="68"/>
        <v>-190005.75757142156</v>
      </c>
    </row>
    <row r="166" spans="1:28">
      <c r="A166" s="2">
        <v>163</v>
      </c>
      <c r="B166" s="2" t="s">
        <v>754</v>
      </c>
      <c r="C166" s="2" t="s">
        <v>1516</v>
      </c>
      <c r="D166" s="4" t="s">
        <v>61</v>
      </c>
      <c r="E166" s="5" t="s">
        <v>134</v>
      </c>
      <c r="F166" s="2" t="s">
        <v>135</v>
      </c>
      <c r="G166" s="2" t="s">
        <v>97</v>
      </c>
      <c r="H166" s="2" t="s">
        <v>755</v>
      </c>
      <c r="I166" s="2" t="s">
        <v>755</v>
      </c>
      <c r="J166" s="2" t="s">
        <v>42</v>
      </c>
      <c r="K166" s="2">
        <f t="shared" si="57"/>
        <v>44787166.332059771</v>
      </c>
      <c r="L166" s="2" t="s">
        <v>756</v>
      </c>
      <c r="M166" s="2" t="s">
        <v>757</v>
      </c>
      <c r="N166" s="2" t="s">
        <v>1568</v>
      </c>
      <c r="O166" s="2">
        <v>100</v>
      </c>
      <c r="P166" s="2">
        <v>18220</v>
      </c>
      <c r="Q166" s="2">
        <v>18225</v>
      </c>
      <c r="R166" s="2">
        <f t="shared" si="58"/>
        <v>1822000</v>
      </c>
      <c r="S166" s="2">
        <f t="shared" si="59"/>
        <v>1822500</v>
      </c>
      <c r="T166" s="2">
        <f t="shared" si="60"/>
        <v>3644500</v>
      </c>
      <c r="U166" s="2">
        <f t="shared" si="61"/>
        <v>1822.25</v>
      </c>
      <c r="V166" s="2">
        <f t="shared" si="62"/>
        <v>500</v>
      </c>
      <c r="W166" s="2">
        <f t="shared" si="63"/>
        <v>-1322.25</v>
      </c>
      <c r="X166" s="2">
        <f t="shared" si="64"/>
        <v>44785844.082059771</v>
      </c>
      <c r="Y166" s="2">
        <f t="shared" si="65"/>
        <v>364400</v>
      </c>
      <c r="Z166" s="2">
        <f t="shared" si="66"/>
        <v>-0.36</v>
      </c>
      <c r="AA166" s="2">
        <f t="shared" si="67"/>
        <v>44977172.089631192</v>
      </c>
      <c r="AB166" s="2">
        <f t="shared" si="68"/>
        <v>-191328.00757142156</v>
      </c>
    </row>
    <row r="167" spans="1:28">
      <c r="A167" s="2">
        <v>164</v>
      </c>
      <c r="B167" s="2" t="s">
        <v>758</v>
      </c>
      <c r="C167" s="2" t="s">
        <v>1516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57"/>
        <v>44785844.082059771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44785844.082059771</v>
      </c>
      <c r="Y167" s="6" t="s">
        <v>1195</v>
      </c>
      <c r="Z167" s="6" t="s">
        <v>1195</v>
      </c>
      <c r="AA167" s="2">
        <f>AA166</f>
        <v>44977172.089631192</v>
      </c>
      <c r="AB167" s="2">
        <v>0</v>
      </c>
    </row>
    <row r="168" spans="1:28">
      <c r="A168" s="2">
        <v>165</v>
      </c>
      <c r="B168" s="2" t="s">
        <v>760</v>
      </c>
      <c r="C168" s="2" t="s">
        <v>1516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2" t="s">
        <v>196</v>
      </c>
      <c r="I168" s="2" t="s">
        <v>1731</v>
      </c>
      <c r="J168" s="2" t="s">
        <v>1732</v>
      </c>
      <c r="K168" s="2">
        <f t="shared" si="57"/>
        <v>44785844.082059771</v>
      </c>
      <c r="L168" s="2" t="s">
        <v>1613</v>
      </c>
      <c r="M168" s="2" t="s">
        <v>1684</v>
      </c>
      <c r="N168" s="2" t="s">
        <v>1609</v>
      </c>
      <c r="O168" s="2">
        <v>627</v>
      </c>
      <c r="P168" s="2">
        <v>1508.565307617188</v>
      </c>
      <c r="Q168" s="2">
        <v>1600.171997070312</v>
      </c>
      <c r="R168" s="2">
        <f t="shared" ref="R168:R173" si="69">O168*P168</f>
        <v>945870.4478759768</v>
      </c>
      <c r="S168" s="2">
        <f t="shared" ref="S168:S173" si="70">O168*Q168</f>
        <v>1003307.8421630857</v>
      </c>
      <c r="T168" s="2">
        <f t="shared" ref="T168:T173" si="71">R168+S168</f>
        <v>1949178.2900390625</v>
      </c>
      <c r="U168" s="2">
        <f t="shared" ref="U168:U173" si="72">ROUND(T168*0.0005, 2)</f>
        <v>974.59</v>
      </c>
      <c r="V168" s="2">
        <f t="shared" ref="V168:V173" si="73">S168-R168</f>
        <v>57437.394287108909</v>
      </c>
      <c r="W168" s="2">
        <f t="shared" ref="W168:W173" si="74">V168-U168</f>
        <v>56462.804287108913</v>
      </c>
      <c r="X168" s="2">
        <f t="shared" ref="X168:X173" si="75">K168+W168</f>
        <v>44842306.886346877</v>
      </c>
      <c r="Y168" s="2">
        <f t="shared" ref="Y168:Y173" si="76">ROUND(0.2*R168, 2)</f>
        <v>189174.09</v>
      </c>
      <c r="Z168" s="2">
        <f t="shared" ref="Z168:Z173" si="77">ROUND((W168/Y168)*100, 2)</f>
        <v>29.85</v>
      </c>
      <c r="AA168" s="2">
        <f t="shared" ref="AA168:AA173" si="78">MAX(AA167, X168)</f>
        <v>44977172.089631192</v>
      </c>
      <c r="AB168" s="2">
        <f t="shared" ref="AB168:AB173" si="79">X168-AA168</f>
        <v>-134865.20328431576</v>
      </c>
    </row>
    <row r="169" spans="1:28">
      <c r="A169" s="2">
        <v>166</v>
      </c>
      <c r="B169" s="2" t="s">
        <v>763</v>
      </c>
      <c r="C169" s="2" t="s">
        <v>1516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2" t="s">
        <v>198</v>
      </c>
      <c r="I169" s="2" t="s">
        <v>1733</v>
      </c>
      <c r="J169" s="2" t="s">
        <v>1734</v>
      </c>
      <c r="K169" s="2">
        <f t="shared" si="57"/>
        <v>44842306.886346877</v>
      </c>
      <c r="L169" s="2" t="s">
        <v>1299</v>
      </c>
      <c r="M169" s="2" t="s">
        <v>1603</v>
      </c>
      <c r="N169" s="2" t="s">
        <v>1555</v>
      </c>
      <c r="O169" s="2">
        <v>229</v>
      </c>
      <c r="P169" s="2">
        <v>1608.869506835938</v>
      </c>
      <c r="Q169" s="2">
        <v>1754.380004882812</v>
      </c>
      <c r="R169" s="2">
        <f t="shared" si="69"/>
        <v>368431.1170654298</v>
      </c>
      <c r="S169" s="2">
        <f t="shared" si="70"/>
        <v>401753.02111816395</v>
      </c>
      <c r="T169" s="2">
        <f t="shared" si="71"/>
        <v>770184.13818359375</v>
      </c>
      <c r="U169" s="2">
        <f t="shared" si="72"/>
        <v>385.09</v>
      </c>
      <c r="V169" s="2">
        <f t="shared" si="73"/>
        <v>33321.904052734142</v>
      </c>
      <c r="W169" s="2">
        <f t="shared" si="74"/>
        <v>32936.814052734146</v>
      </c>
      <c r="X169" s="2">
        <f t="shared" si="75"/>
        <v>44875243.700399607</v>
      </c>
      <c r="Y169" s="2">
        <f t="shared" si="76"/>
        <v>73686.22</v>
      </c>
      <c r="Z169" s="2">
        <f t="shared" si="77"/>
        <v>44.7</v>
      </c>
      <c r="AA169" s="2">
        <f t="shared" si="78"/>
        <v>44977172.089631192</v>
      </c>
      <c r="AB169" s="2">
        <f t="shared" si="79"/>
        <v>-101928.38923158497</v>
      </c>
    </row>
    <row r="170" spans="1:28">
      <c r="A170" s="2">
        <v>167</v>
      </c>
      <c r="B170" s="2" t="s">
        <v>764</v>
      </c>
      <c r="C170" s="2" t="s">
        <v>1516</v>
      </c>
      <c r="D170" s="4" t="s">
        <v>61</v>
      </c>
      <c r="E170" s="5" t="s">
        <v>134</v>
      </c>
      <c r="F170" s="2" t="s">
        <v>135</v>
      </c>
      <c r="G170" s="2" t="s">
        <v>77</v>
      </c>
      <c r="H170" s="2" t="s">
        <v>765</v>
      </c>
      <c r="I170" s="2" t="s">
        <v>42</v>
      </c>
      <c r="J170" s="2" t="s">
        <v>1735</v>
      </c>
      <c r="K170" s="2">
        <f t="shared" si="57"/>
        <v>44875243.700399607</v>
      </c>
      <c r="L170" s="2" t="s">
        <v>1621</v>
      </c>
      <c r="M170" s="2" t="s">
        <v>1298</v>
      </c>
      <c r="N170" s="2" t="s">
        <v>1639</v>
      </c>
      <c r="O170" s="2">
        <v>2645</v>
      </c>
      <c r="P170" s="2">
        <v>260.2406005859375</v>
      </c>
      <c r="Q170" s="2">
        <v>260.2406005859375</v>
      </c>
      <c r="R170" s="2">
        <f t="shared" si="69"/>
        <v>688336.38854980469</v>
      </c>
      <c r="S170" s="2">
        <f t="shared" si="70"/>
        <v>688336.38854980469</v>
      </c>
      <c r="T170" s="2">
        <f t="shared" si="71"/>
        <v>1376672.7770996094</v>
      </c>
      <c r="U170" s="2">
        <f t="shared" si="72"/>
        <v>688.34</v>
      </c>
      <c r="V170" s="2">
        <f t="shared" si="73"/>
        <v>0</v>
      </c>
      <c r="W170" s="2">
        <f t="shared" si="74"/>
        <v>-688.34</v>
      </c>
      <c r="X170" s="2">
        <f t="shared" si="75"/>
        <v>44874555.360399604</v>
      </c>
      <c r="Y170" s="2">
        <f t="shared" si="76"/>
        <v>137667.28</v>
      </c>
      <c r="Z170" s="2">
        <f t="shared" si="77"/>
        <v>-0.5</v>
      </c>
      <c r="AA170" s="2">
        <f t="shared" si="78"/>
        <v>44977172.089631192</v>
      </c>
      <c r="AB170" s="2">
        <f t="shared" si="79"/>
        <v>-102616.72923158854</v>
      </c>
    </row>
    <row r="171" spans="1:28">
      <c r="A171" s="2">
        <v>168</v>
      </c>
      <c r="B171" s="2" t="s">
        <v>769</v>
      </c>
      <c r="C171" s="2" t="s">
        <v>1516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1736</v>
      </c>
      <c r="J171" s="2" t="s">
        <v>595</v>
      </c>
      <c r="K171" s="2">
        <f t="shared" si="57"/>
        <v>44874555.360399604</v>
      </c>
      <c r="L171" s="2" t="s">
        <v>1737</v>
      </c>
      <c r="M171" s="2" t="s">
        <v>1527</v>
      </c>
      <c r="N171" s="2" t="s">
        <v>1525</v>
      </c>
      <c r="O171" s="2">
        <v>2667</v>
      </c>
      <c r="P171" s="2">
        <v>378.04998779296881</v>
      </c>
      <c r="Q171" s="2">
        <v>354.29998779296881</v>
      </c>
      <c r="R171" s="2">
        <f t="shared" si="69"/>
        <v>1008259.3174438478</v>
      </c>
      <c r="S171" s="2">
        <f t="shared" si="70"/>
        <v>944918.06744384777</v>
      </c>
      <c r="T171" s="2">
        <f t="shared" si="71"/>
        <v>1953177.3848876955</v>
      </c>
      <c r="U171" s="2">
        <f t="shared" si="72"/>
        <v>976.59</v>
      </c>
      <c r="V171" s="2">
        <f t="shared" si="73"/>
        <v>-63341.25</v>
      </c>
      <c r="W171" s="2">
        <f t="shared" si="74"/>
        <v>-64317.84</v>
      </c>
      <c r="X171" s="2">
        <f t="shared" si="75"/>
        <v>44810237.5203996</v>
      </c>
      <c r="Y171" s="2">
        <f t="shared" si="76"/>
        <v>201651.86</v>
      </c>
      <c r="Z171" s="2">
        <f t="shared" si="77"/>
        <v>-31.9</v>
      </c>
      <c r="AA171" s="2">
        <f t="shared" si="78"/>
        <v>44977172.089631192</v>
      </c>
      <c r="AB171" s="2">
        <f t="shared" si="79"/>
        <v>-166934.56923159212</v>
      </c>
    </row>
    <row r="172" spans="1:28">
      <c r="A172" s="2">
        <v>169</v>
      </c>
      <c r="B172" s="2" t="s">
        <v>773</v>
      </c>
      <c r="C172" s="2" t="s">
        <v>1516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1462</v>
      </c>
      <c r="J172" s="2" t="s">
        <v>1463</v>
      </c>
      <c r="K172" s="2">
        <f t="shared" si="57"/>
        <v>44810237.5203996</v>
      </c>
      <c r="L172" s="2" t="s">
        <v>1055</v>
      </c>
      <c r="M172" s="2" t="s">
        <v>985</v>
      </c>
      <c r="N172" s="2" t="s">
        <v>956</v>
      </c>
      <c r="O172" s="2">
        <v>250</v>
      </c>
      <c r="P172" s="2">
        <v>1357.476928710938</v>
      </c>
      <c r="Q172" s="2">
        <v>1360.35205078125</v>
      </c>
      <c r="R172" s="2">
        <f t="shared" si="69"/>
        <v>339369.23217773449</v>
      </c>
      <c r="S172" s="2">
        <f t="shared" si="70"/>
        <v>340088.0126953125</v>
      </c>
      <c r="T172" s="2">
        <f t="shared" si="71"/>
        <v>679457.24487304699</v>
      </c>
      <c r="U172" s="2">
        <f t="shared" si="72"/>
        <v>339.73</v>
      </c>
      <c r="V172" s="2">
        <f t="shared" si="73"/>
        <v>718.78051757800858</v>
      </c>
      <c r="W172" s="2">
        <f t="shared" si="74"/>
        <v>379.05051757800857</v>
      </c>
      <c r="X172" s="2">
        <f t="shared" si="75"/>
        <v>44810616.570917182</v>
      </c>
      <c r="Y172" s="2">
        <f t="shared" si="76"/>
        <v>67873.850000000006</v>
      </c>
      <c r="Z172" s="2">
        <f t="shared" si="77"/>
        <v>0.56000000000000005</v>
      </c>
      <c r="AA172" s="2">
        <f t="shared" si="78"/>
        <v>44977172.089631192</v>
      </c>
      <c r="AB172" s="2">
        <f t="shared" si="79"/>
        <v>-166555.51871401072</v>
      </c>
    </row>
    <row r="173" spans="1:28">
      <c r="A173" s="2">
        <v>170</v>
      </c>
      <c r="B173" s="2" t="s">
        <v>778</v>
      </c>
      <c r="C173" s="2" t="s">
        <v>1516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2" t="s">
        <v>779</v>
      </c>
      <c r="I173" s="2" t="s">
        <v>1738</v>
      </c>
      <c r="J173" s="2" t="s">
        <v>1739</v>
      </c>
      <c r="K173" s="2">
        <f t="shared" si="57"/>
        <v>44810616.570917182</v>
      </c>
      <c r="L173" s="2" t="s">
        <v>1543</v>
      </c>
      <c r="M173" s="2" t="s">
        <v>1568</v>
      </c>
      <c r="N173" s="2" t="s">
        <v>1545</v>
      </c>
      <c r="O173" s="2">
        <v>4486</v>
      </c>
      <c r="P173" s="2">
        <v>337.59490966796881</v>
      </c>
      <c r="Q173" s="2">
        <v>263.60556030273437</v>
      </c>
      <c r="R173" s="2">
        <f t="shared" si="69"/>
        <v>1514450.764770508</v>
      </c>
      <c r="S173" s="2">
        <f t="shared" si="70"/>
        <v>1182534.5435180664</v>
      </c>
      <c r="T173" s="2">
        <f t="shared" si="71"/>
        <v>2696985.3082885742</v>
      </c>
      <c r="U173" s="2">
        <f t="shared" si="72"/>
        <v>1348.49</v>
      </c>
      <c r="V173" s="2">
        <f t="shared" si="73"/>
        <v>-331916.22125244164</v>
      </c>
      <c r="W173" s="2">
        <f t="shared" si="74"/>
        <v>-333264.71125244163</v>
      </c>
      <c r="X173" s="2">
        <f t="shared" si="75"/>
        <v>44477351.859664738</v>
      </c>
      <c r="Y173" s="2">
        <f t="shared" si="76"/>
        <v>302890.15000000002</v>
      </c>
      <c r="Z173" s="2">
        <f t="shared" si="77"/>
        <v>-110.03</v>
      </c>
      <c r="AA173" s="2">
        <f t="shared" si="78"/>
        <v>44977172.089631192</v>
      </c>
      <c r="AB173" s="2">
        <f t="shared" si="79"/>
        <v>-499820.22996645421</v>
      </c>
    </row>
    <row r="174" spans="1:28">
      <c r="A174" s="2">
        <v>171</v>
      </c>
      <c r="B174" s="2" t="s">
        <v>782</v>
      </c>
      <c r="C174" s="2" t="s">
        <v>1516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57"/>
        <v>44477351.859664738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44477351.859664738</v>
      </c>
      <c r="Y174" s="6" t="s">
        <v>1195</v>
      </c>
      <c r="Z174" s="6" t="s">
        <v>1195</v>
      </c>
      <c r="AA174" s="2">
        <f>AA173</f>
        <v>44977172.089631192</v>
      </c>
      <c r="AB174" s="2">
        <v>0</v>
      </c>
    </row>
    <row r="175" spans="1:28">
      <c r="A175" s="2">
        <v>172</v>
      </c>
      <c r="B175" s="2" t="s">
        <v>784</v>
      </c>
      <c r="C175" s="2" t="s">
        <v>1516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2" t="s">
        <v>785</v>
      </c>
      <c r="I175" s="2" t="s">
        <v>968</v>
      </c>
      <c r="J175" s="2" t="s">
        <v>1704</v>
      </c>
      <c r="K175" s="2">
        <f t="shared" si="57"/>
        <v>44477351.859664738</v>
      </c>
      <c r="L175" s="2" t="s">
        <v>1555</v>
      </c>
      <c r="M175" s="2" t="s">
        <v>1540</v>
      </c>
      <c r="N175" s="2" t="s">
        <v>1568</v>
      </c>
      <c r="O175" s="2">
        <v>5915</v>
      </c>
      <c r="P175" s="2">
        <v>163.31770324707031</v>
      </c>
      <c r="Q175" s="2">
        <v>161.35768127441409</v>
      </c>
      <c r="R175" s="2">
        <f t="shared" ref="R175:R187" si="80">O175*P175</f>
        <v>966024.2147064209</v>
      </c>
      <c r="S175" s="2">
        <f t="shared" ref="S175:S187" si="81">O175*Q175</f>
        <v>954430.6847381593</v>
      </c>
      <c r="T175" s="2">
        <f t="shared" ref="T175:T187" si="82">R175+S175</f>
        <v>1920454.8994445801</v>
      </c>
      <c r="U175" s="2">
        <f t="shared" ref="U175:U187" si="83">ROUND(T175*0.0005, 2)</f>
        <v>960.23</v>
      </c>
      <c r="V175" s="2">
        <f t="shared" ref="V175:V187" si="84">S175-R175</f>
        <v>-11593.529968261602</v>
      </c>
      <c r="W175" s="2">
        <f t="shared" ref="W175:W187" si="85">V175-U175</f>
        <v>-12553.759968261602</v>
      </c>
      <c r="X175" s="2">
        <f t="shared" ref="X175:X187" si="86">K175+W175</f>
        <v>44464798.09969648</v>
      </c>
      <c r="Y175" s="2">
        <f t="shared" ref="Y175:Y187" si="87">ROUND(0.2*R175, 2)</f>
        <v>193204.84</v>
      </c>
      <c r="Z175" s="2">
        <f t="shared" ref="Z175:Z187" si="88">ROUND((W175/Y175)*100, 2)</f>
        <v>-6.5</v>
      </c>
      <c r="AA175" s="2">
        <f t="shared" ref="AA175:AA187" si="89">MAX(AA174, X175)</f>
        <v>44977172.089631192</v>
      </c>
      <c r="AB175" s="2">
        <f t="shared" ref="AB175:AB187" si="90">X175-AA175</f>
        <v>-512373.98993471265</v>
      </c>
    </row>
    <row r="176" spans="1:28">
      <c r="A176" s="2">
        <v>173</v>
      </c>
      <c r="B176" s="2" t="s">
        <v>787</v>
      </c>
      <c r="C176" s="2" t="s">
        <v>1516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2" t="s">
        <v>788</v>
      </c>
      <c r="I176" s="2" t="s">
        <v>267</v>
      </c>
      <c r="J176" s="2" t="s">
        <v>602</v>
      </c>
      <c r="K176" s="2">
        <f t="shared" si="57"/>
        <v>44464798.09969648</v>
      </c>
      <c r="L176" s="2" t="s">
        <v>1740</v>
      </c>
      <c r="M176" s="2" t="s">
        <v>1585</v>
      </c>
      <c r="N176" s="2" t="s">
        <v>1586</v>
      </c>
      <c r="O176" s="2">
        <v>1550</v>
      </c>
      <c r="P176" s="2">
        <v>716.2</v>
      </c>
      <c r="Q176" s="2">
        <v>768.3</v>
      </c>
      <c r="R176" s="2">
        <f t="shared" si="80"/>
        <v>1110110</v>
      </c>
      <c r="S176" s="2">
        <f t="shared" si="81"/>
        <v>1190865</v>
      </c>
      <c r="T176" s="2">
        <f t="shared" si="82"/>
        <v>2300975</v>
      </c>
      <c r="U176" s="2">
        <f t="shared" si="83"/>
        <v>1150.49</v>
      </c>
      <c r="V176" s="2">
        <f t="shared" si="84"/>
        <v>80755</v>
      </c>
      <c r="W176" s="2">
        <f t="shared" si="85"/>
        <v>79604.509999999995</v>
      </c>
      <c r="X176" s="2">
        <f t="shared" si="86"/>
        <v>44544402.609696478</v>
      </c>
      <c r="Y176" s="2">
        <f t="shared" si="87"/>
        <v>222022</v>
      </c>
      <c r="Z176" s="2">
        <f t="shared" si="88"/>
        <v>35.85</v>
      </c>
      <c r="AA176" s="2">
        <f t="shared" si="89"/>
        <v>44977172.089631192</v>
      </c>
      <c r="AB176" s="2">
        <f t="shared" si="90"/>
        <v>-432769.47993471473</v>
      </c>
    </row>
    <row r="177" spans="1:28">
      <c r="A177" s="2">
        <v>174</v>
      </c>
      <c r="B177" s="2" t="s">
        <v>790</v>
      </c>
      <c r="C177" s="2" t="s">
        <v>1516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1741</v>
      </c>
      <c r="J177" s="2" t="s">
        <v>441</v>
      </c>
      <c r="K177" s="2">
        <f t="shared" si="57"/>
        <v>44544402.609696478</v>
      </c>
      <c r="L177" s="2" t="s">
        <v>1374</v>
      </c>
      <c r="M177" s="2" t="s">
        <v>1298</v>
      </c>
      <c r="N177" s="2" t="s">
        <v>1467</v>
      </c>
      <c r="O177" s="2">
        <v>375</v>
      </c>
      <c r="P177" s="2">
        <v>1439.704711914062</v>
      </c>
      <c r="Q177" s="2">
        <v>1417.67724609375</v>
      </c>
      <c r="R177" s="2">
        <f t="shared" si="80"/>
        <v>539889.26696777332</v>
      </c>
      <c r="S177" s="2">
        <f t="shared" si="81"/>
        <v>531628.96728515625</v>
      </c>
      <c r="T177" s="2">
        <f t="shared" si="82"/>
        <v>1071518.2342529297</v>
      </c>
      <c r="U177" s="2">
        <f t="shared" si="83"/>
        <v>535.76</v>
      </c>
      <c r="V177" s="2">
        <f t="shared" si="84"/>
        <v>-8260.2996826170711</v>
      </c>
      <c r="W177" s="2">
        <f t="shared" si="85"/>
        <v>-8796.0596826170713</v>
      </c>
      <c r="X177" s="2">
        <f t="shared" si="86"/>
        <v>44535606.550013863</v>
      </c>
      <c r="Y177" s="2">
        <f t="shared" si="87"/>
        <v>107977.85</v>
      </c>
      <c r="Z177" s="2">
        <f t="shared" si="88"/>
        <v>-8.15</v>
      </c>
      <c r="AA177" s="2">
        <f t="shared" si="89"/>
        <v>44977172.089631192</v>
      </c>
      <c r="AB177" s="2">
        <f t="shared" si="90"/>
        <v>-441565.53961732984</v>
      </c>
    </row>
    <row r="178" spans="1:28">
      <c r="A178" s="2">
        <v>175</v>
      </c>
      <c r="B178" s="2" t="s">
        <v>794</v>
      </c>
      <c r="C178" s="2" t="s">
        <v>1516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1326</v>
      </c>
      <c r="J178" s="2" t="s">
        <v>1469</v>
      </c>
      <c r="K178" s="2">
        <f t="shared" si="57"/>
        <v>44535606.550013863</v>
      </c>
      <c r="L178" s="2" t="s">
        <v>946</v>
      </c>
      <c r="M178" s="2" t="s">
        <v>947</v>
      </c>
      <c r="N178" s="2" t="s">
        <v>948</v>
      </c>
      <c r="O178" s="2">
        <v>1500</v>
      </c>
      <c r="P178" s="2">
        <v>827.7589111328125</v>
      </c>
      <c r="Q178" s="2">
        <v>816.25164794921875</v>
      </c>
      <c r="R178" s="2">
        <f t="shared" si="80"/>
        <v>1241638.3666992188</v>
      </c>
      <c r="S178" s="2">
        <f t="shared" si="81"/>
        <v>1224377.4719238281</v>
      </c>
      <c r="T178" s="2">
        <f t="shared" si="82"/>
        <v>2466015.8386230469</v>
      </c>
      <c r="U178" s="2">
        <f t="shared" si="83"/>
        <v>1233.01</v>
      </c>
      <c r="V178" s="2">
        <f t="shared" si="84"/>
        <v>-17260.894775390625</v>
      </c>
      <c r="W178" s="2">
        <f t="shared" si="85"/>
        <v>-18493.904775390623</v>
      </c>
      <c r="X178" s="2">
        <f t="shared" si="86"/>
        <v>44517112.645238474</v>
      </c>
      <c r="Y178" s="2">
        <f t="shared" si="87"/>
        <v>248327.67</v>
      </c>
      <c r="Z178" s="2">
        <f t="shared" si="88"/>
        <v>-7.45</v>
      </c>
      <c r="AA178" s="2">
        <f t="shared" si="89"/>
        <v>44977172.089631192</v>
      </c>
      <c r="AB178" s="2">
        <f t="shared" si="90"/>
        <v>-460059.44439271837</v>
      </c>
    </row>
    <row r="179" spans="1:28">
      <c r="A179" s="2">
        <v>176</v>
      </c>
      <c r="B179" s="2" t="s">
        <v>798</v>
      </c>
      <c r="C179" s="2" t="s">
        <v>1516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2" t="s">
        <v>266</v>
      </c>
      <c r="I179" s="2" t="s">
        <v>172</v>
      </c>
      <c r="J179" s="2" t="s">
        <v>1742</v>
      </c>
      <c r="K179" s="2">
        <f t="shared" si="57"/>
        <v>44517112.645238474</v>
      </c>
      <c r="L179" s="2" t="s">
        <v>1299</v>
      </c>
      <c r="M179" s="2" t="s">
        <v>1603</v>
      </c>
      <c r="N179" s="2" t="s">
        <v>1555</v>
      </c>
      <c r="O179" s="2">
        <v>100</v>
      </c>
      <c r="P179" s="2">
        <v>24552.162109375</v>
      </c>
      <c r="Q179" s="2">
        <v>25533.619140625</v>
      </c>
      <c r="R179" s="2">
        <f t="shared" si="80"/>
        <v>2455216.2109375</v>
      </c>
      <c r="S179" s="2">
        <f t="shared" si="81"/>
        <v>2553361.9140625</v>
      </c>
      <c r="T179" s="2">
        <f t="shared" si="82"/>
        <v>5008578.125</v>
      </c>
      <c r="U179" s="2">
        <f t="shared" si="83"/>
        <v>2504.29</v>
      </c>
      <c r="V179" s="2">
        <f t="shared" si="84"/>
        <v>98145.703125</v>
      </c>
      <c r="W179" s="2">
        <f t="shared" si="85"/>
        <v>95641.413125000006</v>
      </c>
      <c r="X179" s="2">
        <f t="shared" si="86"/>
        <v>44612754.058363475</v>
      </c>
      <c r="Y179" s="2">
        <f t="shared" si="87"/>
        <v>491043.24</v>
      </c>
      <c r="Z179" s="2">
        <f t="shared" si="88"/>
        <v>19.48</v>
      </c>
      <c r="AA179" s="2">
        <f t="shared" si="89"/>
        <v>44977172.089631192</v>
      </c>
      <c r="AB179" s="2">
        <f t="shared" si="90"/>
        <v>-364418.03126771748</v>
      </c>
    </row>
    <row r="180" spans="1:28">
      <c r="A180" s="2">
        <v>177</v>
      </c>
      <c r="B180" s="2" t="s">
        <v>801</v>
      </c>
      <c r="C180" s="2" t="s">
        <v>1516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1129</v>
      </c>
      <c r="J180" s="2" t="s">
        <v>643</v>
      </c>
      <c r="K180" s="2">
        <f t="shared" si="57"/>
        <v>44612754.058363475</v>
      </c>
      <c r="L180" s="2" t="s">
        <v>288</v>
      </c>
      <c r="M180" s="2" t="s">
        <v>967</v>
      </c>
      <c r="N180" s="2" t="s">
        <v>957</v>
      </c>
      <c r="O180" s="2">
        <v>957</v>
      </c>
      <c r="P180" s="2">
        <v>631.2418212890625</v>
      </c>
      <c r="Q180" s="2">
        <v>610.58367919921875</v>
      </c>
      <c r="R180" s="2">
        <f t="shared" si="80"/>
        <v>604098.42297363281</v>
      </c>
      <c r="S180" s="2">
        <f t="shared" si="81"/>
        <v>584328.58099365234</v>
      </c>
      <c r="T180" s="2">
        <f t="shared" si="82"/>
        <v>1188427.0039672852</v>
      </c>
      <c r="U180" s="2">
        <f t="shared" si="83"/>
        <v>594.21</v>
      </c>
      <c r="V180" s="2">
        <f t="shared" si="84"/>
        <v>-19769.841979980469</v>
      </c>
      <c r="W180" s="2">
        <f t="shared" si="85"/>
        <v>-20364.051979980468</v>
      </c>
      <c r="X180" s="2">
        <f t="shared" si="86"/>
        <v>44592390.006383494</v>
      </c>
      <c r="Y180" s="2">
        <f t="shared" si="87"/>
        <v>120819.68</v>
      </c>
      <c r="Z180" s="2">
        <f t="shared" si="88"/>
        <v>-16.850000000000001</v>
      </c>
      <c r="AA180" s="2">
        <f t="shared" si="89"/>
        <v>44977172.089631192</v>
      </c>
      <c r="AB180" s="2">
        <f t="shared" si="90"/>
        <v>-384782.08324769884</v>
      </c>
    </row>
    <row r="181" spans="1:28">
      <c r="A181" s="2">
        <v>178</v>
      </c>
      <c r="B181" s="2" t="s">
        <v>806</v>
      </c>
      <c r="C181" s="2" t="s">
        <v>1516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2" t="s">
        <v>517</v>
      </c>
      <c r="I181" s="2" t="s">
        <v>1743</v>
      </c>
      <c r="J181" s="2" t="s">
        <v>1744</v>
      </c>
      <c r="K181" s="2">
        <f t="shared" si="57"/>
        <v>44592390.006383494</v>
      </c>
      <c r="L181" s="2" t="s">
        <v>1555</v>
      </c>
      <c r="M181" s="2" t="s">
        <v>1615</v>
      </c>
      <c r="N181" s="2" t="s">
        <v>1540</v>
      </c>
      <c r="O181" s="2">
        <v>273</v>
      </c>
      <c r="P181" s="2">
        <v>3876.907470703125</v>
      </c>
      <c r="Q181" s="2">
        <v>4154.4716796875</v>
      </c>
      <c r="R181" s="2">
        <f t="shared" si="80"/>
        <v>1058395.7395019531</v>
      </c>
      <c r="S181" s="2">
        <f t="shared" si="81"/>
        <v>1134170.7685546875</v>
      </c>
      <c r="T181" s="2">
        <f t="shared" si="82"/>
        <v>2192566.5080566406</v>
      </c>
      <c r="U181" s="2">
        <f t="shared" si="83"/>
        <v>1096.28</v>
      </c>
      <c r="V181" s="2">
        <f t="shared" si="84"/>
        <v>75775.029052734375</v>
      </c>
      <c r="W181" s="2">
        <f t="shared" si="85"/>
        <v>74678.749052734376</v>
      </c>
      <c r="X181" s="2">
        <f t="shared" si="86"/>
        <v>44667068.755436227</v>
      </c>
      <c r="Y181" s="2">
        <f t="shared" si="87"/>
        <v>211679.15</v>
      </c>
      <c r="Z181" s="2">
        <f t="shared" si="88"/>
        <v>35.28</v>
      </c>
      <c r="AA181" s="2">
        <f t="shared" si="89"/>
        <v>44977172.089631192</v>
      </c>
      <c r="AB181" s="2">
        <f t="shared" si="90"/>
        <v>-310103.33419496566</v>
      </c>
    </row>
    <row r="182" spans="1:28">
      <c r="A182" s="2">
        <v>179</v>
      </c>
      <c r="B182" s="2" t="s">
        <v>809</v>
      </c>
      <c r="C182" s="2" t="s">
        <v>1516</v>
      </c>
      <c r="D182" s="3" t="s">
        <v>37</v>
      </c>
      <c r="E182" s="5" t="s">
        <v>134</v>
      </c>
      <c r="F182" s="2" t="s">
        <v>135</v>
      </c>
      <c r="G182" s="2" t="s">
        <v>40</v>
      </c>
      <c r="H182" s="2" t="s">
        <v>810</v>
      </c>
      <c r="I182" s="2" t="s">
        <v>825</v>
      </c>
      <c r="J182" s="2" t="s">
        <v>1745</v>
      </c>
      <c r="K182" s="2">
        <f t="shared" si="57"/>
        <v>44667068.755436227</v>
      </c>
      <c r="L182" s="2" t="s">
        <v>1566</v>
      </c>
      <c r="M182" s="2" t="s">
        <v>1544</v>
      </c>
      <c r="N182" s="2" t="s">
        <v>1545</v>
      </c>
      <c r="O182" s="2">
        <v>100</v>
      </c>
      <c r="P182" s="2">
        <v>8667.1572265625</v>
      </c>
      <c r="Q182" s="2">
        <v>9988.0048828125</v>
      </c>
      <c r="R182" s="2">
        <f t="shared" si="80"/>
        <v>866715.72265625</v>
      </c>
      <c r="S182" s="2">
        <f t="shared" si="81"/>
        <v>998800.48828125</v>
      </c>
      <c r="T182" s="2">
        <f t="shared" si="82"/>
        <v>1865516.2109375</v>
      </c>
      <c r="U182" s="2">
        <f t="shared" si="83"/>
        <v>932.76</v>
      </c>
      <c r="V182" s="2">
        <f t="shared" si="84"/>
        <v>132084.765625</v>
      </c>
      <c r="W182" s="2">
        <f t="shared" si="85"/>
        <v>131152.00562499999</v>
      </c>
      <c r="X182" s="2">
        <f t="shared" si="86"/>
        <v>44798220.761061229</v>
      </c>
      <c r="Y182" s="2">
        <f t="shared" si="87"/>
        <v>173343.14</v>
      </c>
      <c r="Z182" s="2">
        <f t="shared" si="88"/>
        <v>75.66</v>
      </c>
      <c r="AA182" s="2">
        <f t="shared" si="89"/>
        <v>44977172.089631192</v>
      </c>
      <c r="AB182" s="2">
        <f t="shared" si="90"/>
        <v>-178951.32856996357</v>
      </c>
    </row>
    <row r="183" spans="1:28">
      <c r="A183" s="2">
        <v>180</v>
      </c>
      <c r="B183" s="2" t="s">
        <v>813</v>
      </c>
      <c r="C183" s="2" t="s">
        <v>1516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2" t="s">
        <v>814</v>
      </c>
      <c r="I183" s="2" t="s">
        <v>1746</v>
      </c>
      <c r="J183" s="2" t="s">
        <v>1432</v>
      </c>
      <c r="K183" s="2">
        <f t="shared" si="57"/>
        <v>44798220.761061229</v>
      </c>
      <c r="L183" s="2" t="s">
        <v>1621</v>
      </c>
      <c r="M183" s="2" t="s">
        <v>1543</v>
      </c>
      <c r="N183" s="2" t="s">
        <v>1591</v>
      </c>
      <c r="O183" s="2">
        <v>1309</v>
      </c>
      <c r="P183" s="2">
        <v>605.13671875</v>
      </c>
      <c r="Q183" s="2">
        <v>655.1788330078125</v>
      </c>
      <c r="R183" s="2">
        <f t="shared" si="80"/>
        <v>792123.96484375</v>
      </c>
      <c r="S183" s="2">
        <f t="shared" si="81"/>
        <v>857629.09240722656</v>
      </c>
      <c r="T183" s="2">
        <f t="shared" si="82"/>
        <v>1649753.0572509766</v>
      </c>
      <c r="U183" s="2">
        <f t="shared" si="83"/>
        <v>824.88</v>
      </c>
      <c r="V183" s="2">
        <f t="shared" si="84"/>
        <v>65505.127563476563</v>
      </c>
      <c r="W183" s="2">
        <f t="shared" si="85"/>
        <v>64680.247563476565</v>
      </c>
      <c r="X183" s="2">
        <f t="shared" si="86"/>
        <v>44862901.008624703</v>
      </c>
      <c r="Y183" s="2">
        <f t="shared" si="87"/>
        <v>158424.79</v>
      </c>
      <c r="Z183" s="2">
        <f t="shared" si="88"/>
        <v>40.83</v>
      </c>
      <c r="AA183" s="2">
        <f t="shared" si="89"/>
        <v>44977172.089631192</v>
      </c>
      <c r="AB183" s="2">
        <f t="shared" si="90"/>
        <v>-114271.08100648969</v>
      </c>
    </row>
    <row r="184" spans="1:28">
      <c r="A184" s="2">
        <v>181</v>
      </c>
      <c r="B184" s="2" t="s">
        <v>817</v>
      </c>
      <c r="C184" s="2" t="s">
        <v>1516</v>
      </c>
      <c r="D184" s="4" t="s">
        <v>61</v>
      </c>
      <c r="E184" s="5" t="s">
        <v>134</v>
      </c>
      <c r="F184" s="2" t="s">
        <v>135</v>
      </c>
      <c r="G184" s="2" t="s">
        <v>54</v>
      </c>
      <c r="H184" s="2" t="s">
        <v>747</v>
      </c>
      <c r="I184" s="2" t="s">
        <v>1747</v>
      </c>
      <c r="J184" s="2" t="s">
        <v>1748</v>
      </c>
      <c r="K184" s="2">
        <f t="shared" si="57"/>
        <v>44862901.008624703</v>
      </c>
      <c r="L184" s="2" t="s">
        <v>1299</v>
      </c>
      <c r="M184" s="2" t="s">
        <v>1572</v>
      </c>
      <c r="N184" s="2" t="s">
        <v>1543</v>
      </c>
      <c r="O184" s="2">
        <v>383</v>
      </c>
      <c r="P184" s="2">
        <v>2209.449462890625</v>
      </c>
      <c r="Q184" s="2">
        <v>2648.610107421875</v>
      </c>
      <c r="R184" s="2">
        <f t="shared" si="80"/>
        <v>846219.14428710937</v>
      </c>
      <c r="S184" s="2">
        <f t="shared" si="81"/>
        <v>1014417.6711425781</v>
      </c>
      <c r="T184" s="2">
        <f t="shared" si="82"/>
        <v>1860636.8154296875</v>
      </c>
      <c r="U184" s="2">
        <f t="shared" si="83"/>
        <v>930.32</v>
      </c>
      <c r="V184" s="2">
        <f t="shared" si="84"/>
        <v>168198.52685546875</v>
      </c>
      <c r="W184" s="2">
        <f t="shared" si="85"/>
        <v>167268.20685546874</v>
      </c>
      <c r="X184" s="2">
        <f t="shared" si="86"/>
        <v>45030169.215480171</v>
      </c>
      <c r="Y184" s="2">
        <f t="shared" si="87"/>
        <v>169243.83</v>
      </c>
      <c r="Z184" s="2">
        <f t="shared" si="88"/>
        <v>98.83</v>
      </c>
      <c r="AA184" s="2">
        <f t="shared" si="89"/>
        <v>45030169.215480171</v>
      </c>
      <c r="AB184" s="2">
        <f t="shared" si="90"/>
        <v>0</v>
      </c>
    </row>
    <row r="185" spans="1:28">
      <c r="A185" s="2">
        <v>182</v>
      </c>
      <c r="B185" s="2" t="s">
        <v>820</v>
      </c>
      <c r="C185" s="2" t="s">
        <v>1516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1476</v>
      </c>
      <c r="J185" s="2" t="s">
        <v>1477</v>
      </c>
      <c r="K185" s="2">
        <f t="shared" si="57"/>
        <v>45030169.215480171</v>
      </c>
      <c r="L185" s="2" t="s">
        <v>970</v>
      </c>
      <c r="M185" s="2" t="s">
        <v>959</v>
      </c>
      <c r="N185" s="2" t="s">
        <v>289</v>
      </c>
      <c r="O185" s="2">
        <v>350</v>
      </c>
      <c r="P185" s="2">
        <v>1875.545043945312</v>
      </c>
      <c r="Q185" s="2">
        <v>1775.943359375</v>
      </c>
      <c r="R185" s="2">
        <f t="shared" si="80"/>
        <v>656440.76538085926</v>
      </c>
      <c r="S185" s="2">
        <f t="shared" si="81"/>
        <v>621580.17578125</v>
      </c>
      <c r="T185" s="2">
        <f t="shared" si="82"/>
        <v>1278020.9411621094</v>
      </c>
      <c r="U185" s="2">
        <f t="shared" si="83"/>
        <v>639.01</v>
      </c>
      <c r="V185" s="2">
        <f t="shared" si="84"/>
        <v>-34860.589599609259</v>
      </c>
      <c r="W185" s="2">
        <f t="shared" si="85"/>
        <v>-35499.599599609261</v>
      </c>
      <c r="X185" s="2">
        <f t="shared" si="86"/>
        <v>44994669.615880564</v>
      </c>
      <c r="Y185" s="2">
        <f t="shared" si="87"/>
        <v>131288.15</v>
      </c>
      <c r="Z185" s="2">
        <f t="shared" si="88"/>
        <v>-27.04</v>
      </c>
      <c r="AA185" s="2">
        <f t="shared" si="89"/>
        <v>45030169.215480171</v>
      </c>
      <c r="AB185" s="2">
        <f t="shared" si="90"/>
        <v>-35499.599599607289</v>
      </c>
    </row>
    <row r="186" spans="1:28">
      <c r="A186" s="2">
        <v>183</v>
      </c>
      <c r="B186" s="2" t="s">
        <v>823</v>
      </c>
      <c r="C186" s="2" t="s">
        <v>1516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2" t="s">
        <v>824</v>
      </c>
      <c r="I186" s="2" t="s">
        <v>1749</v>
      </c>
      <c r="J186" s="2" t="s">
        <v>1750</v>
      </c>
      <c r="K186" s="2">
        <f t="shared" si="57"/>
        <v>44994669.615880564</v>
      </c>
      <c r="L186" s="2" t="s">
        <v>1638</v>
      </c>
      <c r="M186" s="2" t="s">
        <v>1298</v>
      </c>
      <c r="N186" s="2" t="s">
        <v>1467</v>
      </c>
      <c r="O186" s="2">
        <v>289</v>
      </c>
      <c r="P186" s="2">
        <v>4850.97802734375</v>
      </c>
      <c r="Q186" s="2">
        <v>4009.009521484375</v>
      </c>
      <c r="R186" s="2">
        <f t="shared" si="80"/>
        <v>1401932.6499023438</v>
      </c>
      <c r="S186" s="2">
        <f t="shared" si="81"/>
        <v>1158603.7517089844</v>
      </c>
      <c r="T186" s="2">
        <f t="shared" si="82"/>
        <v>2560536.4016113281</v>
      </c>
      <c r="U186" s="2">
        <f t="shared" si="83"/>
        <v>1280.27</v>
      </c>
      <c r="V186" s="2">
        <f t="shared" si="84"/>
        <v>-243328.89819335938</v>
      </c>
      <c r="W186" s="2">
        <f t="shared" si="85"/>
        <v>-244609.16819335936</v>
      </c>
      <c r="X186" s="2">
        <f t="shared" si="86"/>
        <v>44750060.447687201</v>
      </c>
      <c r="Y186" s="2">
        <f t="shared" si="87"/>
        <v>280386.53000000003</v>
      </c>
      <c r="Z186" s="2">
        <f t="shared" si="88"/>
        <v>-87.24</v>
      </c>
      <c r="AA186" s="2">
        <f t="shared" si="89"/>
        <v>45030169.215480171</v>
      </c>
      <c r="AB186" s="2">
        <f t="shared" si="90"/>
        <v>-280108.76779296994</v>
      </c>
    </row>
    <row r="187" spans="1:28">
      <c r="A187" s="2">
        <v>184</v>
      </c>
      <c r="B187" s="2" t="s">
        <v>827</v>
      </c>
      <c r="C187" s="2" t="s">
        <v>1516</v>
      </c>
      <c r="D187" s="3" t="s">
        <v>37</v>
      </c>
      <c r="E187" s="5" t="s">
        <v>134</v>
      </c>
      <c r="F187" s="2" t="s">
        <v>135</v>
      </c>
      <c r="G187" s="2" t="s">
        <v>40</v>
      </c>
      <c r="H187" s="2" t="s">
        <v>828</v>
      </c>
      <c r="I187" s="2" t="s">
        <v>1751</v>
      </c>
      <c r="J187" s="2" t="s">
        <v>1752</v>
      </c>
      <c r="K187" s="2">
        <f t="shared" si="57"/>
        <v>44750060.447687201</v>
      </c>
      <c r="L187" s="2" t="s">
        <v>1555</v>
      </c>
      <c r="M187" s="2" t="s">
        <v>1573</v>
      </c>
      <c r="N187" s="2" t="s">
        <v>1544</v>
      </c>
      <c r="O187" s="2">
        <v>21097</v>
      </c>
      <c r="P187" s="2">
        <v>40.200000762939453</v>
      </c>
      <c r="Q187" s="2">
        <v>45.400001525878913</v>
      </c>
      <c r="R187" s="2">
        <f t="shared" si="80"/>
        <v>848099.41609573364</v>
      </c>
      <c r="S187" s="2">
        <f t="shared" si="81"/>
        <v>957803.8321914674</v>
      </c>
      <c r="T187" s="2">
        <f t="shared" si="82"/>
        <v>1805903.2482872009</v>
      </c>
      <c r="U187" s="2">
        <f t="shared" si="83"/>
        <v>902.95</v>
      </c>
      <c r="V187" s="2">
        <f t="shared" si="84"/>
        <v>109704.41609573376</v>
      </c>
      <c r="W187" s="2">
        <f t="shared" si="85"/>
        <v>108801.46609573376</v>
      </c>
      <c r="X187" s="2">
        <f t="shared" si="86"/>
        <v>44858861.913782932</v>
      </c>
      <c r="Y187" s="2">
        <f t="shared" si="87"/>
        <v>169619.88</v>
      </c>
      <c r="Z187" s="2">
        <f t="shared" si="88"/>
        <v>64.14</v>
      </c>
      <c r="AA187" s="2">
        <f t="shared" si="89"/>
        <v>45030169.215480171</v>
      </c>
      <c r="AB187" s="2">
        <f t="shared" si="90"/>
        <v>-171307.30169723928</v>
      </c>
    </row>
    <row r="188" spans="1:28">
      <c r="A188" s="2">
        <v>185</v>
      </c>
      <c r="B188" s="2" t="s">
        <v>831</v>
      </c>
      <c r="C188" s="2" t="s">
        <v>1516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57"/>
        <v>44858861.913782932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44858861.913782932</v>
      </c>
      <c r="Y188" s="6" t="s">
        <v>1195</v>
      </c>
      <c r="Z188" s="6" t="s">
        <v>1195</v>
      </c>
      <c r="AA188" s="2">
        <f>AA187</f>
        <v>45030169.215480171</v>
      </c>
      <c r="AB188" s="2">
        <v>0</v>
      </c>
    </row>
    <row r="189" spans="1:28">
      <c r="A189" s="2">
        <v>186</v>
      </c>
      <c r="B189" s="2" t="s">
        <v>835</v>
      </c>
      <c r="C189" s="2" t="s">
        <v>1516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1480</v>
      </c>
      <c r="J189" s="2" t="s">
        <v>1481</v>
      </c>
      <c r="K189" s="2">
        <f t="shared" si="57"/>
        <v>44858861.913782932</v>
      </c>
      <c r="L189" s="2" t="s">
        <v>999</v>
      </c>
      <c r="M189" s="2" t="s">
        <v>288</v>
      </c>
      <c r="N189" s="2" t="s">
        <v>970</v>
      </c>
      <c r="O189" s="2">
        <v>450</v>
      </c>
      <c r="P189" s="2">
        <v>980.81988525390625</v>
      </c>
      <c r="Q189" s="2">
        <v>1097.756469726562</v>
      </c>
      <c r="R189" s="2">
        <f>O189*P189</f>
        <v>441368.94836425781</v>
      </c>
      <c r="S189" s="2">
        <f>O189*Q189</f>
        <v>493990.41137695289</v>
      </c>
      <c r="T189" s="2">
        <f>R189+S189</f>
        <v>935359.3597412107</v>
      </c>
      <c r="U189" s="2">
        <f>ROUND(T189*0.0005, 2)</f>
        <v>467.68</v>
      </c>
      <c r="V189" s="2">
        <f>S189-R189</f>
        <v>52621.46301269508</v>
      </c>
      <c r="W189" s="2">
        <f>V189-U189</f>
        <v>52153.783012695079</v>
      </c>
      <c r="X189" s="2">
        <f>K189+W189</f>
        <v>44911015.696795627</v>
      </c>
      <c r="Y189" s="2">
        <f>ROUND(0.2*R189, 2)</f>
        <v>88273.79</v>
      </c>
      <c r="Z189" s="2">
        <f>ROUND((W189/Y189)*100, 2)</f>
        <v>59.08</v>
      </c>
      <c r="AA189" s="2">
        <f>MAX(AA188, X189)</f>
        <v>45030169.215480171</v>
      </c>
      <c r="AB189" s="2">
        <f>X189-AA189</f>
        <v>-119153.51868454367</v>
      </c>
    </row>
    <row r="190" spans="1:28">
      <c r="A190" s="2">
        <v>187</v>
      </c>
      <c r="B190" s="2" t="s">
        <v>840</v>
      </c>
      <c r="C190" s="2" t="s">
        <v>1516</v>
      </c>
      <c r="D190" s="4" t="s">
        <v>61</v>
      </c>
      <c r="E190" s="5" t="s">
        <v>134</v>
      </c>
      <c r="F190" s="2" t="s">
        <v>135</v>
      </c>
      <c r="G190" s="2" t="s">
        <v>40</v>
      </c>
      <c r="H190" s="2" t="s">
        <v>841</v>
      </c>
      <c r="I190" s="2" t="s">
        <v>1753</v>
      </c>
      <c r="J190" s="2" t="s">
        <v>895</v>
      </c>
      <c r="K190" s="2">
        <f t="shared" si="57"/>
        <v>44911015.696795627</v>
      </c>
      <c r="L190" s="2" t="s">
        <v>1547</v>
      </c>
      <c r="M190" s="2" t="s">
        <v>1591</v>
      </c>
      <c r="N190" s="2" t="s">
        <v>1629</v>
      </c>
      <c r="O190" s="2">
        <v>273</v>
      </c>
      <c r="P190" s="2">
        <v>6784.041015625</v>
      </c>
      <c r="Q190" s="2">
        <v>7459.23193359375</v>
      </c>
      <c r="R190" s="2">
        <f>O190*P190</f>
        <v>1852043.197265625</v>
      </c>
      <c r="S190" s="2">
        <f>O190*Q190</f>
        <v>2036370.3178710938</v>
      </c>
      <c r="T190" s="2">
        <f>R190+S190</f>
        <v>3888413.5151367188</v>
      </c>
      <c r="U190" s="2">
        <f>ROUND(T190*0.0005, 2)</f>
        <v>1944.21</v>
      </c>
      <c r="V190" s="2">
        <f>S190-R190</f>
        <v>184327.12060546875</v>
      </c>
      <c r="W190" s="2">
        <f>V190-U190</f>
        <v>182382.91060546876</v>
      </c>
      <c r="X190" s="2">
        <f>K190+W190</f>
        <v>45093398.607401095</v>
      </c>
      <c r="Y190" s="2">
        <f>ROUND(0.2*R190, 2)</f>
        <v>370408.64</v>
      </c>
      <c r="Z190" s="2">
        <f>ROUND((W190/Y190)*100, 2)</f>
        <v>49.24</v>
      </c>
      <c r="AA190" s="2">
        <f>MAX(AA189, X190)</f>
        <v>45093398.607401095</v>
      </c>
      <c r="AB190" s="2">
        <f>X190-AA190</f>
        <v>0</v>
      </c>
    </row>
    <row r="191" spans="1:28">
      <c r="A191" s="2">
        <v>188</v>
      </c>
      <c r="B191" s="2" t="s">
        <v>845</v>
      </c>
      <c r="C191" s="2" t="s">
        <v>1516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57"/>
        <v>45093398.607401095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45093398.607401095</v>
      </c>
      <c r="Y191" s="6" t="s">
        <v>1195</v>
      </c>
      <c r="Z191" s="6" t="s">
        <v>1195</v>
      </c>
      <c r="AA191" s="2">
        <f>AA190</f>
        <v>45093398.607401095</v>
      </c>
      <c r="AB191" s="2">
        <v>0</v>
      </c>
    </row>
    <row r="192" spans="1:28">
      <c r="A192" s="2">
        <v>189</v>
      </c>
      <c r="B192" s="2" t="s">
        <v>848</v>
      </c>
      <c r="C192" s="2" t="s">
        <v>1516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2" t="s">
        <v>829</v>
      </c>
      <c r="I192" s="2" t="s">
        <v>788</v>
      </c>
      <c r="J192" s="2" t="s">
        <v>589</v>
      </c>
      <c r="K192" s="2">
        <f t="shared" si="57"/>
        <v>45093398.607401095</v>
      </c>
      <c r="L192" s="2" t="s">
        <v>1591</v>
      </c>
      <c r="M192" s="2" t="s">
        <v>1555</v>
      </c>
      <c r="N192" s="2" t="s">
        <v>1566</v>
      </c>
      <c r="O192" s="2">
        <v>2659</v>
      </c>
      <c r="P192" s="2">
        <v>423.2371826171875</v>
      </c>
      <c r="Q192" s="2">
        <v>441.82479858398437</v>
      </c>
      <c r="R192" s="2">
        <f t="shared" ref="R192:R208" si="91">O192*P192</f>
        <v>1125387.6685791016</v>
      </c>
      <c r="S192" s="2">
        <f t="shared" ref="S192:S208" si="92">O192*Q192</f>
        <v>1174812.1394348145</v>
      </c>
      <c r="T192" s="2">
        <f t="shared" ref="T192:T208" si="93">R192+S192</f>
        <v>2300199.808013916</v>
      </c>
      <c r="U192" s="2">
        <f t="shared" ref="U192:U208" si="94">ROUND(T192*0.0005, 2)</f>
        <v>1150.0999999999999</v>
      </c>
      <c r="V192" s="2">
        <f t="shared" ref="V192:V208" si="95">S192-R192</f>
        <v>49424.470855712891</v>
      </c>
      <c r="W192" s="2">
        <f t="shared" ref="W192:W208" si="96">V192-U192</f>
        <v>48274.370855712892</v>
      </c>
      <c r="X192" s="2">
        <f t="shared" ref="X192:X208" si="97">K192+W192</f>
        <v>45141672.978256807</v>
      </c>
      <c r="Y192" s="2">
        <f t="shared" ref="Y192:Y208" si="98">ROUND(0.2*R192, 2)</f>
        <v>225077.53</v>
      </c>
      <c r="Z192" s="2">
        <f t="shared" ref="Z192:Z208" si="99">ROUND((W192/Y192)*100, 2)</f>
        <v>21.45</v>
      </c>
      <c r="AA192" s="2">
        <f t="shared" ref="AA192:AA208" si="100">MAX(AA191, X192)</f>
        <v>45141672.978256807</v>
      </c>
      <c r="AB192" s="2">
        <f t="shared" ref="AB192:AB208" si="101">X192-AA192</f>
        <v>0</v>
      </c>
    </row>
    <row r="193" spans="1:28">
      <c r="A193" s="2">
        <v>190</v>
      </c>
      <c r="B193" s="2" t="s">
        <v>851</v>
      </c>
      <c r="C193" s="2" t="s">
        <v>1516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1487</v>
      </c>
      <c r="J193" s="2" t="s">
        <v>1488</v>
      </c>
      <c r="K193" s="2">
        <f t="shared" si="57"/>
        <v>45141672.978256807</v>
      </c>
      <c r="L193" s="2" t="s">
        <v>289</v>
      </c>
      <c r="M193" s="2" t="s">
        <v>951</v>
      </c>
      <c r="N193" s="2" t="s">
        <v>973</v>
      </c>
      <c r="O193" s="2">
        <v>5500</v>
      </c>
      <c r="P193" s="2">
        <v>133.25044250488281</v>
      </c>
      <c r="Q193" s="2">
        <v>143.02616882324219</v>
      </c>
      <c r="R193" s="2">
        <f t="shared" si="91"/>
        <v>732877.43377685547</v>
      </c>
      <c r="S193" s="2">
        <f t="shared" si="92"/>
        <v>786643.92852783203</v>
      </c>
      <c r="T193" s="2">
        <f t="shared" si="93"/>
        <v>1519521.3623046875</v>
      </c>
      <c r="U193" s="2">
        <f t="shared" si="94"/>
        <v>759.76</v>
      </c>
      <c r="V193" s="2">
        <f t="shared" si="95"/>
        <v>53766.494750976563</v>
      </c>
      <c r="W193" s="2">
        <f t="shared" si="96"/>
        <v>53006.73475097656</v>
      </c>
      <c r="X193" s="2">
        <f t="shared" si="97"/>
        <v>45194679.713007785</v>
      </c>
      <c r="Y193" s="2">
        <f t="shared" si="98"/>
        <v>146575.49</v>
      </c>
      <c r="Z193" s="2">
        <f t="shared" si="99"/>
        <v>36.159999999999997</v>
      </c>
      <c r="AA193" s="2">
        <f t="shared" si="100"/>
        <v>45194679.713007785</v>
      </c>
      <c r="AB193" s="2">
        <f t="shared" si="101"/>
        <v>0</v>
      </c>
    </row>
    <row r="194" spans="1:28">
      <c r="A194" s="2">
        <v>191</v>
      </c>
      <c r="B194" s="2" t="s">
        <v>854</v>
      </c>
      <c r="C194" s="2" t="s">
        <v>1516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1235</v>
      </c>
      <c r="J194" s="2" t="s">
        <v>1144</v>
      </c>
      <c r="K194" s="2">
        <f t="shared" si="57"/>
        <v>45194679.713007785</v>
      </c>
      <c r="L194" s="2" t="s">
        <v>1489</v>
      </c>
      <c r="M194" s="2" t="s">
        <v>956</v>
      </c>
      <c r="N194" s="2" t="s">
        <v>1049</v>
      </c>
      <c r="O194" s="2">
        <v>175</v>
      </c>
      <c r="P194" s="2">
        <v>3864.2705078125</v>
      </c>
      <c r="Q194" s="2">
        <v>3991.503173828125</v>
      </c>
      <c r="R194" s="2">
        <f t="shared" si="91"/>
        <v>676247.3388671875</v>
      </c>
      <c r="S194" s="2">
        <f t="shared" si="92"/>
        <v>698513.05541992188</v>
      </c>
      <c r="T194" s="2">
        <f t="shared" si="93"/>
        <v>1374760.3942871094</v>
      </c>
      <c r="U194" s="2">
        <f t="shared" si="94"/>
        <v>687.38</v>
      </c>
      <c r="V194" s="2">
        <f t="shared" si="95"/>
        <v>22265.716552734375</v>
      </c>
      <c r="W194" s="2">
        <f t="shared" si="96"/>
        <v>21578.336552734374</v>
      </c>
      <c r="X194" s="2">
        <f t="shared" si="97"/>
        <v>45216258.049560517</v>
      </c>
      <c r="Y194" s="2">
        <f t="shared" si="98"/>
        <v>135249.47</v>
      </c>
      <c r="Z194" s="2">
        <f t="shared" si="99"/>
        <v>15.95</v>
      </c>
      <c r="AA194" s="2">
        <f t="shared" si="100"/>
        <v>45216258.049560517</v>
      </c>
      <c r="AB194" s="2">
        <f t="shared" si="101"/>
        <v>0</v>
      </c>
    </row>
    <row r="195" spans="1:28">
      <c r="A195" s="2">
        <v>192</v>
      </c>
      <c r="B195" s="2" t="s">
        <v>860</v>
      </c>
      <c r="C195" s="2" t="s">
        <v>1516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1490</v>
      </c>
      <c r="J195" s="2" t="s">
        <v>1491</v>
      </c>
      <c r="K195" s="2">
        <f t="shared" si="57"/>
        <v>45216258.049560517</v>
      </c>
      <c r="L195" s="2" t="s">
        <v>1014</v>
      </c>
      <c r="M195" s="2" t="s">
        <v>957</v>
      </c>
      <c r="N195" s="2" t="s">
        <v>1161</v>
      </c>
      <c r="O195" s="2">
        <v>600</v>
      </c>
      <c r="P195" s="2">
        <v>1611.4560546875</v>
      </c>
      <c r="Q195" s="2">
        <v>1595.073486328125</v>
      </c>
      <c r="R195" s="2">
        <f t="shared" si="91"/>
        <v>966873.6328125</v>
      </c>
      <c r="S195" s="2">
        <f t="shared" si="92"/>
        <v>957044.091796875</v>
      </c>
      <c r="T195" s="2">
        <f t="shared" si="93"/>
        <v>1923917.724609375</v>
      </c>
      <c r="U195" s="2">
        <f t="shared" si="94"/>
        <v>961.96</v>
      </c>
      <c r="V195" s="2">
        <f t="shared" si="95"/>
        <v>-9829.541015625</v>
      </c>
      <c r="W195" s="2">
        <f t="shared" si="96"/>
        <v>-10791.501015624999</v>
      </c>
      <c r="X195" s="2">
        <f t="shared" si="97"/>
        <v>45205466.548544891</v>
      </c>
      <c r="Y195" s="2">
        <f t="shared" si="98"/>
        <v>193374.73</v>
      </c>
      <c r="Z195" s="2">
        <f t="shared" si="99"/>
        <v>-5.58</v>
      </c>
      <c r="AA195" s="2">
        <f t="shared" si="100"/>
        <v>45216258.049560517</v>
      </c>
      <c r="AB195" s="2">
        <f t="shared" si="101"/>
        <v>-10791.501015625894</v>
      </c>
    </row>
    <row r="196" spans="1:28">
      <c r="A196" s="2">
        <v>193</v>
      </c>
      <c r="B196" s="2" t="s">
        <v>865</v>
      </c>
      <c r="C196" s="2" t="s">
        <v>1516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2" t="s">
        <v>866</v>
      </c>
      <c r="I196" s="2" t="s">
        <v>309</v>
      </c>
      <c r="J196" s="2" t="s">
        <v>887</v>
      </c>
      <c r="K196" s="2">
        <f t="shared" si="57"/>
        <v>45205466.548544891</v>
      </c>
      <c r="L196" s="2" t="s">
        <v>1543</v>
      </c>
      <c r="M196" s="2" t="s">
        <v>1555</v>
      </c>
      <c r="N196" s="2" t="s">
        <v>1572</v>
      </c>
      <c r="O196" s="2">
        <v>371</v>
      </c>
      <c r="P196" s="2">
        <v>3748.555908203125</v>
      </c>
      <c r="Q196" s="2">
        <v>3992.270751953125</v>
      </c>
      <c r="R196" s="2">
        <f t="shared" si="91"/>
        <v>1390714.2419433594</v>
      </c>
      <c r="S196" s="2">
        <f t="shared" si="92"/>
        <v>1481132.4489746094</v>
      </c>
      <c r="T196" s="2">
        <f t="shared" si="93"/>
        <v>2871846.6909179688</v>
      </c>
      <c r="U196" s="2">
        <f t="shared" si="94"/>
        <v>1435.92</v>
      </c>
      <c r="V196" s="2">
        <f t="shared" si="95"/>
        <v>90418.20703125</v>
      </c>
      <c r="W196" s="2">
        <f t="shared" si="96"/>
        <v>88982.287031250002</v>
      </c>
      <c r="X196" s="2">
        <f t="shared" si="97"/>
        <v>45294448.835576139</v>
      </c>
      <c r="Y196" s="2">
        <f t="shared" si="98"/>
        <v>278142.84999999998</v>
      </c>
      <c r="Z196" s="2">
        <f t="shared" si="99"/>
        <v>31.99</v>
      </c>
      <c r="AA196" s="2">
        <f t="shared" si="100"/>
        <v>45294448.835576139</v>
      </c>
      <c r="AB196" s="2">
        <f t="shared" si="101"/>
        <v>0</v>
      </c>
    </row>
    <row r="197" spans="1:28">
      <c r="A197" s="2">
        <v>194</v>
      </c>
      <c r="B197" s="2" t="s">
        <v>868</v>
      </c>
      <c r="C197" s="2" t="s">
        <v>1516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984</v>
      </c>
      <c r="J197" s="2" t="s">
        <v>1493</v>
      </c>
      <c r="K197" s="2">
        <f t="shared" ref="K197:K214" si="102">X196</f>
        <v>45294448.835576139</v>
      </c>
      <c r="L197" s="2" t="s">
        <v>979</v>
      </c>
      <c r="M197" s="2" t="s">
        <v>946</v>
      </c>
      <c r="N197" s="2" t="s">
        <v>979</v>
      </c>
      <c r="O197" s="2">
        <v>175</v>
      </c>
      <c r="P197" s="2">
        <v>3101.309814453125</v>
      </c>
      <c r="Q197" s="2">
        <v>3210.02490234375</v>
      </c>
      <c r="R197" s="2">
        <f t="shared" si="91"/>
        <v>542729.21752929687</v>
      </c>
      <c r="S197" s="2">
        <f t="shared" si="92"/>
        <v>561754.35791015625</v>
      </c>
      <c r="T197" s="2">
        <f t="shared" si="93"/>
        <v>1104483.5754394531</v>
      </c>
      <c r="U197" s="2">
        <f t="shared" si="94"/>
        <v>552.24</v>
      </c>
      <c r="V197" s="2">
        <f t="shared" si="95"/>
        <v>19025.140380859375</v>
      </c>
      <c r="W197" s="2">
        <f t="shared" si="96"/>
        <v>18472.900380859373</v>
      </c>
      <c r="X197" s="2">
        <f t="shared" si="97"/>
        <v>45312921.735956997</v>
      </c>
      <c r="Y197" s="2">
        <f t="shared" si="98"/>
        <v>108545.84</v>
      </c>
      <c r="Z197" s="2">
        <f t="shared" si="99"/>
        <v>17.02</v>
      </c>
      <c r="AA197" s="2">
        <f t="shared" si="100"/>
        <v>45312921.735956997</v>
      </c>
      <c r="AB197" s="2">
        <f t="shared" si="101"/>
        <v>0</v>
      </c>
    </row>
    <row r="198" spans="1:28">
      <c r="A198" s="2">
        <v>195</v>
      </c>
      <c r="B198" s="2" t="s">
        <v>873</v>
      </c>
      <c r="C198" s="2" t="s">
        <v>1516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1494</v>
      </c>
      <c r="J198" s="2" t="s">
        <v>1074</v>
      </c>
      <c r="K198" s="2">
        <f t="shared" si="102"/>
        <v>45312921.735956997</v>
      </c>
      <c r="L198" s="2" t="s">
        <v>1495</v>
      </c>
      <c r="M198" s="2" t="s">
        <v>1496</v>
      </c>
      <c r="N198" s="2" t="s">
        <v>1497</v>
      </c>
      <c r="O198" s="2">
        <v>3054</v>
      </c>
      <c r="P198" s="2">
        <v>221.24110412597659</v>
      </c>
      <c r="Q198" s="2">
        <v>232.9312438964844</v>
      </c>
      <c r="R198" s="2">
        <f t="shared" si="91"/>
        <v>675670.33200073254</v>
      </c>
      <c r="S198" s="2">
        <f t="shared" si="92"/>
        <v>711372.0188598634</v>
      </c>
      <c r="T198" s="2">
        <f t="shared" si="93"/>
        <v>1387042.3508605959</v>
      </c>
      <c r="U198" s="2">
        <f t="shared" si="94"/>
        <v>693.52</v>
      </c>
      <c r="V198" s="2">
        <f t="shared" si="95"/>
        <v>35701.686859130859</v>
      </c>
      <c r="W198" s="2">
        <f t="shared" si="96"/>
        <v>35008.166859130863</v>
      </c>
      <c r="X198" s="2">
        <f t="shared" si="97"/>
        <v>45347929.902816124</v>
      </c>
      <c r="Y198" s="2">
        <f t="shared" si="98"/>
        <v>135134.07</v>
      </c>
      <c r="Z198" s="2">
        <f t="shared" si="99"/>
        <v>25.91</v>
      </c>
      <c r="AA198" s="2">
        <f t="shared" si="100"/>
        <v>45347929.902816124</v>
      </c>
      <c r="AB198" s="2">
        <f t="shared" si="101"/>
        <v>0</v>
      </c>
    </row>
    <row r="199" spans="1:28">
      <c r="A199" s="2">
        <v>196</v>
      </c>
      <c r="B199" s="2" t="s">
        <v>878</v>
      </c>
      <c r="C199" s="2" t="s">
        <v>1516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2" t="s">
        <v>879</v>
      </c>
      <c r="I199" s="2" t="s">
        <v>1230</v>
      </c>
      <c r="J199" s="2" t="s">
        <v>1521</v>
      </c>
      <c r="K199" s="2">
        <f t="shared" si="102"/>
        <v>45347929.902816124</v>
      </c>
      <c r="L199" s="2" t="s">
        <v>1539</v>
      </c>
      <c r="M199" s="2" t="s">
        <v>1573</v>
      </c>
      <c r="N199" s="2" t="s">
        <v>1544</v>
      </c>
      <c r="O199" s="2">
        <v>205</v>
      </c>
      <c r="P199" s="2">
        <v>2638.0185546875</v>
      </c>
      <c r="Q199" s="2">
        <v>2603.87890625</v>
      </c>
      <c r="R199" s="2">
        <f t="shared" si="91"/>
        <v>540793.8037109375</v>
      </c>
      <c r="S199" s="2">
        <f t="shared" si="92"/>
        <v>533795.17578125</v>
      </c>
      <c r="T199" s="2">
        <f t="shared" si="93"/>
        <v>1074588.9794921875</v>
      </c>
      <c r="U199" s="2">
        <f t="shared" si="94"/>
        <v>537.29</v>
      </c>
      <c r="V199" s="2">
        <f t="shared" si="95"/>
        <v>-6998.6279296875</v>
      </c>
      <c r="W199" s="2">
        <f t="shared" si="96"/>
        <v>-7535.9179296875</v>
      </c>
      <c r="X199" s="2">
        <f t="shared" si="97"/>
        <v>45340393.984886438</v>
      </c>
      <c r="Y199" s="2">
        <f t="shared" si="98"/>
        <v>108158.76</v>
      </c>
      <c r="Z199" s="2">
        <f t="shared" si="99"/>
        <v>-6.97</v>
      </c>
      <c r="AA199" s="2">
        <f t="shared" si="100"/>
        <v>45347929.902816124</v>
      </c>
      <c r="AB199" s="2">
        <f t="shared" si="101"/>
        <v>-7535.9179296866059</v>
      </c>
    </row>
    <row r="200" spans="1:28">
      <c r="A200" s="2">
        <v>197</v>
      </c>
      <c r="B200" s="2" t="s">
        <v>881</v>
      </c>
      <c r="C200" s="2" t="s">
        <v>1516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1499</v>
      </c>
      <c r="J200" s="2" t="s">
        <v>1500</v>
      </c>
      <c r="K200" s="2">
        <f t="shared" si="102"/>
        <v>45340393.984886438</v>
      </c>
      <c r="L200" s="2" t="s">
        <v>973</v>
      </c>
      <c r="M200" s="2" t="s">
        <v>980</v>
      </c>
      <c r="N200" s="2" t="s">
        <v>948</v>
      </c>
      <c r="O200" s="2">
        <v>345</v>
      </c>
      <c r="P200" s="2">
        <v>6941.1796875</v>
      </c>
      <c r="Q200" s="2">
        <v>6449.73974609375</v>
      </c>
      <c r="R200" s="2">
        <f t="shared" si="91"/>
        <v>2394706.9921875</v>
      </c>
      <c r="S200" s="2">
        <f t="shared" si="92"/>
        <v>2225160.2124023437</v>
      </c>
      <c r="T200" s="2">
        <f t="shared" si="93"/>
        <v>4619867.2045898437</v>
      </c>
      <c r="U200" s="2">
        <f t="shared" si="94"/>
        <v>2309.9299999999998</v>
      </c>
      <c r="V200" s="2">
        <f t="shared" si="95"/>
        <v>-169546.77978515625</v>
      </c>
      <c r="W200" s="2">
        <f t="shared" si="96"/>
        <v>-171856.70978515624</v>
      </c>
      <c r="X200" s="2">
        <f t="shared" si="97"/>
        <v>45168537.275101282</v>
      </c>
      <c r="Y200" s="2">
        <f t="shared" si="98"/>
        <v>478941.4</v>
      </c>
      <c r="Z200" s="2">
        <f t="shared" si="99"/>
        <v>-35.880000000000003</v>
      </c>
      <c r="AA200" s="2">
        <f t="shared" si="100"/>
        <v>45347929.902816124</v>
      </c>
      <c r="AB200" s="2">
        <f t="shared" si="101"/>
        <v>-179392.62771484256</v>
      </c>
    </row>
    <row r="201" spans="1:28">
      <c r="A201" s="2">
        <v>198</v>
      </c>
      <c r="B201" s="2" t="s">
        <v>886</v>
      </c>
      <c r="C201" s="2" t="s">
        <v>1516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2" t="s">
        <v>887</v>
      </c>
      <c r="I201" s="2" t="s">
        <v>1376</v>
      </c>
      <c r="J201" s="2" t="s">
        <v>677</v>
      </c>
      <c r="K201" s="2">
        <f t="shared" si="102"/>
        <v>45168537.275101282</v>
      </c>
      <c r="L201" s="2" t="s">
        <v>1299</v>
      </c>
      <c r="M201" s="2" t="s">
        <v>1565</v>
      </c>
      <c r="N201" s="2" t="s">
        <v>1566</v>
      </c>
      <c r="O201" s="2">
        <v>237</v>
      </c>
      <c r="P201" s="2">
        <v>2047.920043945312</v>
      </c>
      <c r="Q201" s="2">
        <v>2057.198974609375</v>
      </c>
      <c r="R201" s="2">
        <f t="shared" si="91"/>
        <v>485357.05041503895</v>
      </c>
      <c r="S201" s="2">
        <f t="shared" si="92"/>
        <v>487556.15698242188</v>
      </c>
      <c r="T201" s="2">
        <f t="shared" si="93"/>
        <v>972913.20739746082</v>
      </c>
      <c r="U201" s="2">
        <f t="shared" si="94"/>
        <v>486.46</v>
      </c>
      <c r="V201" s="2">
        <f t="shared" si="95"/>
        <v>2199.1065673829289</v>
      </c>
      <c r="W201" s="2">
        <f t="shared" si="96"/>
        <v>1712.6465673829289</v>
      </c>
      <c r="X201" s="2">
        <f t="shared" si="97"/>
        <v>45170249.921668664</v>
      </c>
      <c r="Y201" s="2">
        <f t="shared" si="98"/>
        <v>97071.41</v>
      </c>
      <c r="Z201" s="2">
        <f t="shared" si="99"/>
        <v>1.76</v>
      </c>
      <c r="AA201" s="2">
        <f t="shared" si="100"/>
        <v>45347929.902816124</v>
      </c>
      <c r="AB201" s="2">
        <f t="shared" si="101"/>
        <v>-177679.98114746064</v>
      </c>
    </row>
    <row r="202" spans="1:28">
      <c r="A202" s="2">
        <v>199</v>
      </c>
      <c r="B202" s="2" t="s">
        <v>890</v>
      </c>
      <c r="C202" s="2" t="s">
        <v>1516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1502</v>
      </c>
      <c r="J202" s="2" t="s">
        <v>1503</v>
      </c>
      <c r="K202" s="2">
        <f t="shared" si="102"/>
        <v>45170249.921668664</v>
      </c>
      <c r="L202" s="2" t="s">
        <v>999</v>
      </c>
      <c r="M202" s="2" t="s">
        <v>289</v>
      </c>
      <c r="N202" s="2" t="s">
        <v>985</v>
      </c>
      <c r="O202" s="2">
        <v>100</v>
      </c>
      <c r="P202" s="2">
        <v>11022.7294921875</v>
      </c>
      <c r="Q202" s="2">
        <v>11344.98828125</v>
      </c>
      <c r="R202" s="2">
        <f t="shared" si="91"/>
        <v>1102272.94921875</v>
      </c>
      <c r="S202" s="2">
        <f t="shared" si="92"/>
        <v>1134498.828125</v>
      </c>
      <c r="T202" s="2">
        <f t="shared" si="93"/>
        <v>2236771.77734375</v>
      </c>
      <c r="U202" s="2">
        <f t="shared" si="94"/>
        <v>1118.3900000000001</v>
      </c>
      <c r="V202" s="2">
        <f t="shared" si="95"/>
        <v>32225.87890625</v>
      </c>
      <c r="W202" s="2">
        <f t="shared" si="96"/>
        <v>31107.488906250001</v>
      </c>
      <c r="X202" s="2">
        <f t="shared" si="97"/>
        <v>45201357.410574913</v>
      </c>
      <c r="Y202" s="2">
        <f t="shared" si="98"/>
        <v>220454.59</v>
      </c>
      <c r="Z202" s="2">
        <f t="shared" si="99"/>
        <v>14.11</v>
      </c>
      <c r="AA202" s="2">
        <f t="shared" si="100"/>
        <v>45347929.902816124</v>
      </c>
      <c r="AB202" s="2">
        <f t="shared" si="101"/>
        <v>-146572.49224121124</v>
      </c>
    </row>
    <row r="203" spans="1:28">
      <c r="A203" s="2">
        <v>200</v>
      </c>
      <c r="B203" s="2" t="s">
        <v>894</v>
      </c>
      <c r="C203" s="2" t="s">
        <v>1516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2" t="s">
        <v>895</v>
      </c>
      <c r="I203" s="2" t="s">
        <v>1754</v>
      </c>
      <c r="J203" s="2" t="s">
        <v>1725</v>
      </c>
      <c r="K203" s="2">
        <f t="shared" si="102"/>
        <v>45201357.410574913</v>
      </c>
      <c r="L203" s="2" t="s">
        <v>1566</v>
      </c>
      <c r="M203" s="2" t="s">
        <v>1558</v>
      </c>
      <c r="N203" s="2" t="s">
        <v>1559</v>
      </c>
      <c r="O203" s="2">
        <v>5868</v>
      </c>
      <c r="P203" s="2">
        <v>131.89520263671881</v>
      </c>
      <c r="Q203" s="2">
        <v>128.7831726074219</v>
      </c>
      <c r="R203" s="2">
        <f t="shared" si="91"/>
        <v>773961.04907226597</v>
      </c>
      <c r="S203" s="2">
        <f t="shared" si="92"/>
        <v>755699.65686035168</v>
      </c>
      <c r="T203" s="2">
        <f t="shared" si="93"/>
        <v>1529660.7059326177</v>
      </c>
      <c r="U203" s="2">
        <f t="shared" si="94"/>
        <v>764.83</v>
      </c>
      <c r="V203" s="2">
        <f t="shared" si="95"/>
        <v>-18261.392211914295</v>
      </c>
      <c r="W203" s="2">
        <f t="shared" si="96"/>
        <v>-19026.222211914297</v>
      </c>
      <c r="X203" s="2">
        <f t="shared" si="97"/>
        <v>45182331.188363001</v>
      </c>
      <c r="Y203" s="2">
        <f t="shared" si="98"/>
        <v>154792.21</v>
      </c>
      <c r="Z203" s="2">
        <f t="shared" si="99"/>
        <v>-12.29</v>
      </c>
      <c r="AA203" s="2">
        <f t="shared" si="100"/>
        <v>45347929.902816124</v>
      </c>
      <c r="AB203" s="2">
        <f t="shared" si="101"/>
        <v>-165598.71445312351</v>
      </c>
    </row>
    <row r="204" spans="1:28">
      <c r="A204" s="2">
        <v>201</v>
      </c>
      <c r="B204" s="2" t="s">
        <v>897</v>
      </c>
      <c r="C204" s="2" t="s">
        <v>1516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2" t="s">
        <v>898</v>
      </c>
      <c r="I204" s="2" t="s">
        <v>583</v>
      </c>
      <c r="J204" s="2" t="s">
        <v>1755</v>
      </c>
      <c r="K204" s="2">
        <f t="shared" si="102"/>
        <v>45182331.188363001</v>
      </c>
      <c r="L204" s="2" t="s">
        <v>1545</v>
      </c>
      <c r="M204" s="2" t="s">
        <v>1573</v>
      </c>
      <c r="N204" s="2" t="s">
        <v>1544</v>
      </c>
      <c r="O204" s="2">
        <v>652</v>
      </c>
      <c r="P204" s="2">
        <v>1142.586547851562</v>
      </c>
      <c r="Q204" s="2">
        <v>1153.511352539062</v>
      </c>
      <c r="R204" s="2">
        <f t="shared" si="91"/>
        <v>744966.4291992184</v>
      </c>
      <c r="S204" s="2">
        <f t="shared" si="92"/>
        <v>752089.4018554684</v>
      </c>
      <c r="T204" s="2">
        <f t="shared" si="93"/>
        <v>1497055.8310546868</v>
      </c>
      <c r="U204" s="2">
        <f t="shared" si="94"/>
        <v>748.53</v>
      </c>
      <c r="V204" s="2">
        <f t="shared" si="95"/>
        <v>7122.97265625</v>
      </c>
      <c r="W204" s="2">
        <f t="shared" si="96"/>
        <v>6374.4426562500003</v>
      </c>
      <c r="X204" s="2">
        <f t="shared" si="97"/>
        <v>45188705.63101925</v>
      </c>
      <c r="Y204" s="2">
        <f t="shared" si="98"/>
        <v>148993.29</v>
      </c>
      <c r="Z204" s="2">
        <f t="shared" si="99"/>
        <v>4.28</v>
      </c>
      <c r="AA204" s="2">
        <f t="shared" si="100"/>
        <v>45347929.902816124</v>
      </c>
      <c r="AB204" s="2">
        <f t="shared" si="101"/>
        <v>-159224.2717968747</v>
      </c>
    </row>
    <row r="205" spans="1:28">
      <c r="A205" s="2">
        <v>202</v>
      </c>
      <c r="B205" s="2" t="s">
        <v>899</v>
      </c>
      <c r="C205" s="2" t="s">
        <v>1516</v>
      </c>
      <c r="D205" s="3" t="s">
        <v>37</v>
      </c>
      <c r="E205" s="5" t="s">
        <v>134</v>
      </c>
      <c r="F205" s="2" t="s">
        <v>135</v>
      </c>
      <c r="G205" s="2" t="s">
        <v>40</v>
      </c>
      <c r="H205" s="2" t="s">
        <v>638</v>
      </c>
      <c r="I205" s="2" t="s">
        <v>1748</v>
      </c>
      <c r="J205" s="2" t="s">
        <v>1756</v>
      </c>
      <c r="K205" s="2">
        <f t="shared" si="102"/>
        <v>45188705.63101925</v>
      </c>
      <c r="L205" s="2" t="s">
        <v>1555</v>
      </c>
      <c r="M205" s="2" t="s">
        <v>1573</v>
      </c>
      <c r="N205" s="2" t="s">
        <v>1544</v>
      </c>
      <c r="O205" s="2">
        <v>852</v>
      </c>
      <c r="P205" s="2">
        <v>734.242431640625</v>
      </c>
      <c r="Q205" s="2">
        <v>855.82098388671875</v>
      </c>
      <c r="R205" s="2">
        <f t="shared" si="91"/>
        <v>625574.5517578125</v>
      </c>
      <c r="S205" s="2">
        <f t="shared" si="92"/>
        <v>729159.47827148437</v>
      </c>
      <c r="T205" s="2">
        <f t="shared" si="93"/>
        <v>1354734.0300292969</v>
      </c>
      <c r="U205" s="2">
        <f t="shared" si="94"/>
        <v>677.37</v>
      </c>
      <c r="V205" s="2">
        <f t="shared" si="95"/>
        <v>103584.92651367187</v>
      </c>
      <c r="W205" s="2">
        <f t="shared" si="96"/>
        <v>102907.55651367188</v>
      </c>
      <c r="X205" s="2">
        <f t="shared" si="97"/>
        <v>45291613.187532924</v>
      </c>
      <c r="Y205" s="2">
        <f t="shared" si="98"/>
        <v>125114.91</v>
      </c>
      <c r="Z205" s="2">
        <f t="shared" si="99"/>
        <v>82.25</v>
      </c>
      <c r="AA205" s="2">
        <f t="shared" si="100"/>
        <v>45347929.902816124</v>
      </c>
      <c r="AB205" s="2">
        <f t="shared" si="101"/>
        <v>-56316.715283200145</v>
      </c>
    </row>
    <row r="206" spans="1:28">
      <c r="A206" s="2">
        <v>203</v>
      </c>
      <c r="B206" s="2" t="s">
        <v>902</v>
      </c>
      <c r="C206" s="2" t="s">
        <v>1516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2" t="s">
        <v>903</v>
      </c>
      <c r="I206" s="2" t="s">
        <v>1483</v>
      </c>
      <c r="J206" s="2" t="s">
        <v>1757</v>
      </c>
      <c r="K206" s="2">
        <f t="shared" si="102"/>
        <v>45291613.187532924</v>
      </c>
      <c r="L206" s="2" t="s">
        <v>1566</v>
      </c>
      <c r="M206" s="2" t="s">
        <v>1568</v>
      </c>
      <c r="N206" s="2" t="s">
        <v>1555</v>
      </c>
      <c r="O206" s="2">
        <v>1659</v>
      </c>
      <c r="P206" s="2">
        <v>501.72186279296881</v>
      </c>
      <c r="Q206" s="2">
        <v>468.166015625</v>
      </c>
      <c r="R206" s="2">
        <f t="shared" si="91"/>
        <v>832356.57037353527</v>
      </c>
      <c r="S206" s="2">
        <f t="shared" si="92"/>
        <v>776687.419921875</v>
      </c>
      <c r="T206" s="2">
        <f t="shared" si="93"/>
        <v>1609043.9902954102</v>
      </c>
      <c r="U206" s="2">
        <f t="shared" si="94"/>
        <v>804.52</v>
      </c>
      <c r="V206" s="2">
        <f t="shared" si="95"/>
        <v>-55669.150451660273</v>
      </c>
      <c r="W206" s="2">
        <f t="shared" si="96"/>
        <v>-56473.670451660269</v>
      </c>
      <c r="X206" s="2">
        <f t="shared" si="97"/>
        <v>45235139.517081261</v>
      </c>
      <c r="Y206" s="2">
        <f t="shared" si="98"/>
        <v>166471.31</v>
      </c>
      <c r="Z206" s="2">
        <f t="shared" si="99"/>
        <v>-33.92</v>
      </c>
      <c r="AA206" s="2">
        <f t="shared" si="100"/>
        <v>45347929.902816124</v>
      </c>
      <c r="AB206" s="2">
        <f t="shared" si="101"/>
        <v>-112790.38573486358</v>
      </c>
    </row>
    <row r="207" spans="1:28">
      <c r="A207" s="2">
        <v>204</v>
      </c>
      <c r="B207" s="2" t="s">
        <v>906</v>
      </c>
      <c r="C207" s="2" t="s">
        <v>1516</v>
      </c>
      <c r="D207" s="4" t="s">
        <v>61</v>
      </c>
      <c r="E207" s="5" t="s">
        <v>134</v>
      </c>
      <c r="F207" s="2" t="s">
        <v>135</v>
      </c>
      <c r="G207" s="2" t="s">
        <v>77</v>
      </c>
      <c r="H207" s="2" t="s">
        <v>907</v>
      </c>
      <c r="I207" s="2" t="s">
        <v>583</v>
      </c>
      <c r="J207" s="2" t="s">
        <v>568</v>
      </c>
      <c r="K207" s="2">
        <f t="shared" si="102"/>
        <v>45235139.517081261</v>
      </c>
      <c r="L207" s="2" t="s">
        <v>1566</v>
      </c>
      <c r="M207" s="2" t="s">
        <v>1555</v>
      </c>
      <c r="N207" s="2" t="s">
        <v>1572</v>
      </c>
      <c r="O207" s="2">
        <v>2215</v>
      </c>
      <c r="P207" s="2">
        <v>592.12060546875</v>
      </c>
      <c r="Q207" s="2">
        <v>597.78704833984375</v>
      </c>
      <c r="R207" s="2">
        <f t="shared" si="91"/>
        <v>1311547.1411132813</v>
      </c>
      <c r="S207" s="2">
        <f t="shared" si="92"/>
        <v>1324098.3120727539</v>
      </c>
      <c r="T207" s="2">
        <f t="shared" si="93"/>
        <v>2635645.4531860352</v>
      </c>
      <c r="U207" s="2">
        <f t="shared" si="94"/>
        <v>1317.82</v>
      </c>
      <c r="V207" s="2">
        <f t="shared" si="95"/>
        <v>12551.170959472656</v>
      </c>
      <c r="W207" s="2">
        <f t="shared" si="96"/>
        <v>11233.350959472657</v>
      </c>
      <c r="X207" s="2">
        <f t="shared" si="97"/>
        <v>45246372.868040733</v>
      </c>
      <c r="Y207" s="2">
        <f t="shared" si="98"/>
        <v>262309.43</v>
      </c>
      <c r="Z207" s="2">
        <f t="shared" si="99"/>
        <v>4.28</v>
      </c>
      <c r="AA207" s="2">
        <f t="shared" si="100"/>
        <v>45347929.902816124</v>
      </c>
      <c r="AB207" s="2">
        <f t="shared" si="101"/>
        <v>-101557.03477539122</v>
      </c>
    </row>
    <row r="208" spans="1:28">
      <c r="A208" s="2">
        <v>205</v>
      </c>
      <c r="B208" s="2" t="s">
        <v>910</v>
      </c>
      <c r="C208" s="2" t="s">
        <v>1516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2" t="s">
        <v>911</v>
      </c>
      <c r="I208" s="2" t="s">
        <v>1758</v>
      </c>
      <c r="J208" s="2" t="s">
        <v>239</v>
      </c>
      <c r="K208" s="2">
        <f t="shared" si="102"/>
        <v>45246372.868040733</v>
      </c>
      <c r="L208" s="2" t="s">
        <v>1629</v>
      </c>
      <c r="M208" s="2" t="s">
        <v>1557</v>
      </c>
      <c r="N208" s="2" t="s">
        <v>1467</v>
      </c>
      <c r="O208" s="2">
        <v>3738</v>
      </c>
      <c r="P208" s="2">
        <v>325.61618041992187</v>
      </c>
      <c r="Q208" s="2">
        <v>352.9595947265625</v>
      </c>
      <c r="R208" s="2">
        <f t="shared" si="91"/>
        <v>1217153.282409668</v>
      </c>
      <c r="S208" s="2">
        <f t="shared" si="92"/>
        <v>1319362.9650878906</v>
      </c>
      <c r="T208" s="2">
        <f t="shared" si="93"/>
        <v>2536516.2474975586</v>
      </c>
      <c r="U208" s="2">
        <f t="shared" si="94"/>
        <v>1268.26</v>
      </c>
      <c r="V208" s="2">
        <f t="shared" si="95"/>
        <v>102209.68267822266</v>
      </c>
      <c r="W208" s="2">
        <f t="shared" si="96"/>
        <v>100941.42267822266</v>
      </c>
      <c r="X208" s="2">
        <f t="shared" si="97"/>
        <v>45347314.290718958</v>
      </c>
      <c r="Y208" s="2">
        <f t="shared" si="98"/>
        <v>243430.66</v>
      </c>
      <c r="Z208" s="2">
        <f t="shared" si="99"/>
        <v>41.47</v>
      </c>
      <c r="AA208" s="2">
        <f t="shared" si="100"/>
        <v>45347929.902816124</v>
      </c>
      <c r="AB208" s="2">
        <f t="shared" si="101"/>
        <v>-615.61209716647863</v>
      </c>
    </row>
    <row r="209" spans="1:28">
      <c r="A209" s="2">
        <v>206</v>
      </c>
      <c r="B209" s="2" t="s">
        <v>913</v>
      </c>
      <c r="C209" s="2" t="s">
        <v>1516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102"/>
        <v>45347314.290718958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>K209</f>
        <v>45347314.290718958</v>
      </c>
      <c r="Y209" s="6" t="s">
        <v>1195</v>
      </c>
      <c r="Z209" s="6" t="s">
        <v>1195</v>
      </c>
      <c r="AA209" s="2">
        <f>AA208</f>
        <v>45347929.902816124</v>
      </c>
      <c r="AB209" s="2">
        <v>0</v>
      </c>
    </row>
    <row r="210" spans="1:28">
      <c r="A210" s="2">
        <v>207</v>
      </c>
      <c r="B210" s="2" t="s">
        <v>915</v>
      </c>
      <c r="C210" s="2" t="s">
        <v>1516</v>
      </c>
      <c r="D210" s="4" t="s">
        <v>61</v>
      </c>
      <c r="E210" s="5" t="s">
        <v>134</v>
      </c>
      <c r="F210" s="2" t="s">
        <v>135</v>
      </c>
      <c r="G210" s="2" t="s">
        <v>54</v>
      </c>
      <c r="H210" s="2" t="s">
        <v>247</v>
      </c>
      <c r="I210" s="2" t="s">
        <v>1759</v>
      </c>
      <c r="J210" s="2" t="s">
        <v>1760</v>
      </c>
      <c r="K210" s="2">
        <f t="shared" si="102"/>
        <v>45347314.290718958</v>
      </c>
      <c r="L210" s="2" t="s">
        <v>1557</v>
      </c>
      <c r="M210" s="2" t="s">
        <v>1555</v>
      </c>
      <c r="N210" s="2" t="s">
        <v>1566</v>
      </c>
      <c r="O210" s="2">
        <v>750</v>
      </c>
      <c r="P210" s="2">
        <v>1288.197387695312</v>
      </c>
      <c r="Q210" s="2">
        <v>1473.199340820312</v>
      </c>
      <c r="R210" s="2">
        <f>O210*P210</f>
        <v>966148.04077148403</v>
      </c>
      <c r="S210" s="2">
        <f>O210*Q210</f>
        <v>1104899.5056152341</v>
      </c>
      <c r="T210" s="2">
        <f>R210+S210</f>
        <v>2071047.5463867183</v>
      </c>
      <c r="U210" s="2">
        <f>ROUND(T210*0.0005, 2)</f>
        <v>1035.52</v>
      </c>
      <c r="V210" s="2">
        <f>S210-R210</f>
        <v>138751.46484375012</v>
      </c>
      <c r="W210" s="2">
        <f>V210-U210</f>
        <v>137715.94484375013</v>
      </c>
      <c r="X210" s="2">
        <f>K210+W210</f>
        <v>45485030.235562705</v>
      </c>
      <c r="Y210" s="2">
        <f>ROUND(0.2*R210, 2)</f>
        <v>193229.61</v>
      </c>
      <c r="Z210" s="2">
        <f>ROUND((W210/Y210)*100, 2)</f>
        <v>71.27</v>
      </c>
      <c r="AA210" s="2">
        <f>MAX(AA209, X210)</f>
        <v>45485030.235562705</v>
      </c>
      <c r="AB210" s="2">
        <f>X210-AA210</f>
        <v>0</v>
      </c>
    </row>
    <row r="211" spans="1:28">
      <c r="A211" s="2">
        <v>208</v>
      </c>
      <c r="B211" s="2" t="s">
        <v>918</v>
      </c>
      <c r="C211" s="2" t="s">
        <v>1516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102"/>
        <v>45485030.235562705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>K211</f>
        <v>45485030.235562705</v>
      </c>
      <c r="Y211" s="6" t="s">
        <v>1195</v>
      </c>
      <c r="Z211" s="6" t="s">
        <v>1195</v>
      </c>
      <c r="AA211" s="2">
        <f>AA210</f>
        <v>45485030.235562705</v>
      </c>
      <c r="AB211" s="2">
        <v>0</v>
      </c>
    </row>
    <row r="212" spans="1:28">
      <c r="A212" s="2">
        <v>209</v>
      </c>
      <c r="B212" s="2" t="s">
        <v>922</v>
      </c>
      <c r="C212" s="2" t="s">
        <v>1516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1486</v>
      </c>
      <c r="J212" s="2" t="s">
        <v>1512</v>
      </c>
      <c r="K212" s="2">
        <f t="shared" si="102"/>
        <v>45485030.235562705</v>
      </c>
      <c r="L212" s="2" t="s">
        <v>1055</v>
      </c>
      <c r="M212" s="2" t="s">
        <v>288</v>
      </c>
      <c r="N212" s="2" t="s">
        <v>1014</v>
      </c>
      <c r="O212" s="2">
        <v>1500</v>
      </c>
      <c r="P212" s="2">
        <v>247.6143798828125</v>
      </c>
      <c r="Q212" s="2">
        <v>256.33221435546881</v>
      </c>
      <c r="R212" s="2">
        <f>O212*P212</f>
        <v>371421.56982421875</v>
      </c>
      <c r="S212" s="2">
        <f>O212*Q212</f>
        <v>384498.32153320318</v>
      </c>
      <c r="T212" s="2">
        <f>R212+S212</f>
        <v>755919.89135742187</v>
      </c>
      <c r="U212" s="2">
        <f>ROUND(T212*0.0005, 2)</f>
        <v>377.96</v>
      </c>
      <c r="V212" s="2">
        <f>S212-R212</f>
        <v>13076.751708984433</v>
      </c>
      <c r="W212" s="2">
        <f>V212-U212</f>
        <v>12698.791708984434</v>
      </c>
      <c r="X212" s="2">
        <f>K212+W212</f>
        <v>45497729.027271688</v>
      </c>
      <c r="Y212" s="2">
        <f>ROUND(0.2*R212, 2)</f>
        <v>74284.31</v>
      </c>
      <c r="Z212" s="2">
        <f>ROUND((W212/Y212)*100, 2)</f>
        <v>17.09</v>
      </c>
      <c r="AA212" s="2">
        <f>MAX(AA211, X212)</f>
        <v>45497729.027271688</v>
      </c>
      <c r="AB212" s="2">
        <f>X212-AA212</f>
        <v>0</v>
      </c>
    </row>
    <row r="213" spans="1:28">
      <c r="A213" s="2">
        <v>210</v>
      </c>
      <c r="B213" s="2" t="s">
        <v>925</v>
      </c>
      <c r="C213" s="2" t="s">
        <v>1516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2" t="s">
        <v>635</v>
      </c>
      <c r="I213" s="2" t="s">
        <v>1761</v>
      </c>
      <c r="J213" s="2" t="s">
        <v>1762</v>
      </c>
      <c r="K213" s="2">
        <f t="shared" si="102"/>
        <v>45497729.027271688</v>
      </c>
      <c r="L213" s="2" t="s">
        <v>1466</v>
      </c>
      <c r="M213" s="2" t="s">
        <v>1557</v>
      </c>
      <c r="N213" s="2" t="s">
        <v>1639</v>
      </c>
      <c r="O213" s="2">
        <v>44365</v>
      </c>
      <c r="P213" s="2">
        <v>24.95000076293945</v>
      </c>
      <c r="Q213" s="2">
        <v>23.95000076293945</v>
      </c>
      <c r="R213" s="2">
        <f>O213*P213</f>
        <v>1106906.7838478086</v>
      </c>
      <c r="S213" s="2">
        <f>O213*Q213</f>
        <v>1062541.7838478086</v>
      </c>
      <c r="T213" s="2">
        <f>R213+S213</f>
        <v>2169448.5676956172</v>
      </c>
      <c r="U213" s="2">
        <f>ROUND(T213*0.0005, 2)</f>
        <v>1084.72</v>
      </c>
      <c r="V213" s="2">
        <f>S213-R213</f>
        <v>-44365</v>
      </c>
      <c r="W213" s="2">
        <f>V213-U213</f>
        <v>-45449.72</v>
      </c>
      <c r="X213" s="2">
        <f>K213+W213</f>
        <v>45452279.307271689</v>
      </c>
      <c r="Y213" s="2">
        <f>ROUND(0.2*R213, 2)</f>
        <v>221381.36</v>
      </c>
      <c r="Z213" s="2">
        <f>ROUND((W213/Y213)*100, 2)</f>
        <v>-20.53</v>
      </c>
      <c r="AA213" s="2">
        <f>MAX(AA212, X213)</f>
        <v>45497729.027271688</v>
      </c>
      <c r="AB213" s="2">
        <f>X213-AA213</f>
        <v>-45449.719999998808</v>
      </c>
    </row>
    <row r="214" spans="1:28">
      <c r="A214" s="2">
        <v>211</v>
      </c>
      <c r="B214" s="2" t="s">
        <v>928</v>
      </c>
      <c r="C214" s="2" t="s">
        <v>1516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2" t="s">
        <v>929</v>
      </c>
      <c r="I214" s="2" t="s">
        <v>767</v>
      </c>
      <c r="J214" s="2" t="s">
        <v>1681</v>
      </c>
      <c r="K214" s="2">
        <f t="shared" si="102"/>
        <v>45452279.307271689</v>
      </c>
      <c r="L214" s="2" t="s">
        <v>1572</v>
      </c>
      <c r="M214" s="2" t="s">
        <v>1544</v>
      </c>
      <c r="N214" s="2" t="s">
        <v>1545</v>
      </c>
      <c r="O214" s="2">
        <v>896</v>
      </c>
      <c r="P214" s="2">
        <v>1060.214111328125</v>
      </c>
      <c r="Q214" s="2">
        <v>977.93914794921875</v>
      </c>
      <c r="R214" s="2">
        <f>O214*P214</f>
        <v>949951.84375</v>
      </c>
      <c r="S214" s="2">
        <f>O214*Q214</f>
        <v>876233.4765625</v>
      </c>
      <c r="T214" s="2">
        <f>R214+S214</f>
        <v>1826185.3203125</v>
      </c>
      <c r="U214" s="2">
        <f>ROUND(T214*0.0005, 2)</f>
        <v>913.09</v>
      </c>
      <c r="V214" s="2">
        <f>S214-R214</f>
        <v>-73718.3671875</v>
      </c>
      <c r="W214" s="2">
        <f>V214-U214</f>
        <v>-74631.457187499997</v>
      </c>
      <c r="X214" s="2">
        <f>K214+W214</f>
        <v>45377647.850084186</v>
      </c>
      <c r="Y214" s="2">
        <f>ROUND(0.2*R214, 2)</f>
        <v>189990.37</v>
      </c>
      <c r="Z214" s="2">
        <f>ROUND((W214/Y214)*100, 2)</f>
        <v>-39.28</v>
      </c>
      <c r="AA214" s="2">
        <f>MAX(AA213, X214)</f>
        <v>45497729.027271688</v>
      </c>
      <c r="AB214" s="2">
        <f>X214-AA214</f>
        <v>-120081.17718750238</v>
      </c>
    </row>
  </sheetData>
  <mergeCells count="1">
    <mergeCell ref="A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1763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1764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829</v>
      </c>
      <c r="J4" s="2" t="s">
        <v>110</v>
      </c>
      <c r="K4" s="2">
        <v>42511150.109999999</v>
      </c>
      <c r="L4" s="2" t="s">
        <v>1765</v>
      </c>
      <c r="M4" s="2" t="s">
        <v>1238</v>
      </c>
      <c r="N4" s="2" t="s">
        <v>1225</v>
      </c>
      <c r="O4" s="2">
        <v>874</v>
      </c>
      <c r="P4" s="2">
        <v>1075</v>
      </c>
      <c r="Q4" s="2">
        <v>1099.900024414062</v>
      </c>
      <c r="R4" s="2">
        <f t="shared" ref="R4:R35" si="0">O4*P4</f>
        <v>939550</v>
      </c>
      <c r="S4" s="2">
        <f t="shared" ref="S4:S35" si="1">O4*Q4</f>
        <v>961312.62133789028</v>
      </c>
      <c r="T4" s="2">
        <f t="shared" ref="T4:T35" si="2">R4+S4</f>
        <v>1900862.6213378902</v>
      </c>
      <c r="U4" s="2">
        <f t="shared" ref="U4:U35" si="3">ROUND(T4*0.0005, 2)</f>
        <v>950.43</v>
      </c>
      <c r="V4" s="2">
        <f t="shared" ref="V4:V35" si="4">S4-R4</f>
        <v>21762.621337890276</v>
      </c>
      <c r="W4" s="2">
        <f t="shared" ref="W4:W35" si="5">V4-U4</f>
        <v>20812.191337890275</v>
      </c>
      <c r="X4" s="2">
        <f t="shared" ref="X4:X35" si="6">K4+W4</f>
        <v>42531962.30133789</v>
      </c>
      <c r="Y4" s="2">
        <f t="shared" ref="Y4:Y35" si="7">ROUND(0.2*R4, 2)</f>
        <v>187910</v>
      </c>
      <c r="Z4" s="2">
        <f t="shared" ref="Z4:Z35" si="8">ROUND((W4/Y4)*100, 2)</f>
        <v>11.08</v>
      </c>
      <c r="AA4" s="2">
        <f>MAX(42511150.11, X4)</f>
        <v>42531962.30133789</v>
      </c>
      <c r="AB4" s="2">
        <f t="shared" ref="AB4:AB35" si="9">X4-AA4</f>
        <v>0</v>
      </c>
    </row>
    <row r="5" spans="1:29">
      <c r="A5" s="2">
        <v>2</v>
      </c>
      <c r="B5" s="2" t="s">
        <v>46</v>
      </c>
      <c r="C5" s="2" t="s">
        <v>1764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1471</v>
      </c>
      <c r="J5" s="2" t="s">
        <v>1766</v>
      </c>
      <c r="K5" s="2">
        <f t="shared" ref="K5:K68" si="10">X4</f>
        <v>42531962.30133789</v>
      </c>
      <c r="L5" s="2" t="s">
        <v>1527</v>
      </c>
      <c r="M5" s="2" t="s">
        <v>1104</v>
      </c>
      <c r="N5" s="2" t="s">
        <v>1767</v>
      </c>
      <c r="O5" s="2">
        <v>137</v>
      </c>
      <c r="P5" s="2">
        <v>7230</v>
      </c>
      <c r="Q5" s="2">
        <v>6381</v>
      </c>
      <c r="R5" s="2">
        <f t="shared" si="0"/>
        <v>990510</v>
      </c>
      <c r="S5" s="2">
        <f t="shared" si="1"/>
        <v>874197</v>
      </c>
      <c r="T5" s="2">
        <f t="shared" si="2"/>
        <v>1864707</v>
      </c>
      <c r="U5" s="2">
        <f t="shared" si="3"/>
        <v>932.35</v>
      </c>
      <c r="V5" s="2">
        <f t="shared" si="4"/>
        <v>-116313</v>
      </c>
      <c r="W5" s="2">
        <f t="shared" si="5"/>
        <v>-117245.35</v>
      </c>
      <c r="X5" s="2">
        <f t="shared" si="6"/>
        <v>42414716.951337889</v>
      </c>
      <c r="Y5" s="2">
        <f t="shared" si="7"/>
        <v>198102</v>
      </c>
      <c r="Z5" s="2">
        <f t="shared" si="8"/>
        <v>-59.18</v>
      </c>
      <c r="AA5" s="2">
        <f t="shared" ref="AA5:AA36" si="11">MAX(AA4, X5)</f>
        <v>42531962.30133789</v>
      </c>
      <c r="AB5" s="2">
        <f t="shared" si="9"/>
        <v>-117245.35000000149</v>
      </c>
    </row>
    <row r="6" spans="1:29">
      <c r="A6" s="2">
        <v>3</v>
      </c>
      <c r="B6" s="2" t="s">
        <v>52</v>
      </c>
      <c r="C6" s="2" t="s">
        <v>1764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1768</v>
      </c>
      <c r="J6" s="2" t="s">
        <v>257</v>
      </c>
      <c r="K6" s="2">
        <f t="shared" si="10"/>
        <v>42414716.951337889</v>
      </c>
      <c r="L6" s="2" t="s">
        <v>1765</v>
      </c>
      <c r="M6" s="2" t="s">
        <v>1769</v>
      </c>
      <c r="N6" s="2" t="s">
        <v>1546</v>
      </c>
      <c r="O6" s="2">
        <v>2537</v>
      </c>
      <c r="P6" s="2">
        <v>351.35000610351562</v>
      </c>
      <c r="Q6" s="2">
        <v>370.60000610351562</v>
      </c>
      <c r="R6" s="2">
        <f t="shared" si="0"/>
        <v>891374.96548461914</v>
      </c>
      <c r="S6" s="2">
        <f t="shared" si="1"/>
        <v>940212.21548461914</v>
      </c>
      <c r="T6" s="2">
        <f t="shared" si="2"/>
        <v>1831587.1809692383</v>
      </c>
      <c r="U6" s="2">
        <f t="shared" si="3"/>
        <v>915.79</v>
      </c>
      <c r="V6" s="2">
        <f t="shared" si="4"/>
        <v>48837.25</v>
      </c>
      <c r="W6" s="2">
        <f t="shared" si="5"/>
        <v>47921.46</v>
      </c>
      <c r="X6" s="2">
        <f t="shared" si="6"/>
        <v>42462638.41133789</v>
      </c>
      <c r="Y6" s="2">
        <f t="shared" si="7"/>
        <v>178274.99</v>
      </c>
      <c r="Z6" s="2">
        <f t="shared" si="8"/>
        <v>26.88</v>
      </c>
      <c r="AA6" s="2">
        <f t="shared" si="11"/>
        <v>42531962.30133789</v>
      </c>
      <c r="AB6" s="2">
        <f t="shared" si="9"/>
        <v>-69323.890000000596</v>
      </c>
    </row>
    <row r="7" spans="1:29">
      <c r="A7" s="2">
        <v>4</v>
      </c>
      <c r="B7" s="2" t="s">
        <v>60</v>
      </c>
      <c r="C7" s="2" t="s">
        <v>1764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1770</v>
      </c>
      <c r="J7" s="2" t="s">
        <v>608</v>
      </c>
      <c r="K7" s="2">
        <f t="shared" si="10"/>
        <v>42462638.41133789</v>
      </c>
      <c r="L7" s="2" t="s">
        <v>1533</v>
      </c>
      <c r="M7" s="2" t="s">
        <v>1771</v>
      </c>
      <c r="N7" s="2" t="s">
        <v>1533</v>
      </c>
      <c r="O7" s="2">
        <v>602</v>
      </c>
      <c r="P7" s="2">
        <v>1568.800048828125</v>
      </c>
      <c r="Q7" s="2">
        <v>1521.400024414062</v>
      </c>
      <c r="R7" s="2">
        <f t="shared" si="0"/>
        <v>944417.62939453125</v>
      </c>
      <c r="S7" s="2">
        <f t="shared" si="1"/>
        <v>915882.81469726539</v>
      </c>
      <c r="T7" s="2">
        <f t="shared" si="2"/>
        <v>1860300.4440917966</v>
      </c>
      <c r="U7" s="2">
        <f t="shared" si="3"/>
        <v>930.15</v>
      </c>
      <c r="V7" s="2">
        <f t="shared" si="4"/>
        <v>-28534.814697265858</v>
      </c>
      <c r="W7" s="2">
        <f t="shared" si="5"/>
        <v>-29464.964697265859</v>
      </c>
      <c r="X7" s="2">
        <f t="shared" si="6"/>
        <v>42433173.446640626</v>
      </c>
      <c r="Y7" s="2">
        <f t="shared" si="7"/>
        <v>188883.53</v>
      </c>
      <c r="Z7" s="2">
        <f t="shared" si="8"/>
        <v>-15.6</v>
      </c>
      <c r="AA7" s="2">
        <f t="shared" si="11"/>
        <v>42531962.30133789</v>
      </c>
      <c r="AB7" s="2">
        <f t="shared" si="9"/>
        <v>-98788.854697264731</v>
      </c>
    </row>
    <row r="8" spans="1:29">
      <c r="A8" s="2">
        <v>5</v>
      </c>
      <c r="B8" s="2" t="s">
        <v>68</v>
      </c>
      <c r="C8" s="2" t="s">
        <v>1764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437</v>
      </c>
      <c r="J8" s="2" t="s">
        <v>1641</v>
      </c>
      <c r="K8" s="2">
        <f t="shared" si="10"/>
        <v>42433173.446640626</v>
      </c>
      <c r="L8" s="2" t="s">
        <v>1268</v>
      </c>
      <c r="M8" s="2" t="s">
        <v>1254</v>
      </c>
      <c r="N8" s="2" t="s">
        <v>1268</v>
      </c>
      <c r="O8" s="2">
        <v>300</v>
      </c>
      <c r="P8" s="2">
        <v>3214.21875</v>
      </c>
      <c r="Q8" s="2">
        <v>3035.33740234375</v>
      </c>
      <c r="R8" s="2">
        <f t="shared" si="0"/>
        <v>964265.625</v>
      </c>
      <c r="S8" s="2">
        <f t="shared" si="1"/>
        <v>910601.220703125</v>
      </c>
      <c r="T8" s="2">
        <f t="shared" si="2"/>
        <v>1874866.845703125</v>
      </c>
      <c r="U8" s="2">
        <f t="shared" si="3"/>
        <v>937.43</v>
      </c>
      <c r="V8" s="2">
        <f t="shared" si="4"/>
        <v>-53664.404296875</v>
      </c>
      <c r="W8" s="2">
        <f t="shared" si="5"/>
        <v>-54601.834296875</v>
      </c>
      <c r="X8" s="2">
        <f t="shared" si="6"/>
        <v>42378571.612343751</v>
      </c>
      <c r="Y8" s="2">
        <f t="shared" si="7"/>
        <v>192853.13</v>
      </c>
      <c r="Z8" s="2">
        <f t="shared" si="8"/>
        <v>-28.31</v>
      </c>
      <c r="AA8" s="2">
        <f t="shared" si="11"/>
        <v>42531962.30133789</v>
      </c>
      <c r="AB8" s="2">
        <f t="shared" si="9"/>
        <v>-153390.68899413943</v>
      </c>
    </row>
    <row r="9" spans="1:29">
      <c r="A9" s="2">
        <v>6</v>
      </c>
      <c r="B9" s="2" t="s">
        <v>75</v>
      </c>
      <c r="C9" s="2" t="s">
        <v>1764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1772</v>
      </c>
      <c r="J9" s="2" t="s">
        <v>1385</v>
      </c>
      <c r="K9" s="2">
        <f t="shared" si="10"/>
        <v>42378571.612343751</v>
      </c>
      <c r="L9" s="2" t="s">
        <v>1356</v>
      </c>
      <c r="M9" s="2" t="s">
        <v>1737</v>
      </c>
      <c r="N9" s="2" t="s">
        <v>1773</v>
      </c>
      <c r="O9" s="2">
        <v>500</v>
      </c>
      <c r="P9" s="2">
        <v>1150</v>
      </c>
      <c r="Q9" s="2">
        <v>1229.699951171875</v>
      </c>
      <c r="R9" s="2">
        <f t="shared" si="0"/>
        <v>575000</v>
      </c>
      <c r="S9" s="2">
        <f t="shared" si="1"/>
        <v>614849.9755859375</v>
      </c>
      <c r="T9" s="2">
        <f t="shared" si="2"/>
        <v>1189849.9755859375</v>
      </c>
      <c r="U9" s="2">
        <f t="shared" si="3"/>
        <v>594.91999999999996</v>
      </c>
      <c r="V9" s="2">
        <f t="shared" si="4"/>
        <v>39849.9755859375</v>
      </c>
      <c r="W9" s="2">
        <f t="shared" si="5"/>
        <v>39255.055585937502</v>
      </c>
      <c r="X9" s="2">
        <f t="shared" si="6"/>
        <v>42417826.667929687</v>
      </c>
      <c r="Y9" s="2">
        <f t="shared" si="7"/>
        <v>115000</v>
      </c>
      <c r="Z9" s="2">
        <f t="shared" si="8"/>
        <v>34.130000000000003</v>
      </c>
      <c r="AA9" s="2">
        <f t="shared" si="11"/>
        <v>42531962.30133789</v>
      </c>
      <c r="AB9" s="2">
        <f t="shared" si="9"/>
        <v>-114135.63340820372</v>
      </c>
    </row>
    <row r="10" spans="1:29">
      <c r="A10" s="2">
        <v>7</v>
      </c>
      <c r="B10" s="2" t="s">
        <v>82</v>
      </c>
      <c r="C10" s="2" t="s">
        <v>1764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353</v>
      </c>
      <c r="J10" s="2" t="s">
        <v>1339</v>
      </c>
      <c r="K10" s="2">
        <f t="shared" si="10"/>
        <v>42417826.667929687</v>
      </c>
      <c r="L10" s="2" t="s">
        <v>1244</v>
      </c>
      <c r="M10" s="2" t="s">
        <v>1251</v>
      </c>
      <c r="N10" s="2" t="s">
        <v>1268</v>
      </c>
      <c r="O10" s="2">
        <v>625</v>
      </c>
      <c r="P10" s="2">
        <v>1471.410034179688</v>
      </c>
      <c r="Q10" s="2">
        <v>1505.301635742188</v>
      </c>
      <c r="R10" s="2">
        <f t="shared" si="0"/>
        <v>919631.27136230492</v>
      </c>
      <c r="S10" s="2">
        <f t="shared" si="1"/>
        <v>940813.52233886742</v>
      </c>
      <c r="T10" s="2">
        <f t="shared" si="2"/>
        <v>1860444.7937011723</v>
      </c>
      <c r="U10" s="2">
        <f t="shared" si="3"/>
        <v>930.22</v>
      </c>
      <c r="V10" s="2">
        <f t="shared" si="4"/>
        <v>21182.2509765625</v>
      </c>
      <c r="W10" s="2">
        <f t="shared" si="5"/>
        <v>20252.030976562499</v>
      </c>
      <c r="X10" s="2">
        <f t="shared" si="6"/>
        <v>42438078.69890625</v>
      </c>
      <c r="Y10" s="2">
        <f t="shared" si="7"/>
        <v>183926.25</v>
      </c>
      <c r="Z10" s="2">
        <f t="shared" si="8"/>
        <v>11.01</v>
      </c>
      <c r="AA10" s="2">
        <f t="shared" si="11"/>
        <v>42531962.30133789</v>
      </c>
      <c r="AB10" s="2">
        <f t="shared" si="9"/>
        <v>-93883.602431640029</v>
      </c>
    </row>
    <row r="11" spans="1:29">
      <c r="A11" s="2">
        <v>8</v>
      </c>
      <c r="B11" s="2" t="s">
        <v>90</v>
      </c>
      <c r="C11" s="2" t="s">
        <v>1764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717</v>
      </c>
      <c r="J11" s="2" t="s">
        <v>427</v>
      </c>
      <c r="K11" s="2">
        <f t="shared" si="10"/>
        <v>42438078.69890625</v>
      </c>
      <c r="L11" s="2" t="s">
        <v>933</v>
      </c>
      <c r="M11" s="2" t="s">
        <v>772</v>
      </c>
      <c r="N11" s="2" t="s">
        <v>469</v>
      </c>
      <c r="O11" s="2">
        <v>4785</v>
      </c>
      <c r="P11" s="2">
        <v>213.66000366210929</v>
      </c>
      <c r="Q11" s="2">
        <v>219.9700012207031</v>
      </c>
      <c r="R11" s="2">
        <f t="shared" si="0"/>
        <v>1022363.1175231929</v>
      </c>
      <c r="S11" s="2">
        <f t="shared" si="1"/>
        <v>1052556.4558410642</v>
      </c>
      <c r="T11" s="2">
        <f t="shared" si="2"/>
        <v>2074919.5733642571</v>
      </c>
      <c r="U11" s="2">
        <f t="shared" si="3"/>
        <v>1037.46</v>
      </c>
      <c r="V11" s="2">
        <f t="shared" si="4"/>
        <v>30193.338317871327</v>
      </c>
      <c r="W11" s="2">
        <f t="shared" si="5"/>
        <v>29155.878317871327</v>
      </c>
      <c r="X11" s="2">
        <f t="shared" si="6"/>
        <v>42467234.57722412</v>
      </c>
      <c r="Y11" s="2">
        <f t="shared" si="7"/>
        <v>204472.62</v>
      </c>
      <c r="Z11" s="2">
        <f t="shared" si="8"/>
        <v>14.26</v>
      </c>
      <c r="AA11" s="2">
        <f t="shared" si="11"/>
        <v>42531962.30133789</v>
      </c>
      <c r="AB11" s="2">
        <f t="shared" si="9"/>
        <v>-64727.724113769829</v>
      </c>
    </row>
    <row r="12" spans="1:29">
      <c r="A12" s="2">
        <v>9</v>
      </c>
      <c r="B12" s="2" t="s">
        <v>95</v>
      </c>
      <c r="C12" s="2" t="s">
        <v>1764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>
        <f t="shared" si="10"/>
        <v>42467234.57722412</v>
      </c>
      <c r="L12" s="2" t="s">
        <v>67</v>
      </c>
      <c r="M12" s="2" t="s">
        <v>44</v>
      </c>
      <c r="N12" s="2" t="s">
        <v>368</v>
      </c>
      <c r="O12" s="2">
        <v>171</v>
      </c>
      <c r="P12" s="2">
        <v>5651.5</v>
      </c>
      <c r="Q12" s="2">
        <v>5816.5</v>
      </c>
      <c r="R12" s="2">
        <f t="shared" si="0"/>
        <v>966406.5</v>
      </c>
      <c r="S12" s="2">
        <f t="shared" si="1"/>
        <v>994621.5</v>
      </c>
      <c r="T12" s="2">
        <f t="shared" si="2"/>
        <v>1961028</v>
      </c>
      <c r="U12" s="2">
        <f t="shared" si="3"/>
        <v>980.51</v>
      </c>
      <c r="V12" s="2">
        <f t="shared" si="4"/>
        <v>28215</v>
      </c>
      <c r="W12" s="2">
        <f t="shared" si="5"/>
        <v>27234.49</v>
      </c>
      <c r="X12" s="2">
        <f t="shared" si="6"/>
        <v>42494469.067224123</v>
      </c>
      <c r="Y12" s="2">
        <f t="shared" si="7"/>
        <v>193281.3</v>
      </c>
      <c r="Z12" s="2">
        <f t="shared" si="8"/>
        <v>14.09</v>
      </c>
      <c r="AA12" s="2">
        <f t="shared" si="11"/>
        <v>42531962.30133789</v>
      </c>
      <c r="AB12" s="2">
        <f t="shared" si="9"/>
        <v>-37493.234113767743</v>
      </c>
    </row>
    <row r="13" spans="1:29">
      <c r="A13" s="2">
        <v>10</v>
      </c>
      <c r="B13" s="2" t="s">
        <v>102</v>
      </c>
      <c r="C13" s="2" t="s">
        <v>1764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42494469.067224123</v>
      </c>
      <c r="L13" s="2" t="s">
        <v>106</v>
      </c>
      <c r="M13" s="2" t="s">
        <v>44</v>
      </c>
      <c r="N13" s="2" t="s">
        <v>59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42497382.977224119</v>
      </c>
      <c r="Y13" s="2">
        <f t="shared" si="7"/>
        <v>199827</v>
      </c>
      <c r="Z13" s="2">
        <f t="shared" si="8"/>
        <v>1.46</v>
      </c>
      <c r="AA13" s="2">
        <f t="shared" si="11"/>
        <v>42531962.30133789</v>
      </c>
      <c r="AB13" s="2">
        <f t="shared" si="9"/>
        <v>-34579.324113771319</v>
      </c>
    </row>
    <row r="14" spans="1:29">
      <c r="A14" s="2">
        <v>11</v>
      </c>
      <c r="B14" s="2" t="s">
        <v>108</v>
      </c>
      <c r="C14" s="2" t="s">
        <v>1764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1774</v>
      </c>
      <c r="J14" s="2" t="s">
        <v>1102</v>
      </c>
      <c r="K14" s="2">
        <f t="shared" si="10"/>
        <v>42497382.977224119</v>
      </c>
      <c r="L14" s="2" t="s">
        <v>1225</v>
      </c>
      <c r="M14" s="2" t="s">
        <v>1226</v>
      </c>
      <c r="N14" s="2" t="s">
        <v>1227</v>
      </c>
      <c r="O14" s="2">
        <v>2303</v>
      </c>
      <c r="P14" s="2">
        <v>428.95001220703131</v>
      </c>
      <c r="Q14" s="2">
        <v>426.45001220703131</v>
      </c>
      <c r="R14" s="2">
        <f t="shared" si="0"/>
        <v>987871.87811279309</v>
      </c>
      <c r="S14" s="2">
        <f t="shared" si="1"/>
        <v>982114.37811279309</v>
      </c>
      <c r="T14" s="2">
        <f t="shared" si="2"/>
        <v>1969986.2562255862</v>
      </c>
      <c r="U14" s="2">
        <f t="shared" si="3"/>
        <v>984.99</v>
      </c>
      <c r="V14" s="2">
        <f t="shared" si="4"/>
        <v>-5757.5</v>
      </c>
      <c r="W14" s="2">
        <f t="shared" si="5"/>
        <v>-6742.49</v>
      </c>
      <c r="X14" s="2">
        <f t="shared" si="6"/>
        <v>42490640.487224117</v>
      </c>
      <c r="Y14" s="2">
        <f t="shared" si="7"/>
        <v>197574.38</v>
      </c>
      <c r="Z14" s="2">
        <f t="shared" si="8"/>
        <v>-3.41</v>
      </c>
      <c r="AA14" s="2">
        <f t="shared" si="11"/>
        <v>42531962.30133789</v>
      </c>
      <c r="AB14" s="2">
        <f t="shared" si="9"/>
        <v>-41321.814113773406</v>
      </c>
    </row>
    <row r="15" spans="1:29">
      <c r="A15" s="2">
        <v>12</v>
      </c>
      <c r="B15" s="2" t="s">
        <v>113</v>
      </c>
      <c r="C15" s="2" t="s">
        <v>1764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615</v>
      </c>
      <c r="J15" s="2" t="s">
        <v>253</v>
      </c>
      <c r="K15" s="2">
        <f t="shared" si="10"/>
        <v>42490640.487224117</v>
      </c>
      <c r="L15" s="2" t="s">
        <v>1765</v>
      </c>
      <c r="M15" s="2" t="s">
        <v>1769</v>
      </c>
      <c r="N15" s="2" t="s">
        <v>1546</v>
      </c>
      <c r="O15" s="2">
        <v>3428</v>
      </c>
      <c r="P15" s="2">
        <v>336.50927734375</v>
      </c>
      <c r="Q15" s="2">
        <v>351.7122802734375</v>
      </c>
      <c r="R15" s="2">
        <f t="shared" si="0"/>
        <v>1153553.802734375</v>
      </c>
      <c r="S15" s="2">
        <f t="shared" si="1"/>
        <v>1205669.6967773438</v>
      </c>
      <c r="T15" s="2">
        <f t="shared" si="2"/>
        <v>2359223.4995117187</v>
      </c>
      <c r="U15" s="2">
        <f t="shared" si="3"/>
        <v>1179.6099999999999</v>
      </c>
      <c r="V15" s="2">
        <f t="shared" si="4"/>
        <v>52115.89404296875</v>
      </c>
      <c r="W15" s="2">
        <f t="shared" si="5"/>
        <v>50936.284042968749</v>
      </c>
      <c r="X15" s="2">
        <f t="shared" si="6"/>
        <v>42541576.771267086</v>
      </c>
      <c r="Y15" s="2">
        <f t="shared" si="7"/>
        <v>230710.76</v>
      </c>
      <c r="Z15" s="2">
        <f t="shared" si="8"/>
        <v>22.08</v>
      </c>
      <c r="AA15" s="2">
        <f t="shared" si="11"/>
        <v>42541576.771267086</v>
      </c>
      <c r="AB15" s="2">
        <f t="shared" si="9"/>
        <v>0</v>
      </c>
    </row>
    <row r="16" spans="1:29">
      <c r="A16" s="2">
        <v>13</v>
      </c>
      <c r="B16" s="2" t="s">
        <v>120</v>
      </c>
      <c r="C16" s="2" t="s">
        <v>1764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1057</v>
      </c>
      <c r="J16" s="2" t="s">
        <v>283</v>
      </c>
      <c r="K16" s="2">
        <f t="shared" si="10"/>
        <v>42541576.771267086</v>
      </c>
      <c r="L16" s="2" t="s">
        <v>1607</v>
      </c>
      <c r="M16" s="2" t="s">
        <v>1775</v>
      </c>
      <c r="N16" s="2" t="s">
        <v>1776</v>
      </c>
      <c r="O16" s="2">
        <v>528</v>
      </c>
      <c r="P16" s="2">
        <v>1966.599975585937</v>
      </c>
      <c r="Q16" s="2">
        <v>1870.599975585937</v>
      </c>
      <c r="R16" s="2">
        <f t="shared" si="0"/>
        <v>1038364.7871093748</v>
      </c>
      <c r="S16" s="2">
        <f t="shared" si="1"/>
        <v>987676.78710937477</v>
      </c>
      <c r="T16" s="2">
        <f t="shared" si="2"/>
        <v>2026041.5742187495</v>
      </c>
      <c r="U16" s="2">
        <f t="shared" si="3"/>
        <v>1013.02</v>
      </c>
      <c r="V16" s="2">
        <f t="shared" si="4"/>
        <v>-50688</v>
      </c>
      <c r="W16" s="2">
        <f t="shared" si="5"/>
        <v>-51701.02</v>
      </c>
      <c r="X16" s="2">
        <f t="shared" si="6"/>
        <v>42489875.751267083</v>
      </c>
      <c r="Y16" s="2">
        <f t="shared" si="7"/>
        <v>207672.95999999999</v>
      </c>
      <c r="Z16" s="2">
        <f t="shared" si="8"/>
        <v>-24.9</v>
      </c>
      <c r="AA16" s="2">
        <f t="shared" si="11"/>
        <v>42541576.771267086</v>
      </c>
      <c r="AB16" s="2">
        <f t="shared" si="9"/>
        <v>-51701.020000003278</v>
      </c>
    </row>
    <row r="17" spans="1:28">
      <c r="A17" s="2">
        <v>14</v>
      </c>
      <c r="B17" s="2" t="s">
        <v>126</v>
      </c>
      <c r="C17" s="2" t="s">
        <v>1764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128</v>
      </c>
      <c r="J17" s="2" t="s">
        <v>42</v>
      </c>
      <c r="K17" s="2">
        <f t="shared" si="10"/>
        <v>42489875.751267083</v>
      </c>
      <c r="L17" s="2" t="s">
        <v>1312</v>
      </c>
      <c r="M17" s="2" t="s">
        <v>1334</v>
      </c>
      <c r="N17" s="2" t="s">
        <v>1250</v>
      </c>
      <c r="O17" s="2">
        <v>125</v>
      </c>
      <c r="P17" s="2">
        <v>6552.89599609375</v>
      </c>
      <c r="Q17" s="2">
        <v>6725.36474609375</v>
      </c>
      <c r="R17" s="2">
        <f t="shared" si="0"/>
        <v>819111.99951171875</v>
      </c>
      <c r="S17" s="2">
        <f t="shared" si="1"/>
        <v>840670.59326171875</v>
      </c>
      <c r="T17" s="2">
        <f t="shared" si="2"/>
        <v>1659782.5927734375</v>
      </c>
      <c r="U17" s="2">
        <f t="shared" si="3"/>
        <v>829.89</v>
      </c>
      <c r="V17" s="2">
        <f t="shared" si="4"/>
        <v>21558.59375</v>
      </c>
      <c r="W17" s="2">
        <f t="shared" si="5"/>
        <v>20728.703750000001</v>
      </c>
      <c r="X17" s="2">
        <f t="shared" si="6"/>
        <v>42510604.455017082</v>
      </c>
      <c r="Y17" s="2">
        <f t="shared" si="7"/>
        <v>163822.39999999999</v>
      </c>
      <c r="Z17" s="2">
        <f t="shared" si="8"/>
        <v>12.65</v>
      </c>
      <c r="AA17" s="2">
        <f t="shared" si="11"/>
        <v>42541576.771267086</v>
      </c>
      <c r="AB17" s="2">
        <f t="shared" si="9"/>
        <v>-30972.316250003874</v>
      </c>
    </row>
    <row r="18" spans="1:28">
      <c r="A18" s="2">
        <v>15</v>
      </c>
      <c r="B18" s="2" t="s">
        <v>133</v>
      </c>
      <c r="C18" s="2" t="s">
        <v>1764</v>
      </c>
      <c r="D18" s="3" t="s">
        <v>37</v>
      </c>
      <c r="E18" s="5" t="s">
        <v>134</v>
      </c>
      <c r="F18" s="2" t="s">
        <v>135</v>
      </c>
      <c r="G18" s="2" t="s">
        <v>63</v>
      </c>
      <c r="H18" s="2" t="s">
        <v>136</v>
      </c>
      <c r="I18" s="2" t="s">
        <v>488</v>
      </c>
      <c r="J18" s="2" t="s">
        <v>1777</v>
      </c>
      <c r="K18" s="2">
        <f t="shared" si="10"/>
        <v>42510604.455017082</v>
      </c>
      <c r="L18" s="2" t="s">
        <v>1778</v>
      </c>
      <c r="M18" s="2" t="s">
        <v>1779</v>
      </c>
      <c r="N18" s="2" t="s">
        <v>1780</v>
      </c>
      <c r="O18" s="2">
        <v>5000</v>
      </c>
      <c r="P18" s="2">
        <v>82.836158752441406</v>
      </c>
      <c r="Q18" s="2">
        <v>82.166084289550781</v>
      </c>
      <c r="R18" s="2">
        <f t="shared" si="0"/>
        <v>414180.79376220703</v>
      </c>
      <c r="S18" s="2">
        <f t="shared" si="1"/>
        <v>410830.42144775391</v>
      </c>
      <c r="T18" s="2">
        <f t="shared" si="2"/>
        <v>825011.21520996094</v>
      </c>
      <c r="U18" s="2">
        <f t="shared" si="3"/>
        <v>412.51</v>
      </c>
      <c r="V18" s="2">
        <f t="shared" si="4"/>
        <v>-3350.372314453125</v>
      </c>
      <c r="W18" s="2">
        <f t="shared" si="5"/>
        <v>-3762.8823144531252</v>
      </c>
      <c r="X18" s="2">
        <f t="shared" si="6"/>
        <v>42506841.572702631</v>
      </c>
      <c r="Y18" s="2">
        <f t="shared" si="7"/>
        <v>82836.160000000003</v>
      </c>
      <c r="Z18" s="2">
        <f t="shared" si="8"/>
        <v>-4.54</v>
      </c>
      <c r="AA18" s="2">
        <f t="shared" si="11"/>
        <v>42541576.771267086</v>
      </c>
      <c r="AB18" s="2">
        <f t="shared" si="9"/>
        <v>-34735.198564454913</v>
      </c>
    </row>
    <row r="19" spans="1:28">
      <c r="A19" s="2">
        <v>16</v>
      </c>
      <c r="B19" s="2" t="s">
        <v>141</v>
      </c>
      <c r="C19" s="2" t="s">
        <v>1764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1781</v>
      </c>
      <c r="J19" s="2" t="s">
        <v>1323</v>
      </c>
      <c r="K19" s="2">
        <f t="shared" si="10"/>
        <v>42506841.572702631</v>
      </c>
      <c r="L19" s="2" t="s">
        <v>1321</v>
      </c>
      <c r="M19" s="2" t="s">
        <v>1318</v>
      </c>
      <c r="N19" s="2" t="s">
        <v>1404</v>
      </c>
      <c r="O19" s="2">
        <v>200</v>
      </c>
      <c r="P19" s="2">
        <v>2884.55517578125</v>
      </c>
      <c r="Q19" s="2">
        <v>2933.903076171875</v>
      </c>
      <c r="R19" s="2">
        <f t="shared" si="0"/>
        <v>576911.03515625</v>
      </c>
      <c r="S19" s="2">
        <f t="shared" si="1"/>
        <v>586780.615234375</v>
      </c>
      <c r="T19" s="2">
        <f t="shared" si="2"/>
        <v>1163691.650390625</v>
      </c>
      <c r="U19" s="2">
        <f t="shared" si="3"/>
        <v>581.85</v>
      </c>
      <c r="V19" s="2">
        <f t="shared" si="4"/>
        <v>9869.580078125</v>
      </c>
      <c r="W19" s="2">
        <f t="shared" si="5"/>
        <v>9287.7300781249996</v>
      </c>
      <c r="X19" s="2">
        <f t="shared" si="6"/>
        <v>42516129.302780755</v>
      </c>
      <c r="Y19" s="2">
        <f t="shared" si="7"/>
        <v>115382.21</v>
      </c>
      <c r="Z19" s="2">
        <f t="shared" si="8"/>
        <v>8.0500000000000007</v>
      </c>
      <c r="AA19" s="2">
        <f t="shared" si="11"/>
        <v>42541576.771267086</v>
      </c>
      <c r="AB19" s="2">
        <f t="shared" si="9"/>
        <v>-25447.468486331403</v>
      </c>
    </row>
    <row r="20" spans="1:28">
      <c r="A20" s="2">
        <v>17</v>
      </c>
      <c r="B20" s="2" t="s">
        <v>149</v>
      </c>
      <c r="C20" s="2" t="s">
        <v>1764</v>
      </c>
      <c r="D20" s="3" t="s">
        <v>37</v>
      </c>
      <c r="E20" s="5" t="s">
        <v>134</v>
      </c>
      <c r="F20" s="2" t="s">
        <v>135</v>
      </c>
      <c r="G20" s="2" t="s">
        <v>150</v>
      </c>
      <c r="H20" s="2" t="s">
        <v>151</v>
      </c>
      <c r="I20" s="2" t="s">
        <v>972</v>
      </c>
      <c r="J20" s="2" t="s">
        <v>1782</v>
      </c>
      <c r="K20" s="2">
        <f t="shared" si="10"/>
        <v>42516129.302780755</v>
      </c>
      <c r="L20" s="2" t="s">
        <v>1783</v>
      </c>
      <c r="M20" s="2" t="s">
        <v>1780</v>
      </c>
      <c r="N20" s="2" t="s">
        <v>1784</v>
      </c>
      <c r="O20" s="2">
        <v>679</v>
      </c>
      <c r="P20" s="2">
        <v>1766.244750976562</v>
      </c>
      <c r="Q20" s="2">
        <v>1879.75146484375</v>
      </c>
      <c r="R20" s="2">
        <f t="shared" si="0"/>
        <v>1199280.1859130857</v>
      </c>
      <c r="S20" s="2">
        <f t="shared" si="1"/>
        <v>1276351.2446289063</v>
      </c>
      <c r="T20" s="2">
        <f t="shared" si="2"/>
        <v>2475631.4305419922</v>
      </c>
      <c r="U20" s="2">
        <f t="shared" si="3"/>
        <v>1237.82</v>
      </c>
      <c r="V20" s="2">
        <f t="shared" si="4"/>
        <v>77071.058715820545</v>
      </c>
      <c r="W20" s="2">
        <f t="shared" si="5"/>
        <v>75833.238715820538</v>
      </c>
      <c r="X20" s="2">
        <f t="shared" si="6"/>
        <v>42591962.541496575</v>
      </c>
      <c r="Y20" s="2">
        <f t="shared" si="7"/>
        <v>239856.04</v>
      </c>
      <c r="Z20" s="2">
        <f t="shared" si="8"/>
        <v>31.62</v>
      </c>
      <c r="AA20" s="2">
        <f t="shared" si="11"/>
        <v>42591962.541496575</v>
      </c>
      <c r="AB20" s="2">
        <f t="shared" si="9"/>
        <v>0</v>
      </c>
    </row>
    <row r="21" spans="1:28">
      <c r="A21" s="2">
        <v>18</v>
      </c>
      <c r="B21" s="2" t="s">
        <v>154</v>
      </c>
      <c r="C21" s="2" t="s">
        <v>1764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42591962.541496575</v>
      </c>
      <c r="L21" s="2" t="s">
        <v>159</v>
      </c>
      <c r="M21" s="2" t="s">
        <v>81</v>
      </c>
      <c r="N21" s="2" t="s">
        <v>1526</v>
      </c>
      <c r="O21" s="2">
        <v>668</v>
      </c>
      <c r="P21" s="2">
        <v>1280</v>
      </c>
      <c r="Q21" s="2">
        <v>1470.2</v>
      </c>
      <c r="R21" s="2">
        <f t="shared" si="0"/>
        <v>855040</v>
      </c>
      <c r="S21" s="2">
        <f t="shared" si="1"/>
        <v>982093.6</v>
      </c>
      <c r="T21" s="2">
        <f t="shared" si="2"/>
        <v>1837133.6</v>
      </c>
      <c r="U21" s="2">
        <f t="shared" si="3"/>
        <v>918.57</v>
      </c>
      <c r="V21" s="2">
        <f t="shared" si="4"/>
        <v>127053.59999999998</v>
      </c>
      <c r="W21" s="2">
        <f t="shared" si="5"/>
        <v>126135.02999999997</v>
      </c>
      <c r="X21" s="2">
        <f t="shared" si="6"/>
        <v>42718097.571496576</v>
      </c>
      <c r="Y21" s="2">
        <f t="shared" si="7"/>
        <v>171008</v>
      </c>
      <c r="Z21" s="2">
        <f t="shared" si="8"/>
        <v>73.760000000000005</v>
      </c>
      <c r="AA21" s="2">
        <f t="shared" si="11"/>
        <v>42718097.571496576</v>
      </c>
      <c r="AB21" s="2">
        <f t="shared" si="9"/>
        <v>0</v>
      </c>
    </row>
    <row r="22" spans="1:28">
      <c r="A22" s="2">
        <v>19</v>
      </c>
      <c r="B22" s="2" t="s">
        <v>160</v>
      </c>
      <c r="C22" s="2" t="s">
        <v>1764</v>
      </c>
      <c r="D22" s="4" t="s">
        <v>61</v>
      </c>
      <c r="E22" s="5" t="s">
        <v>134</v>
      </c>
      <c r="F22" s="2" t="s">
        <v>135</v>
      </c>
      <c r="G22" s="2" t="s">
        <v>161</v>
      </c>
      <c r="H22" s="2" t="s">
        <v>162</v>
      </c>
      <c r="I22" s="2" t="s">
        <v>1785</v>
      </c>
      <c r="J22" s="2" t="s">
        <v>1786</v>
      </c>
      <c r="K22" s="2">
        <f t="shared" si="10"/>
        <v>42718097.571496576</v>
      </c>
      <c r="L22" s="2" t="s">
        <v>1787</v>
      </c>
      <c r="M22" s="2" t="s">
        <v>1585</v>
      </c>
      <c r="N22" s="2" t="s">
        <v>1586</v>
      </c>
      <c r="O22" s="2">
        <v>970</v>
      </c>
      <c r="P22" s="2">
        <v>624.5908203125</v>
      </c>
      <c r="Q22" s="2">
        <v>786.1358642578125</v>
      </c>
      <c r="R22" s="2">
        <f t="shared" si="0"/>
        <v>605853.095703125</v>
      </c>
      <c r="S22" s="2">
        <f t="shared" si="1"/>
        <v>762551.78833007813</v>
      </c>
      <c r="T22" s="2">
        <f t="shared" si="2"/>
        <v>1368404.8840332031</v>
      </c>
      <c r="U22" s="2">
        <f t="shared" si="3"/>
        <v>684.2</v>
      </c>
      <c r="V22" s="2">
        <f t="shared" si="4"/>
        <v>156698.69262695312</v>
      </c>
      <c r="W22" s="2">
        <f t="shared" si="5"/>
        <v>156014.49262695311</v>
      </c>
      <c r="X22" s="2">
        <f t="shared" si="6"/>
        <v>42874112.064123526</v>
      </c>
      <c r="Y22" s="2">
        <f t="shared" si="7"/>
        <v>121170.62</v>
      </c>
      <c r="Z22" s="2">
        <f t="shared" si="8"/>
        <v>128.76</v>
      </c>
      <c r="AA22" s="2">
        <f t="shared" si="11"/>
        <v>42874112.064123526</v>
      </c>
      <c r="AB22" s="2">
        <f t="shared" si="9"/>
        <v>0</v>
      </c>
    </row>
    <row r="23" spans="1:28">
      <c r="A23" s="2">
        <v>20</v>
      </c>
      <c r="B23" s="2" t="s">
        <v>168</v>
      </c>
      <c r="C23" s="2" t="s">
        <v>1764</v>
      </c>
      <c r="D23" s="3" t="s">
        <v>37</v>
      </c>
      <c r="E23" s="5" t="s">
        <v>134</v>
      </c>
      <c r="F23" s="2" t="s">
        <v>135</v>
      </c>
      <c r="G23" s="2" t="s">
        <v>169</v>
      </c>
      <c r="H23" s="2" t="s">
        <v>170</v>
      </c>
      <c r="I23" s="2" t="s">
        <v>367</v>
      </c>
      <c r="J23" s="2" t="s">
        <v>1788</v>
      </c>
      <c r="K23" s="2">
        <f t="shared" si="10"/>
        <v>42874112.064123526</v>
      </c>
      <c r="L23" s="2" t="s">
        <v>1778</v>
      </c>
      <c r="M23" s="2" t="s">
        <v>1789</v>
      </c>
      <c r="N23" s="2" t="s">
        <v>1790</v>
      </c>
      <c r="O23" s="2">
        <v>634</v>
      </c>
      <c r="P23" s="2">
        <v>1012.980163574219</v>
      </c>
      <c r="Q23" s="2">
        <v>1013.378112792969</v>
      </c>
      <c r="R23" s="2">
        <f t="shared" si="0"/>
        <v>642229.4237060548</v>
      </c>
      <c r="S23" s="2">
        <f t="shared" si="1"/>
        <v>642481.7235107423</v>
      </c>
      <c r="T23" s="2">
        <f t="shared" si="2"/>
        <v>1284711.1472167971</v>
      </c>
      <c r="U23" s="2">
        <f t="shared" si="3"/>
        <v>642.36</v>
      </c>
      <c r="V23" s="2">
        <f t="shared" si="4"/>
        <v>252.2998046875</v>
      </c>
      <c r="W23" s="2">
        <f t="shared" si="5"/>
        <v>-390.06019531250001</v>
      </c>
      <c r="X23" s="2">
        <f t="shared" si="6"/>
        <v>42873722.003928214</v>
      </c>
      <c r="Y23" s="2">
        <f t="shared" si="7"/>
        <v>128445.88</v>
      </c>
      <c r="Z23" s="2">
        <f t="shared" si="8"/>
        <v>-0.3</v>
      </c>
      <c r="AA23" s="2">
        <f t="shared" si="11"/>
        <v>42874112.064123526</v>
      </c>
      <c r="AB23" s="2">
        <f t="shared" si="9"/>
        <v>-390.06019531190395</v>
      </c>
    </row>
    <row r="24" spans="1:28">
      <c r="A24" s="2">
        <v>21</v>
      </c>
      <c r="B24" s="2" t="s">
        <v>175</v>
      </c>
      <c r="C24" s="2" t="s">
        <v>1764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1791</v>
      </c>
      <c r="J24" s="2" t="s">
        <v>1792</v>
      </c>
      <c r="K24" s="2">
        <f t="shared" si="10"/>
        <v>42873722.003928214</v>
      </c>
      <c r="L24" s="2" t="s">
        <v>1244</v>
      </c>
      <c r="M24" s="2" t="s">
        <v>1268</v>
      </c>
      <c r="N24" s="2" t="s">
        <v>1004</v>
      </c>
      <c r="O24" s="2">
        <v>625</v>
      </c>
      <c r="P24" s="2">
        <v>1237.237548828125</v>
      </c>
      <c r="Q24" s="2">
        <v>1170.396484375</v>
      </c>
      <c r="R24" s="2">
        <f t="shared" si="0"/>
        <v>773273.46801757813</v>
      </c>
      <c r="S24" s="2">
        <f t="shared" si="1"/>
        <v>731497.802734375</v>
      </c>
      <c r="T24" s="2">
        <f t="shared" si="2"/>
        <v>1504771.2707519531</v>
      </c>
      <c r="U24" s="2">
        <f t="shared" si="3"/>
        <v>752.39</v>
      </c>
      <c r="V24" s="2">
        <f t="shared" si="4"/>
        <v>-41775.665283203125</v>
      </c>
      <c r="W24" s="2">
        <f t="shared" si="5"/>
        <v>-42528.055283203124</v>
      </c>
      <c r="X24" s="2">
        <f t="shared" si="6"/>
        <v>42831193.948645011</v>
      </c>
      <c r="Y24" s="2">
        <f t="shared" si="7"/>
        <v>154654.69</v>
      </c>
      <c r="Z24" s="2">
        <f t="shared" si="8"/>
        <v>-27.5</v>
      </c>
      <c r="AA24" s="2">
        <f t="shared" si="11"/>
        <v>42874112.064123526</v>
      </c>
      <c r="AB24" s="2">
        <f t="shared" si="9"/>
        <v>-42918.115478515625</v>
      </c>
    </row>
    <row r="25" spans="1:28">
      <c r="A25" s="2">
        <v>22</v>
      </c>
      <c r="B25" s="2" t="s">
        <v>184</v>
      </c>
      <c r="C25" s="2" t="s">
        <v>1764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739</v>
      </c>
      <c r="J25" s="2" t="s">
        <v>449</v>
      </c>
      <c r="K25" s="2">
        <f t="shared" si="10"/>
        <v>42831193.948645011</v>
      </c>
      <c r="L25" s="2" t="s">
        <v>1342</v>
      </c>
      <c r="M25" s="2" t="s">
        <v>1296</v>
      </c>
      <c r="N25" s="2" t="s">
        <v>1343</v>
      </c>
      <c r="O25" s="2">
        <v>125</v>
      </c>
      <c r="P25" s="2">
        <v>9169.396484375</v>
      </c>
      <c r="Q25" s="2">
        <v>9257.974609375</v>
      </c>
      <c r="R25" s="2">
        <f t="shared" si="0"/>
        <v>1146174.560546875</v>
      </c>
      <c r="S25" s="2">
        <f t="shared" si="1"/>
        <v>1157246.826171875</v>
      </c>
      <c r="T25" s="2">
        <f t="shared" si="2"/>
        <v>2303421.38671875</v>
      </c>
      <c r="U25" s="2">
        <f t="shared" si="3"/>
        <v>1151.71</v>
      </c>
      <c r="V25" s="2">
        <f t="shared" si="4"/>
        <v>11072.265625</v>
      </c>
      <c r="W25" s="2">
        <f t="shared" si="5"/>
        <v>9920.5556250000009</v>
      </c>
      <c r="X25" s="2">
        <f t="shared" si="6"/>
        <v>42841114.50427001</v>
      </c>
      <c r="Y25" s="2">
        <f t="shared" si="7"/>
        <v>229234.91</v>
      </c>
      <c r="Z25" s="2">
        <f t="shared" si="8"/>
        <v>4.33</v>
      </c>
      <c r="AA25" s="2">
        <f t="shared" si="11"/>
        <v>42874112.064123526</v>
      </c>
      <c r="AB25" s="2">
        <f t="shared" si="9"/>
        <v>-32997.559853516519</v>
      </c>
    </row>
    <row r="26" spans="1:28">
      <c r="A26" s="2">
        <v>23</v>
      </c>
      <c r="B26" s="2" t="s">
        <v>190</v>
      </c>
      <c r="C26" s="2" t="s">
        <v>1764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1311</v>
      </c>
      <c r="J26" s="2" t="s">
        <v>234</v>
      </c>
      <c r="K26" s="2">
        <f t="shared" si="10"/>
        <v>42841114.50427001</v>
      </c>
      <c r="L26" s="2" t="s">
        <v>1004</v>
      </c>
      <c r="M26" s="2" t="s">
        <v>1005</v>
      </c>
      <c r="N26" s="2" t="s">
        <v>1004</v>
      </c>
      <c r="O26" s="2">
        <v>500</v>
      </c>
      <c r="P26" s="2">
        <v>1569.844848632812</v>
      </c>
      <c r="Q26" s="2">
        <v>1614.984497070312</v>
      </c>
      <c r="R26" s="2">
        <f t="shared" si="0"/>
        <v>784922.42431640602</v>
      </c>
      <c r="S26" s="2">
        <f t="shared" si="1"/>
        <v>807492.24853515602</v>
      </c>
      <c r="T26" s="2">
        <f t="shared" si="2"/>
        <v>1592414.672851562</v>
      </c>
      <c r="U26" s="2">
        <f t="shared" si="3"/>
        <v>796.21</v>
      </c>
      <c r="V26" s="2">
        <f t="shared" si="4"/>
        <v>22569.82421875</v>
      </c>
      <c r="W26" s="2">
        <f t="shared" si="5"/>
        <v>21773.614218750001</v>
      </c>
      <c r="X26" s="2">
        <f t="shared" si="6"/>
        <v>42862888.118488759</v>
      </c>
      <c r="Y26" s="2">
        <f t="shared" si="7"/>
        <v>156984.48000000001</v>
      </c>
      <c r="Z26" s="2">
        <f t="shared" si="8"/>
        <v>13.87</v>
      </c>
      <c r="AA26" s="2">
        <f t="shared" si="11"/>
        <v>42874112.064123526</v>
      </c>
      <c r="AB26" s="2">
        <f t="shared" si="9"/>
        <v>-11223.945634767413</v>
      </c>
    </row>
    <row r="27" spans="1:28">
      <c r="A27" s="2">
        <v>24</v>
      </c>
      <c r="B27" s="2" t="s">
        <v>195</v>
      </c>
      <c r="C27" s="2" t="s">
        <v>1764</v>
      </c>
      <c r="D27" s="3" t="s">
        <v>37</v>
      </c>
      <c r="E27" s="5" t="s">
        <v>134</v>
      </c>
      <c r="F27" s="2" t="s">
        <v>135</v>
      </c>
      <c r="G27" s="2" t="s">
        <v>103</v>
      </c>
      <c r="H27" s="2" t="s">
        <v>196</v>
      </c>
      <c r="I27" s="2" t="s">
        <v>1793</v>
      </c>
      <c r="J27" s="2" t="s">
        <v>821</v>
      </c>
      <c r="K27" s="2">
        <f t="shared" si="10"/>
        <v>42862888.118488759</v>
      </c>
      <c r="L27" s="2" t="s">
        <v>1794</v>
      </c>
      <c r="M27" s="2" t="s">
        <v>1795</v>
      </c>
      <c r="N27" s="2" t="s">
        <v>1796</v>
      </c>
      <c r="O27" s="2">
        <v>100</v>
      </c>
      <c r="P27" s="2">
        <v>2663.415771484375</v>
      </c>
      <c r="Q27" s="2">
        <v>2646.41015625</v>
      </c>
      <c r="R27" s="2">
        <f t="shared" si="0"/>
        <v>266341.5771484375</v>
      </c>
      <c r="S27" s="2">
        <f t="shared" si="1"/>
        <v>264641.015625</v>
      </c>
      <c r="T27" s="2">
        <f t="shared" si="2"/>
        <v>530982.5927734375</v>
      </c>
      <c r="U27" s="2">
        <f t="shared" si="3"/>
        <v>265.49</v>
      </c>
      <c r="V27" s="2">
        <f t="shared" si="4"/>
        <v>-1700.5615234375</v>
      </c>
      <c r="W27" s="2">
        <f t="shared" si="5"/>
        <v>-1966.0515234375</v>
      </c>
      <c r="X27" s="2">
        <f t="shared" si="6"/>
        <v>42860922.066965319</v>
      </c>
      <c r="Y27" s="2">
        <f t="shared" si="7"/>
        <v>53268.32</v>
      </c>
      <c r="Z27" s="2">
        <f t="shared" si="8"/>
        <v>-3.69</v>
      </c>
      <c r="AA27" s="2">
        <f t="shared" si="11"/>
        <v>42874112.064123526</v>
      </c>
      <c r="AB27" s="2">
        <f t="shared" si="9"/>
        <v>-13189.997158206999</v>
      </c>
    </row>
    <row r="28" spans="1:28">
      <c r="A28" s="2">
        <v>25</v>
      </c>
      <c r="B28" s="2" t="s">
        <v>199</v>
      </c>
      <c r="C28" s="2" t="s">
        <v>1764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1309</v>
      </c>
      <c r="J28" s="2" t="s">
        <v>1072</v>
      </c>
      <c r="K28" s="2">
        <f t="shared" si="10"/>
        <v>42860922.066965319</v>
      </c>
      <c r="L28" s="2" t="s">
        <v>1084</v>
      </c>
      <c r="M28" s="2" t="s">
        <v>1272</v>
      </c>
      <c r="N28" s="2" t="s">
        <v>1267</v>
      </c>
      <c r="O28" s="2">
        <v>125</v>
      </c>
      <c r="P28" s="2">
        <v>680.02288818359375</v>
      </c>
      <c r="Q28" s="2">
        <v>674.03192138671875</v>
      </c>
      <c r="R28" s="2">
        <f t="shared" si="0"/>
        <v>85002.861022949219</v>
      </c>
      <c r="S28" s="2">
        <f t="shared" si="1"/>
        <v>84253.990173339844</v>
      </c>
      <c r="T28" s="2">
        <f t="shared" si="2"/>
        <v>169256.85119628906</v>
      </c>
      <c r="U28" s="2">
        <f t="shared" si="3"/>
        <v>84.63</v>
      </c>
      <c r="V28" s="2">
        <f t="shared" si="4"/>
        <v>-748.870849609375</v>
      </c>
      <c r="W28" s="2">
        <f t="shared" si="5"/>
        <v>-833.500849609375</v>
      </c>
      <c r="X28" s="2">
        <f t="shared" si="6"/>
        <v>42860088.566115707</v>
      </c>
      <c r="Y28" s="2">
        <f t="shared" si="7"/>
        <v>17000.57</v>
      </c>
      <c r="Z28" s="2">
        <f t="shared" si="8"/>
        <v>-4.9000000000000004</v>
      </c>
      <c r="AA28" s="2">
        <f t="shared" si="11"/>
        <v>42874112.064123526</v>
      </c>
      <c r="AB28" s="2">
        <f t="shared" si="9"/>
        <v>-14023.498007819057</v>
      </c>
    </row>
    <row r="29" spans="1:28">
      <c r="A29" s="2">
        <v>26</v>
      </c>
      <c r="B29" s="2" t="s">
        <v>205</v>
      </c>
      <c r="C29" s="2" t="s">
        <v>1764</v>
      </c>
      <c r="D29" s="3" t="s">
        <v>37</v>
      </c>
      <c r="E29" s="5" t="s">
        <v>134</v>
      </c>
      <c r="F29" s="2" t="s">
        <v>135</v>
      </c>
      <c r="G29" s="2" t="s">
        <v>54</v>
      </c>
      <c r="H29" s="2" t="s">
        <v>206</v>
      </c>
      <c r="I29" s="2" t="s">
        <v>1252</v>
      </c>
      <c r="J29" s="2" t="s">
        <v>1302</v>
      </c>
      <c r="K29" s="2">
        <f t="shared" si="10"/>
        <v>42860088.566115707</v>
      </c>
      <c r="L29" s="2" t="s">
        <v>1780</v>
      </c>
      <c r="M29" s="2" t="s">
        <v>1721</v>
      </c>
      <c r="N29" s="2" t="s">
        <v>1722</v>
      </c>
      <c r="O29" s="2">
        <v>6099</v>
      </c>
      <c r="P29" s="2">
        <v>212.9297790527344</v>
      </c>
      <c r="Q29" s="2">
        <v>192.4070129394531</v>
      </c>
      <c r="R29" s="2">
        <f t="shared" si="0"/>
        <v>1298658.7224426272</v>
      </c>
      <c r="S29" s="2">
        <f t="shared" si="1"/>
        <v>1173490.3719177244</v>
      </c>
      <c r="T29" s="2">
        <f t="shared" si="2"/>
        <v>2472149.0943603516</v>
      </c>
      <c r="U29" s="2">
        <f t="shared" si="3"/>
        <v>1236.07</v>
      </c>
      <c r="V29" s="2">
        <f t="shared" si="4"/>
        <v>-125168.35052490281</v>
      </c>
      <c r="W29" s="2">
        <f t="shared" si="5"/>
        <v>-126404.42052490282</v>
      </c>
      <c r="X29" s="2">
        <f t="shared" si="6"/>
        <v>42733684.145590805</v>
      </c>
      <c r="Y29" s="2">
        <f t="shared" si="7"/>
        <v>259731.74</v>
      </c>
      <c r="Z29" s="2">
        <f t="shared" si="8"/>
        <v>-48.67</v>
      </c>
      <c r="AA29" s="2">
        <f t="shared" si="11"/>
        <v>42874112.064123526</v>
      </c>
      <c r="AB29" s="2">
        <f t="shared" si="9"/>
        <v>-140427.9185327217</v>
      </c>
    </row>
    <row r="30" spans="1:28">
      <c r="A30" s="2">
        <v>27</v>
      </c>
      <c r="B30" s="2" t="s">
        <v>209</v>
      </c>
      <c r="C30" s="2" t="s">
        <v>1764</v>
      </c>
      <c r="D30" s="4" t="s">
        <v>61</v>
      </c>
      <c r="E30" s="5" t="s">
        <v>134</v>
      </c>
      <c r="F30" s="2" t="s">
        <v>135</v>
      </c>
      <c r="G30" s="2" t="s">
        <v>103</v>
      </c>
      <c r="H30" s="2" t="s">
        <v>210</v>
      </c>
      <c r="I30" s="2" t="s">
        <v>1797</v>
      </c>
      <c r="J30" s="2" t="s">
        <v>1798</v>
      </c>
      <c r="K30" s="2">
        <f t="shared" si="10"/>
        <v>42733684.145590805</v>
      </c>
      <c r="L30" s="2" t="s">
        <v>1799</v>
      </c>
      <c r="M30" s="2" t="s">
        <v>1780</v>
      </c>
      <c r="N30" s="2" t="s">
        <v>1784</v>
      </c>
      <c r="O30" s="2">
        <v>4138</v>
      </c>
      <c r="P30" s="2">
        <v>228.0153503417969</v>
      </c>
      <c r="Q30" s="2">
        <v>202.5993347167969</v>
      </c>
      <c r="R30" s="2">
        <f t="shared" si="0"/>
        <v>943527.51971435559</v>
      </c>
      <c r="S30" s="2">
        <f t="shared" si="1"/>
        <v>838356.04705810559</v>
      </c>
      <c r="T30" s="2">
        <f t="shared" si="2"/>
        <v>1781883.5667724612</v>
      </c>
      <c r="U30" s="2">
        <f t="shared" si="3"/>
        <v>890.94</v>
      </c>
      <c r="V30" s="2">
        <f t="shared" si="4"/>
        <v>-105171.47265625</v>
      </c>
      <c r="W30" s="2">
        <f t="shared" si="5"/>
        <v>-106062.41265625</v>
      </c>
      <c r="X30" s="2">
        <f t="shared" si="6"/>
        <v>42627621.732934557</v>
      </c>
      <c r="Y30" s="2">
        <f t="shared" si="7"/>
        <v>188705.5</v>
      </c>
      <c r="Z30" s="2">
        <f t="shared" si="8"/>
        <v>-56.21</v>
      </c>
      <c r="AA30" s="2">
        <f t="shared" si="11"/>
        <v>42874112.064123526</v>
      </c>
      <c r="AB30" s="2">
        <f t="shared" si="9"/>
        <v>-246490.33118896931</v>
      </c>
    </row>
    <row r="31" spans="1:28">
      <c r="A31" s="2">
        <v>28</v>
      </c>
      <c r="B31" s="2" t="s">
        <v>213</v>
      </c>
      <c r="C31" s="2" t="s">
        <v>1764</v>
      </c>
      <c r="D31" s="4" t="s">
        <v>61</v>
      </c>
      <c r="E31" s="5" t="s">
        <v>134</v>
      </c>
      <c r="F31" s="2" t="s">
        <v>135</v>
      </c>
      <c r="G31" s="2" t="s">
        <v>54</v>
      </c>
      <c r="H31" s="2" t="s">
        <v>214</v>
      </c>
      <c r="I31" s="2" t="s">
        <v>1410</v>
      </c>
      <c r="J31" s="2" t="s">
        <v>1800</v>
      </c>
      <c r="K31" s="2">
        <f t="shared" si="10"/>
        <v>42627621.732934557</v>
      </c>
      <c r="L31" s="2" t="s">
        <v>1720</v>
      </c>
      <c r="M31" s="2" t="s">
        <v>1801</v>
      </c>
      <c r="N31" s="2" t="s">
        <v>1802</v>
      </c>
      <c r="O31" s="2">
        <v>7287</v>
      </c>
      <c r="P31" s="2">
        <v>129.4197692871094</v>
      </c>
      <c r="Q31" s="2">
        <v>126.67881011962891</v>
      </c>
      <c r="R31" s="2">
        <f t="shared" si="0"/>
        <v>943081.85879516625</v>
      </c>
      <c r="S31" s="2">
        <f t="shared" si="1"/>
        <v>923108.48934173584</v>
      </c>
      <c r="T31" s="2">
        <f t="shared" si="2"/>
        <v>1866190.3481369021</v>
      </c>
      <c r="U31" s="2">
        <f t="shared" si="3"/>
        <v>933.1</v>
      </c>
      <c r="V31" s="2">
        <f t="shared" si="4"/>
        <v>-19973.369453430409</v>
      </c>
      <c r="W31" s="2">
        <f t="shared" si="5"/>
        <v>-20906.469453430407</v>
      </c>
      <c r="X31" s="2">
        <f t="shared" si="6"/>
        <v>42606715.263481125</v>
      </c>
      <c r="Y31" s="2">
        <f t="shared" si="7"/>
        <v>188616.37</v>
      </c>
      <c r="Z31" s="2">
        <f t="shared" si="8"/>
        <v>-11.08</v>
      </c>
      <c r="AA31" s="2">
        <f t="shared" si="11"/>
        <v>42874112.064123526</v>
      </c>
      <c r="AB31" s="2">
        <f t="shared" si="9"/>
        <v>-267396.80064240098</v>
      </c>
    </row>
    <row r="32" spans="1:28">
      <c r="A32" s="2">
        <v>29</v>
      </c>
      <c r="B32" s="2" t="s">
        <v>218</v>
      </c>
      <c r="C32" s="2" t="s">
        <v>1764</v>
      </c>
      <c r="D32" s="4" t="s">
        <v>61</v>
      </c>
      <c r="E32" s="5" t="s">
        <v>134</v>
      </c>
      <c r="F32" s="2" t="s">
        <v>135</v>
      </c>
      <c r="G32" s="2" t="s">
        <v>161</v>
      </c>
      <c r="H32" s="2" t="s">
        <v>219</v>
      </c>
      <c r="I32" s="2" t="s">
        <v>1803</v>
      </c>
      <c r="J32" s="2" t="s">
        <v>1804</v>
      </c>
      <c r="K32" s="2">
        <f t="shared" si="10"/>
        <v>42606715.263481125</v>
      </c>
      <c r="L32" s="2" t="s">
        <v>1545</v>
      </c>
      <c r="M32" s="2" t="s">
        <v>1805</v>
      </c>
      <c r="N32" s="2" t="s">
        <v>1573</v>
      </c>
      <c r="O32" s="2">
        <v>793</v>
      </c>
      <c r="P32" s="2">
        <v>1544.736938476562</v>
      </c>
      <c r="Q32" s="2">
        <v>1152.713012695312</v>
      </c>
      <c r="R32" s="2">
        <f t="shared" si="0"/>
        <v>1224976.3922119136</v>
      </c>
      <c r="S32" s="2">
        <f t="shared" si="1"/>
        <v>914101.41906738246</v>
      </c>
      <c r="T32" s="2">
        <f t="shared" si="2"/>
        <v>2139077.8112792959</v>
      </c>
      <c r="U32" s="2">
        <f t="shared" si="3"/>
        <v>1069.54</v>
      </c>
      <c r="V32" s="2">
        <f t="shared" si="4"/>
        <v>-310874.97314453113</v>
      </c>
      <c r="W32" s="2">
        <f t="shared" si="5"/>
        <v>-311944.51314453111</v>
      </c>
      <c r="X32" s="2">
        <f t="shared" si="6"/>
        <v>42294770.750336595</v>
      </c>
      <c r="Y32" s="2">
        <f t="shared" si="7"/>
        <v>244995.28</v>
      </c>
      <c r="Z32" s="2">
        <f t="shared" si="8"/>
        <v>-127.33</v>
      </c>
      <c r="AA32" s="2">
        <f t="shared" si="11"/>
        <v>42874112.064123526</v>
      </c>
      <c r="AB32" s="2">
        <f t="shared" si="9"/>
        <v>-579341.31378693134</v>
      </c>
    </row>
    <row r="33" spans="1:28">
      <c r="A33" s="2">
        <v>30</v>
      </c>
      <c r="B33" s="2" t="s">
        <v>225</v>
      </c>
      <c r="C33" s="2" t="s">
        <v>1764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513</v>
      </c>
      <c r="J33" s="2" t="s">
        <v>1806</v>
      </c>
      <c r="K33" s="2">
        <f t="shared" si="10"/>
        <v>42294770.750336595</v>
      </c>
      <c r="L33" s="2" t="s">
        <v>1318</v>
      </c>
      <c r="M33" s="2" t="s">
        <v>1254</v>
      </c>
      <c r="N33" s="2" t="s">
        <v>1005</v>
      </c>
      <c r="O33" s="2">
        <v>2438</v>
      </c>
      <c r="P33" s="2">
        <v>285.98776245117187</v>
      </c>
      <c r="Q33" s="2">
        <v>301.80209350585937</v>
      </c>
      <c r="R33" s="2">
        <f t="shared" si="0"/>
        <v>697238.16485595703</v>
      </c>
      <c r="S33" s="2">
        <f t="shared" si="1"/>
        <v>735793.50396728516</v>
      </c>
      <c r="T33" s="2">
        <f t="shared" si="2"/>
        <v>1433031.6688232422</v>
      </c>
      <c r="U33" s="2">
        <f t="shared" si="3"/>
        <v>716.52</v>
      </c>
      <c r="V33" s="2">
        <f t="shared" si="4"/>
        <v>38555.339111328125</v>
      </c>
      <c r="W33" s="2">
        <f t="shared" si="5"/>
        <v>37838.819111328128</v>
      </c>
      <c r="X33" s="2">
        <f t="shared" si="6"/>
        <v>42332609.56944792</v>
      </c>
      <c r="Y33" s="2">
        <f t="shared" si="7"/>
        <v>139447.63</v>
      </c>
      <c r="Z33" s="2">
        <f t="shared" si="8"/>
        <v>27.13</v>
      </c>
      <c r="AA33" s="2">
        <f t="shared" si="11"/>
        <v>42874112.064123526</v>
      </c>
      <c r="AB33" s="2">
        <f t="shared" si="9"/>
        <v>-541502.49467560649</v>
      </c>
    </row>
    <row r="34" spans="1:28">
      <c r="A34" s="2">
        <v>31</v>
      </c>
      <c r="B34" s="2" t="s">
        <v>230</v>
      </c>
      <c r="C34" s="2" t="s">
        <v>1764</v>
      </c>
      <c r="D34" s="4" t="s">
        <v>61</v>
      </c>
      <c r="E34" s="5" t="s">
        <v>134</v>
      </c>
      <c r="F34" s="2" t="s">
        <v>135</v>
      </c>
      <c r="G34" s="2" t="s">
        <v>231</v>
      </c>
      <c r="H34" s="2" t="s">
        <v>232</v>
      </c>
      <c r="I34" s="2" t="s">
        <v>1807</v>
      </c>
      <c r="J34" s="2" t="s">
        <v>665</v>
      </c>
      <c r="K34" s="2">
        <f t="shared" si="10"/>
        <v>42332609.56944792</v>
      </c>
      <c r="L34" s="2" t="s">
        <v>1808</v>
      </c>
      <c r="M34" s="2" t="s">
        <v>1809</v>
      </c>
      <c r="N34" s="2" t="s">
        <v>1789</v>
      </c>
      <c r="O34" s="2">
        <v>461</v>
      </c>
      <c r="P34" s="2">
        <v>1073.796142578125</v>
      </c>
      <c r="Q34" s="2">
        <v>1208.555297851562</v>
      </c>
      <c r="R34" s="2">
        <f t="shared" si="0"/>
        <v>495020.02172851563</v>
      </c>
      <c r="S34" s="2">
        <f t="shared" si="1"/>
        <v>557143.99230957008</v>
      </c>
      <c r="T34" s="2">
        <f t="shared" si="2"/>
        <v>1052164.0140380857</v>
      </c>
      <c r="U34" s="2">
        <f t="shared" si="3"/>
        <v>526.08000000000004</v>
      </c>
      <c r="V34" s="2">
        <f t="shared" si="4"/>
        <v>62123.970581054455</v>
      </c>
      <c r="W34" s="2">
        <f t="shared" si="5"/>
        <v>61597.890581054453</v>
      </c>
      <c r="X34" s="2">
        <f t="shared" si="6"/>
        <v>42394207.460028976</v>
      </c>
      <c r="Y34" s="2">
        <f t="shared" si="7"/>
        <v>99004</v>
      </c>
      <c r="Z34" s="2">
        <f t="shared" si="8"/>
        <v>62.22</v>
      </c>
      <c r="AA34" s="2">
        <f t="shared" si="11"/>
        <v>42874112.064123526</v>
      </c>
      <c r="AB34" s="2">
        <f t="shared" si="9"/>
        <v>-479904.60409455001</v>
      </c>
    </row>
    <row r="35" spans="1:28">
      <c r="A35" s="2">
        <v>32</v>
      </c>
      <c r="B35" s="2" t="s">
        <v>236</v>
      </c>
      <c r="C35" s="2" t="s">
        <v>1764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1810</v>
      </c>
      <c r="J35" s="2" t="s">
        <v>1811</v>
      </c>
      <c r="K35" s="2">
        <f t="shared" si="10"/>
        <v>42394207.460028976</v>
      </c>
      <c r="L35" s="2" t="s">
        <v>1004</v>
      </c>
      <c r="M35" s="2" t="s">
        <v>1255</v>
      </c>
      <c r="N35" s="2" t="s">
        <v>1254</v>
      </c>
      <c r="O35" s="2">
        <v>950</v>
      </c>
      <c r="P35" s="2">
        <v>1429.171142578125</v>
      </c>
      <c r="Q35" s="2">
        <v>1446.50732421875</v>
      </c>
      <c r="R35" s="2">
        <f t="shared" si="0"/>
        <v>1357712.5854492187</v>
      </c>
      <c r="S35" s="2">
        <f t="shared" si="1"/>
        <v>1374181.9580078125</v>
      </c>
      <c r="T35" s="2">
        <f t="shared" si="2"/>
        <v>2731894.5434570313</v>
      </c>
      <c r="U35" s="2">
        <f t="shared" si="3"/>
        <v>1365.95</v>
      </c>
      <c r="V35" s="2">
        <f t="shared" si="4"/>
        <v>16469.37255859375</v>
      </c>
      <c r="W35" s="2">
        <f t="shared" si="5"/>
        <v>15103.422558593749</v>
      </c>
      <c r="X35" s="2">
        <f t="shared" si="6"/>
        <v>42409310.882587567</v>
      </c>
      <c r="Y35" s="2">
        <f t="shared" si="7"/>
        <v>271542.52</v>
      </c>
      <c r="Z35" s="2">
        <f t="shared" si="8"/>
        <v>5.56</v>
      </c>
      <c r="AA35" s="2">
        <f t="shared" si="11"/>
        <v>42874112.064123526</v>
      </c>
      <c r="AB35" s="2">
        <f t="shared" si="9"/>
        <v>-464801.18153595924</v>
      </c>
    </row>
    <row r="36" spans="1:28">
      <c r="A36" s="2">
        <v>33</v>
      </c>
      <c r="B36" s="2" t="s">
        <v>240</v>
      </c>
      <c r="C36" s="2" t="s">
        <v>1764</v>
      </c>
      <c r="D36" s="4" t="s">
        <v>61</v>
      </c>
      <c r="E36" s="5" t="s">
        <v>134</v>
      </c>
      <c r="F36" s="2" t="s">
        <v>135</v>
      </c>
      <c r="G36" s="2" t="s">
        <v>241</v>
      </c>
      <c r="H36" s="2" t="s">
        <v>242</v>
      </c>
      <c r="I36" s="2" t="s">
        <v>1812</v>
      </c>
      <c r="J36" s="2" t="s">
        <v>598</v>
      </c>
      <c r="K36" s="2">
        <f t="shared" si="10"/>
        <v>42409310.882587567</v>
      </c>
      <c r="L36" s="2" t="s">
        <v>1779</v>
      </c>
      <c r="M36" s="2" t="s">
        <v>1813</v>
      </c>
      <c r="N36" s="2" t="s">
        <v>1809</v>
      </c>
      <c r="O36" s="2">
        <v>2481</v>
      </c>
      <c r="P36" s="2">
        <v>224.31410217285159</v>
      </c>
      <c r="Q36" s="2">
        <v>230.128173828125</v>
      </c>
      <c r="R36" s="2">
        <f t="shared" ref="R36:R67" si="12">O36*P36</f>
        <v>556523.28749084484</v>
      </c>
      <c r="S36" s="2">
        <f t="shared" ref="S36:S67" si="13">O36*Q36</f>
        <v>570947.99926757812</v>
      </c>
      <c r="T36" s="2">
        <f t="shared" ref="T36:T67" si="14">R36+S36</f>
        <v>1127471.2867584229</v>
      </c>
      <c r="U36" s="2">
        <f t="shared" ref="U36:U67" si="15">ROUND(T36*0.0005, 2)</f>
        <v>563.74</v>
      </c>
      <c r="V36" s="2">
        <f t="shared" ref="V36:V67" si="16">S36-R36</f>
        <v>14424.711776733282</v>
      </c>
      <c r="W36" s="2">
        <f t="shared" ref="W36:W67" si="17">V36-U36</f>
        <v>13860.971776733282</v>
      </c>
      <c r="X36" s="2">
        <f t="shared" ref="X36:X67" si="18">K36+W36</f>
        <v>42423171.854364298</v>
      </c>
      <c r="Y36" s="2">
        <f t="shared" ref="Y36:Y67" si="19">ROUND(0.2*R36, 2)</f>
        <v>111304.66</v>
      </c>
      <c r="Z36" s="2">
        <f t="shared" ref="Z36:Z67" si="20">ROUND((W36/Y36)*100, 2)</f>
        <v>12.45</v>
      </c>
      <c r="AA36" s="2">
        <f t="shared" si="11"/>
        <v>42874112.064123526</v>
      </c>
      <c r="AB36" s="2">
        <f t="shared" ref="AB36:AB67" si="21">X36-AA36</f>
        <v>-450940.20975922793</v>
      </c>
    </row>
    <row r="37" spans="1:28">
      <c r="A37" s="2">
        <v>34</v>
      </c>
      <c r="B37" s="2" t="s">
        <v>245</v>
      </c>
      <c r="C37" s="2" t="s">
        <v>1764</v>
      </c>
      <c r="D37" s="4" t="s">
        <v>61</v>
      </c>
      <c r="E37" s="5" t="s">
        <v>134</v>
      </c>
      <c r="F37" s="2" t="s">
        <v>135</v>
      </c>
      <c r="G37" s="2" t="s">
        <v>231</v>
      </c>
      <c r="H37" s="2" t="s">
        <v>99</v>
      </c>
      <c r="I37" s="2" t="s">
        <v>990</v>
      </c>
      <c r="J37" s="2" t="s">
        <v>420</v>
      </c>
      <c r="K37" s="2">
        <f t="shared" si="10"/>
        <v>42423171.854364298</v>
      </c>
      <c r="L37" s="2" t="s">
        <v>1784</v>
      </c>
      <c r="M37" s="2" t="s">
        <v>1789</v>
      </c>
      <c r="N37" s="2" t="s">
        <v>1722</v>
      </c>
      <c r="O37" s="2">
        <v>2351</v>
      </c>
      <c r="P37" s="2">
        <v>265.6575927734375</v>
      </c>
      <c r="Q37" s="2">
        <v>267.3509521484375</v>
      </c>
      <c r="R37" s="2">
        <f t="shared" si="12"/>
        <v>624561.00061035156</v>
      </c>
      <c r="S37" s="2">
        <f t="shared" si="13"/>
        <v>628542.08850097656</v>
      </c>
      <c r="T37" s="2">
        <f t="shared" si="14"/>
        <v>1253103.0891113281</v>
      </c>
      <c r="U37" s="2">
        <f t="shared" si="15"/>
        <v>626.54999999999995</v>
      </c>
      <c r="V37" s="2">
        <f t="shared" si="16"/>
        <v>3981.087890625</v>
      </c>
      <c r="W37" s="2">
        <f t="shared" si="17"/>
        <v>3354.5378906249998</v>
      </c>
      <c r="X37" s="2">
        <f t="shared" si="18"/>
        <v>42426526.392254926</v>
      </c>
      <c r="Y37" s="2">
        <f t="shared" si="19"/>
        <v>124912.2</v>
      </c>
      <c r="Z37" s="2">
        <f t="shared" si="20"/>
        <v>2.69</v>
      </c>
      <c r="AA37" s="2">
        <f t="shared" ref="AA37:AA68" si="22">MAX(AA36, X37)</f>
        <v>42874112.064123526</v>
      </c>
      <c r="AB37" s="2">
        <f t="shared" si="21"/>
        <v>-447585.67186859995</v>
      </c>
    </row>
    <row r="38" spans="1:28">
      <c r="A38" s="2">
        <v>35</v>
      </c>
      <c r="B38" s="2" t="s">
        <v>248</v>
      </c>
      <c r="C38" s="2" t="s">
        <v>1764</v>
      </c>
      <c r="D38" s="4" t="s">
        <v>61</v>
      </c>
      <c r="E38" s="5" t="s">
        <v>134</v>
      </c>
      <c r="F38" s="2" t="s">
        <v>135</v>
      </c>
      <c r="G38" s="2" t="s">
        <v>161</v>
      </c>
      <c r="H38" s="2" t="s">
        <v>192</v>
      </c>
      <c r="I38" s="2" t="s">
        <v>958</v>
      </c>
      <c r="J38" s="2" t="s">
        <v>1814</v>
      </c>
      <c r="K38" s="2">
        <f t="shared" si="10"/>
        <v>42426526.392254926</v>
      </c>
      <c r="L38" s="2" t="s">
        <v>1815</v>
      </c>
      <c r="M38" s="2" t="s">
        <v>1784</v>
      </c>
      <c r="N38" s="2" t="s">
        <v>1720</v>
      </c>
      <c r="O38" s="2">
        <v>591</v>
      </c>
      <c r="P38" s="2">
        <v>1123.859008789062</v>
      </c>
      <c r="Q38" s="2">
        <v>1036.77099609375</v>
      </c>
      <c r="R38" s="2">
        <f t="shared" si="12"/>
        <v>664200.6741943357</v>
      </c>
      <c r="S38" s="2">
        <f t="shared" si="13"/>
        <v>612731.65869140625</v>
      </c>
      <c r="T38" s="2">
        <f t="shared" si="14"/>
        <v>1276932.332885742</v>
      </c>
      <c r="U38" s="2">
        <f t="shared" si="15"/>
        <v>638.47</v>
      </c>
      <c r="V38" s="2">
        <f t="shared" si="16"/>
        <v>-51469.015502929455</v>
      </c>
      <c r="W38" s="2">
        <f t="shared" si="17"/>
        <v>-52107.485502929456</v>
      </c>
      <c r="X38" s="2">
        <f t="shared" si="18"/>
        <v>42374418.906751998</v>
      </c>
      <c r="Y38" s="2">
        <f t="shared" si="19"/>
        <v>132840.13</v>
      </c>
      <c r="Z38" s="2">
        <f t="shared" si="20"/>
        <v>-39.229999999999997</v>
      </c>
      <c r="AA38" s="2">
        <f t="shared" si="22"/>
        <v>42874112.064123526</v>
      </c>
      <c r="AB38" s="2">
        <f t="shared" si="21"/>
        <v>-499693.15737152845</v>
      </c>
    </row>
    <row r="39" spans="1:28">
      <c r="A39" s="2">
        <v>36</v>
      </c>
      <c r="B39" s="2" t="s">
        <v>252</v>
      </c>
      <c r="C39" s="2" t="s">
        <v>1764</v>
      </c>
      <c r="D39" s="4" t="s">
        <v>61</v>
      </c>
      <c r="E39" s="5" t="s">
        <v>134</v>
      </c>
      <c r="F39" s="2" t="s">
        <v>135</v>
      </c>
      <c r="G39" s="2" t="s">
        <v>150</v>
      </c>
      <c r="H39" s="2" t="s">
        <v>253</v>
      </c>
      <c r="I39" s="2" t="s">
        <v>1816</v>
      </c>
      <c r="J39" s="2" t="s">
        <v>1817</v>
      </c>
      <c r="K39" s="2">
        <f t="shared" si="10"/>
        <v>42374418.906751998</v>
      </c>
      <c r="L39" s="2" t="s">
        <v>1808</v>
      </c>
      <c r="M39" s="2" t="s">
        <v>1813</v>
      </c>
      <c r="N39" s="2" t="s">
        <v>1809</v>
      </c>
      <c r="O39" s="2">
        <v>100</v>
      </c>
      <c r="P39" s="2">
        <v>28262.033203125</v>
      </c>
      <c r="Q39" s="2">
        <v>23082.052734375</v>
      </c>
      <c r="R39" s="2">
        <f t="shared" si="12"/>
        <v>2826203.3203125</v>
      </c>
      <c r="S39" s="2">
        <f t="shared" si="13"/>
        <v>2308205.2734375</v>
      </c>
      <c r="T39" s="2">
        <f t="shared" si="14"/>
        <v>5134408.59375</v>
      </c>
      <c r="U39" s="2">
        <f t="shared" si="15"/>
        <v>2567.1999999999998</v>
      </c>
      <c r="V39" s="2">
        <f t="shared" si="16"/>
        <v>-517998.046875</v>
      </c>
      <c r="W39" s="2">
        <f t="shared" si="17"/>
        <v>-520565.24687500001</v>
      </c>
      <c r="X39" s="2">
        <f t="shared" si="18"/>
        <v>41853853.659876995</v>
      </c>
      <c r="Y39" s="2">
        <f t="shared" si="19"/>
        <v>565240.66</v>
      </c>
      <c r="Z39" s="2">
        <f t="shared" si="20"/>
        <v>-92.1</v>
      </c>
      <c r="AA39" s="2">
        <f t="shared" si="22"/>
        <v>42874112.064123526</v>
      </c>
      <c r="AB39" s="2">
        <f t="shared" si="21"/>
        <v>-1020258.4042465314</v>
      </c>
    </row>
    <row r="40" spans="1:28">
      <c r="A40" s="2">
        <v>37</v>
      </c>
      <c r="B40" s="2" t="s">
        <v>256</v>
      </c>
      <c r="C40" s="2" t="s">
        <v>1764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1818</v>
      </c>
      <c r="J40" s="2" t="s">
        <v>229</v>
      </c>
      <c r="K40" s="2">
        <f t="shared" si="10"/>
        <v>41853853.659876995</v>
      </c>
      <c r="L40" s="2" t="s">
        <v>1346</v>
      </c>
      <c r="M40" s="2" t="s">
        <v>1004</v>
      </c>
      <c r="N40" s="2" t="s">
        <v>1318</v>
      </c>
      <c r="O40" s="2">
        <v>1800</v>
      </c>
      <c r="P40" s="2">
        <v>290.8780517578125</v>
      </c>
      <c r="Q40" s="2">
        <v>273.44229125976562</v>
      </c>
      <c r="R40" s="2">
        <f t="shared" si="12"/>
        <v>523580.4931640625</v>
      </c>
      <c r="S40" s="2">
        <f t="shared" si="13"/>
        <v>492196.12426757813</v>
      </c>
      <c r="T40" s="2">
        <f t="shared" si="14"/>
        <v>1015776.6174316406</v>
      </c>
      <c r="U40" s="2">
        <f t="shared" si="15"/>
        <v>507.89</v>
      </c>
      <c r="V40" s="2">
        <f t="shared" si="16"/>
        <v>-31384.368896484375</v>
      </c>
      <c r="W40" s="2">
        <f t="shared" si="17"/>
        <v>-31892.258896484374</v>
      </c>
      <c r="X40" s="2">
        <f t="shared" si="18"/>
        <v>41821961.40098051</v>
      </c>
      <c r="Y40" s="2">
        <f t="shared" si="19"/>
        <v>104716.1</v>
      </c>
      <c r="Z40" s="2">
        <f t="shared" si="20"/>
        <v>-30.46</v>
      </c>
      <c r="AA40" s="2">
        <f t="shared" si="22"/>
        <v>42874112.064123526</v>
      </c>
      <c r="AB40" s="2">
        <f t="shared" si="21"/>
        <v>-1052150.6631430164</v>
      </c>
    </row>
    <row r="41" spans="1:28">
      <c r="A41" s="2">
        <v>38</v>
      </c>
      <c r="B41" s="2" t="s">
        <v>259</v>
      </c>
      <c r="C41" s="2" t="s">
        <v>1764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348</v>
      </c>
      <c r="J41" s="2" t="s">
        <v>1819</v>
      </c>
      <c r="K41" s="2">
        <f t="shared" si="10"/>
        <v>41821961.40098051</v>
      </c>
      <c r="L41" s="2" t="s">
        <v>1268</v>
      </c>
      <c r="M41" s="2" t="s">
        <v>1254</v>
      </c>
      <c r="N41" s="2" t="s">
        <v>1292</v>
      </c>
      <c r="O41" s="2">
        <v>200</v>
      </c>
      <c r="P41" s="2">
        <v>5583.35400390625</v>
      </c>
      <c r="Q41" s="2">
        <v>5624.19482421875</v>
      </c>
      <c r="R41" s="2">
        <f t="shared" si="12"/>
        <v>1116670.80078125</v>
      </c>
      <c r="S41" s="2">
        <f t="shared" si="13"/>
        <v>1124838.96484375</v>
      </c>
      <c r="T41" s="2">
        <f t="shared" si="14"/>
        <v>2241509.765625</v>
      </c>
      <c r="U41" s="2">
        <f t="shared" si="15"/>
        <v>1120.75</v>
      </c>
      <c r="V41" s="2">
        <f t="shared" si="16"/>
        <v>8168.1640625</v>
      </c>
      <c r="W41" s="2">
        <f t="shared" si="17"/>
        <v>7047.4140625</v>
      </c>
      <c r="X41" s="2">
        <f t="shared" si="18"/>
        <v>41829008.81504301</v>
      </c>
      <c r="Y41" s="2">
        <f t="shared" si="19"/>
        <v>223334.16</v>
      </c>
      <c r="Z41" s="2">
        <f t="shared" si="20"/>
        <v>3.16</v>
      </c>
      <c r="AA41" s="2">
        <f t="shared" si="22"/>
        <v>42874112.064123526</v>
      </c>
      <c r="AB41" s="2">
        <f t="shared" si="21"/>
        <v>-1045103.2490805164</v>
      </c>
    </row>
    <row r="42" spans="1:28">
      <c r="A42" s="2">
        <v>39</v>
      </c>
      <c r="B42" s="2" t="s">
        <v>265</v>
      </c>
      <c r="C42" s="2" t="s">
        <v>1764</v>
      </c>
      <c r="D42" s="3" t="s">
        <v>37</v>
      </c>
      <c r="E42" s="5" t="s">
        <v>134</v>
      </c>
      <c r="F42" s="2" t="s">
        <v>135</v>
      </c>
      <c r="G42" s="2" t="s">
        <v>231</v>
      </c>
      <c r="H42" s="2" t="s">
        <v>266</v>
      </c>
      <c r="I42" s="2" t="s">
        <v>1820</v>
      </c>
      <c r="J42" s="2" t="s">
        <v>1821</v>
      </c>
      <c r="K42" s="2">
        <f t="shared" si="10"/>
        <v>41829008.81504301</v>
      </c>
      <c r="L42" s="2" t="s">
        <v>1584</v>
      </c>
      <c r="M42" s="2" t="s">
        <v>1780</v>
      </c>
      <c r="N42" s="2" t="s">
        <v>1778</v>
      </c>
      <c r="O42" s="2">
        <v>283</v>
      </c>
      <c r="P42" s="2">
        <v>696.15484619140625</v>
      </c>
      <c r="Q42" s="2">
        <v>813.88629150390625</v>
      </c>
      <c r="R42" s="2">
        <f t="shared" si="12"/>
        <v>197011.82147216797</v>
      </c>
      <c r="S42" s="2">
        <f t="shared" si="13"/>
        <v>230329.82049560547</v>
      </c>
      <c r="T42" s="2">
        <f t="shared" si="14"/>
        <v>427341.64196777344</v>
      </c>
      <c r="U42" s="2">
        <f t="shared" si="15"/>
        <v>213.67</v>
      </c>
      <c r="V42" s="2">
        <f t="shared" si="16"/>
        <v>33317.9990234375</v>
      </c>
      <c r="W42" s="2">
        <f t="shared" si="17"/>
        <v>33104.329023437502</v>
      </c>
      <c r="X42" s="2">
        <f t="shared" si="18"/>
        <v>41862113.144066446</v>
      </c>
      <c r="Y42" s="2">
        <f t="shared" si="19"/>
        <v>39402.36</v>
      </c>
      <c r="Z42" s="2">
        <f t="shared" si="20"/>
        <v>84.02</v>
      </c>
      <c r="AA42" s="2">
        <f t="shared" si="22"/>
        <v>42874112.064123526</v>
      </c>
      <c r="AB42" s="2">
        <f t="shared" si="21"/>
        <v>-1011998.9200570807</v>
      </c>
    </row>
    <row r="43" spans="1:28">
      <c r="A43" s="2">
        <v>40</v>
      </c>
      <c r="B43" s="2" t="s">
        <v>269</v>
      </c>
      <c r="C43" s="2" t="s">
        <v>1764</v>
      </c>
      <c r="D43" s="4" t="s">
        <v>61</v>
      </c>
      <c r="E43" s="5" t="s">
        <v>134</v>
      </c>
      <c r="F43" s="2" t="s">
        <v>135</v>
      </c>
      <c r="G43" s="2" t="s">
        <v>97</v>
      </c>
      <c r="H43" s="2" t="s">
        <v>270</v>
      </c>
      <c r="I43" s="2" t="s">
        <v>1755</v>
      </c>
      <c r="J43" s="2" t="s">
        <v>1504</v>
      </c>
      <c r="K43" s="2">
        <f t="shared" si="10"/>
        <v>41862113.144066446</v>
      </c>
      <c r="L43" s="2" t="s">
        <v>1802</v>
      </c>
      <c r="M43" s="2" t="s">
        <v>1779</v>
      </c>
      <c r="N43" s="2" t="s">
        <v>1780</v>
      </c>
      <c r="O43" s="2">
        <v>1260</v>
      </c>
      <c r="P43" s="2">
        <v>546.61932373046875</v>
      </c>
      <c r="Q43" s="2">
        <v>552.99200439453125</v>
      </c>
      <c r="R43" s="2">
        <f t="shared" si="12"/>
        <v>688740.34790039063</v>
      </c>
      <c r="S43" s="2">
        <f t="shared" si="13"/>
        <v>696769.92553710938</v>
      </c>
      <c r="T43" s="2">
        <f t="shared" si="14"/>
        <v>1385510.2734375</v>
      </c>
      <c r="U43" s="2">
        <f t="shared" si="15"/>
        <v>692.76</v>
      </c>
      <c r="V43" s="2">
        <f t="shared" si="16"/>
        <v>8029.57763671875</v>
      </c>
      <c r="W43" s="2">
        <f t="shared" si="17"/>
        <v>7336.8176367187498</v>
      </c>
      <c r="X43" s="2">
        <f t="shared" si="18"/>
        <v>41869449.961703166</v>
      </c>
      <c r="Y43" s="2">
        <f t="shared" si="19"/>
        <v>137748.07</v>
      </c>
      <c r="Z43" s="2">
        <f t="shared" si="20"/>
        <v>5.33</v>
      </c>
      <c r="AA43" s="2">
        <f t="shared" si="22"/>
        <v>42874112.064123526</v>
      </c>
      <c r="AB43" s="2">
        <f t="shared" si="21"/>
        <v>-1004662.1024203598</v>
      </c>
    </row>
    <row r="44" spans="1:28">
      <c r="A44" s="2">
        <v>41</v>
      </c>
      <c r="B44" s="2" t="s">
        <v>272</v>
      </c>
      <c r="C44" s="2" t="s">
        <v>1764</v>
      </c>
      <c r="D44" s="4" t="s">
        <v>61</v>
      </c>
      <c r="E44" s="5" t="s">
        <v>134</v>
      </c>
      <c r="F44" s="2" t="s">
        <v>135</v>
      </c>
      <c r="G44" s="2" t="s">
        <v>40</v>
      </c>
      <c r="H44" s="2" t="s">
        <v>273</v>
      </c>
      <c r="I44" s="2" t="s">
        <v>1822</v>
      </c>
      <c r="J44" s="2" t="s">
        <v>1213</v>
      </c>
      <c r="K44" s="2">
        <f t="shared" si="10"/>
        <v>41869449.961703166</v>
      </c>
      <c r="L44" s="2" t="s">
        <v>1787</v>
      </c>
      <c r="M44" s="2" t="s">
        <v>1784</v>
      </c>
      <c r="N44" s="2" t="s">
        <v>1584</v>
      </c>
      <c r="O44" s="2">
        <v>8046</v>
      </c>
      <c r="P44" s="2">
        <v>87.714088439941406</v>
      </c>
      <c r="Q44" s="2">
        <v>84.1199951171875</v>
      </c>
      <c r="R44" s="2">
        <f t="shared" si="12"/>
        <v>705747.55558776855</v>
      </c>
      <c r="S44" s="2">
        <f t="shared" si="13"/>
        <v>676829.48071289062</v>
      </c>
      <c r="T44" s="2">
        <f t="shared" si="14"/>
        <v>1382577.0363006592</v>
      </c>
      <c r="U44" s="2">
        <f t="shared" si="15"/>
        <v>691.29</v>
      </c>
      <c r="V44" s="2">
        <f t="shared" si="16"/>
        <v>-28918.07487487793</v>
      </c>
      <c r="W44" s="2">
        <f t="shared" si="17"/>
        <v>-29609.364874877931</v>
      </c>
      <c r="X44" s="2">
        <f t="shared" si="18"/>
        <v>41839840.596828289</v>
      </c>
      <c r="Y44" s="2">
        <f t="shared" si="19"/>
        <v>141149.51</v>
      </c>
      <c r="Z44" s="2">
        <f t="shared" si="20"/>
        <v>-20.98</v>
      </c>
      <c r="AA44" s="2">
        <f t="shared" si="22"/>
        <v>42874112.064123526</v>
      </c>
      <c r="AB44" s="2">
        <f t="shared" si="21"/>
        <v>-1034271.4672952369</v>
      </c>
    </row>
    <row r="45" spans="1:28">
      <c r="A45" s="2">
        <v>42</v>
      </c>
      <c r="B45" s="2" t="s">
        <v>275</v>
      </c>
      <c r="C45" s="2" t="s">
        <v>1764</v>
      </c>
      <c r="D45" s="4" t="s">
        <v>61</v>
      </c>
      <c r="E45" s="5" t="s">
        <v>134</v>
      </c>
      <c r="F45" s="2" t="s">
        <v>135</v>
      </c>
      <c r="G45" s="2" t="s">
        <v>161</v>
      </c>
      <c r="H45" s="2" t="s">
        <v>276</v>
      </c>
      <c r="I45" s="2" t="s">
        <v>805</v>
      </c>
      <c r="J45" s="2" t="s">
        <v>1129</v>
      </c>
      <c r="K45" s="2">
        <f t="shared" si="10"/>
        <v>41839840.596828289</v>
      </c>
      <c r="L45" s="2" t="s">
        <v>1823</v>
      </c>
      <c r="M45" s="2" t="s">
        <v>1778</v>
      </c>
      <c r="N45" s="2" t="s">
        <v>1824</v>
      </c>
      <c r="O45" s="2">
        <v>748</v>
      </c>
      <c r="P45" s="2">
        <v>889.98211669921875</v>
      </c>
      <c r="Q45" s="2">
        <v>886.670654296875</v>
      </c>
      <c r="R45" s="2">
        <f t="shared" si="12"/>
        <v>665706.62329101562</v>
      </c>
      <c r="S45" s="2">
        <f t="shared" si="13"/>
        <v>663229.6494140625</v>
      </c>
      <c r="T45" s="2">
        <f t="shared" si="14"/>
        <v>1328936.2727050781</v>
      </c>
      <c r="U45" s="2">
        <f t="shared" si="15"/>
        <v>664.47</v>
      </c>
      <c r="V45" s="2">
        <f t="shared" si="16"/>
        <v>-2476.973876953125</v>
      </c>
      <c r="W45" s="2">
        <f t="shared" si="17"/>
        <v>-3141.4438769531253</v>
      </c>
      <c r="X45" s="2">
        <f t="shared" si="18"/>
        <v>41836699.152951337</v>
      </c>
      <c r="Y45" s="2">
        <f t="shared" si="19"/>
        <v>133141.32</v>
      </c>
      <c r="Z45" s="2">
        <f t="shared" si="20"/>
        <v>-2.36</v>
      </c>
      <c r="AA45" s="2">
        <f t="shared" si="22"/>
        <v>42874112.064123526</v>
      </c>
      <c r="AB45" s="2">
        <f t="shared" si="21"/>
        <v>-1037412.9111721888</v>
      </c>
    </row>
    <row r="46" spans="1:28">
      <c r="A46" s="2">
        <v>43</v>
      </c>
      <c r="B46" s="2" t="s">
        <v>280</v>
      </c>
      <c r="C46" s="2" t="s">
        <v>1764</v>
      </c>
      <c r="D46" s="3" t="s">
        <v>37</v>
      </c>
      <c r="E46" s="5" t="s">
        <v>134</v>
      </c>
      <c r="F46" s="2" t="s">
        <v>135</v>
      </c>
      <c r="G46" s="2" t="s">
        <v>241</v>
      </c>
      <c r="H46" s="2" t="s">
        <v>281</v>
      </c>
      <c r="I46" s="2" t="s">
        <v>41</v>
      </c>
      <c r="J46" s="2" t="s">
        <v>1426</v>
      </c>
      <c r="K46" s="2">
        <f t="shared" si="10"/>
        <v>41836699.152951337</v>
      </c>
      <c r="L46" s="2" t="s">
        <v>1815</v>
      </c>
      <c r="M46" s="2" t="s">
        <v>1720</v>
      </c>
      <c r="N46" s="2" t="s">
        <v>1799</v>
      </c>
      <c r="O46" s="2">
        <v>1201</v>
      </c>
      <c r="P46" s="2">
        <v>449.199951171875</v>
      </c>
      <c r="Q46" s="2">
        <v>458.48379516601562</v>
      </c>
      <c r="R46" s="2">
        <f t="shared" si="12"/>
        <v>539489.14135742188</v>
      </c>
      <c r="S46" s="2">
        <f t="shared" si="13"/>
        <v>550639.03799438477</v>
      </c>
      <c r="T46" s="2">
        <f t="shared" si="14"/>
        <v>1090128.1793518066</v>
      </c>
      <c r="U46" s="2">
        <f t="shared" si="15"/>
        <v>545.05999999999995</v>
      </c>
      <c r="V46" s="2">
        <f t="shared" si="16"/>
        <v>11149.896636962891</v>
      </c>
      <c r="W46" s="2">
        <f t="shared" si="17"/>
        <v>10604.836636962891</v>
      </c>
      <c r="X46" s="2">
        <f t="shared" si="18"/>
        <v>41847303.989588298</v>
      </c>
      <c r="Y46" s="2">
        <f t="shared" si="19"/>
        <v>107897.83</v>
      </c>
      <c r="Z46" s="2">
        <f t="shared" si="20"/>
        <v>9.83</v>
      </c>
      <c r="AA46" s="2">
        <f t="shared" si="22"/>
        <v>42874112.064123526</v>
      </c>
      <c r="AB46" s="2">
        <f t="shared" si="21"/>
        <v>-1026808.0745352283</v>
      </c>
    </row>
    <row r="47" spans="1:28">
      <c r="A47" s="2">
        <v>44</v>
      </c>
      <c r="B47" s="2" t="s">
        <v>284</v>
      </c>
      <c r="C47" s="2" t="s">
        <v>1764</v>
      </c>
      <c r="D47" s="4" t="s">
        <v>61</v>
      </c>
      <c r="E47" s="5" t="s">
        <v>134</v>
      </c>
      <c r="F47" s="2" t="s">
        <v>135</v>
      </c>
      <c r="G47" s="2" t="s">
        <v>63</v>
      </c>
      <c r="H47" s="2" t="s">
        <v>285</v>
      </c>
      <c r="I47" s="2" t="s">
        <v>1825</v>
      </c>
      <c r="J47" s="2" t="s">
        <v>1235</v>
      </c>
      <c r="K47" s="2">
        <f t="shared" si="10"/>
        <v>41847303.989588298</v>
      </c>
      <c r="L47" s="2" t="s">
        <v>1826</v>
      </c>
      <c r="M47" s="2" t="s">
        <v>1827</v>
      </c>
      <c r="N47" s="2" t="s">
        <v>1828</v>
      </c>
      <c r="O47" s="2">
        <v>563</v>
      </c>
      <c r="P47" s="2">
        <v>1147.590942382812</v>
      </c>
      <c r="Q47" s="2">
        <v>1172.587036132812</v>
      </c>
      <c r="R47" s="2">
        <f t="shared" si="12"/>
        <v>646093.7005615232</v>
      </c>
      <c r="S47" s="2">
        <f t="shared" si="13"/>
        <v>660166.5013427732</v>
      </c>
      <c r="T47" s="2">
        <f t="shared" si="14"/>
        <v>1306260.2019042964</v>
      </c>
      <c r="U47" s="2">
        <f t="shared" si="15"/>
        <v>653.13</v>
      </c>
      <c r="V47" s="2">
        <f t="shared" si="16"/>
        <v>14072.80078125</v>
      </c>
      <c r="W47" s="2">
        <f t="shared" si="17"/>
        <v>13419.670781250001</v>
      </c>
      <c r="X47" s="2">
        <f t="shared" si="18"/>
        <v>41860723.660369545</v>
      </c>
      <c r="Y47" s="2">
        <f t="shared" si="19"/>
        <v>129218.74</v>
      </c>
      <c r="Z47" s="2">
        <f t="shared" si="20"/>
        <v>10.39</v>
      </c>
      <c r="AA47" s="2">
        <f t="shared" si="22"/>
        <v>42874112.064123526</v>
      </c>
      <c r="AB47" s="2">
        <f t="shared" si="21"/>
        <v>-1013388.403753981</v>
      </c>
    </row>
    <row r="48" spans="1:28">
      <c r="A48" s="2">
        <v>45</v>
      </c>
      <c r="B48" s="2" t="s">
        <v>291</v>
      </c>
      <c r="C48" s="2" t="s">
        <v>1764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1260</v>
      </c>
      <c r="J48" s="2" t="s">
        <v>1829</v>
      </c>
      <c r="K48" s="2">
        <f t="shared" si="10"/>
        <v>41860723.660369545</v>
      </c>
      <c r="L48" s="2" t="s">
        <v>1267</v>
      </c>
      <c r="M48" s="2" t="s">
        <v>1268</v>
      </c>
      <c r="N48" s="2" t="s">
        <v>1245</v>
      </c>
      <c r="O48" s="2">
        <v>650</v>
      </c>
      <c r="P48" s="2">
        <v>1502.895385742188</v>
      </c>
      <c r="Q48" s="2">
        <v>1455.948120117188</v>
      </c>
      <c r="R48" s="2">
        <f t="shared" si="12"/>
        <v>976882.00073242222</v>
      </c>
      <c r="S48" s="2">
        <f t="shared" si="13"/>
        <v>946366.27807617222</v>
      </c>
      <c r="T48" s="2">
        <f t="shared" si="14"/>
        <v>1923248.2788085944</v>
      </c>
      <c r="U48" s="2">
        <f t="shared" si="15"/>
        <v>961.62</v>
      </c>
      <c r="V48" s="2">
        <f t="shared" si="16"/>
        <v>-30515.72265625</v>
      </c>
      <c r="W48" s="2">
        <f t="shared" si="17"/>
        <v>-31477.342656249999</v>
      </c>
      <c r="X48" s="2">
        <f t="shared" si="18"/>
        <v>41829246.317713298</v>
      </c>
      <c r="Y48" s="2">
        <f t="shared" si="19"/>
        <v>195376.4</v>
      </c>
      <c r="Z48" s="2">
        <f t="shared" si="20"/>
        <v>-16.11</v>
      </c>
      <c r="AA48" s="2">
        <f t="shared" si="22"/>
        <v>42874112.064123526</v>
      </c>
      <c r="AB48" s="2">
        <f t="shared" si="21"/>
        <v>-1044865.7464102283</v>
      </c>
    </row>
    <row r="49" spans="1:28">
      <c r="A49" s="2">
        <v>46</v>
      </c>
      <c r="B49" s="2" t="s">
        <v>295</v>
      </c>
      <c r="C49" s="2" t="s">
        <v>1764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267</v>
      </c>
      <c r="J49" s="2" t="s">
        <v>866</v>
      </c>
      <c r="K49" s="2">
        <f t="shared" si="10"/>
        <v>41829246.317713298</v>
      </c>
      <c r="L49" s="2" t="s">
        <v>1084</v>
      </c>
      <c r="M49" s="2" t="s">
        <v>1292</v>
      </c>
      <c r="N49" s="2" t="s">
        <v>1270</v>
      </c>
      <c r="O49" s="2">
        <v>2100</v>
      </c>
      <c r="P49" s="2">
        <v>431.87045288085937</v>
      </c>
      <c r="Q49" s="2">
        <v>461.14828491210937</v>
      </c>
      <c r="R49" s="2">
        <f t="shared" si="12"/>
        <v>906927.95104980469</v>
      </c>
      <c r="S49" s="2">
        <f t="shared" si="13"/>
        <v>968411.39831542969</v>
      </c>
      <c r="T49" s="2">
        <f t="shared" si="14"/>
        <v>1875339.3493652344</v>
      </c>
      <c r="U49" s="2">
        <f t="shared" si="15"/>
        <v>937.67</v>
      </c>
      <c r="V49" s="2">
        <f t="shared" si="16"/>
        <v>61483.447265625</v>
      </c>
      <c r="W49" s="2">
        <f t="shared" si="17"/>
        <v>60545.777265625002</v>
      </c>
      <c r="X49" s="2">
        <f t="shared" si="18"/>
        <v>41889792.094978921</v>
      </c>
      <c r="Y49" s="2">
        <f t="shared" si="19"/>
        <v>181385.59</v>
      </c>
      <c r="Z49" s="2">
        <f t="shared" si="20"/>
        <v>33.380000000000003</v>
      </c>
      <c r="AA49" s="2">
        <f t="shared" si="22"/>
        <v>42874112.064123526</v>
      </c>
      <c r="AB49" s="2">
        <f t="shared" si="21"/>
        <v>-984319.9691446051</v>
      </c>
    </row>
    <row r="50" spans="1:28">
      <c r="A50" s="2">
        <v>47</v>
      </c>
      <c r="B50" s="2" t="s">
        <v>299</v>
      </c>
      <c r="C50" s="2" t="s">
        <v>1764</v>
      </c>
      <c r="D50" s="4" t="s">
        <v>61</v>
      </c>
      <c r="E50" s="5" t="s">
        <v>134</v>
      </c>
      <c r="F50" s="2" t="s">
        <v>135</v>
      </c>
      <c r="G50" s="2" t="s">
        <v>143</v>
      </c>
      <c r="H50" s="2" t="s">
        <v>300</v>
      </c>
      <c r="I50" s="2" t="s">
        <v>1830</v>
      </c>
      <c r="J50" s="2" t="s">
        <v>1831</v>
      </c>
      <c r="K50" s="2">
        <f t="shared" si="10"/>
        <v>41889792.094978921</v>
      </c>
      <c r="L50" s="2" t="s">
        <v>1799</v>
      </c>
      <c r="M50" s="2" t="s">
        <v>1808</v>
      </c>
      <c r="N50" s="2" t="s">
        <v>1784</v>
      </c>
      <c r="O50" s="2">
        <v>713</v>
      </c>
      <c r="P50" s="2">
        <v>896.25616455078125</v>
      </c>
      <c r="Q50" s="2">
        <v>834.36236572265625</v>
      </c>
      <c r="R50" s="2">
        <f t="shared" si="12"/>
        <v>639030.64532470703</v>
      </c>
      <c r="S50" s="2">
        <f t="shared" si="13"/>
        <v>594900.36676025391</v>
      </c>
      <c r="T50" s="2">
        <f t="shared" si="14"/>
        <v>1233931.0120849609</v>
      </c>
      <c r="U50" s="2">
        <f t="shared" si="15"/>
        <v>616.97</v>
      </c>
      <c r="V50" s="2">
        <f t="shared" si="16"/>
        <v>-44130.278564453125</v>
      </c>
      <c r="W50" s="2">
        <f t="shared" si="17"/>
        <v>-44747.248564453126</v>
      </c>
      <c r="X50" s="2">
        <f t="shared" si="18"/>
        <v>41845044.846414469</v>
      </c>
      <c r="Y50" s="2">
        <f t="shared" si="19"/>
        <v>127806.13</v>
      </c>
      <c r="Z50" s="2">
        <f t="shared" si="20"/>
        <v>-35.01</v>
      </c>
      <c r="AA50" s="2">
        <f t="shared" si="22"/>
        <v>42874112.064123526</v>
      </c>
      <c r="AB50" s="2">
        <f t="shared" si="21"/>
        <v>-1029067.217709057</v>
      </c>
    </row>
    <row r="51" spans="1:28">
      <c r="A51" s="2">
        <v>48</v>
      </c>
      <c r="B51" s="2" t="s">
        <v>303</v>
      </c>
      <c r="C51" s="2" t="s">
        <v>1764</v>
      </c>
      <c r="D51" s="3" t="s">
        <v>37</v>
      </c>
      <c r="E51" s="5" t="s">
        <v>134</v>
      </c>
      <c r="F51" s="2" t="s">
        <v>135</v>
      </c>
      <c r="G51" s="2" t="s">
        <v>127</v>
      </c>
      <c r="H51" s="2" t="s">
        <v>304</v>
      </c>
      <c r="I51" s="2" t="s">
        <v>1832</v>
      </c>
      <c r="J51" s="2" t="s">
        <v>1135</v>
      </c>
      <c r="K51" s="2">
        <f t="shared" si="10"/>
        <v>41845044.846414469</v>
      </c>
      <c r="L51" s="2" t="s">
        <v>1823</v>
      </c>
      <c r="M51" s="2" t="s">
        <v>1720</v>
      </c>
      <c r="N51" s="2" t="s">
        <v>1833</v>
      </c>
      <c r="O51" s="2">
        <v>572</v>
      </c>
      <c r="P51" s="2">
        <v>1252.272338867188</v>
      </c>
      <c r="Q51" s="2">
        <v>1218.981201171875</v>
      </c>
      <c r="R51" s="2">
        <f t="shared" si="12"/>
        <v>716299.77783203148</v>
      </c>
      <c r="S51" s="2">
        <f t="shared" si="13"/>
        <v>697257.2470703125</v>
      </c>
      <c r="T51" s="2">
        <f t="shared" si="14"/>
        <v>1413557.024902344</v>
      </c>
      <c r="U51" s="2">
        <f t="shared" si="15"/>
        <v>706.78</v>
      </c>
      <c r="V51" s="2">
        <f t="shared" si="16"/>
        <v>-19042.530761718983</v>
      </c>
      <c r="W51" s="2">
        <f t="shared" si="17"/>
        <v>-19749.310761718982</v>
      </c>
      <c r="X51" s="2">
        <f t="shared" si="18"/>
        <v>41825295.535652749</v>
      </c>
      <c r="Y51" s="2">
        <f t="shared" si="19"/>
        <v>143259.96</v>
      </c>
      <c r="Z51" s="2">
        <f t="shared" si="20"/>
        <v>-13.79</v>
      </c>
      <c r="AA51" s="2">
        <f t="shared" si="22"/>
        <v>42874112.064123526</v>
      </c>
      <c r="AB51" s="2">
        <f t="shared" si="21"/>
        <v>-1048816.528470777</v>
      </c>
    </row>
    <row r="52" spans="1:28">
      <c r="A52" s="2">
        <v>49</v>
      </c>
      <c r="B52" s="2" t="s">
        <v>307</v>
      </c>
      <c r="C52" s="2" t="s">
        <v>1764</v>
      </c>
      <c r="D52" s="3" t="s">
        <v>37</v>
      </c>
      <c r="E52" s="5" t="s">
        <v>134</v>
      </c>
      <c r="F52" s="2" t="s">
        <v>135</v>
      </c>
      <c r="G52" s="2" t="s">
        <v>103</v>
      </c>
      <c r="H52" s="2" t="s">
        <v>308</v>
      </c>
      <c r="I52" s="2" t="s">
        <v>616</v>
      </c>
      <c r="J52" s="2" t="s">
        <v>1834</v>
      </c>
      <c r="K52" s="2">
        <f t="shared" si="10"/>
        <v>41825295.535652749</v>
      </c>
      <c r="L52" s="2" t="s">
        <v>1740</v>
      </c>
      <c r="M52" s="2" t="s">
        <v>1720</v>
      </c>
      <c r="N52" s="2" t="s">
        <v>1833</v>
      </c>
      <c r="O52" s="2">
        <v>479</v>
      </c>
      <c r="P52" s="2">
        <v>2354.983642578125</v>
      </c>
      <c r="Q52" s="2">
        <v>2358.39306640625</v>
      </c>
      <c r="R52" s="2">
        <f t="shared" si="12"/>
        <v>1128037.1647949219</v>
      </c>
      <c r="S52" s="2">
        <f t="shared" si="13"/>
        <v>1129670.2788085938</v>
      </c>
      <c r="T52" s="2">
        <f t="shared" si="14"/>
        <v>2257707.4436035156</v>
      </c>
      <c r="U52" s="2">
        <f t="shared" si="15"/>
        <v>1128.8499999999999</v>
      </c>
      <c r="V52" s="2">
        <f t="shared" si="16"/>
        <v>1633.114013671875</v>
      </c>
      <c r="W52" s="2">
        <f t="shared" si="17"/>
        <v>504.26401367187509</v>
      </c>
      <c r="X52" s="2">
        <f t="shared" si="18"/>
        <v>41825799.79966642</v>
      </c>
      <c r="Y52" s="2">
        <f t="shared" si="19"/>
        <v>225607.43</v>
      </c>
      <c r="Z52" s="2">
        <f t="shared" si="20"/>
        <v>0.22</v>
      </c>
      <c r="AA52" s="2">
        <f t="shared" si="22"/>
        <v>42874112.064123526</v>
      </c>
      <c r="AB52" s="2">
        <f t="shared" si="21"/>
        <v>-1048312.2644571066</v>
      </c>
    </row>
    <row r="53" spans="1:28">
      <c r="A53" s="2">
        <v>50</v>
      </c>
      <c r="B53" s="2" t="s">
        <v>311</v>
      </c>
      <c r="C53" s="2" t="s">
        <v>1764</v>
      </c>
      <c r="D53" s="3" t="s">
        <v>37</v>
      </c>
      <c r="E53" s="5" t="s">
        <v>134</v>
      </c>
      <c r="F53" s="2" t="s">
        <v>135</v>
      </c>
      <c r="G53" s="2" t="s">
        <v>77</v>
      </c>
      <c r="H53" s="2" t="s">
        <v>312</v>
      </c>
      <c r="I53" s="2" t="s">
        <v>1179</v>
      </c>
      <c r="J53" s="2" t="s">
        <v>1369</v>
      </c>
      <c r="K53" s="2">
        <f t="shared" si="10"/>
        <v>41825799.79966642</v>
      </c>
      <c r="L53" s="2" t="s">
        <v>1823</v>
      </c>
      <c r="M53" s="2" t="s">
        <v>1585</v>
      </c>
      <c r="N53" s="2" t="s">
        <v>1586</v>
      </c>
      <c r="O53" s="2">
        <v>1904</v>
      </c>
      <c r="P53" s="2">
        <v>830.4617919921875</v>
      </c>
      <c r="Q53" s="2">
        <v>832.05743408203125</v>
      </c>
      <c r="R53" s="2">
        <f t="shared" si="12"/>
        <v>1581199.251953125</v>
      </c>
      <c r="S53" s="2">
        <f t="shared" si="13"/>
        <v>1584237.3544921875</v>
      </c>
      <c r="T53" s="2">
        <f t="shared" si="14"/>
        <v>3165436.6064453125</v>
      </c>
      <c r="U53" s="2">
        <f t="shared" si="15"/>
        <v>1582.72</v>
      </c>
      <c r="V53" s="2">
        <f t="shared" si="16"/>
        <v>3038.1025390625</v>
      </c>
      <c r="W53" s="2">
        <f t="shared" si="17"/>
        <v>1455.3825390625</v>
      </c>
      <c r="X53" s="2">
        <f t="shared" si="18"/>
        <v>41827255.182205483</v>
      </c>
      <c r="Y53" s="2">
        <f t="shared" si="19"/>
        <v>316239.84999999998</v>
      </c>
      <c r="Z53" s="2">
        <f t="shared" si="20"/>
        <v>0.46</v>
      </c>
      <c r="AA53" s="2">
        <f t="shared" si="22"/>
        <v>42874112.064123526</v>
      </c>
      <c r="AB53" s="2">
        <f t="shared" si="21"/>
        <v>-1046856.8819180429</v>
      </c>
    </row>
    <row r="54" spans="1:28">
      <c r="A54" s="2">
        <v>51</v>
      </c>
      <c r="B54" s="2" t="s">
        <v>315</v>
      </c>
      <c r="C54" s="2" t="s">
        <v>1764</v>
      </c>
      <c r="D54" s="4" t="s">
        <v>61</v>
      </c>
      <c r="E54" s="5" t="s">
        <v>134</v>
      </c>
      <c r="F54" s="2" t="s">
        <v>135</v>
      </c>
      <c r="G54" s="2" t="s">
        <v>169</v>
      </c>
      <c r="H54" s="2" t="s">
        <v>316</v>
      </c>
      <c r="I54" s="2" t="s">
        <v>626</v>
      </c>
      <c r="J54" s="2" t="s">
        <v>1429</v>
      </c>
      <c r="K54" s="2">
        <f t="shared" si="10"/>
        <v>41827255.182205483</v>
      </c>
      <c r="L54" s="2" t="s">
        <v>1801</v>
      </c>
      <c r="M54" s="2" t="s">
        <v>1721</v>
      </c>
      <c r="N54" s="2" t="s">
        <v>1835</v>
      </c>
      <c r="O54" s="2">
        <v>3841</v>
      </c>
      <c r="P54" s="2">
        <v>275.41973876953119</v>
      </c>
      <c r="Q54" s="2">
        <v>279.309814453125</v>
      </c>
      <c r="R54" s="2">
        <f t="shared" si="12"/>
        <v>1057887.2166137693</v>
      </c>
      <c r="S54" s="2">
        <f t="shared" si="13"/>
        <v>1072828.9973144531</v>
      </c>
      <c r="T54" s="2">
        <f t="shared" si="14"/>
        <v>2130716.2139282227</v>
      </c>
      <c r="U54" s="2">
        <f t="shared" si="15"/>
        <v>1065.3599999999999</v>
      </c>
      <c r="V54" s="2">
        <f t="shared" si="16"/>
        <v>14941.780700683827</v>
      </c>
      <c r="W54" s="2">
        <f t="shared" si="17"/>
        <v>13876.420700683826</v>
      </c>
      <c r="X54" s="2">
        <f t="shared" si="18"/>
        <v>41841131.602906168</v>
      </c>
      <c r="Y54" s="2">
        <f t="shared" si="19"/>
        <v>211577.44</v>
      </c>
      <c r="Z54" s="2">
        <f t="shared" si="20"/>
        <v>6.56</v>
      </c>
      <c r="AA54" s="2">
        <f t="shared" si="22"/>
        <v>42874112.064123526</v>
      </c>
      <c r="AB54" s="2">
        <f t="shared" si="21"/>
        <v>-1032980.4612173587</v>
      </c>
    </row>
    <row r="55" spans="1:28">
      <c r="A55" s="2">
        <v>52</v>
      </c>
      <c r="B55" s="2" t="s">
        <v>318</v>
      </c>
      <c r="C55" s="2" t="s">
        <v>1764</v>
      </c>
      <c r="D55" s="4" t="s">
        <v>61</v>
      </c>
      <c r="E55" s="5" t="s">
        <v>134</v>
      </c>
      <c r="F55" s="2" t="s">
        <v>135</v>
      </c>
      <c r="G55" s="2" t="s">
        <v>241</v>
      </c>
      <c r="H55" s="2" t="s">
        <v>319</v>
      </c>
      <c r="I55" s="2" t="s">
        <v>1836</v>
      </c>
      <c r="J55" s="2" t="s">
        <v>1837</v>
      </c>
      <c r="K55" s="2">
        <f t="shared" si="10"/>
        <v>41841131.602906168</v>
      </c>
      <c r="L55" s="2" t="s">
        <v>1802</v>
      </c>
      <c r="M55" s="2" t="s">
        <v>1835</v>
      </c>
      <c r="N55" s="2" t="s">
        <v>1801</v>
      </c>
      <c r="O55" s="2">
        <v>185</v>
      </c>
      <c r="P55" s="2">
        <v>2460.671875</v>
      </c>
      <c r="Q55" s="2">
        <v>2217.398193359375</v>
      </c>
      <c r="R55" s="2">
        <f t="shared" si="12"/>
        <v>455224.296875</v>
      </c>
      <c r="S55" s="2">
        <f t="shared" si="13"/>
        <v>410218.66577148438</v>
      </c>
      <c r="T55" s="2">
        <f t="shared" si="14"/>
        <v>865442.96264648438</v>
      </c>
      <c r="U55" s="2">
        <f t="shared" si="15"/>
        <v>432.72</v>
      </c>
      <c r="V55" s="2">
        <f t="shared" si="16"/>
        <v>-45005.631103515625</v>
      </c>
      <c r="W55" s="2">
        <f t="shared" si="17"/>
        <v>-45438.351103515626</v>
      </c>
      <c r="X55" s="2">
        <f t="shared" si="18"/>
        <v>41795693.251802653</v>
      </c>
      <c r="Y55" s="2">
        <f t="shared" si="19"/>
        <v>91044.86</v>
      </c>
      <c r="Z55" s="2">
        <f t="shared" si="20"/>
        <v>-49.91</v>
      </c>
      <c r="AA55" s="2">
        <f t="shared" si="22"/>
        <v>42874112.064123526</v>
      </c>
      <c r="AB55" s="2">
        <f t="shared" si="21"/>
        <v>-1078418.8123208731</v>
      </c>
    </row>
    <row r="56" spans="1:28">
      <c r="A56" s="2">
        <v>53</v>
      </c>
      <c r="B56" s="2" t="s">
        <v>322</v>
      </c>
      <c r="C56" s="2" t="s">
        <v>1764</v>
      </c>
      <c r="D56" s="3" t="s">
        <v>37</v>
      </c>
      <c r="E56" s="5" t="s">
        <v>134</v>
      </c>
      <c r="F56" s="2" t="s">
        <v>135</v>
      </c>
      <c r="G56" s="2" t="s">
        <v>143</v>
      </c>
      <c r="H56" s="2" t="s">
        <v>238</v>
      </c>
      <c r="I56" s="2" t="s">
        <v>765</v>
      </c>
      <c r="J56" s="2" t="s">
        <v>1838</v>
      </c>
      <c r="K56" s="2">
        <f t="shared" si="10"/>
        <v>41795693.251802653</v>
      </c>
      <c r="L56" s="2" t="s">
        <v>1799</v>
      </c>
      <c r="M56" s="2" t="s">
        <v>1808</v>
      </c>
      <c r="N56" s="2" t="s">
        <v>1784</v>
      </c>
      <c r="O56" s="2">
        <v>2346</v>
      </c>
      <c r="P56" s="2">
        <v>505.45089721679687</v>
      </c>
      <c r="Q56" s="2">
        <v>533.95965576171875</v>
      </c>
      <c r="R56" s="2">
        <f t="shared" si="12"/>
        <v>1185787.8048706055</v>
      </c>
      <c r="S56" s="2">
        <f t="shared" si="13"/>
        <v>1252669.3524169922</v>
      </c>
      <c r="T56" s="2">
        <f t="shared" si="14"/>
        <v>2438457.1572875977</v>
      </c>
      <c r="U56" s="2">
        <f t="shared" si="15"/>
        <v>1219.23</v>
      </c>
      <c r="V56" s="2">
        <f t="shared" si="16"/>
        <v>66881.547546386719</v>
      </c>
      <c r="W56" s="2">
        <f t="shared" si="17"/>
        <v>65662.317546386723</v>
      </c>
      <c r="X56" s="2">
        <f t="shared" si="18"/>
        <v>41861355.569349043</v>
      </c>
      <c r="Y56" s="2">
        <f t="shared" si="19"/>
        <v>237157.56</v>
      </c>
      <c r="Z56" s="2">
        <f t="shared" si="20"/>
        <v>27.69</v>
      </c>
      <c r="AA56" s="2">
        <f t="shared" si="22"/>
        <v>42874112.064123526</v>
      </c>
      <c r="AB56" s="2">
        <f t="shared" si="21"/>
        <v>-1012756.4947744831</v>
      </c>
    </row>
    <row r="57" spans="1:28">
      <c r="A57" s="2">
        <v>54</v>
      </c>
      <c r="B57" s="2" t="s">
        <v>324</v>
      </c>
      <c r="C57" s="2" t="s">
        <v>1764</v>
      </c>
      <c r="D57" s="4" t="s">
        <v>61</v>
      </c>
      <c r="E57" s="5" t="s">
        <v>134</v>
      </c>
      <c r="F57" s="2" t="s">
        <v>135</v>
      </c>
      <c r="G57" s="2" t="s">
        <v>97</v>
      </c>
      <c r="H57" s="2" t="s">
        <v>325</v>
      </c>
      <c r="I57" s="2" t="s">
        <v>151</v>
      </c>
      <c r="J57" s="2" t="s">
        <v>1839</v>
      </c>
      <c r="K57" s="2">
        <f t="shared" si="10"/>
        <v>41861355.569349043</v>
      </c>
      <c r="L57" s="2" t="s">
        <v>1784</v>
      </c>
      <c r="M57" s="2" t="s">
        <v>1778</v>
      </c>
      <c r="N57" s="2" t="s">
        <v>1802</v>
      </c>
      <c r="O57" s="2">
        <v>2135</v>
      </c>
      <c r="P57" s="2">
        <v>456</v>
      </c>
      <c r="Q57" s="2">
        <v>449.45001220703131</v>
      </c>
      <c r="R57" s="2">
        <f t="shared" si="12"/>
        <v>973560</v>
      </c>
      <c r="S57" s="2">
        <f t="shared" si="13"/>
        <v>959575.77606201184</v>
      </c>
      <c r="T57" s="2">
        <f t="shared" si="14"/>
        <v>1933135.7760620117</v>
      </c>
      <c r="U57" s="2">
        <f t="shared" si="15"/>
        <v>966.57</v>
      </c>
      <c r="V57" s="2">
        <f t="shared" si="16"/>
        <v>-13984.223937988165</v>
      </c>
      <c r="W57" s="2">
        <f t="shared" si="17"/>
        <v>-14950.793937988165</v>
      </c>
      <c r="X57" s="2">
        <f t="shared" si="18"/>
        <v>41846404.775411054</v>
      </c>
      <c r="Y57" s="2">
        <f t="shared" si="19"/>
        <v>194712</v>
      </c>
      <c r="Z57" s="2">
        <f t="shared" si="20"/>
        <v>-7.68</v>
      </c>
      <c r="AA57" s="2">
        <f t="shared" si="22"/>
        <v>42874112.064123526</v>
      </c>
      <c r="AB57" s="2">
        <f t="shared" si="21"/>
        <v>-1027707.2887124717</v>
      </c>
    </row>
    <row r="58" spans="1:28">
      <c r="A58" s="2">
        <v>55</v>
      </c>
      <c r="B58" s="2" t="s">
        <v>328</v>
      </c>
      <c r="C58" s="2" t="s">
        <v>1764</v>
      </c>
      <c r="D58" s="3" t="s">
        <v>37</v>
      </c>
      <c r="E58" s="5" t="s">
        <v>134</v>
      </c>
      <c r="F58" s="2" t="s">
        <v>135</v>
      </c>
      <c r="G58" s="2" t="s">
        <v>143</v>
      </c>
      <c r="H58" s="2" t="s">
        <v>329</v>
      </c>
      <c r="I58" s="2" t="s">
        <v>1840</v>
      </c>
      <c r="J58" s="2" t="s">
        <v>1181</v>
      </c>
      <c r="K58" s="2">
        <f t="shared" si="10"/>
        <v>41846404.775411054</v>
      </c>
      <c r="L58" s="2" t="s">
        <v>1802</v>
      </c>
      <c r="M58" s="2" t="s">
        <v>1789</v>
      </c>
      <c r="N58" s="2" t="s">
        <v>1790</v>
      </c>
      <c r="O58" s="2">
        <v>200</v>
      </c>
      <c r="P58" s="2">
        <v>3645.13525390625</v>
      </c>
      <c r="Q58" s="2">
        <v>3685.28759765625</v>
      </c>
      <c r="R58" s="2">
        <f t="shared" si="12"/>
        <v>729027.05078125</v>
      </c>
      <c r="S58" s="2">
        <f t="shared" si="13"/>
        <v>737057.51953125</v>
      </c>
      <c r="T58" s="2">
        <f t="shared" si="14"/>
        <v>1466084.5703125</v>
      </c>
      <c r="U58" s="2">
        <f t="shared" si="15"/>
        <v>733.04</v>
      </c>
      <c r="V58" s="2">
        <f t="shared" si="16"/>
        <v>8030.46875</v>
      </c>
      <c r="W58" s="2">
        <f t="shared" si="17"/>
        <v>7297.42875</v>
      </c>
      <c r="X58" s="2">
        <f t="shared" si="18"/>
        <v>41853702.204161055</v>
      </c>
      <c r="Y58" s="2">
        <f t="shared" si="19"/>
        <v>145805.41</v>
      </c>
      <c r="Z58" s="2">
        <f t="shared" si="20"/>
        <v>5</v>
      </c>
      <c r="AA58" s="2">
        <f t="shared" si="22"/>
        <v>42874112.064123526</v>
      </c>
      <c r="AB58" s="2">
        <f t="shared" si="21"/>
        <v>-1020409.8599624708</v>
      </c>
    </row>
    <row r="59" spans="1:28">
      <c r="A59" s="2">
        <v>56</v>
      </c>
      <c r="B59" s="2" t="s">
        <v>332</v>
      </c>
      <c r="C59" s="2" t="s">
        <v>1764</v>
      </c>
      <c r="D59" s="4" t="s">
        <v>61</v>
      </c>
      <c r="E59" s="5" t="s">
        <v>134</v>
      </c>
      <c r="F59" s="2" t="s">
        <v>135</v>
      </c>
      <c r="G59" s="2" t="s">
        <v>231</v>
      </c>
      <c r="H59" s="2" t="s">
        <v>333</v>
      </c>
      <c r="I59" s="2" t="s">
        <v>1502</v>
      </c>
      <c r="J59" s="2" t="s">
        <v>1841</v>
      </c>
      <c r="K59" s="2">
        <f t="shared" si="10"/>
        <v>41853702.204161055</v>
      </c>
      <c r="L59" s="2" t="s">
        <v>1842</v>
      </c>
      <c r="M59" s="2" t="s">
        <v>1808</v>
      </c>
      <c r="N59" s="2" t="s">
        <v>1784</v>
      </c>
      <c r="O59" s="2">
        <v>100</v>
      </c>
      <c r="P59" s="2">
        <v>6119.48779296875</v>
      </c>
      <c r="Q59" s="2">
        <v>6298.044921875</v>
      </c>
      <c r="R59" s="2">
        <f t="shared" si="12"/>
        <v>611948.779296875</v>
      </c>
      <c r="S59" s="2">
        <f t="shared" si="13"/>
        <v>629804.4921875</v>
      </c>
      <c r="T59" s="2">
        <f t="shared" si="14"/>
        <v>1241753.271484375</v>
      </c>
      <c r="U59" s="2">
        <f t="shared" si="15"/>
        <v>620.88</v>
      </c>
      <c r="V59" s="2">
        <f t="shared" si="16"/>
        <v>17855.712890625</v>
      </c>
      <c r="W59" s="2">
        <f t="shared" si="17"/>
        <v>17234.832890624999</v>
      </c>
      <c r="X59" s="2">
        <f t="shared" si="18"/>
        <v>41870937.037051678</v>
      </c>
      <c r="Y59" s="2">
        <f t="shared" si="19"/>
        <v>122389.75999999999</v>
      </c>
      <c r="Z59" s="2">
        <f t="shared" si="20"/>
        <v>14.08</v>
      </c>
      <c r="AA59" s="2">
        <f t="shared" si="22"/>
        <v>42874112.064123526</v>
      </c>
      <c r="AB59" s="2">
        <f t="shared" si="21"/>
        <v>-1003175.0270718485</v>
      </c>
    </row>
    <row r="60" spans="1:28">
      <c r="A60" s="2">
        <v>57</v>
      </c>
      <c r="B60" s="2" t="s">
        <v>337</v>
      </c>
      <c r="C60" s="2" t="s">
        <v>1764</v>
      </c>
      <c r="D60" s="4" t="s">
        <v>61</v>
      </c>
      <c r="E60" s="5" t="s">
        <v>134</v>
      </c>
      <c r="F60" s="2" t="s">
        <v>135</v>
      </c>
      <c r="G60" s="2" t="s">
        <v>77</v>
      </c>
      <c r="H60" s="2" t="s">
        <v>338</v>
      </c>
      <c r="I60" s="2" t="s">
        <v>94</v>
      </c>
      <c r="J60" s="2" t="s">
        <v>1843</v>
      </c>
      <c r="K60" s="2">
        <f t="shared" si="10"/>
        <v>41870937.037051678</v>
      </c>
      <c r="L60" s="2" t="s">
        <v>1842</v>
      </c>
      <c r="M60" s="2" t="s">
        <v>1586</v>
      </c>
      <c r="N60" s="2" t="s">
        <v>1584</v>
      </c>
      <c r="O60" s="2">
        <v>1527</v>
      </c>
      <c r="P60" s="2">
        <v>739.576171875</v>
      </c>
      <c r="Q60" s="2">
        <v>755.95379638671875</v>
      </c>
      <c r="R60" s="2">
        <f t="shared" si="12"/>
        <v>1129332.814453125</v>
      </c>
      <c r="S60" s="2">
        <f t="shared" si="13"/>
        <v>1154341.4470825195</v>
      </c>
      <c r="T60" s="2">
        <f t="shared" si="14"/>
        <v>2283674.2615356445</v>
      </c>
      <c r="U60" s="2">
        <f t="shared" si="15"/>
        <v>1141.8399999999999</v>
      </c>
      <c r="V60" s="2">
        <f t="shared" si="16"/>
        <v>25008.632629394531</v>
      </c>
      <c r="W60" s="2">
        <f t="shared" si="17"/>
        <v>23866.792629394531</v>
      </c>
      <c r="X60" s="2">
        <f t="shared" si="18"/>
        <v>41894803.829681069</v>
      </c>
      <c r="Y60" s="2">
        <f t="shared" si="19"/>
        <v>225866.56</v>
      </c>
      <c r="Z60" s="2">
        <f t="shared" si="20"/>
        <v>10.57</v>
      </c>
      <c r="AA60" s="2">
        <f t="shared" si="22"/>
        <v>42874112.064123526</v>
      </c>
      <c r="AB60" s="2">
        <f t="shared" si="21"/>
        <v>-979308.23444245756</v>
      </c>
    </row>
    <row r="61" spans="1:28">
      <c r="A61" s="2">
        <v>58</v>
      </c>
      <c r="B61" s="2" t="s">
        <v>341</v>
      </c>
      <c r="C61" s="2" t="s">
        <v>1764</v>
      </c>
      <c r="D61" s="4" t="s">
        <v>61</v>
      </c>
      <c r="E61" s="5" t="s">
        <v>134</v>
      </c>
      <c r="F61" s="2" t="s">
        <v>135</v>
      </c>
      <c r="G61" s="2" t="s">
        <v>97</v>
      </c>
      <c r="H61" s="2" t="s">
        <v>99</v>
      </c>
      <c r="I61" s="2" t="s">
        <v>1024</v>
      </c>
      <c r="J61" s="2" t="s">
        <v>1844</v>
      </c>
      <c r="K61" s="2">
        <f t="shared" si="10"/>
        <v>41894803.829681069</v>
      </c>
      <c r="L61" s="2" t="s">
        <v>1845</v>
      </c>
      <c r="M61" s="2" t="s">
        <v>1740</v>
      </c>
      <c r="N61" s="2" t="s">
        <v>1846</v>
      </c>
      <c r="O61" s="2">
        <v>258</v>
      </c>
      <c r="P61" s="2">
        <v>3858.25</v>
      </c>
      <c r="Q61" s="2">
        <v>3822</v>
      </c>
      <c r="R61" s="2">
        <f t="shared" si="12"/>
        <v>995428.5</v>
      </c>
      <c r="S61" s="2">
        <f t="shared" si="13"/>
        <v>986076</v>
      </c>
      <c r="T61" s="2">
        <f t="shared" si="14"/>
        <v>1981504.5</v>
      </c>
      <c r="U61" s="2">
        <f t="shared" si="15"/>
        <v>990.75</v>
      </c>
      <c r="V61" s="2">
        <f t="shared" si="16"/>
        <v>-9352.5</v>
      </c>
      <c r="W61" s="2">
        <f t="shared" si="17"/>
        <v>-10343.25</v>
      </c>
      <c r="X61" s="2">
        <f t="shared" si="18"/>
        <v>41884460.579681069</v>
      </c>
      <c r="Y61" s="2">
        <f t="shared" si="19"/>
        <v>199085.7</v>
      </c>
      <c r="Z61" s="2">
        <f t="shared" si="20"/>
        <v>-5.2</v>
      </c>
      <c r="AA61" s="2">
        <f t="shared" si="22"/>
        <v>42874112.064123526</v>
      </c>
      <c r="AB61" s="2">
        <f t="shared" si="21"/>
        <v>-989651.48444245756</v>
      </c>
    </row>
    <row r="62" spans="1:28">
      <c r="A62" s="2">
        <v>59</v>
      </c>
      <c r="B62" s="2" t="s">
        <v>347</v>
      </c>
      <c r="C62" s="2" t="s">
        <v>1764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797</v>
      </c>
      <c r="J62" s="2" t="s">
        <v>604</v>
      </c>
      <c r="K62" s="2">
        <f t="shared" si="10"/>
        <v>41884460.579681069</v>
      </c>
      <c r="L62" s="2" t="s">
        <v>1296</v>
      </c>
      <c r="M62" s="2" t="s">
        <v>1272</v>
      </c>
      <c r="N62" s="2" t="s">
        <v>1006</v>
      </c>
      <c r="O62" s="2">
        <v>125</v>
      </c>
      <c r="P62" s="2">
        <v>1343.732299804688</v>
      </c>
      <c r="Q62" s="2">
        <v>1316.745727539062</v>
      </c>
      <c r="R62" s="2">
        <f t="shared" si="12"/>
        <v>167966.537475586</v>
      </c>
      <c r="S62" s="2">
        <f t="shared" si="13"/>
        <v>164593.21594238275</v>
      </c>
      <c r="T62" s="2">
        <f t="shared" si="14"/>
        <v>332559.75341796875</v>
      </c>
      <c r="U62" s="2">
        <f t="shared" si="15"/>
        <v>166.28</v>
      </c>
      <c r="V62" s="2">
        <f t="shared" si="16"/>
        <v>-3373.3215332032414</v>
      </c>
      <c r="W62" s="2">
        <f t="shared" si="17"/>
        <v>-3539.6015332032416</v>
      </c>
      <c r="X62" s="2">
        <f t="shared" si="18"/>
        <v>41880920.978147864</v>
      </c>
      <c r="Y62" s="2">
        <f t="shared" si="19"/>
        <v>33593.31</v>
      </c>
      <c r="Z62" s="2">
        <f t="shared" si="20"/>
        <v>-10.54</v>
      </c>
      <c r="AA62" s="2">
        <f t="shared" si="22"/>
        <v>42874112.064123526</v>
      </c>
      <c r="AB62" s="2">
        <f t="shared" si="21"/>
        <v>-993191.08597566187</v>
      </c>
    </row>
    <row r="63" spans="1:28">
      <c r="A63" s="2">
        <v>60</v>
      </c>
      <c r="B63" s="2" t="s">
        <v>351</v>
      </c>
      <c r="C63" s="2" t="s">
        <v>1764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316</v>
      </c>
      <c r="J63" s="2" t="s">
        <v>1847</v>
      </c>
      <c r="K63" s="2">
        <f t="shared" si="10"/>
        <v>41880920.978147864</v>
      </c>
      <c r="L63" s="2" t="s">
        <v>1272</v>
      </c>
      <c r="M63" s="2" t="s">
        <v>1255</v>
      </c>
      <c r="N63" s="2" t="s">
        <v>1251</v>
      </c>
      <c r="O63" s="2">
        <v>175</v>
      </c>
      <c r="P63" s="2">
        <v>4834.89306640625</v>
      </c>
      <c r="Q63" s="2">
        <v>4747.24462890625</v>
      </c>
      <c r="R63" s="2">
        <f t="shared" si="12"/>
        <v>846106.28662109375</v>
      </c>
      <c r="S63" s="2">
        <f t="shared" si="13"/>
        <v>830767.81005859375</v>
      </c>
      <c r="T63" s="2">
        <f t="shared" si="14"/>
        <v>1676874.0966796875</v>
      </c>
      <c r="U63" s="2">
        <f t="shared" si="15"/>
        <v>838.44</v>
      </c>
      <c r="V63" s="2">
        <f t="shared" si="16"/>
        <v>-15338.4765625</v>
      </c>
      <c r="W63" s="2">
        <f t="shared" si="17"/>
        <v>-16176.916562500001</v>
      </c>
      <c r="X63" s="2">
        <f t="shared" si="18"/>
        <v>41864744.061585367</v>
      </c>
      <c r="Y63" s="2">
        <f t="shared" si="19"/>
        <v>169221.26</v>
      </c>
      <c r="Z63" s="2">
        <f t="shared" si="20"/>
        <v>-9.56</v>
      </c>
      <c r="AA63" s="2">
        <f t="shared" si="22"/>
        <v>42874112.064123526</v>
      </c>
      <c r="AB63" s="2">
        <f t="shared" si="21"/>
        <v>-1009368.0025381595</v>
      </c>
    </row>
    <row r="64" spans="1:28">
      <c r="A64" s="2">
        <v>61</v>
      </c>
      <c r="B64" s="2" t="s">
        <v>355</v>
      </c>
      <c r="C64" s="2" t="s">
        <v>1764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1707</v>
      </c>
      <c r="J64" s="2" t="s">
        <v>487</v>
      </c>
      <c r="K64" s="2">
        <f t="shared" si="10"/>
        <v>41864744.061585367</v>
      </c>
      <c r="L64" s="2" t="s">
        <v>1780</v>
      </c>
      <c r="M64" s="2" t="s">
        <v>1835</v>
      </c>
      <c r="N64" s="2" t="s">
        <v>1801</v>
      </c>
      <c r="O64" s="2">
        <v>3399</v>
      </c>
      <c r="P64" s="2">
        <v>139.94999694824219</v>
      </c>
      <c r="Q64" s="2">
        <v>152.25</v>
      </c>
      <c r="R64" s="2">
        <f t="shared" si="12"/>
        <v>475690.0396270752</v>
      </c>
      <c r="S64" s="2">
        <f t="shared" si="13"/>
        <v>517497.75</v>
      </c>
      <c r="T64" s="2">
        <f t="shared" si="14"/>
        <v>993187.7896270752</v>
      </c>
      <c r="U64" s="2">
        <f t="shared" si="15"/>
        <v>496.59</v>
      </c>
      <c r="V64" s="2">
        <f t="shared" si="16"/>
        <v>41807.710372924805</v>
      </c>
      <c r="W64" s="2">
        <f t="shared" si="17"/>
        <v>41311.120372924808</v>
      </c>
      <c r="X64" s="2">
        <f t="shared" si="18"/>
        <v>41906055.181958288</v>
      </c>
      <c r="Y64" s="2">
        <f t="shared" si="19"/>
        <v>95138.01</v>
      </c>
      <c r="Z64" s="2">
        <f t="shared" si="20"/>
        <v>43.42</v>
      </c>
      <c r="AA64" s="2">
        <f t="shared" si="22"/>
        <v>42874112.064123526</v>
      </c>
      <c r="AB64" s="2">
        <f t="shared" si="21"/>
        <v>-968056.88216523826</v>
      </c>
    </row>
    <row r="65" spans="1:28">
      <c r="A65" s="2">
        <v>62</v>
      </c>
      <c r="B65" s="2" t="s">
        <v>360</v>
      </c>
      <c r="C65" s="2" t="s">
        <v>1764</v>
      </c>
      <c r="D65" s="3" t="s">
        <v>37</v>
      </c>
      <c r="E65" s="5" t="s">
        <v>134</v>
      </c>
      <c r="F65" s="2" t="s">
        <v>135</v>
      </c>
      <c r="G65" s="2" t="s">
        <v>77</v>
      </c>
      <c r="H65" s="2" t="s">
        <v>361</v>
      </c>
      <c r="I65" s="2" t="s">
        <v>1504</v>
      </c>
      <c r="J65" s="2" t="s">
        <v>219</v>
      </c>
      <c r="K65" s="2">
        <f t="shared" si="10"/>
        <v>41906055.181958288</v>
      </c>
      <c r="L65" s="2" t="s">
        <v>1848</v>
      </c>
      <c r="M65" s="2" t="s">
        <v>1783</v>
      </c>
      <c r="N65" s="2" t="s">
        <v>1815</v>
      </c>
      <c r="O65" s="2">
        <v>2823</v>
      </c>
      <c r="P65" s="2">
        <v>148.56329345703119</v>
      </c>
      <c r="Q65" s="2">
        <v>144.16615295410159</v>
      </c>
      <c r="R65" s="2">
        <f t="shared" si="12"/>
        <v>419394.17742919904</v>
      </c>
      <c r="S65" s="2">
        <f t="shared" si="13"/>
        <v>406981.04978942877</v>
      </c>
      <c r="T65" s="2">
        <f t="shared" si="14"/>
        <v>826375.22721862781</v>
      </c>
      <c r="U65" s="2">
        <f t="shared" si="15"/>
        <v>413.19</v>
      </c>
      <c r="V65" s="2">
        <f t="shared" si="16"/>
        <v>-12413.127639770275</v>
      </c>
      <c r="W65" s="2">
        <f t="shared" si="17"/>
        <v>-12826.317639770275</v>
      </c>
      <c r="X65" s="2">
        <f t="shared" si="18"/>
        <v>41893228.86431852</v>
      </c>
      <c r="Y65" s="2">
        <f t="shared" si="19"/>
        <v>83878.84</v>
      </c>
      <c r="Z65" s="2">
        <f t="shared" si="20"/>
        <v>-15.29</v>
      </c>
      <c r="AA65" s="2">
        <f t="shared" si="22"/>
        <v>42874112.064123526</v>
      </c>
      <c r="AB65" s="2">
        <f t="shared" si="21"/>
        <v>-980883.19980500638</v>
      </c>
    </row>
    <row r="66" spans="1:28">
      <c r="A66" s="2">
        <v>63</v>
      </c>
      <c r="B66" s="2" t="s">
        <v>364</v>
      </c>
      <c r="C66" s="2" t="s">
        <v>1764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713</v>
      </c>
      <c r="J66" s="2" t="s">
        <v>1593</v>
      </c>
      <c r="K66" s="2">
        <f t="shared" si="10"/>
        <v>41893228.86431852</v>
      </c>
      <c r="L66" s="2" t="s">
        <v>1525</v>
      </c>
      <c r="M66" s="2" t="s">
        <v>1537</v>
      </c>
      <c r="N66" s="2" t="s">
        <v>1607</v>
      </c>
      <c r="O66" s="2">
        <v>100</v>
      </c>
      <c r="P66" s="2">
        <v>20767</v>
      </c>
      <c r="Q66" s="2">
        <v>20173</v>
      </c>
      <c r="R66" s="2">
        <f t="shared" si="12"/>
        <v>2076700</v>
      </c>
      <c r="S66" s="2">
        <f t="shared" si="13"/>
        <v>2017300</v>
      </c>
      <c r="T66" s="2">
        <f t="shared" si="14"/>
        <v>4094000</v>
      </c>
      <c r="U66" s="2">
        <f t="shared" si="15"/>
        <v>2047</v>
      </c>
      <c r="V66" s="2">
        <f t="shared" si="16"/>
        <v>-59400</v>
      </c>
      <c r="W66" s="2">
        <f t="shared" si="17"/>
        <v>-61447</v>
      </c>
      <c r="X66" s="2">
        <f t="shared" si="18"/>
        <v>41831781.86431852</v>
      </c>
      <c r="Y66" s="2">
        <f t="shared" si="19"/>
        <v>415340</v>
      </c>
      <c r="Z66" s="2">
        <f t="shared" si="20"/>
        <v>-14.79</v>
      </c>
      <c r="AA66" s="2">
        <f t="shared" si="22"/>
        <v>42874112.064123526</v>
      </c>
      <c r="AB66" s="2">
        <f t="shared" si="21"/>
        <v>-1042330.1998050064</v>
      </c>
    </row>
    <row r="67" spans="1:28">
      <c r="A67" s="2">
        <v>64</v>
      </c>
      <c r="B67" s="2" t="s">
        <v>369</v>
      </c>
      <c r="C67" s="2" t="s">
        <v>1764</v>
      </c>
      <c r="D67" s="3" t="s">
        <v>37</v>
      </c>
      <c r="E67" s="5" t="s">
        <v>134</v>
      </c>
      <c r="F67" s="2" t="s">
        <v>135</v>
      </c>
      <c r="G67" s="2" t="s">
        <v>103</v>
      </c>
      <c r="H67" s="2" t="s">
        <v>370</v>
      </c>
      <c r="I67" s="2" t="s">
        <v>1849</v>
      </c>
      <c r="J67" s="2" t="s">
        <v>1462</v>
      </c>
      <c r="K67" s="2">
        <f t="shared" si="10"/>
        <v>41831781.86431852</v>
      </c>
      <c r="L67" s="2" t="s">
        <v>1784</v>
      </c>
      <c r="M67" s="2" t="s">
        <v>1809</v>
      </c>
      <c r="N67" s="2" t="s">
        <v>1779</v>
      </c>
      <c r="O67" s="2">
        <v>1053</v>
      </c>
      <c r="P67" s="2">
        <v>430.04815673828131</v>
      </c>
      <c r="Q67" s="2">
        <v>433.33401489257812</v>
      </c>
      <c r="R67" s="2">
        <f t="shared" si="12"/>
        <v>452840.70904541021</v>
      </c>
      <c r="S67" s="2">
        <f t="shared" si="13"/>
        <v>456300.71768188477</v>
      </c>
      <c r="T67" s="2">
        <f t="shared" si="14"/>
        <v>909141.42672729492</v>
      </c>
      <c r="U67" s="2">
        <f t="shared" si="15"/>
        <v>454.57</v>
      </c>
      <c r="V67" s="2">
        <f t="shared" si="16"/>
        <v>3460.0086364745512</v>
      </c>
      <c r="W67" s="2">
        <f t="shared" si="17"/>
        <v>3005.438636474551</v>
      </c>
      <c r="X67" s="2">
        <f t="shared" si="18"/>
        <v>41834787.302954994</v>
      </c>
      <c r="Y67" s="2">
        <f t="shared" si="19"/>
        <v>90568.14</v>
      </c>
      <c r="Z67" s="2">
        <f t="shared" si="20"/>
        <v>3.32</v>
      </c>
      <c r="AA67" s="2">
        <f t="shared" si="22"/>
        <v>42874112.064123526</v>
      </c>
      <c r="AB67" s="2">
        <f t="shared" si="21"/>
        <v>-1039324.7611685321</v>
      </c>
    </row>
    <row r="68" spans="1:28">
      <c r="A68" s="2">
        <v>65</v>
      </c>
      <c r="B68" s="2" t="s">
        <v>372</v>
      </c>
      <c r="C68" s="2" t="s">
        <v>1764</v>
      </c>
      <c r="D68" s="3" t="s">
        <v>37</v>
      </c>
      <c r="E68" s="5" t="s">
        <v>134</v>
      </c>
      <c r="F68" s="2" t="s">
        <v>135</v>
      </c>
      <c r="G68" s="2" t="s">
        <v>177</v>
      </c>
      <c r="H68" s="2" t="s">
        <v>373</v>
      </c>
      <c r="I68" s="2" t="s">
        <v>1850</v>
      </c>
      <c r="J68" s="2" t="s">
        <v>1851</v>
      </c>
      <c r="K68" s="2">
        <f t="shared" si="10"/>
        <v>41834787.302954994</v>
      </c>
      <c r="L68" s="2" t="s">
        <v>1555</v>
      </c>
      <c r="M68" s="2" t="s">
        <v>1539</v>
      </c>
      <c r="N68" s="2" t="s">
        <v>1558</v>
      </c>
      <c r="O68" s="2">
        <v>5759</v>
      </c>
      <c r="P68" s="2">
        <v>185.8628845214844</v>
      </c>
      <c r="Q68" s="2">
        <v>186.2344970703125</v>
      </c>
      <c r="R68" s="2">
        <f t="shared" ref="R68:R86" si="23">O68*P68</f>
        <v>1070384.3519592287</v>
      </c>
      <c r="S68" s="2">
        <f t="shared" ref="S68:S86" si="24">O68*Q68</f>
        <v>1072524.4686279297</v>
      </c>
      <c r="T68" s="2">
        <f t="shared" ref="T68:T99" si="25">R68+S68</f>
        <v>2142908.8205871582</v>
      </c>
      <c r="U68" s="2">
        <f t="shared" ref="U68:U99" si="26">ROUND(T68*0.0005, 2)</f>
        <v>1071.45</v>
      </c>
      <c r="V68" s="2">
        <f t="shared" ref="V68:V86" si="27">S68-R68</f>
        <v>2140.116668700939</v>
      </c>
      <c r="W68" s="2">
        <f t="shared" ref="W68:W99" si="28">V68-U68</f>
        <v>1068.666668700939</v>
      </c>
      <c r="X68" s="2">
        <f t="shared" ref="X68:X99" si="29">K68+W68</f>
        <v>41835855.969623692</v>
      </c>
      <c r="Y68" s="2">
        <f t="shared" ref="Y68:Y86" si="30">ROUND(0.2*R68, 2)</f>
        <v>214076.87</v>
      </c>
      <c r="Z68" s="2">
        <f t="shared" ref="Z68:Z99" si="31">ROUND((W68/Y68)*100, 2)</f>
        <v>0.5</v>
      </c>
      <c r="AA68" s="2">
        <f t="shared" si="22"/>
        <v>42874112.064123526</v>
      </c>
      <c r="AB68" s="2">
        <f t="shared" ref="AB68:AB99" si="32">X68-AA68</f>
        <v>-1038256.0944998339</v>
      </c>
    </row>
    <row r="69" spans="1:28">
      <c r="A69" s="2">
        <v>66</v>
      </c>
      <c r="B69" s="2" t="s">
        <v>376</v>
      </c>
      <c r="C69" s="2" t="s">
        <v>1764</v>
      </c>
      <c r="D69" s="3" t="s">
        <v>37</v>
      </c>
      <c r="E69" s="5" t="s">
        <v>134</v>
      </c>
      <c r="F69" s="2" t="s">
        <v>135</v>
      </c>
      <c r="G69" s="2" t="s">
        <v>177</v>
      </c>
      <c r="H69" s="2" t="s">
        <v>377</v>
      </c>
      <c r="I69" s="2" t="s">
        <v>1598</v>
      </c>
      <c r="J69" s="2" t="s">
        <v>1235</v>
      </c>
      <c r="K69" s="2">
        <f t="shared" ref="K69:K132" si="33">X68</f>
        <v>41835855.969623692</v>
      </c>
      <c r="L69" s="2" t="s">
        <v>1789</v>
      </c>
      <c r="M69" s="2" t="s">
        <v>1852</v>
      </c>
      <c r="N69" s="2" t="s">
        <v>1835</v>
      </c>
      <c r="O69" s="2">
        <v>456</v>
      </c>
      <c r="P69" s="2">
        <v>828.1795654296875</v>
      </c>
      <c r="Q69" s="2">
        <v>890.68646240234375</v>
      </c>
      <c r="R69" s="2">
        <f t="shared" si="23"/>
        <v>377649.8818359375</v>
      </c>
      <c r="S69" s="2">
        <f t="shared" si="24"/>
        <v>406153.02685546875</v>
      </c>
      <c r="T69" s="2">
        <f t="shared" si="25"/>
        <v>783802.90869140625</v>
      </c>
      <c r="U69" s="2">
        <f t="shared" si="26"/>
        <v>391.9</v>
      </c>
      <c r="V69" s="2">
        <f t="shared" si="27"/>
        <v>28503.14501953125</v>
      </c>
      <c r="W69" s="2">
        <f t="shared" si="28"/>
        <v>28111.245019531249</v>
      </c>
      <c r="X69" s="2">
        <f t="shared" si="29"/>
        <v>41863967.214643225</v>
      </c>
      <c r="Y69" s="2">
        <f t="shared" si="30"/>
        <v>75529.98</v>
      </c>
      <c r="Z69" s="2">
        <f t="shared" si="31"/>
        <v>37.22</v>
      </c>
      <c r="AA69" s="2">
        <f t="shared" ref="AA69:AA86" si="34">MAX(AA68, X69)</f>
        <v>42874112.064123526</v>
      </c>
      <c r="AB69" s="2">
        <f t="shared" si="32"/>
        <v>-1010144.8494803011</v>
      </c>
    </row>
    <row r="70" spans="1:28">
      <c r="A70" s="2">
        <v>67</v>
      </c>
      <c r="B70" s="2" t="s">
        <v>381</v>
      </c>
      <c r="C70" s="2" t="s">
        <v>1764</v>
      </c>
      <c r="D70" s="4" t="s">
        <v>61</v>
      </c>
      <c r="E70" s="5" t="s">
        <v>134</v>
      </c>
      <c r="F70" s="2" t="s">
        <v>135</v>
      </c>
      <c r="G70" s="2" t="s">
        <v>177</v>
      </c>
      <c r="H70" s="2" t="s">
        <v>382</v>
      </c>
      <c r="I70" s="2" t="s">
        <v>1853</v>
      </c>
      <c r="J70" s="2" t="s">
        <v>1077</v>
      </c>
      <c r="K70" s="2">
        <f t="shared" si="33"/>
        <v>41863967.214643225</v>
      </c>
      <c r="L70" s="2" t="s">
        <v>1720</v>
      </c>
      <c r="M70" s="2" t="s">
        <v>1779</v>
      </c>
      <c r="N70" s="2" t="s">
        <v>1808</v>
      </c>
      <c r="O70" s="2">
        <v>9623</v>
      </c>
      <c r="P70" s="2">
        <v>90.800003051757798</v>
      </c>
      <c r="Q70" s="2">
        <v>78.800003051757813</v>
      </c>
      <c r="R70" s="2">
        <f t="shared" si="23"/>
        <v>873768.42936706531</v>
      </c>
      <c r="S70" s="2">
        <f t="shared" si="24"/>
        <v>758292.42936706543</v>
      </c>
      <c r="T70" s="2">
        <f t="shared" si="25"/>
        <v>1632060.8587341309</v>
      </c>
      <c r="U70" s="2">
        <f t="shared" si="26"/>
        <v>816.03</v>
      </c>
      <c r="V70" s="2">
        <f t="shared" si="27"/>
        <v>-115475.99999999988</v>
      </c>
      <c r="W70" s="2">
        <f t="shared" si="28"/>
        <v>-116292.02999999988</v>
      </c>
      <c r="X70" s="2">
        <f t="shared" si="29"/>
        <v>41747675.184643224</v>
      </c>
      <c r="Y70" s="2">
        <f t="shared" si="30"/>
        <v>174753.69</v>
      </c>
      <c r="Z70" s="2">
        <f t="shared" si="31"/>
        <v>-66.55</v>
      </c>
      <c r="AA70" s="2">
        <f t="shared" si="34"/>
        <v>42874112.064123526</v>
      </c>
      <c r="AB70" s="2">
        <f t="shared" si="32"/>
        <v>-1126436.8794803023</v>
      </c>
    </row>
    <row r="71" spans="1:28">
      <c r="A71" s="2">
        <v>68</v>
      </c>
      <c r="B71" s="2" t="s">
        <v>385</v>
      </c>
      <c r="C71" s="2" t="s">
        <v>1764</v>
      </c>
      <c r="D71" s="3" t="s">
        <v>37</v>
      </c>
      <c r="E71" s="5" t="s">
        <v>134</v>
      </c>
      <c r="F71" s="2" t="s">
        <v>135</v>
      </c>
      <c r="G71" s="2" t="s">
        <v>54</v>
      </c>
      <c r="H71" s="2" t="s">
        <v>386</v>
      </c>
      <c r="I71" s="2" t="s">
        <v>1854</v>
      </c>
      <c r="J71" s="2" t="s">
        <v>1855</v>
      </c>
      <c r="K71" s="2">
        <f t="shared" si="33"/>
        <v>41747675.184643224</v>
      </c>
      <c r="L71" s="2" t="s">
        <v>1799</v>
      </c>
      <c r="M71" s="2" t="s">
        <v>1802</v>
      </c>
      <c r="N71" s="2" t="s">
        <v>1585</v>
      </c>
      <c r="O71" s="2">
        <v>469</v>
      </c>
      <c r="P71" s="2">
        <v>710.5723876953125</v>
      </c>
      <c r="Q71" s="2">
        <v>825.4456787109375</v>
      </c>
      <c r="R71" s="2">
        <f t="shared" si="23"/>
        <v>333258.44982910156</v>
      </c>
      <c r="S71" s="2">
        <f t="shared" si="24"/>
        <v>387134.02331542969</v>
      </c>
      <c r="T71" s="2">
        <f t="shared" si="25"/>
        <v>720392.47314453125</v>
      </c>
      <c r="U71" s="2">
        <f t="shared" si="26"/>
        <v>360.2</v>
      </c>
      <c r="V71" s="2">
        <f t="shared" si="27"/>
        <v>53875.573486328125</v>
      </c>
      <c r="W71" s="2">
        <f t="shared" si="28"/>
        <v>53515.373486328128</v>
      </c>
      <c r="X71" s="2">
        <f t="shared" si="29"/>
        <v>41801190.558129549</v>
      </c>
      <c r="Y71" s="2">
        <f t="shared" si="30"/>
        <v>66651.69</v>
      </c>
      <c r="Z71" s="2">
        <f t="shared" si="31"/>
        <v>80.290000000000006</v>
      </c>
      <c r="AA71" s="2">
        <f t="shared" si="34"/>
        <v>42874112.064123526</v>
      </c>
      <c r="AB71" s="2">
        <f t="shared" si="32"/>
        <v>-1072921.5059939772</v>
      </c>
    </row>
    <row r="72" spans="1:28">
      <c r="A72" s="2">
        <v>69</v>
      </c>
      <c r="B72" s="2" t="s">
        <v>390</v>
      </c>
      <c r="C72" s="2" t="s">
        <v>1764</v>
      </c>
      <c r="D72" s="3" t="s">
        <v>37</v>
      </c>
      <c r="E72" s="5" t="s">
        <v>134</v>
      </c>
      <c r="F72" s="2" t="s">
        <v>135</v>
      </c>
      <c r="G72" s="2" t="s">
        <v>143</v>
      </c>
      <c r="H72" s="2" t="s">
        <v>243</v>
      </c>
      <c r="I72" s="2" t="s">
        <v>1856</v>
      </c>
      <c r="J72" s="2" t="s">
        <v>1198</v>
      </c>
      <c r="K72" s="2">
        <f t="shared" si="33"/>
        <v>41801190.558129549</v>
      </c>
      <c r="L72" s="2" t="s">
        <v>1799</v>
      </c>
      <c r="M72" s="2" t="s">
        <v>1808</v>
      </c>
      <c r="N72" s="2" t="s">
        <v>1784</v>
      </c>
      <c r="O72" s="2">
        <v>932</v>
      </c>
      <c r="P72" s="2">
        <v>1085.057861328125</v>
      </c>
      <c r="Q72" s="2">
        <v>1204.227905273438</v>
      </c>
      <c r="R72" s="2">
        <f t="shared" si="23"/>
        <v>1011273.9267578125</v>
      </c>
      <c r="S72" s="2">
        <f t="shared" si="24"/>
        <v>1122340.4077148442</v>
      </c>
      <c r="T72" s="2">
        <f t="shared" si="25"/>
        <v>2133614.3344726567</v>
      </c>
      <c r="U72" s="2">
        <f t="shared" si="26"/>
        <v>1066.81</v>
      </c>
      <c r="V72" s="2">
        <f t="shared" si="27"/>
        <v>111066.48095703172</v>
      </c>
      <c r="W72" s="2">
        <f t="shared" si="28"/>
        <v>109999.67095703172</v>
      </c>
      <c r="X72" s="2">
        <f t="shared" si="29"/>
        <v>41911190.229086578</v>
      </c>
      <c r="Y72" s="2">
        <f t="shared" si="30"/>
        <v>202254.79</v>
      </c>
      <c r="Z72" s="2">
        <f t="shared" si="31"/>
        <v>54.39</v>
      </c>
      <c r="AA72" s="2">
        <f t="shared" si="34"/>
        <v>42874112.064123526</v>
      </c>
      <c r="AB72" s="2">
        <f t="shared" si="32"/>
        <v>-962921.83503694832</v>
      </c>
    </row>
    <row r="73" spans="1:28">
      <c r="A73" s="2">
        <v>70</v>
      </c>
      <c r="B73" s="2" t="s">
        <v>393</v>
      </c>
      <c r="C73" s="2" t="s">
        <v>1764</v>
      </c>
      <c r="D73" s="4" t="s">
        <v>61</v>
      </c>
      <c r="E73" s="5" t="s">
        <v>134</v>
      </c>
      <c r="F73" s="2" t="s">
        <v>135</v>
      </c>
      <c r="G73" s="2" t="s">
        <v>231</v>
      </c>
      <c r="H73" s="2" t="s">
        <v>394</v>
      </c>
      <c r="I73" s="2" t="s">
        <v>626</v>
      </c>
      <c r="J73" s="2" t="s">
        <v>1133</v>
      </c>
      <c r="K73" s="2">
        <f t="shared" si="33"/>
        <v>41911190.229086578</v>
      </c>
      <c r="L73" s="2" t="s">
        <v>1586</v>
      </c>
      <c r="M73" s="2" t="s">
        <v>1779</v>
      </c>
      <c r="N73" s="2" t="s">
        <v>1780</v>
      </c>
      <c r="O73" s="2">
        <v>473</v>
      </c>
      <c r="P73" s="2">
        <v>2283.56201171875</v>
      </c>
      <c r="Q73" s="2">
        <v>2315.70654296875</v>
      </c>
      <c r="R73" s="2">
        <f t="shared" si="23"/>
        <v>1080124.8315429688</v>
      </c>
      <c r="S73" s="2">
        <f t="shared" si="24"/>
        <v>1095329.1948242188</v>
      </c>
      <c r="T73" s="2">
        <f t="shared" si="25"/>
        <v>2175454.0263671875</v>
      </c>
      <c r="U73" s="2">
        <f t="shared" si="26"/>
        <v>1087.73</v>
      </c>
      <c r="V73" s="2">
        <f t="shared" si="27"/>
        <v>15204.36328125</v>
      </c>
      <c r="W73" s="2">
        <f t="shared" si="28"/>
        <v>14116.63328125</v>
      </c>
      <c r="X73" s="2">
        <f t="shared" si="29"/>
        <v>41925306.862367831</v>
      </c>
      <c r="Y73" s="2">
        <f t="shared" si="30"/>
        <v>216024.97</v>
      </c>
      <c r="Z73" s="2">
        <f t="shared" si="31"/>
        <v>6.53</v>
      </c>
      <c r="AA73" s="2">
        <f t="shared" si="34"/>
        <v>42874112.064123526</v>
      </c>
      <c r="AB73" s="2">
        <f t="shared" si="32"/>
        <v>-948805.20175569504</v>
      </c>
    </row>
    <row r="74" spans="1:28">
      <c r="A74" s="2">
        <v>71</v>
      </c>
      <c r="B74" s="2" t="s">
        <v>397</v>
      </c>
      <c r="C74" s="2" t="s">
        <v>1764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1605</v>
      </c>
      <c r="J74" s="2" t="s">
        <v>1857</v>
      </c>
      <c r="K74" s="2">
        <f t="shared" si="33"/>
        <v>41925306.862367831</v>
      </c>
      <c r="L74" s="2" t="s">
        <v>1254</v>
      </c>
      <c r="M74" s="2" t="s">
        <v>1379</v>
      </c>
      <c r="N74" s="2" t="s">
        <v>1278</v>
      </c>
      <c r="O74" s="2">
        <v>250</v>
      </c>
      <c r="P74" s="2">
        <v>2590.9248046875</v>
      </c>
      <c r="Q74" s="2">
        <v>2592.81787109375</v>
      </c>
      <c r="R74" s="2">
        <f t="shared" si="23"/>
        <v>647731.201171875</v>
      </c>
      <c r="S74" s="2">
        <f t="shared" si="24"/>
        <v>648204.4677734375</v>
      </c>
      <c r="T74" s="2">
        <f t="shared" si="25"/>
        <v>1295935.6689453125</v>
      </c>
      <c r="U74" s="2">
        <f t="shared" si="26"/>
        <v>647.97</v>
      </c>
      <c r="V74" s="2">
        <f t="shared" si="27"/>
        <v>473.2666015625</v>
      </c>
      <c r="W74" s="2">
        <f t="shared" si="28"/>
        <v>-174.70339843750003</v>
      </c>
      <c r="X74" s="2">
        <f t="shared" si="29"/>
        <v>41925132.158969395</v>
      </c>
      <c r="Y74" s="2">
        <f t="shared" si="30"/>
        <v>129546.24000000001</v>
      </c>
      <c r="Z74" s="2">
        <f t="shared" si="31"/>
        <v>-0.13</v>
      </c>
      <c r="AA74" s="2">
        <f t="shared" si="34"/>
        <v>42874112.064123526</v>
      </c>
      <c r="AB74" s="2">
        <f t="shared" si="32"/>
        <v>-948979.90515413135</v>
      </c>
    </row>
    <row r="75" spans="1:28">
      <c r="A75" s="2">
        <v>72</v>
      </c>
      <c r="B75" s="2" t="s">
        <v>403</v>
      </c>
      <c r="C75" s="2" t="s">
        <v>1764</v>
      </c>
      <c r="D75" s="3" t="s">
        <v>37</v>
      </c>
      <c r="E75" s="5" t="s">
        <v>134</v>
      </c>
      <c r="F75" s="2" t="s">
        <v>135</v>
      </c>
      <c r="G75" s="2" t="s">
        <v>54</v>
      </c>
      <c r="H75" s="2" t="s">
        <v>310</v>
      </c>
      <c r="I75" s="2" t="s">
        <v>1858</v>
      </c>
      <c r="J75" s="2" t="s">
        <v>1859</v>
      </c>
      <c r="K75" s="2">
        <f t="shared" si="33"/>
        <v>41925132.158969395</v>
      </c>
      <c r="L75" s="2" t="s">
        <v>1784</v>
      </c>
      <c r="M75" s="2" t="s">
        <v>1722</v>
      </c>
      <c r="N75" s="2" t="s">
        <v>1778</v>
      </c>
      <c r="O75" s="2">
        <v>237</v>
      </c>
      <c r="P75" s="2">
        <v>679.84259033203125</v>
      </c>
      <c r="Q75" s="2">
        <v>822.01226806640625</v>
      </c>
      <c r="R75" s="2">
        <f t="shared" si="23"/>
        <v>161122.69390869141</v>
      </c>
      <c r="S75" s="2">
        <f t="shared" si="24"/>
        <v>194816.90753173828</v>
      </c>
      <c r="T75" s="2">
        <f t="shared" si="25"/>
        <v>355939.60144042969</v>
      </c>
      <c r="U75" s="2">
        <f t="shared" si="26"/>
        <v>177.97</v>
      </c>
      <c r="V75" s="2">
        <f t="shared" si="27"/>
        <v>33694.213623046875</v>
      </c>
      <c r="W75" s="2">
        <f t="shared" si="28"/>
        <v>33516.243623046874</v>
      </c>
      <c r="X75" s="2">
        <f t="shared" si="29"/>
        <v>41958648.402592443</v>
      </c>
      <c r="Y75" s="2">
        <f t="shared" si="30"/>
        <v>32224.54</v>
      </c>
      <c r="Z75" s="2">
        <f t="shared" si="31"/>
        <v>104.01</v>
      </c>
      <c r="AA75" s="2">
        <f t="shared" si="34"/>
        <v>42874112.064123526</v>
      </c>
      <c r="AB75" s="2">
        <f t="shared" si="32"/>
        <v>-915463.66153108329</v>
      </c>
    </row>
    <row r="76" spans="1:28">
      <c r="A76" s="2">
        <v>73</v>
      </c>
      <c r="B76" s="2" t="s">
        <v>406</v>
      </c>
      <c r="C76" s="2" t="s">
        <v>1764</v>
      </c>
      <c r="D76" s="3" t="s">
        <v>37</v>
      </c>
      <c r="E76" s="5" t="s">
        <v>134</v>
      </c>
      <c r="F76" s="2" t="s">
        <v>135</v>
      </c>
      <c r="G76" s="2" t="s">
        <v>241</v>
      </c>
      <c r="H76" s="2" t="s">
        <v>407</v>
      </c>
      <c r="I76" s="2" t="s">
        <v>1860</v>
      </c>
      <c r="J76" s="2" t="s">
        <v>1196</v>
      </c>
      <c r="K76" s="2">
        <f t="shared" si="33"/>
        <v>41958648.402592443</v>
      </c>
      <c r="L76" s="2" t="s">
        <v>1780</v>
      </c>
      <c r="M76" s="2" t="s">
        <v>1861</v>
      </c>
      <c r="N76" s="2" t="s">
        <v>1789</v>
      </c>
      <c r="O76" s="2">
        <v>218</v>
      </c>
      <c r="P76" s="2">
        <v>2874.14208984375</v>
      </c>
      <c r="Q76" s="2">
        <v>2991.062255859375</v>
      </c>
      <c r="R76" s="2">
        <f t="shared" si="23"/>
        <v>626562.9755859375</v>
      </c>
      <c r="S76" s="2">
        <f t="shared" si="24"/>
        <v>652051.57177734375</v>
      </c>
      <c r="T76" s="2">
        <f t="shared" si="25"/>
        <v>1278614.5473632812</v>
      </c>
      <c r="U76" s="2">
        <f t="shared" si="26"/>
        <v>639.30999999999995</v>
      </c>
      <c r="V76" s="2">
        <f t="shared" si="27"/>
        <v>25488.59619140625</v>
      </c>
      <c r="W76" s="2">
        <f t="shared" si="28"/>
        <v>24849.286191406249</v>
      </c>
      <c r="X76" s="2">
        <f t="shared" si="29"/>
        <v>41983497.688783847</v>
      </c>
      <c r="Y76" s="2">
        <f t="shared" si="30"/>
        <v>125312.6</v>
      </c>
      <c r="Z76" s="2">
        <f t="shared" si="31"/>
        <v>19.829999999999998</v>
      </c>
      <c r="AA76" s="2">
        <f t="shared" si="34"/>
        <v>42874112.064123526</v>
      </c>
      <c r="AB76" s="2">
        <f t="shared" si="32"/>
        <v>-890614.37533967942</v>
      </c>
    </row>
    <row r="77" spans="1:28">
      <c r="A77" s="2">
        <v>74</v>
      </c>
      <c r="B77" s="2" t="s">
        <v>410</v>
      </c>
      <c r="C77" s="2" t="s">
        <v>1764</v>
      </c>
      <c r="D77" s="4" t="s">
        <v>61</v>
      </c>
      <c r="E77" s="5" t="s">
        <v>134</v>
      </c>
      <c r="F77" s="2" t="s">
        <v>135</v>
      </c>
      <c r="G77" s="2" t="s">
        <v>103</v>
      </c>
      <c r="H77" s="2" t="s">
        <v>411</v>
      </c>
      <c r="I77" s="2" t="s">
        <v>1862</v>
      </c>
      <c r="J77" s="2" t="s">
        <v>1863</v>
      </c>
      <c r="K77" s="2">
        <f t="shared" si="33"/>
        <v>41983497.688783847</v>
      </c>
      <c r="L77" s="2" t="s">
        <v>1815</v>
      </c>
      <c r="M77" s="2" t="s">
        <v>1784</v>
      </c>
      <c r="N77" s="2" t="s">
        <v>1584</v>
      </c>
      <c r="O77" s="2">
        <v>792</v>
      </c>
      <c r="P77" s="2">
        <v>1268.82666015625</v>
      </c>
      <c r="Q77" s="2">
        <v>1401.943603515625</v>
      </c>
      <c r="R77" s="2">
        <f t="shared" si="23"/>
        <v>1004910.71484375</v>
      </c>
      <c r="S77" s="2">
        <f t="shared" si="24"/>
        <v>1110339.333984375</v>
      </c>
      <c r="T77" s="2">
        <f t="shared" si="25"/>
        <v>2115250.048828125</v>
      </c>
      <c r="U77" s="2">
        <f t="shared" si="26"/>
        <v>1057.6300000000001</v>
      </c>
      <c r="V77" s="2">
        <f t="shared" si="27"/>
        <v>105428.619140625</v>
      </c>
      <c r="W77" s="2">
        <f t="shared" si="28"/>
        <v>104370.989140625</v>
      </c>
      <c r="X77" s="2">
        <f t="shared" si="29"/>
        <v>42087868.677924469</v>
      </c>
      <c r="Y77" s="2">
        <f t="shared" si="30"/>
        <v>200982.14</v>
      </c>
      <c r="Z77" s="2">
        <f t="shared" si="31"/>
        <v>51.93</v>
      </c>
      <c r="AA77" s="2">
        <f t="shared" si="34"/>
        <v>42874112.064123526</v>
      </c>
      <c r="AB77" s="2">
        <f t="shared" si="32"/>
        <v>-786243.3861990571</v>
      </c>
    </row>
    <row r="78" spans="1:28">
      <c r="A78" s="2">
        <v>75</v>
      </c>
      <c r="B78" s="2" t="s">
        <v>414</v>
      </c>
      <c r="C78" s="2" t="s">
        <v>1764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1864</v>
      </c>
      <c r="J78" s="2" t="s">
        <v>1865</v>
      </c>
      <c r="K78" s="2">
        <f t="shared" si="33"/>
        <v>42087868.677924469</v>
      </c>
      <c r="L78" s="2" t="s">
        <v>1438</v>
      </c>
      <c r="M78" s="2" t="s">
        <v>1318</v>
      </c>
      <c r="N78" s="2" t="s">
        <v>1437</v>
      </c>
      <c r="O78" s="2">
        <v>350</v>
      </c>
      <c r="P78" s="2">
        <v>1418.807983398438</v>
      </c>
      <c r="Q78" s="2">
        <v>1475.388427734375</v>
      </c>
      <c r="R78" s="2">
        <f t="shared" si="23"/>
        <v>496582.7941894533</v>
      </c>
      <c r="S78" s="2">
        <f t="shared" si="24"/>
        <v>516385.94970703125</v>
      </c>
      <c r="T78" s="2">
        <f t="shared" si="25"/>
        <v>1012968.7438964846</v>
      </c>
      <c r="U78" s="2">
        <f t="shared" si="26"/>
        <v>506.48</v>
      </c>
      <c r="V78" s="2">
        <f t="shared" si="27"/>
        <v>19803.15551757795</v>
      </c>
      <c r="W78" s="2">
        <f t="shared" si="28"/>
        <v>19296.675517577951</v>
      </c>
      <c r="X78" s="2">
        <f t="shared" si="29"/>
        <v>42107165.353442051</v>
      </c>
      <c r="Y78" s="2">
        <f t="shared" si="30"/>
        <v>99316.56</v>
      </c>
      <c r="Z78" s="2">
        <f t="shared" si="31"/>
        <v>19.43</v>
      </c>
      <c r="AA78" s="2">
        <f t="shared" si="34"/>
        <v>42874112.064123526</v>
      </c>
      <c r="AB78" s="2">
        <f t="shared" si="32"/>
        <v>-766946.7106814757</v>
      </c>
    </row>
    <row r="79" spans="1:28">
      <c r="A79" s="2">
        <v>76</v>
      </c>
      <c r="B79" s="2" t="s">
        <v>419</v>
      </c>
      <c r="C79" s="2" t="s">
        <v>1764</v>
      </c>
      <c r="D79" s="4" t="s">
        <v>61</v>
      </c>
      <c r="E79" s="5" t="s">
        <v>134</v>
      </c>
      <c r="F79" s="2" t="s">
        <v>135</v>
      </c>
      <c r="G79" s="2" t="s">
        <v>169</v>
      </c>
      <c r="H79" s="2" t="s">
        <v>420</v>
      </c>
      <c r="I79" s="2" t="s">
        <v>1866</v>
      </c>
      <c r="J79" s="2" t="s">
        <v>420</v>
      </c>
      <c r="K79" s="2">
        <f t="shared" si="33"/>
        <v>42107165.353442051</v>
      </c>
      <c r="L79" s="2" t="s">
        <v>1867</v>
      </c>
      <c r="M79" s="2" t="s">
        <v>1787</v>
      </c>
      <c r="N79" s="2" t="s">
        <v>1848</v>
      </c>
      <c r="O79" s="2">
        <v>392</v>
      </c>
      <c r="P79" s="2">
        <v>1630.330932617188</v>
      </c>
      <c r="Q79" s="2">
        <v>1559.001708984375</v>
      </c>
      <c r="R79" s="2">
        <f t="shared" si="23"/>
        <v>639089.72558593773</v>
      </c>
      <c r="S79" s="2">
        <f t="shared" si="24"/>
        <v>611128.669921875</v>
      </c>
      <c r="T79" s="2">
        <f t="shared" si="25"/>
        <v>1250218.3955078127</v>
      </c>
      <c r="U79" s="2">
        <f t="shared" si="26"/>
        <v>625.11</v>
      </c>
      <c r="V79" s="2">
        <f t="shared" si="27"/>
        <v>-27961.055664062733</v>
      </c>
      <c r="W79" s="2">
        <f t="shared" si="28"/>
        <v>-28586.165664062733</v>
      </c>
      <c r="X79" s="2">
        <f t="shared" si="29"/>
        <v>42078579.187777989</v>
      </c>
      <c r="Y79" s="2">
        <f t="shared" si="30"/>
        <v>127817.95</v>
      </c>
      <c r="Z79" s="2">
        <f t="shared" si="31"/>
        <v>-22.36</v>
      </c>
      <c r="AA79" s="2">
        <f t="shared" si="34"/>
        <v>42874112.064123526</v>
      </c>
      <c r="AB79" s="2">
        <f t="shared" si="32"/>
        <v>-795532.8763455376</v>
      </c>
    </row>
    <row r="80" spans="1:28">
      <c r="A80" s="2">
        <v>77</v>
      </c>
      <c r="B80" s="2" t="s">
        <v>423</v>
      </c>
      <c r="C80" s="2" t="s">
        <v>1764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473</v>
      </c>
      <c r="J80" s="2" t="s">
        <v>733</v>
      </c>
      <c r="K80" s="2">
        <f t="shared" si="33"/>
        <v>42078579.187777989</v>
      </c>
      <c r="L80" s="2" t="s">
        <v>1321</v>
      </c>
      <c r="M80" s="2" t="s">
        <v>1245</v>
      </c>
      <c r="N80" s="2" t="s">
        <v>1868</v>
      </c>
      <c r="O80" s="2">
        <v>550</v>
      </c>
      <c r="P80" s="2">
        <v>789.15435791015625</v>
      </c>
      <c r="Q80" s="2">
        <v>785.2962646484375</v>
      </c>
      <c r="R80" s="2">
        <f t="shared" si="23"/>
        <v>434034.89685058594</v>
      </c>
      <c r="S80" s="2">
        <f t="shared" si="24"/>
        <v>431912.94555664063</v>
      </c>
      <c r="T80" s="2">
        <f t="shared" si="25"/>
        <v>865947.84240722656</v>
      </c>
      <c r="U80" s="2">
        <f t="shared" si="26"/>
        <v>432.97</v>
      </c>
      <c r="V80" s="2">
        <f t="shared" si="27"/>
        <v>-2121.9512939453125</v>
      </c>
      <c r="W80" s="2">
        <f t="shared" si="28"/>
        <v>-2554.9212939453128</v>
      </c>
      <c r="X80" s="2">
        <f t="shared" si="29"/>
        <v>42076024.266484044</v>
      </c>
      <c r="Y80" s="2">
        <f t="shared" si="30"/>
        <v>86806.98</v>
      </c>
      <c r="Z80" s="2">
        <f t="shared" si="31"/>
        <v>-2.94</v>
      </c>
      <c r="AA80" s="2">
        <f t="shared" si="34"/>
        <v>42874112.064123526</v>
      </c>
      <c r="AB80" s="2">
        <f t="shared" si="32"/>
        <v>-798087.79763948172</v>
      </c>
    </row>
    <row r="81" spans="1:28">
      <c r="A81" s="2">
        <v>78</v>
      </c>
      <c r="B81" s="2" t="s">
        <v>428</v>
      </c>
      <c r="C81" s="2" t="s">
        <v>1764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901</v>
      </c>
      <c r="J81" s="2" t="s">
        <v>1869</v>
      </c>
      <c r="K81" s="2">
        <f t="shared" si="33"/>
        <v>42076024.266484044</v>
      </c>
      <c r="L81" s="2" t="s">
        <v>1845</v>
      </c>
      <c r="M81" s="2" t="s">
        <v>1842</v>
      </c>
      <c r="N81" s="2" t="s">
        <v>1787</v>
      </c>
      <c r="O81" s="2">
        <v>1100</v>
      </c>
      <c r="P81" s="2">
        <v>601.9249267578125</v>
      </c>
      <c r="Q81" s="2">
        <v>638.71588134765625</v>
      </c>
      <c r="R81" s="2">
        <f t="shared" si="23"/>
        <v>662117.41943359375</v>
      </c>
      <c r="S81" s="2">
        <f t="shared" si="24"/>
        <v>702587.46948242187</v>
      </c>
      <c r="T81" s="2">
        <f t="shared" si="25"/>
        <v>1364704.8889160156</v>
      </c>
      <c r="U81" s="2">
        <f t="shared" si="26"/>
        <v>682.35</v>
      </c>
      <c r="V81" s="2">
        <f t="shared" si="27"/>
        <v>40470.050048828125</v>
      </c>
      <c r="W81" s="2">
        <f t="shared" si="28"/>
        <v>39787.700048828126</v>
      </c>
      <c r="X81" s="2">
        <f t="shared" si="29"/>
        <v>42115811.966532871</v>
      </c>
      <c r="Y81" s="2">
        <f t="shared" si="30"/>
        <v>132423.48000000001</v>
      </c>
      <c r="Z81" s="2">
        <f t="shared" si="31"/>
        <v>30.05</v>
      </c>
      <c r="AA81" s="2">
        <f t="shared" si="34"/>
        <v>42874112.064123526</v>
      </c>
      <c r="AB81" s="2">
        <f t="shared" si="32"/>
        <v>-758300.09759065509</v>
      </c>
    </row>
    <row r="82" spans="1:28">
      <c r="A82" s="2">
        <v>79</v>
      </c>
      <c r="B82" s="2" t="s">
        <v>433</v>
      </c>
      <c r="C82" s="2" t="s">
        <v>1764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1243</v>
      </c>
      <c r="J82" s="2" t="s">
        <v>1850</v>
      </c>
      <c r="K82" s="2">
        <f t="shared" si="33"/>
        <v>42115811.966532871</v>
      </c>
      <c r="L82" s="2" t="s">
        <v>1278</v>
      </c>
      <c r="M82" s="2" t="s">
        <v>1334</v>
      </c>
      <c r="N82" s="2" t="s">
        <v>1312</v>
      </c>
      <c r="O82" s="2">
        <v>150</v>
      </c>
      <c r="P82" s="2">
        <v>4908.408203125</v>
      </c>
      <c r="Q82" s="2">
        <v>4981.46142578125</v>
      </c>
      <c r="R82" s="2">
        <f t="shared" si="23"/>
        <v>736261.23046875</v>
      </c>
      <c r="S82" s="2">
        <f t="shared" si="24"/>
        <v>747219.2138671875</v>
      </c>
      <c r="T82" s="2">
        <f t="shared" si="25"/>
        <v>1483480.4443359375</v>
      </c>
      <c r="U82" s="2">
        <f t="shared" si="26"/>
        <v>741.74</v>
      </c>
      <c r="V82" s="2">
        <f t="shared" si="27"/>
        <v>10957.9833984375</v>
      </c>
      <c r="W82" s="2">
        <f t="shared" si="28"/>
        <v>10216.2433984375</v>
      </c>
      <c r="X82" s="2">
        <f t="shared" si="29"/>
        <v>42126028.209931307</v>
      </c>
      <c r="Y82" s="2">
        <f t="shared" si="30"/>
        <v>147252.25</v>
      </c>
      <c r="Z82" s="2">
        <f t="shared" si="31"/>
        <v>6.94</v>
      </c>
      <c r="AA82" s="2">
        <f t="shared" si="34"/>
        <v>42874112.064123526</v>
      </c>
      <c r="AB82" s="2">
        <f t="shared" si="32"/>
        <v>-748083.85419221967</v>
      </c>
    </row>
    <row r="83" spans="1:28">
      <c r="A83" s="2">
        <v>80</v>
      </c>
      <c r="B83" s="2" t="s">
        <v>438</v>
      </c>
      <c r="C83" s="2" t="s">
        <v>1764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316</v>
      </c>
      <c r="J83" s="2" t="s">
        <v>1870</v>
      </c>
      <c r="K83" s="2">
        <f t="shared" si="33"/>
        <v>42126028.209931307</v>
      </c>
      <c r="L83" s="2" t="s">
        <v>1278</v>
      </c>
      <c r="M83" s="2" t="s">
        <v>1379</v>
      </c>
      <c r="N83" s="2" t="s">
        <v>1312</v>
      </c>
      <c r="O83" s="2">
        <v>1400</v>
      </c>
      <c r="P83" s="2">
        <v>626.2662353515625</v>
      </c>
      <c r="Q83" s="2">
        <v>615.1561279296875</v>
      </c>
      <c r="R83" s="2">
        <f t="shared" si="23"/>
        <v>876772.7294921875</v>
      </c>
      <c r="S83" s="2">
        <f t="shared" si="24"/>
        <v>861218.5791015625</v>
      </c>
      <c r="T83" s="2">
        <f t="shared" si="25"/>
        <v>1737991.30859375</v>
      </c>
      <c r="U83" s="2">
        <f t="shared" si="26"/>
        <v>869</v>
      </c>
      <c r="V83" s="2">
        <f t="shared" si="27"/>
        <v>-15554.150390625</v>
      </c>
      <c r="W83" s="2">
        <f t="shared" si="28"/>
        <v>-16423.150390625</v>
      </c>
      <c r="X83" s="2">
        <f t="shared" si="29"/>
        <v>42109605.059540682</v>
      </c>
      <c r="Y83" s="2">
        <f t="shared" si="30"/>
        <v>175354.55</v>
      </c>
      <c r="Z83" s="2">
        <f t="shared" si="31"/>
        <v>-9.3699999999999992</v>
      </c>
      <c r="AA83" s="2">
        <f t="shared" si="34"/>
        <v>42874112.064123526</v>
      </c>
      <c r="AB83" s="2">
        <f t="shared" si="32"/>
        <v>-764507.00458284467</v>
      </c>
    </row>
    <row r="84" spans="1:28">
      <c r="A84" s="2">
        <v>81</v>
      </c>
      <c r="B84" s="2" t="s">
        <v>443</v>
      </c>
      <c r="C84" s="2" t="s">
        <v>1764</v>
      </c>
      <c r="D84" s="4" t="s">
        <v>61</v>
      </c>
      <c r="E84" s="5" t="s">
        <v>134</v>
      </c>
      <c r="F84" s="2" t="s">
        <v>135</v>
      </c>
      <c r="G84" s="2" t="s">
        <v>127</v>
      </c>
      <c r="H84" s="2" t="s">
        <v>444</v>
      </c>
      <c r="I84" s="2" t="s">
        <v>79</v>
      </c>
      <c r="J84" s="2" t="s">
        <v>436</v>
      </c>
      <c r="K84" s="2">
        <f t="shared" si="33"/>
        <v>42109605.059540682</v>
      </c>
      <c r="L84" s="2" t="s">
        <v>1584</v>
      </c>
      <c r="M84" s="2" t="s">
        <v>1808</v>
      </c>
      <c r="N84" s="2" t="s">
        <v>1586</v>
      </c>
      <c r="O84" s="2">
        <v>2574</v>
      </c>
      <c r="P84" s="2">
        <v>282.86883544921881</v>
      </c>
      <c r="Q84" s="2">
        <v>274.82247924804687</v>
      </c>
      <c r="R84" s="2">
        <f t="shared" si="23"/>
        <v>728104.38244628918</v>
      </c>
      <c r="S84" s="2">
        <f t="shared" si="24"/>
        <v>707393.06158447266</v>
      </c>
      <c r="T84" s="2">
        <f t="shared" si="25"/>
        <v>1435497.4440307617</v>
      </c>
      <c r="U84" s="2">
        <f t="shared" si="26"/>
        <v>717.75</v>
      </c>
      <c r="V84" s="2">
        <f t="shared" si="27"/>
        <v>-20711.320861816523</v>
      </c>
      <c r="W84" s="2">
        <f t="shared" si="28"/>
        <v>-21429.070861816523</v>
      </c>
      <c r="X84" s="2">
        <f t="shared" si="29"/>
        <v>42088175.988678865</v>
      </c>
      <c r="Y84" s="2">
        <f t="shared" si="30"/>
        <v>145620.88</v>
      </c>
      <c r="Z84" s="2">
        <f t="shared" si="31"/>
        <v>-14.72</v>
      </c>
      <c r="AA84" s="2">
        <f t="shared" si="34"/>
        <v>42874112.064123526</v>
      </c>
      <c r="AB84" s="2">
        <f t="shared" si="32"/>
        <v>-785936.07544466108</v>
      </c>
    </row>
    <row r="85" spans="1:28">
      <c r="A85" s="2">
        <v>82</v>
      </c>
      <c r="B85" s="2" t="s">
        <v>447</v>
      </c>
      <c r="C85" s="2" t="s">
        <v>1764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630</v>
      </c>
      <c r="J85" s="2" t="s">
        <v>1871</v>
      </c>
      <c r="K85" s="2">
        <f t="shared" si="33"/>
        <v>42088175.988678865</v>
      </c>
      <c r="L85" s="2" t="s">
        <v>1437</v>
      </c>
      <c r="M85" s="2" t="s">
        <v>1272</v>
      </c>
      <c r="N85" s="2" t="s">
        <v>1267</v>
      </c>
      <c r="O85" s="2">
        <v>300</v>
      </c>
      <c r="P85" s="2">
        <v>2585.920166015625</v>
      </c>
      <c r="Q85" s="2">
        <v>2519.480224609375</v>
      </c>
      <c r="R85" s="2">
        <f t="shared" si="23"/>
        <v>775776.0498046875</v>
      </c>
      <c r="S85" s="2">
        <f t="shared" si="24"/>
        <v>755844.0673828125</v>
      </c>
      <c r="T85" s="2">
        <f t="shared" si="25"/>
        <v>1531620.1171875</v>
      </c>
      <c r="U85" s="2">
        <f t="shared" si="26"/>
        <v>765.81</v>
      </c>
      <c r="V85" s="2">
        <f t="shared" si="27"/>
        <v>-19931.982421875</v>
      </c>
      <c r="W85" s="2">
        <f t="shared" si="28"/>
        <v>-20697.792421875001</v>
      </c>
      <c r="X85" s="2">
        <f t="shared" si="29"/>
        <v>42067478.196256988</v>
      </c>
      <c r="Y85" s="2">
        <f t="shared" si="30"/>
        <v>155155.21</v>
      </c>
      <c r="Z85" s="2">
        <f t="shared" si="31"/>
        <v>-13.34</v>
      </c>
      <c r="AA85" s="2">
        <f t="shared" si="34"/>
        <v>42874112.064123526</v>
      </c>
      <c r="AB85" s="2">
        <f t="shared" si="32"/>
        <v>-806633.86786653847</v>
      </c>
    </row>
    <row r="86" spans="1:28">
      <c r="A86" s="2">
        <v>83</v>
      </c>
      <c r="B86" s="2" t="s">
        <v>451</v>
      </c>
      <c r="C86" s="2" t="s">
        <v>1764</v>
      </c>
      <c r="D86" s="4" t="s">
        <v>61</v>
      </c>
      <c r="E86" s="5" t="s">
        <v>134</v>
      </c>
      <c r="F86" s="2" t="s">
        <v>135</v>
      </c>
      <c r="G86" s="2" t="s">
        <v>54</v>
      </c>
      <c r="H86" s="2" t="s">
        <v>452</v>
      </c>
      <c r="I86" s="2" t="s">
        <v>201</v>
      </c>
      <c r="J86" s="2" t="s">
        <v>1872</v>
      </c>
      <c r="K86" s="2">
        <f t="shared" si="33"/>
        <v>42067478.196256988</v>
      </c>
      <c r="L86" s="2" t="s">
        <v>1815</v>
      </c>
      <c r="M86" s="2" t="s">
        <v>1585</v>
      </c>
      <c r="N86" s="2" t="s">
        <v>1823</v>
      </c>
      <c r="O86" s="2">
        <v>1866</v>
      </c>
      <c r="P86" s="2">
        <v>286.3555908203125</v>
      </c>
      <c r="Q86" s="2">
        <v>292.37451171875</v>
      </c>
      <c r="R86" s="2">
        <f t="shared" si="23"/>
        <v>534339.53247070313</v>
      </c>
      <c r="S86" s="2">
        <f t="shared" si="24"/>
        <v>545570.8388671875</v>
      </c>
      <c r="T86" s="2">
        <f t="shared" si="25"/>
        <v>1079910.3713378906</v>
      </c>
      <c r="U86" s="2">
        <f t="shared" si="26"/>
        <v>539.96</v>
      </c>
      <c r="V86" s="2">
        <f t="shared" si="27"/>
        <v>11231.306396484375</v>
      </c>
      <c r="W86" s="2">
        <f t="shared" si="28"/>
        <v>10691.346396484376</v>
      </c>
      <c r="X86" s="2">
        <f t="shared" si="29"/>
        <v>42078169.542653471</v>
      </c>
      <c r="Y86" s="2">
        <f t="shared" si="30"/>
        <v>106867.91</v>
      </c>
      <c r="Z86" s="2">
        <f t="shared" si="31"/>
        <v>10</v>
      </c>
      <c r="AA86" s="2">
        <f t="shared" si="34"/>
        <v>42874112.064123526</v>
      </c>
      <c r="AB86" s="2">
        <f t="shared" si="32"/>
        <v>-795942.52147005498</v>
      </c>
    </row>
    <row r="87" spans="1:28">
      <c r="A87" s="2">
        <v>84</v>
      </c>
      <c r="B87" s="2" t="s">
        <v>455</v>
      </c>
      <c r="C87" s="2" t="s">
        <v>1764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33"/>
        <v>42078169.542653471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42078169.542653471</v>
      </c>
      <c r="Y87" s="6" t="s">
        <v>1195</v>
      </c>
      <c r="Z87" s="6" t="s">
        <v>1195</v>
      </c>
      <c r="AA87" s="2">
        <f>AA86</f>
        <v>42874112.064123526</v>
      </c>
      <c r="AB87" s="2">
        <v>0</v>
      </c>
    </row>
    <row r="88" spans="1:28">
      <c r="A88" s="2">
        <v>85</v>
      </c>
      <c r="B88" s="2" t="s">
        <v>459</v>
      </c>
      <c r="C88" s="2" t="s">
        <v>1764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1332</v>
      </c>
      <c r="J88" s="2" t="s">
        <v>1873</v>
      </c>
      <c r="K88" s="2">
        <f t="shared" si="33"/>
        <v>42078169.542653471</v>
      </c>
      <c r="L88" s="2" t="s">
        <v>1343</v>
      </c>
      <c r="M88" s="2" t="s">
        <v>1292</v>
      </c>
      <c r="N88" s="2" t="s">
        <v>1006</v>
      </c>
      <c r="O88" s="2">
        <v>700</v>
      </c>
      <c r="P88" s="2">
        <v>1219.904174804688</v>
      </c>
      <c r="Q88" s="2">
        <v>1177.253295898438</v>
      </c>
      <c r="R88" s="2">
        <f t="shared" ref="R88:R101" si="35">O88*P88</f>
        <v>853932.9223632816</v>
      </c>
      <c r="S88" s="2">
        <f t="shared" ref="S88:S101" si="36">O88*Q88</f>
        <v>824077.3071289066</v>
      </c>
      <c r="T88" s="2">
        <f t="shared" ref="T88:T101" si="37">R88+S88</f>
        <v>1678010.2294921882</v>
      </c>
      <c r="U88" s="2">
        <f t="shared" ref="U88:U101" si="38">ROUND(T88*0.0005, 2)</f>
        <v>839.01</v>
      </c>
      <c r="V88" s="2">
        <f t="shared" ref="V88:V101" si="39">S88-R88</f>
        <v>-29855.615234375</v>
      </c>
      <c r="W88" s="2">
        <f t="shared" ref="W88:W101" si="40">V88-U88</f>
        <v>-30694.625234374998</v>
      </c>
      <c r="X88" s="2">
        <f t="shared" ref="X88:X101" si="41">K88+W88</f>
        <v>42047474.917419098</v>
      </c>
      <c r="Y88" s="2">
        <f t="shared" ref="Y88:Y101" si="42">ROUND(0.2*R88, 2)</f>
        <v>170786.58</v>
      </c>
      <c r="Z88" s="2">
        <f t="shared" ref="Z88:Z101" si="43">ROUND((W88/Y88)*100, 2)</f>
        <v>-17.97</v>
      </c>
      <c r="AA88" s="2">
        <f t="shared" ref="AA88:AA101" si="44">MAX(AA87, X88)</f>
        <v>42874112.064123526</v>
      </c>
      <c r="AB88" s="2">
        <f t="shared" ref="AB88:AB101" si="45">X88-AA88</f>
        <v>-826637.1467044279</v>
      </c>
    </row>
    <row r="89" spans="1:28">
      <c r="A89" s="2">
        <v>86</v>
      </c>
      <c r="B89" s="2" t="s">
        <v>463</v>
      </c>
      <c r="C89" s="2" t="s">
        <v>1764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1874</v>
      </c>
      <c r="J89" s="2" t="s">
        <v>1875</v>
      </c>
      <c r="K89" s="2">
        <f t="shared" si="33"/>
        <v>42047474.917419098</v>
      </c>
      <c r="L89" s="2" t="s">
        <v>757</v>
      </c>
      <c r="M89" s="2" t="s">
        <v>1876</v>
      </c>
      <c r="N89" s="2" t="s">
        <v>1877</v>
      </c>
      <c r="O89" s="2">
        <v>629</v>
      </c>
      <c r="P89" s="2">
        <v>2007</v>
      </c>
      <c r="Q89" s="2">
        <v>1910.6</v>
      </c>
      <c r="R89" s="2">
        <f t="shared" si="35"/>
        <v>1262403</v>
      </c>
      <c r="S89" s="2">
        <f t="shared" si="36"/>
        <v>1201767.3999999999</v>
      </c>
      <c r="T89" s="2">
        <f t="shared" si="37"/>
        <v>2464170.4</v>
      </c>
      <c r="U89" s="2">
        <f t="shared" si="38"/>
        <v>1232.0899999999999</v>
      </c>
      <c r="V89" s="2">
        <f t="shared" si="39"/>
        <v>-60635.600000000093</v>
      </c>
      <c r="W89" s="2">
        <f t="shared" si="40"/>
        <v>-61867.69000000009</v>
      </c>
      <c r="X89" s="2">
        <f t="shared" si="41"/>
        <v>41985607.227419101</v>
      </c>
      <c r="Y89" s="2">
        <f t="shared" si="42"/>
        <v>252480.6</v>
      </c>
      <c r="Z89" s="2">
        <f t="shared" si="43"/>
        <v>-24.5</v>
      </c>
      <c r="AA89" s="2">
        <f t="shared" si="44"/>
        <v>42874112.064123526</v>
      </c>
      <c r="AB89" s="2">
        <f t="shared" si="45"/>
        <v>-888504.83670442551</v>
      </c>
    </row>
    <row r="90" spans="1:28">
      <c r="A90" s="2">
        <v>87</v>
      </c>
      <c r="B90" s="2" t="s">
        <v>471</v>
      </c>
      <c r="C90" s="2" t="s">
        <v>1764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945</v>
      </c>
      <c r="J90" s="2" t="s">
        <v>1878</v>
      </c>
      <c r="K90" s="2">
        <f t="shared" si="33"/>
        <v>41985607.227419101</v>
      </c>
      <c r="L90" s="2" t="s">
        <v>1632</v>
      </c>
      <c r="M90" s="2" t="s">
        <v>1879</v>
      </c>
      <c r="N90" s="2" t="s">
        <v>1634</v>
      </c>
      <c r="O90" s="2">
        <v>1958</v>
      </c>
      <c r="P90" s="2">
        <v>649.54583740234375</v>
      </c>
      <c r="Q90" s="2">
        <v>675.95416259765625</v>
      </c>
      <c r="R90" s="2">
        <f t="shared" si="35"/>
        <v>1271810.7496337891</v>
      </c>
      <c r="S90" s="2">
        <f t="shared" si="36"/>
        <v>1323518.2503662109</v>
      </c>
      <c r="T90" s="2">
        <f t="shared" si="37"/>
        <v>2595329</v>
      </c>
      <c r="U90" s="2">
        <f t="shared" si="38"/>
        <v>1297.6600000000001</v>
      </c>
      <c r="V90" s="2">
        <f t="shared" si="39"/>
        <v>51707.500732421875</v>
      </c>
      <c r="W90" s="2">
        <f t="shared" si="40"/>
        <v>50409.840732421872</v>
      </c>
      <c r="X90" s="2">
        <f t="shared" si="41"/>
        <v>42036017.068151526</v>
      </c>
      <c r="Y90" s="2">
        <f t="shared" si="42"/>
        <v>254362.15</v>
      </c>
      <c r="Z90" s="2">
        <f t="shared" si="43"/>
        <v>19.82</v>
      </c>
      <c r="AA90" s="2">
        <f t="shared" si="44"/>
        <v>42874112.064123526</v>
      </c>
      <c r="AB90" s="2">
        <f t="shared" si="45"/>
        <v>-838094.99597200006</v>
      </c>
    </row>
    <row r="91" spans="1:28">
      <c r="A91" s="2">
        <v>88</v>
      </c>
      <c r="B91" s="2" t="s">
        <v>476</v>
      </c>
      <c r="C91" s="2" t="s">
        <v>1764</v>
      </c>
      <c r="D91" s="4" t="s">
        <v>61</v>
      </c>
      <c r="E91" s="5" t="s">
        <v>134</v>
      </c>
      <c r="F91" s="2" t="s">
        <v>135</v>
      </c>
      <c r="G91" s="2" t="s">
        <v>103</v>
      </c>
      <c r="H91" s="2" t="s">
        <v>477</v>
      </c>
      <c r="I91" s="2" t="s">
        <v>1880</v>
      </c>
      <c r="J91" s="2" t="s">
        <v>1674</v>
      </c>
      <c r="K91" s="2">
        <f t="shared" si="33"/>
        <v>42036017.068151526</v>
      </c>
      <c r="L91" s="2" t="s">
        <v>1842</v>
      </c>
      <c r="M91" s="2" t="s">
        <v>1802</v>
      </c>
      <c r="N91" s="2" t="s">
        <v>1585</v>
      </c>
      <c r="O91" s="2">
        <v>77700</v>
      </c>
      <c r="P91" s="2">
        <v>14.05000019073486</v>
      </c>
      <c r="Q91" s="2">
        <v>15.10000038146973</v>
      </c>
      <c r="R91" s="2">
        <f t="shared" si="35"/>
        <v>1091685.0148200986</v>
      </c>
      <c r="S91" s="2">
        <f t="shared" si="36"/>
        <v>1173270.029640198</v>
      </c>
      <c r="T91" s="2">
        <f t="shared" si="37"/>
        <v>2264955.0444602966</v>
      </c>
      <c r="U91" s="2">
        <f t="shared" si="38"/>
        <v>1132.48</v>
      </c>
      <c r="V91" s="2">
        <f t="shared" si="39"/>
        <v>81585.014820099343</v>
      </c>
      <c r="W91" s="2">
        <f t="shared" si="40"/>
        <v>80452.534820099347</v>
      </c>
      <c r="X91" s="2">
        <f t="shared" si="41"/>
        <v>42116469.602971628</v>
      </c>
      <c r="Y91" s="2">
        <f t="shared" si="42"/>
        <v>218337</v>
      </c>
      <c r="Z91" s="2">
        <f t="shared" si="43"/>
        <v>36.85</v>
      </c>
      <c r="AA91" s="2">
        <f t="shared" si="44"/>
        <v>42874112.064123526</v>
      </c>
      <c r="AB91" s="2">
        <f t="shared" si="45"/>
        <v>-757642.46115189791</v>
      </c>
    </row>
    <row r="92" spans="1:28">
      <c r="A92" s="2">
        <v>89</v>
      </c>
      <c r="B92" s="2" t="s">
        <v>480</v>
      </c>
      <c r="C92" s="2" t="s">
        <v>1764</v>
      </c>
      <c r="D92" s="4" t="s">
        <v>61</v>
      </c>
      <c r="E92" s="5" t="s">
        <v>134</v>
      </c>
      <c r="F92" s="2" t="s">
        <v>135</v>
      </c>
      <c r="G92" s="2" t="s">
        <v>231</v>
      </c>
      <c r="H92" s="2" t="s">
        <v>329</v>
      </c>
      <c r="I92" s="2" t="s">
        <v>563</v>
      </c>
      <c r="J92" s="2" t="s">
        <v>950</v>
      </c>
      <c r="K92" s="2">
        <f t="shared" si="33"/>
        <v>42116469.602971628</v>
      </c>
      <c r="L92" s="2" t="s">
        <v>1845</v>
      </c>
      <c r="M92" s="2" t="s">
        <v>1799</v>
      </c>
      <c r="N92" s="2" t="s">
        <v>1650</v>
      </c>
      <c r="O92" s="2">
        <v>11798</v>
      </c>
      <c r="P92" s="2">
        <v>81.53314208984375</v>
      </c>
      <c r="Q92" s="2">
        <v>83.626289367675781</v>
      </c>
      <c r="R92" s="2">
        <f t="shared" si="35"/>
        <v>961928.01037597656</v>
      </c>
      <c r="S92" s="2">
        <f t="shared" si="36"/>
        <v>986622.96195983887</v>
      </c>
      <c r="T92" s="2">
        <f t="shared" si="37"/>
        <v>1948550.9723358154</v>
      </c>
      <c r="U92" s="2">
        <f t="shared" si="38"/>
        <v>974.28</v>
      </c>
      <c r="V92" s="2">
        <f t="shared" si="39"/>
        <v>24694.951583862305</v>
      </c>
      <c r="W92" s="2">
        <f t="shared" si="40"/>
        <v>23720.671583862306</v>
      </c>
      <c r="X92" s="2">
        <f t="shared" si="41"/>
        <v>42140190.274555489</v>
      </c>
      <c r="Y92" s="2">
        <f t="shared" si="42"/>
        <v>192385.6</v>
      </c>
      <c r="Z92" s="2">
        <f t="shared" si="43"/>
        <v>12.33</v>
      </c>
      <c r="AA92" s="2">
        <f t="shared" si="44"/>
        <v>42874112.064123526</v>
      </c>
      <c r="AB92" s="2">
        <f t="shared" si="45"/>
        <v>-733921.78956803679</v>
      </c>
    </row>
    <row r="93" spans="1:28">
      <c r="A93" s="2">
        <v>90</v>
      </c>
      <c r="B93" s="2" t="s">
        <v>483</v>
      </c>
      <c r="C93" s="2" t="s">
        <v>1764</v>
      </c>
      <c r="D93" s="3" t="s">
        <v>37</v>
      </c>
      <c r="E93" s="5" t="s">
        <v>134</v>
      </c>
      <c r="F93" s="2" t="s">
        <v>135</v>
      </c>
      <c r="G93" s="2" t="s">
        <v>63</v>
      </c>
      <c r="H93" s="2" t="s">
        <v>484</v>
      </c>
      <c r="I93" s="2" t="s">
        <v>1512</v>
      </c>
      <c r="J93" s="2" t="s">
        <v>526</v>
      </c>
      <c r="K93" s="2">
        <f t="shared" si="33"/>
        <v>42140190.274555489</v>
      </c>
      <c r="L93" s="2" t="s">
        <v>1584</v>
      </c>
      <c r="M93" s="2" t="s">
        <v>1585</v>
      </c>
      <c r="N93" s="2" t="s">
        <v>1586</v>
      </c>
      <c r="O93" s="2">
        <v>7610</v>
      </c>
      <c r="P93" s="2">
        <v>128.77006530761719</v>
      </c>
      <c r="Q93" s="2">
        <v>132.20579528808591</v>
      </c>
      <c r="R93" s="2">
        <f t="shared" si="35"/>
        <v>979940.1969909668</v>
      </c>
      <c r="S93" s="2">
        <f t="shared" si="36"/>
        <v>1006086.1021423338</v>
      </c>
      <c r="T93" s="2">
        <f t="shared" si="37"/>
        <v>1986026.2991333005</v>
      </c>
      <c r="U93" s="2">
        <f t="shared" si="38"/>
        <v>993.01</v>
      </c>
      <c r="V93" s="2">
        <f t="shared" si="39"/>
        <v>26145.905151366955</v>
      </c>
      <c r="W93" s="2">
        <f t="shared" si="40"/>
        <v>25152.895151366956</v>
      </c>
      <c r="X93" s="2">
        <f t="shared" si="41"/>
        <v>42165343.169706859</v>
      </c>
      <c r="Y93" s="2">
        <f t="shared" si="42"/>
        <v>195988.04</v>
      </c>
      <c r="Z93" s="2">
        <f t="shared" si="43"/>
        <v>12.83</v>
      </c>
      <c r="AA93" s="2">
        <f t="shared" si="44"/>
        <v>42874112.064123526</v>
      </c>
      <c r="AB93" s="2">
        <f t="shared" si="45"/>
        <v>-708768.89441666752</v>
      </c>
    </row>
    <row r="94" spans="1:28">
      <c r="A94" s="2">
        <v>91</v>
      </c>
      <c r="B94" s="2" t="s">
        <v>486</v>
      </c>
      <c r="C94" s="2" t="s">
        <v>1764</v>
      </c>
      <c r="D94" s="3" t="s">
        <v>37</v>
      </c>
      <c r="E94" s="5" t="s">
        <v>134</v>
      </c>
      <c r="F94" s="2" t="s">
        <v>135</v>
      </c>
      <c r="G94" s="2" t="s">
        <v>54</v>
      </c>
      <c r="H94" s="2" t="s">
        <v>487</v>
      </c>
      <c r="I94" s="2" t="s">
        <v>1881</v>
      </c>
      <c r="J94" s="2" t="s">
        <v>504</v>
      </c>
      <c r="K94" s="2">
        <f t="shared" si="33"/>
        <v>42165343.169706859</v>
      </c>
      <c r="L94" s="2" t="s">
        <v>1720</v>
      </c>
      <c r="M94" s="2" t="s">
        <v>1801</v>
      </c>
      <c r="N94" s="2" t="s">
        <v>1802</v>
      </c>
      <c r="O94" s="2">
        <v>1334</v>
      </c>
      <c r="P94" s="2">
        <v>488.10531616210937</v>
      </c>
      <c r="Q94" s="2">
        <v>519.67578125</v>
      </c>
      <c r="R94" s="2">
        <f t="shared" si="35"/>
        <v>651132.49176025391</v>
      </c>
      <c r="S94" s="2">
        <f t="shared" si="36"/>
        <v>693247.4921875</v>
      </c>
      <c r="T94" s="2">
        <f t="shared" si="37"/>
        <v>1344379.9839477539</v>
      </c>
      <c r="U94" s="2">
        <f t="shared" si="38"/>
        <v>672.19</v>
      </c>
      <c r="V94" s="2">
        <f t="shared" si="39"/>
        <v>42115.000427246094</v>
      </c>
      <c r="W94" s="2">
        <f t="shared" si="40"/>
        <v>41442.810427246091</v>
      </c>
      <c r="X94" s="2">
        <f t="shared" si="41"/>
        <v>42206785.980134107</v>
      </c>
      <c r="Y94" s="2">
        <f t="shared" si="42"/>
        <v>130226.5</v>
      </c>
      <c r="Z94" s="2">
        <f t="shared" si="43"/>
        <v>31.82</v>
      </c>
      <c r="AA94" s="2">
        <f t="shared" si="44"/>
        <v>42874112.064123526</v>
      </c>
      <c r="AB94" s="2">
        <f t="shared" si="45"/>
        <v>-667326.08398941904</v>
      </c>
    </row>
    <row r="95" spans="1:28">
      <c r="A95" s="2">
        <v>92</v>
      </c>
      <c r="B95" s="2" t="s">
        <v>490</v>
      </c>
      <c r="C95" s="2" t="s">
        <v>1764</v>
      </c>
      <c r="D95" s="3" t="s">
        <v>37</v>
      </c>
      <c r="E95" s="5" t="s">
        <v>134</v>
      </c>
      <c r="F95" s="2" t="s">
        <v>135</v>
      </c>
      <c r="G95" s="2" t="s">
        <v>54</v>
      </c>
      <c r="H95" s="2" t="s">
        <v>491</v>
      </c>
      <c r="I95" s="2" t="s">
        <v>1882</v>
      </c>
      <c r="J95" s="2" t="s">
        <v>1883</v>
      </c>
      <c r="K95" s="2">
        <f t="shared" si="33"/>
        <v>42206785.980134107</v>
      </c>
      <c r="L95" s="2" t="s">
        <v>1842</v>
      </c>
      <c r="M95" s="2" t="s">
        <v>1784</v>
      </c>
      <c r="N95" s="2" t="s">
        <v>1584</v>
      </c>
      <c r="O95" s="2">
        <v>1208</v>
      </c>
      <c r="P95" s="2">
        <v>414.10455322265619</v>
      </c>
      <c r="Q95" s="2">
        <v>465.73342895507812</v>
      </c>
      <c r="R95" s="2">
        <f t="shared" si="35"/>
        <v>500238.30029296869</v>
      </c>
      <c r="S95" s="2">
        <f t="shared" si="36"/>
        <v>562605.98217773437</v>
      </c>
      <c r="T95" s="2">
        <f t="shared" si="37"/>
        <v>1062844.2824707031</v>
      </c>
      <c r="U95" s="2">
        <f t="shared" si="38"/>
        <v>531.41999999999996</v>
      </c>
      <c r="V95" s="2">
        <f t="shared" si="39"/>
        <v>62367.681884765683</v>
      </c>
      <c r="W95" s="2">
        <f t="shared" si="40"/>
        <v>61836.261884765685</v>
      </c>
      <c r="X95" s="2">
        <f t="shared" si="41"/>
        <v>42268622.242018871</v>
      </c>
      <c r="Y95" s="2">
        <f t="shared" si="42"/>
        <v>100047.66</v>
      </c>
      <c r="Z95" s="2">
        <f t="shared" si="43"/>
        <v>61.81</v>
      </c>
      <c r="AA95" s="2">
        <f t="shared" si="44"/>
        <v>42874112.064123526</v>
      </c>
      <c r="AB95" s="2">
        <f t="shared" si="45"/>
        <v>-605489.82210465521</v>
      </c>
    </row>
    <row r="96" spans="1:28">
      <c r="A96" s="2">
        <v>93</v>
      </c>
      <c r="B96" s="2" t="s">
        <v>493</v>
      </c>
      <c r="C96" s="2" t="s">
        <v>1764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961</v>
      </c>
      <c r="J96" s="2" t="s">
        <v>326</v>
      </c>
      <c r="K96" s="2">
        <f t="shared" si="33"/>
        <v>42268622.242018871</v>
      </c>
      <c r="L96" s="2" t="s">
        <v>1799</v>
      </c>
      <c r="M96" s="2" t="s">
        <v>1778</v>
      </c>
      <c r="N96" s="2" t="s">
        <v>1802</v>
      </c>
      <c r="O96" s="2">
        <v>196</v>
      </c>
      <c r="P96" s="2">
        <v>2906.8876953125</v>
      </c>
      <c r="Q96" s="2">
        <v>3165.800048828125</v>
      </c>
      <c r="R96" s="2">
        <f t="shared" si="35"/>
        <v>569749.98828125</v>
      </c>
      <c r="S96" s="2">
        <f t="shared" si="36"/>
        <v>620496.8095703125</v>
      </c>
      <c r="T96" s="2">
        <f t="shared" si="37"/>
        <v>1190246.7978515625</v>
      </c>
      <c r="U96" s="2">
        <f t="shared" si="38"/>
        <v>595.12</v>
      </c>
      <c r="V96" s="2">
        <f t="shared" si="39"/>
        <v>50746.8212890625</v>
      </c>
      <c r="W96" s="2">
        <f t="shared" si="40"/>
        <v>50151.701289062497</v>
      </c>
      <c r="X96" s="2">
        <f t="shared" si="41"/>
        <v>42318773.943307936</v>
      </c>
      <c r="Y96" s="2">
        <f t="shared" si="42"/>
        <v>113950</v>
      </c>
      <c r="Z96" s="2">
        <f t="shared" si="43"/>
        <v>44.01</v>
      </c>
      <c r="AA96" s="2">
        <f t="shared" si="44"/>
        <v>42874112.064123526</v>
      </c>
      <c r="AB96" s="2">
        <f t="shared" si="45"/>
        <v>-555338.12081559002</v>
      </c>
    </row>
    <row r="97" spans="1:28">
      <c r="A97" s="2">
        <v>94</v>
      </c>
      <c r="B97" s="2" t="s">
        <v>498</v>
      </c>
      <c r="C97" s="2" t="s">
        <v>1764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1508</v>
      </c>
      <c r="J97" s="2" t="s">
        <v>1849</v>
      </c>
      <c r="K97" s="2">
        <f t="shared" si="33"/>
        <v>42318773.943307936</v>
      </c>
      <c r="L97" s="2" t="s">
        <v>1244</v>
      </c>
      <c r="M97" s="2" t="s">
        <v>1268</v>
      </c>
      <c r="N97" s="2" t="s">
        <v>1245</v>
      </c>
      <c r="O97" s="2">
        <v>500</v>
      </c>
      <c r="P97" s="2">
        <v>1394.391479492188</v>
      </c>
      <c r="Q97" s="2">
        <v>1417.553955078125</v>
      </c>
      <c r="R97" s="2">
        <f t="shared" si="35"/>
        <v>697195.73974609398</v>
      </c>
      <c r="S97" s="2">
        <f t="shared" si="36"/>
        <v>708776.9775390625</v>
      </c>
      <c r="T97" s="2">
        <f t="shared" si="37"/>
        <v>1405972.7172851565</v>
      </c>
      <c r="U97" s="2">
        <f t="shared" si="38"/>
        <v>702.99</v>
      </c>
      <c r="V97" s="2">
        <f t="shared" si="39"/>
        <v>11581.237792968517</v>
      </c>
      <c r="W97" s="2">
        <f t="shared" si="40"/>
        <v>10878.247792968517</v>
      </c>
      <c r="X97" s="2">
        <f t="shared" si="41"/>
        <v>42329652.191100903</v>
      </c>
      <c r="Y97" s="2">
        <f t="shared" si="42"/>
        <v>139439.15</v>
      </c>
      <c r="Z97" s="2">
        <f t="shared" si="43"/>
        <v>7.8</v>
      </c>
      <c r="AA97" s="2">
        <f t="shared" si="44"/>
        <v>42874112.064123526</v>
      </c>
      <c r="AB97" s="2">
        <f t="shared" si="45"/>
        <v>-544459.87302262336</v>
      </c>
    </row>
    <row r="98" spans="1:28">
      <c r="A98" s="2">
        <v>95</v>
      </c>
      <c r="B98" s="2" t="s">
        <v>502</v>
      </c>
      <c r="C98" s="2" t="s">
        <v>1764</v>
      </c>
      <c r="D98" s="4" t="s">
        <v>61</v>
      </c>
      <c r="E98" s="5" t="s">
        <v>134</v>
      </c>
      <c r="F98" s="2" t="s">
        <v>135</v>
      </c>
      <c r="G98" s="2" t="s">
        <v>77</v>
      </c>
      <c r="H98" s="2" t="s">
        <v>503</v>
      </c>
      <c r="I98" s="2" t="s">
        <v>1411</v>
      </c>
      <c r="J98" s="2" t="s">
        <v>1884</v>
      </c>
      <c r="K98" s="2">
        <f t="shared" si="33"/>
        <v>42329652.191100903</v>
      </c>
      <c r="L98" s="2" t="s">
        <v>1842</v>
      </c>
      <c r="M98" s="2" t="s">
        <v>1586</v>
      </c>
      <c r="N98" s="2" t="s">
        <v>1584</v>
      </c>
      <c r="O98" s="2">
        <v>2545</v>
      </c>
      <c r="P98" s="2">
        <v>225.44999694824219</v>
      </c>
      <c r="Q98" s="2">
        <v>215.94999694824219</v>
      </c>
      <c r="R98" s="2">
        <f t="shared" si="35"/>
        <v>573770.24223327637</v>
      </c>
      <c r="S98" s="2">
        <f t="shared" si="36"/>
        <v>549592.74223327637</v>
      </c>
      <c r="T98" s="2">
        <f t="shared" si="37"/>
        <v>1123362.9844665527</v>
      </c>
      <c r="U98" s="2">
        <f t="shared" si="38"/>
        <v>561.67999999999995</v>
      </c>
      <c r="V98" s="2">
        <f t="shared" si="39"/>
        <v>-24177.5</v>
      </c>
      <c r="W98" s="2">
        <f t="shared" si="40"/>
        <v>-24739.18</v>
      </c>
      <c r="X98" s="2">
        <f t="shared" si="41"/>
        <v>42304913.011100903</v>
      </c>
      <c r="Y98" s="2">
        <f t="shared" si="42"/>
        <v>114754.05</v>
      </c>
      <c r="Z98" s="2">
        <f t="shared" si="43"/>
        <v>-21.56</v>
      </c>
      <c r="AA98" s="2">
        <f t="shared" si="44"/>
        <v>42874112.064123526</v>
      </c>
      <c r="AB98" s="2">
        <f t="shared" si="45"/>
        <v>-569199.05302262306</v>
      </c>
    </row>
    <row r="99" spans="1:28">
      <c r="A99" s="2">
        <v>96</v>
      </c>
      <c r="B99" s="2" t="s">
        <v>506</v>
      </c>
      <c r="C99" s="2" t="s">
        <v>1764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1579</v>
      </c>
      <c r="J99" s="2" t="s">
        <v>1885</v>
      </c>
      <c r="K99" s="2">
        <f t="shared" si="33"/>
        <v>42304913.011100903</v>
      </c>
      <c r="L99" s="2" t="s">
        <v>1346</v>
      </c>
      <c r="M99" s="2" t="s">
        <v>1084</v>
      </c>
      <c r="N99" s="2" t="s">
        <v>1296</v>
      </c>
      <c r="O99" s="2">
        <v>400</v>
      </c>
      <c r="P99" s="2">
        <v>1702.165161132812</v>
      </c>
      <c r="Q99" s="2">
        <v>1553.507202148438</v>
      </c>
      <c r="R99" s="2">
        <f t="shared" si="35"/>
        <v>680866.06445312477</v>
      </c>
      <c r="S99" s="2">
        <f t="shared" si="36"/>
        <v>621402.88085937523</v>
      </c>
      <c r="T99" s="2">
        <f t="shared" si="37"/>
        <v>1302268.9453125</v>
      </c>
      <c r="U99" s="2">
        <f t="shared" si="38"/>
        <v>651.13</v>
      </c>
      <c r="V99" s="2">
        <f t="shared" si="39"/>
        <v>-59463.183593749534</v>
      </c>
      <c r="W99" s="2">
        <f t="shared" si="40"/>
        <v>-60114.313593749532</v>
      </c>
      <c r="X99" s="2">
        <f t="shared" si="41"/>
        <v>42244798.69750715</v>
      </c>
      <c r="Y99" s="2">
        <f t="shared" si="42"/>
        <v>136173.21</v>
      </c>
      <c r="Z99" s="2">
        <f t="shared" si="43"/>
        <v>-44.15</v>
      </c>
      <c r="AA99" s="2">
        <f t="shared" si="44"/>
        <v>42874112.064123526</v>
      </c>
      <c r="AB99" s="2">
        <f t="shared" si="45"/>
        <v>-629313.36661637574</v>
      </c>
    </row>
    <row r="100" spans="1:28">
      <c r="A100" s="2">
        <v>97</v>
      </c>
      <c r="B100" s="2" t="s">
        <v>511</v>
      </c>
      <c r="C100" s="2" t="s">
        <v>1764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2" t="s">
        <v>512</v>
      </c>
      <c r="I100" s="2" t="s">
        <v>122</v>
      </c>
      <c r="J100" s="2" t="s">
        <v>1474</v>
      </c>
      <c r="K100" s="2">
        <f t="shared" si="33"/>
        <v>42244798.69750715</v>
      </c>
      <c r="L100" s="2" t="s">
        <v>1621</v>
      </c>
      <c r="M100" s="2" t="s">
        <v>1581</v>
      </c>
      <c r="N100" s="2" t="s">
        <v>1582</v>
      </c>
      <c r="O100" s="2">
        <v>13336</v>
      </c>
      <c r="P100" s="2">
        <v>149.92500305175781</v>
      </c>
      <c r="Q100" s="2">
        <v>151.42500305175781</v>
      </c>
      <c r="R100" s="2">
        <f t="shared" si="35"/>
        <v>1999399.8406982422</v>
      </c>
      <c r="S100" s="2">
        <f t="shared" si="36"/>
        <v>2019403.8406982422</v>
      </c>
      <c r="T100" s="2">
        <f t="shared" si="37"/>
        <v>4018803.6813964844</v>
      </c>
      <c r="U100" s="2">
        <f t="shared" si="38"/>
        <v>2009.4</v>
      </c>
      <c r="V100" s="2">
        <f t="shared" si="39"/>
        <v>20004</v>
      </c>
      <c r="W100" s="2">
        <f t="shared" si="40"/>
        <v>17994.599999999999</v>
      </c>
      <c r="X100" s="2">
        <f t="shared" si="41"/>
        <v>42262793.297507152</v>
      </c>
      <c r="Y100" s="2">
        <f t="shared" si="42"/>
        <v>399879.97</v>
      </c>
      <c r="Z100" s="2">
        <f t="shared" si="43"/>
        <v>4.5</v>
      </c>
      <c r="AA100" s="2">
        <f t="shared" si="44"/>
        <v>42874112.064123526</v>
      </c>
      <c r="AB100" s="2">
        <f t="shared" si="45"/>
        <v>-611318.76661637425</v>
      </c>
    </row>
    <row r="101" spans="1:28">
      <c r="A101" s="2">
        <v>98</v>
      </c>
      <c r="B101" s="2" t="s">
        <v>516</v>
      </c>
      <c r="C101" s="2" t="s">
        <v>1764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2" t="s">
        <v>517</v>
      </c>
      <c r="I101" s="2" t="s">
        <v>1886</v>
      </c>
      <c r="J101" s="2" t="s">
        <v>1887</v>
      </c>
      <c r="K101" s="2">
        <f t="shared" si="33"/>
        <v>42262793.297507152</v>
      </c>
      <c r="L101" s="2" t="s">
        <v>1815</v>
      </c>
      <c r="M101" s="2" t="s">
        <v>1784</v>
      </c>
      <c r="N101" s="2" t="s">
        <v>1584</v>
      </c>
      <c r="O101" s="2">
        <v>7145</v>
      </c>
      <c r="P101" s="2">
        <v>132.29301452636719</v>
      </c>
      <c r="Q101" s="2">
        <v>129.27717590332031</v>
      </c>
      <c r="R101" s="2">
        <f t="shared" si="35"/>
        <v>945233.58879089355</v>
      </c>
      <c r="S101" s="2">
        <f t="shared" si="36"/>
        <v>923685.42182922363</v>
      </c>
      <c r="T101" s="2">
        <f t="shared" si="37"/>
        <v>1868919.0106201172</v>
      </c>
      <c r="U101" s="2">
        <f t="shared" si="38"/>
        <v>934.46</v>
      </c>
      <c r="V101" s="2">
        <f t="shared" si="39"/>
        <v>-21548.166961669922</v>
      </c>
      <c r="W101" s="2">
        <f t="shared" si="40"/>
        <v>-22482.626961669921</v>
      </c>
      <c r="X101" s="2">
        <f t="shared" si="41"/>
        <v>42240310.670545481</v>
      </c>
      <c r="Y101" s="2">
        <f t="shared" si="42"/>
        <v>189046.72</v>
      </c>
      <c r="Z101" s="2">
        <f t="shared" si="43"/>
        <v>-11.89</v>
      </c>
      <c r="AA101" s="2">
        <f t="shared" si="44"/>
        <v>42874112.064123526</v>
      </c>
      <c r="AB101" s="2">
        <f t="shared" si="45"/>
        <v>-633801.39357804507</v>
      </c>
    </row>
    <row r="102" spans="1:28">
      <c r="A102" s="2">
        <v>99</v>
      </c>
      <c r="B102" s="2" t="s">
        <v>519</v>
      </c>
      <c r="C102" s="2" t="s">
        <v>1764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33"/>
        <v>42240310.670545481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42240310.670545481</v>
      </c>
      <c r="Y102" s="6" t="s">
        <v>1195</v>
      </c>
      <c r="Z102" s="6" t="s">
        <v>1195</v>
      </c>
      <c r="AA102" s="2">
        <f>AA101</f>
        <v>42874112.064123526</v>
      </c>
      <c r="AB102" s="2">
        <v>0</v>
      </c>
    </row>
    <row r="103" spans="1:28">
      <c r="A103" s="2">
        <v>100</v>
      </c>
      <c r="B103" s="2" t="s">
        <v>525</v>
      </c>
      <c r="C103" s="2" t="s">
        <v>1764</v>
      </c>
      <c r="D103" s="4" t="s">
        <v>61</v>
      </c>
      <c r="E103" s="5" t="s">
        <v>134</v>
      </c>
      <c r="F103" s="2" t="s">
        <v>135</v>
      </c>
      <c r="G103" s="2" t="s">
        <v>97</v>
      </c>
      <c r="H103" s="2" t="s">
        <v>526</v>
      </c>
      <c r="I103" s="2" t="s">
        <v>619</v>
      </c>
      <c r="J103" s="2" t="s">
        <v>1086</v>
      </c>
      <c r="K103" s="2">
        <f t="shared" si="33"/>
        <v>42240310.670545481</v>
      </c>
      <c r="L103" s="2" t="s">
        <v>959</v>
      </c>
      <c r="M103" s="2" t="s">
        <v>979</v>
      </c>
      <c r="N103" s="2" t="s">
        <v>1722</v>
      </c>
      <c r="O103" s="2">
        <v>11813</v>
      </c>
      <c r="P103" s="2">
        <v>151.30000000000001</v>
      </c>
      <c r="Q103" s="2">
        <v>152.80000000000001</v>
      </c>
      <c r="R103" s="2">
        <f t="shared" ref="R103:R131" si="46">O103*P103</f>
        <v>1787306.9000000001</v>
      </c>
      <c r="S103" s="2">
        <f t="shared" ref="S103:S131" si="47">O103*Q103</f>
        <v>1805026.4000000001</v>
      </c>
      <c r="T103" s="2">
        <f t="shared" ref="T103:T131" si="48">R103+S103</f>
        <v>3592333.3000000003</v>
      </c>
      <c r="U103" s="2">
        <f t="shared" ref="U103:U131" si="49">ROUND(T103*0.0005, 2)</f>
        <v>1796.17</v>
      </c>
      <c r="V103" s="2">
        <f t="shared" ref="V103:V131" si="50">S103-R103</f>
        <v>17719.5</v>
      </c>
      <c r="W103" s="2">
        <f t="shared" ref="W103:W131" si="51">V103-U103</f>
        <v>15923.33</v>
      </c>
      <c r="X103" s="2">
        <f t="shared" ref="X103:X131" si="52">K103+W103</f>
        <v>42256234.000545479</v>
      </c>
      <c r="Y103" s="2">
        <f t="shared" ref="Y103:Y131" si="53">ROUND(0.2*R103, 2)</f>
        <v>357461.38</v>
      </c>
      <c r="Z103" s="2">
        <f t="shared" ref="Z103:Z131" si="54">ROUND((W103/Y103)*100, 2)</f>
        <v>4.45</v>
      </c>
      <c r="AA103" s="2">
        <f t="shared" ref="AA103:AA131" si="55">MAX(AA102, X103)</f>
        <v>42874112.064123526</v>
      </c>
      <c r="AB103" s="2">
        <f t="shared" ref="AB103:AB131" si="56">X103-AA103</f>
        <v>-617878.06357804686</v>
      </c>
    </row>
    <row r="104" spans="1:28">
      <c r="A104" s="2">
        <v>101</v>
      </c>
      <c r="B104" s="2" t="s">
        <v>527</v>
      </c>
      <c r="C104" s="2" t="s">
        <v>1764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112</v>
      </c>
      <c r="J104" s="2" t="s">
        <v>911</v>
      </c>
      <c r="K104" s="2">
        <f t="shared" si="33"/>
        <v>42256234.000545479</v>
      </c>
      <c r="L104" s="2" t="s">
        <v>1267</v>
      </c>
      <c r="M104" s="2" t="s">
        <v>1254</v>
      </c>
      <c r="N104" s="2" t="s">
        <v>1268</v>
      </c>
      <c r="O104" s="2">
        <v>1600</v>
      </c>
      <c r="P104" s="2">
        <v>431.33297729492187</v>
      </c>
      <c r="Q104" s="2">
        <v>436.8355712890625</v>
      </c>
      <c r="R104" s="2">
        <f t="shared" si="46"/>
        <v>690132.763671875</v>
      </c>
      <c r="S104" s="2">
        <f t="shared" si="47"/>
        <v>698936.9140625</v>
      </c>
      <c r="T104" s="2">
        <f t="shared" si="48"/>
        <v>1389069.677734375</v>
      </c>
      <c r="U104" s="2">
        <f t="shared" si="49"/>
        <v>694.53</v>
      </c>
      <c r="V104" s="2">
        <f t="shared" si="50"/>
        <v>8804.150390625</v>
      </c>
      <c r="W104" s="2">
        <f t="shared" si="51"/>
        <v>8109.6203906250003</v>
      </c>
      <c r="X104" s="2">
        <f t="shared" si="52"/>
        <v>42264343.620936103</v>
      </c>
      <c r="Y104" s="2">
        <f t="shared" si="53"/>
        <v>138026.54999999999</v>
      </c>
      <c r="Z104" s="2">
        <f t="shared" si="54"/>
        <v>5.88</v>
      </c>
      <c r="AA104" s="2">
        <f t="shared" si="55"/>
        <v>42874112.064123526</v>
      </c>
      <c r="AB104" s="2">
        <f t="shared" si="56"/>
        <v>-609768.44318742305</v>
      </c>
    </row>
    <row r="105" spans="1:28">
      <c r="A105" s="2">
        <v>102</v>
      </c>
      <c r="B105" s="2" t="s">
        <v>530</v>
      </c>
      <c r="C105" s="2" t="s">
        <v>1764</v>
      </c>
      <c r="D105" s="3" t="s">
        <v>37</v>
      </c>
      <c r="E105" s="5" t="s">
        <v>134</v>
      </c>
      <c r="F105" s="2" t="s">
        <v>135</v>
      </c>
      <c r="G105" s="2" t="s">
        <v>77</v>
      </c>
      <c r="H105" s="2" t="s">
        <v>531</v>
      </c>
      <c r="I105" s="2" t="s">
        <v>1888</v>
      </c>
      <c r="J105" s="2" t="s">
        <v>1889</v>
      </c>
      <c r="K105" s="2">
        <f t="shared" si="33"/>
        <v>42264343.620936103</v>
      </c>
      <c r="L105" s="2" t="s">
        <v>1585</v>
      </c>
      <c r="M105" s="2" t="s">
        <v>1802</v>
      </c>
      <c r="N105" s="2" t="s">
        <v>1808</v>
      </c>
      <c r="O105" s="2">
        <v>914</v>
      </c>
      <c r="P105" s="2">
        <v>727.780029296875</v>
      </c>
      <c r="Q105" s="2">
        <v>772.84613037109375</v>
      </c>
      <c r="R105" s="2">
        <f t="shared" si="46"/>
        <v>665190.94677734375</v>
      </c>
      <c r="S105" s="2">
        <f t="shared" si="47"/>
        <v>706381.36315917969</v>
      </c>
      <c r="T105" s="2">
        <f t="shared" si="48"/>
        <v>1371572.3099365234</v>
      </c>
      <c r="U105" s="2">
        <f t="shared" si="49"/>
        <v>685.79</v>
      </c>
      <c r="V105" s="2">
        <f t="shared" si="50"/>
        <v>41190.416381835938</v>
      </c>
      <c r="W105" s="2">
        <f t="shared" si="51"/>
        <v>40504.626381835937</v>
      </c>
      <c r="X105" s="2">
        <f t="shared" si="52"/>
        <v>42304848.24731794</v>
      </c>
      <c r="Y105" s="2">
        <f t="shared" si="53"/>
        <v>133038.19</v>
      </c>
      <c r="Z105" s="2">
        <f t="shared" si="54"/>
        <v>30.45</v>
      </c>
      <c r="AA105" s="2">
        <f t="shared" si="55"/>
        <v>42874112.064123526</v>
      </c>
      <c r="AB105" s="2">
        <f t="shared" si="56"/>
        <v>-569263.81680558622</v>
      </c>
    </row>
    <row r="106" spans="1:28">
      <c r="A106" s="2">
        <v>103</v>
      </c>
      <c r="B106" s="2" t="s">
        <v>534</v>
      </c>
      <c r="C106" s="2" t="s">
        <v>1764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1890</v>
      </c>
      <c r="J106" s="2" t="s">
        <v>41</v>
      </c>
      <c r="K106" s="2">
        <f t="shared" si="33"/>
        <v>42304848.24731794</v>
      </c>
      <c r="L106" s="2" t="s">
        <v>1085</v>
      </c>
      <c r="M106" s="2" t="s">
        <v>1267</v>
      </c>
      <c r="N106" s="2" t="s">
        <v>1085</v>
      </c>
      <c r="O106" s="2">
        <v>4127</v>
      </c>
      <c r="P106" s="2">
        <v>334.37857055664062</v>
      </c>
      <c r="Q106" s="2">
        <v>354.84664916992187</v>
      </c>
      <c r="R106" s="2">
        <f t="shared" si="46"/>
        <v>1379980.3606872559</v>
      </c>
      <c r="S106" s="2">
        <f t="shared" si="47"/>
        <v>1464452.1211242676</v>
      </c>
      <c r="T106" s="2">
        <f t="shared" si="48"/>
        <v>2844432.4818115234</v>
      </c>
      <c r="U106" s="2">
        <f t="shared" si="49"/>
        <v>1422.22</v>
      </c>
      <c r="V106" s="2">
        <f t="shared" si="50"/>
        <v>84471.760437011719</v>
      </c>
      <c r="W106" s="2">
        <f t="shared" si="51"/>
        <v>83049.540437011718</v>
      </c>
      <c r="X106" s="2">
        <f t="shared" si="52"/>
        <v>42387897.787754953</v>
      </c>
      <c r="Y106" s="2">
        <f t="shared" si="53"/>
        <v>275996.07</v>
      </c>
      <c r="Z106" s="2">
        <f t="shared" si="54"/>
        <v>30.09</v>
      </c>
      <c r="AA106" s="2">
        <f t="shared" si="55"/>
        <v>42874112.064123526</v>
      </c>
      <c r="AB106" s="2">
        <f t="shared" si="56"/>
        <v>-486214.27636857331</v>
      </c>
    </row>
    <row r="107" spans="1:28">
      <c r="A107" s="2">
        <v>104</v>
      </c>
      <c r="B107" s="2" t="s">
        <v>539</v>
      </c>
      <c r="C107" s="2" t="s">
        <v>1764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2" t="s">
        <v>257</v>
      </c>
      <c r="I107" s="2" t="s">
        <v>1891</v>
      </c>
      <c r="J107" s="2" t="s">
        <v>1892</v>
      </c>
      <c r="K107" s="2">
        <f t="shared" si="33"/>
        <v>42387897.787754953</v>
      </c>
      <c r="L107" s="2" t="s">
        <v>1740</v>
      </c>
      <c r="M107" s="2" t="s">
        <v>1584</v>
      </c>
      <c r="N107" s="2" t="s">
        <v>1799</v>
      </c>
      <c r="O107" s="2">
        <v>1839</v>
      </c>
      <c r="P107" s="2">
        <v>483.63214111328131</v>
      </c>
      <c r="Q107" s="2">
        <v>468.4444580078125</v>
      </c>
      <c r="R107" s="2">
        <f t="shared" si="46"/>
        <v>889399.50750732434</v>
      </c>
      <c r="S107" s="2">
        <f t="shared" si="47"/>
        <v>861469.35827636719</v>
      </c>
      <c r="T107" s="2">
        <f t="shared" si="48"/>
        <v>1750868.8657836914</v>
      </c>
      <c r="U107" s="2">
        <f t="shared" si="49"/>
        <v>875.43</v>
      </c>
      <c r="V107" s="2">
        <f t="shared" si="50"/>
        <v>-27930.149230957148</v>
      </c>
      <c r="W107" s="2">
        <f t="shared" si="51"/>
        <v>-28805.579230957148</v>
      </c>
      <c r="X107" s="2">
        <f t="shared" si="52"/>
        <v>42359092.208523996</v>
      </c>
      <c r="Y107" s="2">
        <f t="shared" si="53"/>
        <v>177879.9</v>
      </c>
      <c r="Z107" s="2">
        <f t="shared" si="54"/>
        <v>-16.190000000000001</v>
      </c>
      <c r="AA107" s="2">
        <f t="shared" si="55"/>
        <v>42874112.064123526</v>
      </c>
      <c r="AB107" s="2">
        <f t="shared" si="56"/>
        <v>-515019.85559953004</v>
      </c>
    </row>
    <row r="108" spans="1:28">
      <c r="A108" s="2">
        <v>105</v>
      </c>
      <c r="B108" s="2" t="s">
        <v>542</v>
      </c>
      <c r="C108" s="2" t="s">
        <v>1764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1893</v>
      </c>
      <c r="J108" s="2" t="s">
        <v>1894</v>
      </c>
      <c r="K108" s="2">
        <f t="shared" si="33"/>
        <v>42359092.208523996</v>
      </c>
      <c r="L108" s="2" t="s">
        <v>1346</v>
      </c>
      <c r="M108" s="2" t="s">
        <v>1004</v>
      </c>
      <c r="N108" s="2" t="s">
        <v>1318</v>
      </c>
      <c r="O108" s="2">
        <v>675</v>
      </c>
      <c r="P108" s="2">
        <v>917.24725341796875</v>
      </c>
      <c r="Q108" s="2">
        <v>867.1705322265625</v>
      </c>
      <c r="R108" s="2">
        <f t="shared" si="46"/>
        <v>619141.89605712891</v>
      </c>
      <c r="S108" s="2">
        <f t="shared" si="47"/>
        <v>585340.10925292969</v>
      </c>
      <c r="T108" s="2">
        <f t="shared" si="48"/>
        <v>1204482.0053100586</v>
      </c>
      <c r="U108" s="2">
        <f t="shared" si="49"/>
        <v>602.24</v>
      </c>
      <c r="V108" s="2">
        <f t="shared" si="50"/>
        <v>-33801.786804199219</v>
      </c>
      <c r="W108" s="2">
        <f t="shared" si="51"/>
        <v>-34404.026804199217</v>
      </c>
      <c r="X108" s="2">
        <f t="shared" si="52"/>
        <v>42324688.181719795</v>
      </c>
      <c r="Y108" s="2">
        <f t="shared" si="53"/>
        <v>123828.38</v>
      </c>
      <c r="Z108" s="2">
        <f t="shared" si="54"/>
        <v>-27.78</v>
      </c>
      <c r="AA108" s="2">
        <f t="shared" si="55"/>
        <v>42874112.064123526</v>
      </c>
      <c r="AB108" s="2">
        <f t="shared" si="56"/>
        <v>-549423.88240373135</v>
      </c>
    </row>
    <row r="109" spans="1:28">
      <c r="A109" s="2">
        <v>106</v>
      </c>
      <c r="B109" s="2" t="s">
        <v>547</v>
      </c>
      <c r="C109" s="2" t="s">
        <v>1764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2" t="s">
        <v>548</v>
      </c>
      <c r="I109" s="2" t="s">
        <v>1895</v>
      </c>
      <c r="J109" s="2" t="s">
        <v>1896</v>
      </c>
      <c r="K109" s="2">
        <f t="shared" si="33"/>
        <v>42324688.181719795</v>
      </c>
      <c r="L109" s="2" t="s">
        <v>1799</v>
      </c>
      <c r="M109" s="2" t="s">
        <v>1780</v>
      </c>
      <c r="N109" s="2" t="s">
        <v>1784</v>
      </c>
      <c r="O109" s="2">
        <v>2273</v>
      </c>
      <c r="P109" s="2">
        <v>517.1512451171875</v>
      </c>
      <c r="Q109" s="2">
        <v>476.6712646484375</v>
      </c>
      <c r="R109" s="2">
        <f t="shared" si="46"/>
        <v>1175484.7801513672</v>
      </c>
      <c r="S109" s="2">
        <f t="shared" si="47"/>
        <v>1083473.7845458984</v>
      </c>
      <c r="T109" s="2">
        <f t="shared" si="48"/>
        <v>2258958.5646972656</v>
      </c>
      <c r="U109" s="2">
        <f t="shared" si="49"/>
        <v>1129.48</v>
      </c>
      <c r="V109" s="2">
        <f t="shared" si="50"/>
        <v>-92010.99560546875</v>
      </c>
      <c r="W109" s="2">
        <f t="shared" si="51"/>
        <v>-93140.475605468746</v>
      </c>
      <c r="X109" s="2">
        <f t="shared" si="52"/>
        <v>42231547.706114329</v>
      </c>
      <c r="Y109" s="2">
        <f t="shared" si="53"/>
        <v>235096.95999999999</v>
      </c>
      <c r="Z109" s="2">
        <f t="shared" si="54"/>
        <v>-39.619999999999997</v>
      </c>
      <c r="AA109" s="2">
        <f t="shared" si="55"/>
        <v>42874112.064123526</v>
      </c>
      <c r="AB109" s="2">
        <f t="shared" si="56"/>
        <v>-642564.35800919682</v>
      </c>
    </row>
    <row r="110" spans="1:28">
      <c r="A110" s="2">
        <v>107</v>
      </c>
      <c r="B110" s="2" t="s">
        <v>551</v>
      </c>
      <c r="C110" s="2" t="s">
        <v>1764</v>
      </c>
      <c r="D110" s="4" t="s">
        <v>61</v>
      </c>
      <c r="E110" s="5" t="s">
        <v>134</v>
      </c>
      <c r="F110" s="2" t="s">
        <v>135</v>
      </c>
      <c r="G110" s="2" t="s">
        <v>77</v>
      </c>
      <c r="H110" s="2" t="s">
        <v>145</v>
      </c>
      <c r="I110" s="2" t="s">
        <v>1056</v>
      </c>
      <c r="J110" s="2" t="s">
        <v>1137</v>
      </c>
      <c r="K110" s="2">
        <f t="shared" si="33"/>
        <v>42231547.706114329</v>
      </c>
      <c r="L110" s="2" t="s">
        <v>1586</v>
      </c>
      <c r="M110" s="2" t="s">
        <v>1808</v>
      </c>
      <c r="N110" s="2" t="s">
        <v>1784</v>
      </c>
      <c r="O110" s="2">
        <v>1575</v>
      </c>
      <c r="P110" s="2">
        <v>332.33041381835937</v>
      </c>
      <c r="Q110" s="2">
        <v>353.12283325195312</v>
      </c>
      <c r="R110" s="2">
        <f t="shared" si="46"/>
        <v>523420.40176391602</v>
      </c>
      <c r="S110" s="2">
        <f t="shared" si="47"/>
        <v>556168.46237182617</v>
      </c>
      <c r="T110" s="2">
        <f t="shared" si="48"/>
        <v>1079588.8641357422</v>
      </c>
      <c r="U110" s="2">
        <f t="shared" si="49"/>
        <v>539.79</v>
      </c>
      <c r="V110" s="2">
        <f t="shared" si="50"/>
        <v>32748.060607910156</v>
      </c>
      <c r="W110" s="2">
        <f t="shared" si="51"/>
        <v>32208.270607910155</v>
      </c>
      <c r="X110" s="2">
        <f t="shared" si="52"/>
        <v>42263755.97672224</v>
      </c>
      <c r="Y110" s="2">
        <f t="shared" si="53"/>
        <v>104684.08</v>
      </c>
      <c r="Z110" s="2">
        <f t="shared" si="54"/>
        <v>30.77</v>
      </c>
      <c r="AA110" s="2">
        <f t="shared" si="55"/>
        <v>42874112.064123526</v>
      </c>
      <c r="AB110" s="2">
        <f t="shared" si="56"/>
        <v>-610356.08740128577</v>
      </c>
    </row>
    <row r="111" spans="1:28">
      <c r="A111" s="2">
        <v>108</v>
      </c>
      <c r="B111" s="2" t="s">
        <v>554</v>
      </c>
      <c r="C111" s="2" t="s">
        <v>1764</v>
      </c>
      <c r="D111" s="3" t="s">
        <v>37</v>
      </c>
      <c r="E111" s="5" t="s">
        <v>134</v>
      </c>
      <c r="F111" s="2" t="s">
        <v>135</v>
      </c>
      <c r="G111" s="2" t="s">
        <v>54</v>
      </c>
      <c r="H111" s="2" t="s">
        <v>555</v>
      </c>
      <c r="I111" s="2" t="s">
        <v>1087</v>
      </c>
      <c r="J111" s="2" t="s">
        <v>1897</v>
      </c>
      <c r="K111" s="2">
        <f t="shared" si="33"/>
        <v>42263755.97672224</v>
      </c>
      <c r="L111" s="2" t="s">
        <v>1584</v>
      </c>
      <c r="M111" s="2" t="s">
        <v>1778</v>
      </c>
      <c r="N111" s="2" t="s">
        <v>1720</v>
      </c>
      <c r="O111" s="2">
        <v>276</v>
      </c>
      <c r="P111" s="2">
        <v>2851.14990234375</v>
      </c>
      <c r="Q111" s="2">
        <v>2883.449951171875</v>
      </c>
      <c r="R111" s="2">
        <f t="shared" si="46"/>
        <v>786917.373046875</v>
      </c>
      <c r="S111" s="2">
        <f t="shared" si="47"/>
        <v>795832.1865234375</v>
      </c>
      <c r="T111" s="2">
        <f t="shared" si="48"/>
        <v>1582749.5595703125</v>
      </c>
      <c r="U111" s="2">
        <f t="shared" si="49"/>
        <v>791.37</v>
      </c>
      <c r="V111" s="2">
        <f t="shared" si="50"/>
        <v>8914.8134765625</v>
      </c>
      <c r="W111" s="2">
        <f t="shared" si="51"/>
        <v>8123.4434765625001</v>
      </c>
      <c r="X111" s="2">
        <f t="shared" si="52"/>
        <v>42271879.420198806</v>
      </c>
      <c r="Y111" s="2">
        <f t="shared" si="53"/>
        <v>157383.47</v>
      </c>
      <c r="Z111" s="2">
        <f t="shared" si="54"/>
        <v>5.16</v>
      </c>
      <c r="AA111" s="2">
        <f t="shared" si="55"/>
        <v>42874112.064123526</v>
      </c>
      <c r="AB111" s="2">
        <f t="shared" si="56"/>
        <v>-602232.64392472059</v>
      </c>
    </row>
    <row r="112" spans="1:28">
      <c r="A112" s="2">
        <v>109</v>
      </c>
      <c r="B112" s="2" t="s">
        <v>558</v>
      </c>
      <c r="C112" s="2" t="s">
        <v>1764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2" t="s">
        <v>559</v>
      </c>
      <c r="I112" s="2" t="s">
        <v>1898</v>
      </c>
      <c r="J112" s="2" t="s">
        <v>1899</v>
      </c>
      <c r="K112" s="2">
        <f t="shared" si="33"/>
        <v>42271879.420198806</v>
      </c>
      <c r="L112" s="2" t="s">
        <v>1845</v>
      </c>
      <c r="M112" s="2" t="s">
        <v>1720</v>
      </c>
      <c r="N112" s="2" t="s">
        <v>1799</v>
      </c>
      <c r="O112" s="2">
        <v>208</v>
      </c>
      <c r="P112" s="2">
        <v>3052.094482421875</v>
      </c>
      <c r="Q112" s="2">
        <v>3138.066650390625</v>
      </c>
      <c r="R112" s="2">
        <f t="shared" si="46"/>
        <v>634835.65234375</v>
      </c>
      <c r="S112" s="2">
        <f t="shared" si="47"/>
        <v>652717.86328125</v>
      </c>
      <c r="T112" s="2">
        <f t="shared" si="48"/>
        <v>1287553.515625</v>
      </c>
      <c r="U112" s="2">
        <f t="shared" si="49"/>
        <v>643.78</v>
      </c>
      <c r="V112" s="2">
        <f t="shared" si="50"/>
        <v>17882.2109375</v>
      </c>
      <c r="W112" s="2">
        <f t="shared" si="51"/>
        <v>17238.430937500001</v>
      </c>
      <c r="X112" s="2">
        <f t="shared" si="52"/>
        <v>42289117.851136304</v>
      </c>
      <c r="Y112" s="2">
        <f t="shared" si="53"/>
        <v>126967.13</v>
      </c>
      <c r="Z112" s="2">
        <f t="shared" si="54"/>
        <v>13.58</v>
      </c>
      <c r="AA112" s="2">
        <f t="shared" si="55"/>
        <v>42874112.064123526</v>
      </c>
      <c r="AB112" s="2">
        <f t="shared" si="56"/>
        <v>-584994.21298722178</v>
      </c>
    </row>
    <row r="113" spans="1:28">
      <c r="A113" s="2">
        <v>110</v>
      </c>
      <c r="B113" s="2" t="s">
        <v>562</v>
      </c>
      <c r="C113" s="2" t="s">
        <v>1764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2" t="s">
        <v>563</v>
      </c>
      <c r="I113" s="2" t="s">
        <v>1900</v>
      </c>
      <c r="J113" s="2" t="s">
        <v>1059</v>
      </c>
      <c r="K113" s="2">
        <f t="shared" si="33"/>
        <v>42289117.851136304</v>
      </c>
      <c r="L113" s="2" t="s">
        <v>1787</v>
      </c>
      <c r="M113" s="2" t="s">
        <v>1585</v>
      </c>
      <c r="N113" s="2" t="s">
        <v>1586</v>
      </c>
      <c r="O113" s="2">
        <v>1063</v>
      </c>
      <c r="P113" s="2">
        <v>516.16070556640625</v>
      </c>
      <c r="Q113" s="2">
        <v>545.00677490234375</v>
      </c>
      <c r="R113" s="2">
        <f t="shared" si="46"/>
        <v>548678.83001708984</v>
      </c>
      <c r="S113" s="2">
        <f t="shared" si="47"/>
        <v>579342.20172119141</v>
      </c>
      <c r="T113" s="2">
        <f t="shared" si="48"/>
        <v>1128021.0317382812</v>
      </c>
      <c r="U113" s="2">
        <f t="shared" si="49"/>
        <v>564.01</v>
      </c>
      <c r="V113" s="2">
        <f t="shared" si="50"/>
        <v>30663.371704101563</v>
      </c>
      <c r="W113" s="2">
        <f t="shared" si="51"/>
        <v>30099.361704101564</v>
      </c>
      <c r="X113" s="2">
        <f t="shared" si="52"/>
        <v>42319217.212840408</v>
      </c>
      <c r="Y113" s="2">
        <f t="shared" si="53"/>
        <v>109735.77</v>
      </c>
      <c r="Z113" s="2">
        <f t="shared" si="54"/>
        <v>27.43</v>
      </c>
      <c r="AA113" s="2">
        <f t="shared" si="55"/>
        <v>42874112.064123526</v>
      </c>
      <c r="AB113" s="2">
        <f t="shared" si="56"/>
        <v>-554894.85128311813</v>
      </c>
    </row>
    <row r="114" spans="1:28">
      <c r="A114" s="2">
        <v>111</v>
      </c>
      <c r="B114" s="2" t="s">
        <v>566</v>
      </c>
      <c r="C114" s="2" t="s">
        <v>1764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1276</v>
      </c>
      <c r="J114" s="2" t="s">
        <v>484</v>
      </c>
      <c r="K114" s="2">
        <f t="shared" si="33"/>
        <v>42319217.212840408</v>
      </c>
      <c r="L114" s="2" t="s">
        <v>1343</v>
      </c>
      <c r="M114" s="2" t="s">
        <v>1267</v>
      </c>
      <c r="N114" s="2" t="s">
        <v>1457</v>
      </c>
      <c r="O114" s="2">
        <v>400</v>
      </c>
      <c r="P114" s="2">
        <v>353.37258911132812</v>
      </c>
      <c r="Q114" s="2">
        <v>360.24935913085937</v>
      </c>
      <c r="R114" s="2">
        <f t="shared" si="46"/>
        <v>141349.03564453125</v>
      </c>
      <c r="S114" s="2">
        <f t="shared" si="47"/>
        <v>144099.74365234375</v>
      </c>
      <c r="T114" s="2">
        <f t="shared" si="48"/>
        <v>285448.779296875</v>
      </c>
      <c r="U114" s="2">
        <f t="shared" si="49"/>
        <v>142.72</v>
      </c>
      <c r="V114" s="2">
        <f t="shared" si="50"/>
        <v>2750.7080078125</v>
      </c>
      <c r="W114" s="2">
        <f t="shared" si="51"/>
        <v>2607.9880078125002</v>
      </c>
      <c r="X114" s="2">
        <f t="shared" si="52"/>
        <v>42321825.200848222</v>
      </c>
      <c r="Y114" s="2">
        <f t="shared" si="53"/>
        <v>28269.81</v>
      </c>
      <c r="Z114" s="2">
        <f t="shared" si="54"/>
        <v>9.23</v>
      </c>
      <c r="AA114" s="2">
        <f t="shared" si="55"/>
        <v>42874112.064123526</v>
      </c>
      <c r="AB114" s="2">
        <f t="shared" si="56"/>
        <v>-552286.86327530444</v>
      </c>
    </row>
    <row r="115" spans="1:28">
      <c r="A115" s="2">
        <v>112</v>
      </c>
      <c r="B115" s="2" t="s">
        <v>570</v>
      </c>
      <c r="C115" s="2" t="s">
        <v>1764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2" t="s">
        <v>571</v>
      </c>
      <c r="I115" s="2" t="s">
        <v>1179</v>
      </c>
      <c r="J115" s="2" t="s">
        <v>124</v>
      </c>
      <c r="K115" s="2">
        <f t="shared" si="33"/>
        <v>42321825.200848222</v>
      </c>
      <c r="L115" s="2" t="s">
        <v>1823</v>
      </c>
      <c r="M115" s="2" t="s">
        <v>1784</v>
      </c>
      <c r="N115" s="2" t="s">
        <v>1720</v>
      </c>
      <c r="O115" s="2">
        <v>1695</v>
      </c>
      <c r="P115" s="2">
        <v>1528.005126953125</v>
      </c>
      <c r="Q115" s="2">
        <v>1530.966674804688</v>
      </c>
      <c r="R115" s="2">
        <f t="shared" si="46"/>
        <v>2589968.6901855469</v>
      </c>
      <c r="S115" s="2">
        <f t="shared" si="47"/>
        <v>2594988.5137939462</v>
      </c>
      <c r="T115" s="2">
        <f t="shared" si="48"/>
        <v>5184957.2039794931</v>
      </c>
      <c r="U115" s="2">
        <f t="shared" si="49"/>
        <v>2592.48</v>
      </c>
      <c r="V115" s="2">
        <f t="shared" si="50"/>
        <v>5019.8236083993688</v>
      </c>
      <c r="W115" s="2">
        <f t="shared" si="51"/>
        <v>2427.3436083993688</v>
      </c>
      <c r="X115" s="2">
        <f t="shared" si="52"/>
        <v>42324252.544456623</v>
      </c>
      <c r="Y115" s="2">
        <f t="shared" si="53"/>
        <v>517993.74</v>
      </c>
      <c r="Z115" s="2">
        <f t="shared" si="54"/>
        <v>0.47</v>
      </c>
      <c r="AA115" s="2">
        <f t="shared" si="55"/>
        <v>42874112.064123526</v>
      </c>
      <c r="AB115" s="2">
        <f t="shared" si="56"/>
        <v>-549859.51966690272</v>
      </c>
    </row>
    <row r="116" spans="1:28">
      <c r="A116" s="2">
        <v>113</v>
      </c>
      <c r="B116" s="2" t="s">
        <v>574</v>
      </c>
      <c r="C116" s="2" t="s">
        <v>1764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2" t="s">
        <v>575</v>
      </c>
      <c r="I116" s="2" t="s">
        <v>1901</v>
      </c>
      <c r="J116" s="2" t="s">
        <v>1048</v>
      </c>
      <c r="K116" s="2">
        <f t="shared" si="33"/>
        <v>42324252.544456623</v>
      </c>
      <c r="L116" s="2" t="s">
        <v>1783</v>
      </c>
      <c r="M116" s="2" t="s">
        <v>1586</v>
      </c>
      <c r="N116" s="2" t="s">
        <v>1584</v>
      </c>
      <c r="O116" s="2">
        <v>561</v>
      </c>
      <c r="P116" s="2">
        <v>376.935546875</v>
      </c>
      <c r="Q116" s="2">
        <v>409.67364501953131</v>
      </c>
      <c r="R116" s="2">
        <f t="shared" si="46"/>
        <v>211460.841796875</v>
      </c>
      <c r="S116" s="2">
        <f t="shared" si="47"/>
        <v>229826.91485595706</v>
      </c>
      <c r="T116" s="2">
        <f t="shared" si="48"/>
        <v>441287.75665283203</v>
      </c>
      <c r="U116" s="2">
        <f t="shared" si="49"/>
        <v>220.64</v>
      </c>
      <c r="V116" s="2">
        <f t="shared" si="50"/>
        <v>18366.07305908206</v>
      </c>
      <c r="W116" s="2">
        <f t="shared" si="51"/>
        <v>18145.433059082061</v>
      </c>
      <c r="X116" s="2">
        <f t="shared" si="52"/>
        <v>42342397.977515705</v>
      </c>
      <c r="Y116" s="2">
        <f t="shared" si="53"/>
        <v>42292.17</v>
      </c>
      <c r="Z116" s="2">
        <f t="shared" si="54"/>
        <v>42.9</v>
      </c>
      <c r="AA116" s="2">
        <f t="shared" si="55"/>
        <v>42874112.064123526</v>
      </c>
      <c r="AB116" s="2">
        <f t="shared" si="56"/>
        <v>-531714.08660782129</v>
      </c>
    </row>
    <row r="117" spans="1:28">
      <c r="A117" s="2">
        <v>114</v>
      </c>
      <c r="B117" s="2" t="s">
        <v>578</v>
      </c>
      <c r="C117" s="2" t="s">
        <v>1764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2" t="s">
        <v>65</v>
      </c>
      <c r="I117" s="2" t="s">
        <v>497</v>
      </c>
      <c r="J117" s="2" t="s">
        <v>1282</v>
      </c>
      <c r="K117" s="2">
        <f t="shared" si="33"/>
        <v>42342397.977515705</v>
      </c>
      <c r="L117" s="2" t="s">
        <v>1808</v>
      </c>
      <c r="M117" s="2" t="s">
        <v>1722</v>
      </c>
      <c r="N117" s="2" t="s">
        <v>1778</v>
      </c>
      <c r="O117" s="2">
        <v>1848</v>
      </c>
      <c r="P117" s="2">
        <v>610.59234619140625</v>
      </c>
      <c r="Q117" s="2">
        <v>630.5203857421875</v>
      </c>
      <c r="R117" s="2">
        <f t="shared" si="46"/>
        <v>1128374.6557617188</v>
      </c>
      <c r="S117" s="2">
        <f t="shared" si="47"/>
        <v>1165201.6728515625</v>
      </c>
      <c r="T117" s="2">
        <f t="shared" si="48"/>
        <v>2293576.3286132813</v>
      </c>
      <c r="U117" s="2">
        <f t="shared" si="49"/>
        <v>1146.79</v>
      </c>
      <c r="V117" s="2">
        <f t="shared" si="50"/>
        <v>36827.01708984375</v>
      </c>
      <c r="W117" s="2">
        <f t="shared" si="51"/>
        <v>35680.227089843749</v>
      </c>
      <c r="X117" s="2">
        <f t="shared" si="52"/>
        <v>42378078.20460555</v>
      </c>
      <c r="Y117" s="2">
        <f t="shared" si="53"/>
        <v>225674.93</v>
      </c>
      <c r="Z117" s="2">
        <f t="shared" si="54"/>
        <v>15.81</v>
      </c>
      <c r="AA117" s="2">
        <f t="shared" si="55"/>
        <v>42874112.064123526</v>
      </c>
      <c r="AB117" s="2">
        <f t="shared" si="56"/>
        <v>-496033.85951797664</v>
      </c>
    </row>
    <row r="118" spans="1:28">
      <c r="A118" s="2">
        <v>115</v>
      </c>
      <c r="B118" s="2" t="s">
        <v>581</v>
      </c>
      <c r="C118" s="2" t="s">
        <v>1764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1482</v>
      </c>
      <c r="J118" s="2" t="s">
        <v>1902</v>
      </c>
      <c r="K118" s="2">
        <f t="shared" si="33"/>
        <v>42378078.20460555</v>
      </c>
      <c r="L118" s="2" t="s">
        <v>1903</v>
      </c>
      <c r="M118" s="2" t="s">
        <v>1904</v>
      </c>
      <c r="N118" s="2" t="s">
        <v>1905</v>
      </c>
      <c r="O118" s="2">
        <v>2364</v>
      </c>
      <c r="P118" s="2">
        <v>432.29156494140631</v>
      </c>
      <c r="Q118" s="2">
        <v>433.7083740234375</v>
      </c>
      <c r="R118" s="2">
        <f t="shared" si="46"/>
        <v>1021937.2595214845</v>
      </c>
      <c r="S118" s="2">
        <f t="shared" si="47"/>
        <v>1025286.5961914063</v>
      </c>
      <c r="T118" s="2">
        <f t="shared" si="48"/>
        <v>2047223.8557128906</v>
      </c>
      <c r="U118" s="2">
        <f t="shared" si="49"/>
        <v>1023.61</v>
      </c>
      <c r="V118" s="2">
        <f t="shared" si="50"/>
        <v>3349.3366699217586</v>
      </c>
      <c r="W118" s="2">
        <f t="shared" si="51"/>
        <v>2325.7266699217585</v>
      </c>
      <c r="X118" s="2">
        <f t="shared" si="52"/>
        <v>42380403.931275472</v>
      </c>
      <c r="Y118" s="2">
        <f t="shared" si="53"/>
        <v>204387.45</v>
      </c>
      <c r="Z118" s="2">
        <f t="shared" si="54"/>
        <v>1.1399999999999999</v>
      </c>
      <c r="AA118" s="2">
        <f t="shared" si="55"/>
        <v>42874112.064123526</v>
      </c>
      <c r="AB118" s="2">
        <f t="shared" si="56"/>
        <v>-493708.13284805417</v>
      </c>
    </row>
    <row r="119" spans="1:28">
      <c r="A119" s="2">
        <v>116</v>
      </c>
      <c r="B119" s="2" t="s">
        <v>586</v>
      </c>
      <c r="C119" s="2" t="s">
        <v>1764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2" t="s">
        <v>587</v>
      </c>
      <c r="I119" s="2" t="s">
        <v>1906</v>
      </c>
      <c r="J119" s="2" t="s">
        <v>1907</v>
      </c>
      <c r="K119" s="2">
        <f t="shared" si="33"/>
        <v>42380403.931275472</v>
      </c>
      <c r="L119" s="2" t="s">
        <v>1630</v>
      </c>
      <c r="M119" s="2" t="s">
        <v>1374</v>
      </c>
      <c r="N119" s="2" t="s">
        <v>1629</v>
      </c>
      <c r="O119" s="2">
        <v>776</v>
      </c>
      <c r="P119" s="2">
        <v>1207.19482421875</v>
      </c>
      <c r="Q119" s="2">
        <v>1175.505004882812</v>
      </c>
      <c r="R119" s="2">
        <f t="shared" si="46"/>
        <v>936783.18359375</v>
      </c>
      <c r="S119" s="2">
        <f t="shared" si="47"/>
        <v>912191.88378906215</v>
      </c>
      <c r="T119" s="2">
        <f t="shared" si="48"/>
        <v>1848975.067382812</v>
      </c>
      <c r="U119" s="2">
        <f t="shared" si="49"/>
        <v>924.49</v>
      </c>
      <c r="V119" s="2">
        <f t="shared" si="50"/>
        <v>-24591.299804687849</v>
      </c>
      <c r="W119" s="2">
        <f t="shared" si="51"/>
        <v>-25515.789804687851</v>
      </c>
      <c r="X119" s="2">
        <f t="shared" si="52"/>
        <v>42354888.141470782</v>
      </c>
      <c r="Y119" s="2">
        <f t="shared" si="53"/>
        <v>187356.64</v>
      </c>
      <c r="Z119" s="2">
        <f t="shared" si="54"/>
        <v>-13.62</v>
      </c>
      <c r="AA119" s="2">
        <f t="shared" si="55"/>
        <v>42874112.064123526</v>
      </c>
      <c r="AB119" s="2">
        <f t="shared" si="56"/>
        <v>-519223.92265274376</v>
      </c>
    </row>
    <row r="120" spans="1:28">
      <c r="A120" s="2">
        <v>117</v>
      </c>
      <c r="B120" s="2" t="s">
        <v>592</v>
      </c>
      <c r="C120" s="2" t="s">
        <v>1764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171</v>
      </c>
      <c r="J120" s="2" t="s">
        <v>559</v>
      </c>
      <c r="K120" s="2">
        <f t="shared" si="33"/>
        <v>42354888.141470782</v>
      </c>
      <c r="L120" s="2" t="s">
        <v>1004</v>
      </c>
      <c r="M120" s="2" t="s">
        <v>1005</v>
      </c>
      <c r="N120" s="2" t="s">
        <v>1004</v>
      </c>
      <c r="O120" s="2">
        <v>300</v>
      </c>
      <c r="P120" s="2">
        <v>3551.0244140625</v>
      </c>
      <c r="Q120" s="2">
        <v>3703.8916015625</v>
      </c>
      <c r="R120" s="2">
        <f t="shared" si="46"/>
        <v>1065307.32421875</v>
      </c>
      <c r="S120" s="2">
        <f t="shared" si="47"/>
        <v>1111167.48046875</v>
      </c>
      <c r="T120" s="2">
        <f t="shared" si="48"/>
        <v>2176474.8046875</v>
      </c>
      <c r="U120" s="2">
        <f t="shared" si="49"/>
        <v>1088.24</v>
      </c>
      <c r="V120" s="2">
        <f t="shared" si="50"/>
        <v>45860.15625</v>
      </c>
      <c r="W120" s="2">
        <f t="shared" si="51"/>
        <v>44771.916250000002</v>
      </c>
      <c r="X120" s="2">
        <f t="shared" si="52"/>
        <v>42399660.05772078</v>
      </c>
      <c r="Y120" s="2">
        <f t="shared" si="53"/>
        <v>213061.46</v>
      </c>
      <c r="Z120" s="2">
        <f t="shared" si="54"/>
        <v>21.01</v>
      </c>
      <c r="AA120" s="2">
        <f t="shared" si="55"/>
        <v>42874112.064123526</v>
      </c>
      <c r="AB120" s="2">
        <f t="shared" si="56"/>
        <v>-474452.00640274584</v>
      </c>
    </row>
    <row r="121" spans="1:28">
      <c r="A121" s="2">
        <v>118</v>
      </c>
      <c r="B121" s="2" t="s">
        <v>597</v>
      </c>
      <c r="C121" s="2" t="s">
        <v>1764</v>
      </c>
      <c r="D121" s="4" t="s">
        <v>61</v>
      </c>
      <c r="E121" s="5" t="s">
        <v>134</v>
      </c>
      <c r="F121" s="2" t="s">
        <v>135</v>
      </c>
      <c r="G121" s="2" t="s">
        <v>63</v>
      </c>
      <c r="H121" s="2" t="s">
        <v>598</v>
      </c>
      <c r="I121" s="2" t="s">
        <v>1908</v>
      </c>
      <c r="J121" s="2" t="s">
        <v>1909</v>
      </c>
      <c r="K121" s="2">
        <f t="shared" si="33"/>
        <v>42399660.05772078</v>
      </c>
      <c r="L121" s="2" t="s">
        <v>1823</v>
      </c>
      <c r="M121" s="2" t="s">
        <v>1584</v>
      </c>
      <c r="N121" s="2" t="s">
        <v>1799</v>
      </c>
      <c r="O121" s="2">
        <v>3265</v>
      </c>
      <c r="P121" s="2">
        <v>154.92906188964841</v>
      </c>
      <c r="Q121" s="2">
        <v>161.70269775390619</v>
      </c>
      <c r="R121" s="2">
        <f t="shared" si="46"/>
        <v>505843.38706970203</v>
      </c>
      <c r="S121" s="2">
        <f t="shared" si="47"/>
        <v>527959.30816650367</v>
      </c>
      <c r="T121" s="2">
        <f t="shared" si="48"/>
        <v>1033802.6952362057</v>
      </c>
      <c r="U121" s="2">
        <f t="shared" si="49"/>
        <v>516.9</v>
      </c>
      <c r="V121" s="2">
        <f t="shared" si="50"/>
        <v>22115.921096801641</v>
      </c>
      <c r="W121" s="2">
        <f t="shared" si="51"/>
        <v>21599.02109680164</v>
      </c>
      <c r="X121" s="2">
        <f t="shared" si="52"/>
        <v>42421259.078817584</v>
      </c>
      <c r="Y121" s="2">
        <f t="shared" si="53"/>
        <v>101168.68</v>
      </c>
      <c r="Z121" s="2">
        <f t="shared" si="54"/>
        <v>21.35</v>
      </c>
      <c r="AA121" s="2">
        <f t="shared" si="55"/>
        <v>42874112.064123526</v>
      </c>
      <c r="AB121" s="2">
        <f t="shared" si="56"/>
        <v>-452852.9853059426</v>
      </c>
    </row>
    <row r="122" spans="1:28">
      <c r="A122" s="2">
        <v>119</v>
      </c>
      <c r="B122" s="2" t="s">
        <v>601</v>
      </c>
      <c r="C122" s="2" t="s">
        <v>1764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2" t="s">
        <v>602</v>
      </c>
      <c r="I122" s="2" t="s">
        <v>1910</v>
      </c>
      <c r="J122" s="2" t="s">
        <v>1911</v>
      </c>
      <c r="K122" s="2">
        <f t="shared" si="33"/>
        <v>42421259.078817584</v>
      </c>
      <c r="L122" s="2" t="s">
        <v>1815</v>
      </c>
      <c r="M122" s="2" t="s">
        <v>1584</v>
      </c>
      <c r="N122" s="2" t="s">
        <v>1783</v>
      </c>
      <c r="O122" s="2">
        <v>225</v>
      </c>
      <c r="P122" s="2">
        <v>5407.4599609375</v>
      </c>
      <c r="Q122" s="2">
        <v>6000.54833984375</v>
      </c>
      <c r="R122" s="2">
        <f t="shared" si="46"/>
        <v>1216678.4912109375</v>
      </c>
      <c r="S122" s="2">
        <f t="shared" si="47"/>
        <v>1350123.3764648438</v>
      </c>
      <c r="T122" s="2">
        <f t="shared" si="48"/>
        <v>2566801.8676757812</v>
      </c>
      <c r="U122" s="2">
        <f t="shared" si="49"/>
        <v>1283.4000000000001</v>
      </c>
      <c r="V122" s="2">
        <f t="shared" si="50"/>
        <v>133444.88525390625</v>
      </c>
      <c r="W122" s="2">
        <f t="shared" si="51"/>
        <v>132161.48525390626</v>
      </c>
      <c r="X122" s="2">
        <f t="shared" si="52"/>
        <v>42553420.564071491</v>
      </c>
      <c r="Y122" s="2">
        <f t="shared" si="53"/>
        <v>243335.7</v>
      </c>
      <c r="Z122" s="2">
        <f t="shared" si="54"/>
        <v>54.31</v>
      </c>
      <c r="AA122" s="2">
        <f t="shared" si="55"/>
        <v>42874112.064123526</v>
      </c>
      <c r="AB122" s="2">
        <f t="shared" si="56"/>
        <v>-320691.50005203485</v>
      </c>
    </row>
    <row r="123" spans="1:28">
      <c r="A123" s="2">
        <v>120</v>
      </c>
      <c r="B123" s="2" t="s">
        <v>605</v>
      </c>
      <c r="C123" s="2" t="s">
        <v>1764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2" t="s">
        <v>606</v>
      </c>
      <c r="I123" s="2" t="s">
        <v>1912</v>
      </c>
      <c r="J123" s="2" t="s">
        <v>301</v>
      </c>
      <c r="K123" s="2">
        <f t="shared" si="33"/>
        <v>42553420.564071491</v>
      </c>
      <c r="L123" s="2" t="s">
        <v>1586</v>
      </c>
      <c r="M123" s="2" t="s">
        <v>1801</v>
      </c>
      <c r="N123" s="2" t="s">
        <v>1779</v>
      </c>
      <c r="O123" s="2">
        <v>413</v>
      </c>
      <c r="P123" s="2">
        <v>1428.397705078125</v>
      </c>
      <c r="Q123" s="2">
        <v>1578.059814453125</v>
      </c>
      <c r="R123" s="2">
        <f t="shared" si="46"/>
        <v>589928.25219726562</v>
      </c>
      <c r="S123" s="2">
        <f t="shared" si="47"/>
        <v>651738.70336914062</v>
      </c>
      <c r="T123" s="2">
        <f t="shared" si="48"/>
        <v>1241666.9555664063</v>
      </c>
      <c r="U123" s="2">
        <f t="shared" si="49"/>
        <v>620.83000000000004</v>
      </c>
      <c r="V123" s="2">
        <f t="shared" si="50"/>
        <v>61810.451171875</v>
      </c>
      <c r="W123" s="2">
        <f t="shared" si="51"/>
        <v>61189.621171874998</v>
      </c>
      <c r="X123" s="2">
        <f t="shared" si="52"/>
        <v>42614610.185243368</v>
      </c>
      <c r="Y123" s="2">
        <f t="shared" si="53"/>
        <v>117985.65</v>
      </c>
      <c r="Z123" s="2">
        <f t="shared" si="54"/>
        <v>51.86</v>
      </c>
      <c r="AA123" s="2">
        <f t="shared" si="55"/>
        <v>42874112.064123526</v>
      </c>
      <c r="AB123" s="2">
        <f t="shared" si="56"/>
        <v>-259501.87888015807</v>
      </c>
    </row>
    <row r="124" spans="1:28">
      <c r="A124" s="2">
        <v>121</v>
      </c>
      <c r="B124" s="2" t="s">
        <v>609</v>
      </c>
      <c r="C124" s="2" t="s">
        <v>1764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1913</v>
      </c>
      <c r="J124" s="2" t="s">
        <v>1914</v>
      </c>
      <c r="K124" s="2">
        <f t="shared" si="33"/>
        <v>42614610.185243368</v>
      </c>
      <c r="L124" s="2" t="s">
        <v>1245</v>
      </c>
      <c r="M124" s="2" t="s">
        <v>1292</v>
      </c>
      <c r="N124" s="2" t="s">
        <v>1270</v>
      </c>
      <c r="O124" s="2">
        <v>350</v>
      </c>
      <c r="P124" s="2">
        <v>2835.01220703125</v>
      </c>
      <c r="Q124" s="2">
        <v>2699.387451171875</v>
      </c>
      <c r="R124" s="2">
        <f t="shared" si="46"/>
        <v>992254.2724609375</v>
      </c>
      <c r="S124" s="2">
        <f t="shared" si="47"/>
        <v>944785.60791015625</v>
      </c>
      <c r="T124" s="2">
        <f t="shared" si="48"/>
        <v>1937039.8803710938</v>
      </c>
      <c r="U124" s="2">
        <f t="shared" si="49"/>
        <v>968.52</v>
      </c>
      <c r="V124" s="2">
        <f t="shared" si="50"/>
        <v>-47468.66455078125</v>
      </c>
      <c r="W124" s="2">
        <f t="shared" si="51"/>
        <v>-48437.184550781247</v>
      </c>
      <c r="X124" s="2">
        <f t="shared" si="52"/>
        <v>42566173.000692584</v>
      </c>
      <c r="Y124" s="2">
        <f t="shared" si="53"/>
        <v>198450.85</v>
      </c>
      <c r="Z124" s="2">
        <f t="shared" si="54"/>
        <v>-24.41</v>
      </c>
      <c r="AA124" s="2">
        <f t="shared" si="55"/>
        <v>42874112.064123526</v>
      </c>
      <c r="AB124" s="2">
        <f t="shared" si="56"/>
        <v>-307939.0634309426</v>
      </c>
    </row>
    <row r="125" spans="1:28">
      <c r="A125" s="2">
        <v>122</v>
      </c>
      <c r="B125" s="2" t="s">
        <v>613</v>
      </c>
      <c r="C125" s="2" t="s">
        <v>1764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2" t="s">
        <v>614</v>
      </c>
      <c r="I125" s="2" t="s">
        <v>1915</v>
      </c>
      <c r="J125" s="2" t="s">
        <v>1916</v>
      </c>
      <c r="K125" s="2">
        <f t="shared" si="33"/>
        <v>42566173.000692584</v>
      </c>
      <c r="L125" s="2" t="s">
        <v>1845</v>
      </c>
      <c r="M125" s="2" t="s">
        <v>1799</v>
      </c>
      <c r="N125" s="2" t="s">
        <v>1815</v>
      </c>
      <c r="O125" s="2">
        <v>12616</v>
      </c>
      <c r="P125" s="2">
        <v>41.657600402832031</v>
      </c>
      <c r="Q125" s="2">
        <v>47.043170928955078</v>
      </c>
      <c r="R125" s="2">
        <f t="shared" si="46"/>
        <v>525552.28668212891</v>
      </c>
      <c r="S125" s="2">
        <f t="shared" si="47"/>
        <v>593496.64443969727</v>
      </c>
      <c r="T125" s="2">
        <f t="shared" si="48"/>
        <v>1119048.9311218262</v>
      </c>
      <c r="U125" s="2">
        <f t="shared" si="49"/>
        <v>559.52</v>
      </c>
      <c r="V125" s="2">
        <f t="shared" si="50"/>
        <v>67944.357757568359</v>
      </c>
      <c r="W125" s="2">
        <f t="shared" si="51"/>
        <v>67384.837757568355</v>
      </c>
      <c r="X125" s="2">
        <f t="shared" si="52"/>
        <v>42633557.838450149</v>
      </c>
      <c r="Y125" s="2">
        <f t="shared" si="53"/>
        <v>105110.46</v>
      </c>
      <c r="Z125" s="2">
        <f t="shared" si="54"/>
        <v>64.11</v>
      </c>
      <c r="AA125" s="2">
        <f t="shared" si="55"/>
        <v>42874112.064123526</v>
      </c>
      <c r="AB125" s="2">
        <f t="shared" si="56"/>
        <v>-240554.22567337751</v>
      </c>
    </row>
    <row r="126" spans="1:28">
      <c r="A126" s="2">
        <v>123</v>
      </c>
      <c r="B126" s="2" t="s">
        <v>617</v>
      </c>
      <c r="C126" s="2" t="s">
        <v>1764</v>
      </c>
      <c r="D126" s="3" t="s">
        <v>37</v>
      </c>
      <c r="E126" s="5" t="s">
        <v>134</v>
      </c>
      <c r="F126" s="2" t="s">
        <v>135</v>
      </c>
      <c r="G126" s="2" t="s">
        <v>97</v>
      </c>
      <c r="H126" s="2" t="s">
        <v>618</v>
      </c>
      <c r="I126" s="2" t="s">
        <v>1917</v>
      </c>
      <c r="J126" s="2" t="s">
        <v>1918</v>
      </c>
      <c r="K126" s="2">
        <f t="shared" si="33"/>
        <v>42633557.838450149</v>
      </c>
      <c r="L126" s="2" t="s">
        <v>1919</v>
      </c>
      <c r="M126" s="2" t="s">
        <v>1920</v>
      </c>
      <c r="N126" s="2" t="s">
        <v>1921</v>
      </c>
      <c r="O126" s="2">
        <v>2714</v>
      </c>
      <c r="P126" s="2">
        <v>74.327423095703125</v>
      </c>
      <c r="Q126" s="2">
        <v>74.196250915527344</v>
      </c>
      <c r="R126" s="2">
        <f t="shared" si="46"/>
        <v>201724.62628173828</v>
      </c>
      <c r="S126" s="2">
        <f t="shared" si="47"/>
        <v>201368.62498474121</v>
      </c>
      <c r="T126" s="2">
        <f t="shared" si="48"/>
        <v>403093.25126647949</v>
      </c>
      <c r="U126" s="2">
        <f t="shared" si="49"/>
        <v>201.55</v>
      </c>
      <c r="V126" s="2">
        <f t="shared" si="50"/>
        <v>-356.00129699707031</v>
      </c>
      <c r="W126" s="2">
        <f t="shared" si="51"/>
        <v>-557.55129699707027</v>
      </c>
      <c r="X126" s="2">
        <f t="shared" si="52"/>
        <v>42633000.287153155</v>
      </c>
      <c r="Y126" s="2">
        <f t="shared" si="53"/>
        <v>40344.93</v>
      </c>
      <c r="Z126" s="2">
        <f t="shared" si="54"/>
        <v>-1.38</v>
      </c>
      <c r="AA126" s="2">
        <f t="shared" si="55"/>
        <v>42874112.064123526</v>
      </c>
      <c r="AB126" s="2">
        <f t="shared" si="56"/>
        <v>-241111.7769703716</v>
      </c>
    </row>
    <row r="127" spans="1:28">
      <c r="A127" s="2">
        <v>124</v>
      </c>
      <c r="B127" s="2" t="s">
        <v>621</v>
      </c>
      <c r="C127" s="2" t="s">
        <v>1764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2" t="s">
        <v>622</v>
      </c>
      <c r="I127" s="2" t="s">
        <v>1922</v>
      </c>
      <c r="J127" s="2" t="s">
        <v>362</v>
      </c>
      <c r="K127" s="2">
        <f t="shared" si="33"/>
        <v>42633000.287153155</v>
      </c>
      <c r="L127" s="2" t="s">
        <v>1584</v>
      </c>
      <c r="M127" s="2" t="s">
        <v>1808</v>
      </c>
      <c r="N127" s="2" t="s">
        <v>1784</v>
      </c>
      <c r="O127" s="2">
        <v>388</v>
      </c>
      <c r="P127" s="2">
        <v>2045.443725585937</v>
      </c>
      <c r="Q127" s="2">
        <v>2059.837890625</v>
      </c>
      <c r="R127" s="2">
        <f t="shared" si="46"/>
        <v>793632.16552734352</v>
      </c>
      <c r="S127" s="2">
        <f t="shared" si="47"/>
        <v>799217.1015625</v>
      </c>
      <c r="T127" s="2">
        <f t="shared" si="48"/>
        <v>1592849.2670898435</v>
      </c>
      <c r="U127" s="2">
        <f t="shared" si="49"/>
        <v>796.42</v>
      </c>
      <c r="V127" s="2">
        <f t="shared" si="50"/>
        <v>5584.9360351564828</v>
      </c>
      <c r="W127" s="2">
        <f t="shared" si="51"/>
        <v>4788.5160351564828</v>
      </c>
      <c r="X127" s="2">
        <f t="shared" si="52"/>
        <v>42637788.803188309</v>
      </c>
      <c r="Y127" s="2">
        <f t="shared" si="53"/>
        <v>158726.43</v>
      </c>
      <c r="Z127" s="2">
        <f t="shared" si="54"/>
        <v>3.02</v>
      </c>
      <c r="AA127" s="2">
        <f t="shared" si="55"/>
        <v>42874112.064123526</v>
      </c>
      <c r="AB127" s="2">
        <f t="shared" si="56"/>
        <v>-236323.26093521714</v>
      </c>
    </row>
    <row r="128" spans="1:28">
      <c r="A128" s="2">
        <v>125</v>
      </c>
      <c r="B128" s="2" t="s">
        <v>625</v>
      </c>
      <c r="C128" s="2" t="s">
        <v>1764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2" t="s">
        <v>626</v>
      </c>
      <c r="I128" s="2" t="s">
        <v>583</v>
      </c>
      <c r="J128" s="2" t="s">
        <v>146</v>
      </c>
      <c r="K128" s="2">
        <f t="shared" si="33"/>
        <v>42637788.803188309</v>
      </c>
      <c r="L128" s="2" t="s">
        <v>1842</v>
      </c>
      <c r="M128" s="2" t="s">
        <v>1802</v>
      </c>
      <c r="N128" s="2" t="s">
        <v>1585</v>
      </c>
      <c r="O128" s="2">
        <v>1129</v>
      </c>
      <c r="P128" s="2">
        <v>507.78179931640631</v>
      </c>
      <c r="Q128" s="2">
        <v>512.6224365234375</v>
      </c>
      <c r="R128" s="2">
        <f t="shared" si="46"/>
        <v>573285.65142822277</v>
      </c>
      <c r="S128" s="2">
        <f t="shared" si="47"/>
        <v>578750.73083496094</v>
      </c>
      <c r="T128" s="2">
        <f t="shared" si="48"/>
        <v>1152036.3822631836</v>
      </c>
      <c r="U128" s="2">
        <f t="shared" si="49"/>
        <v>576.02</v>
      </c>
      <c r="V128" s="2">
        <f t="shared" si="50"/>
        <v>5465.0794067381648</v>
      </c>
      <c r="W128" s="2">
        <f t="shared" si="51"/>
        <v>4889.0594067381644</v>
      </c>
      <c r="X128" s="2">
        <f t="shared" si="52"/>
        <v>42642677.862595044</v>
      </c>
      <c r="Y128" s="2">
        <f t="shared" si="53"/>
        <v>114657.13</v>
      </c>
      <c r="Z128" s="2">
        <f t="shared" si="54"/>
        <v>4.26</v>
      </c>
      <c r="AA128" s="2">
        <f t="shared" si="55"/>
        <v>42874112.064123526</v>
      </c>
      <c r="AB128" s="2">
        <f t="shared" si="56"/>
        <v>-231434.20152848214</v>
      </c>
    </row>
    <row r="129" spans="1:28">
      <c r="A129" s="2">
        <v>126</v>
      </c>
      <c r="B129" s="2" t="s">
        <v>629</v>
      </c>
      <c r="C129" s="2" t="s">
        <v>1764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1923</v>
      </c>
      <c r="J129" s="2" t="s">
        <v>1364</v>
      </c>
      <c r="K129" s="2">
        <f t="shared" si="33"/>
        <v>42642677.862595044</v>
      </c>
      <c r="L129" s="2" t="s">
        <v>1272</v>
      </c>
      <c r="M129" s="2" t="s">
        <v>1254</v>
      </c>
      <c r="N129" s="2" t="s">
        <v>1268</v>
      </c>
      <c r="O129" s="2">
        <v>100</v>
      </c>
      <c r="P129" s="2">
        <v>12070.208984375</v>
      </c>
      <c r="Q129" s="2">
        <v>12616.63671875</v>
      </c>
      <c r="R129" s="2">
        <f t="shared" si="46"/>
        <v>1207020.8984375</v>
      </c>
      <c r="S129" s="2">
        <f t="shared" si="47"/>
        <v>1261663.671875</v>
      </c>
      <c r="T129" s="2">
        <f t="shared" si="48"/>
        <v>2468684.5703125</v>
      </c>
      <c r="U129" s="2">
        <f t="shared" si="49"/>
        <v>1234.3399999999999</v>
      </c>
      <c r="V129" s="2">
        <f t="shared" si="50"/>
        <v>54642.7734375</v>
      </c>
      <c r="W129" s="2">
        <f t="shared" si="51"/>
        <v>53408.433437500003</v>
      </c>
      <c r="X129" s="2">
        <f t="shared" si="52"/>
        <v>42696086.296032541</v>
      </c>
      <c r="Y129" s="2">
        <f t="shared" si="53"/>
        <v>241404.18</v>
      </c>
      <c r="Z129" s="2">
        <f t="shared" si="54"/>
        <v>22.12</v>
      </c>
      <c r="AA129" s="2">
        <f t="shared" si="55"/>
        <v>42874112.064123526</v>
      </c>
      <c r="AB129" s="2">
        <f t="shared" si="56"/>
        <v>-178025.76809098572</v>
      </c>
    </row>
    <row r="130" spans="1:28">
      <c r="A130" s="2">
        <v>127</v>
      </c>
      <c r="B130" s="2" t="s">
        <v>632</v>
      </c>
      <c r="C130" s="2" t="s">
        <v>1764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1924</v>
      </c>
      <c r="J130" s="2" t="s">
        <v>1925</v>
      </c>
      <c r="K130" s="2">
        <f t="shared" si="33"/>
        <v>42696086.296032541</v>
      </c>
      <c r="L130" s="2" t="s">
        <v>1584</v>
      </c>
      <c r="M130" s="2" t="s">
        <v>1808</v>
      </c>
      <c r="N130" s="2" t="s">
        <v>1784</v>
      </c>
      <c r="O130" s="2">
        <v>922</v>
      </c>
      <c r="P130" s="2">
        <v>733.62493896484375</v>
      </c>
      <c r="Q130" s="2">
        <v>799.3680419921875</v>
      </c>
      <c r="R130" s="2">
        <f t="shared" si="46"/>
        <v>676402.19372558594</v>
      </c>
      <c r="S130" s="2">
        <f t="shared" si="47"/>
        <v>737017.33471679688</v>
      </c>
      <c r="T130" s="2">
        <f t="shared" si="48"/>
        <v>1413419.5284423828</v>
      </c>
      <c r="U130" s="2">
        <f t="shared" si="49"/>
        <v>706.71</v>
      </c>
      <c r="V130" s="2">
        <f t="shared" si="50"/>
        <v>60615.140991210938</v>
      </c>
      <c r="W130" s="2">
        <f t="shared" si="51"/>
        <v>59908.430991210938</v>
      </c>
      <c r="X130" s="2">
        <f t="shared" si="52"/>
        <v>42755994.727023751</v>
      </c>
      <c r="Y130" s="2">
        <f t="shared" si="53"/>
        <v>135280.44</v>
      </c>
      <c r="Z130" s="2">
        <f t="shared" si="54"/>
        <v>44.28</v>
      </c>
      <c r="AA130" s="2">
        <f t="shared" si="55"/>
        <v>42874112.064123526</v>
      </c>
      <c r="AB130" s="2">
        <f t="shared" si="56"/>
        <v>-118117.33709977567</v>
      </c>
    </row>
    <row r="131" spans="1:28">
      <c r="A131" s="2">
        <v>128</v>
      </c>
      <c r="B131" s="2" t="s">
        <v>637</v>
      </c>
      <c r="C131" s="2" t="s">
        <v>1764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2" t="s">
        <v>638</v>
      </c>
      <c r="I131" s="2" t="s">
        <v>1926</v>
      </c>
      <c r="J131" s="2" t="s">
        <v>1927</v>
      </c>
      <c r="K131" s="2">
        <f t="shared" si="33"/>
        <v>42755994.727023751</v>
      </c>
      <c r="L131" s="2" t="s">
        <v>1780</v>
      </c>
      <c r="M131" s="2" t="s">
        <v>1861</v>
      </c>
      <c r="N131" s="2" t="s">
        <v>1789</v>
      </c>
      <c r="O131" s="2">
        <v>431</v>
      </c>
      <c r="P131" s="2">
        <v>1027.027954101562</v>
      </c>
      <c r="Q131" s="2">
        <v>1058.888061523438</v>
      </c>
      <c r="R131" s="2">
        <f t="shared" si="46"/>
        <v>442649.04821777326</v>
      </c>
      <c r="S131" s="2">
        <f t="shared" si="47"/>
        <v>456380.75451660174</v>
      </c>
      <c r="T131" s="2">
        <f t="shared" si="48"/>
        <v>899029.802734375</v>
      </c>
      <c r="U131" s="2">
        <f t="shared" si="49"/>
        <v>449.51</v>
      </c>
      <c r="V131" s="2">
        <f t="shared" si="50"/>
        <v>13731.706298828474</v>
      </c>
      <c r="W131" s="2">
        <f t="shared" si="51"/>
        <v>13282.196298828474</v>
      </c>
      <c r="X131" s="2">
        <f t="shared" si="52"/>
        <v>42769276.923322581</v>
      </c>
      <c r="Y131" s="2">
        <f t="shared" si="53"/>
        <v>88529.81</v>
      </c>
      <c r="Z131" s="2">
        <f t="shared" si="54"/>
        <v>15</v>
      </c>
      <c r="AA131" s="2">
        <f t="shared" si="55"/>
        <v>42874112.064123526</v>
      </c>
      <c r="AB131" s="2">
        <f t="shared" si="56"/>
        <v>-104835.14080094546</v>
      </c>
    </row>
    <row r="132" spans="1:28">
      <c r="A132" s="2">
        <v>129</v>
      </c>
      <c r="B132" s="2" t="s">
        <v>640</v>
      </c>
      <c r="C132" s="2" t="s">
        <v>1764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33"/>
        <v>42769276.923322581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>K132</f>
        <v>42769276.923322581</v>
      </c>
      <c r="Y132" s="6" t="s">
        <v>1195</v>
      </c>
      <c r="Z132" s="6" t="s">
        <v>1195</v>
      </c>
      <c r="AA132" s="2">
        <f>AA131</f>
        <v>42874112.064123526</v>
      </c>
      <c r="AB132" s="2">
        <v>0</v>
      </c>
    </row>
    <row r="133" spans="1:28">
      <c r="A133" s="2">
        <v>130</v>
      </c>
      <c r="B133" s="2" t="s">
        <v>647</v>
      </c>
      <c r="C133" s="2" t="s">
        <v>1764</v>
      </c>
      <c r="D133" s="4" t="s">
        <v>61</v>
      </c>
      <c r="E133" s="5" t="s">
        <v>134</v>
      </c>
      <c r="F133" s="2" t="s">
        <v>135</v>
      </c>
      <c r="G133" s="2" t="s">
        <v>97</v>
      </c>
      <c r="H133" s="2" t="s">
        <v>648</v>
      </c>
      <c r="I133" s="2" t="s">
        <v>1051</v>
      </c>
      <c r="J133" s="2" t="s">
        <v>1928</v>
      </c>
      <c r="K133" s="2">
        <f t="shared" ref="K133:K196" si="57">X132</f>
        <v>42769276.923322581</v>
      </c>
      <c r="L133" s="2" t="s">
        <v>1802</v>
      </c>
      <c r="M133" s="2" t="s">
        <v>1779</v>
      </c>
      <c r="N133" s="2" t="s">
        <v>1780</v>
      </c>
      <c r="O133" s="2">
        <v>661</v>
      </c>
      <c r="P133" s="2">
        <v>960.25</v>
      </c>
      <c r="Q133" s="2">
        <v>887.54998779296875</v>
      </c>
      <c r="R133" s="2">
        <f t="shared" ref="R133:R166" si="58">O133*P133</f>
        <v>634725.25</v>
      </c>
      <c r="S133" s="2">
        <f t="shared" ref="S133:S166" si="59">O133*Q133</f>
        <v>586670.54193115234</v>
      </c>
      <c r="T133" s="2">
        <f t="shared" ref="T133:T166" si="60">R133+S133</f>
        <v>1221395.7919311523</v>
      </c>
      <c r="U133" s="2">
        <f t="shared" ref="U133:U166" si="61">ROUND(T133*0.0005, 2)</f>
        <v>610.70000000000005</v>
      </c>
      <c r="V133" s="2">
        <f t="shared" ref="V133:V166" si="62">S133-R133</f>
        <v>-48054.708068847656</v>
      </c>
      <c r="W133" s="2">
        <f t="shared" ref="W133:W166" si="63">V133-U133</f>
        <v>-48665.408068847653</v>
      </c>
      <c r="X133" s="2">
        <f t="shared" ref="X133:X166" si="64">K133+W133</f>
        <v>42720611.51525373</v>
      </c>
      <c r="Y133" s="2">
        <f t="shared" ref="Y133:Y166" si="65">ROUND(0.2*R133, 2)</f>
        <v>126945.05</v>
      </c>
      <c r="Z133" s="2">
        <f t="shared" ref="Z133:Z166" si="66">ROUND((W133/Y133)*100, 2)</f>
        <v>-38.340000000000003</v>
      </c>
      <c r="AA133" s="2">
        <f t="shared" ref="AA133:AA166" si="67">MAX(AA132, X133)</f>
        <v>42874112.064123526</v>
      </c>
      <c r="AB133" s="2">
        <f t="shared" ref="AB133:AB166" si="68">X133-AA133</f>
        <v>-153500.5488697961</v>
      </c>
    </row>
    <row r="134" spans="1:28">
      <c r="A134" s="2">
        <v>131</v>
      </c>
      <c r="B134" s="2" t="s">
        <v>651</v>
      </c>
      <c r="C134" s="2" t="s">
        <v>1764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2" t="s">
        <v>361</v>
      </c>
      <c r="I134" s="2" t="s">
        <v>158</v>
      </c>
      <c r="J134" s="2" t="s">
        <v>361</v>
      </c>
      <c r="K134" s="2">
        <f t="shared" si="57"/>
        <v>42720611.51525373</v>
      </c>
      <c r="L134" s="2" t="s">
        <v>1780</v>
      </c>
      <c r="M134" s="2" t="s">
        <v>1861</v>
      </c>
      <c r="N134" s="2" t="s">
        <v>1789</v>
      </c>
      <c r="O134" s="2">
        <v>6815</v>
      </c>
      <c r="P134" s="2">
        <v>74.87115478515625</v>
      </c>
      <c r="Q134" s="2">
        <v>77.956596374511719</v>
      </c>
      <c r="R134" s="2">
        <f t="shared" si="58"/>
        <v>510246.91986083984</v>
      </c>
      <c r="S134" s="2">
        <f t="shared" si="59"/>
        <v>531274.20429229736</v>
      </c>
      <c r="T134" s="2">
        <f t="shared" si="60"/>
        <v>1041521.1241531372</v>
      </c>
      <c r="U134" s="2">
        <f t="shared" si="61"/>
        <v>520.76</v>
      </c>
      <c r="V134" s="2">
        <f t="shared" si="62"/>
        <v>21027.28443145752</v>
      </c>
      <c r="W134" s="2">
        <f t="shared" si="63"/>
        <v>20506.524431457521</v>
      </c>
      <c r="X134" s="2">
        <f t="shared" si="64"/>
        <v>42741118.03968519</v>
      </c>
      <c r="Y134" s="2">
        <f t="shared" si="65"/>
        <v>102049.38</v>
      </c>
      <c r="Z134" s="2">
        <f t="shared" si="66"/>
        <v>20.09</v>
      </c>
      <c r="AA134" s="2">
        <f t="shared" si="67"/>
        <v>42874112.064123526</v>
      </c>
      <c r="AB134" s="2">
        <f t="shared" si="68"/>
        <v>-132994.02443833649</v>
      </c>
    </row>
    <row r="135" spans="1:28">
      <c r="A135" s="2">
        <v>132</v>
      </c>
      <c r="B135" s="2" t="s">
        <v>654</v>
      </c>
      <c r="C135" s="2" t="s">
        <v>1764</v>
      </c>
      <c r="D135" s="3" t="s">
        <v>37</v>
      </c>
      <c r="E135" s="5" t="s">
        <v>134</v>
      </c>
      <c r="F135" s="2" t="s">
        <v>135</v>
      </c>
      <c r="G135" s="2" t="s">
        <v>63</v>
      </c>
      <c r="H135" s="2" t="s">
        <v>642</v>
      </c>
      <c r="I135" s="2" t="s">
        <v>1929</v>
      </c>
      <c r="J135" s="2" t="s">
        <v>1930</v>
      </c>
      <c r="K135" s="2">
        <f t="shared" si="57"/>
        <v>42741118.03968519</v>
      </c>
      <c r="L135" s="2" t="s">
        <v>1799</v>
      </c>
      <c r="M135" s="2" t="s">
        <v>1586</v>
      </c>
      <c r="N135" s="2" t="s">
        <v>1584</v>
      </c>
      <c r="O135" s="2">
        <v>1194</v>
      </c>
      <c r="P135" s="2">
        <v>378.49777221679687</v>
      </c>
      <c r="Q135" s="2">
        <v>422.81658935546881</v>
      </c>
      <c r="R135" s="2">
        <f t="shared" si="58"/>
        <v>451926.34002685547</v>
      </c>
      <c r="S135" s="2">
        <f t="shared" si="59"/>
        <v>504843.00769042975</v>
      </c>
      <c r="T135" s="2">
        <f t="shared" si="60"/>
        <v>956769.34771728516</v>
      </c>
      <c r="U135" s="2">
        <f t="shared" si="61"/>
        <v>478.38</v>
      </c>
      <c r="V135" s="2">
        <f t="shared" si="62"/>
        <v>52916.667663574277</v>
      </c>
      <c r="W135" s="2">
        <f t="shared" si="63"/>
        <v>52438.28766357428</v>
      </c>
      <c r="X135" s="2">
        <f t="shared" si="64"/>
        <v>42793556.327348761</v>
      </c>
      <c r="Y135" s="2">
        <f t="shared" si="65"/>
        <v>90385.27</v>
      </c>
      <c r="Z135" s="2">
        <f t="shared" si="66"/>
        <v>58.02</v>
      </c>
      <c r="AA135" s="2">
        <f t="shared" si="67"/>
        <v>42874112.064123526</v>
      </c>
      <c r="AB135" s="2">
        <f t="shared" si="68"/>
        <v>-80555.736774764955</v>
      </c>
    </row>
    <row r="136" spans="1:28">
      <c r="A136" s="2">
        <v>133</v>
      </c>
      <c r="B136" s="2" t="s">
        <v>656</v>
      </c>
      <c r="C136" s="2" t="s">
        <v>1764</v>
      </c>
      <c r="D136" s="3" t="s">
        <v>37</v>
      </c>
      <c r="E136" s="5" t="s">
        <v>134</v>
      </c>
      <c r="F136" s="2" t="s">
        <v>135</v>
      </c>
      <c r="G136" s="2" t="s">
        <v>40</v>
      </c>
      <c r="H136" s="2" t="s">
        <v>657</v>
      </c>
      <c r="I136" s="2" t="s">
        <v>1931</v>
      </c>
      <c r="J136" s="2" t="s">
        <v>805</v>
      </c>
      <c r="K136" s="2">
        <f t="shared" si="57"/>
        <v>42793556.327348761</v>
      </c>
      <c r="L136" s="2" t="s">
        <v>1799</v>
      </c>
      <c r="M136" s="2" t="s">
        <v>1801</v>
      </c>
      <c r="N136" s="2" t="s">
        <v>1802</v>
      </c>
      <c r="O136" s="2">
        <v>426</v>
      </c>
      <c r="P136" s="2">
        <v>2367.572998046875</v>
      </c>
      <c r="Q136" s="2">
        <v>2427.6689453125</v>
      </c>
      <c r="R136" s="2">
        <f t="shared" si="58"/>
        <v>1008586.0971679687</v>
      </c>
      <c r="S136" s="2">
        <f t="shared" si="59"/>
        <v>1034186.970703125</v>
      </c>
      <c r="T136" s="2">
        <f t="shared" si="60"/>
        <v>2042773.0678710938</v>
      </c>
      <c r="U136" s="2">
        <f t="shared" si="61"/>
        <v>1021.39</v>
      </c>
      <c r="V136" s="2">
        <f t="shared" si="62"/>
        <v>25600.87353515625</v>
      </c>
      <c r="W136" s="2">
        <f t="shared" si="63"/>
        <v>24579.483535156251</v>
      </c>
      <c r="X136" s="2">
        <f t="shared" si="64"/>
        <v>42818135.810883917</v>
      </c>
      <c r="Y136" s="2">
        <f t="shared" si="65"/>
        <v>201717.22</v>
      </c>
      <c r="Z136" s="2">
        <f t="shared" si="66"/>
        <v>12.19</v>
      </c>
      <c r="AA136" s="2">
        <f t="shared" si="67"/>
        <v>42874112.064123526</v>
      </c>
      <c r="AB136" s="2">
        <f t="shared" si="68"/>
        <v>-55976.253239609301</v>
      </c>
    </row>
    <row r="137" spans="1:28">
      <c r="A137" s="2">
        <v>134</v>
      </c>
      <c r="B137" s="2" t="s">
        <v>658</v>
      </c>
      <c r="C137" s="2" t="s">
        <v>1764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1932</v>
      </c>
      <c r="J137" s="2" t="s">
        <v>1933</v>
      </c>
      <c r="K137" s="2">
        <f t="shared" si="57"/>
        <v>42818135.810883917</v>
      </c>
      <c r="L137" s="2" t="s">
        <v>1934</v>
      </c>
      <c r="M137" s="2" t="s">
        <v>1935</v>
      </c>
      <c r="N137" s="2" t="s">
        <v>1396</v>
      </c>
      <c r="O137" s="2">
        <v>332</v>
      </c>
      <c r="P137" s="2">
        <v>3849.450927734375</v>
      </c>
      <c r="Q137" s="2">
        <v>3382.301025390625</v>
      </c>
      <c r="R137" s="2">
        <f t="shared" si="58"/>
        <v>1278017.7080078125</v>
      </c>
      <c r="S137" s="2">
        <f t="shared" si="59"/>
        <v>1122923.9404296875</v>
      </c>
      <c r="T137" s="2">
        <f t="shared" si="60"/>
        <v>2400941.6484375</v>
      </c>
      <c r="U137" s="2">
        <f t="shared" si="61"/>
        <v>1200.47</v>
      </c>
      <c r="V137" s="2">
        <f t="shared" si="62"/>
        <v>-155093.767578125</v>
      </c>
      <c r="W137" s="2">
        <f t="shared" si="63"/>
        <v>-156294.237578125</v>
      </c>
      <c r="X137" s="2">
        <f t="shared" si="64"/>
        <v>42661841.573305793</v>
      </c>
      <c r="Y137" s="2">
        <f t="shared" si="65"/>
        <v>255603.54</v>
      </c>
      <c r="Z137" s="2">
        <f t="shared" si="66"/>
        <v>-61.15</v>
      </c>
      <c r="AA137" s="2">
        <f t="shared" si="67"/>
        <v>42874112.064123526</v>
      </c>
      <c r="AB137" s="2">
        <f t="shared" si="68"/>
        <v>-212270.49081773311</v>
      </c>
    </row>
    <row r="138" spans="1:28">
      <c r="A138" s="2">
        <v>135</v>
      </c>
      <c r="B138" s="2" t="s">
        <v>661</v>
      </c>
      <c r="C138" s="2" t="s">
        <v>1764</v>
      </c>
      <c r="D138" s="4" t="s">
        <v>61</v>
      </c>
      <c r="E138" s="5" t="s">
        <v>134</v>
      </c>
      <c r="F138" s="2" t="s">
        <v>135</v>
      </c>
      <c r="G138" s="2" t="s">
        <v>63</v>
      </c>
      <c r="H138" s="2" t="s">
        <v>662</v>
      </c>
      <c r="I138" s="2" t="s">
        <v>1402</v>
      </c>
      <c r="J138" s="2" t="s">
        <v>462</v>
      </c>
      <c r="K138" s="2">
        <f t="shared" si="57"/>
        <v>42661841.573305793</v>
      </c>
      <c r="L138" s="2" t="s">
        <v>1586</v>
      </c>
      <c r="M138" s="2" t="s">
        <v>1720</v>
      </c>
      <c r="N138" s="2" t="s">
        <v>1585</v>
      </c>
      <c r="O138" s="2">
        <v>871</v>
      </c>
      <c r="P138" s="2">
        <v>489.404052734375</v>
      </c>
      <c r="Q138" s="2">
        <v>485.64300537109381</v>
      </c>
      <c r="R138" s="2">
        <f t="shared" si="58"/>
        <v>426270.92993164062</v>
      </c>
      <c r="S138" s="2">
        <f t="shared" si="59"/>
        <v>422995.05767822271</v>
      </c>
      <c r="T138" s="2">
        <f t="shared" si="60"/>
        <v>849265.98760986328</v>
      </c>
      <c r="U138" s="2">
        <f t="shared" si="61"/>
        <v>424.63</v>
      </c>
      <c r="V138" s="2">
        <f t="shared" si="62"/>
        <v>-3275.8722534179105</v>
      </c>
      <c r="W138" s="2">
        <f t="shared" si="63"/>
        <v>-3700.5022534179107</v>
      </c>
      <c r="X138" s="2">
        <f t="shared" si="64"/>
        <v>42658141.071052372</v>
      </c>
      <c r="Y138" s="2">
        <f t="shared" si="65"/>
        <v>85254.19</v>
      </c>
      <c r="Z138" s="2">
        <f t="shared" si="66"/>
        <v>-4.34</v>
      </c>
      <c r="AA138" s="2">
        <f t="shared" si="67"/>
        <v>42874112.064123526</v>
      </c>
      <c r="AB138" s="2">
        <f t="shared" si="68"/>
        <v>-215970.99307115376</v>
      </c>
    </row>
    <row r="139" spans="1:28">
      <c r="A139" s="2">
        <v>136</v>
      </c>
      <c r="B139" s="2" t="s">
        <v>664</v>
      </c>
      <c r="C139" s="2" t="s">
        <v>1764</v>
      </c>
      <c r="D139" s="4" t="s">
        <v>61</v>
      </c>
      <c r="E139" s="5" t="s">
        <v>134</v>
      </c>
      <c r="F139" s="2" t="s">
        <v>135</v>
      </c>
      <c r="G139" s="2" t="s">
        <v>77</v>
      </c>
      <c r="H139" s="2" t="s">
        <v>665</v>
      </c>
      <c r="I139" s="2" t="s">
        <v>1936</v>
      </c>
      <c r="J139" s="2" t="s">
        <v>1128</v>
      </c>
      <c r="K139" s="2">
        <f t="shared" si="57"/>
        <v>42658141.071052372</v>
      </c>
      <c r="L139" s="2" t="s">
        <v>1801</v>
      </c>
      <c r="M139" s="2" t="s">
        <v>1835</v>
      </c>
      <c r="N139" s="2" t="s">
        <v>1809</v>
      </c>
      <c r="O139" s="2">
        <v>2876</v>
      </c>
      <c r="P139" s="2">
        <v>140.36424255371091</v>
      </c>
      <c r="Q139" s="2">
        <v>144.8659973144531</v>
      </c>
      <c r="R139" s="2">
        <f t="shared" si="58"/>
        <v>403687.5615844726</v>
      </c>
      <c r="S139" s="2">
        <f t="shared" si="59"/>
        <v>416634.60827636713</v>
      </c>
      <c r="T139" s="2">
        <f t="shared" si="60"/>
        <v>820322.16986083973</v>
      </c>
      <c r="U139" s="2">
        <f t="shared" si="61"/>
        <v>410.16</v>
      </c>
      <c r="V139" s="2">
        <f t="shared" si="62"/>
        <v>12947.046691894531</v>
      </c>
      <c r="W139" s="2">
        <f t="shared" si="63"/>
        <v>12536.886691894531</v>
      </c>
      <c r="X139" s="2">
        <f t="shared" si="64"/>
        <v>42670677.957744271</v>
      </c>
      <c r="Y139" s="2">
        <f t="shared" si="65"/>
        <v>80737.509999999995</v>
      </c>
      <c r="Z139" s="2">
        <f t="shared" si="66"/>
        <v>15.53</v>
      </c>
      <c r="AA139" s="2">
        <f t="shared" si="67"/>
        <v>42874112.064123526</v>
      </c>
      <c r="AB139" s="2">
        <f t="shared" si="68"/>
        <v>-203434.10637925565</v>
      </c>
    </row>
    <row r="140" spans="1:28">
      <c r="A140" s="2">
        <v>137</v>
      </c>
      <c r="B140" s="2" t="s">
        <v>667</v>
      </c>
      <c r="C140" s="2" t="s">
        <v>1764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2" t="s">
        <v>668</v>
      </c>
      <c r="I140" s="2" t="s">
        <v>1476</v>
      </c>
      <c r="J140" s="2" t="s">
        <v>1175</v>
      </c>
      <c r="K140" s="2">
        <f t="shared" si="57"/>
        <v>42670677.957744271</v>
      </c>
      <c r="L140" s="2" t="s">
        <v>1779</v>
      </c>
      <c r="M140" s="2" t="s">
        <v>1835</v>
      </c>
      <c r="N140" s="2" t="s">
        <v>1809</v>
      </c>
      <c r="O140" s="2">
        <v>803</v>
      </c>
      <c r="P140" s="2">
        <v>1066.135131835938</v>
      </c>
      <c r="Q140" s="2">
        <v>1009.542358398438</v>
      </c>
      <c r="R140" s="2">
        <f t="shared" si="58"/>
        <v>856106.51086425816</v>
      </c>
      <c r="S140" s="2">
        <f t="shared" si="59"/>
        <v>810662.51379394566</v>
      </c>
      <c r="T140" s="2">
        <f t="shared" si="60"/>
        <v>1666769.0246582038</v>
      </c>
      <c r="U140" s="2">
        <f t="shared" si="61"/>
        <v>833.38</v>
      </c>
      <c r="V140" s="2">
        <f t="shared" si="62"/>
        <v>-45443.9970703125</v>
      </c>
      <c r="W140" s="2">
        <f t="shared" si="63"/>
        <v>-46277.377070312497</v>
      </c>
      <c r="X140" s="2">
        <f t="shared" si="64"/>
        <v>42624400.580673955</v>
      </c>
      <c r="Y140" s="2">
        <f t="shared" si="65"/>
        <v>171221.3</v>
      </c>
      <c r="Z140" s="2">
        <f t="shared" si="66"/>
        <v>-27.03</v>
      </c>
      <c r="AA140" s="2">
        <f t="shared" si="67"/>
        <v>42874112.064123526</v>
      </c>
      <c r="AB140" s="2">
        <f t="shared" si="68"/>
        <v>-249711.48344957083</v>
      </c>
    </row>
    <row r="141" spans="1:28">
      <c r="A141" s="2">
        <v>138</v>
      </c>
      <c r="B141" s="2" t="s">
        <v>670</v>
      </c>
      <c r="C141" s="2" t="s">
        <v>1764</v>
      </c>
      <c r="D141" s="4" t="s">
        <v>61</v>
      </c>
      <c r="E141" s="5" t="s">
        <v>134</v>
      </c>
      <c r="F141" s="2" t="s">
        <v>135</v>
      </c>
      <c r="G141" s="2" t="s">
        <v>97</v>
      </c>
      <c r="H141" s="2" t="s">
        <v>671</v>
      </c>
      <c r="I141" s="2" t="s">
        <v>474</v>
      </c>
      <c r="J141" s="2" t="s">
        <v>1937</v>
      </c>
      <c r="K141" s="2">
        <f t="shared" si="57"/>
        <v>42624400.580673955</v>
      </c>
      <c r="L141" s="2" t="s">
        <v>1789</v>
      </c>
      <c r="M141" s="2" t="s">
        <v>1721</v>
      </c>
      <c r="N141" s="2" t="s">
        <v>1835</v>
      </c>
      <c r="O141" s="2">
        <v>10687</v>
      </c>
      <c r="P141" s="2">
        <v>89.910957336425781</v>
      </c>
      <c r="Q141" s="2">
        <v>87.320518493652344</v>
      </c>
      <c r="R141" s="2">
        <f t="shared" si="58"/>
        <v>960878.40105438232</v>
      </c>
      <c r="S141" s="2">
        <f t="shared" si="59"/>
        <v>933194.3811416626</v>
      </c>
      <c r="T141" s="2">
        <f t="shared" si="60"/>
        <v>1894072.7821960449</v>
      </c>
      <c r="U141" s="2">
        <f t="shared" si="61"/>
        <v>947.04</v>
      </c>
      <c r="V141" s="2">
        <f t="shared" si="62"/>
        <v>-27684.019912719727</v>
      </c>
      <c r="W141" s="2">
        <f t="shared" si="63"/>
        <v>-28631.059912719727</v>
      </c>
      <c r="X141" s="2">
        <f t="shared" si="64"/>
        <v>42595769.520761237</v>
      </c>
      <c r="Y141" s="2">
        <f t="shared" si="65"/>
        <v>192175.68</v>
      </c>
      <c r="Z141" s="2">
        <f t="shared" si="66"/>
        <v>-14.9</v>
      </c>
      <c r="AA141" s="2">
        <f t="shared" si="67"/>
        <v>42874112.064123526</v>
      </c>
      <c r="AB141" s="2">
        <f t="shared" si="68"/>
        <v>-278342.54336228967</v>
      </c>
    </row>
    <row r="142" spans="1:28">
      <c r="A142" s="2">
        <v>139</v>
      </c>
      <c r="B142" s="2" t="s">
        <v>674</v>
      </c>
      <c r="C142" s="2" t="s">
        <v>1764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1119</v>
      </c>
      <c r="J142" s="2" t="s">
        <v>1811</v>
      </c>
      <c r="K142" s="2">
        <f t="shared" si="57"/>
        <v>42595769.520761237</v>
      </c>
      <c r="L142" s="2" t="s">
        <v>1004</v>
      </c>
      <c r="M142" s="2" t="s">
        <v>1005</v>
      </c>
      <c r="N142" s="2" t="s">
        <v>1004</v>
      </c>
      <c r="O142" s="2">
        <v>200</v>
      </c>
      <c r="P142" s="2">
        <v>1214.842041015625</v>
      </c>
      <c r="Q142" s="2">
        <v>1209.7734375</v>
      </c>
      <c r="R142" s="2">
        <f t="shared" si="58"/>
        <v>242968.408203125</v>
      </c>
      <c r="S142" s="2">
        <f t="shared" si="59"/>
        <v>241954.6875</v>
      </c>
      <c r="T142" s="2">
        <f t="shared" si="60"/>
        <v>484923.095703125</v>
      </c>
      <c r="U142" s="2">
        <f t="shared" si="61"/>
        <v>242.46</v>
      </c>
      <c r="V142" s="2">
        <f t="shared" si="62"/>
        <v>-1013.720703125</v>
      </c>
      <c r="W142" s="2">
        <f t="shared" si="63"/>
        <v>-1256.180703125</v>
      </c>
      <c r="X142" s="2">
        <f t="shared" si="64"/>
        <v>42594513.340058111</v>
      </c>
      <c r="Y142" s="2">
        <f t="shared" si="65"/>
        <v>48593.68</v>
      </c>
      <c r="Z142" s="2">
        <f t="shared" si="66"/>
        <v>-2.59</v>
      </c>
      <c r="AA142" s="2">
        <f t="shared" si="67"/>
        <v>42874112.064123526</v>
      </c>
      <c r="AB142" s="2">
        <f t="shared" si="68"/>
        <v>-279598.72406541556</v>
      </c>
    </row>
    <row r="143" spans="1:28">
      <c r="A143" s="2">
        <v>140</v>
      </c>
      <c r="B143" s="2" t="s">
        <v>678</v>
      </c>
      <c r="C143" s="2" t="s">
        <v>1764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2" t="s">
        <v>679</v>
      </c>
      <c r="I143" s="2" t="s">
        <v>1938</v>
      </c>
      <c r="J143" s="2" t="s">
        <v>665</v>
      </c>
      <c r="K143" s="2">
        <f t="shared" si="57"/>
        <v>42594513.340058111</v>
      </c>
      <c r="L143" s="2" t="s">
        <v>1780</v>
      </c>
      <c r="M143" s="2" t="s">
        <v>1861</v>
      </c>
      <c r="N143" s="2" t="s">
        <v>1789</v>
      </c>
      <c r="O143" s="2">
        <v>12809</v>
      </c>
      <c r="P143" s="2">
        <v>87.151191711425781</v>
      </c>
      <c r="Q143" s="2">
        <v>95.035629272460938</v>
      </c>
      <c r="R143" s="2">
        <f t="shared" si="58"/>
        <v>1116319.6146316528</v>
      </c>
      <c r="S143" s="2">
        <f t="shared" si="59"/>
        <v>1217311.3753509521</v>
      </c>
      <c r="T143" s="2">
        <f t="shared" si="60"/>
        <v>2333630.989982605</v>
      </c>
      <c r="U143" s="2">
        <f t="shared" si="61"/>
        <v>1166.82</v>
      </c>
      <c r="V143" s="2">
        <f t="shared" si="62"/>
        <v>100991.76071929932</v>
      </c>
      <c r="W143" s="2">
        <f t="shared" si="63"/>
        <v>99824.940719299309</v>
      </c>
      <c r="X143" s="2">
        <f t="shared" si="64"/>
        <v>42694338.28077741</v>
      </c>
      <c r="Y143" s="2">
        <f t="shared" si="65"/>
        <v>223263.92</v>
      </c>
      <c r="Z143" s="2">
        <f t="shared" si="66"/>
        <v>44.71</v>
      </c>
      <c r="AA143" s="2">
        <f t="shared" si="67"/>
        <v>42874112.064123526</v>
      </c>
      <c r="AB143" s="2">
        <f t="shared" si="68"/>
        <v>-179773.78334611654</v>
      </c>
    </row>
    <row r="144" spans="1:28">
      <c r="A144" s="2">
        <v>141</v>
      </c>
      <c r="B144" s="2" t="s">
        <v>681</v>
      </c>
      <c r="C144" s="2" t="s">
        <v>1764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2" t="s">
        <v>682</v>
      </c>
      <c r="I144" s="2" t="s">
        <v>461</v>
      </c>
      <c r="J144" s="2" t="s">
        <v>163</v>
      </c>
      <c r="K144" s="2">
        <f t="shared" si="57"/>
        <v>42694338.28077741</v>
      </c>
      <c r="L144" s="2" t="s">
        <v>1722</v>
      </c>
      <c r="M144" s="2" t="s">
        <v>1861</v>
      </c>
      <c r="N144" s="2" t="s">
        <v>1721</v>
      </c>
      <c r="O144" s="2">
        <v>11763</v>
      </c>
      <c r="P144" s="2">
        <v>72.152587890625</v>
      </c>
      <c r="Q144" s="2">
        <v>73.004066467285156</v>
      </c>
      <c r="R144" s="2">
        <f t="shared" si="58"/>
        <v>848730.89135742188</v>
      </c>
      <c r="S144" s="2">
        <f t="shared" si="59"/>
        <v>858746.83385467529</v>
      </c>
      <c r="T144" s="2">
        <f t="shared" si="60"/>
        <v>1707477.7252120972</v>
      </c>
      <c r="U144" s="2">
        <f t="shared" si="61"/>
        <v>853.74</v>
      </c>
      <c r="V144" s="2">
        <f t="shared" si="62"/>
        <v>10015.942497253418</v>
      </c>
      <c r="W144" s="2">
        <f t="shared" si="63"/>
        <v>9162.2024972534182</v>
      </c>
      <c r="X144" s="2">
        <f t="shared" si="64"/>
        <v>42703500.483274661</v>
      </c>
      <c r="Y144" s="2">
        <f t="shared" si="65"/>
        <v>169746.18</v>
      </c>
      <c r="Z144" s="2">
        <f t="shared" si="66"/>
        <v>5.4</v>
      </c>
      <c r="AA144" s="2">
        <f t="shared" si="67"/>
        <v>42874112.064123526</v>
      </c>
      <c r="AB144" s="2">
        <f t="shared" si="68"/>
        <v>-170611.58084886521</v>
      </c>
    </row>
    <row r="145" spans="1:28">
      <c r="A145" s="2">
        <v>142</v>
      </c>
      <c r="B145" s="2" t="s">
        <v>685</v>
      </c>
      <c r="C145" s="2" t="s">
        <v>1764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1939</v>
      </c>
      <c r="J145" s="2" t="s">
        <v>1940</v>
      </c>
      <c r="K145" s="2">
        <f t="shared" si="57"/>
        <v>42703500.483274661</v>
      </c>
      <c r="L145" s="2" t="s">
        <v>1296</v>
      </c>
      <c r="M145" s="2" t="s">
        <v>1292</v>
      </c>
      <c r="N145" s="2" t="s">
        <v>1006</v>
      </c>
      <c r="O145" s="2">
        <v>1500</v>
      </c>
      <c r="P145" s="2">
        <v>400.10232543945312</v>
      </c>
      <c r="Q145" s="2">
        <v>360.11114501953119</v>
      </c>
      <c r="R145" s="2">
        <f t="shared" si="58"/>
        <v>600153.48815917969</v>
      </c>
      <c r="S145" s="2">
        <f t="shared" si="59"/>
        <v>540166.71752929676</v>
      </c>
      <c r="T145" s="2">
        <f t="shared" si="60"/>
        <v>1140320.2056884766</v>
      </c>
      <c r="U145" s="2">
        <f t="shared" si="61"/>
        <v>570.16</v>
      </c>
      <c r="V145" s="2">
        <f t="shared" si="62"/>
        <v>-59986.770629882929</v>
      </c>
      <c r="W145" s="2">
        <f t="shared" si="63"/>
        <v>-60556.930629882932</v>
      </c>
      <c r="X145" s="2">
        <f t="shared" si="64"/>
        <v>42642943.552644782</v>
      </c>
      <c r="Y145" s="2">
        <f t="shared" si="65"/>
        <v>120030.7</v>
      </c>
      <c r="Z145" s="2">
        <f t="shared" si="66"/>
        <v>-50.45</v>
      </c>
      <c r="AA145" s="2">
        <f t="shared" si="67"/>
        <v>42874112.064123526</v>
      </c>
      <c r="AB145" s="2">
        <f t="shared" si="68"/>
        <v>-231168.51147874445</v>
      </c>
    </row>
    <row r="146" spans="1:28">
      <c r="A146" s="2">
        <v>143</v>
      </c>
      <c r="B146" s="2" t="s">
        <v>689</v>
      </c>
      <c r="C146" s="2" t="s">
        <v>1764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2" t="s">
        <v>690</v>
      </c>
      <c r="I146" s="2" t="s">
        <v>1941</v>
      </c>
      <c r="J146" s="2" t="s">
        <v>399</v>
      </c>
      <c r="K146" s="2">
        <f t="shared" si="57"/>
        <v>42642943.552644782</v>
      </c>
      <c r="L146" s="2" t="s">
        <v>1586</v>
      </c>
      <c r="M146" s="2" t="s">
        <v>1779</v>
      </c>
      <c r="N146" s="2" t="s">
        <v>1780</v>
      </c>
      <c r="O146" s="2">
        <v>2996</v>
      </c>
      <c r="P146" s="2">
        <v>156.55000305175781</v>
      </c>
      <c r="Q146" s="2">
        <v>161.1000061035156</v>
      </c>
      <c r="R146" s="2">
        <f t="shared" si="58"/>
        <v>469023.80914306641</v>
      </c>
      <c r="S146" s="2">
        <f t="shared" si="59"/>
        <v>482655.61828613275</v>
      </c>
      <c r="T146" s="2">
        <f t="shared" si="60"/>
        <v>951679.42742919922</v>
      </c>
      <c r="U146" s="2">
        <f t="shared" si="61"/>
        <v>475.84</v>
      </c>
      <c r="V146" s="2">
        <f t="shared" si="62"/>
        <v>13631.809143066348</v>
      </c>
      <c r="W146" s="2">
        <f t="shared" si="63"/>
        <v>13155.969143066348</v>
      </c>
      <c r="X146" s="2">
        <f t="shared" si="64"/>
        <v>42656099.521787845</v>
      </c>
      <c r="Y146" s="2">
        <f t="shared" si="65"/>
        <v>93804.76</v>
      </c>
      <c r="Z146" s="2">
        <f t="shared" si="66"/>
        <v>14.02</v>
      </c>
      <c r="AA146" s="2">
        <f t="shared" si="67"/>
        <v>42874112.064123526</v>
      </c>
      <c r="AB146" s="2">
        <f t="shared" si="68"/>
        <v>-218012.54233568162</v>
      </c>
    </row>
    <row r="147" spans="1:28">
      <c r="A147" s="2">
        <v>144</v>
      </c>
      <c r="B147" s="2" t="s">
        <v>692</v>
      </c>
      <c r="C147" s="2" t="s">
        <v>1764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2" t="s">
        <v>693</v>
      </c>
      <c r="I147" s="2" t="s">
        <v>1942</v>
      </c>
      <c r="J147" s="2" t="s">
        <v>1943</v>
      </c>
      <c r="K147" s="2">
        <f t="shared" si="57"/>
        <v>42656099.521787845</v>
      </c>
      <c r="L147" s="2" t="s">
        <v>1740</v>
      </c>
      <c r="M147" s="2" t="s">
        <v>1720</v>
      </c>
      <c r="N147" s="2" t="s">
        <v>1799</v>
      </c>
      <c r="O147" s="2">
        <v>551</v>
      </c>
      <c r="P147" s="2">
        <v>1548.047241210938</v>
      </c>
      <c r="Q147" s="2">
        <v>1282.981689453125</v>
      </c>
      <c r="R147" s="2">
        <f t="shared" si="58"/>
        <v>852974.0299072268</v>
      </c>
      <c r="S147" s="2">
        <f t="shared" si="59"/>
        <v>706922.91088867187</v>
      </c>
      <c r="T147" s="2">
        <f t="shared" si="60"/>
        <v>1559896.9407958987</v>
      </c>
      <c r="U147" s="2">
        <f t="shared" si="61"/>
        <v>779.95</v>
      </c>
      <c r="V147" s="2">
        <f t="shared" si="62"/>
        <v>-146051.11901855492</v>
      </c>
      <c r="W147" s="2">
        <f t="shared" si="63"/>
        <v>-146831.06901855493</v>
      </c>
      <c r="X147" s="2">
        <f t="shared" si="64"/>
        <v>42509268.452769287</v>
      </c>
      <c r="Y147" s="2">
        <f t="shared" si="65"/>
        <v>170594.81</v>
      </c>
      <c r="Z147" s="2">
        <f t="shared" si="66"/>
        <v>-86.07</v>
      </c>
      <c r="AA147" s="2">
        <f t="shared" si="67"/>
        <v>42874112.064123526</v>
      </c>
      <c r="AB147" s="2">
        <f t="shared" si="68"/>
        <v>-364843.61135423928</v>
      </c>
    </row>
    <row r="148" spans="1:28">
      <c r="A148" s="2">
        <v>145</v>
      </c>
      <c r="B148" s="2" t="s">
        <v>696</v>
      </c>
      <c r="C148" s="2" t="s">
        <v>1764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2" t="s">
        <v>697</v>
      </c>
      <c r="I148" s="2" t="s">
        <v>1944</v>
      </c>
      <c r="J148" s="2" t="s">
        <v>1945</v>
      </c>
      <c r="K148" s="2">
        <f t="shared" si="57"/>
        <v>42509268.452769287</v>
      </c>
      <c r="L148" s="2" t="s">
        <v>1867</v>
      </c>
      <c r="M148" s="2" t="s">
        <v>1584</v>
      </c>
      <c r="N148" s="2" t="s">
        <v>1783</v>
      </c>
      <c r="O148" s="2">
        <v>100</v>
      </c>
      <c r="P148" s="2">
        <v>5937.1689453125</v>
      </c>
      <c r="Q148" s="2">
        <v>4008.545654296875</v>
      </c>
      <c r="R148" s="2">
        <f t="shared" si="58"/>
        <v>593716.89453125</v>
      </c>
      <c r="S148" s="2">
        <f t="shared" si="59"/>
        <v>400854.5654296875</v>
      </c>
      <c r="T148" s="2">
        <f t="shared" si="60"/>
        <v>994571.4599609375</v>
      </c>
      <c r="U148" s="2">
        <f t="shared" si="61"/>
        <v>497.29</v>
      </c>
      <c r="V148" s="2">
        <f t="shared" si="62"/>
        <v>-192862.3291015625</v>
      </c>
      <c r="W148" s="2">
        <f t="shared" si="63"/>
        <v>-193359.61910156251</v>
      </c>
      <c r="X148" s="2">
        <f t="shared" si="64"/>
        <v>42315908.833667725</v>
      </c>
      <c r="Y148" s="2">
        <f t="shared" si="65"/>
        <v>118743.38</v>
      </c>
      <c r="Z148" s="2">
        <f t="shared" si="66"/>
        <v>-162.84</v>
      </c>
      <c r="AA148" s="2">
        <f t="shared" si="67"/>
        <v>42874112.064123526</v>
      </c>
      <c r="AB148" s="2">
        <f t="shared" si="68"/>
        <v>-558203.23045580089</v>
      </c>
    </row>
    <row r="149" spans="1:28">
      <c r="A149" s="2">
        <v>146</v>
      </c>
      <c r="B149" s="2" t="s">
        <v>701</v>
      </c>
      <c r="C149" s="2" t="s">
        <v>1764</v>
      </c>
      <c r="D149" s="3" t="s">
        <v>37</v>
      </c>
      <c r="E149" s="5" t="s">
        <v>134</v>
      </c>
      <c r="F149" s="2" t="s">
        <v>135</v>
      </c>
      <c r="G149" s="2" t="s">
        <v>77</v>
      </c>
      <c r="H149" s="2" t="s">
        <v>702</v>
      </c>
      <c r="I149" s="2" t="s">
        <v>1946</v>
      </c>
      <c r="J149" s="2" t="s">
        <v>198</v>
      </c>
      <c r="K149" s="2">
        <f t="shared" si="57"/>
        <v>42315908.833667725</v>
      </c>
      <c r="L149" s="2" t="s">
        <v>1722</v>
      </c>
      <c r="M149" s="2" t="s">
        <v>1721</v>
      </c>
      <c r="N149" s="2" t="s">
        <v>1835</v>
      </c>
      <c r="O149" s="2">
        <v>2188</v>
      </c>
      <c r="P149" s="2">
        <v>320.87811279296881</v>
      </c>
      <c r="Q149" s="2">
        <v>350.09689331054687</v>
      </c>
      <c r="R149" s="2">
        <f t="shared" si="58"/>
        <v>702081.31079101574</v>
      </c>
      <c r="S149" s="2">
        <f t="shared" si="59"/>
        <v>766012.00256347656</v>
      </c>
      <c r="T149" s="2">
        <f t="shared" si="60"/>
        <v>1468093.3133544922</v>
      </c>
      <c r="U149" s="2">
        <f t="shared" si="61"/>
        <v>734.05</v>
      </c>
      <c r="V149" s="2">
        <f t="shared" si="62"/>
        <v>63930.691772460821</v>
      </c>
      <c r="W149" s="2">
        <f t="shared" si="63"/>
        <v>63196.641772460818</v>
      </c>
      <c r="X149" s="2">
        <f t="shared" si="64"/>
        <v>42379105.475440189</v>
      </c>
      <c r="Y149" s="2">
        <f t="shared" si="65"/>
        <v>140416.26</v>
      </c>
      <c r="Z149" s="2">
        <f t="shared" si="66"/>
        <v>45.01</v>
      </c>
      <c r="AA149" s="2">
        <f t="shared" si="67"/>
        <v>42874112.064123526</v>
      </c>
      <c r="AB149" s="2">
        <f t="shared" si="68"/>
        <v>-495006.58868333697</v>
      </c>
    </row>
    <row r="150" spans="1:28">
      <c r="A150" s="2">
        <v>147</v>
      </c>
      <c r="B150" s="2" t="s">
        <v>705</v>
      </c>
      <c r="C150" s="2" t="s">
        <v>1764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1947</v>
      </c>
      <c r="J150" s="2" t="s">
        <v>1948</v>
      </c>
      <c r="K150" s="2">
        <f t="shared" si="57"/>
        <v>42379105.475440189</v>
      </c>
      <c r="L150" s="2" t="s">
        <v>1005</v>
      </c>
      <c r="M150" s="2" t="s">
        <v>1312</v>
      </c>
      <c r="N150" s="2" t="s">
        <v>1269</v>
      </c>
      <c r="O150" s="2">
        <v>3750</v>
      </c>
      <c r="P150" s="2">
        <v>302.603515625</v>
      </c>
      <c r="Q150" s="2">
        <v>299.90087890625</v>
      </c>
      <c r="R150" s="2">
        <f t="shared" si="58"/>
        <v>1134763.18359375</v>
      </c>
      <c r="S150" s="2">
        <f t="shared" si="59"/>
        <v>1124628.2958984375</v>
      </c>
      <c r="T150" s="2">
        <f t="shared" si="60"/>
        <v>2259391.4794921875</v>
      </c>
      <c r="U150" s="2">
        <f t="shared" si="61"/>
        <v>1129.7</v>
      </c>
      <c r="V150" s="2">
        <f t="shared" si="62"/>
        <v>-10134.8876953125</v>
      </c>
      <c r="W150" s="2">
        <f t="shared" si="63"/>
        <v>-11264.587695312501</v>
      </c>
      <c r="X150" s="2">
        <f t="shared" si="64"/>
        <v>42367840.887744874</v>
      </c>
      <c r="Y150" s="2">
        <f t="shared" si="65"/>
        <v>226952.64</v>
      </c>
      <c r="Z150" s="2">
        <f t="shared" si="66"/>
        <v>-4.96</v>
      </c>
      <c r="AA150" s="2">
        <f t="shared" si="67"/>
        <v>42874112.064123526</v>
      </c>
      <c r="AB150" s="2">
        <f t="shared" si="68"/>
        <v>-506271.17637865245</v>
      </c>
    </row>
    <row r="151" spans="1:28">
      <c r="A151" s="2">
        <v>148</v>
      </c>
      <c r="B151" s="2" t="s">
        <v>708</v>
      </c>
      <c r="C151" s="2" t="s">
        <v>1764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2" t="s">
        <v>579</v>
      </c>
      <c r="I151" s="2" t="s">
        <v>1600</v>
      </c>
      <c r="J151" s="2" t="s">
        <v>1949</v>
      </c>
      <c r="K151" s="2">
        <f t="shared" si="57"/>
        <v>42367840.887744874</v>
      </c>
      <c r="L151" s="2" t="s">
        <v>1950</v>
      </c>
      <c r="M151" s="2" t="s">
        <v>1951</v>
      </c>
      <c r="N151" s="2" t="s">
        <v>1952</v>
      </c>
      <c r="O151" s="2">
        <v>100</v>
      </c>
      <c r="P151" s="2">
        <v>34025</v>
      </c>
      <c r="Q151" s="2">
        <v>35744.550000000003</v>
      </c>
      <c r="R151" s="2">
        <f t="shared" si="58"/>
        <v>3402500</v>
      </c>
      <c r="S151" s="2">
        <f t="shared" si="59"/>
        <v>3574455.0000000005</v>
      </c>
      <c r="T151" s="2">
        <f t="shared" si="60"/>
        <v>6976955</v>
      </c>
      <c r="U151" s="2">
        <f t="shared" si="61"/>
        <v>3488.48</v>
      </c>
      <c r="V151" s="2">
        <f t="shared" si="62"/>
        <v>171955.00000000047</v>
      </c>
      <c r="W151" s="2">
        <f t="shared" si="63"/>
        <v>168466.52000000046</v>
      </c>
      <c r="X151" s="2">
        <f t="shared" si="64"/>
        <v>42536307.407744877</v>
      </c>
      <c r="Y151" s="2">
        <f t="shared" si="65"/>
        <v>680500</v>
      </c>
      <c r="Z151" s="2">
        <f t="shared" si="66"/>
        <v>24.76</v>
      </c>
      <c r="AA151" s="2">
        <f t="shared" si="67"/>
        <v>42874112.064123526</v>
      </c>
      <c r="AB151" s="2">
        <f t="shared" si="68"/>
        <v>-337804.65637864918</v>
      </c>
    </row>
    <row r="152" spans="1:28">
      <c r="A152" s="2">
        <v>149</v>
      </c>
      <c r="B152" s="2" t="s">
        <v>710</v>
      </c>
      <c r="C152" s="2" t="s">
        <v>1764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2" t="s">
        <v>711</v>
      </c>
      <c r="I152" s="2" t="s">
        <v>599</v>
      </c>
      <c r="J152" s="2" t="s">
        <v>1181</v>
      </c>
      <c r="K152" s="2">
        <f t="shared" si="57"/>
        <v>42536307.407744877</v>
      </c>
      <c r="L152" s="2" t="s">
        <v>1808</v>
      </c>
      <c r="M152" s="2" t="s">
        <v>1722</v>
      </c>
      <c r="N152" s="2" t="s">
        <v>1801</v>
      </c>
      <c r="O152" s="2">
        <v>2806</v>
      </c>
      <c r="P152" s="2">
        <v>525.74737548828125</v>
      </c>
      <c r="Q152" s="2">
        <v>514.781982421875</v>
      </c>
      <c r="R152" s="2">
        <f t="shared" si="58"/>
        <v>1475247.1356201172</v>
      </c>
      <c r="S152" s="2">
        <f t="shared" si="59"/>
        <v>1444478.2426757813</v>
      </c>
      <c r="T152" s="2">
        <f t="shared" si="60"/>
        <v>2919725.3782958984</v>
      </c>
      <c r="U152" s="2">
        <f t="shared" si="61"/>
        <v>1459.86</v>
      </c>
      <c r="V152" s="2">
        <f t="shared" si="62"/>
        <v>-30768.892944335938</v>
      </c>
      <c r="W152" s="2">
        <f t="shared" si="63"/>
        <v>-32228.752944335938</v>
      </c>
      <c r="X152" s="2">
        <f t="shared" si="64"/>
        <v>42504078.654800542</v>
      </c>
      <c r="Y152" s="2">
        <f t="shared" si="65"/>
        <v>295049.43</v>
      </c>
      <c r="Z152" s="2">
        <f t="shared" si="66"/>
        <v>-10.92</v>
      </c>
      <c r="AA152" s="2">
        <f t="shared" si="67"/>
        <v>42874112.064123526</v>
      </c>
      <c r="AB152" s="2">
        <f t="shared" si="68"/>
        <v>-370033.40932298452</v>
      </c>
    </row>
    <row r="153" spans="1:28">
      <c r="A153" s="2">
        <v>150</v>
      </c>
      <c r="B153" s="2" t="s">
        <v>714</v>
      </c>
      <c r="C153" s="2" t="s">
        <v>1764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2" t="s">
        <v>715</v>
      </c>
      <c r="I153" s="2" t="s">
        <v>1953</v>
      </c>
      <c r="J153" s="2" t="s">
        <v>1954</v>
      </c>
      <c r="K153" s="2">
        <f t="shared" si="57"/>
        <v>42504078.654800542</v>
      </c>
      <c r="L153" s="2" t="s">
        <v>1740</v>
      </c>
      <c r="M153" s="2" t="s">
        <v>1585</v>
      </c>
      <c r="N153" s="2" t="s">
        <v>1823</v>
      </c>
      <c r="O153" s="2">
        <v>750</v>
      </c>
      <c r="P153" s="2">
        <v>752.04998779296875</v>
      </c>
      <c r="Q153" s="2">
        <v>692.45001220703125</v>
      </c>
      <c r="R153" s="2">
        <f t="shared" si="58"/>
        <v>564037.49084472656</v>
      </c>
      <c r="S153" s="2">
        <f t="shared" si="59"/>
        <v>519337.50915527344</v>
      </c>
      <c r="T153" s="2">
        <f t="shared" si="60"/>
        <v>1083375</v>
      </c>
      <c r="U153" s="2">
        <f t="shared" si="61"/>
        <v>541.69000000000005</v>
      </c>
      <c r="V153" s="2">
        <f t="shared" si="62"/>
        <v>-44699.981689453125</v>
      </c>
      <c r="W153" s="2">
        <f t="shared" si="63"/>
        <v>-45241.671689453127</v>
      </c>
      <c r="X153" s="2">
        <f t="shared" si="64"/>
        <v>42458836.983111091</v>
      </c>
      <c r="Y153" s="2">
        <f t="shared" si="65"/>
        <v>112807.5</v>
      </c>
      <c r="Z153" s="2">
        <f t="shared" si="66"/>
        <v>-40.11</v>
      </c>
      <c r="AA153" s="2">
        <f t="shared" si="67"/>
        <v>42874112.064123526</v>
      </c>
      <c r="AB153" s="2">
        <f t="shared" si="68"/>
        <v>-415275.08101243526</v>
      </c>
    </row>
    <row r="154" spans="1:28">
      <c r="A154" s="2">
        <v>151</v>
      </c>
      <c r="B154" s="2" t="s">
        <v>718</v>
      </c>
      <c r="C154" s="2" t="s">
        <v>1764</v>
      </c>
      <c r="D154" s="3" t="s">
        <v>37</v>
      </c>
      <c r="E154" s="5" t="s">
        <v>134</v>
      </c>
      <c r="F154" s="2" t="s">
        <v>135</v>
      </c>
      <c r="G154" s="2" t="s">
        <v>40</v>
      </c>
      <c r="H154" s="2" t="s">
        <v>691</v>
      </c>
      <c r="I154" s="2" t="s">
        <v>1955</v>
      </c>
      <c r="J154" s="2" t="s">
        <v>1956</v>
      </c>
      <c r="K154" s="2">
        <f t="shared" si="57"/>
        <v>42458836.983111091</v>
      </c>
      <c r="L154" s="2" t="s">
        <v>1845</v>
      </c>
      <c r="M154" s="2" t="s">
        <v>1585</v>
      </c>
      <c r="N154" s="2" t="s">
        <v>1650</v>
      </c>
      <c r="O154" s="2">
        <v>181</v>
      </c>
      <c r="P154" s="2">
        <v>3621.398193359375</v>
      </c>
      <c r="Q154" s="2">
        <v>4237.76171875</v>
      </c>
      <c r="R154" s="2">
        <f t="shared" si="58"/>
        <v>655473.07299804688</v>
      </c>
      <c r="S154" s="2">
        <f t="shared" si="59"/>
        <v>767034.87109375</v>
      </c>
      <c r="T154" s="2">
        <f t="shared" si="60"/>
        <v>1422507.9440917969</v>
      </c>
      <c r="U154" s="2">
        <f t="shared" si="61"/>
        <v>711.25</v>
      </c>
      <c r="V154" s="2">
        <f t="shared" si="62"/>
        <v>111561.79809570312</v>
      </c>
      <c r="W154" s="2">
        <f t="shared" si="63"/>
        <v>110850.54809570313</v>
      </c>
      <c r="X154" s="2">
        <f t="shared" si="64"/>
        <v>42569687.531206794</v>
      </c>
      <c r="Y154" s="2">
        <f t="shared" si="65"/>
        <v>131094.60999999999</v>
      </c>
      <c r="Z154" s="2">
        <f t="shared" si="66"/>
        <v>84.56</v>
      </c>
      <c r="AA154" s="2">
        <f t="shared" si="67"/>
        <v>42874112.064123526</v>
      </c>
      <c r="AB154" s="2">
        <f t="shared" si="68"/>
        <v>-304424.53291673213</v>
      </c>
    </row>
    <row r="155" spans="1:28">
      <c r="A155" s="2">
        <v>152</v>
      </c>
      <c r="B155" s="2" t="s">
        <v>720</v>
      </c>
      <c r="C155" s="2" t="s">
        <v>1764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2" t="s">
        <v>320</v>
      </c>
      <c r="I155" s="2" t="s">
        <v>1957</v>
      </c>
      <c r="J155" s="2" t="s">
        <v>1958</v>
      </c>
      <c r="K155" s="2">
        <f t="shared" si="57"/>
        <v>42569687.531206794</v>
      </c>
      <c r="L155" s="2" t="s">
        <v>1823</v>
      </c>
      <c r="M155" s="2" t="s">
        <v>1778</v>
      </c>
      <c r="N155" s="2" t="s">
        <v>1720</v>
      </c>
      <c r="O155" s="2">
        <v>3585</v>
      </c>
      <c r="P155" s="2">
        <v>253.31333923339841</v>
      </c>
      <c r="Q155" s="2">
        <v>225.79032897949219</v>
      </c>
      <c r="R155" s="2">
        <f t="shared" si="58"/>
        <v>908128.32115173328</v>
      </c>
      <c r="S155" s="2">
        <f t="shared" si="59"/>
        <v>809458.32939147949</v>
      </c>
      <c r="T155" s="2">
        <f t="shared" si="60"/>
        <v>1717586.6505432129</v>
      </c>
      <c r="U155" s="2">
        <f t="shared" si="61"/>
        <v>858.79</v>
      </c>
      <c r="V155" s="2">
        <f t="shared" si="62"/>
        <v>-98669.99176025379</v>
      </c>
      <c r="W155" s="2">
        <f t="shared" si="63"/>
        <v>-99528.781760253783</v>
      </c>
      <c r="X155" s="2">
        <f t="shared" si="64"/>
        <v>42470158.749446541</v>
      </c>
      <c r="Y155" s="2">
        <f t="shared" si="65"/>
        <v>181625.66</v>
      </c>
      <c r="Z155" s="2">
        <f t="shared" si="66"/>
        <v>-54.8</v>
      </c>
      <c r="AA155" s="2">
        <f t="shared" si="67"/>
        <v>42874112.064123526</v>
      </c>
      <c r="AB155" s="2">
        <f t="shared" si="68"/>
        <v>-403953.31467698514</v>
      </c>
    </row>
    <row r="156" spans="1:28">
      <c r="A156" s="2">
        <v>153</v>
      </c>
      <c r="B156" s="2" t="s">
        <v>723</v>
      </c>
      <c r="C156" s="2" t="s">
        <v>1764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2" t="s">
        <v>724</v>
      </c>
      <c r="I156" s="2" t="s">
        <v>1959</v>
      </c>
      <c r="J156" s="2" t="s">
        <v>1960</v>
      </c>
      <c r="K156" s="2">
        <f t="shared" si="57"/>
        <v>42470158.749446541</v>
      </c>
      <c r="L156" s="2" t="s">
        <v>1961</v>
      </c>
      <c r="M156" s="2" t="s">
        <v>1962</v>
      </c>
      <c r="N156" s="2" t="s">
        <v>1963</v>
      </c>
      <c r="O156" s="2">
        <v>2346</v>
      </c>
      <c r="P156" s="2">
        <v>278.498779296875</v>
      </c>
      <c r="Q156" s="2">
        <v>214.46112060546881</v>
      </c>
      <c r="R156" s="2">
        <f t="shared" si="58"/>
        <v>653358.13623046875</v>
      </c>
      <c r="S156" s="2">
        <f t="shared" si="59"/>
        <v>503125.7889404298</v>
      </c>
      <c r="T156" s="2">
        <f t="shared" si="60"/>
        <v>1156483.9251708984</v>
      </c>
      <c r="U156" s="2">
        <f t="shared" si="61"/>
        <v>578.24</v>
      </c>
      <c r="V156" s="2">
        <f t="shared" si="62"/>
        <v>-150232.34729003895</v>
      </c>
      <c r="W156" s="2">
        <f t="shared" si="63"/>
        <v>-150810.58729003894</v>
      </c>
      <c r="X156" s="2">
        <f t="shared" si="64"/>
        <v>42319348.1621565</v>
      </c>
      <c r="Y156" s="2">
        <f t="shared" si="65"/>
        <v>130671.63</v>
      </c>
      <c r="Z156" s="2">
        <f t="shared" si="66"/>
        <v>-115.41</v>
      </c>
      <c r="AA156" s="2">
        <f t="shared" si="67"/>
        <v>42874112.064123526</v>
      </c>
      <c r="AB156" s="2">
        <f t="shared" si="68"/>
        <v>-554763.90196702629</v>
      </c>
    </row>
    <row r="157" spans="1:28">
      <c r="A157" s="2">
        <v>154</v>
      </c>
      <c r="B157" s="2" t="s">
        <v>727</v>
      </c>
      <c r="C157" s="2" t="s">
        <v>1764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2" t="s">
        <v>728</v>
      </c>
      <c r="I157" s="2" t="s">
        <v>1046</v>
      </c>
      <c r="J157" s="2" t="s">
        <v>1964</v>
      </c>
      <c r="K157" s="2">
        <f t="shared" si="57"/>
        <v>42319348.1621565</v>
      </c>
      <c r="L157" s="2" t="s">
        <v>1780</v>
      </c>
      <c r="M157" s="2" t="s">
        <v>1835</v>
      </c>
      <c r="N157" s="2" t="s">
        <v>1809</v>
      </c>
      <c r="O157" s="2">
        <v>1631</v>
      </c>
      <c r="P157" s="2">
        <v>196.26945495605469</v>
      </c>
      <c r="Q157" s="2">
        <v>177.0042419433594</v>
      </c>
      <c r="R157" s="2">
        <f t="shared" si="58"/>
        <v>320115.4810333252</v>
      </c>
      <c r="S157" s="2">
        <f t="shared" si="59"/>
        <v>288693.9186096192</v>
      </c>
      <c r="T157" s="2">
        <f t="shared" si="60"/>
        <v>608809.39964294434</v>
      </c>
      <c r="U157" s="2">
        <f t="shared" si="61"/>
        <v>304.39999999999998</v>
      </c>
      <c r="V157" s="2">
        <f t="shared" si="62"/>
        <v>-31421.562423705996</v>
      </c>
      <c r="W157" s="2">
        <f t="shared" si="63"/>
        <v>-31725.962423705998</v>
      </c>
      <c r="X157" s="2">
        <f t="shared" si="64"/>
        <v>42287622.199732795</v>
      </c>
      <c r="Y157" s="2">
        <f t="shared" si="65"/>
        <v>64023.1</v>
      </c>
      <c r="Z157" s="2">
        <f t="shared" si="66"/>
        <v>-49.55</v>
      </c>
      <c r="AA157" s="2">
        <f t="shared" si="67"/>
        <v>42874112.064123526</v>
      </c>
      <c r="AB157" s="2">
        <f t="shared" si="68"/>
        <v>-586489.86439073086</v>
      </c>
    </row>
    <row r="158" spans="1:28">
      <c r="A158" s="2">
        <v>155</v>
      </c>
      <c r="B158" s="2" t="s">
        <v>729</v>
      </c>
      <c r="C158" s="2" t="s">
        <v>1764</v>
      </c>
      <c r="D158" s="4" t="s">
        <v>61</v>
      </c>
      <c r="E158" s="5" t="s">
        <v>134</v>
      </c>
      <c r="F158" s="2" t="s">
        <v>135</v>
      </c>
      <c r="G158" s="2" t="s">
        <v>54</v>
      </c>
      <c r="H158" s="2" t="s">
        <v>104</v>
      </c>
      <c r="I158" s="2" t="s">
        <v>706</v>
      </c>
      <c r="J158" s="2" t="s">
        <v>1965</v>
      </c>
      <c r="K158" s="2">
        <f t="shared" si="57"/>
        <v>42287622.199732795</v>
      </c>
      <c r="L158" s="2" t="s">
        <v>1801</v>
      </c>
      <c r="M158" s="2" t="s">
        <v>1813</v>
      </c>
      <c r="N158" s="2" t="s">
        <v>1809</v>
      </c>
      <c r="O158" s="2">
        <v>529</v>
      </c>
      <c r="P158" s="2">
        <v>1388.626098632812</v>
      </c>
      <c r="Q158" s="2">
        <v>1399.094360351562</v>
      </c>
      <c r="R158" s="2">
        <f t="shared" si="58"/>
        <v>734583.20617675758</v>
      </c>
      <c r="S158" s="2">
        <f t="shared" si="59"/>
        <v>740120.91662597633</v>
      </c>
      <c r="T158" s="2">
        <f t="shared" si="60"/>
        <v>1474704.1228027339</v>
      </c>
      <c r="U158" s="2">
        <f t="shared" si="61"/>
        <v>737.35</v>
      </c>
      <c r="V158" s="2">
        <f t="shared" si="62"/>
        <v>5537.71044921875</v>
      </c>
      <c r="W158" s="2">
        <f t="shared" si="63"/>
        <v>4800.3604492187496</v>
      </c>
      <c r="X158" s="2">
        <f t="shared" si="64"/>
        <v>42292422.560182013</v>
      </c>
      <c r="Y158" s="2">
        <f t="shared" si="65"/>
        <v>146916.64000000001</v>
      </c>
      <c r="Z158" s="2">
        <f t="shared" si="66"/>
        <v>3.27</v>
      </c>
      <c r="AA158" s="2">
        <f t="shared" si="67"/>
        <v>42874112.064123526</v>
      </c>
      <c r="AB158" s="2">
        <f t="shared" si="68"/>
        <v>-581689.5039415136</v>
      </c>
    </row>
    <row r="159" spans="1:28">
      <c r="A159" s="2">
        <v>156</v>
      </c>
      <c r="B159" s="2" t="s">
        <v>732</v>
      </c>
      <c r="C159" s="2" t="s">
        <v>1764</v>
      </c>
      <c r="D159" s="3" t="s">
        <v>37</v>
      </c>
      <c r="E159" s="5" t="s">
        <v>134</v>
      </c>
      <c r="F159" s="2" t="s">
        <v>135</v>
      </c>
      <c r="G159" s="2" t="s">
        <v>77</v>
      </c>
      <c r="H159" s="2" t="s">
        <v>733</v>
      </c>
      <c r="I159" s="2" t="s">
        <v>1966</v>
      </c>
      <c r="J159" s="2" t="s">
        <v>1829</v>
      </c>
      <c r="K159" s="2">
        <f t="shared" si="57"/>
        <v>42292422.560182013</v>
      </c>
      <c r="L159" s="2" t="s">
        <v>1842</v>
      </c>
      <c r="M159" s="2" t="s">
        <v>1586</v>
      </c>
      <c r="N159" s="2" t="s">
        <v>1584</v>
      </c>
      <c r="O159" s="2">
        <v>613</v>
      </c>
      <c r="P159" s="2">
        <v>1323.722534179688</v>
      </c>
      <c r="Q159" s="2">
        <v>1270.61962890625</v>
      </c>
      <c r="R159" s="2">
        <f t="shared" si="58"/>
        <v>811441.91345214867</v>
      </c>
      <c r="S159" s="2">
        <f t="shared" si="59"/>
        <v>778889.83251953125</v>
      </c>
      <c r="T159" s="2">
        <f t="shared" si="60"/>
        <v>1590331.7459716799</v>
      </c>
      <c r="U159" s="2">
        <f t="shared" si="61"/>
        <v>795.17</v>
      </c>
      <c r="V159" s="2">
        <f t="shared" si="62"/>
        <v>-32552.08093261742</v>
      </c>
      <c r="W159" s="2">
        <f t="shared" si="63"/>
        <v>-33347.250932617419</v>
      </c>
      <c r="X159" s="2">
        <f t="shared" si="64"/>
        <v>42259075.309249394</v>
      </c>
      <c r="Y159" s="2">
        <f t="shared" si="65"/>
        <v>162288.38</v>
      </c>
      <c r="Z159" s="2">
        <f t="shared" si="66"/>
        <v>-20.55</v>
      </c>
      <c r="AA159" s="2">
        <f t="shared" si="67"/>
        <v>42874112.064123526</v>
      </c>
      <c r="AB159" s="2">
        <f t="shared" si="68"/>
        <v>-615036.75487413257</v>
      </c>
    </row>
    <row r="160" spans="1:28">
      <c r="A160" s="2">
        <v>157</v>
      </c>
      <c r="B160" s="2" t="s">
        <v>736</v>
      </c>
      <c r="C160" s="2" t="s">
        <v>1764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2" t="s">
        <v>676</v>
      </c>
      <c r="I160" s="2" t="s">
        <v>1325</v>
      </c>
      <c r="J160" s="2" t="s">
        <v>206</v>
      </c>
      <c r="K160" s="2">
        <f t="shared" si="57"/>
        <v>42259075.309249394</v>
      </c>
      <c r="L160" s="2" t="s">
        <v>1784</v>
      </c>
      <c r="M160" s="2" t="s">
        <v>1789</v>
      </c>
      <c r="N160" s="2" t="s">
        <v>1722</v>
      </c>
      <c r="O160" s="2">
        <v>360</v>
      </c>
      <c r="P160" s="2">
        <v>3340.2001953125</v>
      </c>
      <c r="Q160" s="2">
        <v>3370.703857421875</v>
      </c>
      <c r="R160" s="2">
        <f t="shared" si="58"/>
        <v>1202472.0703125</v>
      </c>
      <c r="S160" s="2">
        <f t="shared" si="59"/>
        <v>1213453.388671875</v>
      </c>
      <c r="T160" s="2">
        <f t="shared" si="60"/>
        <v>2415925.458984375</v>
      </c>
      <c r="U160" s="2">
        <f t="shared" si="61"/>
        <v>1207.96</v>
      </c>
      <c r="V160" s="2">
        <f t="shared" si="62"/>
        <v>10981.318359375</v>
      </c>
      <c r="W160" s="2">
        <f t="shared" si="63"/>
        <v>9773.3583593750009</v>
      </c>
      <c r="X160" s="2">
        <f t="shared" si="64"/>
        <v>42268848.667608768</v>
      </c>
      <c r="Y160" s="2">
        <f t="shared" si="65"/>
        <v>240494.41</v>
      </c>
      <c r="Z160" s="2">
        <f t="shared" si="66"/>
        <v>4.0599999999999996</v>
      </c>
      <c r="AA160" s="2">
        <f t="shared" si="67"/>
        <v>42874112.064123526</v>
      </c>
      <c r="AB160" s="2">
        <f t="shared" si="68"/>
        <v>-605263.39651475847</v>
      </c>
    </row>
    <row r="161" spans="1:28">
      <c r="A161" s="2">
        <v>158</v>
      </c>
      <c r="B161" s="2" t="s">
        <v>738</v>
      </c>
      <c r="C161" s="2" t="s">
        <v>1764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2" t="s">
        <v>427</v>
      </c>
      <c r="I161" s="2" t="s">
        <v>1967</v>
      </c>
      <c r="J161" s="2" t="s">
        <v>1968</v>
      </c>
      <c r="K161" s="2">
        <f t="shared" si="57"/>
        <v>42268848.667608768</v>
      </c>
      <c r="L161" s="2" t="s">
        <v>1298</v>
      </c>
      <c r="M161" s="2" t="s">
        <v>1572</v>
      </c>
      <c r="N161" s="2" t="s">
        <v>1559</v>
      </c>
      <c r="O161" s="2">
        <v>8957</v>
      </c>
      <c r="P161" s="2">
        <v>114.8958282470703</v>
      </c>
      <c r="Q161" s="2">
        <v>128.102783203125</v>
      </c>
      <c r="R161" s="2">
        <f t="shared" si="58"/>
        <v>1029121.9336090087</v>
      </c>
      <c r="S161" s="2">
        <f t="shared" si="59"/>
        <v>1147416.6291503906</v>
      </c>
      <c r="T161" s="2">
        <f t="shared" si="60"/>
        <v>2176538.5627593994</v>
      </c>
      <c r="U161" s="2">
        <f t="shared" si="61"/>
        <v>1088.27</v>
      </c>
      <c r="V161" s="2">
        <f t="shared" si="62"/>
        <v>118294.69554138195</v>
      </c>
      <c r="W161" s="2">
        <f t="shared" si="63"/>
        <v>117206.42554138195</v>
      </c>
      <c r="X161" s="2">
        <f t="shared" si="64"/>
        <v>42386055.093150146</v>
      </c>
      <c r="Y161" s="2">
        <f t="shared" si="65"/>
        <v>205824.39</v>
      </c>
      <c r="Z161" s="2">
        <f t="shared" si="66"/>
        <v>56.94</v>
      </c>
      <c r="AA161" s="2">
        <f t="shared" si="67"/>
        <v>42874112.064123526</v>
      </c>
      <c r="AB161" s="2">
        <f t="shared" si="68"/>
        <v>-488056.97097337991</v>
      </c>
    </row>
    <row r="162" spans="1:28">
      <c r="A162" s="2">
        <v>159</v>
      </c>
      <c r="B162" s="2" t="s">
        <v>741</v>
      </c>
      <c r="C162" s="2" t="s">
        <v>1764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2" t="s">
        <v>314</v>
      </c>
      <c r="I162" s="2" t="s">
        <v>500</v>
      </c>
      <c r="J162" s="2" t="s">
        <v>1969</v>
      </c>
      <c r="K162" s="2">
        <f t="shared" si="57"/>
        <v>42386055.093150146</v>
      </c>
      <c r="L162" s="2" t="s">
        <v>1783</v>
      </c>
      <c r="M162" s="2" t="s">
        <v>1808</v>
      </c>
      <c r="N162" s="2" t="s">
        <v>1586</v>
      </c>
      <c r="O162" s="2">
        <v>967</v>
      </c>
      <c r="P162" s="2">
        <v>815.94207763671875</v>
      </c>
      <c r="Q162" s="2">
        <v>823.35430908203125</v>
      </c>
      <c r="R162" s="2">
        <f t="shared" si="58"/>
        <v>789015.98907470703</v>
      </c>
      <c r="S162" s="2">
        <f t="shared" si="59"/>
        <v>796183.61688232422</v>
      </c>
      <c r="T162" s="2">
        <f t="shared" si="60"/>
        <v>1585199.6059570313</v>
      </c>
      <c r="U162" s="2">
        <f t="shared" si="61"/>
        <v>792.6</v>
      </c>
      <c r="V162" s="2">
        <f t="shared" si="62"/>
        <v>7167.6278076171875</v>
      </c>
      <c r="W162" s="2">
        <f t="shared" si="63"/>
        <v>6375.0278076171871</v>
      </c>
      <c r="X162" s="2">
        <f t="shared" si="64"/>
        <v>42392430.120957762</v>
      </c>
      <c r="Y162" s="2">
        <f t="shared" si="65"/>
        <v>157803.20000000001</v>
      </c>
      <c r="Z162" s="2">
        <f t="shared" si="66"/>
        <v>4.04</v>
      </c>
      <c r="AA162" s="2">
        <f t="shared" si="67"/>
        <v>42874112.064123526</v>
      </c>
      <c r="AB162" s="2">
        <f t="shared" si="68"/>
        <v>-481681.94316576421</v>
      </c>
    </row>
    <row r="163" spans="1:28">
      <c r="A163" s="2">
        <v>160</v>
      </c>
      <c r="B163" s="2" t="s">
        <v>743</v>
      </c>
      <c r="C163" s="2" t="s">
        <v>1764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2" t="s">
        <v>744</v>
      </c>
      <c r="I163" s="2" t="s">
        <v>1970</v>
      </c>
      <c r="J163" s="2" t="s">
        <v>1971</v>
      </c>
      <c r="K163" s="2">
        <f t="shared" si="57"/>
        <v>42392430.120957762</v>
      </c>
      <c r="L163" s="2" t="s">
        <v>1823</v>
      </c>
      <c r="M163" s="2" t="s">
        <v>1784</v>
      </c>
      <c r="N163" s="2" t="s">
        <v>1720</v>
      </c>
      <c r="O163" s="2">
        <v>627</v>
      </c>
      <c r="P163" s="2">
        <v>897</v>
      </c>
      <c r="Q163" s="2">
        <v>1002.400024414062</v>
      </c>
      <c r="R163" s="2">
        <f t="shared" si="58"/>
        <v>562419</v>
      </c>
      <c r="S163" s="2">
        <f t="shared" si="59"/>
        <v>628504.81530761695</v>
      </c>
      <c r="T163" s="2">
        <f t="shared" si="60"/>
        <v>1190923.815307617</v>
      </c>
      <c r="U163" s="2">
        <f t="shared" si="61"/>
        <v>595.46</v>
      </c>
      <c r="V163" s="2">
        <f t="shared" si="62"/>
        <v>66085.815307616955</v>
      </c>
      <c r="W163" s="2">
        <f t="shared" si="63"/>
        <v>65490.355307616956</v>
      </c>
      <c r="X163" s="2">
        <f t="shared" si="64"/>
        <v>42457920.476265378</v>
      </c>
      <c r="Y163" s="2">
        <f t="shared" si="65"/>
        <v>112483.8</v>
      </c>
      <c r="Z163" s="2">
        <f t="shared" si="66"/>
        <v>58.22</v>
      </c>
      <c r="AA163" s="2">
        <f t="shared" si="67"/>
        <v>42874112.064123526</v>
      </c>
      <c r="AB163" s="2">
        <f t="shared" si="68"/>
        <v>-416191.58785814792</v>
      </c>
    </row>
    <row r="164" spans="1:28">
      <c r="A164" s="2">
        <v>161</v>
      </c>
      <c r="B164" s="2" t="s">
        <v>746</v>
      </c>
      <c r="C164" s="2" t="s">
        <v>1764</v>
      </c>
      <c r="D164" s="4" t="s">
        <v>61</v>
      </c>
      <c r="E164" s="5" t="s">
        <v>134</v>
      </c>
      <c r="F164" s="2" t="s">
        <v>135</v>
      </c>
      <c r="G164" s="2" t="s">
        <v>77</v>
      </c>
      <c r="H164" s="2" t="s">
        <v>747</v>
      </c>
      <c r="I164" s="2" t="s">
        <v>1205</v>
      </c>
      <c r="J164" s="2" t="s">
        <v>1972</v>
      </c>
      <c r="K164" s="2">
        <f t="shared" si="57"/>
        <v>42457920.476265378</v>
      </c>
      <c r="L164" s="2" t="s">
        <v>1740</v>
      </c>
      <c r="M164" s="2" t="s">
        <v>1823</v>
      </c>
      <c r="N164" s="2" t="s">
        <v>1842</v>
      </c>
      <c r="O164" s="2">
        <v>112</v>
      </c>
      <c r="P164" s="2">
        <v>4357.26025390625</v>
      </c>
      <c r="Q164" s="2">
        <v>4136.08154296875</v>
      </c>
      <c r="R164" s="2">
        <f t="shared" si="58"/>
        <v>488013.1484375</v>
      </c>
      <c r="S164" s="2">
        <f t="shared" si="59"/>
        <v>463241.1328125</v>
      </c>
      <c r="T164" s="2">
        <f t="shared" si="60"/>
        <v>951254.28125</v>
      </c>
      <c r="U164" s="2">
        <f t="shared" si="61"/>
        <v>475.63</v>
      </c>
      <c r="V164" s="2">
        <f t="shared" si="62"/>
        <v>-24772.015625</v>
      </c>
      <c r="W164" s="2">
        <f t="shared" si="63"/>
        <v>-25247.645625000001</v>
      </c>
      <c r="X164" s="2">
        <f t="shared" si="64"/>
        <v>42432672.830640376</v>
      </c>
      <c r="Y164" s="2">
        <f t="shared" si="65"/>
        <v>97602.63</v>
      </c>
      <c r="Z164" s="2">
        <f t="shared" si="66"/>
        <v>-25.87</v>
      </c>
      <c r="AA164" s="2">
        <f t="shared" si="67"/>
        <v>42874112.064123526</v>
      </c>
      <c r="AB164" s="2">
        <f t="shared" si="68"/>
        <v>-441439.2334831506</v>
      </c>
    </row>
    <row r="165" spans="1:28">
      <c r="A165" s="2">
        <v>162</v>
      </c>
      <c r="B165" s="2" t="s">
        <v>750</v>
      </c>
      <c r="C165" s="2" t="s">
        <v>1764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1973</v>
      </c>
      <c r="J165" s="2" t="s">
        <v>1045</v>
      </c>
      <c r="K165" s="2">
        <f t="shared" si="57"/>
        <v>42432672.830640376</v>
      </c>
      <c r="L165" s="2" t="s">
        <v>1244</v>
      </c>
      <c r="M165" s="2" t="s">
        <v>1268</v>
      </c>
      <c r="N165" s="2" t="s">
        <v>1245</v>
      </c>
      <c r="O165" s="2">
        <v>1800</v>
      </c>
      <c r="P165" s="2">
        <v>337.9288330078125</v>
      </c>
      <c r="Q165" s="2">
        <v>315.515625</v>
      </c>
      <c r="R165" s="2">
        <f t="shared" si="58"/>
        <v>608271.8994140625</v>
      </c>
      <c r="S165" s="2">
        <f t="shared" si="59"/>
        <v>567928.125</v>
      </c>
      <c r="T165" s="2">
        <f t="shared" si="60"/>
        <v>1176200.0244140625</v>
      </c>
      <c r="U165" s="2">
        <f t="shared" si="61"/>
        <v>588.1</v>
      </c>
      <c r="V165" s="2">
        <f t="shared" si="62"/>
        <v>-40343.7744140625</v>
      </c>
      <c r="W165" s="2">
        <f t="shared" si="63"/>
        <v>-40931.874414062499</v>
      </c>
      <c r="X165" s="2">
        <f t="shared" si="64"/>
        <v>42391740.956226312</v>
      </c>
      <c r="Y165" s="2">
        <f t="shared" si="65"/>
        <v>121654.38</v>
      </c>
      <c r="Z165" s="2">
        <f t="shared" si="66"/>
        <v>-33.65</v>
      </c>
      <c r="AA165" s="2">
        <f t="shared" si="67"/>
        <v>42874112.064123526</v>
      </c>
      <c r="AB165" s="2">
        <f t="shared" si="68"/>
        <v>-482371.10789721459</v>
      </c>
    </row>
    <row r="166" spans="1:28">
      <c r="A166" s="2">
        <v>163</v>
      </c>
      <c r="B166" s="2" t="s">
        <v>754</v>
      </c>
      <c r="C166" s="2" t="s">
        <v>1764</v>
      </c>
      <c r="D166" s="4" t="s">
        <v>61</v>
      </c>
      <c r="E166" s="5" t="s">
        <v>134</v>
      </c>
      <c r="F166" s="2" t="s">
        <v>135</v>
      </c>
      <c r="G166" s="2" t="s">
        <v>97</v>
      </c>
      <c r="H166" s="2" t="s">
        <v>755</v>
      </c>
      <c r="I166" s="2" t="s">
        <v>755</v>
      </c>
      <c r="J166" s="2" t="s">
        <v>42</v>
      </c>
      <c r="K166" s="2">
        <f t="shared" si="57"/>
        <v>42391740.956226312</v>
      </c>
      <c r="L166" s="2" t="s">
        <v>756</v>
      </c>
      <c r="M166" s="2" t="s">
        <v>757</v>
      </c>
      <c r="N166" s="2" t="s">
        <v>1808</v>
      </c>
      <c r="O166" s="2">
        <v>100</v>
      </c>
      <c r="P166" s="2">
        <v>18220</v>
      </c>
      <c r="Q166" s="2">
        <v>18225</v>
      </c>
      <c r="R166" s="2">
        <f t="shared" si="58"/>
        <v>1822000</v>
      </c>
      <c r="S166" s="2">
        <f t="shared" si="59"/>
        <v>1822500</v>
      </c>
      <c r="T166" s="2">
        <f t="shared" si="60"/>
        <v>3644500</v>
      </c>
      <c r="U166" s="2">
        <f t="shared" si="61"/>
        <v>1822.25</v>
      </c>
      <c r="V166" s="2">
        <f t="shared" si="62"/>
        <v>500</v>
      </c>
      <c r="W166" s="2">
        <f t="shared" si="63"/>
        <v>-1322.25</v>
      </c>
      <c r="X166" s="2">
        <f t="shared" si="64"/>
        <v>42390418.706226312</v>
      </c>
      <c r="Y166" s="2">
        <f t="shared" si="65"/>
        <v>364400</v>
      </c>
      <c r="Z166" s="2">
        <f t="shared" si="66"/>
        <v>-0.36</v>
      </c>
      <c r="AA166" s="2">
        <f t="shared" si="67"/>
        <v>42874112.064123526</v>
      </c>
      <c r="AB166" s="2">
        <f t="shared" si="68"/>
        <v>-483693.35789721459</v>
      </c>
    </row>
    <row r="167" spans="1:28">
      <c r="A167" s="2">
        <v>164</v>
      </c>
      <c r="B167" s="2" t="s">
        <v>758</v>
      </c>
      <c r="C167" s="2" t="s">
        <v>1764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57"/>
        <v>42390418.706226312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42390418.706226312</v>
      </c>
      <c r="Y167" s="6" t="s">
        <v>1195</v>
      </c>
      <c r="Z167" s="6" t="s">
        <v>1195</v>
      </c>
      <c r="AA167" s="2">
        <f>AA166</f>
        <v>42874112.064123526</v>
      </c>
      <c r="AB167" s="2">
        <v>0</v>
      </c>
    </row>
    <row r="168" spans="1:28">
      <c r="A168" s="2">
        <v>165</v>
      </c>
      <c r="B168" s="2" t="s">
        <v>760</v>
      </c>
      <c r="C168" s="2" t="s">
        <v>1764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2" t="s">
        <v>196</v>
      </c>
      <c r="I168" s="2" t="s">
        <v>1869</v>
      </c>
      <c r="J168" s="2" t="s">
        <v>911</v>
      </c>
      <c r="K168" s="2">
        <f t="shared" si="57"/>
        <v>42390418.706226312</v>
      </c>
      <c r="L168" s="2" t="s">
        <v>1779</v>
      </c>
      <c r="M168" s="2" t="s">
        <v>1852</v>
      </c>
      <c r="N168" s="2" t="s">
        <v>1835</v>
      </c>
      <c r="O168" s="2">
        <v>627</v>
      </c>
      <c r="P168" s="2">
        <v>1162.046875</v>
      </c>
      <c r="Q168" s="2">
        <v>1223.866333007812</v>
      </c>
      <c r="R168" s="2">
        <f t="shared" ref="R168:R173" si="69">O168*P168</f>
        <v>728603.390625</v>
      </c>
      <c r="S168" s="2">
        <f t="shared" ref="S168:S173" si="70">O168*Q168</f>
        <v>767364.1907958982</v>
      </c>
      <c r="T168" s="2">
        <f t="shared" ref="T168:T173" si="71">R168+S168</f>
        <v>1495967.5814208982</v>
      </c>
      <c r="U168" s="2">
        <f t="shared" ref="U168:U173" si="72">ROUND(T168*0.0005, 2)</f>
        <v>747.98</v>
      </c>
      <c r="V168" s="2">
        <f t="shared" ref="V168:V173" si="73">S168-R168</f>
        <v>38760.800170898205</v>
      </c>
      <c r="W168" s="2">
        <f t="shared" ref="W168:W173" si="74">V168-U168</f>
        <v>38012.820170898201</v>
      </c>
      <c r="X168" s="2">
        <f t="shared" ref="X168:X173" si="75">K168+W168</f>
        <v>42428431.526397213</v>
      </c>
      <c r="Y168" s="2">
        <f t="shared" ref="Y168:Y173" si="76">ROUND(0.2*R168, 2)</f>
        <v>145720.68</v>
      </c>
      <c r="Z168" s="2">
        <f t="shared" ref="Z168:Z173" si="77">ROUND((W168/Y168)*100, 2)</f>
        <v>26.09</v>
      </c>
      <c r="AA168" s="2">
        <f t="shared" ref="AA168:AA173" si="78">MAX(AA167, X168)</f>
        <v>42874112.064123526</v>
      </c>
      <c r="AB168" s="2">
        <f t="shared" ref="AB168:AB173" si="79">X168-AA168</f>
        <v>-445680.53772631288</v>
      </c>
    </row>
    <row r="169" spans="1:28">
      <c r="A169" s="2">
        <v>166</v>
      </c>
      <c r="B169" s="2" t="s">
        <v>763</v>
      </c>
      <c r="C169" s="2" t="s">
        <v>1764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2" t="s">
        <v>198</v>
      </c>
      <c r="I169" s="2" t="s">
        <v>1378</v>
      </c>
      <c r="J169" s="2" t="s">
        <v>1974</v>
      </c>
      <c r="K169" s="2">
        <f t="shared" si="57"/>
        <v>42428431.526397213</v>
      </c>
      <c r="L169" s="2" t="s">
        <v>1584</v>
      </c>
      <c r="M169" s="2" t="s">
        <v>1779</v>
      </c>
      <c r="N169" s="2" t="s">
        <v>1780</v>
      </c>
      <c r="O169" s="2">
        <v>229</v>
      </c>
      <c r="P169" s="2">
        <v>1735.5322265625</v>
      </c>
      <c r="Q169" s="2">
        <v>1659.345703125</v>
      </c>
      <c r="R169" s="2">
        <f t="shared" si="69"/>
        <v>397436.8798828125</v>
      </c>
      <c r="S169" s="2">
        <f t="shared" si="70"/>
        <v>379990.166015625</v>
      </c>
      <c r="T169" s="2">
        <f t="shared" si="71"/>
        <v>777427.0458984375</v>
      </c>
      <c r="U169" s="2">
        <f t="shared" si="72"/>
        <v>388.71</v>
      </c>
      <c r="V169" s="2">
        <f t="shared" si="73"/>
        <v>-17446.7138671875</v>
      </c>
      <c r="W169" s="2">
        <f t="shared" si="74"/>
        <v>-17835.423867187499</v>
      </c>
      <c r="X169" s="2">
        <f t="shared" si="75"/>
        <v>42410596.102530025</v>
      </c>
      <c r="Y169" s="2">
        <f t="shared" si="76"/>
        <v>79487.38</v>
      </c>
      <c r="Z169" s="2">
        <f t="shared" si="77"/>
        <v>-22.44</v>
      </c>
      <c r="AA169" s="2">
        <f t="shared" si="78"/>
        <v>42874112.064123526</v>
      </c>
      <c r="AB169" s="2">
        <f t="shared" si="79"/>
        <v>-463515.96159350127</v>
      </c>
    </row>
    <row r="170" spans="1:28">
      <c r="A170" s="2">
        <v>167</v>
      </c>
      <c r="B170" s="2" t="s">
        <v>764</v>
      </c>
      <c r="C170" s="2" t="s">
        <v>1764</v>
      </c>
      <c r="D170" s="4" t="s">
        <v>61</v>
      </c>
      <c r="E170" s="5" t="s">
        <v>134</v>
      </c>
      <c r="F170" s="2" t="s">
        <v>135</v>
      </c>
      <c r="G170" s="2" t="s">
        <v>77</v>
      </c>
      <c r="H170" s="2" t="s">
        <v>765</v>
      </c>
      <c r="I170" s="2" t="s">
        <v>1975</v>
      </c>
      <c r="J170" s="2" t="s">
        <v>1976</v>
      </c>
      <c r="K170" s="2">
        <f t="shared" si="57"/>
        <v>42410596.102530025</v>
      </c>
      <c r="L170" s="2" t="s">
        <v>1815</v>
      </c>
      <c r="M170" s="2" t="s">
        <v>1799</v>
      </c>
      <c r="N170" s="2" t="s">
        <v>1823</v>
      </c>
      <c r="O170" s="2">
        <v>2645</v>
      </c>
      <c r="P170" s="2">
        <v>250.7872009277344</v>
      </c>
      <c r="Q170" s="2">
        <v>290.72903442382812</v>
      </c>
      <c r="R170" s="2">
        <f t="shared" si="69"/>
        <v>663332.14645385754</v>
      </c>
      <c r="S170" s="2">
        <f t="shared" si="70"/>
        <v>768978.29605102539</v>
      </c>
      <c r="T170" s="2">
        <f t="shared" si="71"/>
        <v>1432310.4425048828</v>
      </c>
      <c r="U170" s="2">
        <f t="shared" si="72"/>
        <v>716.16</v>
      </c>
      <c r="V170" s="2">
        <f t="shared" si="73"/>
        <v>105646.14959716785</v>
      </c>
      <c r="W170" s="2">
        <f t="shared" si="74"/>
        <v>104929.98959716785</v>
      </c>
      <c r="X170" s="2">
        <f t="shared" si="75"/>
        <v>42515526.092127196</v>
      </c>
      <c r="Y170" s="2">
        <f t="shared" si="76"/>
        <v>132666.43</v>
      </c>
      <c r="Z170" s="2">
        <f t="shared" si="77"/>
        <v>79.09</v>
      </c>
      <c r="AA170" s="2">
        <f t="shared" si="78"/>
        <v>42874112.064123526</v>
      </c>
      <c r="AB170" s="2">
        <f t="shared" si="79"/>
        <v>-358585.97199632972</v>
      </c>
    </row>
    <row r="171" spans="1:28">
      <c r="A171" s="2">
        <v>168</v>
      </c>
      <c r="B171" s="2" t="s">
        <v>769</v>
      </c>
      <c r="C171" s="2" t="s">
        <v>1764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1977</v>
      </c>
      <c r="J171" s="2" t="s">
        <v>1978</v>
      </c>
      <c r="K171" s="2">
        <f t="shared" si="57"/>
        <v>42515526.092127196</v>
      </c>
      <c r="L171" s="2" t="s">
        <v>1979</v>
      </c>
      <c r="M171" s="2" t="s">
        <v>1980</v>
      </c>
      <c r="N171" s="2" t="s">
        <v>1064</v>
      </c>
      <c r="O171" s="2">
        <v>2667</v>
      </c>
      <c r="P171" s="2">
        <v>347</v>
      </c>
      <c r="Q171" s="2">
        <v>373.29998779296881</v>
      </c>
      <c r="R171" s="2">
        <f t="shared" si="69"/>
        <v>925449</v>
      </c>
      <c r="S171" s="2">
        <f t="shared" si="70"/>
        <v>995591.06744384777</v>
      </c>
      <c r="T171" s="2">
        <f t="shared" si="71"/>
        <v>1921040.0674438477</v>
      </c>
      <c r="U171" s="2">
        <f t="shared" si="72"/>
        <v>960.52</v>
      </c>
      <c r="V171" s="2">
        <f t="shared" si="73"/>
        <v>70142.067443847773</v>
      </c>
      <c r="W171" s="2">
        <f t="shared" si="74"/>
        <v>69181.547443847769</v>
      </c>
      <c r="X171" s="2">
        <f t="shared" si="75"/>
        <v>42584707.639571041</v>
      </c>
      <c r="Y171" s="2">
        <f t="shared" si="76"/>
        <v>185089.8</v>
      </c>
      <c r="Z171" s="2">
        <f t="shared" si="77"/>
        <v>37.380000000000003</v>
      </c>
      <c r="AA171" s="2">
        <f t="shared" si="78"/>
        <v>42874112.064123526</v>
      </c>
      <c r="AB171" s="2">
        <f t="shared" si="79"/>
        <v>-289404.42455248535</v>
      </c>
    </row>
    <row r="172" spans="1:28">
      <c r="A172" s="2">
        <v>169</v>
      </c>
      <c r="B172" s="2" t="s">
        <v>773</v>
      </c>
      <c r="C172" s="2" t="s">
        <v>1764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1981</v>
      </c>
      <c r="J172" s="2" t="s">
        <v>1889</v>
      </c>
      <c r="K172" s="2">
        <f t="shared" si="57"/>
        <v>42584707.639571041</v>
      </c>
      <c r="L172" s="2" t="s">
        <v>1343</v>
      </c>
      <c r="M172" s="2" t="s">
        <v>1004</v>
      </c>
      <c r="N172" s="2" t="s">
        <v>1318</v>
      </c>
      <c r="O172" s="2">
        <v>250</v>
      </c>
      <c r="P172" s="2">
        <v>1474.6171875</v>
      </c>
      <c r="Q172" s="2">
        <v>1557.468017578125</v>
      </c>
      <c r="R172" s="2">
        <f t="shared" si="69"/>
        <v>368654.296875</v>
      </c>
      <c r="S172" s="2">
        <f t="shared" si="70"/>
        <v>389367.00439453125</v>
      </c>
      <c r="T172" s="2">
        <f t="shared" si="71"/>
        <v>758021.30126953125</v>
      </c>
      <c r="U172" s="2">
        <f t="shared" si="72"/>
        <v>379.01</v>
      </c>
      <c r="V172" s="2">
        <f t="shared" si="73"/>
        <v>20712.70751953125</v>
      </c>
      <c r="W172" s="2">
        <f t="shared" si="74"/>
        <v>20333.697519531252</v>
      </c>
      <c r="X172" s="2">
        <f t="shared" si="75"/>
        <v>42605041.337090574</v>
      </c>
      <c r="Y172" s="2">
        <f t="shared" si="76"/>
        <v>73730.86</v>
      </c>
      <c r="Z172" s="2">
        <f t="shared" si="77"/>
        <v>27.58</v>
      </c>
      <c r="AA172" s="2">
        <f t="shared" si="78"/>
        <v>42874112.064123526</v>
      </c>
      <c r="AB172" s="2">
        <f t="shared" si="79"/>
        <v>-269070.72703295201</v>
      </c>
    </row>
    <row r="173" spans="1:28">
      <c r="A173" s="2">
        <v>170</v>
      </c>
      <c r="B173" s="2" t="s">
        <v>778</v>
      </c>
      <c r="C173" s="2" t="s">
        <v>1764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2" t="s">
        <v>779</v>
      </c>
      <c r="I173" s="2" t="s">
        <v>1982</v>
      </c>
      <c r="J173" s="2" t="s">
        <v>1983</v>
      </c>
      <c r="K173" s="2">
        <f t="shared" si="57"/>
        <v>42605041.337090574</v>
      </c>
      <c r="L173" s="2" t="s">
        <v>1585</v>
      </c>
      <c r="M173" s="2" t="s">
        <v>1722</v>
      </c>
      <c r="N173" s="2" t="s">
        <v>1801</v>
      </c>
      <c r="O173" s="2">
        <v>4486</v>
      </c>
      <c r="P173" s="2">
        <v>256.09796142578119</v>
      </c>
      <c r="Q173" s="2">
        <v>295.4140625</v>
      </c>
      <c r="R173" s="2">
        <f t="shared" si="69"/>
        <v>1148855.4549560545</v>
      </c>
      <c r="S173" s="2">
        <f t="shared" si="70"/>
        <v>1325227.484375</v>
      </c>
      <c r="T173" s="2">
        <f t="shared" si="71"/>
        <v>2474082.9393310547</v>
      </c>
      <c r="U173" s="2">
        <f t="shared" si="72"/>
        <v>1237.04</v>
      </c>
      <c r="V173" s="2">
        <f t="shared" si="73"/>
        <v>176372.02941894555</v>
      </c>
      <c r="W173" s="2">
        <f t="shared" si="74"/>
        <v>175134.98941894554</v>
      </c>
      <c r="X173" s="2">
        <f t="shared" si="75"/>
        <v>42780176.32650952</v>
      </c>
      <c r="Y173" s="2">
        <f t="shared" si="76"/>
        <v>229771.09</v>
      </c>
      <c r="Z173" s="2">
        <f t="shared" si="77"/>
        <v>76.22</v>
      </c>
      <c r="AA173" s="2">
        <f t="shared" si="78"/>
        <v>42874112.064123526</v>
      </c>
      <c r="AB173" s="2">
        <f t="shared" si="79"/>
        <v>-93935.737614005804</v>
      </c>
    </row>
    <row r="174" spans="1:28">
      <c r="A174" s="2">
        <v>171</v>
      </c>
      <c r="B174" s="2" t="s">
        <v>782</v>
      </c>
      <c r="C174" s="2" t="s">
        <v>1764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57"/>
        <v>42780176.32650952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42780176.32650952</v>
      </c>
      <c r="Y174" s="6" t="s">
        <v>1195</v>
      </c>
      <c r="Z174" s="6" t="s">
        <v>1195</v>
      </c>
      <c r="AA174" s="2">
        <f>AA173</f>
        <v>42874112.064123526</v>
      </c>
      <c r="AB174" s="2">
        <v>0</v>
      </c>
    </row>
    <row r="175" spans="1:28">
      <c r="A175" s="2">
        <v>172</v>
      </c>
      <c r="B175" s="2" t="s">
        <v>784</v>
      </c>
      <c r="C175" s="2" t="s">
        <v>1764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2" t="s">
        <v>785</v>
      </c>
      <c r="I175" s="2" t="s">
        <v>1984</v>
      </c>
      <c r="J175" s="2" t="s">
        <v>1985</v>
      </c>
      <c r="K175" s="2">
        <f t="shared" si="57"/>
        <v>42780176.32650952</v>
      </c>
      <c r="L175" s="2" t="s">
        <v>1779</v>
      </c>
      <c r="M175" s="2" t="s">
        <v>1813</v>
      </c>
      <c r="N175" s="2" t="s">
        <v>1809</v>
      </c>
      <c r="O175" s="2">
        <v>5915</v>
      </c>
      <c r="P175" s="2">
        <v>124.75453948974609</v>
      </c>
      <c r="Q175" s="2">
        <v>139.4858703613281</v>
      </c>
      <c r="R175" s="2">
        <f t="shared" ref="R175:R187" si="80">O175*P175</f>
        <v>737923.10108184814</v>
      </c>
      <c r="S175" s="2">
        <f t="shared" ref="S175:S187" si="81">O175*Q175</f>
        <v>825058.92318725574</v>
      </c>
      <c r="T175" s="2">
        <f t="shared" ref="T175:T187" si="82">R175+S175</f>
        <v>1562982.024269104</v>
      </c>
      <c r="U175" s="2">
        <f t="shared" ref="U175:U187" si="83">ROUND(T175*0.0005, 2)</f>
        <v>781.49</v>
      </c>
      <c r="V175" s="2">
        <f t="shared" ref="V175:V187" si="84">S175-R175</f>
        <v>87135.822105407598</v>
      </c>
      <c r="W175" s="2">
        <f t="shared" ref="W175:W187" si="85">V175-U175</f>
        <v>86354.332105407593</v>
      </c>
      <c r="X175" s="2">
        <f t="shared" ref="X175:X187" si="86">K175+W175</f>
        <v>42866530.658614926</v>
      </c>
      <c r="Y175" s="2">
        <f t="shared" ref="Y175:Y187" si="87">ROUND(0.2*R175, 2)</f>
        <v>147584.62</v>
      </c>
      <c r="Z175" s="2">
        <f t="shared" ref="Z175:Z187" si="88">ROUND((W175/Y175)*100, 2)</f>
        <v>58.51</v>
      </c>
      <c r="AA175" s="2">
        <f t="shared" ref="AA175:AA187" si="89">MAX(AA174, X175)</f>
        <v>42874112.064123526</v>
      </c>
      <c r="AB175" s="2">
        <f t="shared" ref="AB175:AB187" si="90">X175-AA175</f>
        <v>-7581.4055086001754</v>
      </c>
    </row>
    <row r="176" spans="1:28">
      <c r="A176" s="2">
        <v>173</v>
      </c>
      <c r="B176" s="2" t="s">
        <v>787</v>
      </c>
      <c r="C176" s="2" t="s">
        <v>1764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2" t="s">
        <v>788</v>
      </c>
      <c r="I176" s="2" t="s">
        <v>1925</v>
      </c>
      <c r="J176" s="2" t="s">
        <v>1825</v>
      </c>
      <c r="K176" s="2">
        <f t="shared" si="57"/>
        <v>42866530.658614926</v>
      </c>
      <c r="L176" s="2" t="s">
        <v>1986</v>
      </c>
      <c r="M176" s="2" t="s">
        <v>1961</v>
      </c>
      <c r="N176" s="2" t="s">
        <v>1987</v>
      </c>
      <c r="O176" s="2">
        <v>1550</v>
      </c>
      <c r="P176" s="2">
        <v>750.5</v>
      </c>
      <c r="Q176" s="2">
        <v>801.3</v>
      </c>
      <c r="R176" s="2">
        <f t="shared" si="80"/>
        <v>1163275</v>
      </c>
      <c r="S176" s="2">
        <f t="shared" si="81"/>
        <v>1242015</v>
      </c>
      <c r="T176" s="2">
        <f t="shared" si="82"/>
        <v>2405290</v>
      </c>
      <c r="U176" s="2">
        <f t="shared" si="83"/>
        <v>1202.6500000000001</v>
      </c>
      <c r="V176" s="2">
        <f t="shared" si="84"/>
        <v>78740</v>
      </c>
      <c r="W176" s="2">
        <f t="shared" si="85"/>
        <v>77537.350000000006</v>
      </c>
      <c r="X176" s="2">
        <f t="shared" si="86"/>
        <v>42944068.008614928</v>
      </c>
      <c r="Y176" s="2">
        <f t="shared" si="87"/>
        <v>232655</v>
      </c>
      <c r="Z176" s="2">
        <f t="shared" si="88"/>
        <v>33.33</v>
      </c>
      <c r="AA176" s="2">
        <f t="shared" si="89"/>
        <v>42944068.008614928</v>
      </c>
      <c r="AB176" s="2">
        <f t="shared" si="90"/>
        <v>0</v>
      </c>
    </row>
    <row r="177" spans="1:28">
      <c r="A177" s="2">
        <v>174</v>
      </c>
      <c r="B177" s="2" t="s">
        <v>790</v>
      </c>
      <c r="C177" s="2" t="s">
        <v>1764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594</v>
      </c>
      <c r="J177" s="2" t="s">
        <v>1988</v>
      </c>
      <c r="K177" s="2">
        <f t="shared" si="57"/>
        <v>42944068.008614928</v>
      </c>
      <c r="L177" s="2" t="s">
        <v>1584</v>
      </c>
      <c r="M177" s="2" t="s">
        <v>1585</v>
      </c>
      <c r="N177" s="2" t="s">
        <v>1586</v>
      </c>
      <c r="O177" s="2">
        <v>375</v>
      </c>
      <c r="P177" s="2">
        <v>1403.395263671875</v>
      </c>
      <c r="Q177" s="2">
        <v>1411.205444335938</v>
      </c>
      <c r="R177" s="2">
        <f t="shared" si="80"/>
        <v>526273.22387695313</v>
      </c>
      <c r="S177" s="2">
        <f t="shared" si="81"/>
        <v>529202.04162597668</v>
      </c>
      <c r="T177" s="2">
        <f t="shared" si="82"/>
        <v>1055475.2655029297</v>
      </c>
      <c r="U177" s="2">
        <f t="shared" si="83"/>
        <v>527.74</v>
      </c>
      <c r="V177" s="2">
        <f t="shared" si="84"/>
        <v>2928.8177490235539</v>
      </c>
      <c r="W177" s="2">
        <f t="shared" si="85"/>
        <v>2401.0777490235541</v>
      </c>
      <c r="X177" s="2">
        <f t="shared" si="86"/>
        <v>42946469.086363949</v>
      </c>
      <c r="Y177" s="2">
        <f t="shared" si="87"/>
        <v>105254.64</v>
      </c>
      <c r="Z177" s="2">
        <f t="shared" si="88"/>
        <v>2.2799999999999998</v>
      </c>
      <c r="AA177" s="2">
        <f t="shared" si="89"/>
        <v>42946469.086363949</v>
      </c>
      <c r="AB177" s="2">
        <f t="shared" si="90"/>
        <v>0</v>
      </c>
    </row>
    <row r="178" spans="1:28">
      <c r="A178" s="2">
        <v>175</v>
      </c>
      <c r="B178" s="2" t="s">
        <v>794</v>
      </c>
      <c r="C178" s="2" t="s">
        <v>1764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1989</v>
      </c>
      <c r="J178" s="2" t="s">
        <v>1818</v>
      </c>
      <c r="K178" s="2">
        <f t="shared" si="57"/>
        <v>42946469.086363949</v>
      </c>
      <c r="L178" s="2" t="s">
        <v>1292</v>
      </c>
      <c r="M178" s="2" t="s">
        <v>1269</v>
      </c>
      <c r="N178" s="2" t="s">
        <v>1273</v>
      </c>
      <c r="O178" s="2">
        <v>1500</v>
      </c>
      <c r="P178" s="2">
        <v>816.44415283203125</v>
      </c>
      <c r="Q178" s="2">
        <v>768.15185546875</v>
      </c>
      <c r="R178" s="2">
        <f t="shared" si="80"/>
        <v>1224666.2292480469</v>
      </c>
      <c r="S178" s="2">
        <f t="shared" si="81"/>
        <v>1152227.783203125</v>
      </c>
      <c r="T178" s="2">
        <f t="shared" si="82"/>
        <v>2376894.0124511719</v>
      </c>
      <c r="U178" s="2">
        <f t="shared" si="83"/>
        <v>1188.45</v>
      </c>
      <c r="V178" s="2">
        <f t="shared" si="84"/>
        <v>-72438.446044921875</v>
      </c>
      <c r="W178" s="2">
        <f t="shared" si="85"/>
        <v>-73626.896044921872</v>
      </c>
      <c r="X178" s="2">
        <f t="shared" si="86"/>
        <v>42872842.190319024</v>
      </c>
      <c r="Y178" s="2">
        <f t="shared" si="87"/>
        <v>244933.25</v>
      </c>
      <c r="Z178" s="2">
        <f t="shared" si="88"/>
        <v>-30.06</v>
      </c>
      <c r="AA178" s="2">
        <f t="shared" si="89"/>
        <v>42946469.086363949</v>
      </c>
      <c r="AB178" s="2">
        <f t="shared" si="90"/>
        <v>-73626.896044924855</v>
      </c>
    </row>
    <row r="179" spans="1:28">
      <c r="A179" s="2">
        <v>176</v>
      </c>
      <c r="B179" s="2" t="s">
        <v>798</v>
      </c>
      <c r="C179" s="2" t="s">
        <v>1764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2" t="s">
        <v>266</v>
      </c>
      <c r="I179" s="2" t="s">
        <v>1990</v>
      </c>
      <c r="J179" s="2" t="s">
        <v>1991</v>
      </c>
      <c r="K179" s="2">
        <f t="shared" si="57"/>
        <v>42872842.190319024</v>
      </c>
      <c r="L179" s="2" t="s">
        <v>1783</v>
      </c>
      <c r="M179" s="2" t="s">
        <v>1808</v>
      </c>
      <c r="N179" s="2" t="s">
        <v>1784</v>
      </c>
      <c r="O179" s="2">
        <v>100</v>
      </c>
      <c r="P179" s="2">
        <v>25801.486328125</v>
      </c>
      <c r="Q179" s="2">
        <v>29233.412109375</v>
      </c>
      <c r="R179" s="2">
        <f t="shared" si="80"/>
        <v>2580148.6328125</v>
      </c>
      <c r="S179" s="2">
        <f t="shared" si="81"/>
        <v>2923341.2109375</v>
      </c>
      <c r="T179" s="2">
        <f t="shared" si="82"/>
        <v>5503489.84375</v>
      </c>
      <c r="U179" s="2">
        <f t="shared" si="83"/>
        <v>2751.74</v>
      </c>
      <c r="V179" s="2">
        <f t="shared" si="84"/>
        <v>343192.578125</v>
      </c>
      <c r="W179" s="2">
        <f t="shared" si="85"/>
        <v>340440.83812500001</v>
      </c>
      <c r="X179" s="2">
        <f t="shared" si="86"/>
        <v>43213283.028444022</v>
      </c>
      <c r="Y179" s="2">
        <f t="shared" si="87"/>
        <v>516029.73</v>
      </c>
      <c r="Z179" s="2">
        <f t="shared" si="88"/>
        <v>65.97</v>
      </c>
      <c r="AA179" s="2">
        <f t="shared" si="89"/>
        <v>43213283.028444022</v>
      </c>
      <c r="AB179" s="2">
        <f t="shared" si="90"/>
        <v>0</v>
      </c>
    </row>
    <row r="180" spans="1:28">
      <c r="A180" s="2">
        <v>177</v>
      </c>
      <c r="B180" s="2" t="s">
        <v>801</v>
      </c>
      <c r="C180" s="2" t="s">
        <v>1764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1992</v>
      </c>
      <c r="J180" s="2" t="s">
        <v>1993</v>
      </c>
      <c r="K180" s="2">
        <f t="shared" si="57"/>
        <v>43213283.028444022</v>
      </c>
      <c r="L180" s="2" t="s">
        <v>1004</v>
      </c>
      <c r="M180" s="2" t="s">
        <v>1268</v>
      </c>
      <c r="N180" s="2" t="s">
        <v>1245</v>
      </c>
      <c r="O180" s="2">
        <v>957</v>
      </c>
      <c r="P180" s="2">
        <v>521.12310791015625</v>
      </c>
      <c r="Q180" s="2">
        <v>581.473388671875</v>
      </c>
      <c r="R180" s="2">
        <f t="shared" si="80"/>
        <v>498714.81427001953</v>
      </c>
      <c r="S180" s="2">
        <f t="shared" si="81"/>
        <v>556470.03295898437</v>
      </c>
      <c r="T180" s="2">
        <f t="shared" si="82"/>
        <v>1055184.8472290039</v>
      </c>
      <c r="U180" s="2">
        <f t="shared" si="83"/>
        <v>527.59</v>
      </c>
      <c r="V180" s="2">
        <f t="shared" si="84"/>
        <v>57755.218688964844</v>
      </c>
      <c r="W180" s="2">
        <f t="shared" si="85"/>
        <v>57227.628688964847</v>
      </c>
      <c r="X180" s="2">
        <f t="shared" si="86"/>
        <v>43270510.657132983</v>
      </c>
      <c r="Y180" s="2">
        <f t="shared" si="87"/>
        <v>99742.96</v>
      </c>
      <c r="Z180" s="2">
        <f t="shared" si="88"/>
        <v>57.38</v>
      </c>
      <c r="AA180" s="2">
        <f t="shared" si="89"/>
        <v>43270510.657132983</v>
      </c>
      <c r="AB180" s="2">
        <f t="shared" si="90"/>
        <v>0</v>
      </c>
    </row>
    <row r="181" spans="1:28">
      <c r="A181" s="2">
        <v>178</v>
      </c>
      <c r="B181" s="2" t="s">
        <v>806</v>
      </c>
      <c r="C181" s="2" t="s">
        <v>1764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2" t="s">
        <v>517</v>
      </c>
      <c r="I181" s="2" t="s">
        <v>301</v>
      </c>
      <c r="J181" s="2" t="s">
        <v>1994</v>
      </c>
      <c r="K181" s="2">
        <f t="shared" si="57"/>
        <v>43270510.657132983</v>
      </c>
      <c r="L181" s="2" t="s">
        <v>1808</v>
      </c>
      <c r="M181" s="2" t="s">
        <v>1835</v>
      </c>
      <c r="N181" s="2" t="s">
        <v>1809</v>
      </c>
      <c r="O181" s="2">
        <v>273</v>
      </c>
      <c r="P181" s="2">
        <v>2389.230224609375</v>
      </c>
      <c r="Q181" s="2">
        <v>2549.15625</v>
      </c>
      <c r="R181" s="2">
        <f t="shared" si="80"/>
        <v>652259.85131835938</v>
      </c>
      <c r="S181" s="2">
        <f t="shared" si="81"/>
        <v>695919.65625</v>
      </c>
      <c r="T181" s="2">
        <f t="shared" si="82"/>
        <v>1348179.5075683594</v>
      </c>
      <c r="U181" s="2">
        <f t="shared" si="83"/>
        <v>674.09</v>
      </c>
      <c r="V181" s="2">
        <f t="shared" si="84"/>
        <v>43659.804931640625</v>
      </c>
      <c r="W181" s="2">
        <f t="shared" si="85"/>
        <v>42985.714931640628</v>
      </c>
      <c r="X181" s="2">
        <f t="shared" si="86"/>
        <v>43313496.37206462</v>
      </c>
      <c r="Y181" s="2">
        <f t="shared" si="87"/>
        <v>130451.97</v>
      </c>
      <c r="Z181" s="2">
        <f t="shared" si="88"/>
        <v>32.950000000000003</v>
      </c>
      <c r="AA181" s="2">
        <f t="shared" si="89"/>
        <v>43313496.37206462</v>
      </c>
      <c r="AB181" s="2">
        <f t="shared" si="90"/>
        <v>0</v>
      </c>
    </row>
    <row r="182" spans="1:28">
      <c r="A182" s="2">
        <v>179</v>
      </c>
      <c r="B182" s="2" t="s">
        <v>809</v>
      </c>
      <c r="C182" s="2" t="s">
        <v>1764</v>
      </c>
      <c r="D182" s="3" t="s">
        <v>37</v>
      </c>
      <c r="E182" s="5" t="s">
        <v>134</v>
      </c>
      <c r="F182" s="2" t="s">
        <v>135</v>
      </c>
      <c r="G182" s="2" t="s">
        <v>40</v>
      </c>
      <c r="H182" s="2" t="s">
        <v>810</v>
      </c>
      <c r="I182" s="2" t="s">
        <v>1995</v>
      </c>
      <c r="J182" s="2" t="s">
        <v>1996</v>
      </c>
      <c r="K182" s="2">
        <f t="shared" si="57"/>
        <v>43313496.37206462</v>
      </c>
      <c r="L182" s="2" t="s">
        <v>1720</v>
      </c>
      <c r="M182" s="2" t="s">
        <v>1835</v>
      </c>
      <c r="N182" s="2" t="s">
        <v>1801</v>
      </c>
      <c r="O182" s="2">
        <v>100</v>
      </c>
      <c r="P182" s="2">
        <v>6343.24560546875</v>
      </c>
      <c r="Q182" s="2">
        <v>7006.564453125</v>
      </c>
      <c r="R182" s="2">
        <f t="shared" si="80"/>
        <v>634324.560546875</v>
      </c>
      <c r="S182" s="2">
        <f t="shared" si="81"/>
        <v>700656.4453125</v>
      </c>
      <c r="T182" s="2">
        <f t="shared" si="82"/>
        <v>1334981.005859375</v>
      </c>
      <c r="U182" s="2">
        <f t="shared" si="83"/>
        <v>667.49</v>
      </c>
      <c r="V182" s="2">
        <f t="shared" si="84"/>
        <v>66331.884765625</v>
      </c>
      <c r="W182" s="2">
        <f t="shared" si="85"/>
        <v>65664.394765624995</v>
      </c>
      <c r="X182" s="2">
        <f t="shared" si="86"/>
        <v>43379160.766830243</v>
      </c>
      <c r="Y182" s="2">
        <f t="shared" si="87"/>
        <v>126864.91</v>
      </c>
      <c r="Z182" s="2">
        <f t="shared" si="88"/>
        <v>51.76</v>
      </c>
      <c r="AA182" s="2">
        <f t="shared" si="89"/>
        <v>43379160.766830243</v>
      </c>
      <c r="AB182" s="2">
        <f t="shared" si="90"/>
        <v>0</v>
      </c>
    </row>
    <row r="183" spans="1:28">
      <c r="A183" s="2">
        <v>180</v>
      </c>
      <c r="B183" s="2" t="s">
        <v>813</v>
      </c>
      <c r="C183" s="2" t="s">
        <v>1764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2" t="s">
        <v>814</v>
      </c>
      <c r="I183" s="2" t="s">
        <v>1997</v>
      </c>
      <c r="J183" s="2" t="s">
        <v>1998</v>
      </c>
      <c r="K183" s="2">
        <f t="shared" si="57"/>
        <v>43379160.766830243</v>
      </c>
      <c r="L183" s="2" t="s">
        <v>1740</v>
      </c>
      <c r="M183" s="2" t="s">
        <v>1720</v>
      </c>
      <c r="N183" s="2" t="s">
        <v>1799</v>
      </c>
      <c r="O183" s="2">
        <v>1309</v>
      </c>
      <c r="P183" s="2">
        <v>586.56903076171875</v>
      </c>
      <c r="Q183" s="2">
        <v>594.87274169921875</v>
      </c>
      <c r="R183" s="2">
        <f t="shared" si="80"/>
        <v>767818.86126708984</v>
      </c>
      <c r="S183" s="2">
        <f t="shared" si="81"/>
        <v>778688.41888427734</v>
      </c>
      <c r="T183" s="2">
        <f t="shared" si="82"/>
        <v>1546507.2801513672</v>
      </c>
      <c r="U183" s="2">
        <f t="shared" si="83"/>
        <v>773.25</v>
      </c>
      <c r="V183" s="2">
        <f t="shared" si="84"/>
        <v>10869.5576171875</v>
      </c>
      <c r="W183" s="2">
        <f t="shared" si="85"/>
        <v>10096.3076171875</v>
      </c>
      <c r="X183" s="2">
        <f t="shared" si="86"/>
        <v>43389257.074447431</v>
      </c>
      <c r="Y183" s="2">
        <f t="shared" si="87"/>
        <v>153563.76999999999</v>
      </c>
      <c r="Z183" s="2">
        <f t="shared" si="88"/>
        <v>6.57</v>
      </c>
      <c r="AA183" s="2">
        <f t="shared" si="89"/>
        <v>43389257.074447431</v>
      </c>
      <c r="AB183" s="2">
        <f t="shared" si="90"/>
        <v>0</v>
      </c>
    </row>
    <row r="184" spans="1:28">
      <c r="A184" s="2">
        <v>181</v>
      </c>
      <c r="B184" s="2" t="s">
        <v>817</v>
      </c>
      <c r="C184" s="2" t="s">
        <v>1764</v>
      </c>
      <c r="D184" s="4" t="s">
        <v>61</v>
      </c>
      <c r="E184" s="5" t="s">
        <v>134</v>
      </c>
      <c r="F184" s="2" t="s">
        <v>135</v>
      </c>
      <c r="G184" s="2" t="s">
        <v>54</v>
      </c>
      <c r="H184" s="2" t="s">
        <v>747</v>
      </c>
      <c r="I184" s="2" t="s">
        <v>1384</v>
      </c>
      <c r="J184" s="2" t="s">
        <v>598</v>
      </c>
      <c r="K184" s="2">
        <f t="shared" si="57"/>
        <v>43389257.074447431</v>
      </c>
      <c r="L184" s="2" t="s">
        <v>1584</v>
      </c>
      <c r="M184" s="2" t="s">
        <v>1778</v>
      </c>
      <c r="N184" s="2" t="s">
        <v>1720</v>
      </c>
      <c r="O184" s="2">
        <v>383</v>
      </c>
      <c r="P184" s="2">
        <v>2230.339599609375</v>
      </c>
      <c r="Q184" s="2">
        <v>2263.877197265625</v>
      </c>
      <c r="R184" s="2">
        <f t="shared" si="80"/>
        <v>854220.06665039062</v>
      </c>
      <c r="S184" s="2">
        <f t="shared" si="81"/>
        <v>867064.96655273437</v>
      </c>
      <c r="T184" s="2">
        <f t="shared" si="82"/>
        <v>1721285.033203125</v>
      </c>
      <c r="U184" s="2">
        <f t="shared" si="83"/>
        <v>860.64</v>
      </c>
      <c r="V184" s="2">
        <f t="shared" si="84"/>
        <v>12844.89990234375</v>
      </c>
      <c r="W184" s="2">
        <f t="shared" si="85"/>
        <v>11984.259902343751</v>
      </c>
      <c r="X184" s="2">
        <f t="shared" si="86"/>
        <v>43401241.334349774</v>
      </c>
      <c r="Y184" s="2">
        <f t="shared" si="87"/>
        <v>170844.01</v>
      </c>
      <c r="Z184" s="2">
        <f t="shared" si="88"/>
        <v>7.01</v>
      </c>
      <c r="AA184" s="2">
        <f t="shared" si="89"/>
        <v>43401241.334349774</v>
      </c>
      <c r="AB184" s="2">
        <f t="shared" si="90"/>
        <v>0</v>
      </c>
    </row>
    <row r="185" spans="1:28">
      <c r="A185" s="2">
        <v>182</v>
      </c>
      <c r="B185" s="2" t="s">
        <v>820</v>
      </c>
      <c r="C185" s="2" t="s">
        <v>1764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1306</v>
      </c>
      <c r="J185" s="2" t="s">
        <v>1999</v>
      </c>
      <c r="K185" s="2">
        <f t="shared" si="57"/>
        <v>43401241.334349774</v>
      </c>
      <c r="L185" s="2" t="s">
        <v>1244</v>
      </c>
      <c r="M185" s="2" t="s">
        <v>1251</v>
      </c>
      <c r="N185" s="2" t="s">
        <v>1292</v>
      </c>
      <c r="O185" s="2">
        <v>350</v>
      </c>
      <c r="P185" s="2">
        <v>1589.94482421875</v>
      </c>
      <c r="Q185" s="2">
        <v>1705.402465820312</v>
      </c>
      <c r="R185" s="2">
        <f t="shared" si="80"/>
        <v>556480.6884765625</v>
      </c>
      <c r="S185" s="2">
        <f t="shared" si="81"/>
        <v>596890.86303710926</v>
      </c>
      <c r="T185" s="2">
        <f t="shared" si="82"/>
        <v>1153371.5515136719</v>
      </c>
      <c r="U185" s="2">
        <f t="shared" si="83"/>
        <v>576.69000000000005</v>
      </c>
      <c r="V185" s="2">
        <f t="shared" si="84"/>
        <v>40410.174560546759</v>
      </c>
      <c r="W185" s="2">
        <f t="shared" si="85"/>
        <v>39833.484560546756</v>
      </c>
      <c r="X185" s="2">
        <f t="shared" si="86"/>
        <v>43441074.818910323</v>
      </c>
      <c r="Y185" s="2">
        <f t="shared" si="87"/>
        <v>111296.14</v>
      </c>
      <c r="Z185" s="2">
        <f t="shared" si="88"/>
        <v>35.79</v>
      </c>
      <c r="AA185" s="2">
        <f t="shared" si="89"/>
        <v>43441074.818910323</v>
      </c>
      <c r="AB185" s="2">
        <f t="shared" si="90"/>
        <v>0</v>
      </c>
    </row>
    <row r="186" spans="1:28">
      <c r="A186" s="2">
        <v>183</v>
      </c>
      <c r="B186" s="2" t="s">
        <v>823</v>
      </c>
      <c r="C186" s="2" t="s">
        <v>1764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2" t="s">
        <v>824</v>
      </c>
      <c r="I186" s="2" t="s">
        <v>2000</v>
      </c>
      <c r="J186" s="2" t="s">
        <v>747</v>
      </c>
      <c r="K186" s="2">
        <f t="shared" si="57"/>
        <v>43441074.818910323</v>
      </c>
      <c r="L186" s="2" t="s">
        <v>1845</v>
      </c>
      <c r="M186" s="2" t="s">
        <v>1799</v>
      </c>
      <c r="N186" s="2" t="s">
        <v>1823</v>
      </c>
      <c r="O186" s="2">
        <v>289</v>
      </c>
      <c r="P186" s="2">
        <v>4075.139404296875</v>
      </c>
      <c r="Q186" s="2">
        <v>4215.57373046875</v>
      </c>
      <c r="R186" s="2">
        <f t="shared" si="80"/>
        <v>1177715.2878417969</v>
      </c>
      <c r="S186" s="2">
        <f t="shared" si="81"/>
        <v>1218300.8081054687</v>
      </c>
      <c r="T186" s="2">
        <f t="shared" si="82"/>
        <v>2396016.0959472656</v>
      </c>
      <c r="U186" s="2">
        <f t="shared" si="83"/>
        <v>1198.01</v>
      </c>
      <c r="V186" s="2">
        <f t="shared" si="84"/>
        <v>40585.520263671875</v>
      </c>
      <c r="W186" s="2">
        <f t="shared" si="85"/>
        <v>39387.510263671873</v>
      </c>
      <c r="X186" s="2">
        <f t="shared" si="86"/>
        <v>43480462.329173997</v>
      </c>
      <c r="Y186" s="2">
        <f t="shared" si="87"/>
        <v>235543.06</v>
      </c>
      <c r="Z186" s="2">
        <f t="shared" si="88"/>
        <v>16.72</v>
      </c>
      <c r="AA186" s="2">
        <f t="shared" si="89"/>
        <v>43480462.329173997</v>
      </c>
      <c r="AB186" s="2">
        <f t="shared" si="90"/>
        <v>0</v>
      </c>
    </row>
    <row r="187" spans="1:28">
      <c r="A187" s="2">
        <v>184</v>
      </c>
      <c r="B187" s="2" t="s">
        <v>827</v>
      </c>
      <c r="C187" s="2" t="s">
        <v>1764</v>
      </c>
      <c r="D187" s="3" t="s">
        <v>37</v>
      </c>
      <c r="E187" s="5" t="s">
        <v>134</v>
      </c>
      <c r="F187" s="2" t="s">
        <v>135</v>
      </c>
      <c r="G187" s="2" t="s">
        <v>40</v>
      </c>
      <c r="H187" s="2" t="s">
        <v>828</v>
      </c>
      <c r="I187" s="2" t="s">
        <v>2001</v>
      </c>
      <c r="J187" s="2" t="s">
        <v>513</v>
      </c>
      <c r="K187" s="2">
        <f t="shared" si="57"/>
        <v>43480462.329173997</v>
      </c>
      <c r="L187" s="2" t="s">
        <v>1842</v>
      </c>
      <c r="M187" s="2" t="s">
        <v>1780</v>
      </c>
      <c r="N187" s="2" t="s">
        <v>1784</v>
      </c>
      <c r="O187" s="2">
        <v>21097</v>
      </c>
      <c r="P187" s="2">
        <v>42.900001525878913</v>
      </c>
      <c r="Q187" s="2">
        <v>48</v>
      </c>
      <c r="R187" s="2">
        <f t="shared" si="80"/>
        <v>905061.3321914674</v>
      </c>
      <c r="S187" s="2">
        <f t="shared" si="81"/>
        <v>1012656</v>
      </c>
      <c r="T187" s="2">
        <f t="shared" si="82"/>
        <v>1917717.3321914673</v>
      </c>
      <c r="U187" s="2">
        <f t="shared" si="83"/>
        <v>958.86</v>
      </c>
      <c r="V187" s="2">
        <f t="shared" si="84"/>
        <v>107594.6678085326</v>
      </c>
      <c r="W187" s="2">
        <f t="shared" si="85"/>
        <v>106635.8078085326</v>
      </c>
      <c r="X187" s="2">
        <f t="shared" si="86"/>
        <v>43587098.13698253</v>
      </c>
      <c r="Y187" s="2">
        <f t="shared" si="87"/>
        <v>181012.27</v>
      </c>
      <c r="Z187" s="2">
        <f t="shared" si="88"/>
        <v>58.91</v>
      </c>
      <c r="AA187" s="2">
        <f t="shared" si="89"/>
        <v>43587098.13698253</v>
      </c>
      <c r="AB187" s="2">
        <f t="shared" si="90"/>
        <v>0</v>
      </c>
    </row>
    <row r="188" spans="1:28">
      <c r="A188" s="2">
        <v>185</v>
      </c>
      <c r="B188" s="2" t="s">
        <v>831</v>
      </c>
      <c r="C188" s="2" t="s">
        <v>1764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57"/>
        <v>43587098.13698253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43587098.13698253</v>
      </c>
      <c r="Y188" s="6" t="s">
        <v>1195</v>
      </c>
      <c r="Z188" s="6" t="s">
        <v>1195</v>
      </c>
      <c r="AA188" s="2">
        <f>AA187</f>
        <v>43587098.13698253</v>
      </c>
      <c r="AB188" s="2">
        <v>0</v>
      </c>
    </row>
    <row r="189" spans="1:28">
      <c r="A189" s="2">
        <v>186</v>
      </c>
      <c r="B189" s="2" t="s">
        <v>835</v>
      </c>
      <c r="C189" s="2" t="s">
        <v>1764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1305</v>
      </c>
      <c r="J189" s="2" t="s">
        <v>373</v>
      </c>
      <c r="K189" s="2">
        <f t="shared" si="57"/>
        <v>43587098.13698253</v>
      </c>
      <c r="L189" s="2" t="s">
        <v>1245</v>
      </c>
      <c r="M189" s="2" t="s">
        <v>1269</v>
      </c>
      <c r="N189" s="2" t="s">
        <v>1272</v>
      </c>
      <c r="O189" s="2">
        <v>450</v>
      </c>
      <c r="P189" s="2">
        <v>1167.002807617188</v>
      </c>
      <c r="Q189" s="2">
        <v>1194.612915039062</v>
      </c>
      <c r="R189" s="2">
        <f>O189*P189</f>
        <v>525151.26342773461</v>
      </c>
      <c r="S189" s="2">
        <f>O189*Q189</f>
        <v>537575.81176757789</v>
      </c>
      <c r="T189" s="2">
        <f>R189+S189</f>
        <v>1062727.0751953125</v>
      </c>
      <c r="U189" s="2">
        <f>ROUND(T189*0.0005, 2)</f>
        <v>531.36</v>
      </c>
      <c r="V189" s="2">
        <f>S189-R189</f>
        <v>12424.548339843284</v>
      </c>
      <c r="W189" s="2">
        <f>V189-U189</f>
        <v>11893.188339843284</v>
      </c>
      <c r="X189" s="2">
        <f>K189+W189</f>
        <v>43598991.325322375</v>
      </c>
      <c r="Y189" s="2">
        <f>ROUND(0.2*R189, 2)</f>
        <v>105030.25</v>
      </c>
      <c r="Z189" s="2">
        <f>ROUND((W189/Y189)*100, 2)</f>
        <v>11.32</v>
      </c>
      <c r="AA189" s="2">
        <f>MAX(AA188, X189)</f>
        <v>43598991.325322375</v>
      </c>
      <c r="AB189" s="2">
        <f>X189-AA189</f>
        <v>0</v>
      </c>
    </row>
    <row r="190" spans="1:28">
      <c r="A190" s="2">
        <v>187</v>
      </c>
      <c r="B190" s="2" t="s">
        <v>840</v>
      </c>
      <c r="C190" s="2" t="s">
        <v>1764</v>
      </c>
      <c r="D190" s="4" t="s">
        <v>61</v>
      </c>
      <c r="E190" s="5" t="s">
        <v>134</v>
      </c>
      <c r="F190" s="2" t="s">
        <v>135</v>
      </c>
      <c r="G190" s="2" t="s">
        <v>40</v>
      </c>
      <c r="H190" s="2" t="s">
        <v>841</v>
      </c>
      <c r="I190" s="2" t="s">
        <v>2002</v>
      </c>
      <c r="J190" s="2" t="s">
        <v>1664</v>
      </c>
      <c r="K190" s="2">
        <f t="shared" si="57"/>
        <v>43598991.325322375</v>
      </c>
      <c r="L190" s="2" t="s">
        <v>1787</v>
      </c>
      <c r="M190" s="2" t="s">
        <v>1784</v>
      </c>
      <c r="N190" s="2" t="s">
        <v>1584</v>
      </c>
      <c r="O190" s="2">
        <v>273</v>
      </c>
      <c r="P190" s="2">
        <v>7316.2763671875</v>
      </c>
      <c r="Q190" s="2">
        <v>8405.375</v>
      </c>
      <c r="R190" s="2">
        <f>O190*P190</f>
        <v>1997343.4482421875</v>
      </c>
      <c r="S190" s="2">
        <f>O190*Q190</f>
        <v>2294667.375</v>
      </c>
      <c r="T190" s="2">
        <f>R190+S190</f>
        <v>4292010.8232421875</v>
      </c>
      <c r="U190" s="2">
        <f>ROUND(T190*0.0005, 2)</f>
        <v>2146.0100000000002</v>
      </c>
      <c r="V190" s="2">
        <f>S190-R190</f>
        <v>297323.9267578125</v>
      </c>
      <c r="W190" s="2">
        <f>V190-U190</f>
        <v>295177.91675781249</v>
      </c>
      <c r="X190" s="2">
        <f>K190+W190</f>
        <v>43894169.242080189</v>
      </c>
      <c r="Y190" s="2">
        <f>ROUND(0.2*R190, 2)</f>
        <v>399468.69</v>
      </c>
      <c r="Z190" s="2">
        <f>ROUND((W190/Y190)*100, 2)</f>
        <v>73.89</v>
      </c>
      <c r="AA190" s="2">
        <f>MAX(AA189, X190)</f>
        <v>43894169.242080189</v>
      </c>
      <c r="AB190" s="2">
        <f>X190-AA190</f>
        <v>0</v>
      </c>
    </row>
    <row r="191" spans="1:28">
      <c r="A191" s="2">
        <v>188</v>
      </c>
      <c r="B191" s="2" t="s">
        <v>845</v>
      </c>
      <c r="C191" s="2" t="s">
        <v>1764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57"/>
        <v>43894169.242080189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43894169.242080189</v>
      </c>
      <c r="Y191" s="6" t="s">
        <v>1195</v>
      </c>
      <c r="Z191" s="6" t="s">
        <v>1195</v>
      </c>
      <c r="AA191" s="2">
        <f>AA190</f>
        <v>43894169.242080189</v>
      </c>
      <c r="AB191" s="2">
        <v>0</v>
      </c>
    </row>
    <row r="192" spans="1:28">
      <c r="A192" s="2">
        <v>189</v>
      </c>
      <c r="B192" s="2" t="s">
        <v>848</v>
      </c>
      <c r="C192" s="2" t="s">
        <v>1764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2" t="s">
        <v>829</v>
      </c>
      <c r="I192" s="2" t="s">
        <v>575</v>
      </c>
      <c r="J192" s="2" t="s">
        <v>580</v>
      </c>
      <c r="K192" s="2">
        <f t="shared" si="57"/>
        <v>43894169.242080189</v>
      </c>
      <c r="L192" s="2" t="s">
        <v>1802</v>
      </c>
      <c r="M192" s="2" t="s">
        <v>1721</v>
      </c>
      <c r="N192" s="2" t="s">
        <v>1722</v>
      </c>
      <c r="O192" s="2">
        <v>2659</v>
      </c>
      <c r="P192" s="2">
        <v>372.58834838867187</v>
      </c>
      <c r="Q192" s="2">
        <v>383.35736083984381</v>
      </c>
      <c r="R192" s="2">
        <f t="shared" ref="R192:R208" si="91">O192*P192</f>
        <v>990712.41836547852</v>
      </c>
      <c r="S192" s="2">
        <f t="shared" ref="S192:S208" si="92">O192*Q192</f>
        <v>1019347.2224731446</v>
      </c>
      <c r="T192" s="2">
        <f t="shared" ref="T192:T208" si="93">R192+S192</f>
        <v>2010059.640838623</v>
      </c>
      <c r="U192" s="2">
        <f t="shared" ref="U192:U208" si="94">ROUND(T192*0.0005, 2)</f>
        <v>1005.03</v>
      </c>
      <c r="V192" s="2">
        <f t="shared" ref="V192:V208" si="95">S192-R192</f>
        <v>28634.804107666132</v>
      </c>
      <c r="W192" s="2">
        <f t="shared" ref="W192:W208" si="96">V192-U192</f>
        <v>27629.774107666133</v>
      </c>
      <c r="X192" s="2">
        <f t="shared" ref="X192:X208" si="97">K192+W192</f>
        <v>43921799.016187854</v>
      </c>
      <c r="Y192" s="2">
        <f t="shared" ref="Y192:Y208" si="98">ROUND(0.2*R192, 2)</f>
        <v>198142.48</v>
      </c>
      <c r="Z192" s="2">
        <f t="shared" ref="Z192:Z208" si="99">ROUND((W192/Y192)*100, 2)</f>
        <v>13.94</v>
      </c>
      <c r="AA192" s="2">
        <f t="shared" ref="AA192:AA208" si="100">MAX(AA191, X192)</f>
        <v>43921799.016187854</v>
      </c>
      <c r="AB192" s="2">
        <f t="shared" ref="AB192:AB208" si="101">X192-AA192</f>
        <v>0</v>
      </c>
    </row>
    <row r="193" spans="1:28">
      <c r="A193" s="2">
        <v>190</v>
      </c>
      <c r="B193" s="2" t="s">
        <v>851</v>
      </c>
      <c r="C193" s="2" t="s">
        <v>1764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2003</v>
      </c>
      <c r="J193" s="2" t="s">
        <v>1034</v>
      </c>
      <c r="K193" s="2">
        <f t="shared" si="57"/>
        <v>43921799.016187854</v>
      </c>
      <c r="L193" s="2" t="s">
        <v>1084</v>
      </c>
      <c r="M193" s="2" t="s">
        <v>1283</v>
      </c>
      <c r="N193" s="2" t="s">
        <v>1270</v>
      </c>
      <c r="O193" s="2">
        <v>5500</v>
      </c>
      <c r="P193" s="2">
        <v>147.31561279296881</v>
      </c>
      <c r="Q193" s="2">
        <v>153.50083923339841</v>
      </c>
      <c r="R193" s="2">
        <f t="shared" si="91"/>
        <v>810235.87036132847</v>
      </c>
      <c r="S193" s="2">
        <f t="shared" si="92"/>
        <v>844254.61578369129</v>
      </c>
      <c r="T193" s="2">
        <f t="shared" si="93"/>
        <v>1654490.4861450198</v>
      </c>
      <c r="U193" s="2">
        <f t="shared" si="94"/>
        <v>827.25</v>
      </c>
      <c r="V193" s="2">
        <f t="shared" si="95"/>
        <v>34018.745422362816</v>
      </c>
      <c r="W193" s="2">
        <f t="shared" si="96"/>
        <v>33191.495422362816</v>
      </c>
      <c r="X193" s="2">
        <f t="shared" si="97"/>
        <v>43954990.511610217</v>
      </c>
      <c r="Y193" s="2">
        <f t="shared" si="98"/>
        <v>162047.17000000001</v>
      </c>
      <c r="Z193" s="2">
        <f t="shared" si="99"/>
        <v>20.48</v>
      </c>
      <c r="AA193" s="2">
        <f t="shared" si="100"/>
        <v>43954990.511610217</v>
      </c>
      <c r="AB193" s="2">
        <f t="shared" si="101"/>
        <v>0</v>
      </c>
    </row>
    <row r="194" spans="1:28">
      <c r="A194" s="2">
        <v>191</v>
      </c>
      <c r="B194" s="2" t="s">
        <v>854</v>
      </c>
      <c r="C194" s="2" t="s">
        <v>1764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549</v>
      </c>
      <c r="J194" s="2" t="s">
        <v>2004</v>
      </c>
      <c r="K194" s="2">
        <f t="shared" si="57"/>
        <v>43954990.511610217</v>
      </c>
      <c r="L194" s="2" t="s">
        <v>1438</v>
      </c>
      <c r="M194" s="2" t="s">
        <v>1085</v>
      </c>
      <c r="N194" s="2" t="s">
        <v>1346</v>
      </c>
      <c r="O194" s="2">
        <v>175</v>
      </c>
      <c r="P194" s="2">
        <v>3885.653076171875</v>
      </c>
      <c r="Q194" s="2">
        <v>3721.622802734375</v>
      </c>
      <c r="R194" s="2">
        <f t="shared" si="91"/>
        <v>679989.28833007812</v>
      </c>
      <c r="S194" s="2">
        <f t="shared" si="92"/>
        <v>651283.99047851563</v>
      </c>
      <c r="T194" s="2">
        <f t="shared" si="93"/>
        <v>1331273.2788085938</v>
      </c>
      <c r="U194" s="2">
        <f t="shared" si="94"/>
        <v>665.64</v>
      </c>
      <c r="V194" s="2">
        <f t="shared" si="95"/>
        <v>-28705.2978515625</v>
      </c>
      <c r="W194" s="2">
        <f t="shared" si="96"/>
        <v>-29370.937851562499</v>
      </c>
      <c r="X194" s="2">
        <f t="shared" si="97"/>
        <v>43925619.573758654</v>
      </c>
      <c r="Y194" s="2">
        <f t="shared" si="98"/>
        <v>135997.85999999999</v>
      </c>
      <c r="Z194" s="2">
        <f t="shared" si="99"/>
        <v>-21.6</v>
      </c>
      <c r="AA194" s="2">
        <f t="shared" si="100"/>
        <v>43954990.511610217</v>
      </c>
      <c r="AB194" s="2">
        <f t="shared" si="101"/>
        <v>-29370.937851563096</v>
      </c>
    </row>
    <row r="195" spans="1:28">
      <c r="A195" s="2">
        <v>192</v>
      </c>
      <c r="B195" s="2" t="s">
        <v>860</v>
      </c>
      <c r="C195" s="2" t="s">
        <v>1764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733</v>
      </c>
      <c r="J195" s="2" t="s">
        <v>2005</v>
      </c>
      <c r="K195" s="2">
        <f t="shared" si="57"/>
        <v>43925619.573758654</v>
      </c>
      <c r="L195" s="2" t="s">
        <v>1244</v>
      </c>
      <c r="M195" s="2" t="s">
        <v>1268</v>
      </c>
      <c r="N195" s="2" t="s">
        <v>1004</v>
      </c>
      <c r="O195" s="2">
        <v>600</v>
      </c>
      <c r="P195" s="2">
        <v>1449.977172851562</v>
      </c>
      <c r="Q195" s="2">
        <v>1439.509155273438</v>
      </c>
      <c r="R195" s="2">
        <f t="shared" si="91"/>
        <v>869986.30371093727</v>
      </c>
      <c r="S195" s="2">
        <f t="shared" si="92"/>
        <v>863705.49316406273</v>
      </c>
      <c r="T195" s="2">
        <f t="shared" si="93"/>
        <v>1733691.796875</v>
      </c>
      <c r="U195" s="2">
        <f t="shared" si="94"/>
        <v>866.85</v>
      </c>
      <c r="V195" s="2">
        <f t="shared" si="95"/>
        <v>-6280.8105468745343</v>
      </c>
      <c r="W195" s="2">
        <f t="shared" si="96"/>
        <v>-7147.6605468745347</v>
      </c>
      <c r="X195" s="2">
        <f t="shared" si="97"/>
        <v>43918471.913211778</v>
      </c>
      <c r="Y195" s="2">
        <f t="shared" si="98"/>
        <v>173997.26</v>
      </c>
      <c r="Z195" s="2">
        <f t="shared" si="99"/>
        <v>-4.1100000000000003</v>
      </c>
      <c r="AA195" s="2">
        <f t="shared" si="100"/>
        <v>43954990.511610217</v>
      </c>
      <c r="AB195" s="2">
        <f t="shared" si="101"/>
        <v>-36518.598398439586</v>
      </c>
    </row>
    <row r="196" spans="1:28">
      <c r="A196" s="2">
        <v>193</v>
      </c>
      <c r="B196" s="2" t="s">
        <v>865</v>
      </c>
      <c r="C196" s="2" t="s">
        <v>1764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2" t="s">
        <v>866</v>
      </c>
      <c r="I196" s="2" t="s">
        <v>2006</v>
      </c>
      <c r="J196" s="2" t="s">
        <v>1432</v>
      </c>
      <c r="K196" s="2">
        <f t="shared" si="57"/>
        <v>43918471.913211778</v>
      </c>
      <c r="L196" s="2" t="s">
        <v>1586</v>
      </c>
      <c r="M196" s="2" t="s">
        <v>1802</v>
      </c>
      <c r="N196" s="2" t="s">
        <v>1808</v>
      </c>
      <c r="O196" s="2">
        <v>371</v>
      </c>
      <c r="P196" s="2">
        <v>3633.198486328125</v>
      </c>
      <c r="Q196" s="2">
        <v>3976.0791015625</v>
      </c>
      <c r="R196" s="2">
        <f t="shared" si="91"/>
        <v>1347916.6384277344</v>
      </c>
      <c r="S196" s="2">
        <f t="shared" si="92"/>
        <v>1475125.3466796875</v>
      </c>
      <c r="T196" s="2">
        <f t="shared" si="93"/>
        <v>2823041.9851074219</v>
      </c>
      <c r="U196" s="2">
        <f t="shared" si="94"/>
        <v>1411.52</v>
      </c>
      <c r="V196" s="2">
        <f t="shared" si="95"/>
        <v>127208.70825195312</v>
      </c>
      <c r="W196" s="2">
        <f t="shared" si="96"/>
        <v>125797.18825195312</v>
      </c>
      <c r="X196" s="2">
        <f t="shared" si="97"/>
        <v>44044269.101463728</v>
      </c>
      <c r="Y196" s="2">
        <f t="shared" si="98"/>
        <v>269583.33</v>
      </c>
      <c r="Z196" s="2">
        <f t="shared" si="99"/>
        <v>46.66</v>
      </c>
      <c r="AA196" s="2">
        <f t="shared" si="100"/>
        <v>44044269.101463728</v>
      </c>
      <c r="AB196" s="2">
        <f t="shared" si="101"/>
        <v>0</v>
      </c>
    </row>
    <row r="197" spans="1:28">
      <c r="A197" s="2">
        <v>194</v>
      </c>
      <c r="B197" s="2" t="s">
        <v>868</v>
      </c>
      <c r="C197" s="2" t="s">
        <v>1764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422</v>
      </c>
      <c r="J197" s="2" t="s">
        <v>975</v>
      </c>
      <c r="K197" s="2">
        <f t="shared" ref="K197:K214" si="102">X196</f>
        <v>44044269.101463728</v>
      </c>
      <c r="L197" s="2" t="s">
        <v>1268</v>
      </c>
      <c r="M197" s="2" t="s">
        <v>1254</v>
      </c>
      <c r="N197" s="2" t="s">
        <v>1292</v>
      </c>
      <c r="O197" s="2">
        <v>175</v>
      </c>
      <c r="P197" s="2">
        <v>3354.8125</v>
      </c>
      <c r="Q197" s="2">
        <v>3446.634033203125</v>
      </c>
      <c r="R197" s="2">
        <f t="shared" si="91"/>
        <v>587092.1875</v>
      </c>
      <c r="S197" s="2">
        <f t="shared" si="92"/>
        <v>603160.95581054687</v>
      </c>
      <c r="T197" s="2">
        <f t="shared" si="93"/>
        <v>1190253.1433105469</v>
      </c>
      <c r="U197" s="2">
        <f t="shared" si="94"/>
        <v>595.13</v>
      </c>
      <c r="V197" s="2">
        <f t="shared" si="95"/>
        <v>16068.768310546875</v>
      </c>
      <c r="W197" s="2">
        <f t="shared" si="96"/>
        <v>15473.638310546876</v>
      </c>
      <c r="X197" s="2">
        <f t="shared" si="97"/>
        <v>44059742.739774272</v>
      </c>
      <c r="Y197" s="2">
        <f t="shared" si="98"/>
        <v>117418.44</v>
      </c>
      <c r="Z197" s="2">
        <f t="shared" si="99"/>
        <v>13.18</v>
      </c>
      <c r="AA197" s="2">
        <f t="shared" si="100"/>
        <v>44059742.739774272</v>
      </c>
      <c r="AB197" s="2">
        <f t="shared" si="101"/>
        <v>0</v>
      </c>
    </row>
    <row r="198" spans="1:28">
      <c r="A198" s="2">
        <v>195</v>
      </c>
      <c r="B198" s="2" t="s">
        <v>873</v>
      </c>
      <c r="C198" s="2" t="s">
        <v>1764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565</v>
      </c>
      <c r="J198" s="2" t="s">
        <v>2007</v>
      </c>
      <c r="K198" s="2">
        <f t="shared" si="102"/>
        <v>44059742.739774272</v>
      </c>
      <c r="L198" s="2" t="s">
        <v>2008</v>
      </c>
      <c r="M198" s="2" t="s">
        <v>2009</v>
      </c>
      <c r="N198" s="2" t="s">
        <v>2010</v>
      </c>
      <c r="O198" s="2">
        <v>3054</v>
      </c>
      <c r="P198" s="2">
        <v>127.594856262207</v>
      </c>
      <c r="Q198" s="2">
        <v>116.32110595703119</v>
      </c>
      <c r="R198" s="2">
        <f t="shared" si="91"/>
        <v>389674.69102478022</v>
      </c>
      <c r="S198" s="2">
        <f t="shared" si="92"/>
        <v>355244.65759277326</v>
      </c>
      <c r="T198" s="2">
        <f t="shared" si="93"/>
        <v>744919.34861755348</v>
      </c>
      <c r="U198" s="2">
        <f t="shared" si="94"/>
        <v>372.46</v>
      </c>
      <c r="V198" s="2">
        <f t="shared" si="95"/>
        <v>-34430.033432006952</v>
      </c>
      <c r="W198" s="2">
        <f t="shared" si="96"/>
        <v>-34802.493432006951</v>
      </c>
      <c r="X198" s="2">
        <f t="shared" si="97"/>
        <v>44024940.246342264</v>
      </c>
      <c r="Y198" s="2">
        <f t="shared" si="98"/>
        <v>77934.94</v>
      </c>
      <c r="Z198" s="2">
        <f t="shared" si="99"/>
        <v>-44.66</v>
      </c>
      <c r="AA198" s="2">
        <f t="shared" si="100"/>
        <v>44059742.739774272</v>
      </c>
      <c r="AB198" s="2">
        <f t="shared" si="101"/>
        <v>-34802.49343200773</v>
      </c>
    </row>
    <row r="199" spans="1:28">
      <c r="A199" s="2">
        <v>196</v>
      </c>
      <c r="B199" s="2" t="s">
        <v>878</v>
      </c>
      <c r="C199" s="2" t="s">
        <v>1764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2" t="s">
        <v>879</v>
      </c>
      <c r="I199" s="2" t="s">
        <v>1468</v>
      </c>
      <c r="J199" s="2" t="s">
        <v>744</v>
      </c>
      <c r="K199" s="2">
        <f t="shared" si="102"/>
        <v>44024940.246342264</v>
      </c>
      <c r="L199" s="2" t="s">
        <v>1808</v>
      </c>
      <c r="M199" s="2" t="s">
        <v>1801</v>
      </c>
      <c r="N199" s="2" t="s">
        <v>1802</v>
      </c>
      <c r="O199" s="2">
        <v>205</v>
      </c>
      <c r="P199" s="2">
        <v>2440.918212890625</v>
      </c>
      <c r="Q199" s="2">
        <v>2570.517822265625</v>
      </c>
      <c r="R199" s="2">
        <f t="shared" si="91"/>
        <v>500388.23364257812</v>
      </c>
      <c r="S199" s="2">
        <f t="shared" si="92"/>
        <v>526956.15356445312</v>
      </c>
      <c r="T199" s="2">
        <f t="shared" si="93"/>
        <v>1027344.3872070313</v>
      </c>
      <c r="U199" s="2">
        <f t="shared" si="94"/>
        <v>513.66999999999996</v>
      </c>
      <c r="V199" s="2">
        <f t="shared" si="95"/>
        <v>26567.919921875</v>
      </c>
      <c r="W199" s="2">
        <f t="shared" si="96"/>
        <v>26054.249921875002</v>
      </c>
      <c r="X199" s="2">
        <f t="shared" si="97"/>
        <v>44050994.496264137</v>
      </c>
      <c r="Y199" s="2">
        <f t="shared" si="98"/>
        <v>100077.65</v>
      </c>
      <c r="Z199" s="2">
        <f t="shared" si="99"/>
        <v>26.03</v>
      </c>
      <c r="AA199" s="2">
        <f t="shared" si="100"/>
        <v>44059742.739774272</v>
      </c>
      <c r="AB199" s="2">
        <f t="shared" si="101"/>
        <v>-8748.2435101345181</v>
      </c>
    </row>
    <row r="200" spans="1:28">
      <c r="A200" s="2">
        <v>197</v>
      </c>
      <c r="B200" s="2" t="s">
        <v>881</v>
      </c>
      <c r="C200" s="2" t="s">
        <v>1764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2011</v>
      </c>
      <c r="J200" s="2" t="s">
        <v>2012</v>
      </c>
      <c r="K200" s="2">
        <f t="shared" si="102"/>
        <v>44050994.496264137</v>
      </c>
      <c r="L200" s="2" t="s">
        <v>1283</v>
      </c>
      <c r="M200" s="2" t="s">
        <v>1379</v>
      </c>
      <c r="N200" s="2" t="s">
        <v>1278</v>
      </c>
      <c r="O200" s="2">
        <v>345</v>
      </c>
      <c r="P200" s="2">
        <v>5461.22265625</v>
      </c>
      <c r="Q200" s="2">
        <v>6489.05908203125</v>
      </c>
      <c r="R200" s="2">
        <f t="shared" si="91"/>
        <v>1884121.81640625</v>
      </c>
      <c r="S200" s="2">
        <f t="shared" si="92"/>
        <v>2238725.3833007812</v>
      </c>
      <c r="T200" s="2">
        <f t="shared" si="93"/>
        <v>4122847.1997070312</v>
      </c>
      <c r="U200" s="2">
        <f t="shared" si="94"/>
        <v>2061.42</v>
      </c>
      <c r="V200" s="2">
        <f t="shared" si="95"/>
        <v>354603.56689453125</v>
      </c>
      <c r="W200" s="2">
        <f t="shared" si="96"/>
        <v>352542.14689453127</v>
      </c>
      <c r="X200" s="2">
        <f t="shared" si="97"/>
        <v>44403536.643158667</v>
      </c>
      <c r="Y200" s="2">
        <f t="shared" si="98"/>
        <v>376824.36</v>
      </c>
      <c r="Z200" s="2">
        <f t="shared" si="99"/>
        <v>93.56</v>
      </c>
      <c r="AA200" s="2">
        <f t="shared" si="100"/>
        <v>44403536.643158667</v>
      </c>
      <c r="AB200" s="2">
        <f t="shared" si="101"/>
        <v>0</v>
      </c>
    </row>
    <row r="201" spans="1:28">
      <c r="A201" s="2">
        <v>198</v>
      </c>
      <c r="B201" s="2" t="s">
        <v>886</v>
      </c>
      <c r="C201" s="2" t="s">
        <v>1764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2" t="s">
        <v>887</v>
      </c>
      <c r="I201" s="2" t="s">
        <v>1171</v>
      </c>
      <c r="J201" s="2" t="s">
        <v>1144</v>
      </c>
      <c r="K201" s="2">
        <f t="shared" si="102"/>
        <v>44403536.643158667</v>
      </c>
      <c r="L201" s="2" t="s">
        <v>1783</v>
      </c>
      <c r="M201" s="2" t="s">
        <v>1586</v>
      </c>
      <c r="N201" s="2" t="s">
        <v>1584</v>
      </c>
      <c r="O201" s="2">
        <v>237</v>
      </c>
      <c r="P201" s="2">
        <v>1918.7646484375</v>
      </c>
      <c r="Q201" s="2">
        <v>1993.593627929688</v>
      </c>
      <c r="R201" s="2">
        <f t="shared" si="91"/>
        <v>454747.2216796875</v>
      </c>
      <c r="S201" s="2">
        <f t="shared" si="92"/>
        <v>472481.68981933605</v>
      </c>
      <c r="T201" s="2">
        <f t="shared" si="93"/>
        <v>927228.91149902355</v>
      </c>
      <c r="U201" s="2">
        <f t="shared" si="94"/>
        <v>463.61</v>
      </c>
      <c r="V201" s="2">
        <f t="shared" si="95"/>
        <v>17734.468139648554</v>
      </c>
      <c r="W201" s="2">
        <f t="shared" si="96"/>
        <v>17270.858139648553</v>
      </c>
      <c r="X201" s="2">
        <f t="shared" si="97"/>
        <v>44420807.501298316</v>
      </c>
      <c r="Y201" s="2">
        <f t="shared" si="98"/>
        <v>90949.440000000002</v>
      </c>
      <c r="Z201" s="2">
        <f t="shared" si="99"/>
        <v>18.989999999999998</v>
      </c>
      <c r="AA201" s="2">
        <f t="shared" si="100"/>
        <v>44420807.501298316</v>
      </c>
      <c r="AB201" s="2">
        <f t="shared" si="101"/>
        <v>0</v>
      </c>
    </row>
    <row r="202" spans="1:28">
      <c r="A202" s="2">
        <v>199</v>
      </c>
      <c r="B202" s="2" t="s">
        <v>890</v>
      </c>
      <c r="C202" s="2" t="s">
        <v>1764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619</v>
      </c>
      <c r="J202" s="2" t="s">
        <v>42</v>
      </c>
      <c r="K202" s="2">
        <f t="shared" si="102"/>
        <v>44420807.501298316</v>
      </c>
      <c r="L202" s="2" t="s">
        <v>1346</v>
      </c>
      <c r="M202" s="2" t="s">
        <v>1004</v>
      </c>
      <c r="N202" s="2" t="s">
        <v>1318</v>
      </c>
      <c r="O202" s="2">
        <v>100</v>
      </c>
      <c r="P202" s="2">
        <v>11302.40625</v>
      </c>
      <c r="Q202" s="2">
        <v>11414.4765625</v>
      </c>
      <c r="R202" s="2">
        <f t="shared" si="91"/>
        <v>1130240.625</v>
      </c>
      <c r="S202" s="2">
        <f t="shared" si="92"/>
        <v>1141447.65625</v>
      </c>
      <c r="T202" s="2">
        <f t="shared" si="93"/>
        <v>2271688.28125</v>
      </c>
      <c r="U202" s="2">
        <f t="shared" si="94"/>
        <v>1135.8399999999999</v>
      </c>
      <c r="V202" s="2">
        <f t="shared" si="95"/>
        <v>11207.03125</v>
      </c>
      <c r="W202" s="2">
        <f t="shared" si="96"/>
        <v>10071.19125</v>
      </c>
      <c r="X202" s="2">
        <f t="shared" si="97"/>
        <v>44430878.692548312</v>
      </c>
      <c r="Y202" s="2">
        <f t="shared" si="98"/>
        <v>226048.13</v>
      </c>
      <c r="Z202" s="2">
        <f t="shared" si="99"/>
        <v>4.46</v>
      </c>
      <c r="AA202" s="2">
        <f t="shared" si="100"/>
        <v>44430878.692548312</v>
      </c>
      <c r="AB202" s="2">
        <f t="shared" si="101"/>
        <v>0</v>
      </c>
    </row>
    <row r="203" spans="1:28">
      <c r="A203" s="2">
        <v>200</v>
      </c>
      <c r="B203" s="2" t="s">
        <v>894</v>
      </c>
      <c r="C203" s="2" t="s">
        <v>1764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2" t="s">
        <v>895</v>
      </c>
      <c r="I203" s="2" t="s">
        <v>2013</v>
      </c>
      <c r="J203" s="2" t="s">
        <v>588</v>
      </c>
      <c r="K203" s="2">
        <f t="shared" si="102"/>
        <v>44430878.692548312</v>
      </c>
      <c r="L203" s="2" t="s">
        <v>1783</v>
      </c>
      <c r="M203" s="2" t="s">
        <v>1585</v>
      </c>
      <c r="N203" s="2" t="s">
        <v>1650</v>
      </c>
      <c r="O203" s="2">
        <v>5868</v>
      </c>
      <c r="P203" s="2">
        <v>120.7742614746094</v>
      </c>
      <c r="Q203" s="2">
        <v>130.06459045410159</v>
      </c>
      <c r="R203" s="2">
        <f t="shared" si="91"/>
        <v>708703.36633300793</v>
      </c>
      <c r="S203" s="2">
        <f t="shared" si="92"/>
        <v>763219.01678466809</v>
      </c>
      <c r="T203" s="2">
        <f t="shared" si="93"/>
        <v>1471922.383117676</v>
      </c>
      <c r="U203" s="2">
        <f t="shared" si="94"/>
        <v>735.96</v>
      </c>
      <c r="V203" s="2">
        <f t="shared" si="95"/>
        <v>54515.650451660156</v>
      </c>
      <c r="W203" s="2">
        <f t="shared" si="96"/>
        <v>53779.690451660157</v>
      </c>
      <c r="X203" s="2">
        <f t="shared" si="97"/>
        <v>44484658.382999972</v>
      </c>
      <c r="Y203" s="2">
        <f t="shared" si="98"/>
        <v>141740.67000000001</v>
      </c>
      <c r="Z203" s="2">
        <f t="shared" si="99"/>
        <v>37.94</v>
      </c>
      <c r="AA203" s="2">
        <f t="shared" si="100"/>
        <v>44484658.382999972</v>
      </c>
      <c r="AB203" s="2">
        <f t="shared" si="101"/>
        <v>0</v>
      </c>
    </row>
    <row r="204" spans="1:28">
      <c r="A204" s="2">
        <v>201</v>
      </c>
      <c r="B204" s="2" t="s">
        <v>897</v>
      </c>
      <c r="C204" s="2" t="s">
        <v>1764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2" t="s">
        <v>898</v>
      </c>
      <c r="I204" s="2" t="s">
        <v>1512</v>
      </c>
      <c r="J204" s="2" t="s">
        <v>717</v>
      </c>
      <c r="K204" s="2">
        <f t="shared" si="102"/>
        <v>44484658.382999972</v>
      </c>
      <c r="L204" s="2" t="s">
        <v>1815</v>
      </c>
      <c r="M204" s="2" t="s">
        <v>1720</v>
      </c>
      <c r="N204" s="2" t="s">
        <v>1799</v>
      </c>
      <c r="O204" s="2">
        <v>652</v>
      </c>
      <c r="P204" s="2">
        <v>1053.869873046875</v>
      </c>
      <c r="Q204" s="2">
        <v>1082.742919921875</v>
      </c>
      <c r="R204" s="2">
        <f t="shared" si="91"/>
        <v>687123.1572265625</v>
      </c>
      <c r="S204" s="2">
        <f t="shared" si="92"/>
        <v>705948.3837890625</v>
      </c>
      <c r="T204" s="2">
        <f t="shared" si="93"/>
        <v>1393071.541015625</v>
      </c>
      <c r="U204" s="2">
        <f t="shared" si="94"/>
        <v>696.54</v>
      </c>
      <c r="V204" s="2">
        <f t="shared" si="95"/>
        <v>18825.2265625</v>
      </c>
      <c r="W204" s="2">
        <f t="shared" si="96"/>
        <v>18128.686562499999</v>
      </c>
      <c r="X204" s="2">
        <f t="shared" si="97"/>
        <v>44502787.069562472</v>
      </c>
      <c r="Y204" s="2">
        <f t="shared" si="98"/>
        <v>137424.63</v>
      </c>
      <c r="Z204" s="2">
        <f t="shared" si="99"/>
        <v>13.19</v>
      </c>
      <c r="AA204" s="2">
        <f t="shared" si="100"/>
        <v>44502787.069562472</v>
      </c>
      <c r="AB204" s="2">
        <f t="shared" si="101"/>
        <v>0</v>
      </c>
    </row>
    <row r="205" spans="1:28">
      <c r="A205" s="2">
        <v>202</v>
      </c>
      <c r="B205" s="2" t="s">
        <v>899</v>
      </c>
      <c r="C205" s="2" t="s">
        <v>1764</v>
      </c>
      <c r="D205" s="3" t="s">
        <v>37</v>
      </c>
      <c r="E205" s="5" t="s">
        <v>134</v>
      </c>
      <c r="F205" s="2" t="s">
        <v>135</v>
      </c>
      <c r="G205" s="2" t="s">
        <v>40</v>
      </c>
      <c r="H205" s="2" t="s">
        <v>638</v>
      </c>
      <c r="I205" s="2" t="s">
        <v>2014</v>
      </c>
      <c r="J205" s="2" t="s">
        <v>2015</v>
      </c>
      <c r="K205" s="2">
        <f t="shared" si="102"/>
        <v>44502787.069562472</v>
      </c>
      <c r="L205" s="2" t="s">
        <v>1585</v>
      </c>
      <c r="M205" s="2" t="s">
        <v>1809</v>
      </c>
      <c r="N205" s="2" t="s">
        <v>1779</v>
      </c>
      <c r="O205" s="2">
        <v>852</v>
      </c>
      <c r="P205" s="2">
        <v>679.9010009765625</v>
      </c>
      <c r="Q205" s="2">
        <v>627.864501953125</v>
      </c>
      <c r="R205" s="2">
        <f t="shared" si="91"/>
        <v>579275.65283203125</v>
      </c>
      <c r="S205" s="2">
        <f t="shared" si="92"/>
        <v>534940.5556640625</v>
      </c>
      <c r="T205" s="2">
        <f t="shared" si="93"/>
        <v>1114216.2084960938</v>
      </c>
      <c r="U205" s="2">
        <f t="shared" si="94"/>
        <v>557.11</v>
      </c>
      <c r="V205" s="2">
        <f t="shared" si="95"/>
        <v>-44335.09716796875</v>
      </c>
      <c r="W205" s="2">
        <f t="shared" si="96"/>
        <v>-44892.207167968751</v>
      </c>
      <c r="X205" s="2">
        <f t="shared" si="97"/>
        <v>44457894.862394504</v>
      </c>
      <c r="Y205" s="2">
        <f t="shared" si="98"/>
        <v>115855.13</v>
      </c>
      <c r="Z205" s="2">
        <f t="shared" si="99"/>
        <v>-38.75</v>
      </c>
      <c r="AA205" s="2">
        <f t="shared" si="100"/>
        <v>44502787.069562472</v>
      </c>
      <c r="AB205" s="2">
        <f t="shared" si="101"/>
        <v>-44892.207167968154</v>
      </c>
    </row>
    <row r="206" spans="1:28">
      <c r="A206" s="2">
        <v>203</v>
      </c>
      <c r="B206" s="2" t="s">
        <v>902</v>
      </c>
      <c r="C206" s="2" t="s">
        <v>1764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2" t="s">
        <v>903</v>
      </c>
      <c r="I206" s="2" t="s">
        <v>2016</v>
      </c>
      <c r="J206" s="2" t="s">
        <v>2017</v>
      </c>
      <c r="K206" s="2">
        <f t="shared" si="102"/>
        <v>44457894.862394504</v>
      </c>
      <c r="L206" s="2" t="s">
        <v>1585</v>
      </c>
      <c r="M206" s="2" t="s">
        <v>1801</v>
      </c>
      <c r="N206" s="2" t="s">
        <v>1824</v>
      </c>
      <c r="O206" s="2">
        <v>1659</v>
      </c>
      <c r="P206" s="2">
        <v>455.42947387695312</v>
      </c>
      <c r="Q206" s="2">
        <v>528.71356201171875</v>
      </c>
      <c r="R206" s="2">
        <f t="shared" si="91"/>
        <v>755557.49716186523</v>
      </c>
      <c r="S206" s="2">
        <f t="shared" si="92"/>
        <v>877135.79937744141</v>
      </c>
      <c r="T206" s="2">
        <f t="shared" si="93"/>
        <v>1632693.2965393066</v>
      </c>
      <c r="U206" s="2">
        <f t="shared" si="94"/>
        <v>816.35</v>
      </c>
      <c r="V206" s="2">
        <f t="shared" si="95"/>
        <v>121578.30221557617</v>
      </c>
      <c r="W206" s="2">
        <f t="shared" si="96"/>
        <v>120761.95221557617</v>
      </c>
      <c r="X206" s="2">
        <f t="shared" si="97"/>
        <v>44578656.814610079</v>
      </c>
      <c r="Y206" s="2">
        <f t="shared" si="98"/>
        <v>151111.5</v>
      </c>
      <c r="Z206" s="2">
        <f t="shared" si="99"/>
        <v>79.92</v>
      </c>
      <c r="AA206" s="2">
        <f t="shared" si="100"/>
        <v>44578656.814610079</v>
      </c>
      <c r="AB206" s="2">
        <f t="shared" si="101"/>
        <v>0</v>
      </c>
    </row>
    <row r="207" spans="1:28">
      <c r="A207" s="2">
        <v>204</v>
      </c>
      <c r="B207" s="2" t="s">
        <v>906</v>
      </c>
      <c r="C207" s="2" t="s">
        <v>1764</v>
      </c>
      <c r="D207" s="4" t="s">
        <v>61</v>
      </c>
      <c r="E207" s="5" t="s">
        <v>134</v>
      </c>
      <c r="F207" s="2" t="s">
        <v>135</v>
      </c>
      <c r="G207" s="2" t="s">
        <v>77</v>
      </c>
      <c r="H207" s="2" t="s">
        <v>907</v>
      </c>
      <c r="I207" s="2" t="s">
        <v>1371</v>
      </c>
      <c r="J207" s="2" t="s">
        <v>2018</v>
      </c>
      <c r="K207" s="2">
        <f t="shared" si="102"/>
        <v>44578656.814610079</v>
      </c>
      <c r="L207" s="2" t="s">
        <v>1784</v>
      </c>
      <c r="M207" s="2" t="s">
        <v>1780</v>
      </c>
      <c r="N207" s="2" t="s">
        <v>1778</v>
      </c>
      <c r="O207" s="2">
        <v>2215</v>
      </c>
      <c r="P207" s="2">
        <v>535.24041748046875</v>
      </c>
      <c r="Q207" s="2">
        <v>508.71975708007812</v>
      </c>
      <c r="R207" s="2">
        <f t="shared" si="91"/>
        <v>1185557.5247192383</v>
      </c>
      <c r="S207" s="2">
        <f t="shared" si="92"/>
        <v>1126814.261932373</v>
      </c>
      <c r="T207" s="2">
        <f t="shared" si="93"/>
        <v>2312371.7866516113</v>
      </c>
      <c r="U207" s="2">
        <f t="shared" si="94"/>
        <v>1156.19</v>
      </c>
      <c r="V207" s="2">
        <f t="shared" si="95"/>
        <v>-58743.262786865234</v>
      </c>
      <c r="W207" s="2">
        <f t="shared" si="96"/>
        <v>-59899.452786865237</v>
      </c>
      <c r="X207" s="2">
        <f t="shared" si="97"/>
        <v>44518757.361823216</v>
      </c>
      <c r="Y207" s="2">
        <f t="shared" si="98"/>
        <v>237111.5</v>
      </c>
      <c r="Z207" s="2">
        <f t="shared" si="99"/>
        <v>-25.26</v>
      </c>
      <c r="AA207" s="2">
        <f t="shared" si="100"/>
        <v>44578656.814610079</v>
      </c>
      <c r="AB207" s="2">
        <f t="shared" si="101"/>
        <v>-59899.45278686285</v>
      </c>
    </row>
    <row r="208" spans="1:28">
      <c r="A208" s="2">
        <v>205</v>
      </c>
      <c r="B208" s="2" t="s">
        <v>910</v>
      </c>
      <c r="C208" s="2" t="s">
        <v>1764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2" t="s">
        <v>911</v>
      </c>
      <c r="I208" s="2" t="s">
        <v>2019</v>
      </c>
      <c r="J208" s="2" t="s">
        <v>1931</v>
      </c>
      <c r="K208" s="2">
        <f t="shared" si="102"/>
        <v>44518757.361823216</v>
      </c>
      <c r="L208" s="2" t="s">
        <v>1584</v>
      </c>
      <c r="M208" s="2" t="s">
        <v>1802</v>
      </c>
      <c r="N208" s="2" t="s">
        <v>1585</v>
      </c>
      <c r="O208" s="2">
        <v>3738</v>
      </c>
      <c r="P208" s="2">
        <v>222.95091247558599</v>
      </c>
      <c r="Q208" s="2">
        <v>231.44264221191409</v>
      </c>
      <c r="R208" s="2">
        <f t="shared" si="91"/>
        <v>833390.51083374047</v>
      </c>
      <c r="S208" s="2">
        <f t="shared" si="92"/>
        <v>865132.59658813488</v>
      </c>
      <c r="T208" s="2">
        <f t="shared" si="93"/>
        <v>1698523.1074218755</v>
      </c>
      <c r="U208" s="2">
        <f t="shared" si="94"/>
        <v>849.26</v>
      </c>
      <c r="V208" s="2">
        <f t="shared" si="95"/>
        <v>31742.085754394415</v>
      </c>
      <c r="W208" s="2">
        <f t="shared" si="96"/>
        <v>30892.825754394416</v>
      </c>
      <c r="X208" s="2">
        <f t="shared" si="97"/>
        <v>44549650.187577613</v>
      </c>
      <c r="Y208" s="2">
        <f t="shared" si="98"/>
        <v>166678.1</v>
      </c>
      <c r="Z208" s="2">
        <f t="shared" si="99"/>
        <v>18.53</v>
      </c>
      <c r="AA208" s="2">
        <f t="shared" si="100"/>
        <v>44578656.814610079</v>
      </c>
      <c r="AB208" s="2">
        <f t="shared" si="101"/>
        <v>-29006.627032466233</v>
      </c>
    </row>
    <row r="209" spans="1:28">
      <c r="A209" s="2">
        <v>206</v>
      </c>
      <c r="B209" s="2" t="s">
        <v>913</v>
      </c>
      <c r="C209" s="2" t="s">
        <v>1764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102"/>
        <v>44549650.187577613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>K209</f>
        <v>44549650.187577613</v>
      </c>
      <c r="Y209" s="6" t="s">
        <v>1195</v>
      </c>
      <c r="Z209" s="6" t="s">
        <v>1195</v>
      </c>
      <c r="AA209" s="2">
        <f>AA208</f>
        <v>44578656.814610079</v>
      </c>
      <c r="AB209" s="2">
        <v>0</v>
      </c>
    </row>
    <row r="210" spans="1:28">
      <c r="A210" s="2">
        <v>207</v>
      </c>
      <c r="B210" s="2" t="s">
        <v>915</v>
      </c>
      <c r="C210" s="2" t="s">
        <v>1764</v>
      </c>
      <c r="D210" s="4" t="s">
        <v>61</v>
      </c>
      <c r="E210" s="5" t="s">
        <v>134</v>
      </c>
      <c r="F210" s="2" t="s">
        <v>135</v>
      </c>
      <c r="G210" s="2" t="s">
        <v>54</v>
      </c>
      <c r="H210" s="2" t="s">
        <v>247</v>
      </c>
      <c r="I210" s="2" t="s">
        <v>1170</v>
      </c>
      <c r="J210" s="2" t="s">
        <v>2020</v>
      </c>
      <c r="K210" s="2">
        <f t="shared" si="102"/>
        <v>44549650.187577613</v>
      </c>
      <c r="L210" s="2" t="s">
        <v>1586</v>
      </c>
      <c r="M210" s="2" t="s">
        <v>1780</v>
      </c>
      <c r="N210" s="2" t="s">
        <v>1784</v>
      </c>
      <c r="O210" s="2">
        <v>750</v>
      </c>
      <c r="P210" s="2">
        <v>1015.830871582031</v>
      </c>
      <c r="Q210" s="2">
        <v>992.86627197265625</v>
      </c>
      <c r="R210" s="2">
        <f>O210*P210</f>
        <v>761873.15368652332</v>
      </c>
      <c r="S210" s="2">
        <f>O210*Q210</f>
        <v>744649.70397949219</v>
      </c>
      <c r="T210" s="2">
        <f>R210+S210</f>
        <v>1506522.8576660156</v>
      </c>
      <c r="U210" s="2">
        <f>ROUND(T210*0.0005, 2)</f>
        <v>753.26</v>
      </c>
      <c r="V210" s="2">
        <f>S210-R210</f>
        <v>-17223.449707031134</v>
      </c>
      <c r="W210" s="2">
        <f>V210-U210</f>
        <v>-17976.709707031132</v>
      </c>
      <c r="X210" s="2">
        <f>K210+W210</f>
        <v>44531673.477870584</v>
      </c>
      <c r="Y210" s="2">
        <f>ROUND(0.2*R210, 2)</f>
        <v>152374.63</v>
      </c>
      <c r="Z210" s="2">
        <f>ROUND((W210/Y210)*100, 2)</f>
        <v>-11.8</v>
      </c>
      <c r="AA210" s="2">
        <f>MAX(AA209, X210)</f>
        <v>44578656.814610079</v>
      </c>
      <c r="AB210" s="2">
        <f>X210-AA210</f>
        <v>-46983.336739495397</v>
      </c>
    </row>
    <row r="211" spans="1:28">
      <c r="A211" s="2">
        <v>208</v>
      </c>
      <c r="B211" s="2" t="s">
        <v>918</v>
      </c>
      <c r="C211" s="2" t="s">
        <v>1764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102"/>
        <v>44531673.477870584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>K211</f>
        <v>44531673.477870584</v>
      </c>
      <c r="Y211" s="6" t="s">
        <v>1195</v>
      </c>
      <c r="Z211" s="6" t="s">
        <v>1195</v>
      </c>
      <c r="AA211" s="2">
        <f>AA210</f>
        <v>44578656.814610079</v>
      </c>
      <c r="AB211" s="2">
        <v>0</v>
      </c>
    </row>
    <row r="212" spans="1:28">
      <c r="A212" s="2">
        <v>209</v>
      </c>
      <c r="B212" s="2" t="s">
        <v>922</v>
      </c>
      <c r="C212" s="2" t="s">
        <v>1764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2021</v>
      </c>
      <c r="J212" s="2" t="s">
        <v>2022</v>
      </c>
      <c r="K212" s="2">
        <f t="shared" si="102"/>
        <v>44531673.477870584</v>
      </c>
      <c r="L212" s="2" t="s">
        <v>1346</v>
      </c>
      <c r="M212" s="2" t="s">
        <v>1004</v>
      </c>
      <c r="N212" s="2" t="s">
        <v>1318</v>
      </c>
      <c r="O212" s="2">
        <v>1500</v>
      </c>
      <c r="P212" s="2">
        <v>250.33283996582031</v>
      </c>
      <c r="Q212" s="2">
        <v>237.56074523925781</v>
      </c>
      <c r="R212" s="2">
        <f>O212*P212</f>
        <v>375499.25994873047</v>
      </c>
      <c r="S212" s="2">
        <f>O212*Q212</f>
        <v>356341.11785888672</v>
      </c>
      <c r="T212" s="2">
        <f>R212+S212</f>
        <v>731840.37780761719</v>
      </c>
      <c r="U212" s="2">
        <f>ROUND(T212*0.0005, 2)</f>
        <v>365.92</v>
      </c>
      <c r="V212" s="2">
        <f>S212-R212</f>
        <v>-19158.14208984375</v>
      </c>
      <c r="W212" s="2">
        <f>V212-U212</f>
        <v>-19524.062089843748</v>
      </c>
      <c r="X212" s="2">
        <f>K212+W212</f>
        <v>44512149.415780738</v>
      </c>
      <c r="Y212" s="2">
        <f>ROUND(0.2*R212, 2)</f>
        <v>75099.850000000006</v>
      </c>
      <c r="Z212" s="2">
        <f>ROUND((W212/Y212)*100, 2)</f>
        <v>-26</v>
      </c>
      <c r="AA212" s="2">
        <f>MAX(AA211, X212)</f>
        <v>44578656.814610079</v>
      </c>
      <c r="AB212" s="2">
        <f>X212-AA212</f>
        <v>-66507.398829340935</v>
      </c>
    </row>
    <row r="213" spans="1:28">
      <c r="A213" s="2">
        <v>210</v>
      </c>
      <c r="B213" s="2" t="s">
        <v>925</v>
      </c>
      <c r="C213" s="2" t="s">
        <v>1764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2" t="s">
        <v>635</v>
      </c>
      <c r="I213" s="2" t="s">
        <v>2023</v>
      </c>
      <c r="J213" s="2" t="s">
        <v>2024</v>
      </c>
      <c r="K213" s="2">
        <f t="shared" si="102"/>
        <v>44512149.415780738</v>
      </c>
      <c r="L213" s="2" t="s">
        <v>1787</v>
      </c>
      <c r="M213" s="2" t="s">
        <v>1808</v>
      </c>
      <c r="N213" s="2" t="s">
        <v>2025</v>
      </c>
      <c r="O213" s="2">
        <v>44365</v>
      </c>
      <c r="P213" s="2">
        <v>23.899999618530281</v>
      </c>
      <c r="Q213" s="2">
        <v>24.899999618530281</v>
      </c>
      <c r="R213" s="2">
        <f>O213*P213</f>
        <v>1060323.4830760958</v>
      </c>
      <c r="S213" s="2">
        <f>O213*Q213</f>
        <v>1104688.4830760958</v>
      </c>
      <c r="T213" s="2">
        <f>R213+S213</f>
        <v>2165011.9661521916</v>
      </c>
      <c r="U213" s="2">
        <f>ROUND(T213*0.0005, 2)</f>
        <v>1082.51</v>
      </c>
      <c r="V213" s="2">
        <f>S213-R213</f>
        <v>44365</v>
      </c>
      <c r="W213" s="2">
        <f>V213-U213</f>
        <v>43282.49</v>
      </c>
      <c r="X213" s="2">
        <f>K213+W213</f>
        <v>44555431.90578074</v>
      </c>
      <c r="Y213" s="2">
        <f>ROUND(0.2*R213, 2)</f>
        <v>212064.7</v>
      </c>
      <c r="Z213" s="2">
        <f>ROUND((W213/Y213)*100, 2)</f>
        <v>20.41</v>
      </c>
      <c r="AA213" s="2">
        <f>MAX(AA212, X213)</f>
        <v>44578656.814610079</v>
      </c>
      <c r="AB213" s="2">
        <f>X213-AA213</f>
        <v>-23224.908829338849</v>
      </c>
    </row>
    <row r="214" spans="1:28">
      <c r="A214" s="2">
        <v>211</v>
      </c>
      <c r="B214" s="2" t="s">
        <v>928</v>
      </c>
      <c r="C214" s="2" t="s">
        <v>1764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2" t="s">
        <v>929</v>
      </c>
      <c r="I214" s="2" t="s">
        <v>2026</v>
      </c>
      <c r="J214" s="2" t="s">
        <v>2027</v>
      </c>
      <c r="K214" s="2">
        <f t="shared" si="102"/>
        <v>44555431.90578074</v>
      </c>
      <c r="L214" s="2" t="s">
        <v>1778</v>
      </c>
      <c r="M214" s="2" t="s">
        <v>1721</v>
      </c>
      <c r="N214" s="2" t="s">
        <v>1722</v>
      </c>
      <c r="O214" s="2">
        <v>896</v>
      </c>
      <c r="P214" s="2">
        <v>866.05511474609375</v>
      </c>
      <c r="Q214" s="2">
        <v>749.73699951171875</v>
      </c>
      <c r="R214" s="2">
        <f>O214*P214</f>
        <v>775985.3828125</v>
      </c>
      <c r="S214" s="2">
        <f>O214*Q214</f>
        <v>671764.3515625</v>
      </c>
      <c r="T214" s="2">
        <f>R214+S214</f>
        <v>1447749.734375</v>
      </c>
      <c r="U214" s="2">
        <f>ROUND(T214*0.0005, 2)</f>
        <v>723.87</v>
      </c>
      <c r="V214" s="2">
        <f>S214-R214</f>
        <v>-104221.03125</v>
      </c>
      <c r="W214" s="2">
        <f>V214-U214</f>
        <v>-104944.90125</v>
      </c>
      <c r="X214" s="2">
        <f>K214+W214</f>
        <v>44450487.004530743</v>
      </c>
      <c r="Y214" s="2">
        <f>ROUND(0.2*R214, 2)</f>
        <v>155197.07999999999</v>
      </c>
      <c r="Z214" s="2">
        <f>ROUND((W214/Y214)*100, 2)</f>
        <v>-67.62</v>
      </c>
      <c r="AA214" s="2">
        <f>MAX(AA213, X214)</f>
        <v>44578656.814610079</v>
      </c>
      <c r="AB214" s="2">
        <f>X214-AA214</f>
        <v>-128169.81007933617</v>
      </c>
    </row>
  </sheetData>
  <mergeCells count="1">
    <mergeCell ref="A1:A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2028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2029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2030</v>
      </c>
      <c r="J4" s="2" t="s">
        <v>811</v>
      </c>
      <c r="K4" s="2">
        <v>42511150.109999999</v>
      </c>
      <c r="L4" s="2" t="s">
        <v>2031</v>
      </c>
      <c r="M4" s="2" t="s">
        <v>2032</v>
      </c>
      <c r="N4" s="2" t="s">
        <v>2033</v>
      </c>
      <c r="O4" s="2">
        <v>874</v>
      </c>
      <c r="P4" s="2">
        <v>1112.099975585938</v>
      </c>
      <c r="Q4" s="2">
        <v>1064.099975585938</v>
      </c>
      <c r="R4" s="2">
        <f t="shared" ref="R4:R17" si="0">O4*P4</f>
        <v>971975.37866210972</v>
      </c>
      <c r="S4" s="2">
        <f t="shared" ref="S4:S17" si="1">O4*Q4</f>
        <v>930023.37866210972</v>
      </c>
      <c r="T4" s="2">
        <f t="shared" ref="T4:T17" si="2">R4+S4</f>
        <v>1901998.7573242194</v>
      </c>
      <c r="U4" s="2">
        <f t="shared" ref="U4:U17" si="3">ROUND(T4*0.0005, 2)</f>
        <v>951</v>
      </c>
      <c r="V4" s="2">
        <f t="shared" ref="V4:V17" si="4">S4-R4</f>
        <v>-41952</v>
      </c>
      <c r="W4" s="2">
        <f t="shared" ref="W4:W17" si="5">V4-U4</f>
        <v>-42903</v>
      </c>
      <c r="X4" s="2">
        <f t="shared" ref="X4:X17" si="6">K4+W4</f>
        <v>42468247.109999999</v>
      </c>
      <c r="Y4" s="2">
        <f t="shared" ref="Y4:Y17" si="7">ROUND(0.2*R4, 2)</f>
        <v>194395.08</v>
      </c>
      <c r="Z4" s="2">
        <f t="shared" ref="Z4:Z17" si="8">ROUND((W4/Y4)*100, 2)</f>
        <v>-22.07</v>
      </c>
      <c r="AA4" s="2">
        <f>MAX(42511150.11, X4)</f>
        <v>42511150.109999999</v>
      </c>
      <c r="AB4" s="2">
        <f t="shared" ref="AB4:AB17" si="9">X4-AA4</f>
        <v>-42903</v>
      </c>
    </row>
    <row r="5" spans="1:29">
      <c r="A5" s="2">
        <v>2</v>
      </c>
      <c r="B5" s="2" t="s">
        <v>46</v>
      </c>
      <c r="C5" s="2" t="s">
        <v>2029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2034</v>
      </c>
      <c r="J5" s="2" t="s">
        <v>2035</v>
      </c>
      <c r="K5" s="2">
        <f t="shared" ref="K5:K68" si="10">X4</f>
        <v>42468247.109999999</v>
      </c>
      <c r="L5" s="2" t="s">
        <v>1607</v>
      </c>
      <c r="M5" s="2" t="s">
        <v>1131</v>
      </c>
      <c r="N5" s="2" t="s">
        <v>1536</v>
      </c>
      <c r="O5" s="2">
        <v>137</v>
      </c>
      <c r="P5" s="2">
        <v>7234.90966796875</v>
      </c>
      <c r="Q5" s="2">
        <v>6429</v>
      </c>
      <c r="R5" s="2">
        <f t="shared" si="0"/>
        <v>991182.62451171875</v>
      </c>
      <c r="S5" s="2">
        <f t="shared" si="1"/>
        <v>880773</v>
      </c>
      <c r="T5" s="2">
        <f t="shared" si="2"/>
        <v>1871955.6245117188</v>
      </c>
      <c r="U5" s="2">
        <f t="shared" si="3"/>
        <v>935.98</v>
      </c>
      <c r="V5" s="2">
        <f t="shared" si="4"/>
        <v>-110409.62451171875</v>
      </c>
      <c r="W5" s="2">
        <f t="shared" si="5"/>
        <v>-111345.60451171875</v>
      </c>
      <c r="X5" s="2">
        <f t="shared" si="6"/>
        <v>42356901.505488284</v>
      </c>
      <c r="Y5" s="2">
        <f t="shared" si="7"/>
        <v>198236.52</v>
      </c>
      <c r="Z5" s="2">
        <f t="shared" si="8"/>
        <v>-56.17</v>
      </c>
      <c r="AA5" s="2">
        <f t="shared" ref="AA5:AA17" si="11">MAX(AA4, X5)</f>
        <v>42511150.109999999</v>
      </c>
      <c r="AB5" s="2">
        <f t="shared" si="9"/>
        <v>-154248.60451171547</v>
      </c>
    </row>
    <row r="6" spans="1:29">
      <c r="A6" s="2">
        <v>3</v>
      </c>
      <c r="B6" s="2" t="s">
        <v>52</v>
      </c>
      <c r="C6" s="2" t="s">
        <v>2029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270</v>
      </c>
      <c r="J6" s="2" t="s">
        <v>2036</v>
      </c>
      <c r="K6" s="2">
        <f t="shared" si="10"/>
        <v>42356901.505488284</v>
      </c>
      <c r="L6" s="2" t="s">
        <v>2037</v>
      </c>
      <c r="M6" s="2" t="s">
        <v>2038</v>
      </c>
      <c r="N6" s="2" t="s">
        <v>2039</v>
      </c>
      <c r="O6" s="2">
        <v>2537</v>
      </c>
      <c r="P6" s="2">
        <v>353.64999389648438</v>
      </c>
      <c r="Q6" s="2">
        <v>368.20001220703131</v>
      </c>
      <c r="R6" s="2">
        <f t="shared" si="0"/>
        <v>897210.03451538086</v>
      </c>
      <c r="S6" s="2">
        <f t="shared" si="1"/>
        <v>934123.4309692384</v>
      </c>
      <c r="T6" s="2">
        <f t="shared" si="2"/>
        <v>1831333.4654846191</v>
      </c>
      <c r="U6" s="2">
        <f t="shared" si="3"/>
        <v>915.67</v>
      </c>
      <c r="V6" s="2">
        <f t="shared" si="4"/>
        <v>36913.396453857538</v>
      </c>
      <c r="W6" s="2">
        <f t="shared" si="5"/>
        <v>35997.72645385754</v>
      </c>
      <c r="X6" s="2">
        <f t="shared" si="6"/>
        <v>42392899.23194214</v>
      </c>
      <c r="Y6" s="2">
        <f t="shared" si="7"/>
        <v>179442.01</v>
      </c>
      <c r="Z6" s="2">
        <f t="shared" si="8"/>
        <v>20.059999999999999</v>
      </c>
      <c r="AA6" s="2">
        <f t="shared" si="11"/>
        <v>42511150.109999999</v>
      </c>
      <c r="AB6" s="2">
        <f t="shared" si="9"/>
        <v>-118250.87805785984</v>
      </c>
    </row>
    <row r="7" spans="1:29">
      <c r="A7" s="2">
        <v>4</v>
      </c>
      <c r="B7" s="2" t="s">
        <v>60</v>
      </c>
      <c r="C7" s="2" t="s">
        <v>2029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529</v>
      </c>
      <c r="J7" s="2" t="s">
        <v>1922</v>
      </c>
      <c r="K7" s="2">
        <f t="shared" si="10"/>
        <v>42392899.23194214</v>
      </c>
      <c r="L7" s="2" t="s">
        <v>1067</v>
      </c>
      <c r="M7" s="2" t="s">
        <v>1233</v>
      </c>
      <c r="N7" s="2" t="s">
        <v>1227</v>
      </c>
      <c r="O7" s="2">
        <v>602</v>
      </c>
      <c r="P7" s="2">
        <v>1486.400024414062</v>
      </c>
      <c r="Q7" s="2">
        <v>1507.800048828125</v>
      </c>
      <c r="R7" s="2">
        <f t="shared" si="0"/>
        <v>894812.81469726539</v>
      </c>
      <c r="S7" s="2">
        <f t="shared" si="1"/>
        <v>907695.62939453125</v>
      </c>
      <c r="T7" s="2">
        <f t="shared" si="2"/>
        <v>1802508.4440917966</v>
      </c>
      <c r="U7" s="2">
        <f t="shared" si="3"/>
        <v>901.25</v>
      </c>
      <c r="V7" s="2">
        <f t="shared" si="4"/>
        <v>12882.814697265858</v>
      </c>
      <c r="W7" s="2">
        <f t="shared" si="5"/>
        <v>11981.564697265858</v>
      </c>
      <c r="X7" s="2">
        <f t="shared" si="6"/>
        <v>42404880.796639405</v>
      </c>
      <c r="Y7" s="2">
        <f t="shared" si="7"/>
        <v>178962.56</v>
      </c>
      <c r="Z7" s="2">
        <f t="shared" si="8"/>
        <v>6.7</v>
      </c>
      <c r="AA7" s="2">
        <f t="shared" si="11"/>
        <v>42511150.109999999</v>
      </c>
      <c r="AB7" s="2">
        <f t="shared" si="9"/>
        <v>-106269.31336059421</v>
      </c>
    </row>
    <row r="8" spans="1:29">
      <c r="A8" s="2">
        <v>5</v>
      </c>
      <c r="B8" s="2" t="s">
        <v>68</v>
      </c>
      <c r="C8" s="2" t="s">
        <v>2029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437</v>
      </c>
      <c r="J8" s="2" t="s">
        <v>1641</v>
      </c>
      <c r="K8" s="2">
        <f t="shared" si="10"/>
        <v>42404880.796639405</v>
      </c>
      <c r="L8" s="2" t="s">
        <v>1268</v>
      </c>
      <c r="M8" s="2" t="s">
        <v>1254</v>
      </c>
      <c r="N8" s="2" t="s">
        <v>1268</v>
      </c>
      <c r="O8" s="2">
        <v>300</v>
      </c>
      <c r="P8" s="2">
        <v>3214.21875</v>
      </c>
      <c r="Q8" s="2">
        <v>3035.33740234375</v>
      </c>
      <c r="R8" s="2">
        <f t="shared" si="0"/>
        <v>964265.625</v>
      </c>
      <c r="S8" s="2">
        <f t="shared" si="1"/>
        <v>910601.220703125</v>
      </c>
      <c r="T8" s="2">
        <f t="shared" si="2"/>
        <v>1874866.845703125</v>
      </c>
      <c r="U8" s="2">
        <f t="shared" si="3"/>
        <v>937.43</v>
      </c>
      <c r="V8" s="2">
        <f t="shared" si="4"/>
        <v>-53664.404296875</v>
      </c>
      <c r="W8" s="2">
        <f t="shared" si="5"/>
        <v>-54601.834296875</v>
      </c>
      <c r="X8" s="2">
        <f t="shared" si="6"/>
        <v>42350278.96234253</v>
      </c>
      <c r="Y8" s="2">
        <f t="shared" si="7"/>
        <v>192853.13</v>
      </c>
      <c r="Z8" s="2">
        <f t="shared" si="8"/>
        <v>-28.31</v>
      </c>
      <c r="AA8" s="2">
        <f t="shared" si="11"/>
        <v>42511150.109999999</v>
      </c>
      <c r="AB8" s="2">
        <f t="shared" si="9"/>
        <v>-160871.14765746891</v>
      </c>
    </row>
    <row r="9" spans="1:29">
      <c r="A9" s="2">
        <v>6</v>
      </c>
      <c r="B9" s="2" t="s">
        <v>75</v>
      </c>
      <c r="C9" s="2" t="s">
        <v>2029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1328</v>
      </c>
      <c r="J9" s="2" t="s">
        <v>350</v>
      </c>
      <c r="K9" s="2">
        <f t="shared" si="10"/>
        <v>42350278.96234253</v>
      </c>
      <c r="L9" s="2" t="s">
        <v>2040</v>
      </c>
      <c r="M9" s="2" t="s">
        <v>2041</v>
      </c>
      <c r="N9" s="2" t="s">
        <v>2042</v>
      </c>
      <c r="O9" s="2">
        <v>500</v>
      </c>
      <c r="P9" s="2">
        <v>858.79998779296875</v>
      </c>
      <c r="Q9" s="2">
        <v>954.45001220703125</v>
      </c>
      <c r="R9" s="2">
        <f t="shared" si="0"/>
        <v>429399.99389648437</v>
      </c>
      <c r="S9" s="2">
        <f t="shared" si="1"/>
        <v>477225.00610351563</v>
      </c>
      <c r="T9" s="2">
        <f t="shared" si="2"/>
        <v>906625</v>
      </c>
      <c r="U9" s="2">
        <f t="shared" si="3"/>
        <v>453.31</v>
      </c>
      <c r="V9" s="2">
        <f t="shared" si="4"/>
        <v>47825.01220703125</v>
      </c>
      <c r="W9" s="2">
        <f t="shared" si="5"/>
        <v>47371.702207031252</v>
      </c>
      <c r="X9" s="2">
        <f t="shared" si="6"/>
        <v>42397650.664549559</v>
      </c>
      <c r="Y9" s="2">
        <f t="shared" si="7"/>
        <v>85880</v>
      </c>
      <c r="Z9" s="2">
        <f t="shared" si="8"/>
        <v>55.16</v>
      </c>
      <c r="AA9" s="2">
        <f t="shared" si="11"/>
        <v>42511150.109999999</v>
      </c>
      <c r="AB9" s="2">
        <f t="shared" si="9"/>
        <v>-113499.44545044005</v>
      </c>
    </row>
    <row r="10" spans="1:29">
      <c r="A10" s="2">
        <v>7</v>
      </c>
      <c r="B10" s="2" t="s">
        <v>82</v>
      </c>
      <c r="C10" s="2" t="s">
        <v>2029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353</v>
      </c>
      <c r="J10" s="2" t="s">
        <v>1339</v>
      </c>
      <c r="K10" s="2">
        <f t="shared" si="10"/>
        <v>42397650.664549559</v>
      </c>
      <c r="L10" s="2" t="s">
        <v>1244</v>
      </c>
      <c r="M10" s="2" t="s">
        <v>1251</v>
      </c>
      <c r="N10" s="2" t="s">
        <v>1268</v>
      </c>
      <c r="O10" s="2">
        <v>625</v>
      </c>
      <c r="P10" s="2">
        <v>1471.410034179688</v>
      </c>
      <c r="Q10" s="2">
        <v>1505.301635742188</v>
      </c>
      <c r="R10" s="2">
        <f t="shared" si="0"/>
        <v>919631.27136230492</v>
      </c>
      <c r="S10" s="2">
        <f t="shared" si="1"/>
        <v>940813.52233886742</v>
      </c>
      <c r="T10" s="2">
        <f t="shared" si="2"/>
        <v>1860444.7937011723</v>
      </c>
      <c r="U10" s="2">
        <f t="shared" si="3"/>
        <v>930.22</v>
      </c>
      <c r="V10" s="2">
        <f t="shared" si="4"/>
        <v>21182.2509765625</v>
      </c>
      <c r="W10" s="2">
        <f t="shared" si="5"/>
        <v>20252.030976562499</v>
      </c>
      <c r="X10" s="2">
        <f t="shared" si="6"/>
        <v>42417902.695526123</v>
      </c>
      <c r="Y10" s="2">
        <f t="shared" si="7"/>
        <v>183926.25</v>
      </c>
      <c r="Z10" s="2">
        <f t="shared" si="8"/>
        <v>11.01</v>
      </c>
      <c r="AA10" s="2">
        <f t="shared" si="11"/>
        <v>42511150.109999999</v>
      </c>
      <c r="AB10" s="2">
        <f t="shared" si="9"/>
        <v>-93247.414473876357</v>
      </c>
    </row>
    <row r="11" spans="1:29">
      <c r="A11" s="2">
        <v>8</v>
      </c>
      <c r="B11" s="2" t="s">
        <v>90</v>
      </c>
      <c r="C11" s="2" t="s">
        <v>2029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100</v>
      </c>
      <c r="J11" s="2" t="s">
        <v>366</v>
      </c>
      <c r="K11" s="2">
        <f t="shared" si="10"/>
        <v>42417902.695526123</v>
      </c>
      <c r="L11" s="2" t="s">
        <v>1238</v>
      </c>
      <c r="M11" s="2" t="s">
        <v>1163</v>
      </c>
      <c r="N11" s="2" t="s">
        <v>1239</v>
      </c>
      <c r="O11" s="2">
        <v>4785</v>
      </c>
      <c r="P11" s="2">
        <v>223.77000427246091</v>
      </c>
      <c r="Q11" s="2">
        <v>229.75999450683599</v>
      </c>
      <c r="R11" s="2">
        <f t="shared" si="0"/>
        <v>1070739.4704437254</v>
      </c>
      <c r="S11" s="2">
        <f t="shared" si="1"/>
        <v>1099401.5737152102</v>
      </c>
      <c r="T11" s="2">
        <f t="shared" si="2"/>
        <v>2170141.0441589355</v>
      </c>
      <c r="U11" s="2">
        <f t="shared" si="3"/>
        <v>1085.07</v>
      </c>
      <c r="V11" s="2">
        <f t="shared" si="4"/>
        <v>28662.103271484841</v>
      </c>
      <c r="W11" s="2">
        <f t="shared" si="5"/>
        <v>27577.033271484841</v>
      </c>
      <c r="X11" s="2">
        <f t="shared" si="6"/>
        <v>42445479.728797607</v>
      </c>
      <c r="Y11" s="2">
        <f t="shared" si="7"/>
        <v>214147.89</v>
      </c>
      <c r="Z11" s="2">
        <f t="shared" si="8"/>
        <v>12.88</v>
      </c>
      <c r="AA11" s="2">
        <f t="shared" si="11"/>
        <v>42511150.109999999</v>
      </c>
      <c r="AB11" s="2">
        <f t="shared" si="9"/>
        <v>-65670.38120239228</v>
      </c>
    </row>
    <row r="12" spans="1:29">
      <c r="A12" s="2">
        <v>9</v>
      </c>
      <c r="B12" s="2" t="s">
        <v>95</v>
      </c>
      <c r="C12" s="2" t="s">
        <v>2029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903</v>
      </c>
      <c r="J12" s="2" t="s">
        <v>1899</v>
      </c>
      <c r="K12" s="2">
        <f t="shared" si="10"/>
        <v>42445479.728797607</v>
      </c>
      <c r="L12" s="2" t="s">
        <v>118</v>
      </c>
      <c r="M12" s="2" t="s">
        <v>1522</v>
      </c>
      <c r="N12" s="2" t="s">
        <v>470</v>
      </c>
      <c r="O12" s="2">
        <v>171</v>
      </c>
      <c r="P12" s="2">
        <v>5601.5</v>
      </c>
      <c r="Q12" s="2">
        <v>5563</v>
      </c>
      <c r="R12" s="2">
        <f t="shared" si="0"/>
        <v>957856.5</v>
      </c>
      <c r="S12" s="2">
        <f t="shared" si="1"/>
        <v>951273</v>
      </c>
      <c r="T12" s="2">
        <f t="shared" si="2"/>
        <v>1909129.5</v>
      </c>
      <c r="U12" s="2">
        <f t="shared" si="3"/>
        <v>954.56</v>
      </c>
      <c r="V12" s="2">
        <f t="shared" si="4"/>
        <v>-6583.5</v>
      </c>
      <c r="W12" s="2">
        <f t="shared" si="5"/>
        <v>-7538.0599999999995</v>
      </c>
      <c r="X12" s="2">
        <f t="shared" si="6"/>
        <v>42437941.668797605</v>
      </c>
      <c r="Y12" s="2">
        <f t="shared" si="7"/>
        <v>191571.3</v>
      </c>
      <c r="Z12" s="2">
        <f t="shared" si="8"/>
        <v>-3.93</v>
      </c>
      <c r="AA12" s="2">
        <f t="shared" si="11"/>
        <v>42511150.109999999</v>
      </c>
      <c r="AB12" s="2">
        <f t="shared" si="9"/>
        <v>-73208.441202394664</v>
      </c>
    </row>
    <row r="13" spans="1:29">
      <c r="A13" s="2">
        <v>10</v>
      </c>
      <c r="B13" s="2" t="s">
        <v>102</v>
      </c>
      <c r="C13" s="2" t="s">
        <v>2029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42437941.668797605</v>
      </c>
      <c r="L13" s="2" t="s">
        <v>106</v>
      </c>
      <c r="M13" s="2" t="s">
        <v>44</v>
      </c>
      <c r="N13" s="2" t="s">
        <v>59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42440855.578797601</v>
      </c>
      <c r="Y13" s="2">
        <f t="shared" si="7"/>
        <v>199827</v>
      </c>
      <c r="Z13" s="2">
        <f t="shared" si="8"/>
        <v>1.46</v>
      </c>
      <c r="AA13" s="2">
        <f t="shared" si="11"/>
        <v>42511150.109999999</v>
      </c>
      <c r="AB13" s="2">
        <f t="shared" si="9"/>
        <v>-70294.531202398241</v>
      </c>
    </row>
    <row r="14" spans="1:29">
      <c r="A14" s="2">
        <v>11</v>
      </c>
      <c r="B14" s="2" t="s">
        <v>108</v>
      </c>
      <c r="C14" s="2" t="s">
        <v>2029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2043</v>
      </c>
      <c r="J14" s="2" t="s">
        <v>2044</v>
      </c>
      <c r="K14" s="2">
        <f t="shared" si="10"/>
        <v>42440855.578797601</v>
      </c>
      <c r="L14" s="2" t="s">
        <v>2033</v>
      </c>
      <c r="M14" s="2" t="s">
        <v>1532</v>
      </c>
      <c r="N14" s="2" t="s">
        <v>2038</v>
      </c>
      <c r="O14" s="2">
        <v>2303</v>
      </c>
      <c r="P14" s="2">
        <v>428</v>
      </c>
      <c r="Q14" s="2">
        <v>415.49334716796881</v>
      </c>
      <c r="R14" s="2">
        <f t="shared" si="0"/>
        <v>985684</v>
      </c>
      <c r="S14" s="2">
        <f t="shared" si="1"/>
        <v>956881.17852783215</v>
      </c>
      <c r="T14" s="2">
        <f t="shared" si="2"/>
        <v>1942565.178527832</v>
      </c>
      <c r="U14" s="2">
        <f t="shared" si="3"/>
        <v>971.28</v>
      </c>
      <c r="V14" s="2">
        <f t="shared" si="4"/>
        <v>-28802.821472167852</v>
      </c>
      <c r="W14" s="2">
        <f t="shared" si="5"/>
        <v>-29774.101472167851</v>
      </c>
      <c r="X14" s="2">
        <f t="shared" si="6"/>
        <v>42411081.477325432</v>
      </c>
      <c r="Y14" s="2">
        <f t="shared" si="7"/>
        <v>197136.8</v>
      </c>
      <c r="Z14" s="2">
        <f t="shared" si="8"/>
        <v>-15.1</v>
      </c>
      <c r="AA14" s="2">
        <f t="shared" si="11"/>
        <v>42511150.109999999</v>
      </c>
      <c r="AB14" s="2">
        <f t="shared" si="9"/>
        <v>-100068.6326745674</v>
      </c>
    </row>
    <row r="15" spans="1:29">
      <c r="A15" s="2">
        <v>12</v>
      </c>
      <c r="B15" s="2" t="s">
        <v>113</v>
      </c>
      <c r="C15" s="2" t="s">
        <v>2029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2045</v>
      </c>
      <c r="J15" s="2" t="s">
        <v>2046</v>
      </c>
      <c r="K15" s="2">
        <f t="shared" si="10"/>
        <v>42411081.477325432</v>
      </c>
      <c r="L15" s="2" t="s">
        <v>1518</v>
      </c>
      <c r="M15" s="2" t="s">
        <v>2031</v>
      </c>
      <c r="N15" s="2" t="s">
        <v>2047</v>
      </c>
      <c r="O15" s="2">
        <v>3428</v>
      </c>
      <c r="P15" s="2">
        <v>303.01290893554687</v>
      </c>
      <c r="Q15" s="2">
        <v>335.91116333007812</v>
      </c>
      <c r="R15" s="2">
        <f t="shared" si="0"/>
        <v>1038728.2518310547</v>
      </c>
      <c r="S15" s="2">
        <f t="shared" si="1"/>
        <v>1151503.4678955078</v>
      </c>
      <c r="T15" s="2">
        <f t="shared" si="2"/>
        <v>2190231.7197265625</v>
      </c>
      <c r="U15" s="2">
        <f t="shared" si="3"/>
        <v>1095.1199999999999</v>
      </c>
      <c r="V15" s="2">
        <f t="shared" si="4"/>
        <v>112775.21606445312</v>
      </c>
      <c r="W15" s="2">
        <f t="shared" si="5"/>
        <v>111680.09606445313</v>
      </c>
      <c r="X15" s="2">
        <f t="shared" si="6"/>
        <v>42522761.573389888</v>
      </c>
      <c r="Y15" s="2">
        <f t="shared" si="7"/>
        <v>207745.65</v>
      </c>
      <c r="Z15" s="2">
        <f t="shared" si="8"/>
        <v>53.76</v>
      </c>
      <c r="AA15" s="2">
        <f t="shared" si="11"/>
        <v>42522761.573389888</v>
      </c>
      <c r="AB15" s="2">
        <f t="shared" si="9"/>
        <v>0</v>
      </c>
    </row>
    <row r="16" spans="1:29">
      <c r="A16" s="2">
        <v>13</v>
      </c>
      <c r="B16" s="2" t="s">
        <v>120</v>
      </c>
      <c r="C16" s="2" t="s">
        <v>2029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1057</v>
      </c>
      <c r="J16" s="2" t="s">
        <v>283</v>
      </c>
      <c r="K16" s="2">
        <f t="shared" si="10"/>
        <v>42522761.573389888</v>
      </c>
      <c r="L16" s="2" t="s">
        <v>1607</v>
      </c>
      <c r="M16" s="2" t="s">
        <v>1775</v>
      </c>
      <c r="N16" s="2" t="s">
        <v>1776</v>
      </c>
      <c r="O16" s="2">
        <v>528</v>
      </c>
      <c r="P16" s="2">
        <v>1966.599975585937</v>
      </c>
      <c r="Q16" s="2">
        <v>1870.599975585937</v>
      </c>
      <c r="R16" s="2">
        <f t="shared" si="0"/>
        <v>1038364.7871093748</v>
      </c>
      <c r="S16" s="2">
        <f t="shared" si="1"/>
        <v>987676.78710937477</v>
      </c>
      <c r="T16" s="2">
        <f t="shared" si="2"/>
        <v>2026041.5742187495</v>
      </c>
      <c r="U16" s="2">
        <f t="shared" si="3"/>
        <v>1013.02</v>
      </c>
      <c r="V16" s="2">
        <f t="shared" si="4"/>
        <v>-50688</v>
      </c>
      <c r="W16" s="2">
        <f t="shared" si="5"/>
        <v>-51701.02</v>
      </c>
      <c r="X16" s="2">
        <f t="shared" si="6"/>
        <v>42471060.553389885</v>
      </c>
      <c r="Y16" s="2">
        <f t="shared" si="7"/>
        <v>207672.95999999999</v>
      </c>
      <c r="Z16" s="2">
        <f t="shared" si="8"/>
        <v>-24.9</v>
      </c>
      <c r="AA16" s="2">
        <f t="shared" si="11"/>
        <v>42522761.573389888</v>
      </c>
      <c r="AB16" s="2">
        <f t="shared" si="9"/>
        <v>-51701.020000003278</v>
      </c>
    </row>
    <row r="17" spans="1:28">
      <c r="A17" s="2">
        <v>14</v>
      </c>
      <c r="B17" s="2" t="s">
        <v>126</v>
      </c>
      <c r="C17" s="2" t="s">
        <v>2029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128</v>
      </c>
      <c r="J17" s="2" t="s">
        <v>42</v>
      </c>
      <c r="K17" s="2">
        <f t="shared" si="10"/>
        <v>42471060.553389885</v>
      </c>
      <c r="L17" s="2" t="s">
        <v>1312</v>
      </c>
      <c r="M17" s="2" t="s">
        <v>1334</v>
      </c>
      <c r="N17" s="2" t="s">
        <v>1250</v>
      </c>
      <c r="O17" s="2">
        <v>125</v>
      </c>
      <c r="P17" s="2">
        <v>6552.89599609375</v>
      </c>
      <c r="Q17" s="2">
        <v>6725.36474609375</v>
      </c>
      <c r="R17" s="2">
        <f t="shared" si="0"/>
        <v>819111.99951171875</v>
      </c>
      <c r="S17" s="2">
        <f t="shared" si="1"/>
        <v>840670.59326171875</v>
      </c>
      <c r="T17" s="2">
        <f t="shared" si="2"/>
        <v>1659782.5927734375</v>
      </c>
      <c r="U17" s="2">
        <f t="shared" si="3"/>
        <v>829.89</v>
      </c>
      <c r="V17" s="2">
        <f t="shared" si="4"/>
        <v>21558.59375</v>
      </c>
      <c r="W17" s="2">
        <f t="shared" si="5"/>
        <v>20728.703750000001</v>
      </c>
      <c r="X17" s="2">
        <f t="shared" si="6"/>
        <v>42491789.257139884</v>
      </c>
      <c r="Y17" s="2">
        <f t="shared" si="7"/>
        <v>163822.39999999999</v>
      </c>
      <c r="Z17" s="2">
        <f t="shared" si="8"/>
        <v>12.65</v>
      </c>
      <c r="AA17" s="2">
        <f t="shared" si="11"/>
        <v>42522761.573389888</v>
      </c>
      <c r="AB17" s="2">
        <f t="shared" si="9"/>
        <v>-30972.316250003874</v>
      </c>
    </row>
    <row r="18" spans="1:28">
      <c r="A18" s="2">
        <v>15</v>
      </c>
      <c r="B18" s="2" t="s">
        <v>133</v>
      </c>
      <c r="C18" s="2" t="s">
        <v>2029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42491789.257139884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42491789.257139884</v>
      </c>
      <c r="Y18" s="6" t="s">
        <v>1195</v>
      </c>
      <c r="Z18" s="6" t="s">
        <v>1195</v>
      </c>
      <c r="AA18" s="2">
        <f>AA17</f>
        <v>42522761.573389888</v>
      </c>
      <c r="AB18" s="2">
        <v>0</v>
      </c>
    </row>
    <row r="19" spans="1:28">
      <c r="A19" s="2">
        <v>16</v>
      </c>
      <c r="B19" s="2" t="s">
        <v>141</v>
      </c>
      <c r="C19" s="2" t="s">
        <v>2029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1781</v>
      </c>
      <c r="J19" s="2" t="s">
        <v>1323</v>
      </c>
      <c r="K19" s="2">
        <f t="shared" si="10"/>
        <v>42491789.257139884</v>
      </c>
      <c r="L19" s="2" t="s">
        <v>1321</v>
      </c>
      <c r="M19" s="2" t="s">
        <v>1318</v>
      </c>
      <c r="N19" s="2" t="s">
        <v>1404</v>
      </c>
      <c r="O19" s="2">
        <v>200</v>
      </c>
      <c r="P19" s="2">
        <v>2884.55517578125</v>
      </c>
      <c r="Q19" s="2">
        <v>2933.903076171875</v>
      </c>
      <c r="R19" s="2">
        <f>O19*P19</f>
        <v>576911.03515625</v>
      </c>
      <c r="S19" s="2">
        <f>O19*Q19</f>
        <v>586780.615234375</v>
      </c>
      <c r="T19" s="2">
        <f>R19+S19</f>
        <v>1163691.650390625</v>
      </c>
      <c r="U19" s="2">
        <f>ROUND(T19*0.0005, 2)</f>
        <v>581.85</v>
      </c>
      <c r="V19" s="2">
        <f>S19-R19</f>
        <v>9869.580078125</v>
      </c>
      <c r="W19" s="2">
        <f>V19-U19</f>
        <v>9287.7300781249996</v>
      </c>
      <c r="X19" s="2">
        <f>K19+W19</f>
        <v>42501076.987218007</v>
      </c>
      <c r="Y19" s="2">
        <f>ROUND(0.2*R19, 2)</f>
        <v>115382.21</v>
      </c>
      <c r="Z19" s="2">
        <f>ROUND((W19/Y19)*100, 2)</f>
        <v>8.0500000000000007</v>
      </c>
      <c r="AA19" s="2">
        <f>MAX(AA18, X19)</f>
        <v>42522761.573389888</v>
      </c>
      <c r="AB19" s="2">
        <f>X19-AA19</f>
        <v>-21684.586171880364</v>
      </c>
    </row>
    <row r="20" spans="1:28">
      <c r="A20" s="2">
        <v>17</v>
      </c>
      <c r="B20" s="2" t="s">
        <v>149</v>
      </c>
      <c r="C20" s="2" t="s">
        <v>2029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42501076.987218007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42501076.987218007</v>
      </c>
      <c r="Y20" s="6" t="s">
        <v>1195</v>
      </c>
      <c r="Z20" s="6" t="s">
        <v>1195</v>
      </c>
      <c r="AA20" s="2">
        <f>AA19</f>
        <v>42522761.573389888</v>
      </c>
      <c r="AB20" s="2">
        <v>0</v>
      </c>
    </row>
    <row r="21" spans="1:28">
      <c r="A21" s="2">
        <v>18</v>
      </c>
      <c r="B21" s="2" t="s">
        <v>154</v>
      </c>
      <c r="C21" s="2" t="s">
        <v>2029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42501076.987218007</v>
      </c>
      <c r="L21" s="2" t="s">
        <v>159</v>
      </c>
      <c r="M21" s="2" t="s">
        <v>81</v>
      </c>
      <c r="N21" s="2" t="s">
        <v>2042</v>
      </c>
      <c r="O21" s="2">
        <v>668</v>
      </c>
      <c r="P21" s="2">
        <v>1280</v>
      </c>
      <c r="Q21" s="2">
        <v>1470.2</v>
      </c>
      <c r="R21" s="2">
        <f>O21*P21</f>
        <v>855040</v>
      </c>
      <c r="S21" s="2">
        <f>O21*Q21</f>
        <v>982093.6</v>
      </c>
      <c r="T21" s="2">
        <f>R21+S21</f>
        <v>1837133.6</v>
      </c>
      <c r="U21" s="2">
        <f>ROUND(T21*0.0005, 2)</f>
        <v>918.57</v>
      </c>
      <c r="V21" s="2">
        <f>S21-R21</f>
        <v>127053.59999999998</v>
      </c>
      <c r="W21" s="2">
        <f>V21-U21</f>
        <v>126135.02999999997</v>
      </c>
      <c r="X21" s="2">
        <f>K21+W21</f>
        <v>42627212.017218009</v>
      </c>
      <c r="Y21" s="2">
        <f>ROUND(0.2*R21, 2)</f>
        <v>171008</v>
      </c>
      <c r="Z21" s="2">
        <f>ROUND((W21/Y21)*100, 2)</f>
        <v>73.760000000000005</v>
      </c>
      <c r="AA21" s="2">
        <f>MAX(AA20, X21)</f>
        <v>42627212.017218009</v>
      </c>
      <c r="AB21" s="2">
        <f>X21-AA21</f>
        <v>0</v>
      </c>
    </row>
    <row r="22" spans="1:28">
      <c r="A22" s="2">
        <v>19</v>
      </c>
      <c r="B22" s="2" t="s">
        <v>160</v>
      </c>
      <c r="C22" s="2" t="s">
        <v>2029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42627212.017218009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42627212.017218009</v>
      </c>
      <c r="Y22" s="6" t="s">
        <v>1195</v>
      </c>
      <c r="Z22" s="6" t="s">
        <v>1195</v>
      </c>
      <c r="AA22" s="2">
        <f>AA21</f>
        <v>42627212.017218009</v>
      </c>
      <c r="AB22" s="2">
        <v>0</v>
      </c>
    </row>
    <row r="23" spans="1:28">
      <c r="A23" s="2">
        <v>20</v>
      </c>
      <c r="B23" s="2" t="s">
        <v>168</v>
      </c>
      <c r="C23" s="2" t="s">
        <v>2029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42627212.017218009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42627212.017218009</v>
      </c>
      <c r="Y23" s="6" t="s">
        <v>1195</v>
      </c>
      <c r="Z23" s="6" t="s">
        <v>1195</v>
      </c>
      <c r="AA23" s="2">
        <f>AA22</f>
        <v>42627212.017218009</v>
      </c>
      <c r="AB23" s="2">
        <v>0</v>
      </c>
    </row>
    <row r="24" spans="1:28">
      <c r="A24" s="2">
        <v>21</v>
      </c>
      <c r="B24" s="2" t="s">
        <v>175</v>
      </c>
      <c r="C24" s="2" t="s">
        <v>2029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1791</v>
      </c>
      <c r="J24" s="2" t="s">
        <v>1792</v>
      </c>
      <c r="K24" s="2">
        <f t="shared" si="10"/>
        <v>42627212.017218009</v>
      </c>
      <c r="L24" s="2" t="s">
        <v>1244</v>
      </c>
      <c r="M24" s="2" t="s">
        <v>1268</v>
      </c>
      <c r="N24" s="2" t="s">
        <v>1004</v>
      </c>
      <c r="O24" s="2">
        <v>625</v>
      </c>
      <c r="P24" s="2">
        <v>1237.237548828125</v>
      </c>
      <c r="Q24" s="2">
        <v>1170.396484375</v>
      </c>
      <c r="R24" s="2">
        <f>O24*P24</f>
        <v>773273.46801757813</v>
      </c>
      <c r="S24" s="2">
        <f>O24*Q24</f>
        <v>731497.802734375</v>
      </c>
      <c r="T24" s="2">
        <f>R24+S24</f>
        <v>1504771.2707519531</v>
      </c>
      <c r="U24" s="2">
        <f>ROUND(T24*0.0005, 2)</f>
        <v>752.39</v>
      </c>
      <c r="V24" s="2">
        <f>S24-R24</f>
        <v>-41775.665283203125</v>
      </c>
      <c r="W24" s="2">
        <f>V24-U24</f>
        <v>-42528.055283203124</v>
      </c>
      <c r="X24" s="2">
        <f>K24+W24</f>
        <v>42584683.961934805</v>
      </c>
      <c r="Y24" s="2">
        <f>ROUND(0.2*R24, 2)</f>
        <v>154654.69</v>
      </c>
      <c r="Z24" s="2">
        <f>ROUND((W24/Y24)*100, 2)</f>
        <v>-27.5</v>
      </c>
      <c r="AA24" s="2">
        <f>MAX(AA23, X24)</f>
        <v>42627212.017218009</v>
      </c>
      <c r="AB24" s="2">
        <f>X24-AA24</f>
        <v>-42528.055283203721</v>
      </c>
    </row>
    <row r="25" spans="1:28">
      <c r="A25" s="2">
        <v>22</v>
      </c>
      <c r="B25" s="2" t="s">
        <v>184</v>
      </c>
      <c r="C25" s="2" t="s">
        <v>2029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739</v>
      </c>
      <c r="J25" s="2" t="s">
        <v>449</v>
      </c>
      <c r="K25" s="2">
        <f t="shared" si="10"/>
        <v>42584683.961934805</v>
      </c>
      <c r="L25" s="2" t="s">
        <v>1342</v>
      </c>
      <c r="M25" s="2" t="s">
        <v>1296</v>
      </c>
      <c r="N25" s="2" t="s">
        <v>1343</v>
      </c>
      <c r="O25" s="2">
        <v>125</v>
      </c>
      <c r="P25" s="2">
        <v>9169.396484375</v>
      </c>
      <c r="Q25" s="2">
        <v>9257.974609375</v>
      </c>
      <c r="R25" s="2">
        <f>O25*P25</f>
        <v>1146174.560546875</v>
      </c>
      <c r="S25" s="2">
        <f>O25*Q25</f>
        <v>1157246.826171875</v>
      </c>
      <c r="T25" s="2">
        <f>R25+S25</f>
        <v>2303421.38671875</v>
      </c>
      <c r="U25" s="2">
        <f>ROUND(T25*0.0005, 2)</f>
        <v>1151.71</v>
      </c>
      <c r="V25" s="2">
        <f>S25-R25</f>
        <v>11072.265625</v>
      </c>
      <c r="W25" s="2">
        <f>V25-U25</f>
        <v>9920.5556250000009</v>
      </c>
      <c r="X25" s="2">
        <f>K25+W25</f>
        <v>42594604.517559804</v>
      </c>
      <c r="Y25" s="2">
        <f>ROUND(0.2*R25, 2)</f>
        <v>229234.91</v>
      </c>
      <c r="Z25" s="2">
        <f>ROUND((W25/Y25)*100, 2)</f>
        <v>4.33</v>
      </c>
      <c r="AA25" s="2">
        <f>MAX(AA24, X25)</f>
        <v>42627212.017218009</v>
      </c>
      <c r="AB25" s="2">
        <f>X25-AA25</f>
        <v>-32607.499658204615</v>
      </c>
    </row>
    <row r="26" spans="1:28">
      <c r="A26" s="2">
        <v>23</v>
      </c>
      <c r="B26" s="2" t="s">
        <v>190</v>
      </c>
      <c r="C26" s="2" t="s">
        <v>2029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1311</v>
      </c>
      <c r="J26" s="2" t="s">
        <v>234</v>
      </c>
      <c r="K26" s="2">
        <f t="shared" si="10"/>
        <v>42594604.517559804</v>
      </c>
      <c r="L26" s="2" t="s">
        <v>1004</v>
      </c>
      <c r="M26" s="2" t="s">
        <v>1005</v>
      </c>
      <c r="N26" s="2" t="s">
        <v>1004</v>
      </c>
      <c r="O26" s="2">
        <v>500</v>
      </c>
      <c r="P26" s="2">
        <v>1569.844848632812</v>
      </c>
      <c r="Q26" s="2">
        <v>1614.984497070312</v>
      </c>
      <c r="R26" s="2">
        <f>O26*P26</f>
        <v>784922.42431640602</v>
      </c>
      <c r="S26" s="2">
        <f>O26*Q26</f>
        <v>807492.24853515602</v>
      </c>
      <c r="T26" s="2">
        <f>R26+S26</f>
        <v>1592414.672851562</v>
      </c>
      <c r="U26" s="2">
        <f>ROUND(T26*0.0005, 2)</f>
        <v>796.21</v>
      </c>
      <c r="V26" s="2">
        <f>S26-R26</f>
        <v>22569.82421875</v>
      </c>
      <c r="W26" s="2">
        <f>V26-U26</f>
        <v>21773.614218750001</v>
      </c>
      <c r="X26" s="2">
        <f>K26+W26</f>
        <v>42616378.131778553</v>
      </c>
      <c r="Y26" s="2">
        <f>ROUND(0.2*R26, 2)</f>
        <v>156984.48000000001</v>
      </c>
      <c r="Z26" s="2">
        <f>ROUND((W26/Y26)*100, 2)</f>
        <v>13.87</v>
      </c>
      <c r="AA26" s="2">
        <f>MAX(AA25, X26)</f>
        <v>42627212.017218009</v>
      </c>
      <c r="AB26" s="2">
        <f>X26-AA26</f>
        <v>-10833.885439455509</v>
      </c>
    </row>
    <row r="27" spans="1:28">
      <c r="A27" s="2">
        <v>24</v>
      </c>
      <c r="B27" s="2" t="s">
        <v>195</v>
      </c>
      <c r="C27" s="2" t="s">
        <v>2029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42616378.131778553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42616378.131778553</v>
      </c>
      <c r="Y27" s="6" t="s">
        <v>1195</v>
      </c>
      <c r="Z27" s="6" t="s">
        <v>1195</v>
      </c>
      <c r="AA27" s="2">
        <f>AA26</f>
        <v>42627212.017218009</v>
      </c>
      <c r="AB27" s="2">
        <v>0</v>
      </c>
    </row>
    <row r="28" spans="1:28">
      <c r="A28" s="2">
        <v>25</v>
      </c>
      <c r="B28" s="2" t="s">
        <v>199</v>
      </c>
      <c r="C28" s="2" t="s">
        <v>2029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1309</v>
      </c>
      <c r="J28" s="2" t="s">
        <v>1072</v>
      </c>
      <c r="K28" s="2">
        <f t="shared" si="10"/>
        <v>42616378.131778553</v>
      </c>
      <c r="L28" s="2" t="s">
        <v>1084</v>
      </c>
      <c r="M28" s="2" t="s">
        <v>1272</v>
      </c>
      <c r="N28" s="2" t="s">
        <v>1267</v>
      </c>
      <c r="O28" s="2">
        <v>125</v>
      </c>
      <c r="P28" s="2">
        <v>680.02288818359375</v>
      </c>
      <c r="Q28" s="2">
        <v>674.03192138671875</v>
      </c>
      <c r="R28" s="2">
        <f>O28*P28</f>
        <v>85002.861022949219</v>
      </c>
      <c r="S28" s="2">
        <f>O28*Q28</f>
        <v>84253.990173339844</v>
      </c>
      <c r="T28" s="2">
        <f>R28+S28</f>
        <v>169256.85119628906</v>
      </c>
      <c r="U28" s="2">
        <f>ROUND(T28*0.0005, 2)</f>
        <v>84.63</v>
      </c>
      <c r="V28" s="2">
        <f>S28-R28</f>
        <v>-748.870849609375</v>
      </c>
      <c r="W28" s="2">
        <f>V28-U28</f>
        <v>-833.500849609375</v>
      </c>
      <c r="X28" s="2">
        <f>K28+W28</f>
        <v>42615544.630928941</v>
      </c>
      <c r="Y28" s="2">
        <f>ROUND(0.2*R28, 2)</f>
        <v>17000.57</v>
      </c>
      <c r="Z28" s="2">
        <f>ROUND((W28/Y28)*100, 2)</f>
        <v>-4.9000000000000004</v>
      </c>
      <c r="AA28" s="2">
        <f>MAX(AA27, X28)</f>
        <v>42627212.017218009</v>
      </c>
      <c r="AB28" s="2">
        <f>X28-AA28</f>
        <v>-11667.386289067566</v>
      </c>
    </row>
    <row r="29" spans="1:28">
      <c r="A29" s="2">
        <v>26</v>
      </c>
      <c r="B29" s="2" t="s">
        <v>205</v>
      </c>
      <c r="C29" s="2" t="s">
        <v>2029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42615544.630928941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42615544.630928941</v>
      </c>
      <c r="Y29" s="6" t="s">
        <v>1195</v>
      </c>
      <c r="Z29" s="6" t="s">
        <v>1195</v>
      </c>
      <c r="AA29" s="2">
        <f>AA28</f>
        <v>42627212.017218009</v>
      </c>
      <c r="AB29" s="2">
        <v>0</v>
      </c>
    </row>
    <row r="30" spans="1:28">
      <c r="A30" s="2">
        <v>27</v>
      </c>
      <c r="B30" s="2" t="s">
        <v>209</v>
      </c>
      <c r="C30" s="2" t="s">
        <v>2029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42615544.630928941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42615544.630928941</v>
      </c>
      <c r="Y30" s="6" t="s">
        <v>1195</v>
      </c>
      <c r="Z30" s="6" t="s">
        <v>1195</v>
      </c>
      <c r="AA30" s="2">
        <f>AA29</f>
        <v>42627212.017218009</v>
      </c>
      <c r="AB30" s="2">
        <v>0</v>
      </c>
    </row>
    <row r="31" spans="1:28">
      <c r="A31" s="2">
        <v>28</v>
      </c>
      <c r="B31" s="2" t="s">
        <v>213</v>
      </c>
      <c r="C31" s="2" t="s">
        <v>2029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42615544.630928941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42615544.630928941</v>
      </c>
      <c r="Y31" s="6" t="s">
        <v>1195</v>
      </c>
      <c r="Z31" s="6" t="s">
        <v>1195</v>
      </c>
      <c r="AA31" s="2">
        <f>AA30</f>
        <v>42627212.017218009</v>
      </c>
      <c r="AB31" s="2">
        <v>0</v>
      </c>
    </row>
    <row r="32" spans="1:28">
      <c r="A32" s="2">
        <v>29</v>
      </c>
      <c r="B32" s="2" t="s">
        <v>218</v>
      </c>
      <c r="C32" s="2" t="s">
        <v>2029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42615544.630928941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42615544.630928941</v>
      </c>
      <c r="Y32" s="6" t="s">
        <v>1195</v>
      </c>
      <c r="Z32" s="6" t="s">
        <v>1195</v>
      </c>
      <c r="AA32" s="2">
        <f>AA31</f>
        <v>42627212.017218009</v>
      </c>
      <c r="AB32" s="2">
        <v>0</v>
      </c>
    </row>
    <row r="33" spans="1:28">
      <c r="A33" s="2">
        <v>30</v>
      </c>
      <c r="B33" s="2" t="s">
        <v>225</v>
      </c>
      <c r="C33" s="2" t="s">
        <v>2029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513</v>
      </c>
      <c r="J33" s="2" t="s">
        <v>1806</v>
      </c>
      <c r="K33" s="2">
        <f t="shared" si="10"/>
        <v>42615544.630928941</v>
      </c>
      <c r="L33" s="2" t="s">
        <v>1318</v>
      </c>
      <c r="M33" s="2" t="s">
        <v>1254</v>
      </c>
      <c r="N33" s="2" t="s">
        <v>1005</v>
      </c>
      <c r="O33" s="2">
        <v>2438</v>
      </c>
      <c r="P33" s="2">
        <v>285.98776245117187</v>
      </c>
      <c r="Q33" s="2">
        <v>301.80209350585937</v>
      </c>
      <c r="R33" s="2">
        <f>O33*P33</f>
        <v>697238.16485595703</v>
      </c>
      <c r="S33" s="2">
        <f>O33*Q33</f>
        <v>735793.50396728516</v>
      </c>
      <c r="T33" s="2">
        <f>R33+S33</f>
        <v>1433031.6688232422</v>
      </c>
      <c r="U33" s="2">
        <f>ROUND(T33*0.0005, 2)</f>
        <v>716.52</v>
      </c>
      <c r="V33" s="2">
        <f>S33-R33</f>
        <v>38555.339111328125</v>
      </c>
      <c r="W33" s="2">
        <f>V33-U33</f>
        <v>37838.819111328128</v>
      </c>
      <c r="X33" s="2">
        <f>K33+W33</f>
        <v>42653383.450040266</v>
      </c>
      <c r="Y33" s="2">
        <f>ROUND(0.2*R33, 2)</f>
        <v>139447.63</v>
      </c>
      <c r="Z33" s="2">
        <f>ROUND((W33/Y33)*100, 2)</f>
        <v>27.13</v>
      </c>
      <c r="AA33" s="2">
        <f>MAX(AA32, X33)</f>
        <v>42653383.450040266</v>
      </c>
      <c r="AB33" s="2">
        <f>X33-AA33</f>
        <v>0</v>
      </c>
    </row>
    <row r="34" spans="1:28">
      <c r="A34" s="2">
        <v>31</v>
      </c>
      <c r="B34" s="2" t="s">
        <v>230</v>
      </c>
      <c r="C34" s="2" t="s">
        <v>2029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42653383.450040266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42653383.450040266</v>
      </c>
      <c r="Y34" s="6" t="s">
        <v>1195</v>
      </c>
      <c r="Z34" s="6" t="s">
        <v>1195</v>
      </c>
      <c r="AA34" s="2">
        <f>AA33</f>
        <v>42653383.450040266</v>
      </c>
      <c r="AB34" s="2">
        <v>0</v>
      </c>
    </row>
    <row r="35" spans="1:28">
      <c r="A35" s="2">
        <v>32</v>
      </c>
      <c r="B35" s="2" t="s">
        <v>236</v>
      </c>
      <c r="C35" s="2" t="s">
        <v>2029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1810</v>
      </c>
      <c r="J35" s="2" t="s">
        <v>1811</v>
      </c>
      <c r="K35" s="2">
        <f t="shared" si="10"/>
        <v>42653383.450040266</v>
      </c>
      <c r="L35" s="2" t="s">
        <v>1004</v>
      </c>
      <c r="M35" s="2" t="s">
        <v>1255</v>
      </c>
      <c r="N35" s="2" t="s">
        <v>1254</v>
      </c>
      <c r="O35" s="2">
        <v>950</v>
      </c>
      <c r="P35" s="2">
        <v>1429.171142578125</v>
      </c>
      <c r="Q35" s="2">
        <v>1446.50732421875</v>
      </c>
      <c r="R35" s="2">
        <f>O35*P35</f>
        <v>1357712.5854492187</v>
      </c>
      <c r="S35" s="2">
        <f>O35*Q35</f>
        <v>1374181.9580078125</v>
      </c>
      <c r="T35" s="2">
        <f>R35+S35</f>
        <v>2731894.5434570313</v>
      </c>
      <c r="U35" s="2">
        <f>ROUND(T35*0.0005, 2)</f>
        <v>1365.95</v>
      </c>
      <c r="V35" s="2">
        <f>S35-R35</f>
        <v>16469.37255859375</v>
      </c>
      <c r="W35" s="2">
        <f>V35-U35</f>
        <v>15103.422558593749</v>
      </c>
      <c r="X35" s="2">
        <f>K35+W35</f>
        <v>42668486.872598857</v>
      </c>
      <c r="Y35" s="2">
        <f>ROUND(0.2*R35, 2)</f>
        <v>271542.52</v>
      </c>
      <c r="Z35" s="2">
        <f>ROUND((W35/Y35)*100, 2)</f>
        <v>5.56</v>
      </c>
      <c r="AA35" s="2">
        <f>MAX(AA34, X35)</f>
        <v>42668486.872598857</v>
      </c>
      <c r="AB35" s="2">
        <f>X35-AA35</f>
        <v>0</v>
      </c>
    </row>
    <row r="36" spans="1:28">
      <c r="A36" s="2">
        <v>33</v>
      </c>
      <c r="B36" s="2" t="s">
        <v>240</v>
      </c>
      <c r="C36" s="2" t="s">
        <v>2029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42668486.872598857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42668486.872598857</v>
      </c>
      <c r="Y36" s="6" t="s">
        <v>1195</v>
      </c>
      <c r="Z36" s="6" t="s">
        <v>1195</v>
      </c>
      <c r="AA36" s="2">
        <f>AA35</f>
        <v>42668486.872598857</v>
      </c>
      <c r="AB36" s="2">
        <v>0</v>
      </c>
    </row>
    <row r="37" spans="1:28">
      <c r="A37" s="2">
        <v>34</v>
      </c>
      <c r="B37" s="2" t="s">
        <v>245</v>
      </c>
      <c r="C37" s="2" t="s">
        <v>2029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42668486.872598857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42668486.872598857</v>
      </c>
      <c r="Y37" s="6" t="s">
        <v>1195</v>
      </c>
      <c r="Z37" s="6" t="s">
        <v>1195</v>
      </c>
      <c r="AA37" s="2">
        <f>AA36</f>
        <v>42668486.872598857</v>
      </c>
      <c r="AB37" s="2">
        <v>0</v>
      </c>
    </row>
    <row r="38" spans="1:28">
      <c r="A38" s="2">
        <v>35</v>
      </c>
      <c r="B38" s="2" t="s">
        <v>248</v>
      </c>
      <c r="C38" s="2" t="s">
        <v>2029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42668486.872598857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42668486.872598857</v>
      </c>
      <c r="Y38" s="6" t="s">
        <v>1195</v>
      </c>
      <c r="Z38" s="6" t="s">
        <v>1195</v>
      </c>
      <c r="AA38" s="2">
        <f>AA37</f>
        <v>42668486.872598857</v>
      </c>
      <c r="AB38" s="2">
        <v>0</v>
      </c>
    </row>
    <row r="39" spans="1:28">
      <c r="A39" s="2">
        <v>36</v>
      </c>
      <c r="B39" s="2" t="s">
        <v>252</v>
      </c>
      <c r="C39" s="2" t="s">
        <v>2029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42668486.872598857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42668486.872598857</v>
      </c>
      <c r="Y39" s="6" t="s">
        <v>1195</v>
      </c>
      <c r="Z39" s="6" t="s">
        <v>1195</v>
      </c>
      <c r="AA39" s="2">
        <f>AA38</f>
        <v>42668486.872598857</v>
      </c>
      <c r="AB39" s="2">
        <v>0</v>
      </c>
    </row>
    <row r="40" spans="1:28">
      <c r="A40" s="2">
        <v>37</v>
      </c>
      <c r="B40" s="2" t="s">
        <v>256</v>
      </c>
      <c r="C40" s="2" t="s">
        <v>2029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1818</v>
      </c>
      <c r="J40" s="2" t="s">
        <v>229</v>
      </c>
      <c r="K40" s="2">
        <f t="shared" si="10"/>
        <v>42668486.872598857</v>
      </c>
      <c r="L40" s="2" t="s">
        <v>1346</v>
      </c>
      <c r="M40" s="2" t="s">
        <v>1004</v>
      </c>
      <c r="N40" s="2" t="s">
        <v>1318</v>
      </c>
      <c r="O40" s="2">
        <v>1800</v>
      </c>
      <c r="P40" s="2">
        <v>290.8780517578125</v>
      </c>
      <c r="Q40" s="2">
        <v>273.44229125976562</v>
      </c>
      <c r="R40" s="2">
        <f>O40*P40</f>
        <v>523580.4931640625</v>
      </c>
      <c r="S40" s="2">
        <f>O40*Q40</f>
        <v>492196.12426757813</v>
      </c>
      <c r="T40" s="2">
        <f>R40+S40</f>
        <v>1015776.6174316406</v>
      </c>
      <c r="U40" s="2">
        <f>ROUND(T40*0.0005, 2)</f>
        <v>507.89</v>
      </c>
      <c r="V40" s="2">
        <f>S40-R40</f>
        <v>-31384.368896484375</v>
      </c>
      <c r="W40" s="2">
        <f>V40-U40</f>
        <v>-31892.258896484374</v>
      </c>
      <c r="X40" s="2">
        <f>K40+W40</f>
        <v>42636594.613702372</v>
      </c>
      <c r="Y40" s="2">
        <f>ROUND(0.2*R40, 2)</f>
        <v>104716.1</v>
      </c>
      <c r="Z40" s="2">
        <f>ROUND((W40/Y40)*100, 2)</f>
        <v>-30.46</v>
      </c>
      <c r="AA40" s="2">
        <f>MAX(AA39, X40)</f>
        <v>42668486.872598857</v>
      </c>
      <c r="AB40" s="2">
        <f>X40-AA40</f>
        <v>-31892.258896484971</v>
      </c>
    </row>
    <row r="41" spans="1:28">
      <c r="A41" s="2">
        <v>38</v>
      </c>
      <c r="B41" s="2" t="s">
        <v>259</v>
      </c>
      <c r="C41" s="2" t="s">
        <v>2029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348</v>
      </c>
      <c r="J41" s="2" t="s">
        <v>1819</v>
      </c>
      <c r="K41" s="2">
        <f t="shared" si="10"/>
        <v>42636594.613702372</v>
      </c>
      <c r="L41" s="2" t="s">
        <v>1268</v>
      </c>
      <c r="M41" s="2" t="s">
        <v>1254</v>
      </c>
      <c r="N41" s="2" t="s">
        <v>1292</v>
      </c>
      <c r="O41" s="2">
        <v>200</v>
      </c>
      <c r="P41" s="2">
        <v>5583.35400390625</v>
      </c>
      <c r="Q41" s="2">
        <v>5624.19482421875</v>
      </c>
      <c r="R41" s="2">
        <f>O41*P41</f>
        <v>1116670.80078125</v>
      </c>
      <c r="S41" s="2">
        <f>O41*Q41</f>
        <v>1124838.96484375</v>
      </c>
      <c r="T41" s="2">
        <f>R41+S41</f>
        <v>2241509.765625</v>
      </c>
      <c r="U41" s="2">
        <f>ROUND(T41*0.0005, 2)</f>
        <v>1120.75</v>
      </c>
      <c r="V41" s="2">
        <f>S41-R41</f>
        <v>8168.1640625</v>
      </c>
      <c r="W41" s="2">
        <f>V41-U41</f>
        <v>7047.4140625</v>
      </c>
      <c r="X41" s="2">
        <f>K41+W41</f>
        <v>42643642.027764872</v>
      </c>
      <c r="Y41" s="2">
        <f>ROUND(0.2*R41, 2)</f>
        <v>223334.16</v>
      </c>
      <c r="Z41" s="2">
        <f>ROUND((W41/Y41)*100, 2)</f>
        <v>3.16</v>
      </c>
      <c r="AA41" s="2">
        <f>MAX(AA40, X41)</f>
        <v>42668486.872598857</v>
      </c>
      <c r="AB41" s="2">
        <f>X41-AA41</f>
        <v>-24844.844833984971</v>
      </c>
    </row>
    <row r="42" spans="1:28">
      <c r="A42" s="2">
        <v>39</v>
      </c>
      <c r="B42" s="2" t="s">
        <v>265</v>
      </c>
      <c r="C42" s="2" t="s">
        <v>2029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42643642.027764872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42643642.027764872</v>
      </c>
      <c r="Y42" s="6" t="s">
        <v>1195</v>
      </c>
      <c r="Z42" s="6" t="s">
        <v>1195</v>
      </c>
      <c r="AA42" s="2">
        <f t="shared" ref="AA42:AA47" si="13">AA41</f>
        <v>42668486.872598857</v>
      </c>
      <c r="AB42" s="2">
        <v>0</v>
      </c>
    </row>
    <row r="43" spans="1:28">
      <c r="A43" s="2">
        <v>40</v>
      </c>
      <c r="B43" s="2" t="s">
        <v>269</v>
      </c>
      <c r="C43" s="2" t="s">
        <v>2029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42643642.027764872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42643642.027764872</v>
      </c>
      <c r="Y43" s="6" t="s">
        <v>1195</v>
      </c>
      <c r="Z43" s="6" t="s">
        <v>1195</v>
      </c>
      <c r="AA43" s="2">
        <f t="shared" si="13"/>
        <v>42668486.872598857</v>
      </c>
      <c r="AB43" s="2">
        <v>0</v>
      </c>
    </row>
    <row r="44" spans="1:28">
      <c r="A44" s="2">
        <v>41</v>
      </c>
      <c r="B44" s="2" t="s">
        <v>272</v>
      </c>
      <c r="C44" s="2" t="s">
        <v>2029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42643642.027764872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42643642.027764872</v>
      </c>
      <c r="Y44" s="6" t="s">
        <v>1195</v>
      </c>
      <c r="Z44" s="6" t="s">
        <v>1195</v>
      </c>
      <c r="AA44" s="2">
        <f t="shared" si="13"/>
        <v>42668486.872598857</v>
      </c>
      <c r="AB44" s="2">
        <v>0</v>
      </c>
    </row>
    <row r="45" spans="1:28">
      <c r="A45" s="2">
        <v>42</v>
      </c>
      <c r="B45" s="2" t="s">
        <v>275</v>
      </c>
      <c r="C45" s="2" t="s">
        <v>2029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42643642.027764872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42643642.027764872</v>
      </c>
      <c r="Y45" s="6" t="s">
        <v>1195</v>
      </c>
      <c r="Z45" s="6" t="s">
        <v>1195</v>
      </c>
      <c r="AA45" s="2">
        <f t="shared" si="13"/>
        <v>42668486.872598857</v>
      </c>
      <c r="AB45" s="2">
        <v>0</v>
      </c>
    </row>
    <row r="46" spans="1:28">
      <c r="A46" s="2">
        <v>43</v>
      </c>
      <c r="B46" s="2" t="s">
        <v>280</v>
      </c>
      <c r="C46" s="2" t="s">
        <v>2029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42643642.027764872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42643642.027764872</v>
      </c>
      <c r="Y46" s="6" t="s">
        <v>1195</v>
      </c>
      <c r="Z46" s="6" t="s">
        <v>1195</v>
      </c>
      <c r="AA46" s="2">
        <f t="shared" si="13"/>
        <v>42668486.872598857</v>
      </c>
      <c r="AB46" s="2">
        <v>0</v>
      </c>
    </row>
    <row r="47" spans="1:28">
      <c r="A47" s="2">
        <v>44</v>
      </c>
      <c r="B47" s="2" t="s">
        <v>284</v>
      </c>
      <c r="C47" s="2" t="s">
        <v>2029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42643642.027764872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42643642.027764872</v>
      </c>
      <c r="Y47" s="6" t="s">
        <v>1195</v>
      </c>
      <c r="Z47" s="6" t="s">
        <v>1195</v>
      </c>
      <c r="AA47" s="2">
        <f t="shared" si="13"/>
        <v>42668486.872598857</v>
      </c>
      <c r="AB47" s="2">
        <v>0</v>
      </c>
    </row>
    <row r="48" spans="1:28">
      <c r="A48" s="2">
        <v>45</v>
      </c>
      <c r="B48" s="2" t="s">
        <v>291</v>
      </c>
      <c r="C48" s="2" t="s">
        <v>2029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1260</v>
      </c>
      <c r="J48" s="2" t="s">
        <v>1829</v>
      </c>
      <c r="K48" s="2">
        <f t="shared" si="10"/>
        <v>42643642.027764872</v>
      </c>
      <c r="L48" s="2" t="s">
        <v>1267</v>
      </c>
      <c r="M48" s="2" t="s">
        <v>1268</v>
      </c>
      <c r="N48" s="2" t="s">
        <v>1245</v>
      </c>
      <c r="O48" s="2">
        <v>650</v>
      </c>
      <c r="P48" s="2">
        <v>1502.895385742188</v>
      </c>
      <c r="Q48" s="2">
        <v>1455.948120117188</v>
      </c>
      <c r="R48" s="2">
        <f>O48*P48</f>
        <v>976882.00073242222</v>
      </c>
      <c r="S48" s="2">
        <f>O48*Q48</f>
        <v>946366.27807617222</v>
      </c>
      <c r="T48" s="2">
        <f>R48+S48</f>
        <v>1923248.2788085944</v>
      </c>
      <c r="U48" s="2">
        <f>ROUND(T48*0.0005, 2)</f>
        <v>961.62</v>
      </c>
      <c r="V48" s="2">
        <f>S48-R48</f>
        <v>-30515.72265625</v>
      </c>
      <c r="W48" s="2">
        <f>V48-U48</f>
        <v>-31477.342656249999</v>
      </c>
      <c r="X48" s="2">
        <f>K48+W48</f>
        <v>42612164.685108624</v>
      </c>
      <c r="Y48" s="2">
        <f>ROUND(0.2*R48, 2)</f>
        <v>195376.4</v>
      </c>
      <c r="Z48" s="2">
        <f>ROUND((W48/Y48)*100, 2)</f>
        <v>-16.11</v>
      </c>
      <c r="AA48" s="2">
        <f>MAX(AA47, X48)</f>
        <v>42668486.872598857</v>
      </c>
      <c r="AB48" s="2">
        <f>X48-AA48</f>
        <v>-56322.187490232289</v>
      </c>
    </row>
    <row r="49" spans="1:28">
      <c r="A49" s="2">
        <v>46</v>
      </c>
      <c r="B49" s="2" t="s">
        <v>295</v>
      </c>
      <c r="C49" s="2" t="s">
        <v>2029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267</v>
      </c>
      <c r="J49" s="2" t="s">
        <v>866</v>
      </c>
      <c r="K49" s="2">
        <f t="shared" si="10"/>
        <v>42612164.685108624</v>
      </c>
      <c r="L49" s="2" t="s">
        <v>1084</v>
      </c>
      <c r="M49" s="2" t="s">
        <v>1292</v>
      </c>
      <c r="N49" s="2" t="s">
        <v>1270</v>
      </c>
      <c r="O49" s="2">
        <v>2100</v>
      </c>
      <c r="P49" s="2">
        <v>431.87045288085937</v>
      </c>
      <c r="Q49" s="2">
        <v>461.14828491210937</v>
      </c>
      <c r="R49" s="2">
        <f>O49*P49</f>
        <v>906927.95104980469</v>
      </c>
      <c r="S49" s="2">
        <f>O49*Q49</f>
        <v>968411.39831542969</v>
      </c>
      <c r="T49" s="2">
        <f>R49+S49</f>
        <v>1875339.3493652344</v>
      </c>
      <c r="U49" s="2">
        <f>ROUND(T49*0.0005, 2)</f>
        <v>937.67</v>
      </c>
      <c r="V49" s="2">
        <f>S49-R49</f>
        <v>61483.447265625</v>
      </c>
      <c r="W49" s="2">
        <f>V49-U49</f>
        <v>60545.777265625002</v>
      </c>
      <c r="X49" s="2">
        <f>K49+W49</f>
        <v>42672710.462374248</v>
      </c>
      <c r="Y49" s="2">
        <f>ROUND(0.2*R49, 2)</f>
        <v>181385.59</v>
      </c>
      <c r="Z49" s="2">
        <f>ROUND((W49/Y49)*100, 2)</f>
        <v>33.380000000000003</v>
      </c>
      <c r="AA49" s="2">
        <f>MAX(AA48, X49)</f>
        <v>42672710.462374248</v>
      </c>
      <c r="AB49" s="2">
        <f>X49-AA49</f>
        <v>0</v>
      </c>
    </row>
    <row r="50" spans="1:28">
      <c r="A50" s="2">
        <v>47</v>
      </c>
      <c r="B50" s="2" t="s">
        <v>299</v>
      </c>
      <c r="C50" s="2" t="s">
        <v>2029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42672710.462374248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42672710.462374248</v>
      </c>
      <c r="Y50" s="6" t="s">
        <v>1195</v>
      </c>
      <c r="Z50" s="6" t="s">
        <v>1195</v>
      </c>
      <c r="AA50" s="2">
        <f t="shared" ref="AA50:AA61" si="15">AA49</f>
        <v>42672710.462374248</v>
      </c>
      <c r="AB50" s="2">
        <v>0</v>
      </c>
    </row>
    <row r="51" spans="1:28">
      <c r="A51" s="2">
        <v>48</v>
      </c>
      <c r="B51" s="2" t="s">
        <v>303</v>
      </c>
      <c r="C51" s="2" t="s">
        <v>2029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42672710.462374248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42672710.462374248</v>
      </c>
      <c r="Y51" s="6" t="s">
        <v>1195</v>
      </c>
      <c r="Z51" s="6" t="s">
        <v>1195</v>
      </c>
      <c r="AA51" s="2">
        <f t="shared" si="15"/>
        <v>42672710.462374248</v>
      </c>
      <c r="AB51" s="2">
        <v>0</v>
      </c>
    </row>
    <row r="52" spans="1:28">
      <c r="A52" s="2">
        <v>49</v>
      </c>
      <c r="B52" s="2" t="s">
        <v>307</v>
      </c>
      <c r="C52" s="2" t="s">
        <v>2029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42672710.462374248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42672710.462374248</v>
      </c>
      <c r="Y52" s="6" t="s">
        <v>1195</v>
      </c>
      <c r="Z52" s="6" t="s">
        <v>1195</v>
      </c>
      <c r="AA52" s="2">
        <f t="shared" si="15"/>
        <v>42672710.462374248</v>
      </c>
      <c r="AB52" s="2">
        <v>0</v>
      </c>
    </row>
    <row r="53" spans="1:28">
      <c r="A53" s="2">
        <v>50</v>
      </c>
      <c r="B53" s="2" t="s">
        <v>311</v>
      </c>
      <c r="C53" s="2" t="s">
        <v>2029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42672710.462374248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42672710.462374248</v>
      </c>
      <c r="Y53" s="6" t="s">
        <v>1195</v>
      </c>
      <c r="Z53" s="6" t="s">
        <v>1195</v>
      </c>
      <c r="AA53" s="2">
        <f t="shared" si="15"/>
        <v>42672710.462374248</v>
      </c>
      <c r="AB53" s="2">
        <v>0</v>
      </c>
    </row>
    <row r="54" spans="1:28">
      <c r="A54" s="2">
        <v>51</v>
      </c>
      <c r="B54" s="2" t="s">
        <v>315</v>
      </c>
      <c r="C54" s="2" t="s">
        <v>2029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42672710.462374248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42672710.462374248</v>
      </c>
      <c r="Y54" s="6" t="s">
        <v>1195</v>
      </c>
      <c r="Z54" s="6" t="s">
        <v>1195</v>
      </c>
      <c r="AA54" s="2">
        <f t="shared" si="15"/>
        <v>42672710.462374248</v>
      </c>
      <c r="AB54" s="2">
        <v>0</v>
      </c>
    </row>
    <row r="55" spans="1:28">
      <c r="A55" s="2">
        <v>52</v>
      </c>
      <c r="B55" s="2" t="s">
        <v>318</v>
      </c>
      <c r="C55" s="2" t="s">
        <v>2029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42672710.462374248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42672710.462374248</v>
      </c>
      <c r="Y55" s="6" t="s">
        <v>1195</v>
      </c>
      <c r="Z55" s="6" t="s">
        <v>1195</v>
      </c>
      <c r="AA55" s="2">
        <f t="shared" si="15"/>
        <v>42672710.462374248</v>
      </c>
      <c r="AB55" s="2">
        <v>0</v>
      </c>
    </row>
    <row r="56" spans="1:28">
      <c r="A56" s="2">
        <v>53</v>
      </c>
      <c r="B56" s="2" t="s">
        <v>322</v>
      </c>
      <c r="C56" s="2" t="s">
        <v>2029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42672710.462374248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42672710.462374248</v>
      </c>
      <c r="Y56" s="6" t="s">
        <v>1195</v>
      </c>
      <c r="Z56" s="6" t="s">
        <v>1195</v>
      </c>
      <c r="AA56" s="2">
        <f t="shared" si="15"/>
        <v>42672710.462374248</v>
      </c>
      <c r="AB56" s="2">
        <v>0</v>
      </c>
    </row>
    <row r="57" spans="1:28">
      <c r="A57" s="2">
        <v>54</v>
      </c>
      <c r="B57" s="2" t="s">
        <v>324</v>
      </c>
      <c r="C57" s="2" t="s">
        <v>2029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42672710.462374248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42672710.462374248</v>
      </c>
      <c r="Y57" s="6" t="s">
        <v>1195</v>
      </c>
      <c r="Z57" s="6" t="s">
        <v>1195</v>
      </c>
      <c r="AA57" s="2">
        <f t="shared" si="15"/>
        <v>42672710.462374248</v>
      </c>
      <c r="AB57" s="2">
        <v>0</v>
      </c>
    </row>
    <row r="58" spans="1:28">
      <c r="A58" s="2">
        <v>55</v>
      </c>
      <c r="B58" s="2" t="s">
        <v>328</v>
      </c>
      <c r="C58" s="2" t="s">
        <v>2029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42672710.462374248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42672710.462374248</v>
      </c>
      <c r="Y58" s="6" t="s">
        <v>1195</v>
      </c>
      <c r="Z58" s="6" t="s">
        <v>1195</v>
      </c>
      <c r="AA58" s="2">
        <f t="shared" si="15"/>
        <v>42672710.462374248</v>
      </c>
      <c r="AB58" s="2">
        <v>0</v>
      </c>
    </row>
    <row r="59" spans="1:28">
      <c r="A59" s="2">
        <v>56</v>
      </c>
      <c r="B59" s="2" t="s">
        <v>332</v>
      </c>
      <c r="C59" s="2" t="s">
        <v>2029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42672710.462374248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42672710.462374248</v>
      </c>
      <c r="Y59" s="6" t="s">
        <v>1195</v>
      </c>
      <c r="Z59" s="6" t="s">
        <v>1195</v>
      </c>
      <c r="AA59" s="2">
        <f t="shared" si="15"/>
        <v>42672710.462374248</v>
      </c>
      <c r="AB59" s="2">
        <v>0</v>
      </c>
    </row>
    <row r="60" spans="1:28">
      <c r="A60" s="2">
        <v>57</v>
      </c>
      <c r="B60" s="2" t="s">
        <v>337</v>
      </c>
      <c r="C60" s="2" t="s">
        <v>2029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42672710.462374248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42672710.462374248</v>
      </c>
      <c r="Y60" s="6" t="s">
        <v>1195</v>
      </c>
      <c r="Z60" s="6" t="s">
        <v>1195</v>
      </c>
      <c r="AA60" s="2">
        <f t="shared" si="15"/>
        <v>42672710.462374248</v>
      </c>
      <c r="AB60" s="2">
        <v>0</v>
      </c>
    </row>
    <row r="61" spans="1:28">
      <c r="A61" s="2">
        <v>58</v>
      </c>
      <c r="B61" s="2" t="s">
        <v>341</v>
      </c>
      <c r="C61" s="2" t="s">
        <v>2029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42672710.462374248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42672710.462374248</v>
      </c>
      <c r="Y61" s="6" t="s">
        <v>1195</v>
      </c>
      <c r="Z61" s="6" t="s">
        <v>1195</v>
      </c>
      <c r="AA61" s="2">
        <f t="shared" si="15"/>
        <v>42672710.462374248</v>
      </c>
      <c r="AB61" s="2">
        <v>0</v>
      </c>
    </row>
    <row r="62" spans="1:28">
      <c r="A62" s="2">
        <v>59</v>
      </c>
      <c r="B62" s="2" t="s">
        <v>347</v>
      </c>
      <c r="C62" s="2" t="s">
        <v>2029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797</v>
      </c>
      <c r="J62" s="2" t="s">
        <v>604</v>
      </c>
      <c r="K62" s="2">
        <f t="shared" si="10"/>
        <v>42672710.462374248</v>
      </c>
      <c r="L62" s="2" t="s">
        <v>1296</v>
      </c>
      <c r="M62" s="2" t="s">
        <v>1272</v>
      </c>
      <c r="N62" s="2" t="s">
        <v>1006</v>
      </c>
      <c r="O62" s="2">
        <v>125</v>
      </c>
      <c r="P62" s="2">
        <v>1343.732299804688</v>
      </c>
      <c r="Q62" s="2">
        <v>1316.745727539062</v>
      </c>
      <c r="R62" s="2">
        <f>O62*P62</f>
        <v>167966.537475586</v>
      </c>
      <c r="S62" s="2">
        <f>O62*Q62</f>
        <v>164593.21594238275</v>
      </c>
      <c r="T62" s="2">
        <f>R62+S62</f>
        <v>332559.75341796875</v>
      </c>
      <c r="U62" s="2">
        <f>ROUND(T62*0.0005, 2)</f>
        <v>166.28</v>
      </c>
      <c r="V62" s="2">
        <f>S62-R62</f>
        <v>-3373.3215332032414</v>
      </c>
      <c r="W62" s="2">
        <f>V62-U62</f>
        <v>-3539.6015332032416</v>
      </c>
      <c r="X62" s="2">
        <f>K62+W62</f>
        <v>42669170.860841043</v>
      </c>
      <c r="Y62" s="2">
        <f>ROUND(0.2*R62, 2)</f>
        <v>33593.31</v>
      </c>
      <c r="Z62" s="2">
        <f>ROUND((W62/Y62)*100, 2)</f>
        <v>-10.54</v>
      </c>
      <c r="AA62" s="2">
        <f>MAX(AA61, X62)</f>
        <v>42672710.462374248</v>
      </c>
      <c r="AB62" s="2">
        <f>X62-AA62</f>
        <v>-3539.6015332043171</v>
      </c>
    </row>
    <row r="63" spans="1:28">
      <c r="A63" s="2">
        <v>60</v>
      </c>
      <c r="B63" s="2" t="s">
        <v>351</v>
      </c>
      <c r="C63" s="2" t="s">
        <v>2029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316</v>
      </c>
      <c r="J63" s="2" t="s">
        <v>1847</v>
      </c>
      <c r="K63" s="2">
        <f t="shared" si="10"/>
        <v>42669170.860841043</v>
      </c>
      <c r="L63" s="2" t="s">
        <v>1272</v>
      </c>
      <c r="M63" s="2" t="s">
        <v>1255</v>
      </c>
      <c r="N63" s="2" t="s">
        <v>1251</v>
      </c>
      <c r="O63" s="2">
        <v>175</v>
      </c>
      <c r="P63" s="2">
        <v>4834.89306640625</v>
      </c>
      <c r="Q63" s="2">
        <v>4747.24462890625</v>
      </c>
      <c r="R63" s="2">
        <f>O63*P63</f>
        <v>846106.28662109375</v>
      </c>
      <c r="S63" s="2">
        <f>O63*Q63</f>
        <v>830767.81005859375</v>
      </c>
      <c r="T63" s="2">
        <f>R63+S63</f>
        <v>1676874.0966796875</v>
      </c>
      <c r="U63" s="2">
        <f>ROUND(T63*0.0005, 2)</f>
        <v>838.44</v>
      </c>
      <c r="V63" s="2">
        <f>S63-R63</f>
        <v>-15338.4765625</v>
      </c>
      <c r="W63" s="2">
        <f>V63-U63</f>
        <v>-16176.916562500001</v>
      </c>
      <c r="X63" s="2">
        <f>K63+W63</f>
        <v>42652993.944278546</v>
      </c>
      <c r="Y63" s="2">
        <f>ROUND(0.2*R63, 2)</f>
        <v>169221.26</v>
      </c>
      <c r="Z63" s="2">
        <f>ROUND((W63/Y63)*100, 2)</f>
        <v>-9.56</v>
      </c>
      <c r="AA63" s="2">
        <f>MAX(AA62, X63)</f>
        <v>42672710.462374248</v>
      </c>
      <c r="AB63" s="2">
        <f>X63-AA63</f>
        <v>-19716.518095701933</v>
      </c>
    </row>
    <row r="64" spans="1:28">
      <c r="A64" s="2">
        <v>61</v>
      </c>
      <c r="B64" s="2" t="s">
        <v>355</v>
      </c>
      <c r="C64" s="2" t="s">
        <v>2029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2048</v>
      </c>
      <c r="J64" s="2" t="s">
        <v>2049</v>
      </c>
      <c r="K64" s="2">
        <f t="shared" si="10"/>
        <v>42652993.944278546</v>
      </c>
      <c r="L64" s="2" t="s">
        <v>2050</v>
      </c>
      <c r="M64" s="2" t="s">
        <v>1963</v>
      </c>
      <c r="N64" s="2" t="s">
        <v>1828</v>
      </c>
      <c r="O64" s="2">
        <v>3399</v>
      </c>
      <c r="P64" s="2">
        <v>103.6999969482422</v>
      </c>
      <c r="Q64" s="2">
        <v>121.84999847412109</v>
      </c>
      <c r="R64" s="2">
        <f>O64*P64</f>
        <v>352476.28962707525</v>
      </c>
      <c r="S64" s="2">
        <f>O64*Q64</f>
        <v>414168.1448135376</v>
      </c>
      <c r="T64" s="2">
        <f>R64+S64</f>
        <v>766644.43444061279</v>
      </c>
      <c r="U64" s="2">
        <f>ROUND(T64*0.0005, 2)</f>
        <v>383.32</v>
      </c>
      <c r="V64" s="2">
        <f>S64-R64</f>
        <v>61691.855186462344</v>
      </c>
      <c r="W64" s="2">
        <f>V64-U64</f>
        <v>61308.535186462344</v>
      </c>
      <c r="X64" s="2">
        <f>K64+W64</f>
        <v>42714302.479465008</v>
      </c>
      <c r="Y64" s="2">
        <f>ROUND(0.2*R64, 2)</f>
        <v>70495.259999999995</v>
      </c>
      <c r="Z64" s="2">
        <f>ROUND((W64/Y64)*100, 2)</f>
        <v>86.97</v>
      </c>
      <c r="AA64" s="2">
        <f>MAX(AA63, X64)</f>
        <v>42714302.479465008</v>
      </c>
      <c r="AB64" s="2">
        <f>X64-AA64</f>
        <v>0</v>
      </c>
    </row>
    <row r="65" spans="1:28">
      <c r="A65" s="2">
        <v>62</v>
      </c>
      <c r="B65" s="2" t="s">
        <v>360</v>
      </c>
      <c r="C65" s="2" t="s">
        <v>2029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42714302.479465008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42714302.479465008</v>
      </c>
      <c r="Y65" s="6" t="s">
        <v>1195</v>
      </c>
      <c r="Z65" s="6" t="s">
        <v>1195</v>
      </c>
      <c r="AA65" s="2">
        <f>AA64</f>
        <v>42714302.479465008</v>
      </c>
      <c r="AB65" s="2">
        <v>0</v>
      </c>
    </row>
    <row r="66" spans="1:28">
      <c r="A66" s="2">
        <v>63</v>
      </c>
      <c r="B66" s="2" t="s">
        <v>364</v>
      </c>
      <c r="C66" s="2" t="s">
        <v>2029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2051</v>
      </c>
      <c r="J66" s="2" t="s">
        <v>2052</v>
      </c>
      <c r="K66" s="2">
        <f t="shared" si="10"/>
        <v>42714302.479465008</v>
      </c>
      <c r="L66" s="2" t="s">
        <v>2053</v>
      </c>
      <c r="M66" s="2" t="s">
        <v>2054</v>
      </c>
      <c r="N66" s="2" t="s">
        <v>2041</v>
      </c>
      <c r="O66" s="2">
        <v>100</v>
      </c>
      <c r="P66" s="2">
        <v>20008</v>
      </c>
      <c r="Q66" s="2">
        <v>24927</v>
      </c>
      <c r="R66" s="2">
        <f>O66*P66</f>
        <v>2000800</v>
      </c>
      <c r="S66" s="2">
        <f>O66*Q66</f>
        <v>2492700</v>
      </c>
      <c r="T66" s="2">
        <f>R66+S66</f>
        <v>4493500</v>
      </c>
      <c r="U66" s="2">
        <f>ROUND(T66*0.0005, 2)</f>
        <v>2246.75</v>
      </c>
      <c r="V66" s="2">
        <f>S66-R66</f>
        <v>491900</v>
      </c>
      <c r="W66" s="2">
        <f>V66-U66</f>
        <v>489653.25</v>
      </c>
      <c r="X66" s="2">
        <f>K66+W66</f>
        <v>43203955.729465008</v>
      </c>
      <c r="Y66" s="2">
        <f>ROUND(0.2*R66, 2)</f>
        <v>400160</v>
      </c>
      <c r="Z66" s="2">
        <f>ROUND((W66/Y66)*100, 2)</f>
        <v>122.36</v>
      </c>
      <c r="AA66" s="2">
        <f>MAX(AA65, X66)</f>
        <v>43203955.729465008</v>
      </c>
      <c r="AB66" s="2">
        <f>X66-AA66</f>
        <v>0</v>
      </c>
    </row>
    <row r="67" spans="1:28">
      <c r="A67" s="2">
        <v>64</v>
      </c>
      <c r="B67" s="2" t="s">
        <v>369</v>
      </c>
      <c r="C67" s="2" t="s">
        <v>2029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43203955.729465008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43203955.729465008</v>
      </c>
      <c r="Y67" s="6" t="s">
        <v>1195</v>
      </c>
      <c r="Z67" s="6" t="s">
        <v>1195</v>
      </c>
      <c r="AA67" s="2">
        <f t="shared" ref="AA67:AA73" si="17">AA66</f>
        <v>43203955.729465008</v>
      </c>
      <c r="AB67" s="2">
        <v>0</v>
      </c>
    </row>
    <row r="68" spans="1:28">
      <c r="A68" s="2">
        <v>65</v>
      </c>
      <c r="B68" s="2" t="s">
        <v>372</v>
      </c>
      <c r="C68" s="2" t="s">
        <v>2029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43203955.729465008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43203955.729465008</v>
      </c>
      <c r="Y68" s="6" t="s">
        <v>1195</v>
      </c>
      <c r="Z68" s="6" t="s">
        <v>1195</v>
      </c>
      <c r="AA68" s="2">
        <f t="shared" si="17"/>
        <v>43203955.729465008</v>
      </c>
      <c r="AB68" s="2">
        <v>0</v>
      </c>
    </row>
    <row r="69" spans="1:28">
      <c r="A69" s="2">
        <v>66</v>
      </c>
      <c r="B69" s="2" t="s">
        <v>376</v>
      </c>
      <c r="C69" s="2" t="s">
        <v>2029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43203955.729465008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43203955.729465008</v>
      </c>
      <c r="Y69" s="6" t="s">
        <v>1195</v>
      </c>
      <c r="Z69" s="6" t="s">
        <v>1195</v>
      </c>
      <c r="AA69" s="2">
        <f t="shared" si="17"/>
        <v>43203955.729465008</v>
      </c>
      <c r="AB69" s="2">
        <v>0</v>
      </c>
    </row>
    <row r="70" spans="1:28">
      <c r="A70" s="2">
        <v>67</v>
      </c>
      <c r="B70" s="2" t="s">
        <v>381</v>
      </c>
      <c r="C70" s="2" t="s">
        <v>2029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43203955.729465008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43203955.729465008</v>
      </c>
      <c r="Y70" s="6" t="s">
        <v>1195</v>
      </c>
      <c r="Z70" s="6" t="s">
        <v>1195</v>
      </c>
      <c r="AA70" s="2">
        <f t="shared" si="17"/>
        <v>43203955.729465008</v>
      </c>
      <c r="AB70" s="2">
        <v>0</v>
      </c>
    </row>
    <row r="71" spans="1:28">
      <c r="A71" s="2">
        <v>68</v>
      </c>
      <c r="B71" s="2" t="s">
        <v>385</v>
      </c>
      <c r="C71" s="2" t="s">
        <v>2029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43203955.729465008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43203955.729465008</v>
      </c>
      <c r="Y71" s="6" t="s">
        <v>1195</v>
      </c>
      <c r="Z71" s="6" t="s">
        <v>1195</v>
      </c>
      <c r="AA71" s="2">
        <f t="shared" si="17"/>
        <v>43203955.729465008</v>
      </c>
      <c r="AB71" s="2">
        <v>0</v>
      </c>
    </row>
    <row r="72" spans="1:28">
      <c r="A72" s="2">
        <v>69</v>
      </c>
      <c r="B72" s="2" t="s">
        <v>390</v>
      </c>
      <c r="C72" s="2" t="s">
        <v>2029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43203955.729465008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43203955.729465008</v>
      </c>
      <c r="Y72" s="6" t="s">
        <v>1195</v>
      </c>
      <c r="Z72" s="6" t="s">
        <v>1195</v>
      </c>
      <c r="AA72" s="2">
        <f t="shared" si="17"/>
        <v>43203955.729465008</v>
      </c>
      <c r="AB72" s="2">
        <v>0</v>
      </c>
    </row>
    <row r="73" spans="1:28">
      <c r="A73" s="2">
        <v>70</v>
      </c>
      <c r="B73" s="2" t="s">
        <v>393</v>
      </c>
      <c r="C73" s="2" t="s">
        <v>2029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43203955.729465008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43203955.729465008</v>
      </c>
      <c r="Y73" s="6" t="s">
        <v>1195</v>
      </c>
      <c r="Z73" s="6" t="s">
        <v>1195</v>
      </c>
      <c r="AA73" s="2">
        <f t="shared" si="17"/>
        <v>43203955.729465008</v>
      </c>
      <c r="AB73" s="2">
        <v>0</v>
      </c>
    </row>
    <row r="74" spans="1:28">
      <c r="A74" s="2">
        <v>71</v>
      </c>
      <c r="B74" s="2" t="s">
        <v>397</v>
      </c>
      <c r="C74" s="2" t="s">
        <v>2029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1605</v>
      </c>
      <c r="J74" s="2" t="s">
        <v>1857</v>
      </c>
      <c r="K74" s="2">
        <f t="shared" si="18"/>
        <v>43203955.729465008</v>
      </c>
      <c r="L74" s="2" t="s">
        <v>1254</v>
      </c>
      <c r="M74" s="2" t="s">
        <v>1379</v>
      </c>
      <c r="N74" s="2" t="s">
        <v>1278</v>
      </c>
      <c r="O74" s="2">
        <v>250</v>
      </c>
      <c r="P74" s="2">
        <v>2590.9248046875</v>
      </c>
      <c r="Q74" s="2">
        <v>2592.81787109375</v>
      </c>
      <c r="R74" s="2">
        <f>O74*P74</f>
        <v>647731.201171875</v>
      </c>
      <c r="S74" s="2">
        <f>O74*Q74</f>
        <v>648204.4677734375</v>
      </c>
      <c r="T74" s="2">
        <f>R74+S74</f>
        <v>1295935.6689453125</v>
      </c>
      <c r="U74" s="2">
        <f>ROUND(T74*0.0005, 2)</f>
        <v>647.97</v>
      </c>
      <c r="V74" s="2">
        <f>S74-R74</f>
        <v>473.2666015625</v>
      </c>
      <c r="W74" s="2">
        <f>V74-U74</f>
        <v>-174.70339843750003</v>
      </c>
      <c r="X74" s="2">
        <f>K74+W74</f>
        <v>43203781.026066571</v>
      </c>
      <c r="Y74" s="2">
        <f>ROUND(0.2*R74, 2)</f>
        <v>129546.24000000001</v>
      </c>
      <c r="Z74" s="2">
        <f>ROUND((W74/Y74)*100, 2)</f>
        <v>-0.13</v>
      </c>
      <c r="AA74" s="2">
        <f>MAX(AA73, X74)</f>
        <v>43203955.729465008</v>
      </c>
      <c r="AB74" s="2">
        <f>X74-AA74</f>
        <v>-174.70339843630791</v>
      </c>
    </row>
    <row r="75" spans="1:28">
      <c r="A75" s="2">
        <v>72</v>
      </c>
      <c r="B75" s="2" t="s">
        <v>403</v>
      </c>
      <c r="C75" s="2" t="s">
        <v>2029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43203781.026066571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43203781.026066571</v>
      </c>
      <c r="Y75" s="6" t="s">
        <v>1195</v>
      </c>
      <c r="Z75" s="6" t="s">
        <v>1195</v>
      </c>
      <c r="AA75" s="2">
        <f>AA74</f>
        <v>43203955.729465008</v>
      </c>
      <c r="AB75" s="2">
        <v>0</v>
      </c>
    </row>
    <row r="76" spans="1:28">
      <c r="A76" s="2">
        <v>73</v>
      </c>
      <c r="B76" s="2" t="s">
        <v>406</v>
      </c>
      <c r="C76" s="2" t="s">
        <v>2029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43203781.026066571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43203781.026066571</v>
      </c>
      <c r="Y76" s="6" t="s">
        <v>1195</v>
      </c>
      <c r="Z76" s="6" t="s">
        <v>1195</v>
      </c>
      <c r="AA76" s="2">
        <f>AA75</f>
        <v>43203955.729465008</v>
      </c>
      <c r="AB76" s="2">
        <v>0</v>
      </c>
    </row>
    <row r="77" spans="1:28">
      <c r="A77" s="2">
        <v>74</v>
      </c>
      <c r="B77" s="2" t="s">
        <v>410</v>
      </c>
      <c r="C77" s="2" t="s">
        <v>2029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43203781.026066571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43203781.026066571</v>
      </c>
      <c r="Y77" s="6" t="s">
        <v>1195</v>
      </c>
      <c r="Z77" s="6" t="s">
        <v>1195</v>
      </c>
      <c r="AA77" s="2">
        <f>AA76</f>
        <v>43203955.729465008</v>
      </c>
      <c r="AB77" s="2">
        <v>0</v>
      </c>
    </row>
    <row r="78" spans="1:28">
      <c r="A78" s="2">
        <v>75</v>
      </c>
      <c r="B78" s="2" t="s">
        <v>414</v>
      </c>
      <c r="C78" s="2" t="s">
        <v>2029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1864</v>
      </c>
      <c r="J78" s="2" t="s">
        <v>1865</v>
      </c>
      <c r="K78" s="2">
        <f t="shared" si="18"/>
        <v>43203781.026066571</v>
      </c>
      <c r="L78" s="2" t="s">
        <v>1438</v>
      </c>
      <c r="M78" s="2" t="s">
        <v>1318</v>
      </c>
      <c r="N78" s="2" t="s">
        <v>1437</v>
      </c>
      <c r="O78" s="2">
        <v>350</v>
      </c>
      <c r="P78" s="2">
        <v>1418.807983398438</v>
      </c>
      <c r="Q78" s="2">
        <v>1475.388427734375</v>
      </c>
      <c r="R78" s="2">
        <f>O78*P78</f>
        <v>496582.7941894533</v>
      </c>
      <c r="S78" s="2">
        <f>O78*Q78</f>
        <v>516385.94970703125</v>
      </c>
      <c r="T78" s="2">
        <f>R78+S78</f>
        <v>1012968.7438964846</v>
      </c>
      <c r="U78" s="2">
        <f>ROUND(T78*0.0005, 2)</f>
        <v>506.48</v>
      </c>
      <c r="V78" s="2">
        <f>S78-R78</f>
        <v>19803.15551757795</v>
      </c>
      <c r="W78" s="2">
        <f>V78-U78</f>
        <v>19296.675517577951</v>
      </c>
      <c r="X78" s="2">
        <f>K78+W78</f>
        <v>43223077.701584153</v>
      </c>
      <c r="Y78" s="2">
        <f>ROUND(0.2*R78, 2)</f>
        <v>99316.56</v>
      </c>
      <c r="Z78" s="2">
        <f>ROUND((W78/Y78)*100, 2)</f>
        <v>19.43</v>
      </c>
      <c r="AA78" s="2">
        <f>MAX(AA77, X78)</f>
        <v>43223077.701584153</v>
      </c>
      <c r="AB78" s="2">
        <f>X78-AA78</f>
        <v>0</v>
      </c>
    </row>
    <row r="79" spans="1:28">
      <c r="A79" s="2">
        <v>76</v>
      </c>
      <c r="B79" s="2" t="s">
        <v>419</v>
      </c>
      <c r="C79" s="2" t="s">
        <v>2029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43223077.701584153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43223077.701584153</v>
      </c>
      <c r="Y79" s="6" t="s">
        <v>1195</v>
      </c>
      <c r="Z79" s="6" t="s">
        <v>1195</v>
      </c>
      <c r="AA79" s="2">
        <f>AA78</f>
        <v>43223077.701584153</v>
      </c>
      <c r="AB79" s="2">
        <v>0</v>
      </c>
    </row>
    <row r="80" spans="1:28">
      <c r="A80" s="2">
        <v>77</v>
      </c>
      <c r="B80" s="2" t="s">
        <v>423</v>
      </c>
      <c r="C80" s="2" t="s">
        <v>2029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473</v>
      </c>
      <c r="J80" s="2" t="s">
        <v>733</v>
      </c>
      <c r="K80" s="2">
        <f t="shared" si="18"/>
        <v>43223077.701584153</v>
      </c>
      <c r="L80" s="2" t="s">
        <v>1321</v>
      </c>
      <c r="M80" s="2" t="s">
        <v>1245</v>
      </c>
      <c r="N80" s="2" t="s">
        <v>1868</v>
      </c>
      <c r="O80" s="2">
        <v>550</v>
      </c>
      <c r="P80" s="2">
        <v>789.15435791015625</v>
      </c>
      <c r="Q80" s="2">
        <v>785.2962646484375</v>
      </c>
      <c r="R80" s="2">
        <f>O80*P80</f>
        <v>434034.89685058594</v>
      </c>
      <c r="S80" s="2">
        <f>O80*Q80</f>
        <v>431912.94555664063</v>
      </c>
      <c r="T80" s="2">
        <f>R80+S80</f>
        <v>865947.84240722656</v>
      </c>
      <c r="U80" s="2">
        <f>ROUND(T80*0.0005, 2)</f>
        <v>432.97</v>
      </c>
      <c r="V80" s="2">
        <f>S80-R80</f>
        <v>-2121.9512939453125</v>
      </c>
      <c r="W80" s="2">
        <f>V80-U80</f>
        <v>-2554.9212939453128</v>
      </c>
      <c r="X80" s="2">
        <f>K80+W80</f>
        <v>43220522.780290209</v>
      </c>
      <c r="Y80" s="2">
        <f>ROUND(0.2*R80, 2)</f>
        <v>86806.98</v>
      </c>
      <c r="Z80" s="2">
        <f>ROUND((W80/Y80)*100, 2)</f>
        <v>-2.94</v>
      </c>
      <c r="AA80" s="2">
        <f>MAX(AA79, X80)</f>
        <v>43223077.701584153</v>
      </c>
      <c r="AB80" s="2">
        <f>X80-AA80</f>
        <v>-2554.9212939441204</v>
      </c>
    </row>
    <row r="81" spans="1:28">
      <c r="A81" s="2">
        <v>78</v>
      </c>
      <c r="B81" s="2" t="s">
        <v>428</v>
      </c>
      <c r="C81" s="2" t="s">
        <v>2029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2055</v>
      </c>
      <c r="J81" s="2" t="s">
        <v>2056</v>
      </c>
      <c r="K81" s="2">
        <f t="shared" si="18"/>
        <v>43220522.780290209</v>
      </c>
      <c r="L81" s="2" t="s">
        <v>2057</v>
      </c>
      <c r="M81" s="2" t="s">
        <v>2058</v>
      </c>
      <c r="N81" s="2" t="s">
        <v>2059</v>
      </c>
      <c r="O81" s="2">
        <v>1100</v>
      </c>
      <c r="P81" s="2">
        <v>632.8233642578125</v>
      </c>
      <c r="Q81" s="2">
        <v>615.4925537109375</v>
      </c>
      <c r="R81" s="2">
        <f>O81*P81</f>
        <v>696105.70068359375</v>
      </c>
      <c r="S81" s="2">
        <f>O81*Q81</f>
        <v>677041.80908203125</v>
      </c>
      <c r="T81" s="2">
        <f>R81+S81</f>
        <v>1373147.509765625</v>
      </c>
      <c r="U81" s="2">
        <f>ROUND(T81*0.0005, 2)</f>
        <v>686.57</v>
      </c>
      <c r="V81" s="2">
        <f>S81-R81</f>
        <v>-19063.8916015625</v>
      </c>
      <c r="W81" s="2">
        <f>V81-U81</f>
        <v>-19750.4616015625</v>
      </c>
      <c r="X81" s="2">
        <f>K81+W81</f>
        <v>43200772.318688646</v>
      </c>
      <c r="Y81" s="2">
        <f>ROUND(0.2*R81, 2)</f>
        <v>139221.14000000001</v>
      </c>
      <c r="Z81" s="2">
        <f>ROUND((W81/Y81)*100, 2)</f>
        <v>-14.19</v>
      </c>
      <c r="AA81" s="2">
        <f>MAX(AA80, X81)</f>
        <v>43223077.701584153</v>
      </c>
      <c r="AB81" s="2">
        <f>X81-AA81</f>
        <v>-22305.382895506918</v>
      </c>
    </row>
    <row r="82" spans="1:28">
      <c r="A82" s="2">
        <v>79</v>
      </c>
      <c r="B82" s="2" t="s">
        <v>433</v>
      </c>
      <c r="C82" s="2" t="s">
        <v>2029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1243</v>
      </c>
      <c r="J82" s="2" t="s">
        <v>1850</v>
      </c>
      <c r="K82" s="2">
        <f t="shared" si="18"/>
        <v>43200772.318688646</v>
      </c>
      <c r="L82" s="2" t="s">
        <v>1278</v>
      </c>
      <c r="M82" s="2" t="s">
        <v>1334</v>
      </c>
      <c r="N82" s="2" t="s">
        <v>1312</v>
      </c>
      <c r="O82" s="2">
        <v>150</v>
      </c>
      <c r="P82" s="2">
        <v>4908.408203125</v>
      </c>
      <c r="Q82" s="2">
        <v>4981.46142578125</v>
      </c>
      <c r="R82" s="2">
        <f>O82*P82</f>
        <v>736261.23046875</v>
      </c>
      <c r="S82" s="2">
        <f>O82*Q82</f>
        <v>747219.2138671875</v>
      </c>
      <c r="T82" s="2">
        <f>R82+S82</f>
        <v>1483480.4443359375</v>
      </c>
      <c r="U82" s="2">
        <f>ROUND(T82*0.0005, 2)</f>
        <v>741.74</v>
      </c>
      <c r="V82" s="2">
        <f>S82-R82</f>
        <v>10957.9833984375</v>
      </c>
      <c r="W82" s="2">
        <f>V82-U82</f>
        <v>10216.2433984375</v>
      </c>
      <c r="X82" s="2">
        <f>K82+W82</f>
        <v>43210988.562087081</v>
      </c>
      <c r="Y82" s="2">
        <f>ROUND(0.2*R82, 2)</f>
        <v>147252.25</v>
      </c>
      <c r="Z82" s="2">
        <f>ROUND((W82/Y82)*100, 2)</f>
        <v>6.94</v>
      </c>
      <c r="AA82" s="2">
        <f>MAX(AA81, X82)</f>
        <v>43223077.701584153</v>
      </c>
      <c r="AB82" s="2">
        <f>X82-AA82</f>
        <v>-12089.139497071505</v>
      </c>
    </row>
    <row r="83" spans="1:28">
      <c r="A83" s="2">
        <v>80</v>
      </c>
      <c r="B83" s="2" t="s">
        <v>438</v>
      </c>
      <c r="C83" s="2" t="s">
        <v>2029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316</v>
      </c>
      <c r="J83" s="2" t="s">
        <v>1870</v>
      </c>
      <c r="K83" s="2">
        <f t="shared" si="18"/>
        <v>43210988.562087081</v>
      </c>
      <c r="L83" s="2" t="s">
        <v>1278</v>
      </c>
      <c r="M83" s="2" t="s">
        <v>1379</v>
      </c>
      <c r="N83" s="2" t="s">
        <v>1312</v>
      </c>
      <c r="O83" s="2">
        <v>1400</v>
      </c>
      <c r="P83" s="2">
        <v>626.2662353515625</v>
      </c>
      <c r="Q83" s="2">
        <v>615.1561279296875</v>
      </c>
      <c r="R83" s="2">
        <f>O83*P83</f>
        <v>876772.7294921875</v>
      </c>
      <c r="S83" s="2">
        <f>O83*Q83</f>
        <v>861218.5791015625</v>
      </c>
      <c r="T83" s="2">
        <f>R83+S83</f>
        <v>1737991.30859375</v>
      </c>
      <c r="U83" s="2">
        <f>ROUND(T83*0.0005, 2)</f>
        <v>869</v>
      </c>
      <c r="V83" s="2">
        <f>S83-R83</f>
        <v>-15554.150390625</v>
      </c>
      <c r="W83" s="2">
        <f>V83-U83</f>
        <v>-16423.150390625</v>
      </c>
      <c r="X83" s="2">
        <f>K83+W83</f>
        <v>43194565.411696456</v>
      </c>
      <c r="Y83" s="2">
        <f>ROUND(0.2*R83, 2)</f>
        <v>175354.55</v>
      </c>
      <c r="Z83" s="2">
        <f>ROUND((W83/Y83)*100, 2)</f>
        <v>-9.3699999999999992</v>
      </c>
      <c r="AA83" s="2">
        <f>MAX(AA82, X83)</f>
        <v>43223077.701584153</v>
      </c>
      <c r="AB83" s="2">
        <f>X83-AA83</f>
        <v>-28512.289887696505</v>
      </c>
    </row>
    <row r="84" spans="1:28">
      <c r="A84" s="2">
        <v>81</v>
      </c>
      <c r="B84" s="2" t="s">
        <v>443</v>
      </c>
      <c r="C84" s="2" t="s">
        <v>2029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43194565.411696456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43194565.411696456</v>
      </c>
      <c r="Y84" s="6" t="s">
        <v>1195</v>
      </c>
      <c r="Z84" s="6" t="s">
        <v>1195</v>
      </c>
      <c r="AA84" s="2">
        <f>AA83</f>
        <v>43223077.701584153</v>
      </c>
      <c r="AB84" s="2">
        <v>0</v>
      </c>
    </row>
    <row r="85" spans="1:28">
      <c r="A85" s="2">
        <v>82</v>
      </c>
      <c r="B85" s="2" t="s">
        <v>447</v>
      </c>
      <c r="C85" s="2" t="s">
        <v>2029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630</v>
      </c>
      <c r="J85" s="2" t="s">
        <v>1871</v>
      </c>
      <c r="K85" s="2">
        <f t="shared" si="18"/>
        <v>43194565.411696456</v>
      </c>
      <c r="L85" s="2" t="s">
        <v>1437</v>
      </c>
      <c r="M85" s="2" t="s">
        <v>1272</v>
      </c>
      <c r="N85" s="2" t="s">
        <v>1267</v>
      </c>
      <c r="O85" s="2">
        <v>300</v>
      </c>
      <c r="P85" s="2">
        <v>2585.920166015625</v>
      </c>
      <c r="Q85" s="2">
        <v>2519.480224609375</v>
      </c>
      <c r="R85" s="2">
        <f>O85*P85</f>
        <v>775776.0498046875</v>
      </c>
      <c r="S85" s="2">
        <f>O85*Q85</f>
        <v>755844.0673828125</v>
      </c>
      <c r="T85" s="2">
        <f>R85+S85</f>
        <v>1531620.1171875</v>
      </c>
      <c r="U85" s="2">
        <f>ROUND(T85*0.0005, 2)</f>
        <v>765.81</v>
      </c>
      <c r="V85" s="2">
        <f>S85-R85</f>
        <v>-19931.982421875</v>
      </c>
      <c r="W85" s="2">
        <f>V85-U85</f>
        <v>-20697.792421875001</v>
      </c>
      <c r="X85" s="2">
        <f>K85+W85</f>
        <v>43173867.619274579</v>
      </c>
      <c r="Y85" s="2">
        <f>ROUND(0.2*R85, 2)</f>
        <v>155155.21</v>
      </c>
      <c r="Z85" s="2">
        <f>ROUND((W85/Y85)*100, 2)</f>
        <v>-13.34</v>
      </c>
      <c r="AA85" s="2">
        <f>MAX(AA84, X85)</f>
        <v>43223077.701584153</v>
      </c>
      <c r="AB85" s="2">
        <f>X85-AA85</f>
        <v>-49210.082309573889</v>
      </c>
    </row>
    <row r="86" spans="1:28">
      <c r="A86" s="2">
        <v>83</v>
      </c>
      <c r="B86" s="2" t="s">
        <v>451</v>
      </c>
      <c r="C86" s="2" t="s">
        <v>2029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43173867.619274579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43173867.619274579</v>
      </c>
      <c r="Y86" s="6" t="s">
        <v>1195</v>
      </c>
      <c r="Z86" s="6" t="s">
        <v>1195</v>
      </c>
      <c r="AA86" s="2">
        <f>AA85</f>
        <v>43223077.701584153</v>
      </c>
      <c r="AB86" s="2">
        <v>0</v>
      </c>
    </row>
    <row r="87" spans="1:28">
      <c r="A87" s="2">
        <v>84</v>
      </c>
      <c r="B87" s="2" t="s">
        <v>455</v>
      </c>
      <c r="C87" s="2" t="s">
        <v>2029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43173867.619274579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43173867.619274579</v>
      </c>
      <c r="Y87" s="6" t="s">
        <v>1195</v>
      </c>
      <c r="Z87" s="6" t="s">
        <v>1195</v>
      </c>
      <c r="AA87" s="2">
        <f>AA86</f>
        <v>43223077.701584153</v>
      </c>
      <c r="AB87" s="2">
        <v>0</v>
      </c>
    </row>
    <row r="88" spans="1:28">
      <c r="A88" s="2">
        <v>85</v>
      </c>
      <c r="B88" s="2" t="s">
        <v>459</v>
      </c>
      <c r="C88" s="2" t="s">
        <v>2029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1332</v>
      </c>
      <c r="J88" s="2" t="s">
        <v>1873</v>
      </c>
      <c r="K88" s="2">
        <f t="shared" si="18"/>
        <v>43173867.619274579</v>
      </c>
      <c r="L88" s="2" t="s">
        <v>1343</v>
      </c>
      <c r="M88" s="2" t="s">
        <v>1292</v>
      </c>
      <c r="N88" s="2" t="s">
        <v>1006</v>
      </c>
      <c r="O88" s="2">
        <v>700</v>
      </c>
      <c r="P88" s="2">
        <v>1219.904174804688</v>
      </c>
      <c r="Q88" s="2">
        <v>1177.253295898438</v>
      </c>
      <c r="R88" s="2">
        <f>O88*P88</f>
        <v>853932.9223632816</v>
      </c>
      <c r="S88" s="2">
        <f>O88*Q88</f>
        <v>824077.3071289066</v>
      </c>
      <c r="T88" s="2">
        <f>R88+S88</f>
        <v>1678010.2294921882</v>
      </c>
      <c r="U88" s="2">
        <f>ROUND(T88*0.0005, 2)</f>
        <v>839.01</v>
      </c>
      <c r="V88" s="2">
        <f>S88-R88</f>
        <v>-29855.615234375</v>
      </c>
      <c r="W88" s="2">
        <f>V88-U88</f>
        <v>-30694.625234374998</v>
      </c>
      <c r="X88" s="2">
        <f>K88+W88</f>
        <v>43143172.994040206</v>
      </c>
      <c r="Y88" s="2">
        <f>ROUND(0.2*R88, 2)</f>
        <v>170786.58</v>
      </c>
      <c r="Z88" s="2">
        <f>ROUND((W88/Y88)*100, 2)</f>
        <v>-17.97</v>
      </c>
      <c r="AA88" s="2">
        <f>MAX(AA87, X88)</f>
        <v>43223077.701584153</v>
      </c>
      <c r="AB88" s="2">
        <f>X88-AA88</f>
        <v>-79904.707543946803</v>
      </c>
    </row>
    <row r="89" spans="1:28">
      <c r="A89" s="2">
        <v>86</v>
      </c>
      <c r="B89" s="2" t="s">
        <v>463</v>
      </c>
      <c r="C89" s="2" t="s">
        <v>2029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1710</v>
      </c>
      <c r="J89" s="2" t="s">
        <v>544</v>
      </c>
      <c r="K89" s="2">
        <f t="shared" si="18"/>
        <v>43143172.994040206</v>
      </c>
      <c r="L89" s="2" t="s">
        <v>2060</v>
      </c>
      <c r="M89" s="2" t="s">
        <v>2061</v>
      </c>
      <c r="N89" s="2" t="s">
        <v>2062</v>
      </c>
      <c r="O89" s="2">
        <v>629</v>
      </c>
      <c r="P89" s="2">
        <v>1960</v>
      </c>
      <c r="Q89" s="2">
        <v>2035</v>
      </c>
      <c r="R89" s="2">
        <f>O89*P89</f>
        <v>1232840</v>
      </c>
      <c r="S89" s="2">
        <f>O89*Q89</f>
        <v>1280015</v>
      </c>
      <c r="T89" s="2">
        <f>R89+S89</f>
        <v>2512855</v>
      </c>
      <c r="U89" s="2">
        <f>ROUND(T89*0.0005, 2)</f>
        <v>1256.43</v>
      </c>
      <c r="V89" s="2">
        <f>S89-R89</f>
        <v>47175</v>
      </c>
      <c r="W89" s="2">
        <f>V89-U89</f>
        <v>45918.57</v>
      </c>
      <c r="X89" s="2">
        <f>K89+W89</f>
        <v>43189091.564040206</v>
      </c>
      <c r="Y89" s="2">
        <f>ROUND(0.2*R89, 2)</f>
        <v>246568</v>
      </c>
      <c r="Z89" s="2">
        <f>ROUND((W89/Y89)*100, 2)</f>
        <v>18.62</v>
      </c>
      <c r="AA89" s="2">
        <f>MAX(AA88, X89)</f>
        <v>43223077.701584153</v>
      </c>
      <c r="AB89" s="2">
        <f>X89-AA89</f>
        <v>-33986.137543946505</v>
      </c>
    </row>
    <row r="90" spans="1:28">
      <c r="A90" s="2">
        <v>87</v>
      </c>
      <c r="B90" s="2" t="s">
        <v>471</v>
      </c>
      <c r="C90" s="2" t="s">
        <v>2029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945</v>
      </c>
      <c r="J90" s="2" t="s">
        <v>1878</v>
      </c>
      <c r="K90" s="2">
        <f t="shared" si="18"/>
        <v>43189091.564040206</v>
      </c>
      <c r="L90" s="2" t="s">
        <v>1632</v>
      </c>
      <c r="M90" s="2" t="s">
        <v>1879</v>
      </c>
      <c r="N90" s="2" t="s">
        <v>1634</v>
      </c>
      <c r="O90" s="2">
        <v>1958</v>
      </c>
      <c r="P90" s="2">
        <v>649.54583740234375</v>
      </c>
      <c r="Q90" s="2">
        <v>675.95416259765625</v>
      </c>
      <c r="R90" s="2">
        <f>O90*P90</f>
        <v>1271810.7496337891</v>
      </c>
      <c r="S90" s="2">
        <f>O90*Q90</f>
        <v>1323518.2503662109</v>
      </c>
      <c r="T90" s="2">
        <f>R90+S90</f>
        <v>2595329</v>
      </c>
      <c r="U90" s="2">
        <f>ROUND(T90*0.0005, 2)</f>
        <v>1297.6600000000001</v>
      </c>
      <c r="V90" s="2">
        <f>S90-R90</f>
        <v>51707.500732421875</v>
      </c>
      <c r="W90" s="2">
        <f>V90-U90</f>
        <v>50409.840732421872</v>
      </c>
      <c r="X90" s="2">
        <f>K90+W90</f>
        <v>43239501.404772632</v>
      </c>
      <c r="Y90" s="2">
        <f>ROUND(0.2*R90, 2)</f>
        <v>254362.15</v>
      </c>
      <c r="Z90" s="2">
        <f>ROUND((W90/Y90)*100, 2)</f>
        <v>19.82</v>
      </c>
      <c r="AA90" s="2">
        <f>MAX(AA89, X90)</f>
        <v>43239501.404772632</v>
      </c>
      <c r="AB90" s="2">
        <f>X90-AA90</f>
        <v>0</v>
      </c>
    </row>
    <row r="91" spans="1:28">
      <c r="A91" s="2">
        <v>88</v>
      </c>
      <c r="B91" s="2" t="s">
        <v>476</v>
      </c>
      <c r="C91" s="2" t="s">
        <v>2029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43239501.404772632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43239501.404772632</v>
      </c>
      <c r="Y91" s="6" t="s">
        <v>1195</v>
      </c>
      <c r="Z91" s="6" t="s">
        <v>1195</v>
      </c>
      <c r="AA91" s="2">
        <f>AA90</f>
        <v>43239501.404772632</v>
      </c>
      <c r="AB91" s="2">
        <v>0</v>
      </c>
    </row>
    <row r="92" spans="1:28">
      <c r="A92" s="2">
        <v>89</v>
      </c>
      <c r="B92" s="2" t="s">
        <v>480</v>
      </c>
      <c r="C92" s="2" t="s">
        <v>2029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43239501.404772632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43239501.404772632</v>
      </c>
      <c r="Y92" s="6" t="s">
        <v>1195</v>
      </c>
      <c r="Z92" s="6" t="s">
        <v>1195</v>
      </c>
      <c r="AA92" s="2">
        <f>AA91</f>
        <v>43239501.404772632</v>
      </c>
      <c r="AB92" s="2">
        <v>0</v>
      </c>
    </row>
    <row r="93" spans="1:28">
      <c r="A93" s="2">
        <v>90</v>
      </c>
      <c r="B93" s="2" t="s">
        <v>483</v>
      </c>
      <c r="C93" s="2" t="s">
        <v>2029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43239501.404772632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43239501.404772632</v>
      </c>
      <c r="Y93" s="6" t="s">
        <v>1195</v>
      </c>
      <c r="Z93" s="6" t="s">
        <v>1195</v>
      </c>
      <c r="AA93" s="2">
        <f>AA92</f>
        <v>43239501.404772632</v>
      </c>
      <c r="AB93" s="2">
        <v>0</v>
      </c>
    </row>
    <row r="94" spans="1:28">
      <c r="A94" s="2">
        <v>91</v>
      </c>
      <c r="B94" s="2" t="s">
        <v>486</v>
      </c>
      <c r="C94" s="2" t="s">
        <v>2029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43239501.404772632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43239501.404772632</v>
      </c>
      <c r="Y94" s="6" t="s">
        <v>1195</v>
      </c>
      <c r="Z94" s="6" t="s">
        <v>1195</v>
      </c>
      <c r="AA94" s="2">
        <f>AA93</f>
        <v>43239501.404772632</v>
      </c>
      <c r="AB94" s="2">
        <v>0</v>
      </c>
    </row>
    <row r="95" spans="1:28">
      <c r="A95" s="2">
        <v>92</v>
      </c>
      <c r="B95" s="2" t="s">
        <v>490</v>
      </c>
      <c r="C95" s="2" t="s">
        <v>2029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43239501.404772632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43239501.404772632</v>
      </c>
      <c r="Y95" s="6" t="s">
        <v>1195</v>
      </c>
      <c r="Z95" s="6" t="s">
        <v>1195</v>
      </c>
      <c r="AA95" s="2">
        <f>AA94</f>
        <v>43239501.404772632</v>
      </c>
      <c r="AB95" s="2">
        <v>0</v>
      </c>
    </row>
    <row r="96" spans="1:28">
      <c r="A96" s="2">
        <v>93</v>
      </c>
      <c r="B96" s="2" t="s">
        <v>493</v>
      </c>
      <c r="C96" s="2" t="s">
        <v>2029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1360</v>
      </c>
      <c r="J96" s="2" t="s">
        <v>453</v>
      </c>
      <c r="K96" s="2">
        <f t="shared" si="18"/>
        <v>43239501.404772632</v>
      </c>
      <c r="L96" s="2" t="s">
        <v>2063</v>
      </c>
      <c r="M96" s="2" t="s">
        <v>1827</v>
      </c>
      <c r="N96" s="2" t="s">
        <v>1828</v>
      </c>
      <c r="O96" s="2">
        <v>196</v>
      </c>
      <c r="P96" s="2">
        <v>2424.852294921875</v>
      </c>
      <c r="Q96" s="2">
        <v>2554.982421875</v>
      </c>
      <c r="R96" s="2">
        <f>O96*P96</f>
        <v>475271.0498046875</v>
      </c>
      <c r="S96" s="2">
        <f>O96*Q96</f>
        <v>500776.5546875</v>
      </c>
      <c r="T96" s="2">
        <f>R96+S96</f>
        <v>976047.6044921875</v>
      </c>
      <c r="U96" s="2">
        <f>ROUND(T96*0.0005, 2)</f>
        <v>488.02</v>
      </c>
      <c r="V96" s="2">
        <f>S96-R96</f>
        <v>25505.5048828125</v>
      </c>
      <c r="W96" s="2">
        <f>V96-U96</f>
        <v>25017.4848828125</v>
      </c>
      <c r="X96" s="2">
        <f>K96+W96</f>
        <v>43264518.889655441</v>
      </c>
      <c r="Y96" s="2">
        <f>ROUND(0.2*R96, 2)</f>
        <v>95054.21</v>
      </c>
      <c r="Z96" s="2">
        <f>ROUND((W96/Y96)*100, 2)</f>
        <v>26.32</v>
      </c>
      <c r="AA96" s="2">
        <f>MAX(AA95, X96)</f>
        <v>43264518.889655441</v>
      </c>
      <c r="AB96" s="2">
        <f>X96-AA96</f>
        <v>0</v>
      </c>
    </row>
    <row r="97" spans="1:28">
      <c r="A97" s="2">
        <v>94</v>
      </c>
      <c r="B97" s="2" t="s">
        <v>498</v>
      </c>
      <c r="C97" s="2" t="s">
        <v>2029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1508</v>
      </c>
      <c r="J97" s="2" t="s">
        <v>1849</v>
      </c>
      <c r="K97" s="2">
        <f t="shared" si="18"/>
        <v>43264518.889655441</v>
      </c>
      <c r="L97" s="2" t="s">
        <v>1244</v>
      </c>
      <c r="M97" s="2" t="s">
        <v>1268</v>
      </c>
      <c r="N97" s="2" t="s">
        <v>1245</v>
      </c>
      <c r="O97" s="2">
        <v>500</v>
      </c>
      <c r="P97" s="2">
        <v>1394.391479492188</v>
      </c>
      <c r="Q97" s="2">
        <v>1417.553955078125</v>
      </c>
      <c r="R97" s="2">
        <f>O97*P97</f>
        <v>697195.73974609398</v>
      </c>
      <c r="S97" s="2">
        <f>O97*Q97</f>
        <v>708776.9775390625</v>
      </c>
      <c r="T97" s="2">
        <f>R97+S97</f>
        <v>1405972.7172851565</v>
      </c>
      <c r="U97" s="2">
        <f>ROUND(T97*0.0005, 2)</f>
        <v>702.99</v>
      </c>
      <c r="V97" s="2">
        <f>S97-R97</f>
        <v>11581.237792968517</v>
      </c>
      <c r="W97" s="2">
        <f>V97-U97</f>
        <v>10878.247792968517</v>
      </c>
      <c r="X97" s="2">
        <f>K97+W97</f>
        <v>43275397.137448408</v>
      </c>
      <c r="Y97" s="2">
        <f>ROUND(0.2*R97, 2)</f>
        <v>139439.15</v>
      </c>
      <c r="Z97" s="2">
        <f>ROUND((W97/Y97)*100, 2)</f>
        <v>7.8</v>
      </c>
      <c r="AA97" s="2">
        <f>MAX(AA96, X97)</f>
        <v>43275397.137448408</v>
      </c>
      <c r="AB97" s="2">
        <f>X97-AA97</f>
        <v>0</v>
      </c>
    </row>
    <row r="98" spans="1:28">
      <c r="A98" s="2">
        <v>95</v>
      </c>
      <c r="B98" s="2" t="s">
        <v>502</v>
      </c>
      <c r="C98" s="2" t="s">
        <v>2029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43275397.137448408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43275397.137448408</v>
      </c>
      <c r="Y98" s="6" t="s">
        <v>1195</v>
      </c>
      <c r="Z98" s="6" t="s">
        <v>1195</v>
      </c>
      <c r="AA98" s="2">
        <f>AA97</f>
        <v>43275397.137448408</v>
      </c>
      <c r="AB98" s="2">
        <v>0</v>
      </c>
    </row>
    <row r="99" spans="1:28">
      <c r="A99" s="2">
        <v>96</v>
      </c>
      <c r="B99" s="2" t="s">
        <v>506</v>
      </c>
      <c r="C99" s="2" t="s">
        <v>2029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1579</v>
      </c>
      <c r="J99" s="2" t="s">
        <v>1885</v>
      </c>
      <c r="K99" s="2">
        <f t="shared" si="18"/>
        <v>43275397.137448408</v>
      </c>
      <c r="L99" s="2" t="s">
        <v>1346</v>
      </c>
      <c r="M99" s="2" t="s">
        <v>1084</v>
      </c>
      <c r="N99" s="2" t="s">
        <v>1296</v>
      </c>
      <c r="O99" s="2">
        <v>400</v>
      </c>
      <c r="P99" s="2">
        <v>1702.165161132812</v>
      </c>
      <c r="Q99" s="2">
        <v>1553.507202148438</v>
      </c>
      <c r="R99" s="2">
        <f>O99*P99</f>
        <v>680866.06445312477</v>
      </c>
      <c r="S99" s="2">
        <f>O99*Q99</f>
        <v>621402.88085937523</v>
      </c>
      <c r="T99" s="2">
        <f>R99+S99</f>
        <v>1302268.9453125</v>
      </c>
      <c r="U99" s="2">
        <f>ROUND(T99*0.0005, 2)</f>
        <v>651.13</v>
      </c>
      <c r="V99" s="2">
        <f>S99-R99</f>
        <v>-59463.183593749534</v>
      </c>
      <c r="W99" s="2">
        <f>V99-U99</f>
        <v>-60114.313593749532</v>
      </c>
      <c r="X99" s="2">
        <f>K99+W99</f>
        <v>43215282.823854655</v>
      </c>
      <c r="Y99" s="2">
        <f>ROUND(0.2*R99, 2)</f>
        <v>136173.21</v>
      </c>
      <c r="Z99" s="2">
        <f>ROUND((W99/Y99)*100, 2)</f>
        <v>-44.15</v>
      </c>
      <c r="AA99" s="2">
        <f>MAX(AA98, X99)</f>
        <v>43275397.137448408</v>
      </c>
      <c r="AB99" s="2">
        <f>X99-AA99</f>
        <v>-60114.313593752682</v>
      </c>
    </row>
    <row r="100" spans="1:28">
      <c r="A100" s="2">
        <v>97</v>
      </c>
      <c r="B100" s="2" t="s">
        <v>511</v>
      </c>
      <c r="C100" s="2" t="s">
        <v>2029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43215282.823854655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43215282.823854655</v>
      </c>
      <c r="Y100" s="6" t="s">
        <v>1195</v>
      </c>
      <c r="Z100" s="6" t="s">
        <v>1195</v>
      </c>
      <c r="AA100" s="2">
        <f>AA99</f>
        <v>43275397.137448408</v>
      </c>
      <c r="AB100" s="2">
        <v>0</v>
      </c>
    </row>
    <row r="101" spans="1:28">
      <c r="A101" s="2">
        <v>98</v>
      </c>
      <c r="B101" s="2" t="s">
        <v>516</v>
      </c>
      <c r="C101" s="2" t="s">
        <v>2029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43215282.823854655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43215282.823854655</v>
      </c>
      <c r="Y101" s="6" t="s">
        <v>1195</v>
      </c>
      <c r="Z101" s="6" t="s">
        <v>1195</v>
      </c>
      <c r="AA101" s="2">
        <f>AA100</f>
        <v>43275397.137448408</v>
      </c>
      <c r="AB101" s="2">
        <v>0</v>
      </c>
    </row>
    <row r="102" spans="1:28">
      <c r="A102" s="2">
        <v>99</v>
      </c>
      <c r="B102" s="2" t="s">
        <v>519</v>
      </c>
      <c r="C102" s="2" t="s">
        <v>2029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43215282.823854655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43215282.823854655</v>
      </c>
      <c r="Y102" s="6" t="s">
        <v>1195</v>
      </c>
      <c r="Z102" s="6" t="s">
        <v>1195</v>
      </c>
      <c r="AA102" s="2">
        <f>AA101</f>
        <v>43275397.137448408</v>
      </c>
      <c r="AB102" s="2">
        <v>0</v>
      </c>
    </row>
    <row r="103" spans="1:28">
      <c r="A103" s="2">
        <v>100</v>
      </c>
      <c r="B103" s="2" t="s">
        <v>525</v>
      </c>
      <c r="C103" s="2" t="s">
        <v>2029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43215282.823854655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43215282.823854655</v>
      </c>
      <c r="Y103" s="6" t="s">
        <v>1195</v>
      </c>
      <c r="Z103" s="6" t="s">
        <v>1195</v>
      </c>
      <c r="AA103" s="2">
        <f>AA102</f>
        <v>43275397.137448408</v>
      </c>
      <c r="AB103" s="2">
        <v>0</v>
      </c>
    </row>
    <row r="104" spans="1:28">
      <c r="A104" s="2">
        <v>101</v>
      </c>
      <c r="B104" s="2" t="s">
        <v>527</v>
      </c>
      <c r="C104" s="2" t="s">
        <v>2029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112</v>
      </c>
      <c r="J104" s="2" t="s">
        <v>911</v>
      </c>
      <c r="K104" s="2">
        <f t="shared" si="18"/>
        <v>43215282.823854655</v>
      </c>
      <c r="L104" s="2" t="s">
        <v>1267</v>
      </c>
      <c r="M104" s="2" t="s">
        <v>1254</v>
      </c>
      <c r="N104" s="2" t="s">
        <v>1268</v>
      </c>
      <c r="O104" s="2">
        <v>1600</v>
      </c>
      <c r="P104" s="2">
        <v>431.33297729492187</v>
      </c>
      <c r="Q104" s="2">
        <v>436.8355712890625</v>
      </c>
      <c r="R104" s="2">
        <f>O104*P104</f>
        <v>690132.763671875</v>
      </c>
      <c r="S104" s="2">
        <f>O104*Q104</f>
        <v>698936.9140625</v>
      </c>
      <c r="T104" s="2">
        <f>R104+S104</f>
        <v>1389069.677734375</v>
      </c>
      <c r="U104" s="2">
        <f>ROUND(T104*0.0005, 2)</f>
        <v>694.53</v>
      </c>
      <c r="V104" s="2">
        <f>S104-R104</f>
        <v>8804.150390625</v>
      </c>
      <c r="W104" s="2">
        <f>V104-U104</f>
        <v>8109.6203906250003</v>
      </c>
      <c r="X104" s="2">
        <f>K104+W104</f>
        <v>43223392.444245279</v>
      </c>
      <c r="Y104" s="2">
        <f>ROUND(0.2*R104, 2)</f>
        <v>138026.54999999999</v>
      </c>
      <c r="Z104" s="2">
        <f>ROUND((W104/Y104)*100, 2)</f>
        <v>5.88</v>
      </c>
      <c r="AA104" s="2">
        <f>MAX(AA103, X104)</f>
        <v>43275397.137448408</v>
      </c>
      <c r="AB104" s="2">
        <f>X104-AA104</f>
        <v>-52004.693203128874</v>
      </c>
    </row>
    <row r="105" spans="1:28">
      <c r="A105" s="2">
        <v>102</v>
      </c>
      <c r="B105" s="2" t="s">
        <v>530</v>
      </c>
      <c r="C105" s="2" t="s">
        <v>2029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43223392.444245279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43223392.444245279</v>
      </c>
      <c r="Y105" s="6" t="s">
        <v>1195</v>
      </c>
      <c r="Z105" s="6" t="s">
        <v>1195</v>
      </c>
      <c r="AA105" s="2">
        <f>AA104</f>
        <v>43275397.137448408</v>
      </c>
      <c r="AB105" s="2">
        <v>0</v>
      </c>
    </row>
    <row r="106" spans="1:28">
      <c r="A106" s="2">
        <v>103</v>
      </c>
      <c r="B106" s="2" t="s">
        <v>534</v>
      </c>
      <c r="C106" s="2" t="s">
        <v>2029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1890</v>
      </c>
      <c r="J106" s="2" t="s">
        <v>41</v>
      </c>
      <c r="K106" s="2">
        <f t="shared" si="18"/>
        <v>43223392.444245279</v>
      </c>
      <c r="L106" s="2" t="s">
        <v>1085</v>
      </c>
      <c r="M106" s="2" t="s">
        <v>1267</v>
      </c>
      <c r="N106" s="2" t="s">
        <v>1085</v>
      </c>
      <c r="O106" s="2">
        <v>4127</v>
      </c>
      <c r="P106" s="2">
        <v>334.37857055664062</v>
      </c>
      <c r="Q106" s="2">
        <v>354.84664916992187</v>
      </c>
      <c r="R106" s="2">
        <f>O106*P106</f>
        <v>1379980.3606872559</v>
      </c>
      <c r="S106" s="2">
        <f>O106*Q106</f>
        <v>1464452.1211242676</v>
      </c>
      <c r="T106" s="2">
        <f>R106+S106</f>
        <v>2844432.4818115234</v>
      </c>
      <c r="U106" s="2">
        <f>ROUND(T106*0.0005, 2)</f>
        <v>1422.22</v>
      </c>
      <c r="V106" s="2">
        <f>S106-R106</f>
        <v>84471.760437011719</v>
      </c>
      <c r="W106" s="2">
        <f>V106-U106</f>
        <v>83049.540437011718</v>
      </c>
      <c r="X106" s="2">
        <f>K106+W106</f>
        <v>43306441.984682292</v>
      </c>
      <c r="Y106" s="2">
        <f>ROUND(0.2*R106, 2)</f>
        <v>275996.07</v>
      </c>
      <c r="Z106" s="2">
        <f>ROUND((W106/Y106)*100, 2)</f>
        <v>30.09</v>
      </c>
      <c r="AA106" s="2">
        <f>MAX(AA105, X106)</f>
        <v>43306441.984682292</v>
      </c>
      <c r="AB106" s="2">
        <f>X106-AA106</f>
        <v>0</v>
      </c>
    </row>
    <row r="107" spans="1:28">
      <c r="A107" s="2">
        <v>104</v>
      </c>
      <c r="B107" s="2" t="s">
        <v>539</v>
      </c>
      <c r="C107" s="2" t="s">
        <v>2029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43306441.984682292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43306441.984682292</v>
      </c>
      <c r="Y107" s="6" t="s">
        <v>1195</v>
      </c>
      <c r="Z107" s="6" t="s">
        <v>1195</v>
      </c>
      <c r="AA107" s="2">
        <f>AA106</f>
        <v>43306441.984682292</v>
      </c>
      <c r="AB107" s="2">
        <v>0</v>
      </c>
    </row>
    <row r="108" spans="1:28">
      <c r="A108" s="2">
        <v>105</v>
      </c>
      <c r="B108" s="2" t="s">
        <v>542</v>
      </c>
      <c r="C108" s="2" t="s">
        <v>2029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1893</v>
      </c>
      <c r="J108" s="2" t="s">
        <v>1894</v>
      </c>
      <c r="K108" s="2">
        <f t="shared" si="18"/>
        <v>43306441.984682292</v>
      </c>
      <c r="L108" s="2" t="s">
        <v>1346</v>
      </c>
      <c r="M108" s="2" t="s">
        <v>1004</v>
      </c>
      <c r="N108" s="2" t="s">
        <v>1318</v>
      </c>
      <c r="O108" s="2">
        <v>675</v>
      </c>
      <c r="P108" s="2">
        <v>917.24725341796875</v>
      </c>
      <c r="Q108" s="2">
        <v>867.1705322265625</v>
      </c>
      <c r="R108" s="2">
        <f>O108*P108</f>
        <v>619141.89605712891</v>
      </c>
      <c r="S108" s="2">
        <f>O108*Q108</f>
        <v>585340.10925292969</v>
      </c>
      <c r="T108" s="2">
        <f>R108+S108</f>
        <v>1204482.0053100586</v>
      </c>
      <c r="U108" s="2">
        <f>ROUND(T108*0.0005, 2)</f>
        <v>602.24</v>
      </c>
      <c r="V108" s="2">
        <f>S108-R108</f>
        <v>-33801.786804199219</v>
      </c>
      <c r="W108" s="2">
        <f>V108-U108</f>
        <v>-34404.026804199217</v>
      </c>
      <c r="X108" s="2">
        <f>K108+W108</f>
        <v>43272037.95787809</v>
      </c>
      <c r="Y108" s="2">
        <f>ROUND(0.2*R108, 2)</f>
        <v>123828.38</v>
      </c>
      <c r="Z108" s="2">
        <f>ROUND((W108/Y108)*100, 2)</f>
        <v>-27.78</v>
      </c>
      <c r="AA108" s="2">
        <f>MAX(AA107, X108)</f>
        <v>43306441.984682292</v>
      </c>
      <c r="AB108" s="2">
        <f>X108-AA108</f>
        <v>-34404.026804201305</v>
      </c>
    </row>
    <row r="109" spans="1:28">
      <c r="A109" s="2">
        <v>106</v>
      </c>
      <c r="B109" s="2" t="s">
        <v>547</v>
      </c>
      <c r="C109" s="2" t="s">
        <v>2029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43272037.95787809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43272037.95787809</v>
      </c>
      <c r="Y109" s="6" t="s">
        <v>1195</v>
      </c>
      <c r="Z109" s="6" t="s">
        <v>1195</v>
      </c>
      <c r="AA109" s="2">
        <f>AA108</f>
        <v>43306441.984682292</v>
      </c>
      <c r="AB109" s="2">
        <v>0</v>
      </c>
    </row>
    <row r="110" spans="1:28">
      <c r="A110" s="2">
        <v>107</v>
      </c>
      <c r="B110" s="2" t="s">
        <v>551</v>
      </c>
      <c r="C110" s="2" t="s">
        <v>2029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43272037.95787809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43272037.95787809</v>
      </c>
      <c r="Y110" s="6" t="s">
        <v>1195</v>
      </c>
      <c r="Z110" s="6" t="s">
        <v>1195</v>
      </c>
      <c r="AA110" s="2">
        <f>AA109</f>
        <v>43306441.984682292</v>
      </c>
      <c r="AB110" s="2">
        <v>0</v>
      </c>
    </row>
    <row r="111" spans="1:28">
      <c r="A111" s="2">
        <v>108</v>
      </c>
      <c r="B111" s="2" t="s">
        <v>554</v>
      </c>
      <c r="C111" s="2" t="s">
        <v>2029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43272037.95787809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43272037.95787809</v>
      </c>
      <c r="Y111" s="6" t="s">
        <v>1195</v>
      </c>
      <c r="Z111" s="6" t="s">
        <v>1195</v>
      </c>
      <c r="AA111" s="2">
        <f>AA110</f>
        <v>43306441.984682292</v>
      </c>
      <c r="AB111" s="2">
        <v>0</v>
      </c>
    </row>
    <row r="112" spans="1:28">
      <c r="A112" s="2">
        <v>109</v>
      </c>
      <c r="B112" s="2" t="s">
        <v>558</v>
      </c>
      <c r="C112" s="2" t="s">
        <v>2029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43272037.95787809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43272037.95787809</v>
      </c>
      <c r="Y112" s="6" t="s">
        <v>1195</v>
      </c>
      <c r="Z112" s="6" t="s">
        <v>1195</v>
      </c>
      <c r="AA112" s="2">
        <f>AA111</f>
        <v>43306441.984682292</v>
      </c>
      <c r="AB112" s="2">
        <v>0</v>
      </c>
    </row>
    <row r="113" spans="1:28">
      <c r="A113" s="2">
        <v>110</v>
      </c>
      <c r="B113" s="2" t="s">
        <v>562</v>
      </c>
      <c r="C113" s="2" t="s">
        <v>2029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43272037.95787809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43272037.95787809</v>
      </c>
      <c r="Y113" s="6" t="s">
        <v>1195</v>
      </c>
      <c r="Z113" s="6" t="s">
        <v>1195</v>
      </c>
      <c r="AA113" s="2">
        <f>AA112</f>
        <v>43306441.984682292</v>
      </c>
      <c r="AB113" s="2">
        <v>0</v>
      </c>
    </row>
    <row r="114" spans="1:28">
      <c r="A114" s="2">
        <v>111</v>
      </c>
      <c r="B114" s="2" t="s">
        <v>566</v>
      </c>
      <c r="C114" s="2" t="s">
        <v>2029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1276</v>
      </c>
      <c r="J114" s="2" t="s">
        <v>484</v>
      </c>
      <c r="K114" s="2">
        <f t="shared" si="18"/>
        <v>43272037.95787809</v>
      </c>
      <c r="L114" s="2" t="s">
        <v>1343</v>
      </c>
      <c r="M114" s="2" t="s">
        <v>1267</v>
      </c>
      <c r="N114" s="2" t="s">
        <v>1457</v>
      </c>
      <c r="O114" s="2">
        <v>400</v>
      </c>
      <c r="P114" s="2">
        <v>353.37258911132812</v>
      </c>
      <c r="Q114" s="2">
        <v>360.24935913085937</v>
      </c>
      <c r="R114" s="2">
        <f>O114*P114</f>
        <v>141349.03564453125</v>
      </c>
      <c r="S114" s="2">
        <f>O114*Q114</f>
        <v>144099.74365234375</v>
      </c>
      <c r="T114" s="2">
        <f>R114+S114</f>
        <v>285448.779296875</v>
      </c>
      <c r="U114" s="2">
        <f>ROUND(T114*0.0005, 2)</f>
        <v>142.72</v>
      </c>
      <c r="V114" s="2">
        <f>S114-R114</f>
        <v>2750.7080078125</v>
      </c>
      <c r="W114" s="2">
        <f>V114-U114</f>
        <v>2607.9880078125002</v>
      </c>
      <c r="X114" s="2">
        <f>K114+W114</f>
        <v>43274645.945885904</v>
      </c>
      <c r="Y114" s="2">
        <f>ROUND(0.2*R114, 2)</f>
        <v>28269.81</v>
      </c>
      <c r="Z114" s="2">
        <f>ROUND((W114/Y114)*100, 2)</f>
        <v>9.23</v>
      </c>
      <c r="AA114" s="2">
        <f>MAX(AA113, X114)</f>
        <v>43306441.984682292</v>
      </c>
      <c r="AB114" s="2">
        <f>X114-AA114</f>
        <v>-31796.038796387613</v>
      </c>
    </row>
    <row r="115" spans="1:28">
      <c r="A115" s="2">
        <v>112</v>
      </c>
      <c r="B115" s="2" t="s">
        <v>570</v>
      </c>
      <c r="C115" s="2" t="s">
        <v>2029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43274645.945885904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43274645.945885904</v>
      </c>
      <c r="Y115" s="6" t="s">
        <v>1195</v>
      </c>
      <c r="Z115" s="6" t="s">
        <v>1195</v>
      </c>
      <c r="AA115" s="2">
        <f>AA114</f>
        <v>43306441.984682292</v>
      </c>
      <c r="AB115" s="2">
        <v>0</v>
      </c>
    </row>
    <row r="116" spans="1:28">
      <c r="A116" s="2">
        <v>113</v>
      </c>
      <c r="B116" s="2" t="s">
        <v>574</v>
      </c>
      <c r="C116" s="2" t="s">
        <v>2029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43274645.945885904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43274645.945885904</v>
      </c>
      <c r="Y116" s="6" t="s">
        <v>1195</v>
      </c>
      <c r="Z116" s="6" t="s">
        <v>1195</v>
      </c>
      <c r="AA116" s="2">
        <f>AA115</f>
        <v>43306441.984682292</v>
      </c>
      <c r="AB116" s="2">
        <v>0</v>
      </c>
    </row>
    <row r="117" spans="1:28">
      <c r="A117" s="2">
        <v>114</v>
      </c>
      <c r="B117" s="2" t="s">
        <v>578</v>
      </c>
      <c r="C117" s="2" t="s">
        <v>2029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43274645.945885904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43274645.945885904</v>
      </c>
      <c r="Y117" s="6" t="s">
        <v>1195</v>
      </c>
      <c r="Z117" s="6" t="s">
        <v>1195</v>
      </c>
      <c r="AA117" s="2">
        <f>AA116</f>
        <v>43306441.984682292</v>
      </c>
      <c r="AB117" s="2">
        <v>0</v>
      </c>
    </row>
    <row r="118" spans="1:28">
      <c r="A118" s="2">
        <v>115</v>
      </c>
      <c r="B118" s="2" t="s">
        <v>581</v>
      </c>
      <c r="C118" s="2" t="s">
        <v>2029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1399</v>
      </c>
      <c r="J118" s="2" t="s">
        <v>2064</v>
      </c>
      <c r="K118" s="2">
        <f t="shared" si="18"/>
        <v>43274645.945885904</v>
      </c>
      <c r="L118" s="2" t="s">
        <v>2060</v>
      </c>
      <c r="M118" s="2" t="s">
        <v>2065</v>
      </c>
      <c r="N118" s="2" t="s">
        <v>2066</v>
      </c>
      <c r="O118" s="2">
        <v>2364</v>
      </c>
      <c r="P118" s="2">
        <v>453.5628662109375</v>
      </c>
      <c r="Q118" s="2">
        <v>447.56005859375</v>
      </c>
      <c r="R118" s="2">
        <f>O118*P118</f>
        <v>1072222.6157226563</v>
      </c>
      <c r="S118" s="2">
        <f>O118*Q118</f>
        <v>1058031.978515625</v>
      </c>
      <c r="T118" s="2">
        <f>R118+S118</f>
        <v>2130254.5942382812</v>
      </c>
      <c r="U118" s="2">
        <f>ROUND(T118*0.0005, 2)</f>
        <v>1065.1300000000001</v>
      </c>
      <c r="V118" s="2">
        <f>S118-R118</f>
        <v>-14190.63720703125</v>
      </c>
      <c r="W118" s="2">
        <f>V118-U118</f>
        <v>-15255.767207031251</v>
      </c>
      <c r="X118" s="2">
        <f>K118+W118</f>
        <v>43259390.17867887</v>
      </c>
      <c r="Y118" s="2">
        <f>ROUND(0.2*R118, 2)</f>
        <v>214444.52</v>
      </c>
      <c r="Z118" s="2">
        <f>ROUND((W118/Y118)*100, 2)</f>
        <v>-7.11</v>
      </c>
      <c r="AA118" s="2">
        <f>MAX(AA117, X118)</f>
        <v>43306441.984682292</v>
      </c>
      <c r="AB118" s="2">
        <f>X118-AA118</f>
        <v>-47051.806003421545</v>
      </c>
    </row>
    <row r="119" spans="1:28">
      <c r="A119" s="2">
        <v>116</v>
      </c>
      <c r="B119" s="2" t="s">
        <v>586</v>
      </c>
      <c r="C119" s="2" t="s">
        <v>2029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43259390.17867887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43259390.17867887</v>
      </c>
      <c r="Y119" s="6" t="s">
        <v>1195</v>
      </c>
      <c r="Z119" s="6" t="s">
        <v>1195</v>
      </c>
      <c r="AA119" s="2">
        <f>AA118</f>
        <v>43306441.984682292</v>
      </c>
      <c r="AB119" s="2">
        <v>0</v>
      </c>
    </row>
    <row r="120" spans="1:28">
      <c r="A120" s="2">
        <v>117</v>
      </c>
      <c r="B120" s="2" t="s">
        <v>592</v>
      </c>
      <c r="C120" s="2" t="s">
        <v>2029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171</v>
      </c>
      <c r="J120" s="2" t="s">
        <v>559</v>
      </c>
      <c r="K120" s="2">
        <f t="shared" si="18"/>
        <v>43259390.17867887</v>
      </c>
      <c r="L120" s="2" t="s">
        <v>1004</v>
      </c>
      <c r="M120" s="2" t="s">
        <v>1005</v>
      </c>
      <c r="N120" s="2" t="s">
        <v>1004</v>
      </c>
      <c r="O120" s="2">
        <v>300</v>
      </c>
      <c r="P120" s="2">
        <v>3551.0244140625</v>
      </c>
      <c r="Q120" s="2">
        <v>3703.8916015625</v>
      </c>
      <c r="R120" s="2">
        <f>O120*P120</f>
        <v>1065307.32421875</v>
      </c>
      <c r="S120" s="2">
        <f>O120*Q120</f>
        <v>1111167.48046875</v>
      </c>
      <c r="T120" s="2">
        <f>R120+S120</f>
        <v>2176474.8046875</v>
      </c>
      <c r="U120" s="2">
        <f>ROUND(T120*0.0005, 2)</f>
        <v>1088.24</v>
      </c>
      <c r="V120" s="2">
        <f>S120-R120</f>
        <v>45860.15625</v>
      </c>
      <c r="W120" s="2">
        <f>V120-U120</f>
        <v>44771.916250000002</v>
      </c>
      <c r="X120" s="2">
        <f>K120+W120</f>
        <v>43304162.094928868</v>
      </c>
      <c r="Y120" s="2">
        <f>ROUND(0.2*R120, 2)</f>
        <v>213061.46</v>
      </c>
      <c r="Z120" s="2">
        <f>ROUND((W120/Y120)*100, 2)</f>
        <v>21.01</v>
      </c>
      <c r="AA120" s="2">
        <f>MAX(AA119, X120)</f>
        <v>43306441.984682292</v>
      </c>
      <c r="AB120" s="2">
        <f>X120-AA120</f>
        <v>-2279.8897534236312</v>
      </c>
    </row>
    <row r="121" spans="1:28">
      <c r="A121" s="2">
        <v>118</v>
      </c>
      <c r="B121" s="2" t="s">
        <v>597</v>
      </c>
      <c r="C121" s="2" t="s">
        <v>2029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43304162.094928868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43304162.094928868</v>
      </c>
      <c r="Y121" s="6" t="s">
        <v>1195</v>
      </c>
      <c r="Z121" s="6" t="s">
        <v>1195</v>
      </c>
      <c r="AA121" s="2">
        <f>AA120</f>
        <v>43306441.984682292</v>
      </c>
      <c r="AB121" s="2">
        <v>0</v>
      </c>
    </row>
    <row r="122" spans="1:28">
      <c r="A122" s="2">
        <v>119</v>
      </c>
      <c r="B122" s="2" t="s">
        <v>601</v>
      </c>
      <c r="C122" s="2" t="s">
        <v>2029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43304162.094928868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43304162.094928868</v>
      </c>
      <c r="Y122" s="6" t="s">
        <v>1195</v>
      </c>
      <c r="Z122" s="6" t="s">
        <v>1195</v>
      </c>
      <c r="AA122" s="2">
        <f>AA121</f>
        <v>43306441.984682292</v>
      </c>
      <c r="AB122" s="2">
        <v>0</v>
      </c>
    </row>
    <row r="123" spans="1:28">
      <c r="A123" s="2">
        <v>120</v>
      </c>
      <c r="B123" s="2" t="s">
        <v>605</v>
      </c>
      <c r="C123" s="2" t="s">
        <v>2029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43304162.094928868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43304162.094928868</v>
      </c>
      <c r="Y123" s="6" t="s">
        <v>1195</v>
      </c>
      <c r="Z123" s="6" t="s">
        <v>1195</v>
      </c>
      <c r="AA123" s="2">
        <f>AA122</f>
        <v>43306441.984682292</v>
      </c>
      <c r="AB123" s="2">
        <v>0</v>
      </c>
    </row>
    <row r="124" spans="1:28">
      <c r="A124" s="2">
        <v>121</v>
      </c>
      <c r="B124" s="2" t="s">
        <v>609</v>
      </c>
      <c r="C124" s="2" t="s">
        <v>2029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1913</v>
      </c>
      <c r="J124" s="2" t="s">
        <v>1914</v>
      </c>
      <c r="K124" s="2">
        <f t="shared" si="18"/>
        <v>43304162.094928868</v>
      </c>
      <c r="L124" s="2" t="s">
        <v>1245</v>
      </c>
      <c r="M124" s="2" t="s">
        <v>1292</v>
      </c>
      <c r="N124" s="2" t="s">
        <v>1270</v>
      </c>
      <c r="O124" s="2">
        <v>350</v>
      </c>
      <c r="P124" s="2">
        <v>2835.01220703125</v>
      </c>
      <c r="Q124" s="2">
        <v>2699.387451171875</v>
      </c>
      <c r="R124" s="2">
        <f>O124*P124</f>
        <v>992254.2724609375</v>
      </c>
      <c r="S124" s="2">
        <f>O124*Q124</f>
        <v>944785.60791015625</v>
      </c>
      <c r="T124" s="2">
        <f>R124+S124</f>
        <v>1937039.8803710938</v>
      </c>
      <c r="U124" s="2">
        <f>ROUND(T124*0.0005, 2)</f>
        <v>968.52</v>
      </c>
      <c r="V124" s="2">
        <f>S124-R124</f>
        <v>-47468.66455078125</v>
      </c>
      <c r="W124" s="2">
        <f>V124-U124</f>
        <v>-48437.184550781247</v>
      </c>
      <c r="X124" s="2">
        <f>K124+W124</f>
        <v>43255724.910378084</v>
      </c>
      <c r="Y124" s="2">
        <f>ROUND(0.2*R124, 2)</f>
        <v>198450.85</v>
      </c>
      <c r="Z124" s="2">
        <f>ROUND((W124/Y124)*100, 2)</f>
        <v>-24.41</v>
      </c>
      <c r="AA124" s="2">
        <f>MAX(AA123, X124)</f>
        <v>43306441.984682292</v>
      </c>
      <c r="AB124" s="2">
        <f>X124-AA124</f>
        <v>-50717.074304208159</v>
      </c>
    </row>
    <row r="125" spans="1:28">
      <c r="A125" s="2">
        <v>122</v>
      </c>
      <c r="B125" s="2" t="s">
        <v>613</v>
      </c>
      <c r="C125" s="2" t="s">
        <v>2029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43255724.910378084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43255724.910378084</v>
      </c>
      <c r="Y125" s="6" t="s">
        <v>1195</v>
      </c>
      <c r="Z125" s="6" t="s">
        <v>1195</v>
      </c>
      <c r="AA125" s="2">
        <f>AA124</f>
        <v>43306441.984682292</v>
      </c>
      <c r="AB125" s="2">
        <v>0</v>
      </c>
    </row>
    <row r="126" spans="1:28">
      <c r="A126" s="2">
        <v>123</v>
      </c>
      <c r="B126" s="2" t="s">
        <v>617</v>
      </c>
      <c r="C126" s="2" t="s">
        <v>2029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43255724.910378084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43255724.910378084</v>
      </c>
      <c r="Y126" s="6" t="s">
        <v>1195</v>
      </c>
      <c r="Z126" s="6" t="s">
        <v>1195</v>
      </c>
      <c r="AA126" s="2">
        <f>AA125</f>
        <v>43306441.984682292</v>
      </c>
      <c r="AB126" s="2">
        <v>0</v>
      </c>
    </row>
    <row r="127" spans="1:28">
      <c r="A127" s="2">
        <v>124</v>
      </c>
      <c r="B127" s="2" t="s">
        <v>621</v>
      </c>
      <c r="C127" s="2" t="s">
        <v>2029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43255724.910378084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43255724.910378084</v>
      </c>
      <c r="Y127" s="6" t="s">
        <v>1195</v>
      </c>
      <c r="Z127" s="6" t="s">
        <v>1195</v>
      </c>
      <c r="AA127" s="2">
        <f>AA126</f>
        <v>43306441.984682292</v>
      </c>
      <c r="AB127" s="2">
        <v>0</v>
      </c>
    </row>
    <row r="128" spans="1:28">
      <c r="A128" s="2">
        <v>125</v>
      </c>
      <c r="B128" s="2" t="s">
        <v>625</v>
      </c>
      <c r="C128" s="2" t="s">
        <v>2029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43255724.910378084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43255724.910378084</v>
      </c>
      <c r="Y128" s="6" t="s">
        <v>1195</v>
      </c>
      <c r="Z128" s="6" t="s">
        <v>1195</v>
      </c>
      <c r="AA128" s="2">
        <f>AA127</f>
        <v>43306441.984682292</v>
      </c>
      <c r="AB128" s="2">
        <v>0</v>
      </c>
    </row>
    <row r="129" spans="1:28">
      <c r="A129" s="2">
        <v>126</v>
      </c>
      <c r="B129" s="2" t="s">
        <v>629</v>
      </c>
      <c r="C129" s="2" t="s">
        <v>2029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1923</v>
      </c>
      <c r="J129" s="2" t="s">
        <v>1364</v>
      </c>
      <c r="K129" s="2">
        <f t="shared" si="18"/>
        <v>43255724.910378084</v>
      </c>
      <c r="L129" s="2" t="s">
        <v>1272</v>
      </c>
      <c r="M129" s="2" t="s">
        <v>1254</v>
      </c>
      <c r="N129" s="2" t="s">
        <v>1268</v>
      </c>
      <c r="O129" s="2">
        <v>100</v>
      </c>
      <c r="P129" s="2">
        <v>12070.208984375</v>
      </c>
      <c r="Q129" s="2">
        <v>12616.63671875</v>
      </c>
      <c r="R129" s="2">
        <f>O129*P129</f>
        <v>1207020.8984375</v>
      </c>
      <c r="S129" s="2">
        <f>O129*Q129</f>
        <v>1261663.671875</v>
      </c>
      <c r="T129" s="2">
        <f>R129+S129</f>
        <v>2468684.5703125</v>
      </c>
      <c r="U129" s="2">
        <f>ROUND(T129*0.0005, 2)</f>
        <v>1234.3399999999999</v>
      </c>
      <c r="V129" s="2">
        <f>S129-R129</f>
        <v>54642.7734375</v>
      </c>
      <c r="W129" s="2">
        <f>V129-U129</f>
        <v>53408.433437500003</v>
      </c>
      <c r="X129" s="2">
        <f>K129+W129</f>
        <v>43309133.34381558</v>
      </c>
      <c r="Y129" s="2">
        <f>ROUND(0.2*R129, 2)</f>
        <v>241404.18</v>
      </c>
      <c r="Z129" s="2">
        <f>ROUND((W129/Y129)*100, 2)</f>
        <v>22.12</v>
      </c>
      <c r="AA129" s="2">
        <f>MAX(AA128, X129)</f>
        <v>43309133.34381558</v>
      </c>
      <c r="AB129" s="2">
        <f>X129-AA129</f>
        <v>0</v>
      </c>
    </row>
    <row r="130" spans="1:28">
      <c r="A130" s="2">
        <v>127</v>
      </c>
      <c r="B130" s="2" t="s">
        <v>632</v>
      </c>
      <c r="C130" s="2" t="s">
        <v>2029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1513</v>
      </c>
      <c r="J130" s="2" t="s">
        <v>111</v>
      </c>
      <c r="K130" s="2">
        <f t="shared" si="18"/>
        <v>43309133.34381558</v>
      </c>
      <c r="L130" s="2" t="s">
        <v>2067</v>
      </c>
      <c r="M130" s="2" t="s">
        <v>2068</v>
      </c>
      <c r="N130" s="2" t="s">
        <v>1827</v>
      </c>
      <c r="O130" s="2">
        <v>922</v>
      </c>
      <c r="P130" s="2">
        <v>571.0838623046875</v>
      </c>
      <c r="Q130" s="2">
        <v>594.6737060546875</v>
      </c>
      <c r="R130" s="2">
        <f>O130*P130</f>
        <v>526539.32104492187</v>
      </c>
      <c r="S130" s="2">
        <f>O130*Q130</f>
        <v>548289.15698242188</v>
      </c>
      <c r="T130" s="2">
        <f>R130+S130</f>
        <v>1074828.4780273437</v>
      </c>
      <c r="U130" s="2">
        <f>ROUND(T130*0.0005, 2)</f>
        <v>537.41</v>
      </c>
      <c r="V130" s="2">
        <f>S130-R130</f>
        <v>21749.8359375</v>
      </c>
      <c r="W130" s="2">
        <f>V130-U130</f>
        <v>21212.4259375</v>
      </c>
      <c r="X130" s="2">
        <f>K130+W130</f>
        <v>43330345.769753084</v>
      </c>
      <c r="Y130" s="2">
        <f>ROUND(0.2*R130, 2)</f>
        <v>105307.86</v>
      </c>
      <c r="Z130" s="2">
        <f>ROUND((W130/Y130)*100, 2)</f>
        <v>20.14</v>
      </c>
      <c r="AA130" s="2">
        <f>MAX(AA129, X130)</f>
        <v>43330345.769753084</v>
      </c>
      <c r="AB130" s="2">
        <f>X130-AA130</f>
        <v>0</v>
      </c>
    </row>
    <row r="131" spans="1:28">
      <c r="A131" s="2">
        <v>128</v>
      </c>
      <c r="B131" s="2" t="s">
        <v>637</v>
      </c>
      <c r="C131" s="2" t="s">
        <v>2029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43330345.769753084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43330345.769753084</v>
      </c>
      <c r="Y131" s="6" t="s">
        <v>1195</v>
      </c>
      <c r="Z131" s="6" t="s">
        <v>1195</v>
      </c>
      <c r="AA131" s="2">
        <f t="shared" ref="AA131:AA136" si="20">AA130</f>
        <v>43330345.769753084</v>
      </c>
      <c r="AB131" s="2">
        <v>0</v>
      </c>
    </row>
    <row r="132" spans="1:28">
      <c r="A132" s="2">
        <v>129</v>
      </c>
      <c r="B132" s="2" t="s">
        <v>640</v>
      </c>
      <c r="C132" s="2" t="s">
        <v>2029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43330345.769753084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43330345.769753084</v>
      </c>
      <c r="Y132" s="6" t="s">
        <v>1195</v>
      </c>
      <c r="Z132" s="6" t="s">
        <v>1195</v>
      </c>
      <c r="AA132" s="2">
        <f t="shared" si="20"/>
        <v>43330345.769753084</v>
      </c>
      <c r="AB132" s="2">
        <v>0</v>
      </c>
    </row>
    <row r="133" spans="1:28">
      <c r="A133" s="2">
        <v>130</v>
      </c>
      <c r="B133" s="2" t="s">
        <v>647</v>
      </c>
      <c r="C133" s="2" t="s">
        <v>2029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43330345.769753084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43330345.769753084</v>
      </c>
      <c r="Y133" s="6" t="s">
        <v>1195</v>
      </c>
      <c r="Z133" s="6" t="s">
        <v>1195</v>
      </c>
      <c r="AA133" s="2">
        <f t="shared" si="20"/>
        <v>43330345.769753084</v>
      </c>
      <c r="AB133" s="2">
        <v>0</v>
      </c>
    </row>
    <row r="134" spans="1:28">
      <c r="A134" s="2">
        <v>131</v>
      </c>
      <c r="B134" s="2" t="s">
        <v>651</v>
      </c>
      <c r="C134" s="2" t="s">
        <v>2029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43330345.769753084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43330345.769753084</v>
      </c>
      <c r="Y134" s="6" t="s">
        <v>1195</v>
      </c>
      <c r="Z134" s="6" t="s">
        <v>1195</v>
      </c>
      <c r="AA134" s="2">
        <f t="shared" si="20"/>
        <v>43330345.769753084</v>
      </c>
      <c r="AB134" s="2">
        <v>0</v>
      </c>
    </row>
    <row r="135" spans="1:28">
      <c r="A135" s="2">
        <v>132</v>
      </c>
      <c r="B135" s="2" t="s">
        <v>654</v>
      </c>
      <c r="C135" s="2" t="s">
        <v>2029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43330345.769753084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43330345.769753084</v>
      </c>
      <c r="Y135" s="6" t="s">
        <v>1195</v>
      </c>
      <c r="Z135" s="6" t="s">
        <v>1195</v>
      </c>
      <c r="AA135" s="2">
        <f t="shared" si="20"/>
        <v>43330345.769753084</v>
      </c>
      <c r="AB135" s="2">
        <v>0</v>
      </c>
    </row>
    <row r="136" spans="1:28">
      <c r="A136" s="2">
        <v>133</v>
      </c>
      <c r="B136" s="2" t="s">
        <v>656</v>
      </c>
      <c r="C136" s="2" t="s">
        <v>2029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43330345.769753084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43330345.769753084</v>
      </c>
      <c r="Y136" s="6" t="s">
        <v>1195</v>
      </c>
      <c r="Z136" s="6" t="s">
        <v>1195</v>
      </c>
      <c r="AA136" s="2">
        <f t="shared" si="20"/>
        <v>43330345.769753084</v>
      </c>
      <c r="AB136" s="2">
        <v>0</v>
      </c>
    </row>
    <row r="137" spans="1:28">
      <c r="A137" s="2">
        <v>134</v>
      </c>
      <c r="B137" s="2" t="s">
        <v>658</v>
      </c>
      <c r="C137" s="2" t="s">
        <v>2029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1932</v>
      </c>
      <c r="J137" s="2" t="s">
        <v>1933</v>
      </c>
      <c r="K137" s="2">
        <f t="shared" si="21"/>
        <v>43330345.769753084</v>
      </c>
      <c r="L137" s="2" t="s">
        <v>1934</v>
      </c>
      <c r="M137" s="2" t="s">
        <v>1935</v>
      </c>
      <c r="N137" s="2" t="s">
        <v>1396</v>
      </c>
      <c r="O137" s="2">
        <v>332</v>
      </c>
      <c r="P137" s="2">
        <v>3849.450927734375</v>
      </c>
      <c r="Q137" s="2">
        <v>3382.301025390625</v>
      </c>
      <c r="R137" s="2">
        <f>O137*P137</f>
        <v>1278017.7080078125</v>
      </c>
      <c r="S137" s="2">
        <f>O137*Q137</f>
        <v>1122923.9404296875</v>
      </c>
      <c r="T137" s="2">
        <f>R137+S137</f>
        <v>2400941.6484375</v>
      </c>
      <c r="U137" s="2">
        <f>ROUND(T137*0.0005, 2)</f>
        <v>1200.47</v>
      </c>
      <c r="V137" s="2">
        <f>S137-R137</f>
        <v>-155093.767578125</v>
      </c>
      <c r="W137" s="2">
        <f>V137-U137</f>
        <v>-156294.237578125</v>
      </c>
      <c r="X137" s="2">
        <f>K137+W137</f>
        <v>43174051.53217496</v>
      </c>
      <c r="Y137" s="2">
        <f>ROUND(0.2*R137, 2)</f>
        <v>255603.54</v>
      </c>
      <c r="Z137" s="2">
        <f>ROUND((W137/Y137)*100, 2)</f>
        <v>-61.15</v>
      </c>
      <c r="AA137" s="2">
        <f>MAX(AA136, X137)</f>
        <v>43330345.769753084</v>
      </c>
      <c r="AB137" s="2">
        <f>X137-AA137</f>
        <v>-156294.23757812381</v>
      </c>
    </row>
    <row r="138" spans="1:28">
      <c r="A138" s="2">
        <v>135</v>
      </c>
      <c r="B138" s="2" t="s">
        <v>661</v>
      </c>
      <c r="C138" s="2" t="s">
        <v>2029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43174051.53217496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>K138</f>
        <v>43174051.53217496</v>
      </c>
      <c r="Y138" s="6" t="s">
        <v>1195</v>
      </c>
      <c r="Z138" s="6" t="s">
        <v>1195</v>
      </c>
      <c r="AA138" s="2">
        <f>AA137</f>
        <v>43330345.769753084</v>
      </c>
      <c r="AB138" s="2">
        <v>0</v>
      </c>
    </row>
    <row r="139" spans="1:28">
      <c r="A139" s="2">
        <v>136</v>
      </c>
      <c r="B139" s="2" t="s">
        <v>664</v>
      </c>
      <c r="C139" s="2" t="s">
        <v>2029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43174051.53217496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>K139</f>
        <v>43174051.53217496</v>
      </c>
      <c r="Y139" s="6" t="s">
        <v>1195</v>
      </c>
      <c r="Z139" s="6" t="s">
        <v>1195</v>
      </c>
      <c r="AA139" s="2">
        <f>AA138</f>
        <v>43330345.769753084</v>
      </c>
      <c r="AB139" s="2">
        <v>0</v>
      </c>
    </row>
    <row r="140" spans="1:28">
      <c r="A140" s="2">
        <v>137</v>
      </c>
      <c r="B140" s="2" t="s">
        <v>667</v>
      </c>
      <c r="C140" s="2" t="s">
        <v>2029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43174051.53217496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>K140</f>
        <v>43174051.53217496</v>
      </c>
      <c r="Y140" s="6" t="s">
        <v>1195</v>
      </c>
      <c r="Z140" s="6" t="s">
        <v>1195</v>
      </c>
      <c r="AA140" s="2">
        <f>AA139</f>
        <v>43330345.769753084</v>
      </c>
      <c r="AB140" s="2">
        <v>0</v>
      </c>
    </row>
    <row r="141" spans="1:28">
      <c r="A141" s="2">
        <v>138</v>
      </c>
      <c r="B141" s="2" t="s">
        <v>670</v>
      </c>
      <c r="C141" s="2" t="s">
        <v>2029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43174051.53217496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>K141</f>
        <v>43174051.53217496</v>
      </c>
      <c r="Y141" s="6" t="s">
        <v>1195</v>
      </c>
      <c r="Z141" s="6" t="s">
        <v>1195</v>
      </c>
      <c r="AA141" s="2">
        <f>AA140</f>
        <v>43330345.769753084</v>
      </c>
      <c r="AB141" s="2">
        <v>0</v>
      </c>
    </row>
    <row r="142" spans="1:28">
      <c r="A142" s="2">
        <v>139</v>
      </c>
      <c r="B142" s="2" t="s">
        <v>674</v>
      </c>
      <c r="C142" s="2" t="s">
        <v>2029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2069</v>
      </c>
      <c r="J142" s="2" t="s">
        <v>2070</v>
      </c>
      <c r="K142" s="2">
        <f t="shared" si="21"/>
        <v>43174051.53217496</v>
      </c>
      <c r="L142" s="2" t="s">
        <v>1374</v>
      </c>
      <c r="M142" s="2" t="s">
        <v>1298</v>
      </c>
      <c r="N142" s="2" t="s">
        <v>1467</v>
      </c>
      <c r="O142" s="2">
        <v>200</v>
      </c>
      <c r="P142" s="2">
        <v>1249.579833984375</v>
      </c>
      <c r="Q142" s="2">
        <v>1223.809692382812</v>
      </c>
      <c r="R142" s="2">
        <f>O142*P142</f>
        <v>249915.966796875</v>
      </c>
      <c r="S142" s="2">
        <f>O142*Q142</f>
        <v>244761.93847656241</v>
      </c>
      <c r="T142" s="2">
        <f>R142+S142</f>
        <v>494677.90527343738</v>
      </c>
      <c r="U142" s="2">
        <f>ROUND(T142*0.0005, 2)</f>
        <v>247.34</v>
      </c>
      <c r="V142" s="2">
        <f>S142-R142</f>
        <v>-5154.0283203125873</v>
      </c>
      <c r="W142" s="2">
        <f>V142-U142</f>
        <v>-5401.3683203125875</v>
      </c>
      <c r="X142" s="2">
        <f>K142+W142</f>
        <v>43168650.163854644</v>
      </c>
      <c r="Y142" s="2">
        <f>ROUND(0.2*R142, 2)</f>
        <v>49983.19</v>
      </c>
      <c r="Z142" s="2">
        <f>ROUND((W142/Y142)*100, 2)</f>
        <v>-10.81</v>
      </c>
      <c r="AA142" s="2">
        <f>MAX(AA141, X142)</f>
        <v>43330345.769753084</v>
      </c>
      <c r="AB142" s="2">
        <f>X142-AA142</f>
        <v>-161695.60589843988</v>
      </c>
    </row>
    <row r="143" spans="1:28">
      <c r="A143" s="2">
        <v>140</v>
      </c>
      <c r="B143" s="2" t="s">
        <v>678</v>
      </c>
      <c r="C143" s="2" t="s">
        <v>2029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43168650.163854644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>K143</f>
        <v>43168650.163854644</v>
      </c>
      <c r="Y143" s="6" t="s">
        <v>1195</v>
      </c>
      <c r="Z143" s="6" t="s">
        <v>1195</v>
      </c>
      <c r="AA143" s="2">
        <f>AA142</f>
        <v>43330345.769753084</v>
      </c>
      <c r="AB143" s="2">
        <v>0</v>
      </c>
    </row>
    <row r="144" spans="1:28">
      <c r="A144" s="2">
        <v>141</v>
      </c>
      <c r="B144" s="2" t="s">
        <v>681</v>
      </c>
      <c r="C144" s="2" t="s">
        <v>2029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43168650.163854644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>K144</f>
        <v>43168650.163854644</v>
      </c>
      <c r="Y144" s="6" t="s">
        <v>1195</v>
      </c>
      <c r="Z144" s="6" t="s">
        <v>1195</v>
      </c>
      <c r="AA144" s="2">
        <f>AA143</f>
        <v>43330345.769753084</v>
      </c>
      <c r="AB144" s="2">
        <v>0</v>
      </c>
    </row>
    <row r="145" spans="1:28">
      <c r="A145" s="2">
        <v>142</v>
      </c>
      <c r="B145" s="2" t="s">
        <v>685</v>
      </c>
      <c r="C145" s="2" t="s">
        <v>2029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1939</v>
      </c>
      <c r="J145" s="2" t="s">
        <v>1940</v>
      </c>
      <c r="K145" s="2">
        <f t="shared" si="21"/>
        <v>43168650.163854644</v>
      </c>
      <c r="L145" s="2" t="s">
        <v>1296</v>
      </c>
      <c r="M145" s="2" t="s">
        <v>1292</v>
      </c>
      <c r="N145" s="2" t="s">
        <v>1006</v>
      </c>
      <c r="O145" s="2">
        <v>1500</v>
      </c>
      <c r="P145" s="2">
        <v>400.10232543945312</v>
      </c>
      <c r="Q145" s="2">
        <v>360.11114501953119</v>
      </c>
      <c r="R145" s="2">
        <f>O145*P145</f>
        <v>600153.48815917969</v>
      </c>
      <c r="S145" s="2">
        <f>O145*Q145</f>
        <v>540166.71752929676</v>
      </c>
      <c r="T145" s="2">
        <f>R145+S145</f>
        <v>1140320.2056884766</v>
      </c>
      <c r="U145" s="2">
        <f>ROUND(T145*0.0005, 2)</f>
        <v>570.16</v>
      </c>
      <c r="V145" s="2">
        <f>S145-R145</f>
        <v>-59986.770629882929</v>
      </c>
      <c r="W145" s="2">
        <f>V145-U145</f>
        <v>-60556.930629882932</v>
      </c>
      <c r="X145" s="2">
        <f>K145+W145</f>
        <v>43108093.233224764</v>
      </c>
      <c r="Y145" s="2">
        <f>ROUND(0.2*R145, 2)</f>
        <v>120030.7</v>
      </c>
      <c r="Z145" s="2">
        <f>ROUND((W145/Y145)*100, 2)</f>
        <v>-50.45</v>
      </c>
      <c r="AA145" s="2">
        <f>MAX(AA144, X145)</f>
        <v>43330345.769753084</v>
      </c>
      <c r="AB145" s="2">
        <f>X145-AA145</f>
        <v>-222252.53652831912</v>
      </c>
    </row>
    <row r="146" spans="1:28">
      <c r="A146" s="2">
        <v>143</v>
      </c>
      <c r="B146" s="2" t="s">
        <v>689</v>
      </c>
      <c r="C146" s="2" t="s">
        <v>2029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43108093.233224764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43108093.233224764</v>
      </c>
      <c r="Y146" s="6" t="s">
        <v>1195</v>
      </c>
      <c r="Z146" s="6" t="s">
        <v>1195</v>
      </c>
      <c r="AA146" s="2">
        <f>AA145</f>
        <v>43330345.769753084</v>
      </c>
      <c r="AB146" s="2">
        <v>0</v>
      </c>
    </row>
    <row r="147" spans="1:28">
      <c r="A147" s="2">
        <v>144</v>
      </c>
      <c r="B147" s="2" t="s">
        <v>692</v>
      </c>
      <c r="C147" s="2" t="s">
        <v>2029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43108093.233224764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43108093.233224764</v>
      </c>
      <c r="Y147" s="6" t="s">
        <v>1195</v>
      </c>
      <c r="Z147" s="6" t="s">
        <v>1195</v>
      </c>
      <c r="AA147" s="2">
        <f>AA146</f>
        <v>43330345.769753084</v>
      </c>
      <c r="AB147" s="2">
        <v>0</v>
      </c>
    </row>
    <row r="148" spans="1:28">
      <c r="A148" s="2">
        <v>145</v>
      </c>
      <c r="B148" s="2" t="s">
        <v>696</v>
      </c>
      <c r="C148" s="2" t="s">
        <v>2029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43108093.233224764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43108093.233224764</v>
      </c>
      <c r="Y148" s="6" t="s">
        <v>1195</v>
      </c>
      <c r="Z148" s="6" t="s">
        <v>1195</v>
      </c>
      <c r="AA148" s="2">
        <f>AA147</f>
        <v>43330345.769753084</v>
      </c>
      <c r="AB148" s="2">
        <v>0</v>
      </c>
    </row>
    <row r="149" spans="1:28">
      <c r="A149" s="2">
        <v>146</v>
      </c>
      <c r="B149" s="2" t="s">
        <v>701</v>
      </c>
      <c r="C149" s="2" t="s">
        <v>2029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43108093.233224764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43108093.233224764</v>
      </c>
      <c r="Y149" s="6" t="s">
        <v>1195</v>
      </c>
      <c r="Z149" s="6" t="s">
        <v>1195</v>
      </c>
      <c r="AA149" s="2">
        <f>AA148</f>
        <v>43330345.769753084</v>
      </c>
      <c r="AB149" s="2">
        <v>0</v>
      </c>
    </row>
    <row r="150" spans="1:28">
      <c r="A150" s="2">
        <v>147</v>
      </c>
      <c r="B150" s="2" t="s">
        <v>705</v>
      </c>
      <c r="C150" s="2" t="s">
        <v>2029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1947</v>
      </c>
      <c r="J150" s="2" t="s">
        <v>1948</v>
      </c>
      <c r="K150" s="2">
        <f t="shared" si="21"/>
        <v>43108093.233224764</v>
      </c>
      <c r="L150" s="2" t="s">
        <v>1005</v>
      </c>
      <c r="M150" s="2" t="s">
        <v>1312</v>
      </c>
      <c r="N150" s="2" t="s">
        <v>1269</v>
      </c>
      <c r="O150" s="2">
        <v>3750</v>
      </c>
      <c r="P150" s="2">
        <v>302.603515625</v>
      </c>
      <c r="Q150" s="2">
        <v>299.90087890625</v>
      </c>
      <c r="R150" s="2">
        <f>O150*P150</f>
        <v>1134763.18359375</v>
      </c>
      <c r="S150" s="2">
        <f>O150*Q150</f>
        <v>1124628.2958984375</v>
      </c>
      <c r="T150" s="2">
        <f>R150+S150</f>
        <v>2259391.4794921875</v>
      </c>
      <c r="U150" s="2">
        <f>ROUND(T150*0.0005, 2)</f>
        <v>1129.7</v>
      </c>
      <c r="V150" s="2">
        <f>S150-R150</f>
        <v>-10134.8876953125</v>
      </c>
      <c r="W150" s="2">
        <f>V150-U150</f>
        <v>-11264.587695312501</v>
      </c>
      <c r="X150" s="2">
        <f>K150+W150</f>
        <v>43096828.645529449</v>
      </c>
      <c r="Y150" s="2">
        <f>ROUND(0.2*R150, 2)</f>
        <v>226952.64</v>
      </c>
      <c r="Z150" s="2">
        <f>ROUND((W150/Y150)*100, 2)</f>
        <v>-4.96</v>
      </c>
      <c r="AA150" s="2">
        <f>MAX(AA149, X150)</f>
        <v>43330345.769753084</v>
      </c>
      <c r="AB150" s="2">
        <f>X150-AA150</f>
        <v>-233517.1242236346</v>
      </c>
    </row>
    <row r="151" spans="1:28">
      <c r="A151" s="2">
        <v>148</v>
      </c>
      <c r="B151" s="2" t="s">
        <v>708</v>
      </c>
      <c r="C151" s="2" t="s">
        <v>2029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43096828.645529449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2">K151</f>
        <v>43096828.645529449</v>
      </c>
      <c r="Y151" s="6" t="s">
        <v>1195</v>
      </c>
      <c r="Z151" s="6" t="s">
        <v>1195</v>
      </c>
      <c r="AA151" s="2">
        <f t="shared" ref="AA151:AA164" si="23">AA150</f>
        <v>43330345.769753084</v>
      </c>
      <c r="AB151" s="2">
        <v>0</v>
      </c>
    </row>
    <row r="152" spans="1:28">
      <c r="A152" s="2">
        <v>149</v>
      </c>
      <c r="B152" s="2" t="s">
        <v>710</v>
      </c>
      <c r="C152" s="2" t="s">
        <v>2029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43096828.645529449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2"/>
        <v>43096828.645529449</v>
      </c>
      <c r="Y152" s="6" t="s">
        <v>1195</v>
      </c>
      <c r="Z152" s="6" t="s">
        <v>1195</v>
      </c>
      <c r="AA152" s="2">
        <f t="shared" si="23"/>
        <v>43330345.769753084</v>
      </c>
      <c r="AB152" s="2">
        <v>0</v>
      </c>
    </row>
    <row r="153" spans="1:28">
      <c r="A153" s="2">
        <v>150</v>
      </c>
      <c r="B153" s="2" t="s">
        <v>714</v>
      </c>
      <c r="C153" s="2" t="s">
        <v>2029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43096828.645529449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2"/>
        <v>43096828.645529449</v>
      </c>
      <c r="Y153" s="6" t="s">
        <v>1195</v>
      </c>
      <c r="Z153" s="6" t="s">
        <v>1195</v>
      </c>
      <c r="AA153" s="2">
        <f t="shared" si="23"/>
        <v>43330345.769753084</v>
      </c>
      <c r="AB153" s="2">
        <v>0</v>
      </c>
    </row>
    <row r="154" spans="1:28">
      <c r="A154" s="2">
        <v>151</v>
      </c>
      <c r="B154" s="2" t="s">
        <v>718</v>
      </c>
      <c r="C154" s="2" t="s">
        <v>2029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43096828.645529449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2"/>
        <v>43096828.645529449</v>
      </c>
      <c r="Y154" s="6" t="s">
        <v>1195</v>
      </c>
      <c r="Z154" s="6" t="s">
        <v>1195</v>
      </c>
      <c r="AA154" s="2">
        <f t="shared" si="23"/>
        <v>43330345.769753084</v>
      </c>
      <c r="AB154" s="2">
        <v>0</v>
      </c>
    </row>
    <row r="155" spans="1:28">
      <c r="A155" s="2">
        <v>152</v>
      </c>
      <c r="B155" s="2" t="s">
        <v>720</v>
      </c>
      <c r="C155" s="2" t="s">
        <v>2029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43096828.645529449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2"/>
        <v>43096828.645529449</v>
      </c>
      <c r="Y155" s="6" t="s">
        <v>1195</v>
      </c>
      <c r="Z155" s="6" t="s">
        <v>1195</v>
      </c>
      <c r="AA155" s="2">
        <f t="shared" si="23"/>
        <v>43330345.769753084</v>
      </c>
      <c r="AB155" s="2">
        <v>0</v>
      </c>
    </row>
    <row r="156" spans="1:28">
      <c r="A156" s="2">
        <v>153</v>
      </c>
      <c r="B156" s="2" t="s">
        <v>723</v>
      </c>
      <c r="C156" s="2" t="s">
        <v>2029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43096828.645529449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2"/>
        <v>43096828.645529449</v>
      </c>
      <c r="Y156" s="6" t="s">
        <v>1195</v>
      </c>
      <c r="Z156" s="6" t="s">
        <v>1195</v>
      </c>
      <c r="AA156" s="2">
        <f t="shared" si="23"/>
        <v>43330345.769753084</v>
      </c>
      <c r="AB156" s="2">
        <v>0</v>
      </c>
    </row>
    <row r="157" spans="1:28">
      <c r="A157" s="2">
        <v>154</v>
      </c>
      <c r="B157" s="2" t="s">
        <v>727</v>
      </c>
      <c r="C157" s="2" t="s">
        <v>2029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43096828.645529449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2"/>
        <v>43096828.645529449</v>
      </c>
      <c r="Y157" s="6" t="s">
        <v>1195</v>
      </c>
      <c r="Z157" s="6" t="s">
        <v>1195</v>
      </c>
      <c r="AA157" s="2">
        <f t="shared" si="23"/>
        <v>43330345.769753084</v>
      </c>
      <c r="AB157" s="2">
        <v>0</v>
      </c>
    </row>
    <row r="158" spans="1:28">
      <c r="A158" s="2">
        <v>155</v>
      </c>
      <c r="B158" s="2" t="s">
        <v>729</v>
      </c>
      <c r="C158" s="2" t="s">
        <v>2029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43096828.645529449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2"/>
        <v>43096828.645529449</v>
      </c>
      <c r="Y158" s="6" t="s">
        <v>1195</v>
      </c>
      <c r="Z158" s="6" t="s">
        <v>1195</v>
      </c>
      <c r="AA158" s="2">
        <f t="shared" si="23"/>
        <v>43330345.769753084</v>
      </c>
      <c r="AB158" s="2">
        <v>0</v>
      </c>
    </row>
    <row r="159" spans="1:28">
      <c r="A159" s="2">
        <v>156</v>
      </c>
      <c r="B159" s="2" t="s">
        <v>732</v>
      </c>
      <c r="C159" s="2" t="s">
        <v>2029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43096828.645529449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2"/>
        <v>43096828.645529449</v>
      </c>
      <c r="Y159" s="6" t="s">
        <v>1195</v>
      </c>
      <c r="Z159" s="6" t="s">
        <v>1195</v>
      </c>
      <c r="AA159" s="2">
        <f t="shared" si="23"/>
        <v>43330345.769753084</v>
      </c>
      <c r="AB159" s="2">
        <v>0</v>
      </c>
    </row>
    <row r="160" spans="1:28">
      <c r="A160" s="2">
        <v>157</v>
      </c>
      <c r="B160" s="2" t="s">
        <v>736</v>
      </c>
      <c r="C160" s="2" t="s">
        <v>2029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43096828.645529449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2"/>
        <v>43096828.645529449</v>
      </c>
      <c r="Y160" s="6" t="s">
        <v>1195</v>
      </c>
      <c r="Z160" s="6" t="s">
        <v>1195</v>
      </c>
      <c r="AA160" s="2">
        <f t="shared" si="23"/>
        <v>43330345.769753084</v>
      </c>
      <c r="AB160" s="2">
        <v>0</v>
      </c>
    </row>
    <row r="161" spans="1:28">
      <c r="A161" s="2">
        <v>158</v>
      </c>
      <c r="B161" s="2" t="s">
        <v>738</v>
      </c>
      <c r="C161" s="2" t="s">
        <v>2029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43096828.645529449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2"/>
        <v>43096828.645529449</v>
      </c>
      <c r="Y161" s="6" t="s">
        <v>1195</v>
      </c>
      <c r="Z161" s="6" t="s">
        <v>1195</v>
      </c>
      <c r="AA161" s="2">
        <f t="shared" si="23"/>
        <v>43330345.769753084</v>
      </c>
      <c r="AB161" s="2">
        <v>0</v>
      </c>
    </row>
    <row r="162" spans="1:28">
      <c r="A162" s="2">
        <v>159</v>
      </c>
      <c r="B162" s="2" t="s">
        <v>741</v>
      </c>
      <c r="C162" s="2" t="s">
        <v>2029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43096828.645529449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2"/>
        <v>43096828.645529449</v>
      </c>
      <c r="Y162" s="6" t="s">
        <v>1195</v>
      </c>
      <c r="Z162" s="6" t="s">
        <v>1195</v>
      </c>
      <c r="AA162" s="2">
        <f t="shared" si="23"/>
        <v>43330345.769753084</v>
      </c>
      <c r="AB162" s="2">
        <v>0</v>
      </c>
    </row>
    <row r="163" spans="1:28">
      <c r="A163" s="2">
        <v>160</v>
      </c>
      <c r="B163" s="2" t="s">
        <v>743</v>
      </c>
      <c r="C163" s="2" t="s">
        <v>2029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43096828.645529449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2"/>
        <v>43096828.645529449</v>
      </c>
      <c r="Y163" s="6" t="s">
        <v>1195</v>
      </c>
      <c r="Z163" s="6" t="s">
        <v>1195</v>
      </c>
      <c r="AA163" s="2">
        <f t="shared" si="23"/>
        <v>43330345.769753084</v>
      </c>
      <c r="AB163" s="2">
        <v>0</v>
      </c>
    </row>
    <row r="164" spans="1:28">
      <c r="A164" s="2">
        <v>161</v>
      </c>
      <c r="B164" s="2" t="s">
        <v>746</v>
      </c>
      <c r="C164" s="2" t="s">
        <v>2029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43096828.645529449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2"/>
        <v>43096828.645529449</v>
      </c>
      <c r="Y164" s="6" t="s">
        <v>1195</v>
      </c>
      <c r="Z164" s="6" t="s">
        <v>1195</v>
      </c>
      <c r="AA164" s="2">
        <f t="shared" si="23"/>
        <v>43330345.769753084</v>
      </c>
      <c r="AB164" s="2">
        <v>0</v>
      </c>
    </row>
    <row r="165" spans="1:28">
      <c r="A165" s="2">
        <v>162</v>
      </c>
      <c r="B165" s="2" t="s">
        <v>750</v>
      </c>
      <c r="C165" s="2" t="s">
        <v>2029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1973</v>
      </c>
      <c r="J165" s="2" t="s">
        <v>1045</v>
      </c>
      <c r="K165" s="2">
        <f t="shared" si="21"/>
        <v>43096828.645529449</v>
      </c>
      <c r="L165" s="2" t="s">
        <v>1244</v>
      </c>
      <c r="M165" s="2" t="s">
        <v>1268</v>
      </c>
      <c r="N165" s="2" t="s">
        <v>1245</v>
      </c>
      <c r="O165" s="2">
        <v>1800</v>
      </c>
      <c r="P165" s="2">
        <v>337.9288330078125</v>
      </c>
      <c r="Q165" s="2">
        <v>315.515625</v>
      </c>
      <c r="R165" s="2">
        <f>O165*P165</f>
        <v>608271.8994140625</v>
      </c>
      <c r="S165" s="2">
        <f>O165*Q165</f>
        <v>567928.125</v>
      </c>
      <c r="T165" s="2">
        <f>R165+S165</f>
        <v>1176200.0244140625</v>
      </c>
      <c r="U165" s="2">
        <f>ROUND(T165*0.0005, 2)</f>
        <v>588.1</v>
      </c>
      <c r="V165" s="2">
        <f>S165-R165</f>
        <v>-40343.7744140625</v>
      </c>
      <c r="W165" s="2">
        <f>V165-U165</f>
        <v>-40931.874414062499</v>
      </c>
      <c r="X165" s="2">
        <f>K165+W165</f>
        <v>43055896.771115385</v>
      </c>
      <c r="Y165" s="2">
        <f>ROUND(0.2*R165, 2)</f>
        <v>121654.38</v>
      </c>
      <c r="Z165" s="2">
        <f>ROUND((W165/Y165)*100, 2)</f>
        <v>-33.65</v>
      </c>
      <c r="AA165" s="2">
        <f>MAX(AA164, X165)</f>
        <v>43330345.769753084</v>
      </c>
      <c r="AB165" s="2">
        <f>X165-AA165</f>
        <v>-274448.99863769859</v>
      </c>
    </row>
    <row r="166" spans="1:28">
      <c r="A166" s="2">
        <v>163</v>
      </c>
      <c r="B166" s="2" t="s">
        <v>754</v>
      </c>
      <c r="C166" s="2" t="s">
        <v>2029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43055896.771115385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43055896.771115385</v>
      </c>
      <c r="Y166" s="6" t="s">
        <v>1195</v>
      </c>
      <c r="Z166" s="6" t="s">
        <v>1195</v>
      </c>
      <c r="AA166" s="2">
        <f>AA165</f>
        <v>43330345.769753084</v>
      </c>
      <c r="AB166" s="2">
        <v>0</v>
      </c>
    </row>
    <row r="167" spans="1:28">
      <c r="A167" s="2">
        <v>164</v>
      </c>
      <c r="B167" s="2" t="s">
        <v>758</v>
      </c>
      <c r="C167" s="2" t="s">
        <v>2029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43055896.771115385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43055896.771115385</v>
      </c>
      <c r="Y167" s="6" t="s">
        <v>1195</v>
      </c>
      <c r="Z167" s="6" t="s">
        <v>1195</v>
      </c>
      <c r="AA167" s="2">
        <f>AA166</f>
        <v>43330345.769753084</v>
      </c>
      <c r="AB167" s="2">
        <v>0</v>
      </c>
    </row>
    <row r="168" spans="1:28">
      <c r="A168" s="2">
        <v>165</v>
      </c>
      <c r="B168" s="2" t="s">
        <v>760</v>
      </c>
      <c r="C168" s="2" t="s">
        <v>2029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43055896.771115385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43055896.771115385</v>
      </c>
      <c r="Y168" s="6" t="s">
        <v>1195</v>
      </c>
      <c r="Z168" s="6" t="s">
        <v>1195</v>
      </c>
      <c r="AA168" s="2">
        <f>AA167</f>
        <v>43330345.769753084</v>
      </c>
      <c r="AB168" s="2">
        <v>0</v>
      </c>
    </row>
    <row r="169" spans="1:28">
      <c r="A169" s="2">
        <v>166</v>
      </c>
      <c r="B169" s="2" t="s">
        <v>763</v>
      </c>
      <c r="C169" s="2" t="s">
        <v>2029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43055896.771115385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43055896.771115385</v>
      </c>
      <c r="Y169" s="6" t="s">
        <v>1195</v>
      </c>
      <c r="Z169" s="6" t="s">
        <v>1195</v>
      </c>
      <c r="AA169" s="2">
        <f>AA168</f>
        <v>43330345.769753084</v>
      </c>
      <c r="AB169" s="2">
        <v>0</v>
      </c>
    </row>
    <row r="170" spans="1:28">
      <c r="A170" s="2">
        <v>167</v>
      </c>
      <c r="B170" s="2" t="s">
        <v>764</v>
      </c>
      <c r="C170" s="2" t="s">
        <v>2029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43055896.771115385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43055896.771115385</v>
      </c>
      <c r="Y170" s="6" t="s">
        <v>1195</v>
      </c>
      <c r="Z170" s="6" t="s">
        <v>1195</v>
      </c>
      <c r="AA170" s="2">
        <f>AA169</f>
        <v>43330345.769753084</v>
      </c>
      <c r="AB170" s="2">
        <v>0</v>
      </c>
    </row>
    <row r="171" spans="1:28">
      <c r="A171" s="2">
        <v>168</v>
      </c>
      <c r="B171" s="2" t="s">
        <v>769</v>
      </c>
      <c r="C171" s="2" t="s">
        <v>2029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990</v>
      </c>
      <c r="J171" s="2" t="s">
        <v>2071</v>
      </c>
      <c r="K171" s="2">
        <f t="shared" si="21"/>
        <v>43055896.771115385</v>
      </c>
      <c r="L171" s="2" t="s">
        <v>2072</v>
      </c>
      <c r="M171" s="2" t="s">
        <v>2073</v>
      </c>
      <c r="N171" s="2" t="s">
        <v>2074</v>
      </c>
      <c r="O171" s="2">
        <v>2667</v>
      </c>
      <c r="P171" s="2">
        <v>316.45001220703119</v>
      </c>
      <c r="Q171" s="2">
        <v>318.45001220703119</v>
      </c>
      <c r="R171" s="2">
        <f>O171*P171</f>
        <v>843972.18255615223</v>
      </c>
      <c r="S171" s="2">
        <f>O171*Q171</f>
        <v>849306.18255615223</v>
      </c>
      <c r="T171" s="2">
        <f>R171+S171</f>
        <v>1693278.3651123045</v>
      </c>
      <c r="U171" s="2">
        <f>ROUND(T171*0.0005, 2)</f>
        <v>846.64</v>
      </c>
      <c r="V171" s="2">
        <f>S171-R171</f>
        <v>5334</v>
      </c>
      <c r="W171" s="2">
        <f>V171-U171</f>
        <v>4487.3599999999997</v>
      </c>
      <c r="X171" s="2">
        <f>K171+W171</f>
        <v>43060384.131115384</v>
      </c>
      <c r="Y171" s="2">
        <f>ROUND(0.2*R171, 2)</f>
        <v>168794.44</v>
      </c>
      <c r="Z171" s="2">
        <f>ROUND((W171/Y171)*100, 2)</f>
        <v>2.66</v>
      </c>
      <c r="AA171" s="2">
        <f>MAX(AA170, X171)</f>
        <v>43330345.769753084</v>
      </c>
      <c r="AB171" s="2">
        <f>X171-AA171</f>
        <v>-269961.63863769919</v>
      </c>
    </row>
    <row r="172" spans="1:28">
      <c r="A172" s="2">
        <v>169</v>
      </c>
      <c r="B172" s="2" t="s">
        <v>773</v>
      </c>
      <c r="C172" s="2" t="s">
        <v>2029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1981</v>
      </c>
      <c r="J172" s="2" t="s">
        <v>1889</v>
      </c>
      <c r="K172" s="2">
        <f t="shared" si="21"/>
        <v>43060384.131115384</v>
      </c>
      <c r="L172" s="2" t="s">
        <v>1343</v>
      </c>
      <c r="M172" s="2" t="s">
        <v>1004</v>
      </c>
      <c r="N172" s="2" t="s">
        <v>1318</v>
      </c>
      <c r="O172" s="2">
        <v>250</v>
      </c>
      <c r="P172" s="2">
        <v>1474.6171875</v>
      </c>
      <c r="Q172" s="2">
        <v>1557.468017578125</v>
      </c>
      <c r="R172" s="2">
        <f>O172*P172</f>
        <v>368654.296875</v>
      </c>
      <c r="S172" s="2">
        <f>O172*Q172</f>
        <v>389367.00439453125</v>
      </c>
      <c r="T172" s="2">
        <f>R172+S172</f>
        <v>758021.30126953125</v>
      </c>
      <c r="U172" s="2">
        <f>ROUND(T172*0.0005, 2)</f>
        <v>379.01</v>
      </c>
      <c r="V172" s="2">
        <f>S172-R172</f>
        <v>20712.70751953125</v>
      </c>
      <c r="W172" s="2">
        <f>V172-U172</f>
        <v>20333.697519531252</v>
      </c>
      <c r="X172" s="2">
        <f>K172+W172</f>
        <v>43080717.828634918</v>
      </c>
      <c r="Y172" s="2">
        <f>ROUND(0.2*R172, 2)</f>
        <v>73730.86</v>
      </c>
      <c r="Z172" s="2">
        <f>ROUND((W172/Y172)*100, 2)</f>
        <v>27.58</v>
      </c>
      <c r="AA172" s="2">
        <f>MAX(AA171, X172)</f>
        <v>43330345.769753084</v>
      </c>
      <c r="AB172" s="2">
        <f>X172-AA172</f>
        <v>-249627.94111816585</v>
      </c>
    </row>
    <row r="173" spans="1:28">
      <c r="A173" s="2">
        <v>170</v>
      </c>
      <c r="B173" s="2" t="s">
        <v>778</v>
      </c>
      <c r="C173" s="2" t="s">
        <v>2029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43080717.828634918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43080717.828634918</v>
      </c>
      <c r="Y173" s="6" t="s">
        <v>1195</v>
      </c>
      <c r="Z173" s="6" t="s">
        <v>1195</v>
      </c>
      <c r="AA173" s="2">
        <f>AA172</f>
        <v>43330345.769753084</v>
      </c>
      <c r="AB173" s="2">
        <v>0</v>
      </c>
    </row>
    <row r="174" spans="1:28">
      <c r="A174" s="2">
        <v>171</v>
      </c>
      <c r="B174" s="2" t="s">
        <v>782</v>
      </c>
      <c r="C174" s="2" t="s">
        <v>2029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43080717.828634918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43080717.828634918</v>
      </c>
      <c r="Y174" s="6" t="s">
        <v>1195</v>
      </c>
      <c r="Z174" s="6" t="s">
        <v>1195</v>
      </c>
      <c r="AA174" s="2">
        <f>AA173</f>
        <v>43330345.769753084</v>
      </c>
      <c r="AB174" s="2">
        <v>0</v>
      </c>
    </row>
    <row r="175" spans="1:28">
      <c r="A175" s="2">
        <v>172</v>
      </c>
      <c r="B175" s="2" t="s">
        <v>784</v>
      </c>
      <c r="C175" s="2" t="s">
        <v>2029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43080717.828634918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43080717.828634918</v>
      </c>
      <c r="Y175" s="6" t="s">
        <v>1195</v>
      </c>
      <c r="Z175" s="6" t="s">
        <v>1195</v>
      </c>
      <c r="AA175" s="2">
        <f>AA174</f>
        <v>43330345.769753084</v>
      </c>
      <c r="AB175" s="2">
        <v>0</v>
      </c>
    </row>
    <row r="176" spans="1:28">
      <c r="A176" s="2">
        <v>173</v>
      </c>
      <c r="B176" s="2" t="s">
        <v>787</v>
      </c>
      <c r="C176" s="2" t="s">
        <v>2029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43080717.828634918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43080717.828634918</v>
      </c>
      <c r="Y176" s="6" t="s">
        <v>1195</v>
      </c>
      <c r="Z176" s="6" t="s">
        <v>1195</v>
      </c>
      <c r="AA176" s="2">
        <f>AA175</f>
        <v>43330345.769753084</v>
      </c>
      <c r="AB176" s="2">
        <v>0</v>
      </c>
    </row>
    <row r="177" spans="1:28">
      <c r="A177" s="2">
        <v>174</v>
      </c>
      <c r="B177" s="2" t="s">
        <v>790</v>
      </c>
      <c r="C177" s="2" t="s">
        <v>2029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244</v>
      </c>
      <c r="J177" s="2" t="s">
        <v>1032</v>
      </c>
      <c r="K177" s="2">
        <f t="shared" si="21"/>
        <v>43080717.828634918</v>
      </c>
      <c r="L177" s="2" t="s">
        <v>2075</v>
      </c>
      <c r="M177" s="2" t="s">
        <v>1961</v>
      </c>
      <c r="N177" s="2" t="s">
        <v>1987</v>
      </c>
      <c r="O177" s="2">
        <v>375</v>
      </c>
      <c r="P177" s="2">
        <v>1298.9775390625</v>
      </c>
      <c r="Q177" s="2">
        <v>1319.472900390625</v>
      </c>
      <c r="R177" s="2">
        <f>O177*P177</f>
        <v>487116.5771484375</v>
      </c>
      <c r="S177" s="2">
        <f>O177*Q177</f>
        <v>494802.33764648438</v>
      </c>
      <c r="T177" s="2">
        <f>R177+S177</f>
        <v>981918.91479492187</v>
      </c>
      <c r="U177" s="2">
        <f>ROUND(T177*0.0005, 2)</f>
        <v>490.96</v>
      </c>
      <c r="V177" s="2">
        <f>S177-R177</f>
        <v>7685.760498046875</v>
      </c>
      <c r="W177" s="2">
        <f>V177-U177</f>
        <v>7194.800498046875</v>
      </c>
      <c r="X177" s="2">
        <f>K177+W177</f>
        <v>43087912.629132964</v>
      </c>
      <c r="Y177" s="2">
        <f>ROUND(0.2*R177, 2)</f>
        <v>97423.32</v>
      </c>
      <c r="Z177" s="2">
        <f>ROUND((W177/Y177)*100, 2)</f>
        <v>7.39</v>
      </c>
      <c r="AA177" s="2">
        <f>MAX(AA176, X177)</f>
        <v>43330345.769753084</v>
      </c>
      <c r="AB177" s="2">
        <f>X177-AA177</f>
        <v>-242433.14062011987</v>
      </c>
    </row>
    <row r="178" spans="1:28">
      <c r="A178" s="2">
        <v>175</v>
      </c>
      <c r="B178" s="2" t="s">
        <v>794</v>
      </c>
      <c r="C178" s="2" t="s">
        <v>2029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1989</v>
      </c>
      <c r="J178" s="2" t="s">
        <v>1818</v>
      </c>
      <c r="K178" s="2">
        <f t="shared" si="21"/>
        <v>43087912.629132964</v>
      </c>
      <c r="L178" s="2" t="s">
        <v>1292</v>
      </c>
      <c r="M178" s="2" t="s">
        <v>1269</v>
      </c>
      <c r="N178" s="2" t="s">
        <v>1273</v>
      </c>
      <c r="O178" s="2">
        <v>1500</v>
      </c>
      <c r="P178" s="2">
        <v>816.44415283203125</v>
      </c>
      <c r="Q178" s="2">
        <v>768.15185546875</v>
      </c>
      <c r="R178" s="2">
        <f>O178*P178</f>
        <v>1224666.2292480469</v>
      </c>
      <c r="S178" s="2">
        <f>O178*Q178</f>
        <v>1152227.783203125</v>
      </c>
      <c r="T178" s="2">
        <f>R178+S178</f>
        <v>2376894.0124511719</v>
      </c>
      <c r="U178" s="2">
        <f>ROUND(T178*0.0005, 2)</f>
        <v>1188.45</v>
      </c>
      <c r="V178" s="2">
        <f>S178-R178</f>
        <v>-72438.446044921875</v>
      </c>
      <c r="W178" s="2">
        <f>V178-U178</f>
        <v>-73626.896044921872</v>
      </c>
      <c r="X178" s="2">
        <f>K178+W178</f>
        <v>43014285.733088039</v>
      </c>
      <c r="Y178" s="2">
        <f>ROUND(0.2*R178, 2)</f>
        <v>244933.25</v>
      </c>
      <c r="Z178" s="2">
        <f>ROUND((W178/Y178)*100, 2)</f>
        <v>-30.06</v>
      </c>
      <c r="AA178" s="2">
        <f>MAX(AA177, X178)</f>
        <v>43330345.769753084</v>
      </c>
      <c r="AB178" s="2">
        <f>X178-AA178</f>
        <v>-316060.03666504472</v>
      </c>
    </row>
    <row r="179" spans="1:28">
      <c r="A179" s="2">
        <v>176</v>
      </c>
      <c r="B179" s="2" t="s">
        <v>798</v>
      </c>
      <c r="C179" s="2" t="s">
        <v>2029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43014285.733088039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43014285.733088039</v>
      </c>
      <c r="Y179" s="6" t="s">
        <v>1195</v>
      </c>
      <c r="Z179" s="6" t="s">
        <v>1195</v>
      </c>
      <c r="AA179" s="2">
        <f>AA178</f>
        <v>43330345.769753084</v>
      </c>
      <c r="AB179" s="2">
        <v>0</v>
      </c>
    </row>
    <row r="180" spans="1:28">
      <c r="A180" s="2">
        <v>177</v>
      </c>
      <c r="B180" s="2" t="s">
        <v>801</v>
      </c>
      <c r="C180" s="2" t="s">
        <v>2029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1992</v>
      </c>
      <c r="J180" s="2" t="s">
        <v>1993</v>
      </c>
      <c r="K180" s="2">
        <f t="shared" si="21"/>
        <v>43014285.733088039</v>
      </c>
      <c r="L180" s="2" t="s">
        <v>1004</v>
      </c>
      <c r="M180" s="2" t="s">
        <v>1268</v>
      </c>
      <c r="N180" s="2" t="s">
        <v>1245</v>
      </c>
      <c r="O180" s="2">
        <v>957</v>
      </c>
      <c r="P180" s="2">
        <v>521.12310791015625</v>
      </c>
      <c r="Q180" s="2">
        <v>581.473388671875</v>
      </c>
      <c r="R180" s="2">
        <f>O180*P180</f>
        <v>498714.81427001953</v>
      </c>
      <c r="S180" s="2">
        <f>O180*Q180</f>
        <v>556470.03295898437</v>
      </c>
      <c r="T180" s="2">
        <f>R180+S180</f>
        <v>1055184.8472290039</v>
      </c>
      <c r="U180" s="2">
        <f>ROUND(T180*0.0005, 2)</f>
        <v>527.59</v>
      </c>
      <c r="V180" s="2">
        <f>S180-R180</f>
        <v>57755.218688964844</v>
      </c>
      <c r="W180" s="2">
        <f>V180-U180</f>
        <v>57227.628688964847</v>
      </c>
      <c r="X180" s="2">
        <f>K180+W180</f>
        <v>43071513.361777</v>
      </c>
      <c r="Y180" s="2">
        <f>ROUND(0.2*R180, 2)</f>
        <v>99742.96</v>
      </c>
      <c r="Z180" s="2">
        <f>ROUND((W180/Y180)*100, 2)</f>
        <v>57.38</v>
      </c>
      <c r="AA180" s="2">
        <f>MAX(AA179, X180)</f>
        <v>43330345.769753084</v>
      </c>
      <c r="AB180" s="2">
        <f>X180-AA180</f>
        <v>-258832.40797608346</v>
      </c>
    </row>
    <row r="181" spans="1:28">
      <c r="A181" s="2">
        <v>178</v>
      </c>
      <c r="B181" s="2" t="s">
        <v>806</v>
      </c>
      <c r="C181" s="2" t="s">
        <v>2029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43071513.361777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43071513.361777</v>
      </c>
      <c r="Y181" s="6" t="s">
        <v>1195</v>
      </c>
      <c r="Z181" s="6" t="s">
        <v>1195</v>
      </c>
      <c r="AA181" s="2">
        <f>AA180</f>
        <v>43330345.769753084</v>
      </c>
      <c r="AB181" s="2">
        <v>0</v>
      </c>
    </row>
    <row r="182" spans="1:28">
      <c r="A182" s="2">
        <v>179</v>
      </c>
      <c r="B182" s="2" t="s">
        <v>809</v>
      </c>
      <c r="C182" s="2" t="s">
        <v>2029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43071513.361777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43071513.361777</v>
      </c>
      <c r="Y182" s="6" t="s">
        <v>1195</v>
      </c>
      <c r="Z182" s="6" t="s">
        <v>1195</v>
      </c>
      <c r="AA182" s="2">
        <f>AA181</f>
        <v>43330345.769753084</v>
      </c>
      <c r="AB182" s="2">
        <v>0</v>
      </c>
    </row>
    <row r="183" spans="1:28">
      <c r="A183" s="2">
        <v>180</v>
      </c>
      <c r="B183" s="2" t="s">
        <v>813</v>
      </c>
      <c r="C183" s="2" t="s">
        <v>2029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43071513.361777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43071513.361777</v>
      </c>
      <c r="Y183" s="6" t="s">
        <v>1195</v>
      </c>
      <c r="Z183" s="6" t="s">
        <v>1195</v>
      </c>
      <c r="AA183" s="2">
        <f>AA182</f>
        <v>43330345.769753084</v>
      </c>
      <c r="AB183" s="2">
        <v>0</v>
      </c>
    </row>
    <row r="184" spans="1:28">
      <c r="A184" s="2">
        <v>181</v>
      </c>
      <c r="B184" s="2" t="s">
        <v>817</v>
      </c>
      <c r="C184" s="2" t="s">
        <v>2029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43071513.361777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43071513.361777</v>
      </c>
      <c r="Y184" s="6" t="s">
        <v>1195</v>
      </c>
      <c r="Z184" s="6" t="s">
        <v>1195</v>
      </c>
      <c r="AA184" s="2">
        <f>AA183</f>
        <v>43330345.769753084</v>
      </c>
      <c r="AB184" s="2">
        <v>0</v>
      </c>
    </row>
    <row r="185" spans="1:28">
      <c r="A185" s="2">
        <v>182</v>
      </c>
      <c r="B185" s="2" t="s">
        <v>820</v>
      </c>
      <c r="C185" s="2" t="s">
        <v>2029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1306</v>
      </c>
      <c r="J185" s="2" t="s">
        <v>1999</v>
      </c>
      <c r="K185" s="2">
        <f t="shared" si="21"/>
        <v>43071513.361777</v>
      </c>
      <c r="L185" s="2" t="s">
        <v>1244</v>
      </c>
      <c r="M185" s="2" t="s">
        <v>1251</v>
      </c>
      <c r="N185" s="2" t="s">
        <v>1292</v>
      </c>
      <c r="O185" s="2">
        <v>350</v>
      </c>
      <c r="P185" s="2">
        <v>1589.94482421875</v>
      </c>
      <c r="Q185" s="2">
        <v>1705.402465820312</v>
      </c>
      <c r="R185" s="2">
        <f>O185*P185</f>
        <v>556480.6884765625</v>
      </c>
      <c r="S185" s="2">
        <f>O185*Q185</f>
        <v>596890.86303710926</v>
      </c>
      <c r="T185" s="2">
        <f>R185+S185</f>
        <v>1153371.5515136719</v>
      </c>
      <c r="U185" s="2">
        <f>ROUND(T185*0.0005, 2)</f>
        <v>576.69000000000005</v>
      </c>
      <c r="V185" s="2">
        <f>S185-R185</f>
        <v>40410.174560546759</v>
      </c>
      <c r="W185" s="2">
        <f>V185-U185</f>
        <v>39833.484560546756</v>
      </c>
      <c r="X185" s="2">
        <f>K185+W185</f>
        <v>43111346.846337549</v>
      </c>
      <c r="Y185" s="2">
        <f>ROUND(0.2*R185, 2)</f>
        <v>111296.14</v>
      </c>
      <c r="Z185" s="2">
        <f>ROUND((W185/Y185)*100, 2)</f>
        <v>35.79</v>
      </c>
      <c r="AA185" s="2">
        <f>MAX(AA184, X185)</f>
        <v>43330345.769753084</v>
      </c>
      <c r="AB185" s="2">
        <f>X185-AA185</f>
        <v>-218998.9234155342</v>
      </c>
    </row>
    <row r="186" spans="1:28">
      <c r="A186" s="2">
        <v>183</v>
      </c>
      <c r="B186" s="2" t="s">
        <v>823</v>
      </c>
      <c r="C186" s="2" t="s">
        <v>2029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43111346.846337549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43111346.846337549</v>
      </c>
      <c r="Y186" s="6" t="s">
        <v>1195</v>
      </c>
      <c r="Z186" s="6" t="s">
        <v>1195</v>
      </c>
      <c r="AA186" s="2">
        <f>AA185</f>
        <v>43330345.769753084</v>
      </c>
      <c r="AB186" s="2">
        <v>0</v>
      </c>
    </row>
    <row r="187" spans="1:28">
      <c r="A187" s="2">
        <v>184</v>
      </c>
      <c r="B187" s="2" t="s">
        <v>827</v>
      </c>
      <c r="C187" s="2" t="s">
        <v>2029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43111346.846337549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43111346.846337549</v>
      </c>
      <c r="Y187" s="6" t="s">
        <v>1195</v>
      </c>
      <c r="Z187" s="6" t="s">
        <v>1195</v>
      </c>
      <c r="AA187" s="2">
        <f>AA186</f>
        <v>43330345.769753084</v>
      </c>
      <c r="AB187" s="2">
        <v>0</v>
      </c>
    </row>
    <row r="188" spans="1:28">
      <c r="A188" s="2">
        <v>185</v>
      </c>
      <c r="B188" s="2" t="s">
        <v>831</v>
      </c>
      <c r="C188" s="2" t="s">
        <v>2029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43111346.846337549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43111346.846337549</v>
      </c>
      <c r="Y188" s="6" t="s">
        <v>1195</v>
      </c>
      <c r="Z188" s="6" t="s">
        <v>1195</v>
      </c>
      <c r="AA188" s="2">
        <f>AA187</f>
        <v>43330345.769753084</v>
      </c>
      <c r="AB188" s="2">
        <v>0</v>
      </c>
    </row>
    <row r="189" spans="1:28">
      <c r="A189" s="2">
        <v>186</v>
      </c>
      <c r="B189" s="2" t="s">
        <v>835</v>
      </c>
      <c r="C189" s="2" t="s">
        <v>2029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1305</v>
      </c>
      <c r="J189" s="2" t="s">
        <v>373</v>
      </c>
      <c r="K189" s="2">
        <f t="shared" si="21"/>
        <v>43111346.846337549</v>
      </c>
      <c r="L189" s="2" t="s">
        <v>1245</v>
      </c>
      <c r="M189" s="2" t="s">
        <v>1269</v>
      </c>
      <c r="N189" s="2" t="s">
        <v>1272</v>
      </c>
      <c r="O189" s="2">
        <v>450</v>
      </c>
      <c r="P189" s="2">
        <v>1167.002807617188</v>
      </c>
      <c r="Q189" s="2">
        <v>1194.612915039062</v>
      </c>
      <c r="R189" s="2">
        <f>O189*P189</f>
        <v>525151.26342773461</v>
      </c>
      <c r="S189" s="2">
        <f>O189*Q189</f>
        <v>537575.81176757789</v>
      </c>
      <c r="T189" s="2">
        <f>R189+S189</f>
        <v>1062727.0751953125</v>
      </c>
      <c r="U189" s="2">
        <f>ROUND(T189*0.0005, 2)</f>
        <v>531.36</v>
      </c>
      <c r="V189" s="2">
        <f>S189-R189</f>
        <v>12424.548339843284</v>
      </c>
      <c r="W189" s="2">
        <f>V189-U189</f>
        <v>11893.188339843284</v>
      </c>
      <c r="X189" s="2">
        <f>K189+W189</f>
        <v>43123240.034677394</v>
      </c>
      <c r="Y189" s="2">
        <f>ROUND(0.2*R189, 2)</f>
        <v>105030.25</v>
      </c>
      <c r="Z189" s="2">
        <f>ROUND((W189/Y189)*100, 2)</f>
        <v>11.32</v>
      </c>
      <c r="AA189" s="2">
        <f>MAX(AA188, X189)</f>
        <v>43330345.769753084</v>
      </c>
      <c r="AB189" s="2">
        <f>X189-AA189</f>
        <v>-207105.73507568985</v>
      </c>
    </row>
    <row r="190" spans="1:28">
      <c r="A190" s="2">
        <v>187</v>
      </c>
      <c r="B190" s="2" t="s">
        <v>840</v>
      </c>
      <c r="C190" s="2" t="s">
        <v>2029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43123240.034677394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43123240.034677394</v>
      </c>
      <c r="Y190" s="6" t="s">
        <v>1195</v>
      </c>
      <c r="Z190" s="6" t="s">
        <v>1195</v>
      </c>
      <c r="AA190" s="2">
        <f>AA189</f>
        <v>43330345.769753084</v>
      </c>
      <c r="AB190" s="2">
        <v>0</v>
      </c>
    </row>
    <row r="191" spans="1:28">
      <c r="A191" s="2">
        <v>188</v>
      </c>
      <c r="B191" s="2" t="s">
        <v>845</v>
      </c>
      <c r="C191" s="2" t="s">
        <v>2029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43123240.034677394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43123240.034677394</v>
      </c>
      <c r="Y191" s="6" t="s">
        <v>1195</v>
      </c>
      <c r="Z191" s="6" t="s">
        <v>1195</v>
      </c>
      <c r="AA191" s="2">
        <f>AA190</f>
        <v>43330345.769753084</v>
      </c>
      <c r="AB191" s="2">
        <v>0</v>
      </c>
    </row>
    <row r="192" spans="1:28">
      <c r="A192" s="2">
        <v>189</v>
      </c>
      <c r="B192" s="2" t="s">
        <v>848</v>
      </c>
      <c r="C192" s="2" t="s">
        <v>2029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43123240.034677394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43123240.034677394</v>
      </c>
      <c r="Y192" s="6" t="s">
        <v>1195</v>
      </c>
      <c r="Z192" s="6" t="s">
        <v>1195</v>
      </c>
      <c r="AA192" s="2">
        <f>AA191</f>
        <v>43330345.769753084</v>
      </c>
      <c r="AB192" s="2">
        <v>0</v>
      </c>
    </row>
    <row r="193" spans="1:28">
      <c r="A193" s="2">
        <v>190</v>
      </c>
      <c r="B193" s="2" t="s">
        <v>851</v>
      </c>
      <c r="C193" s="2" t="s">
        <v>2029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2003</v>
      </c>
      <c r="J193" s="2" t="s">
        <v>1034</v>
      </c>
      <c r="K193" s="2">
        <f t="shared" si="21"/>
        <v>43123240.034677394</v>
      </c>
      <c r="L193" s="2" t="s">
        <v>1084</v>
      </c>
      <c r="M193" s="2" t="s">
        <v>1283</v>
      </c>
      <c r="N193" s="2" t="s">
        <v>1270</v>
      </c>
      <c r="O193" s="2">
        <v>5500</v>
      </c>
      <c r="P193" s="2">
        <v>147.31561279296881</v>
      </c>
      <c r="Q193" s="2">
        <v>153.50083923339841</v>
      </c>
      <c r="R193" s="2">
        <f>O193*P193</f>
        <v>810235.87036132847</v>
      </c>
      <c r="S193" s="2">
        <f>O193*Q193</f>
        <v>844254.61578369129</v>
      </c>
      <c r="T193" s="2">
        <f>R193+S193</f>
        <v>1654490.4861450198</v>
      </c>
      <c r="U193" s="2">
        <f>ROUND(T193*0.0005, 2)</f>
        <v>827.25</v>
      </c>
      <c r="V193" s="2">
        <f>S193-R193</f>
        <v>34018.745422362816</v>
      </c>
      <c r="W193" s="2">
        <f>V193-U193</f>
        <v>33191.495422362816</v>
      </c>
      <c r="X193" s="2">
        <f>K193+W193</f>
        <v>43156431.530099757</v>
      </c>
      <c r="Y193" s="2">
        <f>ROUND(0.2*R193, 2)</f>
        <v>162047.17000000001</v>
      </c>
      <c r="Z193" s="2">
        <f>ROUND((W193/Y193)*100, 2)</f>
        <v>20.48</v>
      </c>
      <c r="AA193" s="2">
        <f>MAX(AA192, X193)</f>
        <v>43330345.769753084</v>
      </c>
      <c r="AB193" s="2">
        <f>X193-AA193</f>
        <v>-173914.23965332657</v>
      </c>
    </row>
    <row r="194" spans="1:28">
      <c r="A194" s="2">
        <v>191</v>
      </c>
      <c r="B194" s="2" t="s">
        <v>854</v>
      </c>
      <c r="C194" s="2" t="s">
        <v>2029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549</v>
      </c>
      <c r="J194" s="2" t="s">
        <v>2004</v>
      </c>
      <c r="K194" s="2">
        <f t="shared" si="21"/>
        <v>43156431.530099757</v>
      </c>
      <c r="L194" s="2" t="s">
        <v>1438</v>
      </c>
      <c r="M194" s="2" t="s">
        <v>1085</v>
      </c>
      <c r="N194" s="2" t="s">
        <v>1346</v>
      </c>
      <c r="O194" s="2">
        <v>175</v>
      </c>
      <c r="P194" s="2">
        <v>3885.653076171875</v>
      </c>
      <c r="Q194" s="2">
        <v>3721.622802734375</v>
      </c>
      <c r="R194" s="2">
        <f>O194*P194</f>
        <v>679989.28833007812</v>
      </c>
      <c r="S194" s="2">
        <f>O194*Q194</f>
        <v>651283.99047851563</v>
      </c>
      <c r="T194" s="2">
        <f>R194+S194</f>
        <v>1331273.2788085938</v>
      </c>
      <c r="U194" s="2">
        <f>ROUND(T194*0.0005, 2)</f>
        <v>665.64</v>
      </c>
      <c r="V194" s="2">
        <f>S194-R194</f>
        <v>-28705.2978515625</v>
      </c>
      <c r="W194" s="2">
        <f>V194-U194</f>
        <v>-29370.937851562499</v>
      </c>
      <c r="X194" s="2">
        <f>K194+W194</f>
        <v>43127060.592248194</v>
      </c>
      <c r="Y194" s="2">
        <f>ROUND(0.2*R194, 2)</f>
        <v>135997.85999999999</v>
      </c>
      <c r="Z194" s="2">
        <f>ROUND((W194/Y194)*100, 2)</f>
        <v>-21.6</v>
      </c>
      <c r="AA194" s="2">
        <f>MAX(AA193, X194)</f>
        <v>43330345.769753084</v>
      </c>
      <c r="AB194" s="2">
        <f>X194-AA194</f>
        <v>-203285.17750488967</v>
      </c>
    </row>
    <row r="195" spans="1:28">
      <c r="A195" s="2">
        <v>192</v>
      </c>
      <c r="B195" s="2" t="s">
        <v>860</v>
      </c>
      <c r="C195" s="2" t="s">
        <v>2029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733</v>
      </c>
      <c r="J195" s="2" t="s">
        <v>2005</v>
      </c>
      <c r="K195" s="2">
        <f t="shared" si="21"/>
        <v>43127060.592248194</v>
      </c>
      <c r="L195" s="2" t="s">
        <v>1244</v>
      </c>
      <c r="M195" s="2" t="s">
        <v>1268</v>
      </c>
      <c r="N195" s="2" t="s">
        <v>1004</v>
      </c>
      <c r="O195" s="2">
        <v>600</v>
      </c>
      <c r="P195" s="2">
        <v>1449.977172851562</v>
      </c>
      <c r="Q195" s="2">
        <v>1439.509155273438</v>
      </c>
      <c r="R195" s="2">
        <f>O195*P195</f>
        <v>869986.30371093727</v>
      </c>
      <c r="S195" s="2">
        <f>O195*Q195</f>
        <v>863705.49316406273</v>
      </c>
      <c r="T195" s="2">
        <f>R195+S195</f>
        <v>1733691.796875</v>
      </c>
      <c r="U195" s="2">
        <f>ROUND(T195*0.0005, 2)</f>
        <v>866.85</v>
      </c>
      <c r="V195" s="2">
        <f>S195-R195</f>
        <v>-6280.8105468745343</v>
      </c>
      <c r="W195" s="2">
        <f>V195-U195</f>
        <v>-7147.6605468745347</v>
      </c>
      <c r="X195" s="2">
        <f>K195+W195</f>
        <v>43119912.931701317</v>
      </c>
      <c r="Y195" s="2">
        <f>ROUND(0.2*R195, 2)</f>
        <v>173997.26</v>
      </c>
      <c r="Z195" s="2">
        <f>ROUND((W195/Y195)*100, 2)</f>
        <v>-4.1100000000000003</v>
      </c>
      <c r="AA195" s="2">
        <f>MAX(AA194, X195)</f>
        <v>43330345.769753084</v>
      </c>
      <c r="AB195" s="2">
        <f>X195-AA195</f>
        <v>-210432.83805176616</v>
      </c>
    </row>
    <row r="196" spans="1:28">
      <c r="A196" s="2">
        <v>193</v>
      </c>
      <c r="B196" s="2" t="s">
        <v>865</v>
      </c>
      <c r="C196" s="2" t="s">
        <v>2029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43119912.931701317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43119912.931701317</v>
      </c>
      <c r="Y196" s="6" t="s">
        <v>1195</v>
      </c>
      <c r="Z196" s="6" t="s">
        <v>1195</v>
      </c>
      <c r="AA196" s="2">
        <f>AA195</f>
        <v>43330345.769753084</v>
      </c>
      <c r="AB196" s="2">
        <v>0</v>
      </c>
    </row>
    <row r="197" spans="1:28">
      <c r="A197" s="2">
        <v>194</v>
      </c>
      <c r="B197" s="2" t="s">
        <v>868</v>
      </c>
      <c r="C197" s="2" t="s">
        <v>2029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422</v>
      </c>
      <c r="J197" s="2" t="s">
        <v>975</v>
      </c>
      <c r="K197" s="2">
        <f t="shared" ref="K197:K214" si="24">X196</f>
        <v>43119912.931701317</v>
      </c>
      <c r="L197" s="2" t="s">
        <v>1268</v>
      </c>
      <c r="M197" s="2" t="s">
        <v>1254</v>
      </c>
      <c r="N197" s="2" t="s">
        <v>1292</v>
      </c>
      <c r="O197" s="2">
        <v>175</v>
      </c>
      <c r="P197" s="2">
        <v>3354.8125</v>
      </c>
      <c r="Q197" s="2">
        <v>3446.634033203125</v>
      </c>
      <c r="R197" s="2">
        <f>O197*P197</f>
        <v>587092.1875</v>
      </c>
      <c r="S197" s="2">
        <f>O197*Q197</f>
        <v>603160.95581054687</v>
      </c>
      <c r="T197" s="2">
        <f>R197+S197</f>
        <v>1190253.1433105469</v>
      </c>
      <c r="U197" s="2">
        <f>ROUND(T197*0.0005, 2)</f>
        <v>595.13</v>
      </c>
      <c r="V197" s="2">
        <f>S197-R197</f>
        <v>16068.768310546875</v>
      </c>
      <c r="W197" s="2">
        <f>V197-U197</f>
        <v>15473.638310546876</v>
      </c>
      <c r="X197" s="2">
        <f>K197+W197</f>
        <v>43135386.570011862</v>
      </c>
      <c r="Y197" s="2">
        <f>ROUND(0.2*R197, 2)</f>
        <v>117418.44</v>
      </c>
      <c r="Z197" s="2">
        <f>ROUND((W197/Y197)*100, 2)</f>
        <v>13.18</v>
      </c>
      <c r="AA197" s="2">
        <f>MAX(AA196, X197)</f>
        <v>43330345.769753084</v>
      </c>
      <c r="AB197" s="2">
        <f>X197-AA197</f>
        <v>-194959.19974122196</v>
      </c>
    </row>
    <row r="198" spans="1:28">
      <c r="A198" s="2">
        <v>195</v>
      </c>
      <c r="B198" s="2" t="s">
        <v>873</v>
      </c>
      <c r="C198" s="2" t="s">
        <v>2029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1474</v>
      </c>
      <c r="J198" s="2" t="s">
        <v>2076</v>
      </c>
      <c r="K198" s="2">
        <f t="shared" si="24"/>
        <v>43135386.570011862</v>
      </c>
      <c r="L198" s="2" t="s">
        <v>2077</v>
      </c>
      <c r="M198" s="2" t="s">
        <v>2078</v>
      </c>
      <c r="N198" s="2" t="s">
        <v>2079</v>
      </c>
      <c r="O198" s="2">
        <v>3054</v>
      </c>
      <c r="P198" s="2">
        <v>99.712814331054673</v>
      </c>
      <c r="Q198" s="2">
        <v>95.551712036132798</v>
      </c>
      <c r="R198" s="2">
        <f>O198*P198</f>
        <v>304522.93496704096</v>
      </c>
      <c r="S198" s="2">
        <f>O198*Q198</f>
        <v>291814.92855834955</v>
      </c>
      <c r="T198" s="2">
        <f>R198+S198</f>
        <v>596337.86352539051</v>
      </c>
      <c r="U198" s="2">
        <f>ROUND(T198*0.0005, 2)</f>
        <v>298.17</v>
      </c>
      <c r="V198" s="2">
        <f>S198-R198</f>
        <v>-12708.006408691406</v>
      </c>
      <c r="W198" s="2">
        <f>V198-U198</f>
        <v>-13006.176408691406</v>
      </c>
      <c r="X198" s="2">
        <f>K198+W198</f>
        <v>43122380.393603168</v>
      </c>
      <c r="Y198" s="2">
        <f>ROUND(0.2*R198, 2)</f>
        <v>60904.59</v>
      </c>
      <c r="Z198" s="2">
        <f>ROUND((W198/Y198)*100, 2)</f>
        <v>-21.36</v>
      </c>
      <c r="AA198" s="2">
        <f>MAX(AA197, X198)</f>
        <v>43330345.769753084</v>
      </c>
      <c r="AB198" s="2">
        <f>X198-AA198</f>
        <v>-207965.37614991516</v>
      </c>
    </row>
    <row r="199" spans="1:28">
      <c r="A199" s="2">
        <v>196</v>
      </c>
      <c r="B199" s="2" t="s">
        <v>878</v>
      </c>
      <c r="C199" s="2" t="s">
        <v>2029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4"/>
        <v>43122380.393603168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43122380.393603168</v>
      </c>
      <c r="Y199" s="6" t="s">
        <v>1195</v>
      </c>
      <c r="Z199" s="6" t="s">
        <v>1195</v>
      </c>
      <c r="AA199" s="2">
        <f>AA198</f>
        <v>43330345.769753084</v>
      </c>
      <c r="AB199" s="2">
        <v>0</v>
      </c>
    </row>
    <row r="200" spans="1:28">
      <c r="A200" s="2">
        <v>197</v>
      </c>
      <c r="B200" s="2" t="s">
        <v>881</v>
      </c>
      <c r="C200" s="2" t="s">
        <v>2029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2011</v>
      </c>
      <c r="J200" s="2" t="s">
        <v>2012</v>
      </c>
      <c r="K200" s="2">
        <f t="shared" si="24"/>
        <v>43122380.393603168</v>
      </c>
      <c r="L200" s="2" t="s">
        <v>1283</v>
      </c>
      <c r="M200" s="2" t="s">
        <v>1379</v>
      </c>
      <c r="N200" s="2" t="s">
        <v>1278</v>
      </c>
      <c r="O200" s="2">
        <v>345</v>
      </c>
      <c r="P200" s="2">
        <v>5461.22265625</v>
      </c>
      <c r="Q200" s="2">
        <v>6489.05908203125</v>
      </c>
      <c r="R200" s="2">
        <f>O200*P200</f>
        <v>1884121.81640625</v>
      </c>
      <c r="S200" s="2">
        <f>O200*Q200</f>
        <v>2238725.3833007812</v>
      </c>
      <c r="T200" s="2">
        <f>R200+S200</f>
        <v>4122847.1997070312</v>
      </c>
      <c r="U200" s="2">
        <f>ROUND(T200*0.0005, 2)</f>
        <v>2061.42</v>
      </c>
      <c r="V200" s="2">
        <f>S200-R200</f>
        <v>354603.56689453125</v>
      </c>
      <c r="W200" s="2">
        <f>V200-U200</f>
        <v>352542.14689453127</v>
      </c>
      <c r="X200" s="2">
        <f>K200+W200</f>
        <v>43474922.540497698</v>
      </c>
      <c r="Y200" s="2">
        <f>ROUND(0.2*R200, 2)</f>
        <v>376824.36</v>
      </c>
      <c r="Z200" s="2">
        <f>ROUND((W200/Y200)*100, 2)</f>
        <v>93.56</v>
      </c>
      <c r="AA200" s="2">
        <f>MAX(AA199, X200)</f>
        <v>43474922.540497698</v>
      </c>
      <c r="AB200" s="2">
        <f>X200-AA200</f>
        <v>0</v>
      </c>
    </row>
    <row r="201" spans="1:28">
      <c r="A201" s="2">
        <v>198</v>
      </c>
      <c r="B201" s="2" t="s">
        <v>886</v>
      </c>
      <c r="C201" s="2" t="s">
        <v>2029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4"/>
        <v>43474922.540497698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43474922.540497698</v>
      </c>
      <c r="Y201" s="6" t="s">
        <v>1195</v>
      </c>
      <c r="Z201" s="6" t="s">
        <v>1195</v>
      </c>
      <c r="AA201" s="2">
        <f>AA200</f>
        <v>43474922.540497698</v>
      </c>
      <c r="AB201" s="2">
        <v>0</v>
      </c>
    </row>
    <row r="202" spans="1:28">
      <c r="A202" s="2">
        <v>199</v>
      </c>
      <c r="B202" s="2" t="s">
        <v>890</v>
      </c>
      <c r="C202" s="2" t="s">
        <v>2029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619</v>
      </c>
      <c r="J202" s="2" t="s">
        <v>42</v>
      </c>
      <c r="K202" s="2">
        <f t="shared" si="24"/>
        <v>43474922.540497698</v>
      </c>
      <c r="L202" s="2" t="s">
        <v>1346</v>
      </c>
      <c r="M202" s="2" t="s">
        <v>1004</v>
      </c>
      <c r="N202" s="2" t="s">
        <v>1318</v>
      </c>
      <c r="O202" s="2">
        <v>100</v>
      </c>
      <c r="P202" s="2">
        <v>11302.40625</v>
      </c>
      <c r="Q202" s="2">
        <v>11414.4765625</v>
      </c>
      <c r="R202" s="2">
        <f>O202*P202</f>
        <v>1130240.625</v>
      </c>
      <c r="S202" s="2">
        <f>O202*Q202</f>
        <v>1141447.65625</v>
      </c>
      <c r="T202" s="2">
        <f>R202+S202</f>
        <v>2271688.28125</v>
      </c>
      <c r="U202" s="2">
        <f>ROUND(T202*0.0005, 2)</f>
        <v>1135.8399999999999</v>
      </c>
      <c r="V202" s="2">
        <f>S202-R202</f>
        <v>11207.03125</v>
      </c>
      <c r="W202" s="2">
        <f>V202-U202</f>
        <v>10071.19125</v>
      </c>
      <c r="X202" s="2">
        <f>K202+W202</f>
        <v>43484993.731747694</v>
      </c>
      <c r="Y202" s="2">
        <f>ROUND(0.2*R202, 2)</f>
        <v>226048.13</v>
      </c>
      <c r="Z202" s="2">
        <f>ROUND((W202/Y202)*100, 2)</f>
        <v>4.46</v>
      </c>
      <c r="AA202" s="2">
        <f>MAX(AA201, X202)</f>
        <v>43484993.731747694</v>
      </c>
      <c r="AB202" s="2">
        <f>X202-AA202</f>
        <v>0</v>
      </c>
    </row>
    <row r="203" spans="1:28">
      <c r="A203" s="2">
        <v>200</v>
      </c>
      <c r="B203" s="2" t="s">
        <v>894</v>
      </c>
      <c r="C203" s="2" t="s">
        <v>2029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4"/>
        <v>43484993.731747694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5">K203</f>
        <v>43484993.731747694</v>
      </c>
      <c r="Y203" s="6" t="s">
        <v>1195</v>
      </c>
      <c r="Z203" s="6" t="s">
        <v>1195</v>
      </c>
      <c r="AA203" s="2">
        <f t="shared" ref="AA203:AA211" si="26">AA202</f>
        <v>43484993.731747694</v>
      </c>
      <c r="AB203" s="2">
        <v>0</v>
      </c>
    </row>
    <row r="204" spans="1:28">
      <c r="A204" s="2">
        <v>201</v>
      </c>
      <c r="B204" s="2" t="s">
        <v>897</v>
      </c>
      <c r="C204" s="2" t="s">
        <v>2029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4"/>
        <v>43484993.731747694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5"/>
        <v>43484993.731747694</v>
      </c>
      <c r="Y204" s="6" t="s">
        <v>1195</v>
      </c>
      <c r="Z204" s="6" t="s">
        <v>1195</v>
      </c>
      <c r="AA204" s="2">
        <f t="shared" si="26"/>
        <v>43484993.731747694</v>
      </c>
      <c r="AB204" s="2">
        <v>0</v>
      </c>
    </row>
    <row r="205" spans="1:28">
      <c r="A205" s="2">
        <v>202</v>
      </c>
      <c r="B205" s="2" t="s">
        <v>899</v>
      </c>
      <c r="C205" s="2" t="s">
        <v>2029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4"/>
        <v>43484993.731747694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5"/>
        <v>43484993.731747694</v>
      </c>
      <c r="Y205" s="6" t="s">
        <v>1195</v>
      </c>
      <c r="Z205" s="6" t="s">
        <v>1195</v>
      </c>
      <c r="AA205" s="2">
        <f t="shared" si="26"/>
        <v>43484993.731747694</v>
      </c>
      <c r="AB205" s="2">
        <v>0</v>
      </c>
    </row>
    <row r="206" spans="1:28">
      <c r="A206" s="2">
        <v>203</v>
      </c>
      <c r="B206" s="2" t="s">
        <v>902</v>
      </c>
      <c r="C206" s="2" t="s">
        <v>2029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4"/>
        <v>43484993.731747694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5"/>
        <v>43484993.731747694</v>
      </c>
      <c r="Y206" s="6" t="s">
        <v>1195</v>
      </c>
      <c r="Z206" s="6" t="s">
        <v>1195</v>
      </c>
      <c r="AA206" s="2">
        <f t="shared" si="26"/>
        <v>43484993.731747694</v>
      </c>
      <c r="AB206" s="2">
        <v>0</v>
      </c>
    </row>
    <row r="207" spans="1:28">
      <c r="A207" s="2">
        <v>204</v>
      </c>
      <c r="B207" s="2" t="s">
        <v>906</v>
      </c>
      <c r="C207" s="2" t="s">
        <v>2029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4"/>
        <v>43484993.731747694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5"/>
        <v>43484993.731747694</v>
      </c>
      <c r="Y207" s="6" t="s">
        <v>1195</v>
      </c>
      <c r="Z207" s="6" t="s">
        <v>1195</v>
      </c>
      <c r="AA207" s="2">
        <f t="shared" si="26"/>
        <v>43484993.731747694</v>
      </c>
      <c r="AB207" s="2">
        <v>0</v>
      </c>
    </row>
    <row r="208" spans="1:28">
      <c r="A208" s="2">
        <v>205</v>
      </c>
      <c r="B208" s="2" t="s">
        <v>910</v>
      </c>
      <c r="C208" s="2" t="s">
        <v>2029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4"/>
        <v>43484993.731747694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5"/>
        <v>43484993.731747694</v>
      </c>
      <c r="Y208" s="6" t="s">
        <v>1195</v>
      </c>
      <c r="Z208" s="6" t="s">
        <v>1195</v>
      </c>
      <c r="AA208" s="2">
        <f t="shared" si="26"/>
        <v>43484993.731747694</v>
      </c>
      <c r="AB208" s="2">
        <v>0</v>
      </c>
    </row>
    <row r="209" spans="1:28">
      <c r="A209" s="2">
        <v>206</v>
      </c>
      <c r="B209" s="2" t="s">
        <v>913</v>
      </c>
      <c r="C209" s="2" t="s">
        <v>2029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4"/>
        <v>43484993.731747694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5"/>
        <v>43484993.731747694</v>
      </c>
      <c r="Y209" s="6" t="s">
        <v>1195</v>
      </c>
      <c r="Z209" s="6" t="s">
        <v>1195</v>
      </c>
      <c r="AA209" s="2">
        <f t="shared" si="26"/>
        <v>43484993.731747694</v>
      </c>
      <c r="AB209" s="2">
        <v>0</v>
      </c>
    </row>
    <row r="210" spans="1:28">
      <c r="A210" s="2">
        <v>207</v>
      </c>
      <c r="B210" s="2" t="s">
        <v>915</v>
      </c>
      <c r="C210" s="2" t="s">
        <v>2029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4"/>
        <v>43484993.731747694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5"/>
        <v>43484993.731747694</v>
      </c>
      <c r="Y210" s="6" t="s">
        <v>1195</v>
      </c>
      <c r="Z210" s="6" t="s">
        <v>1195</v>
      </c>
      <c r="AA210" s="2">
        <f t="shared" si="26"/>
        <v>43484993.731747694</v>
      </c>
      <c r="AB210" s="2">
        <v>0</v>
      </c>
    </row>
    <row r="211" spans="1:28">
      <c r="A211" s="2">
        <v>208</v>
      </c>
      <c r="B211" s="2" t="s">
        <v>918</v>
      </c>
      <c r="C211" s="2" t="s">
        <v>2029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4"/>
        <v>43484993.731747694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5"/>
        <v>43484993.731747694</v>
      </c>
      <c r="Y211" s="6" t="s">
        <v>1195</v>
      </c>
      <c r="Z211" s="6" t="s">
        <v>1195</v>
      </c>
      <c r="AA211" s="2">
        <f t="shared" si="26"/>
        <v>43484993.731747694</v>
      </c>
      <c r="AB211" s="2">
        <v>0</v>
      </c>
    </row>
    <row r="212" spans="1:28">
      <c r="A212" s="2">
        <v>209</v>
      </c>
      <c r="B212" s="2" t="s">
        <v>922</v>
      </c>
      <c r="C212" s="2" t="s">
        <v>2029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2021</v>
      </c>
      <c r="J212" s="2" t="s">
        <v>2022</v>
      </c>
      <c r="K212" s="2">
        <f t="shared" si="24"/>
        <v>43484993.731747694</v>
      </c>
      <c r="L212" s="2" t="s">
        <v>1346</v>
      </c>
      <c r="M212" s="2" t="s">
        <v>1004</v>
      </c>
      <c r="N212" s="2" t="s">
        <v>1318</v>
      </c>
      <c r="O212" s="2">
        <v>1500</v>
      </c>
      <c r="P212" s="2">
        <v>250.33283996582031</v>
      </c>
      <c r="Q212" s="2">
        <v>237.56074523925781</v>
      </c>
      <c r="R212" s="2">
        <f>O212*P212</f>
        <v>375499.25994873047</v>
      </c>
      <c r="S212" s="2">
        <f>O212*Q212</f>
        <v>356341.11785888672</v>
      </c>
      <c r="T212" s="2">
        <f>R212+S212</f>
        <v>731840.37780761719</v>
      </c>
      <c r="U212" s="2">
        <f>ROUND(T212*0.0005, 2)</f>
        <v>365.92</v>
      </c>
      <c r="V212" s="2">
        <f>S212-R212</f>
        <v>-19158.14208984375</v>
      </c>
      <c r="W212" s="2">
        <f>V212-U212</f>
        <v>-19524.062089843748</v>
      </c>
      <c r="X212" s="2">
        <f>K212+W212</f>
        <v>43465469.669657849</v>
      </c>
      <c r="Y212" s="2">
        <f>ROUND(0.2*R212, 2)</f>
        <v>75099.850000000006</v>
      </c>
      <c r="Z212" s="2">
        <f>ROUND((W212/Y212)*100, 2)</f>
        <v>-26</v>
      </c>
      <c r="AA212" s="2">
        <f>MAX(AA211, X212)</f>
        <v>43484993.731747694</v>
      </c>
      <c r="AB212" s="2">
        <f>X212-AA212</f>
        <v>-19524.062089845538</v>
      </c>
    </row>
    <row r="213" spans="1:28">
      <c r="A213" s="2">
        <v>210</v>
      </c>
      <c r="B213" s="2" t="s">
        <v>925</v>
      </c>
      <c r="C213" s="2" t="s">
        <v>2029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4"/>
        <v>43465469.669657849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43465469.669657849</v>
      </c>
      <c r="Y213" s="6" t="s">
        <v>1195</v>
      </c>
      <c r="Z213" s="6" t="s">
        <v>1195</v>
      </c>
      <c r="AA213" s="2">
        <f>AA212</f>
        <v>43484993.731747694</v>
      </c>
      <c r="AB213" s="2">
        <v>0</v>
      </c>
    </row>
    <row r="214" spans="1:28">
      <c r="A214" s="2">
        <v>211</v>
      </c>
      <c r="B214" s="2" t="s">
        <v>928</v>
      </c>
      <c r="C214" s="2" t="s">
        <v>2029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4"/>
        <v>43465469.669657849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43465469.669657849</v>
      </c>
      <c r="Y214" s="6" t="s">
        <v>1195</v>
      </c>
      <c r="Z214" s="6" t="s">
        <v>1195</v>
      </c>
      <c r="AA214" s="2">
        <f>AA213</f>
        <v>43484993.731747694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2080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2081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2082</v>
      </c>
      <c r="J4" s="2" t="s">
        <v>1592</v>
      </c>
      <c r="K4" s="2">
        <v>42511150.109999999</v>
      </c>
      <c r="L4" s="2" t="s">
        <v>2047</v>
      </c>
      <c r="M4" s="2" t="s">
        <v>2037</v>
      </c>
      <c r="N4" s="2" t="s">
        <v>2083</v>
      </c>
      <c r="O4" s="2">
        <v>874</v>
      </c>
      <c r="P4" s="2">
        <v>1107.400024414062</v>
      </c>
      <c r="Q4" s="2">
        <v>1071.800048828125</v>
      </c>
      <c r="R4" s="2">
        <f t="shared" ref="R4:R17" si="0">O4*P4</f>
        <v>967867.62133789028</v>
      </c>
      <c r="S4" s="2">
        <f t="shared" ref="S4:S17" si="1">O4*Q4</f>
        <v>936753.24267578125</v>
      </c>
      <c r="T4" s="2">
        <f t="shared" ref="T4:T17" si="2">R4+S4</f>
        <v>1904620.8640136714</v>
      </c>
      <c r="U4" s="2">
        <f t="shared" ref="U4:U17" si="3">ROUND(T4*0.0005, 2)</f>
        <v>952.31</v>
      </c>
      <c r="V4" s="2">
        <f t="shared" ref="V4:V17" si="4">S4-R4</f>
        <v>-31114.378662109026</v>
      </c>
      <c r="W4" s="2">
        <f t="shared" ref="W4:W17" si="5">V4-U4</f>
        <v>-32066.688662109027</v>
      </c>
      <c r="X4" s="2">
        <f t="shared" ref="X4:X17" si="6">K4+W4</f>
        <v>42479083.421337888</v>
      </c>
      <c r="Y4" s="2">
        <f t="shared" ref="Y4:Y17" si="7">ROUND(0.2*R4, 2)</f>
        <v>193573.52</v>
      </c>
      <c r="Z4" s="2">
        <f t="shared" ref="Z4:Z17" si="8">ROUND((W4/Y4)*100, 2)</f>
        <v>-16.57</v>
      </c>
      <c r="AA4" s="2">
        <f>MAX(42511150.11, X4)</f>
        <v>42511150.109999999</v>
      </c>
      <c r="AB4" s="2">
        <f t="shared" ref="AB4:AB17" si="9">X4-AA4</f>
        <v>-32066.688662111759</v>
      </c>
    </row>
    <row r="5" spans="1:29">
      <c r="A5" s="2">
        <v>2</v>
      </c>
      <c r="B5" s="2" t="s">
        <v>46</v>
      </c>
      <c r="C5" s="2" t="s">
        <v>2081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2084</v>
      </c>
      <c r="J5" s="2" t="s">
        <v>2085</v>
      </c>
      <c r="K5" s="2">
        <f t="shared" ref="K5:K68" si="10">X4</f>
        <v>42479083.421337888</v>
      </c>
      <c r="L5" s="2" t="s">
        <v>2086</v>
      </c>
      <c r="M5" s="2" t="s">
        <v>1980</v>
      </c>
      <c r="N5" s="2" t="s">
        <v>2087</v>
      </c>
      <c r="O5" s="2">
        <v>137</v>
      </c>
      <c r="P5" s="2">
        <v>5917.298828125</v>
      </c>
      <c r="Q5" s="2">
        <v>7000.8671875</v>
      </c>
      <c r="R5" s="2">
        <f t="shared" si="0"/>
        <v>810669.939453125</v>
      </c>
      <c r="S5" s="2">
        <f t="shared" si="1"/>
        <v>959118.8046875</v>
      </c>
      <c r="T5" s="2">
        <f t="shared" si="2"/>
        <v>1769788.744140625</v>
      </c>
      <c r="U5" s="2">
        <f t="shared" si="3"/>
        <v>884.89</v>
      </c>
      <c r="V5" s="2">
        <f t="shared" si="4"/>
        <v>148448.865234375</v>
      </c>
      <c r="W5" s="2">
        <f t="shared" si="5"/>
        <v>147563.97523437499</v>
      </c>
      <c r="X5" s="2">
        <f t="shared" si="6"/>
        <v>42626647.396572262</v>
      </c>
      <c r="Y5" s="2">
        <f t="shared" si="7"/>
        <v>162133.99</v>
      </c>
      <c r="Z5" s="2">
        <f t="shared" si="8"/>
        <v>91.01</v>
      </c>
      <c r="AA5" s="2">
        <f t="shared" ref="AA5:AA17" si="11">MAX(AA4, X5)</f>
        <v>42626647.396572262</v>
      </c>
      <c r="AB5" s="2">
        <f t="shared" si="9"/>
        <v>0</v>
      </c>
    </row>
    <row r="6" spans="1:29">
      <c r="A6" s="2">
        <v>3</v>
      </c>
      <c r="B6" s="2" t="s">
        <v>52</v>
      </c>
      <c r="C6" s="2" t="s">
        <v>2081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1315</v>
      </c>
      <c r="J6" s="2" t="s">
        <v>1115</v>
      </c>
      <c r="K6" s="2">
        <f t="shared" si="10"/>
        <v>42626647.396572262</v>
      </c>
      <c r="L6" s="2" t="s">
        <v>2083</v>
      </c>
      <c r="M6" s="2" t="s">
        <v>1765</v>
      </c>
      <c r="N6" s="2" t="s">
        <v>1519</v>
      </c>
      <c r="O6" s="2">
        <v>2537</v>
      </c>
      <c r="P6" s="2">
        <v>363.29998779296881</v>
      </c>
      <c r="Q6" s="2">
        <v>351.35000610351562</v>
      </c>
      <c r="R6" s="2">
        <f t="shared" si="0"/>
        <v>921692.06903076184</v>
      </c>
      <c r="S6" s="2">
        <f t="shared" si="1"/>
        <v>891374.96548461914</v>
      </c>
      <c r="T6" s="2">
        <f t="shared" si="2"/>
        <v>1813067.0345153809</v>
      </c>
      <c r="U6" s="2">
        <f t="shared" si="3"/>
        <v>906.53</v>
      </c>
      <c r="V6" s="2">
        <f t="shared" si="4"/>
        <v>-30317.103546142695</v>
      </c>
      <c r="W6" s="2">
        <f t="shared" si="5"/>
        <v>-31223.633546142693</v>
      </c>
      <c r="X6" s="2">
        <f t="shared" si="6"/>
        <v>42595423.763026118</v>
      </c>
      <c r="Y6" s="2">
        <f t="shared" si="7"/>
        <v>184338.41</v>
      </c>
      <c r="Z6" s="2">
        <f t="shared" si="8"/>
        <v>-16.940000000000001</v>
      </c>
      <c r="AA6" s="2">
        <f t="shared" si="11"/>
        <v>42626647.396572262</v>
      </c>
      <c r="AB6" s="2">
        <f t="shared" si="9"/>
        <v>-31223.63354614377</v>
      </c>
    </row>
    <row r="7" spans="1:29">
      <c r="A7" s="2">
        <v>4</v>
      </c>
      <c r="B7" s="2" t="s">
        <v>60</v>
      </c>
      <c r="C7" s="2" t="s">
        <v>2081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529</v>
      </c>
      <c r="J7" s="2" t="s">
        <v>1922</v>
      </c>
      <c r="K7" s="2">
        <f t="shared" si="10"/>
        <v>42595423.763026118</v>
      </c>
      <c r="L7" s="2" t="s">
        <v>1067</v>
      </c>
      <c r="M7" s="2" t="s">
        <v>1233</v>
      </c>
      <c r="N7" s="2" t="s">
        <v>1067</v>
      </c>
      <c r="O7" s="2">
        <v>602</v>
      </c>
      <c r="P7" s="2">
        <v>1486.400024414062</v>
      </c>
      <c r="Q7" s="2">
        <v>1507.800048828125</v>
      </c>
      <c r="R7" s="2">
        <f t="shared" si="0"/>
        <v>894812.81469726539</v>
      </c>
      <c r="S7" s="2">
        <f t="shared" si="1"/>
        <v>907695.62939453125</v>
      </c>
      <c r="T7" s="2">
        <f t="shared" si="2"/>
        <v>1802508.4440917966</v>
      </c>
      <c r="U7" s="2">
        <f t="shared" si="3"/>
        <v>901.25</v>
      </c>
      <c r="V7" s="2">
        <f t="shared" si="4"/>
        <v>12882.814697265858</v>
      </c>
      <c r="W7" s="2">
        <f t="shared" si="5"/>
        <v>11981.564697265858</v>
      </c>
      <c r="X7" s="2">
        <f t="shared" si="6"/>
        <v>42607405.327723384</v>
      </c>
      <c r="Y7" s="2">
        <f t="shared" si="7"/>
        <v>178962.56</v>
      </c>
      <c r="Z7" s="2">
        <f t="shared" si="8"/>
        <v>6.7</v>
      </c>
      <c r="AA7" s="2">
        <f t="shared" si="11"/>
        <v>42626647.396572262</v>
      </c>
      <c r="AB7" s="2">
        <f t="shared" si="9"/>
        <v>-19242.068848878145</v>
      </c>
    </row>
    <row r="8" spans="1:29">
      <c r="A8" s="2">
        <v>5</v>
      </c>
      <c r="B8" s="2" t="s">
        <v>68</v>
      </c>
      <c r="C8" s="2" t="s">
        <v>2081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2088</v>
      </c>
      <c r="J8" s="2" t="s">
        <v>1507</v>
      </c>
      <c r="K8" s="2">
        <f t="shared" si="10"/>
        <v>42607405.327723384</v>
      </c>
      <c r="L8" s="2" t="s">
        <v>1299</v>
      </c>
      <c r="M8" s="2" t="s">
        <v>1581</v>
      </c>
      <c r="N8" s="2" t="s">
        <v>1557</v>
      </c>
      <c r="O8" s="2">
        <v>300</v>
      </c>
      <c r="P8" s="2">
        <v>3035.54931640625</v>
      </c>
      <c r="Q8" s="2">
        <v>2870.81884765625</v>
      </c>
      <c r="R8" s="2">
        <f t="shared" si="0"/>
        <v>910664.794921875</v>
      </c>
      <c r="S8" s="2">
        <f t="shared" si="1"/>
        <v>861245.654296875</v>
      </c>
      <c r="T8" s="2">
        <f t="shared" si="2"/>
        <v>1771910.44921875</v>
      </c>
      <c r="U8" s="2">
        <f t="shared" si="3"/>
        <v>885.96</v>
      </c>
      <c r="V8" s="2">
        <f t="shared" si="4"/>
        <v>-49419.140625</v>
      </c>
      <c r="W8" s="2">
        <f t="shared" si="5"/>
        <v>-50305.100624999999</v>
      </c>
      <c r="X8" s="2">
        <f t="shared" si="6"/>
        <v>42557100.227098383</v>
      </c>
      <c r="Y8" s="2">
        <f t="shared" si="7"/>
        <v>182132.96</v>
      </c>
      <c r="Z8" s="2">
        <f t="shared" si="8"/>
        <v>-27.62</v>
      </c>
      <c r="AA8" s="2">
        <f t="shared" si="11"/>
        <v>42626647.396572262</v>
      </c>
      <c r="AB8" s="2">
        <f t="shared" si="9"/>
        <v>-69547.169473879039</v>
      </c>
    </row>
    <row r="9" spans="1:29">
      <c r="A9" s="2">
        <v>6</v>
      </c>
      <c r="B9" s="2" t="s">
        <v>75</v>
      </c>
      <c r="C9" s="2" t="s">
        <v>2081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2089</v>
      </c>
      <c r="J9" s="2" t="s">
        <v>2090</v>
      </c>
      <c r="K9" s="2">
        <f t="shared" si="10"/>
        <v>42557100.227098383</v>
      </c>
      <c r="L9" s="2" t="s">
        <v>1879</v>
      </c>
      <c r="M9" s="2" t="s">
        <v>1635</v>
      </c>
      <c r="N9" s="2" t="s">
        <v>2091</v>
      </c>
      <c r="O9" s="2">
        <v>500</v>
      </c>
      <c r="P9" s="2">
        <v>883.20001220703125</v>
      </c>
      <c r="Q9" s="2">
        <v>799.0999755859375</v>
      </c>
      <c r="R9" s="2">
        <f t="shared" si="0"/>
        <v>441600.00610351563</v>
      </c>
      <c r="S9" s="2">
        <f t="shared" si="1"/>
        <v>399549.98779296875</v>
      </c>
      <c r="T9" s="2">
        <f t="shared" si="2"/>
        <v>841149.99389648437</v>
      </c>
      <c r="U9" s="2">
        <f t="shared" si="3"/>
        <v>420.57</v>
      </c>
      <c r="V9" s="2">
        <f t="shared" si="4"/>
        <v>-42050.018310546875</v>
      </c>
      <c r="W9" s="2">
        <f t="shared" si="5"/>
        <v>-42470.588310546875</v>
      </c>
      <c r="X9" s="2">
        <f t="shared" si="6"/>
        <v>42514629.638787836</v>
      </c>
      <c r="Y9" s="2">
        <f t="shared" si="7"/>
        <v>88320</v>
      </c>
      <c r="Z9" s="2">
        <f t="shared" si="8"/>
        <v>-48.09</v>
      </c>
      <c r="AA9" s="2">
        <f t="shared" si="11"/>
        <v>42626647.396572262</v>
      </c>
      <c r="AB9" s="2">
        <f t="shared" si="9"/>
        <v>-112017.75778442621</v>
      </c>
    </row>
    <row r="10" spans="1:29">
      <c r="A10" s="2">
        <v>7</v>
      </c>
      <c r="B10" s="2" t="s">
        <v>82</v>
      </c>
      <c r="C10" s="2" t="s">
        <v>2081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1477</v>
      </c>
      <c r="J10" s="2" t="s">
        <v>2092</v>
      </c>
      <c r="K10" s="2">
        <f t="shared" si="10"/>
        <v>42514629.638787836</v>
      </c>
      <c r="L10" s="2" t="s">
        <v>1621</v>
      </c>
      <c r="M10" s="2" t="s">
        <v>1565</v>
      </c>
      <c r="N10" s="2" t="s">
        <v>1299</v>
      </c>
      <c r="O10" s="2">
        <v>625</v>
      </c>
      <c r="P10" s="2">
        <v>1304.579956054688</v>
      </c>
      <c r="Q10" s="2">
        <v>1228.057739257812</v>
      </c>
      <c r="R10" s="2">
        <f t="shared" si="0"/>
        <v>815362.47253417992</v>
      </c>
      <c r="S10" s="2">
        <f t="shared" si="1"/>
        <v>767536.08703613258</v>
      </c>
      <c r="T10" s="2">
        <f t="shared" si="2"/>
        <v>1582898.5595703125</v>
      </c>
      <c r="U10" s="2">
        <f t="shared" si="3"/>
        <v>791.45</v>
      </c>
      <c r="V10" s="2">
        <f t="shared" si="4"/>
        <v>-47826.385498047341</v>
      </c>
      <c r="W10" s="2">
        <f t="shared" si="5"/>
        <v>-48617.835498047338</v>
      </c>
      <c r="X10" s="2">
        <f t="shared" si="6"/>
        <v>42466011.803289786</v>
      </c>
      <c r="Y10" s="2">
        <f t="shared" si="7"/>
        <v>163072.49</v>
      </c>
      <c r="Z10" s="2">
        <f t="shared" si="8"/>
        <v>-29.81</v>
      </c>
      <c r="AA10" s="2">
        <f t="shared" si="11"/>
        <v>42626647.396572262</v>
      </c>
      <c r="AB10" s="2">
        <f t="shared" si="9"/>
        <v>-160635.59328247607</v>
      </c>
    </row>
    <row r="11" spans="1:29">
      <c r="A11" s="2">
        <v>8</v>
      </c>
      <c r="B11" s="2" t="s">
        <v>90</v>
      </c>
      <c r="C11" s="2" t="s">
        <v>2081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207</v>
      </c>
      <c r="J11" s="2" t="s">
        <v>2093</v>
      </c>
      <c r="K11" s="2">
        <f t="shared" si="10"/>
        <v>42466011.803289786</v>
      </c>
      <c r="L11" s="2" t="s">
        <v>1232</v>
      </c>
      <c r="M11" s="2" t="s">
        <v>1233</v>
      </c>
      <c r="N11" s="2" t="s">
        <v>1067</v>
      </c>
      <c r="O11" s="2">
        <v>4785</v>
      </c>
      <c r="P11" s="2">
        <v>227.05000305175781</v>
      </c>
      <c r="Q11" s="2">
        <v>231.38999938964841</v>
      </c>
      <c r="R11" s="2">
        <f t="shared" si="0"/>
        <v>1086434.2646026611</v>
      </c>
      <c r="S11" s="2">
        <f t="shared" si="1"/>
        <v>1107201.1470794675</v>
      </c>
      <c r="T11" s="2">
        <f t="shared" si="2"/>
        <v>2193635.4116821289</v>
      </c>
      <c r="U11" s="2">
        <f t="shared" si="3"/>
        <v>1096.82</v>
      </c>
      <c r="V11" s="2">
        <f t="shared" si="4"/>
        <v>20766.882476806408</v>
      </c>
      <c r="W11" s="2">
        <f t="shared" si="5"/>
        <v>19670.062476806408</v>
      </c>
      <c r="X11" s="2">
        <f t="shared" si="6"/>
        <v>42485681.865766592</v>
      </c>
      <c r="Y11" s="2">
        <f t="shared" si="7"/>
        <v>217286.85</v>
      </c>
      <c r="Z11" s="2">
        <f t="shared" si="8"/>
        <v>9.0500000000000007</v>
      </c>
      <c r="AA11" s="2">
        <f t="shared" si="11"/>
        <v>42626647.396572262</v>
      </c>
      <c r="AB11" s="2">
        <f t="shared" si="9"/>
        <v>-140965.53080566972</v>
      </c>
    </row>
    <row r="12" spans="1:29">
      <c r="A12" s="2">
        <v>9</v>
      </c>
      <c r="B12" s="2" t="s">
        <v>95</v>
      </c>
      <c r="C12" s="2" t="s">
        <v>2081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2094</v>
      </c>
      <c r="J12" s="2" t="s">
        <v>2055</v>
      </c>
      <c r="K12" s="2">
        <f t="shared" si="10"/>
        <v>42485681.865766592</v>
      </c>
      <c r="L12" s="2" t="s">
        <v>2031</v>
      </c>
      <c r="M12" s="2" t="s">
        <v>2095</v>
      </c>
      <c r="N12" s="2" t="s">
        <v>1105</v>
      </c>
      <c r="O12" s="2">
        <v>171</v>
      </c>
      <c r="P12" s="2">
        <v>5451.5</v>
      </c>
      <c r="Q12" s="2">
        <v>5314.5</v>
      </c>
      <c r="R12" s="2">
        <f t="shared" si="0"/>
        <v>932206.5</v>
      </c>
      <c r="S12" s="2">
        <f t="shared" si="1"/>
        <v>908779.5</v>
      </c>
      <c r="T12" s="2">
        <f t="shared" si="2"/>
        <v>1840986</v>
      </c>
      <c r="U12" s="2">
        <f t="shared" si="3"/>
        <v>920.49</v>
      </c>
      <c r="V12" s="2">
        <f t="shared" si="4"/>
        <v>-23427</v>
      </c>
      <c r="W12" s="2">
        <f t="shared" si="5"/>
        <v>-24347.49</v>
      </c>
      <c r="X12" s="2">
        <f t="shared" si="6"/>
        <v>42461334.37576659</v>
      </c>
      <c r="Y12" s="2">
        <f t="shared" si="7"/>
        <v>186441.3</v>
      </c>
      <c r="Z12" s="2">
        <f t="shared" si="8"/>
        <v>-13.06</v>
      </c>
      <c r="AA12" s="2">
        <f t="shared" si="11"/>
        <v>42626647.396572262</v>
      </c>
      <c r="AB12" s="2">
        <f t="shared" si="9"/>
        <v>-165313.02080567181</v>
      </c>
    </row>
    <row r="13" spans="1:29">
      <c r="A13" s="2">
        <v>10</v>
      </c>
      <c r="B13" s="2" t="s">
        <v>102</v>
      </c>
      <c r="C13" s="2" t="s">
        <v>2081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42461334.37576659</v>
      </c>
      <c r="L13" s="2" t="s">
        <v>106</v>
      </c>
      <c r="M13" s="2" t="s">
        <v>44</v>
      </c>
      <c r="N13" s="2" t="s">
        <v>59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42464248.285766587</v>
      </c>
      <c r="Y13" s="2">
        <f t="shared" si="7"/>
        <v>199827</v>
      </c>
      <c r="Z13" s="2">
        <f t="shared" si="8"/>
        <v>1.46</v>
      </c>
      <c r="AA13" s="2">
        <f t="shared" si="11"/>
        <v>42626647.396572262</v>
      </c>
      <c r="AB13" s="2">
        <f t="shared" si="9"/>
        <v>-162399.11080567539</v>
      </c>
    </row>
    <row r="14" spans="1:29">
      <c r="A14" s="2">
        <v>11</v>
      </c>
      <c r="B14" s="2" t="s">
        <v>108</v>
      </c>
      <c r="C14" s="2" t="s">
        <v>2081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1923</v>
      </c>
      <c r="J14" s="2" t="s">
        <v>2096</v>
      </c>
      <c r="K14" s="2">
        <f t="shared" si="10"/>
        <v>42464248.285766587</v>
      </c>
      <c r="L14" s="2" t="s">
        <v>1106</v>
      </c>
      <c r="M14" s="2" t="s">
        <v>2033</v>
      </c>
      <c r="N14" s="2" t="s">
        <v>2097</v>
      </c>
      <c r="O14" s="2">
        <v>2303</v>
      </c>
      <c r="P14" s="2">
        <v>415.49334716796881</v>
      </c>
      <c r="Q14" s="2">
        <v>434.30029296875</v>
      </c>
      <c r="R14" s="2">
        <f t="shared" si="0"/>
        <v>956881.17852783215</v>
      </c>
      <c r="S14" s="2">
        <f t="shared" si="1"/>
        <v>1000193.5747070312</v>
      </c>
      <c r="T14" s="2">
        <f t="shared" si="2"/>
        <v>1957074.7532348633</v>
      </c>
      <c r="U14" s="2">
        <f t="shared" si="3"/>
        <v>978.54</v>
      </c>
      <c r="V14" s="2">
        <f t="shared" si="4"/>
        <v>43312.396179199102</v>
      </c>
      <c r="W14" s="2">
        <f t="shared" si="5"/>
        <v>42333.856179199101</v>
      </c>
      <c r="X14" s="2">
        <f t="shared" si="6"/>
        <v>42506582.141945787</v>
      </c>
      <c r="Y14" s="2">
        <f t="shared" si="7"/>
        <v>191376.24</v>
      </c>
      <c r="Z14" s="2">
        <f t="shared" si="8"/>
        <v>22.12</v>
      </c>
      <c r="AA14" s="2">
        <f t="shared" si="11"/>
        <v>42626647.396572262</v>
      </c>
      <c r="AB14" s="2">
        <f t="shared" si="9"/>
        <v>-120065.25462647527</v>
      </c>
    </row>
    <row r="15" spans="1:29">
      <c r="A15" s="2">
        <v>12</v>
      </c>
      <c r="B15" s="2" t="s">
        <v>113</v>
      </c>
      <c r="C15" s="2" t="s">
        <v>2081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277</v>
      </c>
      <c r="J15" s="2" t="s">
        <v>2098</v>
      </c>
      <c r="K15" s="2">
        <f t="shared" si="10"/>
        <v>42506582.141945787</v>
      </c>
      <c r="L15" s="2" t="s">
        <v>1979</v>
      </c>
      <c r="M15" s="2" t="s">
        <v>2099</v>
      </c>
      <c r="N15" s="2" t="s">
        <v>2100</v>
      </c>
      <c r="O15" s="2">
        <v>3428</v>
      </c>
      <c r="P15" s="2">
        <v>279.59530639648437</v>
      </c>
      <c r="Q15" s="2">
        <v>320.21966552734369</v>
      </c>
      <c r="R15" s="2">
        <f t="shared" si="0"/>
        <v>958452.71032714844</v>
      </c>
      <c r="S15" s="2">
        <f t="shared" si="1"/>
        <v>1097713.0134277341</v>
      </c>
      <c r="T15" s="2">
        <f t="shared" si="2"/>
        <v>2056165.7237548826</v>
      </c>
      <c r="U15" s="2">
        <f t="shared" si="3"/>
        <v>1028.08</v>
      </c>
      <c r="V15" s="2">
        <f t="shared" si="4"/>
        <v>139260.3031005857</v>
      </c>
      <c r="W15" s="2">
        <f t="shared" si="5"/>
        <v>138232.22310058572</v>
      </c>
      <c r="X15" s="2">
        <f t="shared" si="6"/>
        <v>42644814.365046374</v>
      </c>
      <c r="Y15" s="2">
        <f t="shared" si="7"/>
        <v>191690.54</v>
      </c>
      <c r="Z15" s="2">
        <f t="shared" si="8"/>
        <v>72.11</v>
      </c>
      <c r="AA15" s="2">
        <f t="shared" si="11"/>
        <v>42644814.365046374</v>
      </c>
      <c r="AB15" s="2">
        <f t="shared" si="9"/>
        <v>0</v>
      </c>
    </row>
    <row r="16" spans="1:29">
      <c r="A16" s="2">
        <v>13</v>
      </c>
      <c r="B16" s="2" t="s">
        <v>120</v>
      </c>
      <c r="C16" s="2" t="s">
        <v>2081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2101</v>
      </c>
      <c r="J16" s="2" t="s">
        <v>2102</v>
      </c>
      <c r="K16" s="2">
        <f t="shared" si="10"/>
        <v>42644814.365046374</v>
      </c>
      <c r="L16" s="2" t="s">
        <v>1879</v>
      </c>
      <c r="M16" s="2" t="s">
        <v>1635</v>
      </c>
      <c r="N16" s="2" t="s">
        <v>2103</v>
      </c>
      <c r="O16" s="2">
        <v>528</v>
      </c>
      <c r="P16" s="2">
        <v>1906</v>
      </c>
      <c r="Q16" s="2">
        <v>2060.60009765625</v>
      </c>
      <c r="R16" s="2">
        <f t="shared" si="0"/>
        <v>1006368</v>
      </c>
      <c r="S16" s="2">
        <f t="shared" si="1"/>
        <v>1087996.8515625</v>
      </c>
      <c r="T16" s="2">
        <f t="shared" si="2"/>
        <v>2094364.8515625</v>
      </c>
      <c r="U16" s="2">
        <f t="shared" si="3"/>
        <v>1047.18</v>
      </c>
      <c r="V16" s="2">
        <f t="shared" si="4"/>
        <v>81628.8515625</v>
      </c>
      <c r="W16" s="2">
        <f t="shared" si="5"/>
        <v>80581.671562500007</v>
      </c>
      <c r="X16" s="2">
        <f t="shared" si="6"/>
        <v>42725396.036608875</v>
      </c>
      <c r="Y16" s="2">
        <f t="shared" si="7"/>
        <v>201273.60000000001</v>
      </c>
      <c r="Z16" s="2">
        <f t="shared" si="8"/>
        <v>40.04</v>
      </c>
      <c r="AA16" s="2">
        <f t="shared" si="11"/>
        <v>42725396.036608875</v>
      </c>
      <c r="AB16" s="2">
        <f t="shared" si="9"/>
        <v>0</v>
      </c>
    </row>
    <row r="17" spans="1:28">
      <c r="A17" s="2">
        <v>14</v>
      </c>
      <c r="B17" s="2" t="s">
        <v>126</v>
      </c>
      <c r="C17" s="2" t="s">
        <v>2081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984</v>
      </c>
      <c r="J17" s="2" t="s">
        <v>1849</v>
      </c>
      <c r="K17" s="2">
        <f t="shared" si="10"/>
        <v>42725396.036608875</v>
      </c>
      <c r="L17" s="2" t="s">
        <v>1573</v>
      </c>
      <c r="M17" s="2" t="s">
        <v>2104</v>
      </c>
      <c r="N17" s="2" t="s">
        <v>1805</v>
      </c>
      <c r="O17" s="2">
        <v>125</v>
      </c>
      <c r="P17" s="2">
        <v>5734.505859375</v>
      </c>
      <c r="Q17" s="2">
        <v>5928.97216796875</v>
      </c>
      <c r="R17" s="2">
        <f t="shared" si="0"/>
        <v>716813.232421875</v>
      </c>
      <c r="S17" s="2">
        <f t="shared" si="1"/>
        <v>741121.52099609375</v>
      </c>
      <c r="T17" s="2">
        <f t="shared" si="2"/>
        <v>1457934.7534179688</v>
      </c>
      <c r="U17" s="2">
        <f t="shared" si="3"/>
        <v>728.97</v>
      </c>
      <c r="V17" s="2">
        <f t="shared" si="4"/>
        <v>24308.28857421875</v>
      </c>
      <c r="W17" s="2">
        <f t="shared" si="5"/>
        <v>23579.318574218749</v>
      </c>
      <c r="X17" s="2">
        <f t="shared" si="6"/>
        <v>42748975.355183095</v>
      </c>
      <c r="Y17" s="2">
        <f t="shared" si="7"/>
        <v>143362.65</v>
      </c>
      <c r="Z17" s="2">
        <f t="shared" si="8"/>
        <v>16.45</v>
      </c>
      <c r="AA17" s="2">
        <f t="shared" si="11"/>
        <v>42748975.355183095</v>
      </c>
      <c r="AB17" s="2">
        <f t="shared" si="9"/>
        <v>0</v>
      </c>
    </row>
    <row r="18" spans="1:28">
      <c r="A18" s="2">
        <v>15</v>
      </c>
      <c r="B18" s="2" t="s">
        <v>133</v>
      </c>
      <c r="C18" s="2" t="s">
        <v>2081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42748975.355183095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42748975.355183095</v>
      </c>
      <c r="Y18" s="6" t="s">
        <v>1195</v>
      </c>
      <c r="Z18" s="6" t="s">
        <v>1195</v>
      </c>
      <c r="AA18" s="2">
        <f>AA17</f>
        <v>42748975.355183095</v>
      </c>
      <c r="AB18" s="2">
        <v>0</v>
      </c>
    </row>
    <row r="19" spans="1:28">
      <c r="A19" s="2">
        <v>16</v>
      </c>
      <c r="B19" s="2" t="s">
        <v>141</v>
      </c>
      <c r="C19" s="2" t="s">
        <v>2081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2093</v>
      </c>
      <c r="J19" s="2" t="s">
        <v>207</v>
      </c>
      <c r="K19" s="2">
        <f t="shared" si="10"/>
        <v>42748975.355183095</v>
      </c>
      <c r="L19" s="2" t="s">
        <v>1557</v>
      </c>
      <c r="M19" s="2" t="s">
        <v>1572</v>
      </c>
      <c r="N19" s="2" t="s">
        <v>1565</v>
      </c>
      <c r="O19" s="2">
        <v>200</v>
      </c>
      <c r="P19" s="2">
        <v>2792.13427734375</v>
      </c>
      <c r="Q19" s="2">
        <v>2841.106201171875</v>
      </c>
      <c r="R19" s="2">
        <f>O19*P19</f>
        <v>558426.85546875</v>
      </c>
      <c r="S19" s="2">
        <f>O19*Q19</f>
        <v>568221.240234375</v>
      </c>
      <c r="T19" s="2">
        <f>R19+S19</f>
        <v>1126648.095703125</v>
      </c>
      <c r="U19" s="2">
        <f>ROUND(T19*0.0005, 2)</f>
        <v>563.32000000000005</v>
      </c>
      <c r="V19" s="2">
        <f>S19-R19</f>
        <v>9794.384765625</v>
      </c>
      <c r="W19" s="2">
        <f>V19-U19</f>
        <v>9231.0647656250003</v>
      </c>
      <c r="X19" s="2">
        <f>K19+W19</f>
        <v>42758206.419948719</v>
      </c>
      <c r="Y19" s="2">
        <f>ROUND(0.2*R19, 2)</f>
        <v>111685.37</v>
      </c>
      <c r="Z19" s="2">
        <f>ROUND((W19/Y19)*100, 2)</f>
        <v>8.27</v>
      </c>
      <c r="AA19" s="2">
        <f>MAX(AA18, X19)</f>
        <v>42758206.419948719</v>
      </c>
      <c r="AB19" s="2">
        <f>X19-AA19</f>
        <v>0</v>
      </c>
    </row>
    <row r="20" spans="1:28">
      <c r="A20" s="2">
        <v>17</v>
      </c>
      <c r="B20" s="2" t="s">
        <v>149</v>
      </c>
      <c r="C20" s="2" t="s">
        <v>2081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42758206.419948719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42758206.419948719</v>
      </c>
      <c r="Y20" s="6" t="s">
        <v>1195</v>
      </c>
      <c r="Z20" s="6" t="s">
        <v>1195</v>
      </c>
      <c r="AA20" s="2">
        <f>AA19</f>
        <v>42758206.419948719</v>
      </c>
      <c r="AB20" s="2">
        <v>0</v>
      </c>
    </row>
    <row r="21" spans="1:28">
      <c r="A21" s="2">
        <v>18</v>
      </c>
      <c r="B21" s="2" t="s">
        <v>154</v>
      </c>
      <c r="C21" s="2" t="s">
        <v>2081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42758206.419948719</v>
      </c>
      <c r="L21" s="2" t="s">
        <v>159</v>
      </c>
      <c r="M21" s="2" t="s">
        <v>81</v>
      </c>
      <c r="N21" s="2" t="s">
        <v>2105</v>
      </c>
      <c r="O21" s="2">
        <v>668</v>
      </c>
      <c r="P21" s="2">
        <v>1280</v>
      </c>
      <c r="Q21" s="2">
        <v>1470.2</v>
      </c>
      <c r="R21" s="2">
        <f>O21*P21</f>
        <v>855040</v>
      </c>
      <c r="S21" s="2">
        <f>O21*Q21</f>
        <v>982093.6</v>
      </c>
      <c r="T21" s="2">
        <f>R21+S21</f>
        <v>1837133.6</v>
      </c>
      <c r="U21" s="2">
        <f>ROUND(T21*0.0005, 2)</f>
        <v>918.57</v>
      </c>
      <c r="V21" s="2">
        <f>S21-R21</f>
        <v>127053.59999999998</v>
      </c>
      <c r="W21" s="2">
        <f>V21-U21</f>
        <v>126135.02999999997</v>
      </c>
      <c r="X21" s="2">
        <f>K21+W21</f>
        <v>42884341.449948721</v>
      </c>
      <c r="Y21" s="2">
        <f>ROUND(0.2*R21, 2)</f>
        <v>171008</v>
      </c>
      <c r="Z21" s="2">
        <f>ROUND((W21/Y21)*100, 2)</f>
        <v>73.760000000000005</v>
      </c>
      <c r="AA21" s="2">
        <f>MAX(AA20, X21)</f>
        <v>42884341.449948721</v>
      </c>
      <c r="AB21" s="2">
        <f>X21-AA21</f>
        <v>0</v>
      </c>
    </row>
    <row r="22" spans="1:28">
      <c r="A22" s="2">
        <v>19</v>
      </c>
      <c r="B22" s="2" t="s">
        <v>160</v>
      </c>
      <c r="C22" s="2" t="s">
        <v>2081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42884341.449948721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42884341.449948721</v>
      </c>
      <c r="Y22" s="6" t="s">
        <v>1195</v>
      </c>
      <c r="Z22" s="6" t="s">
        <v>1195</v>
      </c>
      <c r="AA22" s="2">
        <f>AA21</f>
        <v>42884341.449948721</v>
      </c>
      <c r="AB22" s="2">
        <v>0</v>
      </c>
    </row>
    <row r="23" spans="1:28">
      <c r="A23" s="2">
        <v>20</v>
      </c>
      <c r="B23" s="2" t="s">
        <v>168</v>
      </c>
      <c r="C23" s="2" t="s">
        <v>2081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42884341.449948721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42884341.449948721</v>
      </c>
      <c r="Y23" s="6" t="s">
        <v>1195</v>
      </c>
      <c r="Z23" s="6" t="s">
        <v>1195</v>
      </c>
      <c r="AA23" s="2">
        <f>AA22</f>
        <v>42884341.449948721</v>
      </c>
      <c r="AB23" s="2">
        <v>0</v>
      </c>
    </row>
    <row r="24" spans="1:28">
      <c r="A24" s="2">
        <v>21</v>
      </c>
      <c r="B24" s="2" t="s">
        <v>175</v>
      </c>
      <c r="C24" s="2" t="s">
        <v>2081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2106</v>
      </c>
      <c r="J24" s="2" t="s">
        <v>1387</v>
      </c>
      <c r="K24" s="2">
        <f t="shared" si="10"/>
        <v>42884341.449948721</v>
      </c>
      <c r="L24" s="2" t="s">
        <v>1629</v>
      </c>
      <c r="M24" s="2" t="s">
        <v>1557</v>
      </c>
      <c r="N24" s="2" t="s">
        <v>1374</v>
      </c>
      <c r="O24" s="2">
        <v>625</v>
      </c>
      <c r="P24" s="2">
        <v>1060.704833984375</v>
      </c>
      <c r="Q24" s="2">
        <v>1138.767456054688</v>
      </c>
      <c r="R24" s="2">
        <f>O24*P24</f>
        <v>662940.52124023437</v>
      </c>
      <c r="S24" s="2">
        <f>O24*Q24</f>
        <v>711729.66003417992</v>
      </c>
      <c r="T24" s="2">
        <f>R24+S24</f>
        <v>1374670.1812744143</v>
      </c>
      <c r="U24" s="2">
        <f>ROUND(T24*0.0005, 2)</f>
        <v>687.34</v>
      </c>
      <c r="V24" s="2">
        <f>S24-R24</f>
        <v>48789.138793945545</v>
      </c>
      <c r="W24" s="2">
        <f>V24-U24</f>
        <v>48101.798793945549</v>
      </c>
      <c r="X24" s="2">
        <f>K24+W24</f>
        <v>42932443.24874267</v>
      </c>
      <c r="Y24" s="2">
        <f>ROUND(0.2*R24, 2)</f>
        <v>132588.1</v>
      </c>
      <c r="Z24" s="2">
        <f>ROUND((W24/Y24)*100, 2)</f>
        <v>36.28</v>
      </c>
      <c r="AA24" s="2">
        <f>MAX(AA23, X24)</f>
        <v>42932443.24874267</v>
      </c>
      <c r="AB24" s="2">
        <f>X24-AA24</f>
        <v>0</v>
      </c>
    </row>
    <row r="25" spans="1:28">
      <c r="A25" s="2">
        <v>22</v>
      </c>
      <c r="B25" s="2" t="s">
        <v>184</v>
      </c>
      <c r="C25" s="2" t="s">
        <v>2081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1886</v>
      </c>
      <c r="J25" s="2" t="s">
        <v>2107</v>
      </c>
      <c r="K25" s="2">
        <f t="shared" si="10"/>
        <v>42932443.24874267</v>
      </c>
      <c r="L25" s="2" t="s">
        <v>1709</v>
      </c>
      <c r="M25" s="2" t="s">
        <v>1580</v>
      </c>
      <c r="N25" s="2" t="s">
        <v>1630</v>
      </c>
      <c r="O25" s="2">
        <v>125</v>
      </c>
      <c r="P25" s="2">
        <v>8591.2421875</v>
      </c>
      <c r="Q25" s="2">
        <v>8391.09375</v>
      </c>
      <c r="R25" s="2">
        <f>O25*P25</f>
        <v>1073905.2734375</v>
      </c>
      <c r="S25" s="2">
        <f>O25*Q25</f>
        <v>1048886.71875</v>
      </c>
      <c r="T25" s="2">
        <f>R25+S25</f>
        <v>2122791.9921875</v>
      </c>
      <c r="U25" s="2">
        <f>ROUND(T25*0.0005, 2)</f>
        <v>1061.4000000000001</v>
      </c>
      <c r="V25" s="2">
        <f>S25-R25</f>
        <v>-25018.5546875</v>
      </c>
      <c r="W25" s="2">
        <f>V25-U25</f>
        <v>-26079.954687500001</v>
      </c>
      <c r="X25" s="2">
        <f>K25+W25</f>
        <v>42906363.294055171</v>
      </c>
      <c r="Y25" s="2">
        <f>ROUND(0.2*R25, 2)</f>
        <v>214781.05</v>
      </c>
      <c r="Z25" s="2">
        <f>ROUND((W25/Y25)*100, 2)</f>
        <v>-12.14</v>
      </c>
      <c r="AA25" s="2">
        <f>MAX(AA24, X25)</f>
        <v>42932443.24874267</v>
      </c>
      <c r="AB25" s="2">
        <f>X25-AA25</f>
        <v>-26079.95468749851</v>
      </c>
    </row>
    <row r="26" spans="1:28">
      <c r="A26" s="2">
        <v>23</v>
      </c>
      <c r="B26" s="2" t="s">
        <v>190</v>
      </c>
      <c r="C26" s="2" t="s">
        <v>2081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1840</v>
      </c>
      <c r="J26" s="2" t="s">
        <v>618</v>
      </c>
      <c r="K26" s="2">
        <f t="shared" si="10"/>
        <v>42906363.294055171</v>
      </c>
      <c r="L26" s="2" t="s">
        <v>1467</v>
      </c>
      <c r="M26" s="2" t="s">
        <v>1591</v>
      </c>
      <c r="N26" s="2" t="s">
        <v>1639</v>
      </c>
      <c r="O26" s="2">
        <v>500</v>
      </c>
      <c r="P26" s="2">
        <v>1594.205200195312</v>
      </c>
      <c r="Q26" s="2">
        <v>1611.820434570312</v>
      </c>
      <c r="R26" s="2">
        <f>O26*P26</f>
        <v>797102.60009765602</v>
      </c>
      <c r="S26" s="2">
        <f>O26*Q26</f>
        <v>805910.21728515602</v>
      </c>
      <c r="T26" s="2">
        <f>R26+S26</f>
        <v>1603012.817382812</v>
      </c>
      <c r="U26" s="2">
        <f>ROUND(T26*0.0005, 2)</f>
        <v>801.51</v>
      </c>
      <c r="V26" s="2">
        <f>S26-R26</f>
        <v>8807.6171875</v>
      </c>
      <c r="W26" s="2">
        <f>V26-U26</f>
        <v>8006.1071874999998</v>
      </c>
      <c r="X26" s="2">
        <f>K26+W26</f>
        <v>42914369.401242673</v>
      </c>
      <c r="Y26" s="2">
        <f>ROUND(0.2*R26, 2)</f>
        <v>159420.51999999999</v>
      </c>
      <c r="Z26" s="2">
        <f>ROUND((W26/Y26)*100, 2)</f>
        <v>5.0199999999999996</v>
      </c>
      <c r="AA26" s="2">
        <f>MAX(AA25, X26)</f>
        <v>42932443.24874267</v>
      </c>
      <c r="AB26" s="2">
        <f>X26-AA26</f>
        <v>-18073.847499996424</v>
      </c>
    </row>
    <row r="27" spans="1:28">
      <c r="A27" s="2">
        <v>24</v>
      </c>
      <c r="B27" s="2" t="s">
        <v>195</v>
      </c>
      <c r="C27" s="2" t="s">
        <v>2081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42914369.401242673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42914369.401242673</v>
      </c>
      <c r="Y27" s="6" t="s">
        <v>1195</v>
      </c>
      <c r="Z27" s="6" t="s">
        <v>1195</v>
      </c>
      <c r="AA27" s="2">
        <f>AA26</f>
        <v>42932443.24874267</v>
      </c>
      <c r="AB27" s="2">
        <v>0</v>
      </c>
    </row>
    <row r="28" spans="1:28">
      <c r="A28" s="2">
        <v>25</v>
      </c>
      <c r="B28" s="2" t="s">
        <v>199</v>
      </c>
      <c r="C28" s="2" t="s">
        <v>2081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2088</v>
      </c>
      <c r="J28" s="2" t="s">
        <v>396</v>
      </c>
      <c r="K28" s="2">
        <f t="shared" si="10"/>
        <v>42914369.401242673</v>
      </c>
      <c r="L28" s="2" t="s">
        <v>1629</v>
      </c>
      <c r="M28" s="2" t="s">
        <v>1557</v>
      </c>
      <c r="N28" s="2" t="s">
        <v>1374</v>
      </c>
      <c r="O28" s="2">
        <v>125</v>
      </c>
      <c r="P28" s="2">
        <v>720.3536376953125</v>
      </c>
      <c r="Q28" s="2">
        <v>681.2701416015625</v>
      </c>
      <c r="R28" s="2">
        <f>O28*P28</f>
        <v>90044.204711914063</v>
      </c>
      <c r="S28" s="2">
        <f>O28*Q28</f>
        <v>85158.767700195313</v>
      </c>
      <c r="T28" s="2">
        <f>R28+S28</f>
        <v>175202.97241210937</v>
      </c>
      <c r="U28" s="2">
        <f>ROUND(T28*0.0005, 2)</f>
        <v>87.6</v>
      </c>
      <c r="V28" s="2">
        <f>S28-R28</f>
        <v>-4885.43701171875</v>
      </c>
      <c r="W28" s="2">
        <f>V28-U28</f>
        <v>-4973.0370117187504</v>
      </c>
      <c r="X28" s="2">
        <f>K28+W28</f>
        <v>42909396.364230953</v>
      </c>
      <c r="Y28" s="2">
        <f>ROUND(0.2*R28, 2)</f>
        <v>18008.84</v>
      </c>
      <c r="Z28" s="2">
        <f>ROUND((W28/Y28)*100, 2)</f>
        <v>-27.61</v>
      </c>
      <c r="AA28" s="2">
        <f>MAX(AA27, X28)</f>
        <v>42932443.24874267</v>
      </c>
      <c r="AB28" s="2">
        <f>X28-AA28</f>
        <v>-23046.884511716664</v>
      </c>
    </row>
    <row r="29" spans="1:28">
      <c r="A29" s="2">
        <v>26</v>
      </c>
      <c r="B29" s="2" t="s">
        <v>205</v>
      </c>
      <c r="C29" s="2" t="s">
        <v>2081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42909396.364230953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42909396.364230953</v>
      </c>
      <c r="Y29" s="6" t="s">
        <v>1195</v>
      </c>
      <c r="Z29" s="6" t="s">
        <v>1195</v>
      </c>
      <c r="AA29" s="2">
        <f>AA28</f>
        <v>42932443.24874267</v>
      </c>
      <c r="AB29" s="2">
        <v>0</v>
      </c>
    </row>
    <row r="30" spans="1:28">
      <c r="A30" s="2">
        <v>27</v>
      </c>
      <c r="B30" s="2" t="s">
        <v>209</v>
      </c>
      <c r="C30" s="2" t="s">
        <v>2081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42909396.364230953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42909396.364230953</v>
      </c>
      <c r="Y30" s="6" t="s">
        <v>1195</v>
      </c>
      <c r="Z30" s="6" t="s">
        <v>1195</v>
      </c>
      <c r="AA30" s="2">
        <f>AA29</f>
        <v>42932443.24874267</v>
      </c>
      <c r="AB30" s="2">
        <v>0</v>
      </c>
    </row>
    <row r="31" spans="1:28">
      <c r="A31" s="2">
        <v>28</v>
      </c>
      <c r="B31" s="2" t="s">
        <v>213</v>
      </c>
      <c r="C31" s="2" t="s">
        <v>2081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42909396.364230953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42909396.364230953</v>
      </c>
      <c r="Y31" s="6" t="s">
        <v>1195</v>
      </c>
      <c r="Z31" s="6" t="s">
        <v>1195</v>
      </c>
      <c r="AA31" s="2">
        <f>AA30</f>
        <v>42932443.24874267</v>
      </c>
      <c r="AB31" s="2">
        <v>0</v>
      </c>
    </row>
    <row r="32" spans="1:28">
      <c r="A32" s="2">
        <v>29</v>
      </c>
      <c r="B32" s="2" t="s">
        <v>218</v>
      </c>
      <c r="C32" s="2" t="s">
        <v>2081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42909396.364230953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42909396.364230953</v>
      </c>
      <c r="Y32" s="6" t="s">
        <v>1195</v>
      </c>
      <c r="Z32" s="6" t="s">
        <v>1195</v>
      </c>
      <c r="AA32" s="2">
        <f>AA31</f>
        <v>42932443.24874267</v>
      </c>
      <c r="AB32" s="2">
        <v>0</v>
      </c>
    </row>
    <row r="33" spans="1:28">
      <c r="A33" s="2">
        <v>30</v>
      </c>
      <c r="B33" s="2" t="s">
        <v>225</v>
      </c>
      <c r="C33" s="2" t="s">
        <v>2081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2108</v>
      </c>
      <c r="J33" s="2" t="s">
        <v>2109</v>
      </c>
      <c r="K33" s="2">
        <f t="shared" si="10"/>
        <v>42909396.364230953</v>
      </c>
      <c r="L33" s="2" t="s">
        <v>1565</v>
      </c>
      <c r="M33" s="2" t="s">
        <v>1540</v>
      </c>
      <c r="N33" s="2" t="s">
        <v>1651</v>
      </c>
      <c r="O33" s="2">
        <v>2438</v>
      </c>
      <c r="P33" s="2">
        <v>290.1260986328125</v>
      </c>
      <c r="Q33" s="2">
        <v>222.8783264160156</v>
      </c>
      <c r="R33" s="2">
        <f>O33*P33</f>
        <v>707327.42846679687</v>
      </c>
      <c r="S33" s="2">
        <f>O33*Q33</f>
        <v>543377.35980224598</v>
      </c>
      <c r="T33" s="2">
        <f>R33+S33</f>
        <v>1250704.788269043</v>
      </c>
      <c r="U33" s="2">
        <f>ROUND(T33*0.0005, 2)</f>
        <v>625.35</v>
      </c>
      <c r="V33" s="2">
        <f>S33-R33</f>
        <v>-163950.0686645509</v>
      </c>
      <c r="W33" s="2">
        <f>V33-U33</f>
        <v>-164575.4186645509</v>
      </c>
      <c r="X33" s="2">
        <f>K33+W33</f>
        <v>42744820.945566401</v>
      </c>
      <c r="Y33" s="2">
        <f>ROUND(0.2*R33, 2)</f>
        <v>141465.49</v>
      </c>
      <c r="Z33" s="2">
        <f>ROUND((W33/Y33)*100, 2)</f>
        <v>-116.34</v>
      </c>
      <c r="AA33" s="2">
        <f>MAX(AA32, X33)</f>
        <v>42932443.24874267</v>
      </c>
      <c r="AB33" s="2">
        <f>X33-AA33</f>
        <v>-187622.30317626894</v>
      </c>
    </row>
    <row r="34" spans="1:28">
      <c r="A34" s="2">
        <v>31</v>
      </c>
      <c r="B34" s="2" t="s">
        <v>230</v>
      </c>
      <c r="C34" s="2" t="s">
        <v>2081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42744820.945566401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42744820.945566401</v>
      </c>
      <c r="Y34" s="6" t="s">
        <v>1195</v>
      </c>
      <c r="Z34" s="6" t="s">
        <v>1195</v>
      </c>
      <c r="AA34" s="2">
        <f>AA33</f>
        <v>42932443.24874267</v>
      </c>
      <c r="AB34" s="2">
        <v>0</v>
      </c>
    </row>
    <row r="35" spans="1:28">
      <c r="A35" s="2">
        <v>32</v>
      </c>
      <c r="B35" s="2" t="s">
        <v>236</v>
      </c>
      <c r="C35" s="2" t="s">
        <v>2081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665</v>
      </c>
      <c r="J35" s="2" t="s">
        <v>2023</v>
      </c>
      <c r="K35" s="2">
        <f t="shared" si="10"/>
        <v>42744820.945566401</v>
      </c>
      <c r="L35" s="2" t="s">
        <v>1557</v>
      </c>
      <c r="M35" s="2" t="s">
        <v>1613</v>
      </c>
      <c r="N35" s="2" t="s">
        <v>1555</v>
      </c>
      <c r="O35" s="2">
        <v>950</v>
      </c>
      <c r="P35" s="2">
        <v>1259.7890625</v>
      </c>
      <c r="Q35" s="2">
        <v>1329.317138671875</v>
      </c>
      <c r="R35" s="2">
        <f>O35*P35</f>
        <v>1196799.609375</v>
      </c>
      <c r="S35" s="2">
        <f>O35*Q35</f>
        <v>1262851.2817382812</v>
      </c>
      <c r="T35" s="2">
        <f>R35+S35</f>
        <v>2459650.8911132812</v>
      </c>
      <c r="U35" s="2">
        <f>ROUND(T35*0.0005, 2)</f>
        <v>1229.83</v>
      </c>
      <c r="V35" s="2">
        <f>S35-R35</f>
        <v>66051.67236328125</v>
      </c>
      <c r="W35" s="2">
        <f>V35-U35</f>
        <v>64821.842363281248</v>
      </c>
      <c r="X35" s="2">
        <f>K35+W35</f>
        <v>42809642.787929684</v>
      </c>
      <c r="Y35" s="2">
        <f>ROUND(0.2*R35, 2)</f>
        <v>239359.92</v>
      </c>
      <c r="Z35" s="2">
        <f>ROUND((W35/Y35)*100, 2)</f>
        <v>27.08</v>
      </c>
      <c r="AA35" s="2">
        <f>MAX(AA34, X35)</f>
        <v>42932443.24874267</v>
      </c>
      <c r="AB35" s="2">
        <f>X35-AA35</f>
        <v>-122800.4608129859</v>
      </c>
    </row>
    <row r="36" spans="1:28">
      <c r="A36" s="2">
        <v>33</v>
      </c>
      <c r="B36" s="2" t="s">
        <v>240</v>
      </c>
      <c r="C36" s="2" t="s">
        <v>2081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42809642.787929684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42809642.787929684</v>
      </c>
      <c r="Y36" s="6" t="s">
        <v>1195</v>
      </c>
      <c r="Z36" s="6" t="s">
        <v>1195</v>
      </c>
      <c r="AA36" s="2">
        <f>AA35</f>
        <v>42932443.24874267</v>
      </c>
      <c r="AB36" s="2">
        <v>0</v>
      </c>
    </row>
    <row r="37" spans="1:28">
      <c r="A37" s="2">
        <v>34</v>
      </c>
      <c r="B37" s="2" t="s">
        <v>245</v>
      </c>
      <c r="C37" s="2" t="s">
        <v>2081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42809642.787929684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42809642.787929684</v>
      </c>
      <c r="Y37" s="6" t="s">
        <v>1195</v>
      </c>
      <c r="Z37" s="6" t="s">
        <v>1195</v>
      </c>
      <c r="AA37" s="2">
        <f>AA36</f>
        <v>42932443.24874267</v>
      </c>
      <c r="AB37" s="2">
        <v>0</v>
      </c>
    </row>
    <row r="38" spans="1:28">
      <c r="A38" s="2">
        <v>35</v>
      </c>
      <c r="B38" s="2" t="s">
        <v>248</v>
      </c>
      <c r="C38" s="2" t="s">
        <v>2081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42809642.787929684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42809642.787929684</v>
      </c>
      <c r="Y38" s="6" t="s">
        <v>1195</v>
      </c>
      <c r="Z38" s="6" t="s">
        <v>1195</v>
      </c>
      <c r="AA38" s="2">
        <f>AA37</f>
        <v>42932443.24874267</v>
      </c>
      <c r="AB38" s="2">
        <v>0</v>
      </c>
    </row>
    <row r="39" spans="1:28">
      <c r="A39" s="2">
        <v>36</v>
      </c>
      <c r="B39" s="2" t="s">
        <v>252</v>
      </c>
      <c r="C39" s="2" t="s">
        <v>2081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42809642.787929684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42809642.787929684</v>
      </c>
      <c r="Y39" s="6" t="s">
        <v>1195</v>
      </c>
      <c r="Z39" s="6" t="s">
        <v>1195</v>
      </c>
      <c r="AA39" s="2">
        <f>AA38</f>
        <v>42932443.24874267</v>
      </c>
      <c r="AB39" s="2">
        <v>0</v>
      </c>
    </row>
    <row r="40" spans="1:28">
      <c r="A40" s="2">
        <v>37</v>
      </c>
      <c r="B40" s="2" t="s">
        <v>256</v>
      </c>
      <c r="C40" s="2" t="s">
        <v>2081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2110</v>
      </c>
      <c r="J40" s="2" t="s">
        <v>152</v>
      </c>
      <c r="K40" s="2">
        <f t="shared" si="10"/>
        <v>42809642.787929684</v>
      </c>
      <c r="L40" s="2" t="s">
        <v>1557</v>
      </c>
      <c r="M40" s="2" t="s">
        <v>1558</v>
      </c>
      <c r="N40" s="2" t="s">
        <v>1559</v>
      </c>
      <c r="O40" s="2">
        <v>1800</v>
      </c>
      <c r="P40" s="2">
        <v>275.91717529296881</v>
      </c>
      <c r="Q40" s="2">
        <v>280.866943359375</v>
      </c>
      <c r="R40" s="2">
        <f>O40*P40</f>
        <v>496650.91552734387</v>
      </c>
      <c r="S40" s="2">
        <f>O40*Q40</f>
        <v>505560.498046875</v>
      </c>
      <c r="T40" s="2">
        <f>R40+S40</f>
        <v>1002211.4135742189</v>
      </c>
      <c r="U40" s="2">
        <f>ROUND(T40*0.0005, 2)</f>
        <v>501.11</v>
      </c>
      <c r="V40" s="2">
        <f>S40-R40</f>
        <v>8909.5825195311336</v>
      </c>
      <c r="W40" s="2">
        <f>V40-U40</f>
        <v>8408.472519531133</v>
      </c>
      <c r="X40" s="2">
        <f>K40+W40</f>
        <v>42818051.260449216</v>
      </c>
      <c r="Y40" s="2">
        <f>ROUND(0.2*R40, 2)</f>
        <v>99330.18</v>
      </c>
      <c r="Z40" s="2">
        <f>ROUND((W40/Y40)*100, 2)</f>
        <v>8.4700000000000006</v>
      </c>
      <c r="AA40" s="2">
        <f>MAX(AA39, X40)</f>
        <v>42932443.24874267</v>
      </c>
      <c r="AB40" s="2">
        <f>X40-AA40</f>
        <v>-114391.98829345405</v>
      </c>
    </row>
    <row r="41" spans="1:28">
      <c r="A41" s="2">
        <v>38</v>
      </c>
      <c r="B41" s="2" t="s">
        <v>259</v>
      </c>
      <c r="C41" s="2" t="s">
        <v>2081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1753</v>
      </c>
      <c r="J41" s="2" t="s">
        <v>2111</v>
      </c>
      <c r="K41" s="2">
        <f t="shared" si="10"/>
        <v>42818051.260449216</v>
      </c>
      <c r="L41" s="2" t="s">
        <v>1557</v>
      </c>
      <c r="M41" s="2" t="s">
        <v>1543</v>
      </c>
      <c r="N41" s="2" t="s">
        <v>1582</v>
      </c>
      <c r="O41" s="2">
        <v>200</v>
      </c>
      <c r="P41" s="2">
        <v>4623.0517578125</v>
      </c>
      <c r="Q41" s="2">
        <v>5041.3056640625</v>
      </c>
      <c r="R41" s="2">
        <f>O41*P41</f>
        <v>924610.3515625</v>
      </c>
      <c r="S41" s="2">
        <f>O41*Q41</f>
        <v>1008261.1328125</v>
      </c>
      <c r="T41" s="2">
        <f>R41+S41</f>
        <v>1932871.484375</v>
      </c>
      <c r="U41" s="2">
        <f>ROUND(T41*0.0005, 2)</f>
        <v>966.44</v>
      </c>
      <c r="V41" s="2">
        <f>S41-R41</f>
        <v>83650.78125</v>
      </c>
      <c r="W41" s="2">
        <f>V41-U41</f>
        <v>82684.341249999998</v>
      </c>
      <c r="X41" s="2">
        <f>K41+W41</f>
        <v>42900735.601699218</v>
      </c>
      <c r="Y41" s="2">
        <f>ROUND(0.2*R41, 2)</f>
        <v>184922.07</v>
      </c>
      <c r="Z41" s="2">
        <f>ROUND((W41/Y41)*100, 2)</f>
        <v>44.71</v>
      </c>
      <c r="AA41" s="2">
        <f>MAX(AA40, X41)</f>
        <v>42932443.24874267</v>
      </c>
      <c r="AB41" s="2">
        <f>X41-AA41</f>
        <v>-31707.647043451667</v>
      </c>
    </row>
    <row r="42" spans="1:28">
      <c r="A42" s="2">
        <v>39</v>
      </c>
      <c r="B42" s="2" t="s">
        <v>265</v>
      </c>
      <c r="C42" s="2" t="s">
        <v>2081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42900735.601699218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42900735.601699218</v>
      </c>
      <c r="Y42" s="6" t="s">
        <v>1195</v>
      </c>
      <c r="Z42" s="6" t="s">
        <v>1195</v>
      </c>
      <c r="AA42" s="2">
        <f t="shared" ref="AA42:AA47" si="13">AA41</f>
        <v>42932443.24874267</v>
      </c>
      <c r="AB42" s="2">
        <v>0</v>
      </c>
    </row>
    <row r="43" spans="1:28">
      <c r="A43" s="2">
        <v>40</v>
      </c>
      <c r="B43" s="2" t="s">
        <v>269</v>
      </c>
      <c r="C43" s="2" t="s">
        <v>2081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42900735.601699218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42900735.601699218</v>
      </c>
      <c r="Y43" s="6" t="s">
        <v>1195</v>
      </c>
      <c r="Z43" s="6" t="s">
        <v>1195</v>
      </c>
      <c r="AA43" s="2">
        <f t="shared" si="13"/>
        <v>42932443.24874267</v>
      </c>
      <c r="AB43" s="2">
        <v>0</v>
      </c>
    </row>
    <row r="44" spans="1:28">
      <c r="A44" s="2">
        <v>41</v>
      </c>
      <c r="B44" s="2" t="s">
        <v>272</v>
      </c>
      <c r="C44" s="2" t="s">
        <v>2081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42900735.601699218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42900735.601699218</v>
      </c>
      <c r="Y44" s="6" t="s">
        <v>1195</v>
      </c>
      <c r="Z44" s="6" t="s">
        <v>1195</v>
      </c>
      <c r="AA44" s="2">
        <f t="shared" si="13"/>
        <v>42932443.24874267</v>
      </c>
      <c r="AB44" s="2">
        <v>0</v>
      </c>
    </row>
    <row r="45" spans="1:28">
      <c r="A45" s="2">
        <v>42</v>
      </c>
      <c r="B45" s="2" t="s">
        <v>275</v>
      </c>
      <c r="C45" s="2" t="s">
        <v>2081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42900735.601699218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42900735.601699218</v>
      </c>
      <c r="Y45" s="6" t="s">
        <v>1195</v>
      </c>
      <c r="Z45" s="6" t="s">
        <v>1195</v>
      </c>
      <c r="AA45" s="2">
        <f t="shared" si="13"/>
        <v>42932443.24874267</v>
      </c>
      <c r="AB45" s="2">
        <v>0</v>
      </c>
    </row>
    <row r="46" spans="1:28">
      <c r="A46" s="2">
        <v>43</v>
      </c>
      <c r="B46" s="2" t="s">
        <v>280</v>
      </c>
      <c r="C46" s="2" t="s">
        <v>2081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42900735.601699218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42900735.601699218</v>
      </c>
      <c r="Y46" s="6" t="s">
        <v>1195</v>
      </c>
      <c r="Z46" s="6" t="s">
        <v>1195</v>
      </c>
      <c r="AA46" s="2">
        <f t="shared" si="13"/>
        <v>42932443.24874267</v>
      </c>
      <c r="AB46" s="2">
        <v>0</v>
      </c>
    </row>
    <row r="47" spans="1:28">
      <c r="A47" s="2">
        <v>44</v>
      </c>
      <c r="B47" s="2" t="s">
        <v>284</v>
      </c>
      <c r="C47" s="2" t="s">
        <v>2081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42900735.601699218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42900735.601699218</v>
      </c>
      <c r="Y47" s="6" t="s">
        <v>1195</v>
      </c>
      <c r="Z47" s="6" t="s">
        <v>1195</v>
      </c>
      <c r="AA47" s="2">
        <f t="shared" si="13"/>
        <v>42932443.24874267</v>
      </c>
      <c r="AB47" s="2">
        <v>0</v>
      </c>
    </row>
    <row r="48" spans="1:28">
      <c r="A48" s="2">
        <v>45</v>
      </c>
      <c r="B48" s="2" t="s">
        <v>291</v>
      </c>
      <c r="C48" s="2" t="s">
        <v>2081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1490</v>
      </c>
      <c r="J48" s="2" t="s">
        <v>2112</v>
      </c>
      <c r="K48" s="2">
        <f t="shared" si="10"/>
        <v>42900735.601699218</v>
      </c>
      <c r="L48" s="2" t="s">
        <v>1566</v>
      </c>
      <c r="M48" s="2" t="s">
        <v>1545</v>
      </c>
      <c r="N48" s="2" t="s">
        <v>2113</v>
      </c>
      <c r="O48" s="2">
        <v>650</v>
      </c>
      <c r="P48" s="2">
        <v>1359.866821289062</v>
      </c>
      <c r="Q48" s="2">
        <v>1345.967163085938</v>
      </c>
      <c r="R48" s="2">
        <f>O48*P48</f>
        <v>883913.43383789028</v>
      </c>
      <c r="S48" s="2">
        <f>O48*Q48</f>
        <v>874878.65600585972</v>
      </c>
      <c r="T48" s="2">
        <f>R48+S48</f>
        <v>1758792.08984375</v>
      </c>
      <c r="U48" s="2">
        <f>ROUND(T48*0.0005, 2)</f>
        <v>879.4</v>
      </c>
      <c r="V48" s="2">
        <f>S48-R48</f>
        <v>-9034.7778320305515</v>
      </c>
      <c r="W48" s="2">
        <f>V48-U48</f>
        <v>-9914.1778320305511</v>
      </c>
      <c r="X48" s="2">
        <f>K48+W48</f>
        <v>42890821.423867188</v>
      </c>
      <c r="Y48" s="2">
        <f>ROUND(0.2*R48, 2)</f>
        <v>176782.69</v>
      </c>
      <c r="Z48" s="2">
        <f>ROUND((W48/Y48)*100, 2)</f>
        <v>-5.61</v>
      </c>
      <c r="AA48" s="2">
        <f>MAX(AA47, X48)</f>
        <v>42932443.24874267</v>
      </c>
      <c r="AB48" s="2">
        <f>X48-AA48</f>
        <v>-41621.824875481427</v>
      </c>
    </row>
    <row r="49" spans="1:28">
      <c r="A49" s="2">
        <v>46</v>
      </c>
      <c r="B49" s="2" t="s">
        <v>295</v>
      </c>
      <c r="C49" s="2" t="s">
        <v>2081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2114</v>
      </c>
      <c r="J49" s="2" t="s">
        <v>2115</v>
      </c>
      <c r="K49" s="2">
        <f t="shared" si="10"/>
        <v>42890821.423867188</v>
      </c>
      <c r="L49" s="2" t="s">
        <v>1580</v>
      </c>
      <c r="M49" s="2" t="s">
        <v>1581</v>
      </c>
      <c r="N49" s="2" t="s">
        <v>1299</v>
      </c>
      <c r="O49" s="2">
        <v>2100</v>
      </c>
      <c r="P49" s="2">
        <v>389.44833374023437</v>
      </c>
      <c r="Q49" s="2">
        <v>404.96646118164062</v>
      </c>
      <c r="R49" s="2">
        <f>O49*P49</f>
        <v>817841.50085449219</v>
      </c>
      <c r="S49" s="2">
        <f>O49*Q49</f>
        <v>850429.56848144531</v>
      </c>
      <c r="T49" s="2">
        <f>R49+S49</f>
        <v>1668271.0693359375</v>
      </c>
      <c r="U49" s="2">
        <f>ROUND(T49*0.0005, 2)</f>
        <v>834.14</v>
      </c>
      <c r="V49" s="2">
        <f>S49-R49</f>
        <v>32588.067626953125</v>
      </c>
      <c r="W49" s="2">
        <f>V49-U49</f>
        <v>31753.927626953126</v>
      </c>
      <c r="X49" s="2">
        <f>K49+W49</f>
        <v>42922575.351494141</v>
      </c>
      <c r="Y49" s="2">
        <f>ROUND(0.2*R49, 2)</f>
        <v>163568.29999999999</v>
      </c>
      <c r="Z49" s="2">
        <f>ROUND((W49/Y49)*100, 2)</f>
        <v>19.41</v>
      </c>
      <c r="AA49" s="2">
        <f>MAX(AA48, X49)</f>
        <v>42932443.24874267</v>
      </c>
      <c r="AB49" s="2">
        <f>X49-AA49</f>
        <v>-9867.8972485288978</v>
      </c>
    </row>
    <row r="50" spans="1:28">
      <c r="A50" s="2">
        <v>47</v>
      </c>
      <c r="B50" s="2" t="s">
        <v>299</v>
      </c>
      <c r="C50" s="2" t="s">
        <v>2081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42922575.351494141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42922575.351494141</v>
      </c>
      <c r="Y50" s="6" t="s">
        <v>1195</v>
      </c>
      <c r="Z50" s="6" t="s">
        <v>1195</v>
      </c>
      <c r="AA50" s="2">
        <f t="shared" ref="AA50:AA61" si="15">AA49</f>
        <v>42932443.24874267</v>
      </c>
      <c r="AB50" s="2">
        <v>0</v>
      </c>
    </row>
    <row r="51" spans="1:28">
      <c r="A51" s="2">
        <v>48</v>
      </c>
      <c r="B51" s="2" t="s">
        <v>303</v>
      </c>
      <c r="C51" s="2" t="s">
        <v>2081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42922575.351494141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42922575.351494141</v>
      </c>
      <c r="Y51" s="6" t="s">
        <v>1195</v>
      </c>
      <c r="Z51" s="6" t="s">
        <v>1195</v>
      </c>
      <c r="AA51" s="2">
        <f t="shared" si="15"/>
        <v>42932443.24874267</v>
      </c>
      <c r="AB51" s="2">
        <v>0</v>
      </c>
    </row>
    <row r="52" spans="1:28">
      <c r="A52" s="2">
        <v>49</v>
      </c>
      <c r="B52" s="2" t="s">
        <v>307</v>
      </c>
      <c r="C52" s="2" t="s">
        <v>2081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42922575.351494141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42922575.351494141</v>
      </c>
      <c r="Y52" s="6" t="s">
        <v>1195</v>
      </c>
      <c r="Z52" s="6" t="s">
        <v>1195</v>
      </c>
      <c r="AA52" s="2">
        <f t="shared" si="15"/>
        <v>42932443.24874267</v>
      </c>
      <c r="AB52" s="2">
        <v>0</v>
      </c>
    </row>
    <row r="53" spans="1:28">
      <c r="A53" s="2">
        <v>50</v>
      </c>
      <c r="B53" s="2" t="s">
        <v>311</v>
      </c>
      <c r="C53" s="2" t="s">
        <v>2081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42922575.351494141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42922575.351494141</v>
      </c>
      <c r="Y53" s="6" t="s">
        <v>1195</v>
      </c>
      <c r="Z53" s="6" t="s">
        <v>1195</v>
      </c>
      <c r="AA53" s="2">
        <f t="shared" si="15"/>
        <v>42932443.24874267</v>
      </c>
      <c r="AB53" s="2">
        <v>0</v>
      </c>
    </row>
    <row r="54" spans="1:28">
      <c r="A54" s="2">
        <v>51</v>
      </c>
      <c r="B54" s="2" t="s">
        <v>315</v>
      </c>
      <c r="C54" s="2" t="s">
        <v>2081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42922575.351494141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42922575.351494141</v>
      </c>
      <c r="Y54" s="6" t="s">
        <v>1195</v>
      </c>
      <c r="Z54" s="6" t="s">
        <v>1195</v>
      </c>
      <c r="AA54" s="2">
        <f t="shared" si="15"/>
        <v>42932443.24874267</v>
      </c>
      <c r="AB54" s="2">
        <v>0</v>
      </c>
    </row>
    <row r="55" spans="1:28">
      <c r="A55" s="2">
        <v>52</v>
      </c>
      <c r="B55" s="2" t="s">
        <v>318</v>
      </c>
      <c r="C55" s="2" t="s">
        <v>2081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42922575.351494141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42922575.351494141</v>
      </c>
      <c r="Y55" s="6" t="s">
        <v>1195</v>
      </c>
      <c r="Z55" s="6" t="s">
        <v>1195</v>
      </c>
      <c r="AA55" s="2">
        <f t="shared" si="15"/>
        <v>42932443.24874267</v>
      </c>
      <c r="AB55" s="2">
        <v>0</v>
      </c>
    </row>
    <row r="56" spans="1:28">
      <c r="A56" s="2">
        <v>53</v>
      </c>
      <c r="B56" s="2" t="s">
        <v>322</v>
      </c>
      <c r="C56" s="2" t="s">
        <v>2081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42922575.351494141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42922575.351494141</v>
      </c>
      <c r="Y56" s="6" t="s">
        <v>1195</v>
      </c>
      <c r="Z56" s="6" t="s">
        <v>1195</v>
      </c>
      <c r="AA56" s="2">
        <f t="shared" si="15"/>
        <v>42932443.24874267</v>
      </c>
      <c r="AB56" s="2">
        <v>0</v>
      </c>
    </row>
    <row r="57" spans="1:28">
      <c r="A57" s="2">
        <v>54</v>
      </c>
      <c r="B57" s="2" t="s">
        <v>324</v>
      </c>
      <c r="C57" s="2" t="s">
        <v>2081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42922575.351494141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42922575.351494141</v>
      </c>
      <c r="Y57" s="6" t="s">
        <v>1195</v>
      </c>
      <c r="Z57" s="6" t="s">
        <v>1195</v>
      </c>
      <c r="AA57" s="2">
        <f t="shared" si="15"/>
        <v>42932443.24874267</v>
      </c>
      <c r="AB57" s="2">
        <v>0</v>
      </c>
    </row>
    <row r="58" spans="1:28">
      <c r="A58" s="2">
        <v>55</v>
      </c>
      <c r="B58" s="2" t="s">
        <v>328</v>
      </c>
      <c r="C58" s="2" t="s">
        <v>2081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42922575.351494141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42922575.351494141</v>
      </c>
      <c r="Y58" s="6" t="s">
        <v>1195</v>
      </c>
      <c r="Z58" s="6" t="s">
        <v>1195</v>
      </c>
      <c r="AA58" s="2">
        <f t="shared" si="15"/>
        <v>42932443.24874267</v>
      </c>
      <c r="AB58" s="2">
        <v>0</v>
      </c>
    </row>
    <row r="59" spans="1:28">
      <c r="A59" s="2">
        <v>56</v>
      </c>
      <c r="B59" s="2" t="s">
        <v>332</v>
      </c>
      <c r="C59" s="2" t="s">
        <v>2081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42922575.351494141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42922575.351494141</v>
      </c>
      <c r="Y59" s="6" t="s">
        <v>1195</v>
      </c>
      <c r="Z59" s="6" t="s">
        <v>1195</v>
      </c>
      <c r="AA59" s="2">
        <f t="shared" si="15"/>
        <v>42932443.24874267</v>
      </c>
      <c r="AB59" s="2">
        <v>0</v>
      </c>
    </row>
    <row r="60" spans="1:28">
      <c r="A60" s="2">
        <v>57</v>
      </c>
      <c r="B60" s="2" t="s">
        <v>337</v>
      </c>
      <c r="C60" s="2" t="s">
        <v>2081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42922575.351494141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42922575.351494141</v>
      </c>
      <c r="Y60" s="6" t="s">
        <v>1195</v>
      </c>
      <c r="Z60" s="6" t="s">
        <v>1195</v>
      </c>
      <c r="AA60" s="2">
        <f t="shared" si="15"/>
        <v>42932443.24874267</v>
      </c>
      <c r="AB60" s="2">
        <v>0</v>
      </c>
    </row>
    <row r="61" spans="1:28">
      <c r="A61" s="2">
        <v>58</v>
      </c>
      <c r="B61" s="2" t="s">
        <v>341</v>
      </c>
      <c r="C61" s="2" t="s">
        <v>2081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42922575.351494141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42922575.351494141</v>
      </c>
      <c r="Y61" s="6" t="s">
        <v>1195</v>
      </c>
      <c r="Z61" s="6" t="s">
        <v>1195</v>
      </c>
      <c r="AA61" s="2">
        <f t="shared" si="15"/>
        <v>42932443.24874267</v>
      </c>
      <c r="AB61" s="2">
        <v>0</v>
      </c>
    </row>
    <row r="62" spans="1:28">
      <c r="A62" s="2">
        <v>59</v>
      </c>
      <c r="B62" s="2" t="s">
        <v>347</v>
      </c>
      <c r="C62" s="2" t="s">
        <v>2081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250</v>
      </c>
      <c r="J62" s="2" t="s">
        <v>2116</v>
      </c>
      <c r="K62" s="2">
        <f t="shared" si="10"/>
        <v>42922575.351494141</v>
      </c>
      <c r="L62" s="2" t="s">
        <v>1467</v>
      </c>
      <c r="M62" s="2" t="s">
        <v>1565</v>
      </c>
      <c r="N62" s="2" t="s">
        <v>1543</v>
      </c>
      <c r="O62" s="2">
        <v>125</v>
      </c>
      <c r="P62" s="2">
        <v>1153.8681640625</v>
      </c>
      <c r="Q62" s="2">
        <v>1227.44091796875</v>
      </c>
      <c r="R62" s="2">
        <f>O62*P62</f>
        <v>144233.5205078125</v>
      </c>
      <c r="S62" s="2">
        <f>O62*Q62</f>
        <v>153430.11474609375</v>
      </c>
      <c r="T62" s="2">
        <f>R62+S62</f>
        <v>297663.63525390625</v>
      </c>
      <c r="U62" s="2">
        <f>ROUND(T62*0.0005, 2)</f>
        <v>148.83000000000001</v>
      </c>
      <c r="V62" s="2">
        <f>S62-R62</f>
        <v>9196.59423828125</v>
      </c>
      <c r="W62" s="2">
        <f>V62-U62</f>
        <v>9047.7642382812501</v>
      </c>
      <c r="X62" s="2">
        <f>K62+W62</f>
        <v>42931623.115732424</v>
      </c>
      <c r="Y62" s="2">
        <f>ROUND(0.2*R62, 2)</f>
        <v>28846.7</v>
      </c>
      <c r="Z62" s="2">
        <f>ROUND((W62/Y62)*100, 2)</f>
        <v>31.36</v>
      </c>
      <c r="AA62" s="2">
        <f>MAX(AA61, X62)</f>
        <v>42932443.24874267</v>
      </c>
      <c r="AB62" s="2">
        <f>X62-AA62</f>
        <v>-820.13301024585962</v>
      </c>
    </row>
    <row r="63" spans="1:28">
      <c r="A63" s="2">
        <v>60</v>
      </c>
      <c r="B63" s="2" t="s">
        <v>351</v>
      </c>
      <c r="C63" s="2" t="s">
        <v>2081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276</v>
      </c>
      <c r="J63" s="2" t="s">
        <v>261</v>
      </c>
      <c r="K63" s="2">
        <f t="shared" si="10"/>
        <v>42931623.115732424</v>
      </c>
      <c r="L63" s="2" t="s">
        <v>1591</v>
      </c>
      <c r="M63" s="2" t="s">
        <v>1555</v>
      </c>
      <c r="N63" s="2" t="s">
        <v>2113</v>
      </c>
      <c r="O63" s="2">
        <v>175</v>
      </c>
      <c r="P63" s="2">
        <v>4488.81494140625</v>
      </c>
      <c r="Q63" s="2">
        <v>4618.81982421875</v>
      </c>
      <c r="R63" s="2">
        <f>O63*P63</f>
        <v>785542.61474609375</v>
      </c>
      <c r="S63" s="2">
        <f>O63*Q63</f>
        <v>808293.46923828125</v>
      </c>
      <c r="T63" s="2">
        <f>R63+S63</f>
        <v>1593836.083984375</v>
      </c>
      <c r="U63" s="2">
        <f>ROUND(T63*0.0005, 2)</f>
        <v>796.92</v>
      </c>
      <c r="V63" s="2">
        <f>S63-R63</f>
        <v>22750.8544921875</v>
      </c>
      <c r="W63" s="2">
        <f>V63-U63</f>
        <v>21953.934492187502</v>
      </c>
      <c r="X63" s="2">
        <f>K63+W63</f>
        <v>42953577.05022461</v>
      </c>
      <c r="Y63" s="2">
        <f>ROUND(0.2*R63, 2)</f>
        <v>157108.51999999999</v>
      </c>
      <c r="Z63" s="2">
        <f>ROUND((W63/Y63)*100, 2)</f>
        <v>13.97</v>
      </c>
      <c r="AA63" s="2">
        <f>MAX(AA62, X63)</f>
        <v>42953577.05022461</v>
      </c>
      <c r="AB63" s="2">
        <f>X63-AA63</f>
        <v>0</v>
      </c>
    </row>
    <row r="64" spans="1:28">
      <c r="A64" s="2">
        <v>61</v>
      </c>
      <c r="B64" s="2" t="s">
        <v>355</v>
      </c>
      <c r="C64" s="2" t="s">
        <v>2081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2117</v>
      </c>
      <c r="J64" s="2" t="s">
        <v>871</v>
      </c>
      <c r="K64" s="2">
        <f t="shared" si="10"/>
        <v>42953577.05022461</v>
      </c>
      <c r="L64" s="2" t="s">
        <v>2118</v>
      </c>
      <c r="M64" s="2" t="s">
        <v>2119</v>
      </c>
      <c r="N64" s="2" t="s">
        <v>2120</v>
      </c>
      <c r="O64" s="2">
        <v>3399</v>
      </c>
      <c r="P64" s="2">
        <v>84.75</v>
      </c>
      <c r="Q64" s="2">
        <v>94.099998474121094</v>
      </c>
      <c r="R64" s="2">
        <f>O64*P64</f>
        <v>288065.25</v>
      </c>
      <c r="S64" s="2">
        <f>O64*Q64</f>
        <v>319845.8948135376</v>
      </c>
      <c r="T64" s="2">
        <f>R64+S64</f>
        <v>607911.1448135376</v>
      </c>
      <c r="U64" s="2">
        <f>ROUND(T64*0.0005, 2)</f>
        <v>303.95999999999998</v>
      </c>
      <c r="V64" s="2">
        <f>S64-R64</f>
        <v>31780.644813537598</v>
      </c>
      <c r="W64" s="2">
        <f>V64-U64</f>
        <v>31476.684813537599</v>
      </c>
      <c r="X64" s="2">
        <f>K64+W64</f>
        <v>42985053.735038146</v>
      </c>
      <c r="Y64" s="2">
        <f>ROUND(0.2*R64, 2)</f>
        <v>57613.05</v>
      </c>
      <c r="Z64" s="2">
        <f>ROUND((W64/Y64)*100, 2)</f>
        <v>54.63</v>
      </c>
      <c r="AA64" s="2">
        <f>MAX(AA63, X64)</f>
        <v>42985053.735038146</v>
      </c>
      <c r="AB64" s="2">
        <f>X64-AA64</f>
        <v>0</v>
      </c>
    </row>
    <row r="65" spans="1:28">
      <c r="A65" s="2">
        <v>62</v>
      </c>
      <c r="B65" s="2" t="s">
        <v>360</v>
      </c>
      <c r="C65" s="2" t="s">
        <v>2081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42985053.735038146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42985053.735038146</v>
      </c>
      <c r="Y65" s="6" t="s">
        <v>1195</v>
      </c>
      <c r="Z65" s="6" t="s">
        <v>1195</v>
      </c>
      <c r="AA65" s="2">
        <f>AA64</f>
        <v>42985053.735038146</v>
      </c>
      <c r="AB65" s="2">
        <v>0</v>
      </c>
    </row>
    <row r="66" spans="1:28">
      <c r="A66" s="2">
        <v>63</v>
      </c>
      <c r="B66" s="2" t="s">
        <v>364</v>
      </c>
      <c r="C66" s="2" t="s">
        <v>2081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2121</v>
      </c>
      <c r="J66" s="2" t="s">
        <v>2122</v>
      </c>
      <c r="K66" s="2">
        <f t="shared" si="10"/>
        <v>42985053.735038146</v>
      </c>
      <c r="L66" s="2" t="s">
        <v>2123</v>
      </c>
      <c r="M66" s="2" t="s">
        <v>1667</v>
      </c>
      <c r="N66" s="2" t="s">
        <v>2124</v>
      </c>
      <c r="O66" s="2">
        <v>100</v>
      </c>
      <c r="P66" s="2">
        <v>18279</v>
      </c>
      <c r="Q66" s="2">
        <v>17102</v>
      </c>
      <c r="R66" s="2">
        <f>O66*P66</f>
        <v>1827900</v>
      </c>
      <c r="S66" s="2">
        <f>O66*Q66</f>
        <v>1710200</v>
      </c>
      <c r="T66" s="2">
        <f>R66+S66</f>
        <v>3538100</v>
      </c>
      <c r="U66" s="2">
        <f>ROUND(T66*0.0005, 2)</f>
        <v>1769.05</v>
      </c>
      <c r="V66" s="2">
        <f>S66-R66</f>
        <v>-117700</v>
      </c>
      <c r="W66" s="2">
        <f>V66-U66</f>
        <v>-119469.05</v>
      </c>
      <c r="X66" s="2">
        <f>K66+W66</f>
        <v>42865584.685038149</v>
      </c>
      <c r="Y66" s="2">
        <f>ROUND(0.2*R66, 2)</f>
        <v>365580</v>
      </c>
      <c r="Z66" s="2">
        <f>ROUND((W66/Y66)*100, 2)</f>
        <v>-32.68</v>
      </c>
      <c r="AA66" s="2">
        <f>MAX(AA65, X66)</f>
        <v>42985053.735038146</v>
      </c>
      <c r="AB66" s="2">
        <f>X66-AA66</f>
        <v>-119469.04999999702</v>
      </c>
    </row>
    <row r="67" spans="1:28">
      <c r="A67" s="2">
        <v>64</v>
      </c>
      <c r="B67" s="2" t="s">
        <v>369</v>
      </c>
      <c r="C67" s="2" t="s">
        <v>2081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42865584.685038149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42865584.685038149</v>
      </c>
      <c r="Y67" s="6" t="s">
        <v>1195</v>
      </c>
      <c r="Z67" s="6" t="s">
        <v>1195</v>
      </c>
      <c r="AA67" s="2">
        <f t="shared" ref="AA67:AA73" si="17">AA66</f>
        <v>42985053.735038146</v>
      </c>
      <c r="AB67" s="2">
        <v>0</v>
      </c>
    </row>
    <row r="68" spans="1:28">
      <c r="A68" s="2">
        <v>65</v>
      </c>
      <c r="B68" s="2" t="s">
        <v>372</v>
      </c>
      <c r="C68" s="2" t="s">
        <v>2081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42865584.685038149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42865584.685038149</v>
      </c>
      <c r="Y68" s="6" t="s">
        <v>1195</v>
      </c>
      <c r="Z68" s="6" t="s">
        <v>1195</v>
      </c>
      <c r="AA68" s="2">
        <f t="shared" si="17"/>
        <v>42985053.735038146</v>
      </c>
      <c r="AB68" s="2">
        <v>0</v>
      </c>
    </row>
    <row r="69" spans="1:28">
      <c r="A69" s="2">
        <v>66</v>
      </c>
      <c r="B69" s="2" t="s">
        <v>376</v>
      </c>
      <c r="C69" s="2" t="s">
        <v>2081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42865584.685038149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42865584.685038149</v>
      </c>
      <c r="Y69" s="6" t="s">
        <v>1195</v>
      </c>
      <c r="Z69" s="6" t="s">
        <v>1195</v>
      </c>
      <c r="AA69" s="2">
        <f t="shared" si="17"/>
        <v>42985053.735038146</v>
      </c>
      <c r="AB69" s="2">
        <v>0</v>
      </c>
    </row>
    <row r="70" spans="1:28">
      <c r="A70" s="2">
        <v>67</v>
      </c>
      <c r="B70" s="2" t="s">
        <v>381</v>
      </c>
      <c r="C70" s="2" t="s">
        <v>2081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42865584.685038149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42865584.685038149</v>
      </c>
      <c r="Y70" s="6" t="s">
        <v>1195</v>
      </c>
      <c r="Z70" s="6" t="s">
        <v>1195</v>
      </c>
      <c r="AA70" s="2">
        <f t="shared" si="17"/>
        <v>42985053.735038146</v>
      </c>
      <c r="AB70" s="2">
        <v>0</v>
      </c>
    </row>
    <row r="71" spans="1:28">
      <c r="A71" s="2">
        <v>68</v>
      </c>
      <c r="B71" s="2" t="s">
        <v>385</v>
      </c>
      <c r="C71" s="2" t="s">
        <v>2081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42865584.685038149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42865584.685038149</v>
      </c>
      <c r="Y71" s="6" t="s">
        <v>1195</v>
      </c>
      <c r="Z71" s="6" t="s">
        <v>1195</v>
      </c>
      <c r="AA71" s="2">
        <f t="shared" si="17"/>
        <v>42985053.735038146</v>
      </c>
      <c r="AB71" s="2">
        <v>0</v>
      </c>
    </row>
    <row r="72" spans="1:28">
      <c r="A72" s="2">
        <v>69</v>
      </c>
      <c r="B72" s="2" t="s">
        <v>390</v>
      </c>
      <c r="C72" s="2" t="s">
        <v>2081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42865584.685038149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42865584.685038149</v>
      </c>
      <c r="Y72" s="6" t="s">
        <v>1195</v>
      </c>
      <c r="Z72" s="6" t="s">
        <v>1195</v>
      </c>
      <c r="AA72" s="2">
        <f t="shared" si="17"/>
        <v>42985053.735038146</v>
      </c>
      <c r="AB72" s="2">
        <v>0</v>
      </c>
    </row>
    <row r="73" spans="1:28">
      <c r="A73" s="2">
        <v>70</v>
      </c>
      <c r="B73" s="2" t="s">
        <v>393</v>
      </c>
      <c r="C73" s="2" t="s">
        <v>2081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42865584.685038149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42865584.685038149</v>
      </c>
      <c r="Y73" s="6" t="s">
        <v>1195</v>
      </c>
      <c r="Z73" s="6" t="s">
        <v>1195</v>
      </c>
      <c r="AA73" s="2">
        <f t="shared" si="17"/>
        <v>42985053.735038146</v>
      </c>
      <c r="AB73" s="2">
        <v>0</v>
      </c>
    </row>
    <row r="74" spans="1:28">
      <c r="A74" s="2">
        <v>71</v>
      </c>
      <c r="B74" s="2" t="s">
        <v>397</v>
      </c>
      <c r="C74" s="2" t="s">
        <v>2081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896</v>
      </c>
      <c r="J74" s="2" t="s">
        <v>2125</v>
      </c>
      <c r="K74" s="2">
        <f t="shared" si="18"/>
        <v>42865584.685038149</v>
      </c>
      <c r="L74" s="2" t="s">
        <v>1545</v>
      </c>
      <c r="M74" s="2" t="s">
        <v>1573</v>
      </c>
      <c r="N74" s="2" t="s">
        <v>1539</v>
      </c>
      <c r="O74" s="2">
        <v>250</v>
      </c>
      <c r="P74" s="2">
        <v>2327.754150390625</v>
      </c>
      <c r="Q74" s="2">
        <v>2405.62060546875</v>
      </c>
      <c r="R74" s="2">
        <f>O74*P74</f>
        <v>581938.53759765625</v>
      </c>
      <c r="S74" s="2">
        <f>O74*Q74</f>
        <v>601405.1513671875</v>
      </c>
      <c r="T74" s="2">
        <f>R74+S74</f>
        <v>1183343.6889648438</v>
      </c>
      <c r="U74" s="2">
        <f>ROUND(T74*0.0005, 2)</f>
        <v>591.66999999999996</v>
      </c>
      <c r="V74" s="2">
        <f>S74-R74</f>
        <v>19466.61376953125</v>
      </c>
      <c r="W74" s="2">
        <f>V74-U74</f>
        <v>18874.943769531252</v>
      </c>
      <c r="X74" s="2">
        <f>K74+W74</f>
        <v>42884459.628807679</v>
      </c>
      <c r="Y74" s="2">
        <f>ROUND(0.2*R74, 2)</f>
        <v>116387.71</v>
      </c>
      <c r="Z74" s="2">
        <f>ROUND((W74/Y74)*100, 2)</f>
        <v>16.22</v>
      </c>
      <c r="AA74" s="2">
        <f>MAX(AA73, X74)</f>
        <v>42985053.735038146</v>
      </c>
      <c r="AB74" s="2">
        <f>X74-AA74</f>
        <v>-100594.10623046756</v>
      </c>
    </row>
    <row r="75" spans="1:28">
      <c r="A75" s="2">
        <v>72</v>
      </c>
      <c r="B75" s="2" t="s">
        <v>403</v>
      </c>
      <c r="C75" s="2" t="s">
        <v>2081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42884459.628807679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42884459.628807679</v>
      </c>
      <c r="Y75" s="6" t="s">
        <v>1195</v>
      </c>
      <c r="Z75" s="6" t="s">
        <v>1195</v>
      </c>
      <c r="AA75" s="2">
        <f>AA74</f>
        <v>42985053.735038146</v>
      </c>
      <c r="AB75" s="2">
        <v>0</v>
      </c>
    </row>
    <row r="76" spans="1:28">
      <c r="A76" s="2">
        <v>73</v>
      </c>
      <c r="B76" s="2" t="s">
        <v>406</v>
      </c>
      <c r="C76" s="2" t="s">
        <v>2081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42884459.628807679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42884459.628807679</v>
      </c>
      <c r="Y76" s="6" t="s">
        <v>1195</v>
      </c>
      <c r="Z76" s="6" t="s">
        <v>1195</v>
      </c>
      <c r="AA76" s="2">
        <f>AA75</f>
        <v>42985053.735038146</v>
      </c>
      <c r="AB76" s="2">
        <v>0</v>
      </c>
    </row>
    <row r="77" spans="1:28">
      <c r="A77" s="2">
        <v>74</v>
      </c>
      <c r="B77" s="2" t="s">
        <v>410</v>
      </c>
      <c r="C77" s="2" t="s">
        <v>2081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42884459.628807679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42884459.628807679</v>
      </c>
      <c r="Y77" s="6" t="s">
        <v>1195</v>
      </c>
      <c r="Z77" s="6" t="s">
        <v>1195</v>
      </c>
      <c r="AA77" s="2">
        <f>AA76</f>
        <v>42985053.735038146</v>
      </c>
      <c r="AB77" s="2">
        <v>0</v>
      </c>
    </row>
    <row r="78" spans="1:28">
      <c r="A78" s="2">
        <v>75</v>
      </c>
      <c r="B78" s="2" t="s">
        <v>414</v>
      </c>
      <c r="C78" s="2" t="s">
        <v>2081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2126</v>
      </c>
      <c r="J78" s="2" t="s">
        <v>2127</v>
      </c>
      <c r="K78" s="2">
        <f t="shared" si="18"/>
        <v>42884459.628807679</v>
      </c>
      <c r="L78" s="2" t="s">
        <v>1580</v>
      </c>
      <c r="M78" s="2" t="s">
        <v>1557</v>
      </c>
      <c r="N78" s="2" t="s">
        <v>1467</v>
      </c>
      <c r="O78" s="2">
        <v>350</v>
      </c>
      <c r="P78" s="2">
        <v>1338.384765625</v>
      </c>
      <c r="Q78" s="2">
        <v>1230.786254882812</v>
      </c>
      <c r="R78" s="2">
        <f>O78*P78</f>
        <v>468434.66796875</v>
      </c>
      <c r="S78" s="2">
        <f>O78*Q78</f>
        <v>430775.1892089842</v>
      </c>
      <c r="T78" s="2">
        <f>R78+S78</f>
        <v>899209.85717773414</v>
      </c>
      <c r="U78" s="2">
        <f>ROUND(T78*0.0005, 2)</f>
        <v>449.6</v>
      </c>
      <c r="V78" s="2">
        <f>S78-R78</f>
        <v>-37659.4787597658</v>
      </c>
      <c r="W78" s="2">
        <f>V78-U78</f>
        <v>-38109.078759765798</v>
      </c>
      <c r="X78" s="2">
        <f>K78+W78</f>
        <v>42846350.550047912</v>
      </c>
      <c r="Y78" s="2">
        <f>ROUND(0.2*R78, 2)</f>
        <v>93686.93</v>
      </c>
      <c r="Z78" s="2">
        <f>ROUND((W78/Y78)*100, 2)</f>
        <v>-40.68</v>
      </c>
      <c r="AA78" s="2">
        <f>MAX(AA77, X78)</f>
        <v>42985053.735038146</v>
      </c>
      <c r="AB78" s="2">
        <f>X78-AA78</f>
        <v>-138703.18499023467</v>
      </c>
    </row>
    <row r="79" spans="1:28">
      <c r="A79" s="2">
        <v>76</v>
      </c>
      <c r="B79" s="2" t="s">
        <v>419</v>
      </c>
      <c r="C79" s="2" t="s">
        <v>2081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42846350.550047912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42846350.550047912</v>
      </c>
      <c r="Y79" s="6" t="s">
        <v>1195</v>
      </c>
      <c r="Z79" s="6" t="s">
        <v>1195</v>
      </c>
      <c r="AA79" s="2">
        <f>AA78</f>
        <v>42985053.735038146</v>
      </c>
      <c r="AB79" s="2">
        <v>0</v>
      </c>
    </row>
    <row r="80" spans="1:28">
      <c r="A80" s="2">
        <v>77</v>
      </c>
      <c r="B80" s="2" t="s">
        <v>423</v>
      </c>
      <c r="C80" s="2" t="s">
        <v>2081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2128</v>
      </c>
      <c r="J80" s="2" t="s">
        <v>2129</v>
      </c>
      <c r="K80" s="2">
        <f t="shared" si="18"/>
        <v>42846350.550047912</v>
      </c>
      <c r="L80" s="2" t="s">
        <v>1718</v>
      </c>
      <c r="M80" s="2" t="s">
        <v>1467</v>
      </c>
      <c r="N80" s="2" t="s">
        <v>1719</v>
      </c>
      <c r="O80" s="2">
        <v>550</v>
      </c>
      <c r="P80" s="2">
        <v>741.39495849609375</v>
      </c>
      <c r="Q80" s="2">
        <v>722.84271240234375</v>
      </c>
      <c r="R80" s="2">
        <f>O80*P80</f>
        <v>407767.22717285156</v>
      </c>
      <c r="S80" s="2">
        <f>O80*Q80</f>
        <v>397563.49182128906</v>
      </c>
      <c r="T80" s="2">
        <f>R80+S80</f>
        <v>805330.71899414063</v>
      </c>
      <c r="U80" s="2">
        <f>ROUND(T80*0.0005, 2)</f>
        <v>402.67</v>
      </c>
      <c r="V80" s="2">
        <f>S80-R80</f>
        <v>-10203.7353515625</v>
      </c>
      <c r="W80" s="2">
        <f>V80-U80</f>
        <v>-10606.4053515625</v>
      </c>
      <c r="X80" s="2">
        <f>K80+W80</f>
        <v>42835744.144696347</v>
      </c>
      <c r="Y80" s="2">
        <f>ROUND(0.2*R80, 2)</f>
        <v>81553.45</v>
      </c>
      <c r="Z80" s="2">
        <f>ROUND((W80/Y80)*100, 2)</f>
        <v>-13.01</v>
      </c>
      <c r="AA80" s="2">
        <f>MAX(AA79, X80)</f>
        <v>42985053.735038146</v>
      </c>
      <c r="AB80" s="2">
        <f>X80-AA80</f>
        <v>-149309.59034179896</v>
      </c>
    </row>
    <row r="81" spans="1:28">
      <c r="A81" s="2">
        <v>78</v>
      </c>
      <c r="B81" s="2" t="s">
        <v>428</v>
      </c>
      <c r="C81" s="2" t="s">
        <v>2081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1314</v>
      </c>
      <c r="J81" s="2" t="s">
        <v>382</v>
      </c>
      <c r="K81" s="2">
        <f t="shared" si="18"/>
        <v>42835744.144696347</v>
      </c>
      <c r="L81" s="2" t="s">
        <v>2130</v>
      </c>
      <c r="M81" s="2" t="s">
        <v>2131</v>
      </c>
      <c r="N81" s="2" t="s">
        <v>2132</v>
      </c>
      <c r="O81" s="2">
        <v>1100</v>
      </c>
      <c r="P81" s="2">
        <v>656.04669189453125</v>
      </c>
      <c r="Q81" s="2">
        <v>652.6795654296875</v>
      </c>
      <c r="R81" s="2">
        <f>O81*P81</f>
        <v>721651.36108398437</v>
      </c>
      <c r="S81" s="2">
        <f>O81*Q81</f>
        <v>717947.52197265625</v>
      </c>
      <c r="T81" s="2">
        <f>R81+S81</f>
        <v>1439598.8830566406</v>
      </c>
      <c r="U81" s="2">
        <f>ROUND(T81*0.0005, 2)</f>
        <v>719.8</v>
      </c>
      <c r="V81" s="2">
        <f>S81-R81</f>
        <v>-3703.839111328125</v>
      </c>
      <c r="W81" s="2">
        <f>V81-U81</f>
        <v>-4423.6391113281252</v>
      </c>
      <c r="X81" s="2">
        <f>K81+W81</f>
        <v>42831320.505585022</v>
      </c>
      <c r="Y81" s="2">
        <f>ROUND(0.2*R81, 2)</f>
        <v>144330.26999999999</v>
      </c>
      <c r="Z81" s="2">
        <f>ROUND((W81/Y81)*100, 2)</f>
        <v>-3.06</v>
      </c>
      <c r="AA81" s="2">
        <f>MAX(AA80, X81)</f>
        <v>42985053.735038146</v>
      </c>
      <c r="AB81" s="2">
        <f>X81-AA81</f>
        <v>-153733.22945312411</v>
      </c>
    </row>
    <row r="82" spans="1:28">
      <c r="A82" s="2">
        <v>79</v>
      </c>
      <c r="B82" s="2" t="s">
        <v>433</v>
      </c>
      <c r="C82" s="2" t="s">
        <v>2081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2133</v>
      </c>
      <c r="J82" s="2" t="s">
        <v>908</v>
      </c>
      <c r="K82" s="2">
        <f t="shared" si="18"/>
        <v>42831320.505585022</v>
      </c>
      <c r="L82" s="2" t="s">
        <v>1581</v>
      </c>
      <c r="M82" s="2" t="s">
        <v>1603</v>
      </c>
      <c r="N82" s="2" t="s">
        <v>1566</v>
      </c>
      <c r="O82" s="2">
        <v>150</v>
      </c>
      <c r="P82" s="2">
        <v>4219.99658203125</v>
      </c>
      <c r="Q82" s="2">
        <v>4732.3662109375</v>
      </c>
      <c r="R82" s="2">
        <f>O82*P82</f>
        <v>632999.4873046875</v>
      </c>
      <c r="S82" s="2">
        <f>O82*Q82</f>
        <v>709854.931640625</v>
      </c>
      <c r="T82" s="2">
        <f>R82+S82</f>
        <v>1342854.4189453125</v>
      </c>
      <c r="U82" s="2">
        <f>ROUND(T82*0.0005, 2)</f>
        <v>671.43</v>
      </c>
      <c r="V82" s="2">
        <f>S82-R82</f>
        <v>76855.4443359375</v>
      </c>
      <c r="W82" s="2">
        <f>V82-U82</f>
        <v>76184.014335937507</v>
      </c>
      <c r="X82" s="2">
        <f>K82+W82</f>
        <v>42907504.51992096</v>
      </c>
      <c r="Y82" s="2">
        <f>ROUND(0.2*R82, 2)</f>
        <v>126599.9</v>
      </c>
      <c r="Z82" s="2">
        <f>ROUND((W82/Y82)*100, 2)</f>
        <v>60.18</v>
      </c>
      <c r="AA82" s="2">
        <f>MAX(AA81, X82)</f>
        <v>42985053.735038146</v>
      </c>
      <c r="AB82" s="2">
        <f>X82-AA82</f>
        <v>-77549.215117186308</v>
      </c>
    </row>
    <row r="83" spans="1:28">
      <c r="A83" s="2">
        <v>80</v>
      </c>
      <c r="B83" s="2" t="s">
        <v>438</v>
      </c>
      <c r="C83" s="2" t="s">
        <v>2081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610</v>
      </c>
      <c r="J83" s="2" t="s">
        <v>313</v>
      </c>
      <c r="K83" s="2">
        <f t="shared" si="18"/>
        <v>42907504.51992096</v>
      </c>
      <c r="L83" s="2" t="s">
        <v>1568</v>
      </c>
      <c r="M83" s="2" t="s">
        <v>1540</v>
      </c>
      <c r="N83" s="2" t="s">
        <v>1544</v>
      </c>
      <c r="O83" s="2">
        <v>1400</v>
      </c>
      <c r="P83" s="2">
        <v>665.60736083984375</v>
      </c>
      <c r="Q83" s="2">
        <v>681.0728759765625</v>
      </c>
      <c r="R83" s="2">
        <f>O83*P83</f>
        <v>931850.30517578125</v>
      </c>
      <c r="S83" s="2">
        <f>O83*Q83</f>
        <v>953502.0263671875</v>
      </c>
      <c r="T83" s="2">
        <f>R83+S83</f>
        <v>1885352.3315429688</v>
      </c>
      <c r="U83" s="2">
        <f>ROUND(T83*0.0005, 2)</f>
        <v>942.68</v>
      </c>
      <c r="V83" s="2">
        <f>S83-R83</f>
        <v>21651.72119140625</v>
      </c>
      <c r="W83" s="2">
        <f>V83-U83</f>
        <v>20709.04119140625</v>
      </c>
      <c r="X83" s="2">
        <f>K83+W83</f>
        <v>42928213.561112367</v>
      </c>
      <c r="Y83" s="2">
        <f>ROUND(0.2*R83, 2)</f>
        <v>186370.06</v>
      </c>
      <c r="Z83" s="2">
        <f>ROUND((W83/Y83)*100, 2)</f>
        <v>11.11</v>
      </c>
      <c r="AA83" s="2">
        <f>MAX(AA82, X83)</f>
        <v>42985053.735038146</v>
      </c>
      <c r="AB83" s="2">
        <f>X83-AA83</f>
        <v>-56840.17392577976</v>
      </c>
    </row>
    <row r="84" spans="1:28">
      <c r="A84" s="2">
        <v>81</v>
      </c>
      <c r="B84" s="2" t="s">
        <v>443</v>
      </c>
      <c r="C84" s="2" t="s">
        <v>2081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42928213.561112367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42928213.561112367</v>
      </c>
      <c r="Y84" s="6" t="s">
        <v>1195</v>
      </c>
      <c r="Z84" s="6" t="s">
        <v>1195</v>
      </c>
      <c r="AA84" s="2">
        <f>AA83</f>
        <v>42985053.735038146</v>
      </c>
      <c r="AB84" s="2">
        <v>0</v>
      </c>
    </row>
    <row r="85" spans="1:28">
      <c r="A85" s="2">
        <v>82</v>
      </c>
      <c r="B85" s="2" t="s">
        <v>447</v>
      </c>
      <c r="C85" s="2" t="s">
        <v>2081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2134</v>
      </c>
      <c r="J85" s="2" t="s">
        <v>1029</v>
      </c>
      <c r="K85" s="2">
        <f t="shared" si="18"/>
        <v>42928213.561112367</v>
      </c>
      <c r="L85" s="2" t="s">
        <v>1466</v>
      </c>
      <c r="M85" s="2" t="s">
        <v>1299</v>
      </c>
      <c r="N85" s="2" t="s">
        <v>1629</v>
      </c>
      <c r="O85" s="2">
        <v>300</v>
      </c>
      <c r="P85" s="2">
        <v>2118.4091796875</v>
      </c>
      <c r="Q85" s="2">
        <v>2087.72216796875</v>
      </c>
      <c r="R85" s="2">
        <f>O85*P85</f>
        <v>635522.75390625</v>
      </c>
      <c r="S85" s="2">
        <f>O85*Q85</f>
        <v>626316.650390625</v>
      </c>
      <c r="T85" s="2">
        <f>R85+S85</f>
        <v>1261839.404296875</v>
      </c>
      <c r="U85" s="2">
        <f>ROUND(T85*0.0005, 2)</f>
        <v>630.91999999999996</v>
      </c>
      <c r="V85" s="2">
        <f>S85-R85</f>
        <v>-9206.103515625</v>
      </c>
      <c r="W85" s="2">
        <f>V85-U85</f>
        <v>-9837.0235156250001</v>
      </c>
      <c r="X85" s="2">
        <f>K85+W85</f>
        <v>42918376.53759674</v>
      </c>
      <c r="Y85" s="2">
        <f>ROUND(0.2*R85, 2)</f>
        <v>127104.55</v>
      </c>
      <c r="Z85" s="2">
        <f>ROUND((W85/Y85)*100, 2)</f>
        <v>-7.74</v>
      </c>
      <c r="AA85" s="2">
        <f>MAX(AA84, X85)</f>
        <v>42985053.735038146</v>
      </c>
      <c r="AB85" s="2">
        <f>X85-AA85</f>
        <v>-66677.197441406548</v>
      </c>
    </row>
    <row r="86" spans="1:28">
      <c r="A86" s="2">
        <v>83</v>
      </c>
      <c r="B86" s="2" t="s">
        <v>451</v>
      </c>
      <c r="C86" s="2" t="s">
        <v>2081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42918376.53759674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42918376.53759674</v>
      </c>
      <c r="Y86" s="6" t="s">
        <v>1195</v>
      </c>
      <c r="Z86" s="6" t="s">
        <v>1195</v>
      </c>
      <c r="AA86" s="2">
        <f>AA85</f>
        <v>42985053.735038146</v>
      </c>
      <c r="AB86" s="2">
        <v>0</v>
      </c>
    </row>
    <row r="87" spans="1:28">
      <c r="A87" s="2">
        <v>84</v>
      </c>
      <c r="B87" s="2" t="s">
        <v>455</v>
      </c>
      <c r="C87" s="2" t="s">
        <v>2081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42918376.53759674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42918376.53759674</v>
      </c>
      <c r="Y87" s="6" t="s">
        <v>1195</v>
      </c>
      <c r="Z87" s="6" t="s">
        <v>1195</v>
      </c>
      <c r="AA87" s="2">
        <f>AA86</f>
        <v>42985053.735038146</v>
      </c>
      <c r="AB87" s="2">
        <v>0</v>
      </c>
    </row>
    <row r="88" spans="1:28">
      <c r="A88" s="2">
        <v>85</v>
      </c>
      <c r="B88" s="2" t="s">
        <v>459</v>
      </c>
      <c r="C88" s="2" t="s">
        <v>2081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2135</v>
      </c>
      <c r="J88" s="2" t="s">
        <v>2136</v>
      </c>
      <c r="K88" s="2">
        <f t="shared" si="18"/>
        <v>42918376.53759674</v>
      </c>
      <c r="L88" s="2" t="s">
        <v>1638</v>
      </c>
      <c r="M88" s="2" t="s">
        <v>1581</v>
      </c>
      <c r="N88" s="2" t="s">
        <v>1639</v>
      </c>
      <c r="O88" s="2">
        <v>700</v>
      </c>
      <c r="P88" s="2">
        <v>1049.841796875</v>
      </c>
      <c r="Q88" s="2">
        <v>1127.813720703125</v>
      </c>
      <c r="R88" s="2">
        <f>O88*P88</f>
        <v>734889.2578125</v>
      </c>
      <c r="S88" s="2">
        <f>O88*Q88</f>
        <v>789469.6044921875</v>
      </c>
      <c r="T88" s="2">
        <f>R88+S88</f>
        <v>1524358.8623046875</v>
      </c>
      <c r="U88" s="2">
        <f>ROUND(T88*0.0005, 2)</f>
        <v>762.18</v>
      </c>
      <c r="V88" s="2">
        <f>S88-R88</f>
        <v>54580.3466796875</v>
      </c>
      <c r="W88" s="2">
        <f>V88-U88</f>
        <v>53818.1666796875</v>
      </c>
      <c r="X88" s="2">
        <f>K88+W88</f>
        <v>42972194.704276428</v>
      </c>
      <c r="Y88" s="2">
        <f>ROUND(0.2*R88, 2)</f>
        <v>146977.85</v>
      </c>
      <c r="Z88" s="2">
        <f>ROUND((W88/Y88)*100, 2)</f>
        <v>36.619999999999997</v>
      </c>
      <c r="AA88" s="2">
        <f>MAX(AA87, X88)</f>
        <v>42985053.735038146</v>
      </c>
      <c r="AB88" s="2">
        <f>X88-AA88</f>
        <v>-12859.03076171875</v>
      </c>
    </row>
    <row r="89" spans="1:28">
      <c r="A89" s="2">
        <v>86</v>
      </c>
      <c r="B89" s="2" t="s">
        <v>463</v>
      </c>
      <c r="C89" s="2" t="s">
        <v>2081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2137</v>
      </c>
      <c r="J89" s="2" t="s">
        <v>2138</v>
      </c>
      <c r="K89" s="2">
        <f t="shared" si="18"/>
        <v>42972194.704276428</v>
      </c>
      <c r="L89" s="2" t="s">
        <v>2139</v>
      </c>
      <c r="M89" s="2" t="s">
        <v>2140</v>
      </c>
      <c r="N89" s="2" t="s">
        <v>2141</v>
      </c>
      <c r="O89" s="2">
        <v>629</v>
      </c>
      <c r="P89" s="2">
        <v>1880</v>
      </c>
      <c r="Q89" s="2">
        <v>1827.2</v>
      </c>
      <c r="R89" s="2">
        <f>O89*P89</f>
        <v>1182520</v>
      </c>
      <c r="S89" s="2">
        <f>O89*Q89</f>
        <v>1149308.8</v>
      </c>
      <c r="T89" s="2">
        <f>R89+S89</f>
        <v>2331828.7999999998</v>
      </c>
      <c r="U89" s="2">
        <f>ROUND(T89*0.0005, 2)</f>
        <v>1165.9100000000001</v>
      </c>
      <c r="V89" s="2">
        <f>S89-R89</f>
        <v>-33211.199999999953</v>
      </c>
      <c r="W89" s="2">
        <f>V89-U89</f>
        <v>-34377.109999999957</v>
      </c>
      <c r="X89" s="2">
        <f>K89+W89</f>
        <v>42937817.594276428</v>
      </c>
      <c r="Y89" s="2">
        <f>ROUND(0.2*R89, 2)</f>
        <v>236504</v>
      </c>
      <c r="Z89" s="2">
        <f>ROUND((W89/Y89)*100, 2)</f>
        <v>-14.54</v>
      </c>
      <c r="AA89" s="2">
        <f>MAX(AA88, X89)</f>
        <v>42985053.735038146</v>
      </c>
      <c r="AB89" s="2">
        <f>X89-AA89</f>
        <v>-47236.140761718154</v>
      </c>
    </row>
    <row r="90" spans="1:28">
      <c r="A90" s="2">
        <v>87</v>
      </c>
      <c r="B90" s="2" t="s">
        <v>471</v>
      </c>
      <c r="C90" s="2" t="s">
        <v>2081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297</v>
      </c>
      <c r="J90" s="2" t="s">
        <v>1353</v>
      </c>
      <c r="K90" s="2">
        <f t="shared" si="18"/>
        <v>42937817.594276428</v>
      </c>
      <c r="L90" s="2" t="s">
        <v>757</v>
      </c>
      <c r="M90" s="2" t="s">
        <v>1876</v>
      </c>
      <c r="N90" s="2" t="s">
        <v>1877</v>
      </c>
      <c r="O90" s="2">
        <v>1958</v>
      </c>
      <c r="P90" s="2">
        <v>593.2412109375</v>
      </c>
      <c r="Q90" s="2">
        <v>599.0211181640625</v>
      </c>
      <c r="R90" s="2">
        <f>O90*P90</f>
        <v>1161566.291015625</v>
      </c>
      <c r="S90" s="2">
        <f>O90*Q90</f>
        <v>1172883.3493652344</v>
      </c>
      <c r="T90" s="2">
        <f>R90+S90</f>
        <v>2334449.6403808594</v>
      </c>
      <c r="U90" s="2">
        <f>ROUND(T90*0.0005, 2)</f>
        <v>1167.22</v>
      </c>
      <c r="V90" s="2">
        <f>S90-R90</f>
        <v>11317.058349609375</v>
      </c>
      <c r="W90" s="2">
        <f>V90-U90</f>
        <v>10149.838349609376</v>
      </c>
      <c r="X90" s="2">
        <f>K90+W90</f>
        <v>42947967.432626039</v>
      </c>
      <c r="Y90" s="2">
        <f>ROUND(0.2*R90, 2)</f>
        <v>232313.26</v>
      </c>
      <c r="Z90" s="2">
        <f>ROUND((W90/Y90)*100, 2)</f>
        <v>4.37</v>
      </c>
      <c r="AA90" s="2">
        <f>MAX(AA89, X90)</f>
        <v>42985053.735038146</v>
      </c>
      <c r="AB90" s="2">
        <f>X90-AA90</f>
        <v>-37086.302412107587</v>
      </c>
    </row>
    <row r="91" spans="1:28">
      <c r="A91" s="2">
        <v>88</v>
      </c>
      <c r="B91" s="2" t="s">
        <v>476</v>
      </c>
      <c r="C91" s="2" t="s">
        <v>2081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42947967.432626039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42947967.432626039</v>
      </c>
      <c r="Y91" s="6" t="s">
        <v>1195</v>
      </c>
      <c r="Z91" s="6" t="s">
        <v>1195</v>
      </c>
      <c r="AA91" s="2">
        <f>AA90</f>
        <v>42985053.735038146</v>
      </c>
      <c r="AB91" s="2">
        <v>0</v>
      </c>
    </row>
    <row r="92" spans="1:28">
      <c r="A92" s="2">
        <v>89</v>
      </c>
      <c r="B92" s="2" t="s">
        <v>480</v>
      </c>
      <c r="C92" s="2" t="s">
        <v>2081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42947967.432626039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42947967.432626039</v>
      </c>
      <c r="Y92" s="6" t="s">
        <v>1195</v>
      </c>
      <c r="Z92" s="6" t="s">
        <v>1195</v>
      </c>
      <c r="AA92" s="2">
        <f>AA91</f>
        <v>42985053.735038146</v>
      </c>
      <c r="AB92" s="2">
        <v>0</v>
      </c>
    </row>
    <row r="93" spans="1:28">
      <c r="A93" s="2">
        <v>90</v>
      </c>
      <c r="B93" s="2" t="s">
        <v>483</v>
      </c>
      <c r="C93" s="2" t="s">
        <v>2081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42947967.432626039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42947967.432626039</v>
      </c>
      <c r="Y93" s="6" t="s">
        <v>1195</v>
      </c>
      <c r="Z93" s="6" t="s">
        <v>1195</v>
      </c>
      <c r="AA93" s="2">
        <f>AA92</f>
        <v>42985053.735038146</v>
      </c>
      <c r="AB93" s="2">
        <v>0</v>
      </c>
    </row>
    <row r="94" spans="1:28">
      <c r="A94" s="2">
        <v>91</v>
      </c>
      <c r="B94" s="2" t="s">
        <v>486</v>
      </c>
      <c r="C94" s="2" t="s">
        <v>2081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42947967.432626039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42947967.432626039</v>
      </c>
      <c r="Y94" s="6" t="s">
        <v>1195</v>
      </c>
      <c r="Z94" s="6" t="s">
        <v>1195</v>
      </c>
      <c r="AA94" s="2">
        <f>AA93</f>
        <v>42985053.735038146</v>
      </c>
      <c r="AB94" s="2">
        <v>0</v>
      </c>
    </row>
    <row r="95" spans="1:28">
      <c r="A95" s="2">
        <v>92</v>
      </c>
      <c r="B95" s="2" t="s">
        <v>490</v>
      </c>
      <c r="C95" s="2" t="s">
        <v>2081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42947967.432626039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42947967.432626039</v>
      </c>
      <c r="Y95" s="6" t="s">
        <v>1195</v>
      </c>
      <c r="Z95" s="6" t="s">
        <v>1195</v>
      </c>
      <c r="AA95" s="2">
        <f>AA94</f>
        <v>42985053.735038146</v>
      </c>
      <c r="AB95" s="2">
        <v>0</v>
      </c>
    </row>
    <row r="96" spans="1:28">
      <c r="A96" s="2">
        <v>93</v>
      </c>
      <c r="B96" s="2" t="s">
        <v>493</v>
      </c>
      <c r="C96" s="2" t="s">
        <v>2081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2142</v>
      </c>
      <c r="J96" s="2" t="s">
        <v>392</v>
      </c>
      <c r="K96" s="2">
        <f t="shared" si="18"/>
        <v>42947967.432626039</v>
      </c>
      <c r="L96" s="2" t="s">
        <v>2143</v>
      </c>
      <c r="M96" s="2" t="s">
        <v>2120</v>
      </c>
      <c r="N96" s="2" t="s">
        <v>2144</v>
      </c>
      <c r="O96" s="2">
        <v>196</v>
      </c>
      <c r="P96" s="2">
        <v>2666.144287109375</v>
      </c>
      <c r="Q96" s="2">
        <v>2443.62060546875</v>
      </c>
      <c r="R96" s="2">
        <f>O96*P96</f>
        <v>522564.2802734375</v>
      </c>
      <c r="S96" s="2">
        <f>O96*Q96</f>
        <v>478949.638671875</v>
      </c>
      <c r="T96" s="2">
        <f>R96+S96</f>
        <v>1001513.9189453125</v>
      </c>
      <c r="U96" s="2">
        <f>ROUND(T96*0.0005, 2)</f>
        <v>500.76</v>
      </c>
      <c r="V96" s="2">
        <f>S96-R96</f>
        <v>-43614.6416015625</v>
      </c>
      <c r="W96" s="2">
        <f>V96-U96</f>
        <v>-44115.401601562502</v>
      </c>
      <c r="X96" s="2">
        <f>K96+W96</f>
        <v>42903852.031024478</v>
      </c>
      <c r="Y96" s="2">
        <f>ROUND(0.2*R96, 2)</f>
        <v>104512.86</v>
      </c>
      <c r="Z96" s="2">
        <f>ROUND((W96/Y96)*100, 2)</f>
        <v>-42.21</v>
      </c>
      <c r="AA96" s="2">
        <f>MAX(AA95, X96)</f>
        <v>42985053.735038146</v>
      </c>
      <c r="AB96" s="2">
        <f>X96-AA96</f>
        <v>-81201.704013668001</v>
      </c>
    </row>
    <row r="97" spans="1:28">
      <c r="A97" s="2">
        <v>94</v>
      </c>
      <c r="B97" s="2" t="s">
        <v>498</v>
      </c>
      <c r="C97" s="2" t="s">
        <v>2081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48</v>
      </c>
      <c r="J97" s="2" t="s">
        <v>1811</v>
      </c>
      <c r="K97" s="2">
        <f t="shared" si="18"/>
        <v>42903852.031024478</v>
      </c>
      <c r="L97" s="2" t="s">
        <v>1629</v>
      </c>
      <c r="M97" s="2" t="s">
        <v>1557</v>
      </c>
      <c r="N97" s="2" t="s">
        <v>1374</v>
      </c>
      <c r="O97" s="2">
        <v>500</v>
      </c>
      <c r="P97" s="2">
        <v>1456.10009765625</v>
      </c>
      <c r="Q97" s="2">
        <v>1465.0361328125</v>
      </c>
      <c r="R97" s="2">
        <f>O97*P97</f>
        <v>728050.048828125</v>
      </c>
      <c r="S97" s="2">
        <f>O97*Q97</f>
        <v>732518.06640625</v>
      </c>
      <c r="T97" s="2">
        <f>R97+S97</f>
        <v>1460568.115234375</v>
      </c>
      <c r="U97" s="2">
        <f>ROUND(T97*0.0005, 2)</f>
        <v>730.28</v>
      </c>
      <c r="V97" s="2">
        <f>S97-R97</f>
        <v>4468.017578125</v>
      </c>
      <c r="W97" s="2">
        <f>V97-U97</f>
        <v>3737.7375781250003</v>
      </c>
      <c r="X97" s="2">
        <f>K97+W97</f>
        <v>42907589.768602602</v>
      </c>
      <c r="Y97" s="2">
        <f>ROUND(0.2*R97, 2)</f>
        <v>145610.01</v>
      </c>
      <c r="Z97" s="2">
        <f>ROUND((W97/Y97)*100, 2)</f>
        <v>2.57</v>
      </c>
      <c r="AA97" s="2">
        <f>MAX(AA96, X97)</f>
        <v>42985053.735038146</v>
      </c>
      <c r="AB97" s="2">
        <f>X97-AA97</f>
        <v>-77463.966435544193</v>
      </c>
    </row>
    <row r="98" spans="1:28">
      <c r="A98" s="2">
        <v>95</v>
      </c>
      <c r="B98" s="2" t="s">
        <v>502</v>
      </c>
      <c r="C98" s="2" t="s">
        <v>2081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42907589.768602602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42907589.768602602</v>
      </c>
      <c r="Y98" s="6" t="s">
        <v>1195</v>
      </c>
      <c r="Z98" s="6" t="s">
        <v>1195</v>
      </c>
      <c r="AA98" s="2">
        <f>AA97</f>
        <v>42985053.735038146</v>
      </c>
      <c r="AB98" s="2">
        <v>0</v>
      </c>
    </row>
    <row r="99" spans="1:28">
      <c r="A99" s="2">
        <v>96</v>
      </c>
      <c r="B99" s="2" t="s">
        <v>506</v>
      </c>
      <c r="C99" s="2" t="s">
        <v>2081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115</v>
      </c>
      <c r="J99" s="2" t="s">
        <v>1860</v>
      </c>
      <c r="K99" s="2">
        <f t="shared" si="18"/>
        <v>42907589.768602602</v>
      </c>
      <c r="L99" s="2" t="s">
        <v>1709</v>
      </c>
      <c r="M99" s="2" t="s">
        <v>1580</v>
      </c>
      <c r="N99" s="2" t="s">
        <v>1375</v>
      </c>
      <c r="O99" s="2">
        <v>400</v>
      </c>
      <c r="P99" s="2">
        <v>1320.340942382812</v>
      </c>
      <c r="Q99" s="2">
        <v>1388.581298828125</v>
      </c>
      <c r="R99" s="2">
        <f>O99*P99</f>
        <v>528136.37695312477</v>
      </c>
      <c r="S99" s="2">
        <f>O99*Q99</f>
        <v>555432.51953125</v>
      </c>
      <c r="T99" s="2">
        <f>R99+S99</f>
        <v>1083568.8964843748</v>
      </c>
      <c r="U99" s="2">
        <f>ROUND(T99*0.0005, 2)</f>
        <v>541.78</v>
      </c>
      <c r="V99" s="2">
        <f>S99-R99</f>
        <v>27296.142578125233</v>
      </c>
      <c r="W99" s="2">
        <f>V99-U99</f>
        <v>26754.362578125234</v>
      </c>
      <c r="X99" s="2">
        <f>K99+W99</f>
        <v>42934344.131180726</v>
      </c>
      <c r="Y99" s="2">
        <f>ROUND(0.2*R99, 2)</f>
        <v>105627.28</v>
      </c>
      <c r="Z99" s="2">
        <f>ROUND((W99/Y99)*100, 2)</f>
        <v>25.33</v>
      </c>
      <c r="AA99" s="2">
        <f>MAX(AA98, X99)</f>
        <v>42985053.735038146</v>
      </c>
      <c r="AB99" s="2">
        <f>X99-AA99</f>
        <v>-50709.603857420385</v>
      </c>
    </row>
    <row r="100" spans="1:28">
      <c r="A100" s="2">
        <v>97</v>
      </c>
      <c r="B100" s="2" t="s">
        <v>511</v>
      </c>
      <c r="C100" s="2" t="s">
        <v>2081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42934344.131180726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42934344.131180726</v>
      </c>
      <c r="Y100" s="6" t="s">
        <v>1195</v>
      </c>
      <c r="Z100" s="6" t="s">
        <v>1195</v>
      </c>
      <c r="AA100" s="2">
        <f>AA99</f>
        <v>42985053.735038146</v>
      </c>
      <c r="AB100" s="2">
        <v>0</v>
      </c>
    </row>
    <row r="101" spans="1:28">
      <c r="A101" s="2">
        <v>98</v>
      </c>
      <c r="B101" s="2" t="s">
        <v>516</v>
      </c>
      <c r="C101" s="2" t="s">
        <v>2081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42934344.131180726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42934344.131180726</v>
      </c>
      <c r="Y101" s="6" t="s">
        <v>1195</v>
      </c>
      <c r="Z101" s="6" t="s">
        <v>1195</v>
      </c>
      <c r="AA101" s="2">
        <f>AA100</f>
        <v>42985053.735038146</v>
      </c>
      <c r="AB101" s="2">
        <v>0</v>
      </c>
    </row>
    <row r="102" spans="1:28">
      <c r="A102" s="2">
        <v>99</v>
      </c>
      <c r="B102" s="2" t="s">
        <v>519</v>
      </c>
      <c r="C102" s="2" t="s">
        <v>2081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42934344.131180726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42934344.131180726</v>
      </c>
      <c r="Y102" s="6" t="s">
        <v>1195</v>
      </c>
      <c r="Z102" s="6" t="s">
        <v>1195</v>
      </c>
      <c r="AA102" s="2">
        <f>AA101</f>
        <v>42985053.735038146</v>
      </c>
      <c r="AB102" s="2">
        <v>0</v>
      </c>
    </row>
    <row r="103" spans="1:28">
      <c r="A103" s="2">
        <v>100</v>
      </c>
      <c r="B103" s="2" t="s">
        <v>525</v>
      </c>
      <c r="C103" s="2" t="s">
        <v>2081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42934344.131180726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42934344.131180726</v>
      </c>
      <c r="Y103" s="6" t="s">
        <v>1195</v>
      </c>
      <c r="Z103" s="6" t="s">
        <v>1195</v>
      </c>
      <c r="AA103" s="2">
        <f>AA102</f>
        <v>42985053.735038146</v>
      </c>
      <c r="AB103" s="2">
        <v>0</v>
      </c>
    </row>
    <row r="104" spans="1:28">
      <c r="A104" s="2">
        <v>101</v>
      </c>
      <c r="B104" s="2" t="s">
        <v>527</v>
      </c>
      <c r="C104" s="2" t="s">
        <v>2081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1473</v>
      </c>
      <c r="J104" s="2" t="s">
        <v>458</v>
      </c>
      <c r="K104" s="2">
        <f t="shared" si="18"/>
        <v>42934344.131180726</v>
      </c>
      <c r="L104" s="2" t="s">
        <v>1572</v>
      </c>
      <c r="M104" s="2" t="s">
        <v>1540</v>
      </c>
      <c r="N104" s="2" t="s">
        <v>1539</v>
      </c>
      <c r="O104" s="2">
        <v>1600</v>
      </c>
      <c r="P104" s="2">
        <v>376.0321044921875</v>
      </c>
      <c r="Q104" s="2">
        <v>376.337158203125</v>
      </c>
      <c r="R104" s="2">
        <f>O104*P104</f>
        <v>601651.3671875</v>
      </c>
      <c r="S104" s="2">
        <f>O104*Q104</f>
        <v>602139.453125</v>
      </c>
      <c r="T104" s="2">
        <f>R104+S104</f>
        <v>1203790.8203125</v>
      </c>
      <c r="U104" s="2">
        <f>ROUND(T104*0.0005, 2)</f>
        <v>601.9</v>
      </c>
      <c r="V104" s="2">
        <f>S104-R104</f>
        <v>488.0859375</v>
      </c>
      <c r="W104" s="2">
        <f>V104-U104</f>
        <v>-113.81406249999998</v>
      </c>
      <c r="X104" s="2">
        <f>K104+W104</f>
        <v>42934230.317118227</v>
      </c>
      <c r="Y104" s="2">
        <f>ROUND(0.2*R104, 2)</f>
        <v>120330.27</v>
      </c>
      <c r="Z104" s="2">
        <f>ROUND((W104/Y104)*100, 2)</f>
        <v>-0.09</v>
      </c>
      <c r="AA104" s="2">
        <f>MAX(AA103, X104)</f>
        <v>42985053.735038146</v>
      </c>
      <c r="AB104" s="2">
        <f>X104-AA104</f>
        <v>-50823.417919918895</v>
      </c>
    </row>
    <row r="105" spans="1:28">
      <c r="A105" s="2">
        <v>102</v>
      </c>
      <c r="B105" s="2" t="s">
        <v>530</v>
      </c>
      <c r="C105" s="2" t="s">
        <v>2081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42934230.317118227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42934230.317118227</v>
      </c>
      <c r="Y105" s="6" t="s">
        <v>1195</v>
      </c>
      <c r="Z105" s="6" t="s">
        <v>1195</v>
      </c>
      <c r="AA105" s="2">
        <f>AA104</f>
        <v>42985053.735038146</v>
      </c>
      <c r="AB105" s="2">
        <v>0</v>
      </c>
    </row>
    <row r="106" spans="1:28">
      <c r="A106" s="2">
        <v>103</v>
      </c>
      <c r="B106" s="2" t="s">
        <v>534</v>
      </c>
      <c r="C106" s="2" t="s">
        <v>2081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1490</v>
      </c>
      <c r="J106" s="2" t="s">
        <v>1022</v>
      </c>
      <c r="K106" s="2">
        <f t="shared" si="18"/>
        <v>42934230.317118227</v>
      </c>
      <c r="L106" s="2" t="s">
        <v>1630</v>
      </c>
      <c r="M106" s="2" t="s">
        <v>1374</v>
      </c>
      <c r="N106" s="2" t="s">
        <v>1375</v>
      </c>
      <c r="O106" s="2">
        <v>4127</v>
      </c>
      <c r="P106" s="2">
        <v>381.70477294921881</v>
      </c>
      <c r="Q106" s="2">
        <v>377.81085205078131</v>
      </c>
      <c r="R106" s="2">
        <f>O106*P106</f>
        <v>1575295.597961426</v>
      </c>
      <c r="S106" s="2">
        <f>O106*Q106</f>
        <v>1559225.3864135745</v>
      </c>
      <c r="T106" s="2">
        <f>R106+S106</f>
        <v>3134520.9843750005</v>
      </c>
      <c r="U106" s="2">
        <f>ROUND(T106*0.0005, 2)</f>
        <v>1567.26</v>
      </c>
      <c r="V106" s="2">
        <f>S106-R106</f>
        <v>-16070.211547851563</v>
      </c>
      <c r="W106" s="2">
        <f>V106-U106</f>
        <v>-17637.471547851561</v>
      </c>
      <c r="X106" s="2">
        <f>K106+W106</f>
        <v>42916592.845570378</v>
      </c>
      <c r="Y106" s="2">
        <f>ROUND(0.2*R106, 2)</f>
        <v>315059.12</v>
      </c>
      <c r="Z106" s="2">
        <f>ROUND((W106/Y106)*100, 2)</f>
        <v>-5.6</v>
      </c>
      <c r="AA106" s="2">
        <f>MAX(AA105, X106)</f>
        <v>42985053.735038146</v>
      </c>
      <c r="AB106" s="2">
        <f>X106-AA106</f>
        <v>-68460.889467768371</v>
      </c>
    </row>
    <row r="107" spans="1:28">
      <c r="A107" s="2">
        <v>104</v>
      </c>
      <c r="B107" s="2" t="s">
        <v>539</v>
      </c>
      <c r="C107" s="2" t="s">
        <v>2081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42916592.845570378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42916592.845570378</v>
      </c>
      <c r="Y107" s="6" t="s">
        <v>1195</v>
      </c>
      <c r="Z107" s="6" t="s">
        <v>1195</v>
      </c>
      <c r="AA107" s="2">
        <f>AA106</f>
        <v>42985053.735038146</v>
      </c>
      <c r="AB107" s="2">
        <v>0</v>
      </c>
    </row>
    <row r="108" spans="1:28">
      <c r="A108" s="2">
        <v>105</v>
      </c>
      <c r="B108" s="2" t="s">
        <v>542</v>
      </c>
      <c r="C108" s="2" t="s">
        <v>2081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2145</v>
      </c>
      <c r="J108" s="2" t="s">
        <v>2146</v>
      </c>
      <c r="K108" s="2">
        <f t="shared" si="18"/>
        <v>42916592.845570378</v>
      </c>
      <c r="L108" s="2" t="s">
        <v>1559</v>
      </c>
      <c r="M108" s="2" t="s">
        <v>1544</v>
      </c>
      <c r="N108" s="2" t="s">
        <v>1545</v>
      </c>
      <c r="O108" s="2">
        <v>675</v>
      </c>
      <c r="P108" s="2">
        <v>839.86663818359375</v>
      </c>
      <c r="Q108" s="2">
        <v>894.031005859375</v>
      </c>
      <c r="R108" s="2">
        <f>O108*P108</f>
        <v>566909.98077392578</v>
      </c>
      <c r="S108" s="2">
        <f>O108*Q108</f>
        <v>603470.92895507812</v>
      </c>
      <c r="T108" s="2">
        <f>R108+S108</f>
        <v>1170380.9097290039</v>
      </c>
      <c r="U108" s="2">
        <f>ROUND(T108*0.0005, 2)</f>
        <v>585.19000000000005</v>
      </c>
      <c r="V108" s="2">
        <f>S108-R108</f>
        <v>36560.948181152344</v>
      </c>
      <c r="W108" s="2">
        <f>V108-U108</f>
        <v>35975.758181152341</v>
      </c>
      <c r="X108" s="2">
        <f>K108+W108</f>
        <v>42952568.603751533</v>
      </c>
      <c r="Y108" s="2">
        <f>ROUND(0.2*R108, 2)</f>
        <v>113382</v>
      </c>
      <c r="Z108" s="2">
        <f>ROUND((W108/Y108)*100, 2)</f>
        <v>31.73</v>
      </c>
      <c r="AA108" s="2">
        <f>MAX(AA107, X108)</f>
        <v>42985053.735038146</v>
      </c>
      <c r="AB108" s="2">
        <f>X108-AA108</f>
        <v>-32485.131286613643</v>
      </c>
    </row>
    <row r="109" spans="1:28">
      <c r="A109" s="2">
        <v>106</v>
      </c>
      <c r="B109" s="2" t="s">
        <v>547</v>
      </c>
      <c r="C109" s="2" t="s">
        <v>2081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42952568.603751533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42952568.603751533</v>
      </c>
      <c r="Y109" s="6" t="s">
        <v>1195</v>
      </c>
      <c r="Z109" s="6" t="s">
        <v>1195</v>
      </c>
      <c r="AA109" s="2">
        <f>AA108</f>
        <v>42985053.735038146</v>
      </c>
      <c r="AB109" s="2">
        <v>0</v>
      </c>
    </row>
    <row r="110" spans="1:28">
      <c r="A110" s="2">
        <v>107</v>
      </c>
      <c r="B110" s="2" t="s">
        <v>551</v>
      </c>
      <c r="C110" s="2" t="s">
        <v>2081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42952568.603751533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42952568.603751533</v>
      </c>
      <c r="Y110" s="6" t="s">
        <v>1195</v>
      </c>
      <c r="Z110" s="6" t="s">
        <v>1195</v>
      </c>
      <c r="AA110" s="2">
        <f>AA109</f>
        <v>42985053.735038146</v>
      </c>
      <c r="AB110" s="2">
        <v>0</v>
      </c>
    </row>
    <row r="111" spans="1:28">
      <c r="A111" s="2">
        <v>108</v>
      </c>
      <c r="B111" s="2" t="s">
        <v>554</v>
      </c>
      <c r="C111" s="2" t="s">
        <v>2081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42952568.603751533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42952568.603751533</v>
      </c>
      <c r="Y111" s="6" t="s">
        <v>1195</v>
      </c>
      <c r="Z111" s="6" t="s">
        <v>1195</v>
      </c>
      <c r="AA111" s="2">
        <f>AA110</f>
        <v>42985053.735038146</v>
      </c>
      <c r="AB111" s="2">
        <v>0</v>
      </c>
    </row>
    <row r="112" spans="1:28">
      <c r="A112" s="2">
        <v>109</v>
      </c>
      <c r="B112" s="2" t="s">
        <v>558</v>
      </c>
      <c r="C112" s="2" t="s">
        <v>2081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42952568.603751533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42952568.603751533</v>
      </c>
      <c r="Y112" s="6" t="s">
        <v>1195</v>
      </c>
      <c r="Z112" s="6" t="s">
        <v>1195</v>
      </c>
      <c r="AA112" s="2">
        <f>AA111</f>
        <v>42985053.735038146</v>
      </c>
      <c r="AB112" s="2">
        <v>0</v>
      </c>
    </row>
    <row r="113" spans="1:28">
      <c r="A113" s="2">
        <v>110</v>
      </c>
      <c r="B113" s="2" t="s">
        <v>562</v>
      </c>
      <c r="C113" s="2" t="s">
        <v>2081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42952568.603751533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42952568.603751533</v>
      </c>
      <c r="Y113" s="6" t="s">
        <v>1195</v>
      </c>
      <c r="Z113" s="6" t="s">
        <v>1195</v>
      </c>
      <c r="AA113" s="2">
        <f>AA112</f>
        <v>42985053.735038146</v>
      </c>
      <c r="AB113" s="2">
        <v>0</v>
      </c>
    </row>
    <row r="114" spans="1:28">
      <c r="A114" s="2">
        <v>111</v>
      </c>
      <c r="B114" s="2" t="s">
        <v>566</v>
      </c>
      <c r="C114" s="2" t="s">
        <v>2081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382</v>
      </c>
      <c r="J114" s="2" t="s">
        <v>2147</v>
      </c>
      <c r="K114" s="2">
        <f t="shared" si="18"/>
        <v>42952568.603751533</v>
      </c>
      <c r="L114" s="2" t="s">
        <v>1591</v>
      </c>
      <c r="M114" s="2" t="s">
        <v>1543</v>
      </c>
      <c r="N114" s="2" t="s">
        <v>1582</v>
      </c>
      <c r="O114" s="2">
        <v>400</v>
      </c>
      <c r="P114" s="2">
        <v>328.04183959960937</v>
      </c>
      <c r="Q114" s="2">
        <v>324.06082153320312</v>
      </c>
      <c r="R114" s="2">
        <f>O114*P114</f>
        <v>131216.73583984375</v>
      </c>
      <c r="S114" s="2">
        <f>O114*Q114</f>
        <v>129624.32861328125</v>
      </c>
      <c r="T114" s="2">
        <f>R114+S114</f>
        <v>260841.064453125</v>
      </c>
      <c r="U114" s="2">
        <f>ROUND(T114*0.0005, 2)</f>
        <v>130.41999999999999</v>
      </c>
      <c r="V114" s="2">
        <f>S114-R114</f>
        <v>-1592.4072265625</v>
      </c>
      <c r="W114" s="2">
        <f>V114-U114</f>
        <v>-1722.8272265625001</v>
      </c>
      <c r="X114" s="2">
        <f>K114+W114</f>
        <v>42950845.776524968</v>
      </c>
      <c r="Y114" s="2">
        <f>ROUND(0.2*R114, 2)</f>
        <v>26243.35</v>
      </c>
      <c r="Z114" s="2">
        <f>ROUND((W114/Y114)*100, 2)</f>
        <v>-6.56</v>
      </c>
      <c r="AA114" s="2">
        <f>MAX(AA113, X114)</f>
        <v>42985053.735038146</v>
      </c>
      <c r="AB114" s="2">
        <f>X114-AA114</f>
        <v>-34207.958513177931</v>
      </c>
    </row>
    <row r="115" spans="1:28">
      <c r="A115" s="2">
        <v>112</v>
      </c>
      <c r="B115" s="2" t="s">
        <v>570</v>
      </c>
      <c r="C115" s="2" t="s">
        <v>2081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42950845.776524968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42950845.776524968</v>
      </c>
      <c r="Y115" s="6" t="s">
        <v>1195</v>
      </c>
      <c r="Z115" s="6" t="s">
        <v>1195</v>
      </c>
      <c r="AA115" s="2">
        <f>AA114</f>
        <v>42985053.735038146</v>
      </c>
      <c r="AB115" s="2">
        <v>0</v>
      </c>
    </row>
    <row r="116" spans="1:28">
      <c r="A116" s="2">
        <v>113</v>
      </c>
      <c r="B116" s="2" t="s">
        <v>574</v>
      </c>
      <c r="C116" s="2" t="s">
        <v>2081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42950845.776524968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42950845.776524968</v>
      </c>
      <c r="Y116" s="6" t="s">
        <v>1195</v>
      </c>
      <c r="Z116" s="6" t="s">
        <v>1195</v>
      </c>
      <c r="AA116" s="2">
        <f>AA115</f>
        <v>42985053.735038146</v>
      </c>
      <c r="AB116" s="2">
        <v>0</v>
      </c>
    </row>
    <row r="117" spans="1:28">
      <c r="A117" s="2">
        <v>114</v>
      </c>
      <c r="B117" s="2" t="s">
        <v>578</v>
      </c>
      <c r="C117" s="2" t="s">
        <v>2081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42950845.776524968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42950845.776524968</v>
      </c>
      <c r="Y117" s="6" t="s">
        <v>1195</v>
      </c>
      <c r="Z117" s="6" t="s">
        <v>1195</v>
      </c>
      <c r="AA117" s="2">
        <f>AA116</f>
        <v>42985053.735038146</v>
      </c>
      <c r="AB117" s="2">
        <v>0</v>
      </c>
    </row>
    <row r="118" spans="1:28">
      <c r="A118" s="2">
        <v>115</v>
      </c>
      <c r="B118" s="2" t="s">
        <v>581</v>
      </c>
      <c r="C118" s="2" t="s">
        <v>2081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2148</v>
      </c>
      <c r="J118" s="2" t="s">
        <v>2149</v>
      </c>
      <c r="K118" s="2">
        <f t="shared" si="18"/>
        <v>42950845.776524968</v>
      </c>
      <c r="L118" s="2" t="s">
        <v>2150</v>
      </c>
      <c r="M118" s="2" t="s">
        <v>2151</v>
      </c>
      <c r="N118" s="2" t="s">
        <v>2152</v>
      </c>
      <c r="O118" s="2">
        <v>2364</v>
      </c>
      <c r="P118" s="2">
        <v>411.66363525390631</v>
      </c>
      <c r="Q118" s="2">
        <v>459.80679321289062</v>
      </c>
      <c r="R118" s="2">
        <f>O118*P118</f>
        <v>973172.83374023449</v>
      </c>
      <c r="S118" s="2">
        <f>O118*Q118</f>
        <v>1086983.2591552734</v>
      </c>
      <c r="T118" s="2">
        <f>R118+S118</f>
        <v>2060156.0928955078</v>
      </c>
      <c r="U118" s="2">
        <f>ROUND(T118*0.0005, 2)</f>
        <v>1030.08</v>
      </c>
      <c r="V118" s="2">
        <f>S118-R118</f>
        <v>113810.42541503895</v>
      </c>
      <c r="W118" s="2">
        <f>V118-U118</f>
        <v>112780.34541503894</v>
      </c>
      <c r="X118" s="2">
        <f>K118+W118</f>
        <v>43063626.121940009</v>
      </c>
      <c r="Y118" s="2">
        <f>ROUND(0.2*R118, 2)</f>
        <v>194634.57</v>
      </c>
      <c r="Z118" s="2">
        <f>ROUND((W118/Y118)*100, 2)</f>
        <v>57.94</v>
      </c>
      <c r="AA118" s="2">
        <f>MAX(AA117, X118)</f>
        <v>43063626.121940009</v>
      </c>
      <c r="AB118" s="2">
        <f>X118-AA118</f>
        <v>0</v>
      </c>
    </row>
    <row r="119" spans="1:28">
      <c r="A119" s="2">
        <v>116</v>
      </c>
      <c r="B119" s="2" t="s">
        <v>586</v>
      </c>
      <c r="C119" s="2" t="s">
        <v>2081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43063626.121940009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43063626.121940009</v>
      </c>
      <c r="Y119" s="6" t="s">
        <v>1195</v>
      </c>
      <c r="Z119" s="6" t="s">
        <v>1195</v>
      </c>
      <c r="AA119" s="2">
        <f>AA118</f>
        <v>43063626.121940009</v>
      </c>
      <c r="AB119" s="2">
        <v>0</v>
      </c>
    </row>
    <row r="120" spans="1:28">
      <c r="A120" s="2">
        <v>117</v>
      </c>
      <c r="B120" s="2" t="s">
        <v>592</v>
      </c>
      <c r="C120" s="2" t="s">
        <v>2081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594</v>
      </c>
      <c r="J120" s="2" t="s">
        <v>42</v>
      </c>
      <c r="K120" s="2">
        <f t="shared" si="18"/>
        <v>43063626.121940009</v>
      </c>
      <c r="L120" s="2" t="s">
        <v>1565</v>
      </c>
      <c r="M120" s="2" t="s">
        <v>1572</v>
      </c>
      <c r="N120" s="2" t="s">
        <v>1565</v>
      </c>
      <c r="O120" s="2">
        <v>300</v>
      </c>
      <c r="P120" s="2">
        <v>3188.727783203125</v>
      </c>
      <c r="Q120" s="2">
        <v>3206.640625</v>
      </c>
      <c r="R120" s="2">
        <f>O120*P120</f>
        <v>956618.3349609375</v>
      </c>
      <c r="S120" s="2">
        <f>O120*Q120</f>
        <v>961992.1875</v>
      </c>
      <c r="T120" s="2">
        <f>R120+S120</f>
        <v>1918610.5224609375</v>
      </c>
      <c r="U120" s="2">
        <f>ROUND(T120*0.0005, 2)</f>
        <v>959.31</v>
      </c>
      <c r="V120" s="2">
        <f>S120-R120</f>
        <v>5373.8525390625</v>
      </c>
      <c r="W120" s="2">
        <f>V120-U120</f>
        <v>4414.5425390625005</v>
      </c>
      <c r="X120" s="2">
        <f>K120+W120</f>
        <v>43068040.664479069</v>
      </c>
      <c r="Y120" s="2">
        <f>ROUND(0.2*R120, 2)</f>
        <v>191323.67</v>
      </c>
      <c r="Z120" s="2">
        <f>ROUND((W120/Y120)*100, 2)</f>
        <v>2.31</v>
      </c>
      <c r="AA120" s="2">
        <f>MAX(AA119, X120)</f>
        <v>43068040.664479069</v>
      </c>
      <c r="AB120" s="2">
        <f>X120-AA120</f>
        <v>0</v>
      </c>
    </row>
    <row r="121" spans="1:28">
      <c r="A121" s="2">
        <v>118</v>
      </c>
      <c r="B121" s="2" t="s">
        <v>597</v>
      </c>
      <c r="C121" s="2" t="s">
        <v>2081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43068040.664479069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43068040.664479069</v>
      </c>
      <c r="Y121" s="6" t="s">
        <v>1195</v>
      </c>
      <c r="Z121" s="6" t="s">
        <v>1195</v>
      </c>
      <c r="AA121" s="2">
        <f>AA120</f>
        <v>43068040.664479069</v>
      </c>
      <c r="AB121" s="2">
        <v>0</v>
      </c>
    </row>
    <row r="122" spans="1:28">
      <c r="A122" s="2">
        <v>119</v>
      </c>
      <c r="B122" s="2" t="s">
        <v>601</v>
      </c>
      <c r="C122" s="2" t="s">
        <v>2081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43068040.664479069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43068040.664479069</v>
      </c>
      <c r="Y122" s="6" t="s">
        <v>1195</v>
      </c>
      <c r="Z122" s="6" t="s">
        <v>1195</v>
      </c>
      <c r="AA122" s="2">
        <f>AA121</f>
        <v>43068040.664479069</v>
      </c>
      <c r="AB122" s="2">
        <v>0</v>
      </c>
    </row>
    <row r="123" spans="1:28">
      <c r="A123" s="2">
        <v>120</v>
      </c>
      <c r="B123" s="2" t="s">
        <v>605</v>
      </c>
      <c r="C123" s="2" t="s">
        <v>2081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43068040.664479069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43068040.664479069</v>
      </c>
      <c r="Y123" s="6" t="s">
        <v>1195</v>
      </c>
      <c r="Z123" s="6" t="s">
        <v>1195</v>
      </c>
      <c r="AA123" s="2">
        <f>AA122</f>
        <v>43068040.664479069</v>
      </c>
      <c r="AB123" s="2">
        <v>0</v>
      </c>
    </row>
    <row r="124" spans="1:28">
      <c r="A124" s="2">
        <v>121</v>
      </c>
      <c r="B124" s="2" t="s">
        <v>609</v>
      </c>
      <c r="C124" s="2" t="s">
        <v>2081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2153</v>
      </c>
      <c r="J124" s="2" t="s">
        <v>2154</v>
      </c>
      <c r="K124" s="2">
        <f t="shared" si="18"/>
        <v>43068040.664479069</v>
      </c>
      <c r="L124" s="2" t="s">
        <v>1572</v>
      </c>
      <c r="M124" s="2" t="s">
        <v>1568</v>
      </c>
      <c r="N124" s="2" t="s">
        <v>1558</v>
      </c>
      <c r="O124" s="2">
        <v>350</v>
      </c>
      <c r="P124" s="2">
        <v>2128.736083984375</v>
      </c>
      <c r="Q124" s="2">
        <v>2458.535400390625</v>
      </c>
      <c r="R124" s="2">
        <f>O124*P124</f>
        <v>745057.62939453125</v>
      </c>
      <c r="S124" s="2">
        <f>O124*Q124</f>
        <v>860487.39013671875</v>
      </c>
      <c r="T124" s="2">
        <f>R124+S124</f>
        <v>1605545.01953125</v>
      </c>
      <c r="U124" s="2">
        <f>ROUND(T124*0.0005, 2)</f>
        <v>802.77</v>
      </c>
      <c r="V124" s="2">
        <f>S124-R124</f>
        <v>115429.7607421875</v>
      </c>
      <c r="W124" s="2">
        <f>V124-U124</f>
        <v>114626.9907421875</v>
      </c>
      <c r="X124" s="2">
        <f>K124+W124</f>
        <v>43182667.655221254</v>
      </c>
      <c r="Y124" s="2">
        <f>ROUND(0.2*R124, 2)</f>
        <v>149011.53</v>
      </c>
      <c r="Z124" s="2">
        <f>ROUND((W124/Y124)*100, 2)</f>
        <v>76.92</v>
      </c>
      <c r="AA124" s="2">
        <f>MAX(AA123, X124)</f>
        <v>43182667.655221254</v>
      </c>
      <c r="AB124" s="2">
        <f>X124-AA124</f>
        <v>0</v>
      </c>
    </row>
    <row r="125" spans="1:28">
      <c r="A125" s="2">
        <v>122</v>
      </c>
      <c r="B125" s="2" t="s">
        <v>613</v>
      </c>
      <c r="C125" s="2" t="s">
        <v>2081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43182667.655221254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43182667.655221254</v>
      </c>
      <c r="Y125" s="6" t="s">
        <v>1195</v>
      </c>
      <c r="Z125" s="6" t="s">
        <v>1195</v>
      </c>
      <c r="AA125" s="2">
        <f>AA124</f>
        <v>43182667.655221254</v>
      </c>
      <c r="AB125" s="2">
        <v>0</v>
      </c>
    </row>
    <row r="126" spans="1:28">
      <c r="A126" s="2">
        <v>123</v>
      </c>
      <c r="B126" s="2" t="s">
        <v>617</v>
      </c>
      <c r="C126" s="2" t="s">
        <v>2081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43182667.655221254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43182667.655221254</v>
      </c>
      <c r="Y126" s="6" t="s">
        <v>1195</v>
      </c>
      <c r="Z126" s="6" t="s">
        <v>1195</v>
      </c>
      <c r="AA126" s="2">
        <f>AA125</f>
        <v>43182667.655221254</v>
      </c>
      <c r="AB126" s="2">
        <v>0</v>
      </c>
    </row>
    <row r="127" spans="1:28">
      <c r="A127" s="2">
        <v>124</v>
      </c>
      <c r="B127" s="2" t="s">
        <v>621</v>
      </c>
      <c r="C127" s="2" t="s">
        <v>2081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43182667.655221254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43182667.655221254</v>
      </c>
      <c r="Y127" s="6" t="s">
        <v>1195</v>
      </c>
      <c r="Z127" s="6" t="s">
        <v>1195</v>
      </c>
      <c r="AA127" s="2">
        <f>AA126</f>
        <v>43182667.655221254</v>
      </c>
      <c r="AB127" s="2">
        <v>0</v>
      </c>
    </row>
    <row r="128" spans="1:28">
      <c r="A128" s="2">
        <v>125</v>
      </c>
      <c r="B128" s="2" t="s">
        <v>625</v>
      </c>
      <c r="C128" s="2" t="s">
        <v>2081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43182667.655221254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43182667.655221254</v>
      </c>
      <c r="Y128" s="6" t="s">
        <v>1195</v>
      </c>
      <c r="Z128" s="6" t="s">
        <v>1195</v>
      </c>
      <c r="AA128" s="2">
        <f>AA127</f>
        <v>43182667.655221254</v>
      </c>
      <c r="AB128" s="2">
        <v>0</v>
      </c>
    </row>
    <row r="129" spans="1:28">
      <c r="A129" s="2">
        <v>126</v>
      </c>
      <c r="B129" s="2" t="s">
        <v>629</v>
      </c>
      <c r="C129" s="2" t="s">
        <v>2081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619</v>
      </c>
      <c r="J129" s="2" t="s">
        <v>2155</v>
      </c>
      <c r="K129" s="2">
        <f t="shared" si="18"/>
        <v>43182667.655221254</v>
      </c>
      <c r="L129" s="2" t="s">
        <v>1629</v>
      </c>
      <c r="M129" s="2" t="s">
        <v>1591</v>
      </c>
      <c r="N129" s="2" t="s">
        <v>1639</v>
      </c>
      <c r="O129" s="2">
        <v>100</v>
      </c>
      <c r="P129" s="2">
        <v>12561.6083984375</v>
      </c>
      <c r="Q129" s="2">
        <v>12685.630859375</v>
      </c>
      <c r="R129" s="2">
        <f>O129*P129</f>
        <v>1256160.83984375</v>
      </c>
      <c r="S129" s="2">
        <f>O129*Q129</f>
        <v>1268563.0859375</v>
      </c>
      <c r="T129" s="2">
        <f>R129+S129</f>
        <v>2524723.92578125</v>
      </c>
      <c r="U129" s="2">
        <f>ROUND(T129*0.0005, 2)</f>
        <v>1262.3599999999999</v>
      </c>
      <c r="V129" s="2">
        <f>S129-R129</f>
        <v>12402.24609375</v>
      </c>
      <c r="W129" s="2">
        <f>V129-U129</f>
        <v>11139.886093749999</v>
      </c>
      <c r="X129" s="2">
        <f>K129+W129</f>
        <v>43193807.541315004</v>
      </c>
      <c r="Y129" s="2">
        <f>ROUND(0.2*R129, 2)</f>
        <v>251232.17</v>
      </c>
      <c r="Z129" s="2">
        <f>ROUND((W129/Y129)*100, 2)</f>
        <v>4.43</v>
      </c>
      <c r="AA129" s="2">
        <f>MAX(AA128, X129)</f>
        <v>43193807.541315004</v>
      </c>
      <c r="AB129" s="2">
        <f>X129-AA129</f>
        <v>0</v>
      </c>
    </row>
    <row r="130" spans="1:28">
      <c r="A130" s="2">
        <v>127</v>
      </c>
      <c r="B130" s="2" t="s">
        <v>632</v>
      </c>
      <c r="C130" s="2" t="s">
        <v>2081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2156</v>
      </c>
      <c r="J130" s="2" t="s">
        <v>2157</v>
      </c>
      <c r="K130" s="2">
        <f t="shared" si="18"/>
        <v>43193807.541315004</v>
      </c>
      <c r="L130" s="2" t="s">
        <v>2118</v>
      </c>
      <c r="M130" s="2" t="s">
        <v>2158</v>
      </c>
      <c r="N130" s="2" t="s">
        <v>2159</v>
      </c>
      <c r="O130" s="2">
        <v>922</v>
      </c>
      <c r="P130" s="2">
        <v>568.69580078125</v>
      </c>
      <c r="Q130" s="2">
        <v>555.97637939453125</v>
      </c>
      <c r="R130" s="2">
        <f>O130*P130</f>
        <v>524337.5283203125</v>
      </c>
      <c r="S130" s="2">
        <f>O130*Q130</f>
        <v>512610.22180175781</v>
      </c>
      <c r="T130" s="2">
        <f>R130+S130</f>
        <v>1036947.7501220703</v>
      </c>
      <c r="U130" s="2">
        <f>ROUND(T130*0.0005, 2)</f>
        <v>518.47</v>
      </c>
      <c r="V130" s="2">
        <f>S130-R130</f>
        <v>-11727.306518554688</v>
      </c>
      <c r="W130" s="2">
        <f>V130-U130</f>
        <v>-12245.776518554687</v>
      </c>
      <c r="X130" s="2">
        <f>K130+W130</f>
        <v>43181561.764796451</v>
      </c>
      <c r="Y130" s="2">
        <f>ROUND(0.2*R130, 2)</f>
        <v>104867.51</v>
      </c>
      <c r="Z130" s="2">
        <f>ROUND((W130/Y130)*100, 2)</f>
        <v>-11.68</v>
      </c>
      <c r="AA130" s="2">
        <f>MAX(AA129, X130)</f>
        <v>43193807.541315004</v>
      </c>
      <c r="AB130" s="2">
        <f>X130-AA130</f>
        <v>-12245.776518553495</v>
      </c>
    </row>
    <row r="131" spans="1:28">
      <c r="A131" s="2">
        <v>128</v>
      </c>
      <c r="B131" s="2" t="s">
        <v>637</v>
      </c>
      <c r="C131" s="2" t="s">
        <v>2081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43181561.764796451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43181561.764796451</v>
      </c>
      <c r="Y131" s="6" t="s">
        <v>1195</v>
      </c>
      <c r="Z131" s="6" t="s">
        <v>1195</v>
      </c>
      <c r="AA131" s="2">
        <f t="shared" ref="AA131:AA136" si="20">AA130</f>
        <v>43193807.541315004</v>
      </c>
      <c r="AB131" s="2">
        <v>0</v>
      </c>
    </row>
    <row r="132" spans="1:28">
      <c r="A132" s="2">
        <v>129</v>
      </c>
      <c r="B132" s="2" t="s">
        <v>640</v>
      </c>
      <c r="C132" s="2" t="s">
        <v>2081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43181561.764796451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43181561.764796451</v>
      </c>
      <c r="Y132" s="6" t="s">
        <v>1195</v>
      </c>
      <c r="Z132" s="6" t="s">
        <v>1195</v>
      </c>
      <c r="AA132" s="2">
        <f t="shared" si="20"/>
        <v>43193807.541315004</v>
      </c>
      <c r="AB132" s="2">
        <v>0</v>
      </c>
    </row>
    <row r="133" spans="1:28">
      <c r="A133" s="2">
        <v>130</v>
      </c>
      <c r="B133" s="2" t="s">
        <v>647</v>
      </c>
      <c r="C133" s="2" t="s">
        <v>2081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43181561.764796451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43181561.764796451</v>
      </c>
      <c r="Y133" s="6" t="s">
        <v>1195</v>
      </c>
      <c r="Z133" s="6" t="s">
        <v>1195</v>
      </c>
      <c r="AA133" s="2">
        <f t="shared" si="20"/>
        <v>43193807.541315004</v>
      </c>
      <c r="AB133" s="2">
        <v>0</v>
      </c>
    </row>
    <row r="134" spans="1:28">
      <c r="A134" s="2">
        <v>131</v>
      </c>
      <c r="B134" s="2" t="s">
        <v>651</v>
      </c>
      <c r="C134" s="2" t="s">
        <v>2081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43181561.764796451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43181561.764796451</v>
      </c>
      <c r="Y134" s="6" t="s">
        <v>1195</v>
      </c>
      <c r="Z134" s="6" t="s">
        <v>1195</v>
      </c>
      <c r="AA134" s="2">
        <f t="shared" si="20"/>
        <v>43193807.541315004</v>
      </c>
      <c r="AB134" s="2">
        <v>0</v>
      </c>
    </row>
    <row r="135" spans="1:28">
      <c r="A135" s="2">
        <v>132</v>
      </c>
      <c r="B135" s="2" t="s">
        <v>654</v>
      </c>
      <c r="C135" s="2" t="s">
        <v>2081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43181561.764796451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43181561.764796451</v>
      </c>
      <c r="Y135" s="6" t="s">
        <v>1195</v>
      </c>
      <c r="Z135" s="6" t="s">
        <v>1195</v>
      </c>
      <c r="AA135" s="2">
        <f t="shared" si="20"/>
        <v>43193807.541315004</v>
      </c>
      <c r="AB135" s="2">
        <v>0</v>
      </c>
    </row>
    <row r="136" spans="1:28">
      <c r="A136" s="2">
        <v>133</v>
      </c>
      <c r="B136" s="2" t="s">
        <v>656</v>
      </c>
      <c r="C136" s="2" t="s">
        <v>2081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43181561.764796451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43181561.764796451</v>
      </c>
      <c r="Y136" s="6" t="s">
        <v>1195</v>
      </c>
      <c r="Z136" s="6" t="s">
        <v>1195</v>
      </c>
      <c r="AA136" s="2">
        <f t="shared" si="20"/>
        <v>43193807.541315004</v>
      </c>
      <c r="AB136" s="2">
        <v>0</v>
      </c>
    </row>
    <row r="137" spans="1:28">
      <c r="A137" s="2">
        <v>134</v>
      </c>
      <c r="B137" s="2" t="s">
        <v>658</v>
      </c>
      <c r="C137" s="2" t="s">
        <v>2081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1561</v>
      </c>
      <c r="J137" s="2" t="s">
        <v>1645</v>
      </c>
      <c r="K137" s="2">
        <f t="shared" si="21"/>
        <v>43181561.764796451</v>
      </c>
      <c r="L137" s="2" t="s">
        <v>2160</v>
      </c>
      <c r="M137" s="2" t="s">
        <v>2161</v>
      </c>
      <c r="N137" s="2" t="s">
        <v>1667</v>
      </c>
      <c r="O137" s="2">
        <v>332</v>
      </c>
      <c r="P137" s="2">
        <v>3360.882080078125</v>
      </c>
      <c r="Q137" s="2">
        <v>3666.498046875</v>
      </c>
      <c r="R137" s="2">
        <f>O137*P137</f>
        <v>1115812.8505859375</v>
      </c>
      <c r="S137" s="2">
        <f>O137*Q137</f>
        <v>1217277.3515625</v>
      </c>
      <c r="T137" s="2">
        <f>R137+S137</f>
        <v>2333090.2021484375</v>
      </c>
      <c r="U137" s="2">
        <f>ROUND(T137*0.0005, 2)</f>
        <v>1166.55</v>
      </c>
      <c r="V137" s="2">
        <f>S137-R137</f>
        <v>101464.5009765625</v>
      </c>
      <c r="W137" s="2">
        <f>V137-U137</f>
        <v>100297.9509765625</v>
      </c>
      <c r="X137" s="2">
        <f>K137+W137</f>
        <v>43281859.715773016</v>
      </c>
      <c r="Y137" s="2">
        <f>ROUND(0.2*R137, 2)</f>
        <v>223162.57</v>
      </c>
      <c r="Z137" s="2">
        <f>ROUND((W137/Y137)*100, 2)</f>
        <v>44.94</v>
      </c>
      <c r="AA137" s="2">
        <f>MAX(AA136, X137)</f>
        <v>43281859.715773016</v>
      </c>
      <c r="AB137" s="2">
        <f>X137-AA137</f>
        <v>0</v>
      </c>
    </row>
    <row r="138" spans="1:28">
      <c r="A138" s="2">
        <v>135</v>
      </c>
      <c r="B138" s="2" t="s">
        <v>661</v>
      </c>
      <c r="C138" s="2" t="s">
        <v>2081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43281859.715773016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>K138</f>
        <v>43281859.715773016</v>
      </c>
      <c r="Y138" s="6" t="s">
        <v>1195</v>
      </c>
      <c r="Z138" s="6" t="s">
        <v>1195</v>
      </c>
      <c r="AA138" s="2">
        <f>AA137</f>
        <v>43281859.715773016</v>
      </c>
      <c r="AB138" s="2">
        <v>0</v>
      </c>
    </row>
    <row r="139" spans="1:28">
      <c r="A139" s="2">
        <v>136</v>
      </c>
      <c r="B139" s="2" t="s">
        <v>664</v>
      </c>
      <c r="C139" s="2" t="s">
        <v>2081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43281859.715773016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>K139</f>
        <v>43281859.715773016</v>
      </c>
      <c r="Y139" s="6" t="s">
        <v>1195</v>
      </c>
      <c r="Z139" s="6" t="s">
        <v>1195</v>
      </c>
      <c r="AA139" s="2">
        <f>AA138</f>
        <v>43281859.715773016</v>
      </c>
      <c r="AB139" s="2">
        <v>0</v>
      </c>
    </row>
    <row r="140" spans="1:28">
      <c r="A140" s="2">
        <v>137</v>
      </c>
      <c r="B140" s="2" t="s">
        <v>667</v>
      </c>
      <c r="C140" s="2" t="s">
        <v>2081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43281859.715773016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>K140</f>
        <v>43281859.715773016</v>
      </c>
      <c r="Y140" s="6" t="s">
        <v>1195</v>
      </c>
      <c r="Z140" s="6" t="s">
        <v>1195</v>
      </c>
      <c r="AA140" s="2">
        <f>AA139</f>
        <v>43281859.715773016</v>
      </c>
      <c r="AB140" s="2">
        <v>0</v>
      </c>
    </row>
    <row r="141" spans="1:28">
      <c r="A141" s="2">
        <v>138</v>
      </c>
      <c r="B141" s="2" t="s">
        <v>670</v>
      </c>
      <c r="C141" s="2" t="s">
        <v>2081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43281859.715773016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>K141</f>
        <v>43281859.715773016</v>
      </c>
      <c r="Y141" s="6" t="s">
        <v>1195</v>
      </c>
      <c r="Z141" s="6" t="s">
        <v>1195</v>
      </c>
      <c r="AA141" s="2">
        <f>AA140</f>
        <v>43281859.715773016</v>
      </c>
      <c r="AB141" s="2">
        <v>0</v>
      </c>
    </row>
    <row r="142" spans="1:28">
      <c r="A142" s="2">
        <v>139</v>
      </c>
      <c r="B142" s="2" t="s">
        <v>674</v>
      </c>
      <c r="C142" s="2" t="s">
        <v>2081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2069</v>
      </c>
      <c r="J142" s="2" t="s">
        <v>2070</v>
      </c>
      <c r="K142" s="2">
        <f t="shared" si="21"/>
        <v>43281859.715773016</v>
      </c>
      <c r="L142" s="2" t="s">
        <v>1374</v>
      </c>
      <c r="M142" s="2" t="s">
        <v>1298</v>
      </c>
      <c r="N142" s="2" t="s">
        <v>1467</v>
      </c>
      <c r="O142" s="2">
        <v>200</v>
      </c>
      <c r="P142" s="2">
        <v>1249.579833984375</v>
      </c>
      <c r="Q142" s="2">
        <v>1223.809692382812</v>
      </c>
      <c r="R142" s="2">
        <f>O142*P142</f>
        <v>249915.966796875</v>
      </c>
      <c r="S142" s="2">
        <f>O142*Q142</f>
        <v>244761.93847656241</v>
      </c>
      <c r="T142" s="2">
        <f>R142+S142</f>
        <v>494677.90527343738</v>
      </c>
      <c r="U142" s="2">
        <f>ROUND(T142*0.0005, 2)</f>
        <v>247.34</v>
      </c>
      <c r="V142" s="2">
        <f>S142-R142</f>
        <v>-5154.0283203125873</v>
      </c>
      <c r="W142" s="2">
        <f>V142-U142</f>
        <v>-5401.3683203125875</v>
      </c>
      <c r="X142" s="2">
        <f>K142+W142</f>
        <v>43276458.3474527</v>
      </c>
      <c r="Y142" s="2">
        <f>ROUND(0.2*R142, 2)</f>
        <v>49983.19</v>
      </c>
      <c r="Z142" s="2">
        <f>ROUND((W142/Y142)*100, 2)</f>
        <v>-10.81</v>
      </c>
      <c r="AA142" s="2">
        <f>MAX(AA141, X142)</f>
        <v>43281859.715773016</v>
      </c>
      <c r="AB142" s="2">
        <f>X142-AA142</f>
        <v>-5401.3683203160763</v>
      </c>
    </row>
    <row r="143" spans="1:28">
      <c r="A143" s="2">
        <v>140</v>
      </c>
      <c r="B143" s="2" t="s">
        <v>678</v>
      </c>
      <c r="C143" s="2" t="s">
        <v>2081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43276458.3474527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>K143</f>
        <v>43276458.3474527</v>
      </c>
      <c r="Y143" s="6" t="s">
        <v>1195</v>
      </c>
      <c r="Z143" s="6" t="s">
        <v>1195</v>
      </c>
      <c r="AA143" s="2">
        <f>AA142</f>
        <v>43281859.715773016</v>
      </c>
      <c r="AB143" s="2">
        <v>0</v>
      </c>
    </row>
    <row r="144" spans="1:28">
      <c r="A144" s="2">
        <v>141</v>
      </c>
      <c r="B144" s="2" t="s">
        <v>681</v>
      </c>
      <c r="C144" s="2" t="s">
        <v>2081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43276458.3474527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>K144</f>
        <v>43276458.3474527</v>
      </c>
      <c r="Y144" s="6" t="s">
        <v>1195</v>
      </c>
      <c r="Z144" s="6" t="s">
        <v>1195</v>
      </c>
      <c r="AA144" s="2">
        <f>AA143</f>
        <v>43281859.715773016</v>
      </c>
      <c r="AB144" s="2">
        <v>0</v>
      </c>
    </row>
    <row r="145" spans="1:28">
      <c r="A145" s="2">
        <v>142</v>
      </c>
      <c r="B145" s="2" t="s">
        <v>685</v>
      </c>
      <c r="C145" s="2" t="s">
        <v>2081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2162</v>
      </c>
      <c r="J145" s="2" t="s">
        <v>2163</v>
      </c>
      <c r="K145" s="2">
        <f t="shared" si="21"/>
        <v>43276458.3474527</v>
      </c>
      <c r="L145" s="2" t="s">
        <v>1603</v>
      </c>
      <c r="M145" s="2" t="s">
        <v>1805</v>
      </c>
      <c r="N145" s="2" t="s">
        <v>1541</v>
      </c>
      <c r="O145" s="2">
        <v>1500</v>
      </c>
      <c r="P145" s="2">
        <v>342.2366943359375</v>
      </c>
      <c r="Q145" s="2">
        <v>344.47695922851563</v>
      </c>
      <c r="R145" s="2">
        <f>O145*P145</f>
        <v>513355.04150390625</v>
      </c>
      <c r="S145" s="2">
        <f>O145*Q145</f>
        <v>516715.43884277344</v>
      </c>
      <c r="T145" s="2">
        <f>R145+S145</f>
        <v>1030070.4803466797</v>
      </c>
      <c r="U145" s="2">
        <f>ROUND(T145*0.0005, 2)</f>
        <v>515.04</v>
      </c>
      <c r="V145" s="2">
        <f>S145-R145</f>
        <v>3360.3973388671875</v>
      </c>
      <c r="W145" s="2">
        <f>V145-U145</f>
        <v>2845.3573388671875</v>
      </c>
      <c r="X145" s="2">
        <f>K145+W145</f>
        <v>43279303.704791568</v>
      </c>
      <c r="Y145" s="2">
        <f>ROUND(0.2*R145, 2)</f>
        <v>102671.01</v>
      </c>
      <c r="Z145" s="2">
        <f>ROUND((W145/Y145)*100, 2)</f>
        <v>2.77</v>
      </c>
      <c r="AA145" s="2">
        <f>MAX(AA144, X145)</f>
        <v>43281859.715773016</v>
      </c>
      <c r="AB145" s="2">
        <f>X145-AA145</f>
        <v>-2556.0109814479947</v>
      </c>
    </row>
    <row r="146" spans="1:28">
      <c r="A146" s="2">
        <v>143</v>
      </c>
      <c r="B146" s="2" t="s">
        <v>689</v>
      </c>
      <c r="C146" s="2" t="s">
        <v>2081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43279303.704791568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43279303.704791568</v>
      </c>
      <c r="Y146" s="6" t="s">
        <v>1195</v>
      </c>
      <c r="Z146" s="6" t="s">
        <v>1195</v>
      </c>
      <c r="AA146" s="2">
        <f>AA145</f>
        <v>43281859.715773016</v>
      </c>
      <c r="AB146" s="2">
        <v>0</v>
      </c>
    </row>
    <row r="147" spans="1:28">
      <c r="A147" s="2">
        <v>144</v>
      </c>
      <c r="B147" s="2" t="s">
        <v>692</v>
      </c>
      <c r="C147" s="2" t="s">
        <v>2081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43279303.704791568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43279303.704791568</v>
      </c>
      <c r="Y147" s="6" t="s">
        <v>1195</v>
      </c>
      <c r="Z147" s="6" t="s">
        <v>1195</v>
      </c>
      <c r="AA147" s="2">
        <f>AA146</f>
        <v>43281859.715773016</v>
      </c>
      <c r="AB147" s="2">
        <v>0</v>
      </c>
    </row>
    <row r="148" spans="1:28">
      <c r="A148" s="2">
        <v>145</v>
      </c>
      <c r="B148" s="2" t="s">
        <v>696</v>
      </c>
      <c r="C148" s="2" t="s">
        <v>2081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43279303.704791568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43279303.704791568</v>
      </c>
      <c r="Y148" s="6" t="s">
        <v>1195</v>
      </c>
      <c r="Z148" s="6" t="s">
        <v>1195</v>
      </c>
      <c r="AA148" s="2">
        <f>AA147</f>
        <v>43281859.715773016</v>
      </c>
      <c r="AB148" s="2">
        <v>0</v>
      </c>
    </row>
    <row r="149" spans="1:28">
      <c r="A149" s="2">
        <v>146</v>
      </c>
      <c r="B149" s="2" t="s">
        <v>701</v>
      </c>
      <c r="C149" s="2" t="s">
        <v>2081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43279303.704791568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43279303.704791568</v>
      </c>
      <c r="Y149" s="6" t="s">
        <v>1195</v>
      </c>
      <c r="Z149" s="6" t="s">
        <v>1195</v>
      </c>
      <c r="AA149" s="2">
        <f>AA148</f>
        <v>43281859.715773016</v>
      </c>
      <c r="AB149" s="2">
        <v>0</v>
      </c>
    </row>
    <row r="150" spans="1:28">
      <c r="A150" s="2">
        <v>147</v>
      </c>
      <c r="B150" s="2" t="s">
        <v>705</v>
      </c>
      <c r="C150" s="2" t="s">
        <v>2081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1197</v>
      </c>
      <c r="J150" s="2" t="s">
        <v>2164</v>
      </c>
      <c r="K150" s="2">
        <f t="shared" si="21"/>
        <v>43279303.704791568</v>
      </c>
      <c r="L150" s="2" t="s">
        <v>1559</v>
      </c>
      <c r="M150" s="2" t="s">
        <v>1615</v>
      </c>
      <c r="N150" s="2" t="s">
        <v>1568</v>
      </c>
      <c r="O150" s="2">
        <v>3750</v>
      </c>
      <c r="P150" s="2">
        <v>247.10969543457031</v>
      </c>
      <c r="Q150" s="2">
        <v>243.46116638183599</v>
      </c>
      <c r="R150" s="2">
        <f>O150*P150</f>
        <v>926661.35787963867</v>
      </c>
      <c r="S150" s="2">
        <f>O150*Q150</f>
        <v>912979.373931885</v>
      </c>
      <c r="T150" s="2">
        <f>R150+S150</f>
        <v>1839640.7318115237</v>
      </c>
      <c r="U150" s="2">
        <f>ROUND(T150*0.0005, 2)</f>
        <v>919.82</v>
      </c>
      <c r="V150" s="2">
        <f>S150-R150</f>
        <v>-13681.983947753673</v>
      </c>
      <c r="W150" s="2">
        <f>V150-U150</f>
        <v>-14601.803947753673</v>
      </c>
      <c r="X150" s="2">
        <f>K150+W150</f>
        <v>43264701.900843814</v>
      </c>
      <c r="Y150" s="2">
        <f>ROUND(0.2*R150, 2)</f>
        <v>185332.27</v>
      </c>
      <c r="Z150" s="2">
        <f>ROUND((W150/Y150)*100, 2)</f>
        <v>-7.88</v>
      </c>
      <c r="AA150" s="2">
        <f>MAX(AA149, X150)</f>
        <v>43281859.715773016</v>
      </c>
      <c r="AB150" s="2">
        <f>X150-AA150</f>
        <v>-17157.814929202199</v>
      </c>
    </row>
    <row r="151" spans="1:28">
      <c r="A151" s="2">
        <v>148</v>
      </c>
      <c r="B151" s="2" t="s">
        <v>708</v>
      </c>
      <c r="C151" s="2" t="s">
        <v>2081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43264701.900843814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2">K151</f>
        <v>43264701.900843814</v>
      </c>
      <c r="Y151" s="6" t="s">
        <v>1195</v>
      </c>
      <c r="Z151" s="6" t="s">
        <v>1195</v>
      </c>
      <c r="AA151" s="2">
        <f t="shared" ref="AA151:AA164" si="23">AA150</f>
        <v>43281859.715773016</v>
      </c>
      <c r="AB151" s="2">
        <v>0</v>
      </c>
    </row>
    <row r="152" spans="1:28">
      <c r="A152" s="2">
        <v>149</v>
      </c>
      <c r="B152" s="2" t="s">
        <v>710</v>
      </c>
      <c r="C152" s="2" t="s">
        <v>2081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43264701.900843814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2"/>
        <v>43264701.900843814</v>
      </c>
      <c r="Y152" s="6" t="s">
        <v>1195</v>
      </c>
      <c r="Z152" s="6" t="s">
        <v>1195</v>
      </c>
      <c r="AA152" s="2">
        <f t="shared" si="23"/>
        <v>43281859.715773016</v>
      </c>
      <c r="AB152" s="2">
        <v>0</v>
      </c>
    </row>
    <row r="153" spans="1:28">
      <c r="A153" s="2">
        <v>150</v>
      </c>
      <c r="B153" s="2" t="s">
        <v>714</v>
      </c>
      <c r="C153" s="2" t="s">
        <v>2081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43264701.900843814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2"/>
        <v>43264701.900843814</v>
      </c>
      <c r="Y153" s="6" t="s">
        <v>1195</v>
      </c>
      <c r="Z153" s="6" t="s">
        <v>1195</v>
      </c>
      <c r="AA153" s="2">
        <f t="shared" si="23"/>
        <v>43281859.715773016</v>
      </c>
      <c r="AB153" s="2">
        <v>0</v>
      </c>
    </row>
    <row r="154" spans="1:28">
      <c r="A154" s="2">
        <v>151</v>
      </c>
      <c r="B154" s="2" t="s">
        <v>718</v>
      </c>
      <c r="C154" s="2" t="s">
        <v>2081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43264701.900843814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2"/>
        <v>43264701.900843814</v>
      </c>
      <c r="Y154" s="6" t="s">
        <v>1195</v>
      </c>
      <c r="Z154" s="6" t="s">
        <v>1195</v>
      </c>
      <c r="AA154" s="2">
        <f t="shared" si="23"/>
        <v>43281859.715773016</v>
      </c>
      <c r="AB154" s="2">
        <v>0</v>
      </c>
    </row>
    <row r="155" spans="1:28">
      <c r="A155" s="2">
        <v>152</v>
      </c>
      <c r="B155" s="2" t="s">
        <v>720</v>
      </c>
      <c r="C155" s="2" t="s">
        <v>2081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43264701.900843814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2"/>
        <v>43264701.900843814</v>
      </c>
      <c r="Y155" s="6" t="s">
        <v>1195</v>
      </c>
      <c r="Z155" s="6" t="s">
        <v>1195</v>
      </c>
      <c r="AA155" s="2">
        <f t="shared" si="23"/>
        <v>43281859.715773016</v>
      </c>
      <c r="AB155" s="2">
        <v>0</v>
      </c>
    </row>
    <row r="156" spans="1:28">
      <c r="A156" s="2">
        <v>153</v>
      </c>
      <c r="B156" s="2" t="s">
        <v>723</v>
      </c>
      <c r="C156" s="2" t="s">
        <v>2081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43264701.900843814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2"/>
        <v>43264701.900843814</v>
      </c>
      <c r="Y156" s="6" t="s">
        <v>1195</v>
      </c>
      <c r="Z156" s="6" t="s">
        <v>1195</v>
      </c>
      <c r="AA156" s="2">
        <f t="shared" si="23"/>
        <v>43281859.715773016</v>
      </c>
      <c r="AB156" s="2">
        <v>0</v>
      </c>
    </row>
    <row r="157" spans="1:28">
      <c r="A157" s="2">
        <v>154</v>
      </c>
      <c r="B157" s="2" t="s">
        <v>727</v>
      </c>
      <c r="C157" s="2" t="s">
        <v>2081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43264701.900843814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2"/>
        <v>43264701.900843814</v>
      </c>
      <c r="Y157" s="6" t="s">
        <v>1195</v>
      </c>
      <c r="Z157" s="6" t="s">
        <v>1195</v>
      </c>
      <c r="AA157" s="2">
        <f t="shared" si="23"/>
        <v>43281859.715773016</v>
      </c>
      <c r="AB157" s="2">
        <v>0</v>
      </c>
    </row>
    <row r="158" spans="1:28">
      <c r="A158" s="2">
        <v>155</v>
      </c>
      <c r="B158" s="2" t="s">
        <v>729</v>
      </c>
      <c r="C158" s="2" t="s">
        <v>2081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43264701.900843814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2"/>
        <v>43264701.900843814</v>
      </c>
      <c r="Y158" s="6" t="s">
        <v>1195</v>
      </c>
      <c r="Z158" s="6" t="s">
        <v>1195</v>
      </c>
      <c r="AA158" s="2">
        <f t="shared" si="23"/>
        <v>43281859.715773016</v>
      </c>
      <c r="AB158" s="2">
        <v>0</v>
      </c>
    </row>
    <row r="159" spans="1:28">
      <c r="A159" s="2">
        <v>156</v>
      </c>
      <c r="B159" s="2" t="s">
        <v>732</v>
      </c>
      <c r="C159" s="2" t="s">
        <v>2081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43264701.900843814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2"/>
        <v>43264701.900843814</v>
      </c>
      <c r="Y159" s="6" t="s">
        <v>1195</v>
      </c>
      <c r="Z159" s="6" t="s">
        <v>1195</v>
      </c>
      <c r="AA159" s="2">
        <f t="shared" si="23"/>
        <v>43281859.715773016</v>
      </c>
      <c r="AB159" s="2">
        <v>0</v>
      </c>
    </row>
    <row r="160" spans="1:28">
      <c r="A160" s="2">
        <v>157</v>
      </c>
      <c r="B160" s="2" t="s">
        <v>736</v>
      </c>
      <c r="C160" s="2" t="s">
        <v>2081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43264701.900843814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2"/>
        <v>43264701.900843814</v>
      </c>
      <c r="Y160" s="6" t="s">
        <v>1195</v>
      </c>
      <c r="Z160" s="6" t="s">
        <v>1195</v>
      </c>
      <c r="AA160" s="2">
        <f t="shared" si="23"/>
        <v>43281859.715773016</v>
      </c>
      <c r="AB160" s="2">
        <v>0</v>
      </c>
    </row>
    <row r="161" spans="1:28">
      <c r="A161" s="2">
        <v>158</v>
      </c>
      <c r="B161" s="2" t="s">
        <v>738</v>
      </c>
      <c r="C161" s="2" t="s">
        <v>2081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43264701.900843814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2"/>
        <v>43264701.900843814</v>
      </c>
      <c r="Y161" s="6" t="s">
        <v>1195</v>
      </c>
      <c r="Z161" s="6" t="s">
        <v>1195</v>
      </c>
      <c r="AA161" s="2">
        <f t="shared" si="23"/>
        <v>43281859.715773016</v>
      </c>
      <c r="AB161" s="2">
        <v>0</v>
      </c>
    </row>
    <row r="162" spans="1:28">
      <c r="A162" s="2">
        <v>159</v>
      </c>
      <c r="B162" s="2" t="s">
        <v>741</v>
      </c>
      <c r="C162" s="2" t="s">
        <v>2081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43264701.900843814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2"/>
        <v>43264701.900843814</v>
      </c>
      <c r="Y162" s="6" t="s">
        <v>1195</v>
      </c>
      <c r="Z162" s="6" t="s">
        <v>1195</v>
      </c>
      <c r="AA162" s="2">
        <f t="shared" si="23"/>
        <v>43281859.715773016</v>
      </c>
      <c r="AB162" s="2">
        <v>0</v>
      </c>
    </row>
    <row r="163" spans="1:28">
      <c r="A163" s="2">
        <v>160</v>
      </c>
      <c r="B163" s="2" t="s">
        <v>743</v>
      </c>
      <c r="C163" s="2" t="s">
        <v>2081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43264701.900843814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2"/>
        <v>43264701.900843814</v>
      </c>
      <c r="Y163" s="6" t="s">
        <v>1195</v>
      </c>
      <c r="Z163" s="6" t="s">
        <v>1195</v>
      </c>
      <c r="AA163" s="2">
        <f t="shared" si="23"/>
        <v>43281859.715773016</v>
      </c>
      <c r="AB163" s="2">
        <v>0</v>
      </c>
    </row>
    <row r="164" spans="1:28">
      <c r="A164" s="2">
        <v>161</v>
      </c>
      <c r="B164" s="2" t="s">
        <v>746</v>
      </c>
      <c r="C164" s="2" t="s">
        <v>2081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43264701.900843814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2"/>
        <v>43264701.900843814</v>
      </c>
      <c r="Y164" s="6" t="s">
        <v>1195</v>
      </c>
      <c r="Z164" s="6" t="s">
        <v>1195</v>
      </c>
      <c r="AA164" s="2">
        <f t="shared" si="23"/>
        <v>43281859.715773016</v>
      </c>
      <c r="AB164" s="2">
        <v>0</v>
      </c>
    </row>
    <row r="165" spans="1:28">
      <c r="A165" s="2">
        <v>162</v>
      </c>
      <c r="B165" s="2" t="s">
        <v>750</v>
      </c>
      <c r="C165" s="2" t="s">
        <v>2081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2165</v>
      </c>
      <c r="J165" s="2" t="s">
        <v>2166</v>
      </c>
      <c r="K165" s="2">
        <f t="shared" si="21"/>
        <v>43264701.900843814</v>
      </c>
      <c r="L165" s="2" t="s">
        <v>1613</v>
      </c>
      <c r="M165" s="2" t="s">
        <v>1573</v>
      </c>
      <c r="N165" s="2" t="s">
        <v>1539</v>
      </c>
      <c r="O165" s="2">
        <v>1800</v>
      </c>
      <c r="P165" s="2">
        <v>287.01956176757812</v>
      </c>
      <c r="Q165" s="2">
        <v>304.84719848632812</v>
      </c>
      <c r="R165" s="2">
        <f>O165*P165</f>
        <v>516635.21118164063</v>
      </c>
      <c r="S165" s="2">
        <f>O165*Q165</f>
        <v>548724.95727539063</v>
      </c>
      <c r="T165" s="2">
        <f>R165+S165</f>
        <v>1065360.1684570312</v>
      </c>
      <c r="U165" s="2">
        <f>ROUND(T165*0.0005, 2)</f>
        <v>532.67999999999995</v>
      </c>
      <c r="V165" s="2">
        <f>S165-R165</f>
        <v>32089.74609375</v>
      </c>
      <c r="W165" s="2">
        <f>V165-U165</f>
        <v>31557.06609375</v>
      </c>
      <c r="X165" s="2">
        <f>K165+W165</f>
        <v>43296258.966937564</v>
      </c>
      <c r="Y165" s="2">
        <f>ROUND(0.2*R165, 2)</f>
        <v>103327.03999999999</v>
      </c>
      <c r="Z165" s="2">
        <f>ROUND((W165/Y165)*100, 2)</f>
        <v>30.54</v>
      </c>
      <c r="AA165" s="2">
        <f>MAX(AA164, X165)</f>
        <v>43296258.966937564</v>
      </c>
      <c r="AB165" s="2">
        <f>X165-AA165</f>
        <v>0</v>
      </c>
    </row>
    <row r="166" spans="1:28">
      <c r="A166" s="2">
        <v>163</v>
      </c>
      <c r="B166" s="2" t="s">
        <v>754</v>
      </c>
      <c r="C166" s="2" t="s">
        <v>2081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43296258.966937564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43296258.966937564</v>
      </c>
      <c r="Y166" s="6" t="s">
        <v>1195</v>
      </c>
      <c r="Z166" s="6" t="s">
        <v>1195</v>
      </c>
      <c r="AA166" s="2">
        <f>AA165</f>
        <v>43296258.966937564</v>
      </c>
      <c r="AB166" s="2">
        <v>0</v>
      </c>
    </row>
    <row r="167" spans="1:28">
      <c r="A167" s="2">
        <v>164</v>
      </c>
      <c r="B167" s="2" t="s">
        <v>758</v>
      </c>
      <c r="C167" s="2" t="s">
        <v>2081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43296258.966937564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43296258.966937564</v>
      </c>
      <c r="Y167" s="6" t="s">
        <v>1195</v>
      </c>
      <c r="Z167" s="6" t="s">
        <v>1195</v>
      </c>
      <c r="AA167" s="2">
        <f>AA166</f>
        <v>43296258.966937564</v>
      </c>
      <c r="AB167" s="2">
        <v>0</v>
      </c>
    </row>
    <row r="168" spans="1:28">
      <c r="A168" s="2">
        <v>165</v>
      </c>
      <c r="B168" s="2" t="s">
        <v>760</v>
      </c>
      <c r="C168" s="2" t="s">
        <v>2081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43296258.966937564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43296258.966937564</v>
      </c>
      <c r="Y168" s="6" t="s">
        <v>1195</v>
      </c>
      <c r="Z168" s="6" t="s">
        <v>1195</v>
      </c>
      <c r="AA168" s="2">
        <f>AA167</f>
        <v>43296258.966937564</v>
      </c>
      <c r="AB168" s="2">
        <v>0</v>
      </c>
    </row>
    <row r="169" spans="1:28">
      <c r="A169" s="2">
        <v>166</v>
      </c>
      <c r="B169" s="2" t="s">
        <v>763</v>
      </c>
      <c r="C169" s="2" t="s">
        <v>2081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43296258.966937564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43296258.966937564</v>
      </c>
      <c r="Y169" s="6" t="s">
        <v>1195</v>
      </c>
      <c r="Z169" s="6" t="s">
        <v>1195</v>
      </c>
      <c r="AA169" s="2">
        <f>AA168</f>
        <v>43296258.966937564</v>
      </c>
      <c r="AB169" s="2">
        <v>0</v>
      </c>
    </row>
    <row r="170" spans="1:28">
      <c r="A170" s="2">
        <v>167</v>
      </c>
      <c r="B170" s="2" t="s">
        <v>764</v>
      </c>
      <c r="C170" s="2" t="s">
        <v>2081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43296258.966937564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43296258.966937564</v>
      </c>
      <c r="Y170" s="6" t="s">
        <v>1195</v>
      </c>
      <c r="Z170" s="6" t="s">
        <v>1195</v>
      </c>
      <c r="AA170" s="2">
        <f>AA169</f>
        <v>43296258.966937564</v>
      </c>
      <c r="AB170" s="2">
        <v>0</v>
      </c>
    </row>
    <row r="171" spans="1:28">
      <c r="A171" s="2">
        <v>168</v>
      </c>
      <c r="B171" s="2" t="s">
        <v>769</v>
      </c>
      <c r="C171" s="2" t="s">
        <v>2081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1111</v>
      </c>
      <c r="J171" s="2" t="s">
        <v>2018</v>
      </c>
      <c r="K171" s="2">
        <f t="shared" si="21"/>
        <v>43296258.966937564</v>
      </c>
      <c r="L171" s="2" t="s">
        <v>2041</v>
      </c>
      <c r="M171" s="2" t="s">
        <v>2167</v>
      </c>
      <c r="N171" s="2" t="s">
        <v>2168</v>
      </c>
      <c r="O171" s="2">
        <v>2667</v>
      </c>
      <c r="P171" s="2">
        <v>373.38751220703131</v>
      </c>
      <c r="Q171" s="2">
        <v>356.44564819335937</v>
      </c>
      <c r="R171" s="2">
        <f>O171*P171</f>
        <v>995824.49505615246</v>
      </c>
      <c r="S171" s="2">
        <f>O171*Q171</f>
        <v>950640.54373168945</v>
      </c>
      <c r="T171" s="2">
        <f>R171+S171</f>
        <v>1946465.0387878418</v>
      </c>
      <c r="U171" s="2">
        <f>ROUND(T171*0.0005, 2)</f>
        <v>973.23</v>
      </c>
      <c r="V171" s="2">
        <f>S171-R171</f>
        <v>-45183.951324463007</v>
      </c>
      <c r="W171" s="2">
        <f>V171-U171</f>
        <v>-46157.18132446301</v>
      </c>
      <c r="X171" s="2">
        <f>K171+W171</f>
        <v>43250101.785613105</v>
      </c>
      <c r="Y171" s="2">
        <f>ROUND(0.2*R171, 2)</f>
        <v>199164.9</v>
      </c>
      <c r="Z171" s="2">
        <f>ROUND((W171/Y171)*100, 2)</f>
        <v>-23.18</v>
      </c>
      <c r="AA171" s="2">
        <f>MAX(AA170, X171)</f>
        <v>43296258.966937564</v>
      </c>
      <c r="AB171" s="2">
        <f>X171-AA171</f>
        <v>-46157.181324459612</v>
      </c>
    </row>
    <row r="172" spans="1:28">
      <c r="A172" s="2">
        <v>169</v>
      </c>
      <c r="B172" s="2" t="s">
        <v>773</v>
      </c>
      <c r="C172" s="2" t="s">
        <v>2081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1872</v>
      </c>
      <c r="J172" s="2" t="s">
        <v>1309</v>
      </c>
      <c r="K172" s="2">
        <f t="shared" si="21"/>
        <v>43250101.785613105</v>
      </c>
      <c r="L172" s="2" t="s">
        <v>1375</v>
      </c>
      <c r="M172" s="2" t="s">
        <v>1298</v>
      </c>
      <c r="N172" s="2" t="s">
        <v>1580</v>
      </c>
      <c r="O172" s="2">
        <v>250</v>
      </c>
      <c r="P172" s="2">
        <v>1447.568481445312</v>
      </c>
      <c r="Q172" s="2">
        <v>1452.607666015625</v>
      </c>
      <c r="R172" s="2">
        <f>O172*P172</f>
        <v>361892.12036132801</v>
      </c>
      <c r="S172" s="2">
        <f>O172*Q172</f>
        <v>363151.91650390625</v>
      </c>
      <c r="T172" s="2">
        <f>R172+S172</f>
        <v>725044.03686523426</v>
      </c>
      <c r="U172" s="2">
        <f>ROUND(T172*0.0005, 2)</f>
        <v>362.52</v>
      </c>
      <c r="V172" s="2">
        <f>S172-R172</f>
        <v>1259.7961425782414</v>
      </c>
      <c r="W172" s="2">
        <f>V172-U172</f>
        <v>897.27614257824143</v>
      </c>
      <c r="X172" s="2">
        <f>K172+W172</f>
        <v>43250999.06175568</v>
      </c>
      <c r="Y172" s="2">
        <f>ROUND(0.2*R172, 2)</f>
        <v>72378.42</v>
      </c>
      <c r="Z172" s="2">
        <f>ROUND((W172/Y172)*100, 2)</f>
        <v>1.24</v>
      </c>
      <c r="AA172" s="2">
        <f>MAX(AA171, X172)</f>
        <v>43296258.966937564</v>
      </c>
      <c r="AB172" s="2">
        <f>X172-AA172</f>
        <v>-45259.905181884766</v>
      </c>
    </row>
    <row r="173" spans="1:28">
      <c r="A173" s="2">
        <v>170</v>
      </c>
      <c r="B173" s="2" t="s">
        <v>778</v>
      </c>
      <c r="C173" s="2" t="s">
        <v>2081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43250999.06175568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43250999.06175568</v>
      </c>
      <c r="Y173" s="6" t="s">
        <v>1195</v>
      </c>
      <c r="Z173" s="6" t="s">
        <v>1195</v>
      </c>
      <c r="AA173" s="2">
        <f>AA172</f>
        <v>43296258.966937564</v>
      </c>
      <c r="AB173" s="2">
        <v>0</v>
      </c>
    </row>
    <row r="174" spans="1:28">
      <c r="A174" s="2">
        <v>171</v>
      </c>
      <c r="B174" s="2" t="s">
        <v>782</v>
      </c>
      <c r="C174" s="2" t="s">
        <v>2081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43250999.06175568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43250999.06175568</v>
      </c>
      <c r="Y174" s="6" t="s">
        <v>1195</v>
      </c>
      <c r="Z174" s="6" t="s">
        <v>1195</v>
      </c>
      <c r="AA174" s="2">
        <f>AA173</f>
        <v>43296258.966937564</v>
      </c>
      <c r="AB174" s="2">
        <v>0</v>
      </c>
    </row>
    <row r="175" spans="1:28">
      <c r="A175" s="2">
        <v>172</v>
      </c>
      <c r="B175" s="2" t="s">
        <v>784</v>
      </c>
      <c r="C175" s="2" t="s">
        <v>2081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43250999.06175568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43250999.06175568</v>
      </c>
      <c r="Y175" s="6" t="s">
        <v>1195</v>
      </c>
      <c r="Z175" s="6" t="s">
        <v>1195</v>
      </c>
      <c r="AA175" s="2">
        <f>AA174</f>
        <v>43296258.966937564</v>
      </c>
      <c r="AB175" s="2">
        <v>0</v>
      </c>
    </row>
    <row r="176" spans="1:28">
      <c r="A176" s="2">
        <v>173</v>
      </c>
      <c r="B176" s="2" t="s">
        <v>787</v>
      </c>
      <c r="C176" s="2" t="s">
        <v>2081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43250999.06175568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43250999.06175568</v>
      </c>
      <c r="Y176" s="6" t="s">
        <v>1195</v>
      </c>
      <c r="Z176" s="6" t="s">
        <v>1195</v>
      </c>
      <c r="AA176" s="2">
        <f>AA175</f>
        <v>43296258.966937564</v>
      </c>
      <c r="AB176" s="2">
        <v>0</v>
      </c>
    </row>
    <row r="177" spans="1:28">
      <c r="A177" s="2">
        <v>174</v>
      </c>
      <c r="B177" s="2" t="s">
        <v>790</v>
      </c>
      <c r="C177" s="2" t="s">
        <v>2081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1469</v>
      </c>
      <c r="J177" s="2" t="s">
        <v>1221</v>
      </c>
      <c r="K177" s="2">
        <f t="shared" si="21"/>
        <v>43250999.06175568</v>
      </c>
      <c r="L177" s="2" t="s">
        <v>2143</v>
      </c>
      <c r="M177" s="2" t="s">
        <v>2169</v>
      </c>
      <c r="N177" s="2" t="s">
        <v>2170</v>
      </c>
      <c r="O177" s="2">
        <v>375</v>
      </c>
      <c r="P177" s="2">
        <v>1310.468994140625</v>
      </c>
      <c r="Q177" s="2">
        <v>1286.09326171875</v>
      </c>
      <c r="R177" s="2">
        <f>O177*P177</f>
        <v>491425.87280273438</v>
      </c>
      <c r="S177" s="2">
        <f>O177*Q177</f>
        <v>482284.97314453125</v>
      </c>
      <c r="T177" s="2">
        <f>R177+S177</f>
        <v>973710.84594726562</v>
      </c>
      <c r="U177" s="2">
        <f>ROUND(T177*0.0005, 2)</f>
        <v>486.86</v>
      </c>
      <c r="V177" s="2">
        <f>S177-R177</f>
        <v>-9140.899658203125</v>
      </c>
      <c r="W177" s="2">
        <f>V177-U177</f>
        <v>-9627.7596582031256</v>
      </c>
      <c r="X177" s="2">
        <f>K177+W177</f>
        <v>43241371.302097477</v>
      </c>
      <c r="Y177" s="2">
        <f>ROUND(0.2*R177, 2)</f>
        <v>98285.17</v>
      </c>
      <c r="Z177" s="2">
        <f>ROUND((W177/Y177)*100, 2)</f>
        <v>-9.8000000000000007</v>
      </c>
      <c r="AA177" s="2">
        <f>MAX(AA176, X177)</f>
        <v>43296258.966937564</v>
      </c>
      <c r="AB177" s="2">
        <f>X177-AA177</f>
        <v>-54887.664840087295</v>
      </c>
    </row>
    <row r="178" spans="1:28">
      <c r="A178" s="2">
        <v>175</v>
      </c>
      <c r="B178" s="2" t="s">
        <v>794</v>
      </c>
      <c r="C178" s="2" t="s">
        <v>2081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2171</v>
      </c>
      <c r="J178" s="2" t="s">
        <v>316</v>
      </c>
      <c r="K178" s="2">
        <f t="shared" si="21"/>
        <v>43241371.302097477</v>
      </c>
      <c r="L178" s="2" t="s">
        <v>1565</v>
      </c>
      <c r="M178" s="2" t="s">
        <v>1572</v>
      </c>
      <c r="N178" s="2" t="s">
        <v>1565</v>
      </c>
      <c r="O178" s="2">
        <v>1500</v>
      </c>
      <c r="P178" s="2">
        <v>776.4129638671875</v>
      </c>
      <c r="Q178" s="2">
        <v>765.99517822265625</v>
      </c>
      <c r="R178" s="2">
        <f>O178*P178</f>
        <v>1164619.4458007813</v>
      </c>
      <c r="S178" s="2">
        <f>O178*Q178</f>
        <v>1148992.7673339844</v>
      </c>
      <c r="T178" s="2">
        <f>R178+S178</f>
        <v>2313612.2131347656</v>
      </c>
      <c r="U178" s="2">
        <f>ROUND(T178*0.0005, 2)</f>
        <v>1156.81</v>
      </c>
      <c r="V178" s="2">
        <f>S178-R178</f>
        <v>-15626.678466796875</v>
      </c>
      <c r="W178" s="2">
        <f>V178-U178</f>
        <v>-16783.488466796876</v>
      </c>
      <c r="X178" s="2">
        <f>K178+W178</f>
        <v>43224587.813630678</v>
      </c>
      <c r="Y178" s="2">
        <f>ROUND(0.2*R178, 2)</f>
        <v>232923.89</v>
      </c>
      <c r="Z178" s="2">
        <f>ROUND((W178/Y178)*100, 2)</f>
        <v>-7.21</v>
      </c>
      <c r="AA178" s="2">
        <f>MAX(AA177, X178)</f>
        <v>43296258.966937564</v>
      </c>
      <c r="AB178" s="2">
        <f>X178-AA178</f>
        <v>-71671.153306886554</v>
      </c>
    </row>
    <row r="179" spans="1:28">
      <c r="A179" s="2">
        <v>176</v>
      </c>
      <c r="B179" s="2" t="s">
        <v>798</v>
      </c>
      <c r="C179" s="2" t="s">
        <v>2081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43224587.813630678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43224587.813630678</v>
      </c>
      <c r="Y179" s="6" t="s">
        <v>1195</v>
      </c>
      <c r="Z179" s="6" t="s">
        <v>1195</v>
      </c>
      <c r="AA179" s="2">
        <f>AA178</f>
        <v>43296258.966937564</v>
      </c>
      <c r="AB179" s="2">
        <v>0</v>
      </c>
    </row>
    <row r="180" spans="1:28">
      <c r="A180" s="2">
        <v>177</v>
      </c>
      <c r="B180" s="2" t="s">
        <v>801</v>
      </c>
      <c r="C180" s="2" t="s">
        <v>2081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2172</v>
      </c>
      <c r="J180" s="2" t="s">
        <v>1276</v>
      </c>
      <c r="K180" s="2">
        <f t="shared" si="21"/>
        <v>43224587.813630678</v>
      </c>
      <c r="L180" s="2" t="s">
        <v>1374</v>
      </c>
      <c r="M180" s="2" t="s">
        <v>1557</v>
      </c>
      <c r="N180" s="2" t="s">
        <v>1467</v>
      </c>
      <c r="O180" s="2">
        <v>957</v>
      </c>
      <c r="P180" s="2">
        <v>482.14688110351562</v>
      </c>
      <c r="Q180" s="2">
        <v>500.85736083984381</v>
      </c>
      <c r="R180" s="2">
        <f>O180*P180</f>
        <v>461414.56521606445</v>
      </c>
      <c r="S180" s="2">
        <f>O180*Q180</f>
        <v>479320.49432373053</v>
      </c>
      <c r="T180" s="2">
        <f>R180+S180</f>
        <v>940735.05953979492</v>
      </c>
      <c r="U180" s="2">
        <f>ROUND(T180*0.0005, 2)</f>
        <v>470.37</v>
      </c>
      <c r="V180" s="2">
        <f>S180-R180</f>
        <v>17905.929107666074</v>
      </c>
      <c r="W180" s="2">
        <f>V180-U180</f>
        <v>17435.559107666075</v>
      </c>
      <c r="X180" s="2">
        <f>K180+W180</f>
        <v>43242023.372738346</v>
      </c>
      <c r="Y180" s="2">
        <f>ROUND(0.2*R180, 2)</f>
        <v>92282.91</v>
      </c>
      <c r="Z180" s="2">
        <f>ROUND((W180/Y180)*100, 2)</f>
        <v>18.89</v>
      </c>
      <c r="AA180" s="2">
        <f>MAX(AA179, X180)</f>
        <v>43296258.966937564</v>
      </c>
      <c r="AB180" s="2">
        <f>X180-AA180</f>
        <v>-54235.594199217856</v>
      </c>
    </row>
    <row r="181" spans="1:28">
      <c r="A181" s="2">
        <v>178</v>
      </c>
      <c r="B181" s="2" t="s">
        <v>806</v>
      </c>
      <c r="C181" s="2" t="s">
        <v>2081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43242023.372738346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43242023.372738346</v>
      </c>
      <c r="Y181" s="6" t="s">
        <v>1195</v>
      </c>
      <c r="Z181" s="6" t="s">
        <v>1195</v>
      </c>
      <c r="AA181" s="2">
        <f>AA180</f>
        <v>43296258.966937564</v>
      </c>
      <c r="AB181" s="2">
        <v>0</v>
      </c>
    </row>
    <row r="182" spans="1:28">
      <c r="A182" s="2">
        <v>179</v>
      </c>
      <c r="B182" s="2" t="s">
        <v>809</v>
      </c>
      <c r="C182" s="2" t="s">
        <v>2081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43242023.372738346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43242023.372738346</v>
      </c>
      <c r="Y182" s="6" t="s">
        <v>1195</v>
      </c>
      <c r="Z182" s="6" t="s">
        <v>1195</v>
      </c>
      <c r="AA182" s="2">
        <f>AA181</f>
        <v>43296258.966937564</v>
      </c>
      <c r="AB182" s="2">
        <v>0</v>
      </c>
    </row>
    <row r="183" spans="1:28">
      <c r="A183" s="2">
        <v>180</v>
      </c>
      <c r="B183" s="2" t="s">
        <v>813</v>
      </c>
      <c r="C183" s="2" t="s">
        <v>2081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43242023.372738346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43242023.372738346</v>
      </c>
      <c r="Y183" s="6" t="s">
        <v>1195</v>
      </c>
      <c r="Z183" s="6" t="s">
        <v>1195</v>
      </c>
      <c r="AA183" s="2">
        <f>AA182</f>
        <v>43296258.966937564</v>
      </c>
      <c r="AB183" s="2">
        <v>0</v>
      </c>
    </row>
    <row r="184" spans="1:28">
      <c r="A184" s="2">
        <v>181</v>
      </c>
      <c r="B184" s="2" t="s">
        <v>817</v>
      </c>
      <c r="C184" s="2" t="s">
        <v>2081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43242023.372738346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43242023.372738346</v>
      </c>
      <c r="Y184" s="6" t="s">
        <v>1195</v>
      </c>
      <c r="Z184" s="6" t="s">
        <v>1195</v>
      </c>
      <c r="AA184" s="2">
        <f>AA183</f>
        <v>43296258.966937564</v>
      </c>
      <c r="AB184" s="2">
        <v>0</v>
      </c>
    </row>
    <row r="185" spans="1:28">
      <c r="A185" s="2">
        <v>182</v>
      </c>
      <c r="B185" s="2" t="s">
        <v>820</v>
      </c>
      <c r="C185" s="2" t="s">
        <v>2081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1306</v>
      </c>
      <c r="J185" s="2" t="s">
        <v>1999</v>
      </c>
      <c r="K185" s="2">
        <f t="shared" si="21"/>
        <v>43242023.372738346</v>
      </c>
      <c r="L185" s="2" t="s">
        <v>1244</v>
      </c>
      <c r="M185" s="2" t="s">
        <v>1251</v>
      </c>
      <c r="N185" s="2" t="s">
        <v>1268</v>
      </c>
      <c r="O185" s="2">
        <v>350</v>
      </c>
      <c r="P185" s="2">
        <v>1589.94482421875</v>
      </c>
      <c r="Q185" s="2">
        <v>1705.402465820312</v>
      </c>
      <c r="R185" s="2">
        <f>O185*P185</f>
        <v>556480.6884765625</v>
      </c>
      <c r="S185" s="2">
        <f>O185*Q185</f>
        <v>596890.86303710926</v>
      </c>
      <c r="T185" s="2">
        <f>R185+S185</f>
        <v>1153371.5515136719</v>
      </c>
      <c r="U185" s="2">
        <f>ROUND(T185*0.0005, 2)</f>
        <v>576.69000000000005</v>
      </c>
      <c r="V185" s="2">
        <f>S185-R185</f>
        <v>40410.174560546759</v>
      </c>
      <c r="W185" s="2">
        <f>V185-U185</f>
        <v>39833.484560546756</v>
      </c>
      <c r="X185" s="2">
        <f>K185+W185</f>
        <v>43281856.857298896</v>
      </c>
      <c r="Y185" s="2">
        <f>ROUND(0.2*R185, 2)</f>
        <v>111296.14</v>
      </c>
      <c r="Z185" s="2">
        <f>ROUND((W185/Y185)*100, 2)</f>
        <v>35.79</v>
      </c>
      <c r="AA185" s="2">
        <f>MAX(AA184, X185)</f>
        <v>43296258.966937564</v>
      </c>
      <c r="AB185" s="2">
        <f>X185-AA185</f>
        <v>-14402.109638668597</v>
      </c>
    </row>
    <row r="186" spans="1:28">
      <c r="A186" s="2">
        <v>183</v>
      </c>
      <c r="B186" s="2" t="s">
        <v>823</v>
      </c>
      <c r="C186" s="2" t="s">
        <v>2081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43281856.857298896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43281856.857298896</v>
      </c>
      <c r="Y186" s="6" t="s">
        <v>1195</v>
      </c>
      <c r="Z186" s="6" t="s">
        <v>1195</v>
      </c>
      <c r="AA186" s="2">
        <f>AA185</f>
        <v>43296258.966937564</v>
      </c>
      <c r="AB186" s="2">
        <v>0</v>
      </c>
    </row>
    <row r="187" spans="1:28">
      <c r="A187" s="2">
        <v>184</v>
      </c>
      <c r="B187" s="2" t="s">
        <v>827</v>
      </c>
      <c r="C187" s="2" t="s">
        <v>2081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43281856.857298896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43281856.857298896</v>
      </c>
      <c r="Y187" s="6" t="s">
        <v>1195</v>
      </c>
      <c r="Z187" s="6" t="s">
        <v>1195</v>
      </c>
      <c r="AA187" s="2">
        <f>AA186</f>
        <v>43296258.966937564</v>
      </c>
      <c r="AB187" s="2">
        <v>0</v>
      </c>
    </row>
    <row r="188" spans="1:28">
      <c r="A188" s="2">
        <v>185</v>
      </c>
      <c r="B188" s="2" t="s">
        <v>831</v>
      </c>
      <c r="C188" s="2" t="s">
        <v>2081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43281856.857298896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43281856.857298896</v>
      </c>
      <c r="Y188" s="6" t="s">
        <v>1195</v>
      </c>
      <c r="Z188" s="6" t="s">
        <v>1195</v>
      </c>
      <c r="AA188" s="2">
        <f>AA187</f>
        <v>43296258.966937564</v>
      </c>
      <c r="AB188" s="2">
        <v>0</v>
      </c>
    </row>
    <row r="189" spans="1:28">
      <c r="A189" s="2">
        <v>186</v>
      </c>
      <c r="B189" s="2" t="s">
        <v>835</v>
      </c>
      <c r="C189" s="2" t="s">
        <v>2081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2173</v>
      </c>
      <c r="J189" s="2" t="s">
        <v>2174</v>
      </c>
      <c r="K189" s="2">
        <f t="shared" si="21"/>
        <v>43281856.857298896</v>
      </c>
      <c r="L189" s="2" t="s">
        <v>1580</v>
      </c>
      <c r="M189" s="2" t="s">
        <v>1299</v>
      </c>
      <c r="N189" s="2" t="s">
        <v>1629</v>
      </c>
      <c r="O189" s="2">
        <v>450</v>
      </c>
      <c r="P189" s="2">
        <v>1066.680297851562</v>
      </c>
      <c r="Q189" s="2">
        <v>1144.690673828125</v>
      </c>
      <c r="R189" s="2">
        <f>O189*P189</f>
        <v>480006.13403320289</v>
      </c>
      <c r="S189" s="2">
        <f>O189*Q189</f>
        <v>515110.80322265625</v>
      </c>
      <c r="T189" s="2">
        <f>R189+S189</f>
        <v>995116.93725585914</v>
      </c>
      <c r="U189" s="2">
        <f>ROUND(T189*0.0005, 2)</f>
        <v>497.56</v>
      </c>
      <c r="V189" s="2">
        <f>S189-R189</f>
        <v>35104.669189453358</v>
      </c>
      <c r="W189" s="2">
        <f>V189-U189</f>
        <v>34607.10918945336</v>
      </c>
      <c r="X189" s="2">
        <f>K189+W189</f>
        <v>43316463.966488346</v>
      </c>
      <c r="Y189" s="2">
        <f>ROUND(0.2*R189, 2)</f>
        <v>96001.23</v>
      </c>
      <c r="Z189" s="2">
        <f>ROUND((W189/Y189)*100, 2)</f>
        <v>36.049999999999997</v>
      </c>
      <c r="AA189" s="2">
        <f>MAX(AA188, X189)</f>
        <v>43316463.966488346</v>
      </c>
      <c r="AB189" s="2">
        <f>X189-AA189</f>
        <v>0</v>
      </c>
    </row>
    <row r="190" spans="1:28">
      <c r="A190" s="2">
        <v>187</v>
      </c>
      <c r="B190" s="2" t="s">
        <v>840</v>
      </c>
      <c r="C190" s="2" t="s">
        <v>2081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43316463.966488346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43316463.966488346</v>
      </c>
      <c r="Y190" s="6" t="s">
        <v>1195</v>
      </c>
      <c r="Z190" s="6" t="s">
        <v>1195</v>
      </c>
      <c r="AA190" s="2">
        <f>AA189</f>
        <v>43316463.966488346</v>
      </c>
      <c r="AB190" s="2">
        <v>0</v>
      </c>
    </row>
    <row r="191" spans="1:28">
      <c r="A191" s="2">
        <v>188</v>
      </c>
      <c r="B191" s="2" t="s">
        <v>845</v>
      </c>
      <c r="C191" s="2" t="s">
        <v>2081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43316463.966488346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43316463.966488346</v>
      </c>
      <c r="Y191" s="6" t="s">
        <v>1195</v>
      </c>
      <c r="Z191" s="6" t="s">
        <v>1195</v>
      </c>
      <c r="AA191" s="2">
        <f>AA190</f>
        <v>43316463.966488346</v>
      </c>
      <c r="AB191" s="2">
        <v>0</v>
      </c>
    </row>
    <row r="192" spans="1:28">
      <c r="A192" s="2">
        <v>189</v>
      </c>
      <c r="B192" s="2" t="s">
        <v>848</v>
      </c>
      <c r="C192" s="2" t="s">
        <v>2081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43316463.966488346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43316463.966488346</v>
      </c>
      <c r="Y192" s="6" t="s">
        <v>1195</v>
      </c>
      <c r="Z192" s="6" t="s">
        <v>1195</v>
      </c>
      <c r="AA192" s="2">
        <f>AA191</f>
        <v>43316463.966488346</v>
      </c>
      <c r="AB192" s="2">
        <v>0</v>
      </c>
    </row>
    <row r="193" spans="1:28">
      <c r="A193" s="2">
        <v>190</v>
      </c>
      <c r="B193" s="2" t="s">
        <v>851</v>
      </c>
      <c r="C193" s="2" t="s">
        <v>2081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2175</v>
      </c>
      <c r="J193" s="2" t="s">
        <v>2176</v>
      </c>
      <c r="K193" s="2">
        <f t="shared" si="21"/>
        <v>43316463.966488346</v>
      </c>
      <c r="L193" s="2" t="s">
        <v>1545</v>
      </c>
      <c r="M193" s="2" t="s">
        <v>1599</v>
      </c>
      <c r="N193" s="2" t="s">
        <v>1609</v>
      </c>
      <c r="O193" s="2">
        <v>5500</v>
      </c>
      <c r="P193" s="2">
        <v>158.80357360839841</v>
      </c>
      <c r="Q193" s="2">
        <v>157.0672607421875</v>
      </c>
      <c r="R193" s="2">
        <f>O193*P193</f>
        <v>873419.65484619129</v>
      </c>
      <c r="S193" s="2">
        <f>O193*Q193</f>
        <v>863869.93408203125</v>
      </c>
      <c r="T193" s="2">
        <f>R193+S193</f>
        <v>1737289.5889282227</v>
      </c>
      <c r="U193" s="2">
        <f>ROUND(T193*0.0005, 2)</f>
        <v>868.64</v>
      </c>
      <c r="V193" s="2">
        <f>S193-R193</f>
        <v>-9549.7207641600398</v>
      </c>
      <c r="W193" s="2">
        <f>V193-U193</f>
        <v>-10418.360764160039</v>
      </c>
      <c r="X193" s="2">
        <f>K193+W193</f>
        <v>43306045.605724186</v>
      </c>
      <c r="Y193" s="2">
        <f>ROUND(0.2*R193, 2)</f>
        <v>174683.93</v>
      </c>
      <c r="Z193" s="2">
        <f>ROUND((W193/Y193)*100, 2)</f>
        <v>-5.96</v>
      </c>
      <c r="AA193" s="2">
        <f>MAX(AA192, X193)</f>
        <v>43316463.966488346</v>
      </c>
      <c r="AB193" s="2">
        <f>X193-AA193</f>
        <v>-10418.360764160752</v>
      </c>
    </row>
    <row r="194" spans="1:28">
      <c r="A194" s="2">
        <v>191</v>
      </c>
      <c r="B194" s="2" t="s">
        <v>854</v>
      </c>
      <c r="C194" s="2" t="s">
        <v>2081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297</v>
      </c>
      <c r="J194" s="2" t="s">
        <v>548</v>
      </c>
      <c r="K194" s="2">
        <f t="shared" si="21"/>
        <v>43306045.605724186</v>
      </c>
      <c r="L194" s="2" t="s">
        <v>1373</v>
      </c>
      <c r="M194" s="2" t="s">
        <v>1466</v>
      </c>
      <c r="N194" s="2" t="s">
        <v>1547</v>
      </c>
      <c r="O194" s="2">
        <v>175</v>
      </c>
      <c r="P194" s="2">
        <v>3646.654541015625</v>
      </c>
      <c r="Q194" s="2">
        <v>3681.86083984375</v>
      </c>
      <c r="R194" s="2">
        <f>O194*P194</f>
        <v>638164.54467773438</v>
      </c>
      <c r="S194" s="2">
        <f>O194*Q194</f>
        <v>644325.64697265625</v>
      </c>
      <c r="T194" s="2">
        <f>R194+S194</f>
        <v>1282490.1916503906</v>
      </c>
      <c r="U194" s="2">
        <f>ROUND(T194*0.0005, 2)</f>
        <v>641.25</v>
      </c>
      <c r="V194" s="2">
        <f>S194-R194</f>
        <v>6161.102294921875</v>
      </c>
      <c r="W194" s="2">
        <f>V194-U194</f>
        <v>5519.852294921875</v>
      </c>
      <c r="X194" s="2">
        <f>K194+W194</f>
        <v>43311565.458019108</v>
      </c>
      <c r="Y194" s="2">
        <f>ROUND(0.2*R194, 2)</f>
        <v>127632.91</v>
      </c>
      <c r="Z194" s="2">
        <f>ROUND((W194/Y194)*100, 2)</f>
        <v>4.32</v>
      </c>
      <c r="AA194" s="2">
        <f>MAX(AA193, X194)</f>
        <v>43316463.966488346</v>
      </c>
      <c r="AB194" s="2">
        <f>X194-AA194</f>
        <v>-4898.5084692388773</v>
      </c>
    </row>
    <row r="195" spans="1:28">
      <c r="A195" s="2">
        <v>192</v>
      </c>
      <c r="B195" s="2" t="s">
        <v>860</v>
      </c>
      <c r="C195" s="2" t="s">
        <v>2081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1893</v>
      </c>
      <c r="J195" s="2" t="s">
        <v>2177</v>
      </c>
      <c r="K195" s="2">
        <f t="shared" si="21"/>
        <v>43311565.458019108</v>
      </c>
      <c r="L195" s="2" t="s">
        <v>1629</v>
      </c>
      <c r="M195" s="2" t="s">
        <v>1557</v>
      </c>
      <c r="N195" s="2" t="s">
        <v>1374</v>
      </c>
      <c r="O195" s="2">
        <v>600</v>
      </c>
      <c r="P195" s="2">
        <v>1152.607055664062</v>
      </c>
      <c r="Q195" s="2">
        <v>1092.923583984375</v>
      </c>
      <c r="R195" s="2">
        <f>O195*P195</f>
        <v>691564.23339843727</v>
      </c>
      <c r="S195" s="2">
        <f>O195*Q195</f>
        <v>655754.150390625</v>
      </c>
      <c r="T195" s="2">
        <f>R195+S195</f>
        <v>1347318.3837890623</v>
      </c>
      <c r="U195" s="2">
        <f>ROUND(T195*0.0005, 2)</f>
        <v>673.66</v>
      </c>
      <c r="V195" s="2">
        <f>S195-R195</f>
        <v>-35810.083007812267</v>
      </c>
      <c r="W195" s="2">
        <f>V195-U195</f>
        <v>-36483.743007812271</v>
      </c>
      <c r="X195" s="2">
        <f>K195+W195</f>
        <v>43275081.715011299</v>
      </c>
      <c r="Y195" s="2">
        <f>ROUND(0.2*R195, 2)</f>
        <v>138312.85</v>
      </c>
      <c r="Z195" s="2">
        <f>ROUND((W195/Y195)*100, 2)</f>
        <v>-26.38</v>
      </c>
      <c r="AA195" s="2">
        <f>MAX(AA194, X195)</f>
        <v>43316463.966488346</v>
      </c>
      <c r="AB195" s="2">
        <f>X195-AA195</f>
        <v>-41382.251477047801</v>
      </c>
    </row>
    <row r="196" spans="1:28">
      <c r="A196" s="2">
        <v>193</v>
      </c>
      <c r="B196" s="2" t="s">
        <v>865</v>
      </c>
      <c r="C196" s="2" t="s">
        <v>2081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43275081.715011299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43275081.715011299</v>
      </c>
      <c r="Y196" s="6" t="s">
        <v>1195</v>
      </c>
      <c r="Z196" s="6" t="s">
        <v>1195</v>
      </c>
      <c r="AA196" s="2">
        <f>AA195</f>
        <v>43316463.966488346</v>
      </c>
      <c r="AB196" s="2">
        <v>0</v>
      </c>
    </row>
    <row r="197" spans="1:28">
      <c r="A197" s="2">
        <v>194</v>
      </c>
      <c r="B197" s="2" t="s">
        <v>868</v>
      </c>
      <c r="C197" s="2" t="s">
        <v>2081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1381</v>
      </c>
      <c r="J197" s="2" t="s">
        <v>2178</v>
      </c>
      <c r="K197" s="2">
        <f t="shared" ref="K197:K214" si="24">X196</f>
        <v>43275081.715011299</v>
      </c>
      <c r="L197" s="2" t="s">
        <v>1299</v>
      </c>
      <c r="M197" s="2" t="s">
        <v>1581</v>
      </c>
      <c r="N197" s="2" t="s">
        <v>1557</v>
      </c>
      <c r="O197" s="2">
        <v>175</v>
      </c>
      <c r="P197" s="2">
        <v>3248.9814453125</v>
      </c>
      <c r="Q197" s="2">
        <v>3534.54150390625</v>
      </c>
      <c r="R197" s="2">
        <f>O197*P197</f>
        <v>568571.7529296875</v>
      </c>
      <c r="S197" s="2">
        <f>O197*Q197</f>
        <v>618544.76318359375</v>
      </c>
      <c r="T197" s="2">
        <f>R197+S197</f>
        <v>1187116.5161132813</v>
      </c>
      <c r="U197" s="2">
        <f>ROUND(T197*0.0005, 2)</f>
        <v>593.55999999999995</v>
      </c>
      <c r="V197" s="2">
        <f>S197-R197</f>
        <v>49973.01025390625</v>
      </c>
      <c r="W197" s="2">
        <f>V197-U197</f>
        <v>49379.450253906252</v>
      </c>
      <c r="X197" s="2">
        <f>K197+W197</f>
        <v>43324461.165265203</v>
      </c>
      <c r="Y197" s="2">
        <f>ROUND(0.2*R197, 2)</f>
        <v>113714.35</v>
      </c>
      <c r="Z197" s="2">
        <f>ROUND((W197/Y197)*100, 2)</f>
        <v>43.42</v>
      </c>
      <c r="AA197" s="2">
        <f>MAX(AA196, X197)</f>
        <v>43324461.165265203</v>
      </c>
      <c r="AB197" s="2">
        <f>X197-AA197</f>
        <v>0</v>
      </c>
    </row>
    <row r="198" spans="1:28">
      <c r="A198" s="2">
        <v>195</v>
      </c>
      <c r="B198" s="2" t="s">
        <v>873</v>
      </c>
      <c r="C198" s="2" t="s">
        <v>2081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1642</v>
      </c>
      <c r="J198" s="2" t="s">
        <v>2179</v>
      </c>
      <c r="K198" s="2">
        <f t="shared" si="24"/>
        <v>43324461.165265203</v>
      </c>
      <c r="L198" s="2" t="s">
        <v>2180</v>
      </c>
      <c r="M198" s="2" t="s">
        <v>2181</v>
      </c>
      <c r="N198" s="2" t="s">
        <v>2182</v>
      </c>
      <c r="O198" s="2">
        <v>3054</v>
      </c>
      <c r="P198" s="2">
        <v>28.027952194213871</v>
      </c>
      <c r="Q198" s="2">
        <v>24.91373443603516</v>
      </c>
      <c r="R198" s="2">
        <f>O198*P198</f>
        <v>85597.366001129165</v>
      </c>
      <c r="S198" s="2">
        <f>O198*Q198</f>
        <v>76086.544967651382</v>
      </c>
      <c r="T198" s="2">
        <f>R198+S198</f>
        <v>161683.91096878055</v>
      </c>
      <c r="U198" s="2">
        <f>ROUND(T198*0.0005, 2)</f>
        <v>80.84</v>
      </c>
      <c r="V198" s="2">
        <f>S198-R198</f>
        <v>-9510.8210334777832</v>
      </c>
      <c r="W198" s="2">
        <f>V198-U198</f>
        <v>-9591.6610334777833</v>
      </c>
      <c r="X198" s="2">
        <f>K198+W198</f>
        <v>43314869.504231721</v>
      </c>
      <c r="Y198" s="2">
        <f>ROUND(0.2*R198, 2)</f>
        <v>17119.47</v>
      </c>
      <c r="Z198" s="2">
        <f>ROUND((W198/Y198)*100, 2)</f>
        <v>-56.03</v>
      </c>
      <c r="AA198" s="2">
        <f>MAX(AA197, X198)</f>
        <v>43324461.165265203</v>
      </c>
      <c r="AB198" s="2">
        <f>X198-AA198</f>
        <v>-9591.6610334813595</v>
      </c>
    </row>
    <row r="199" spans="1:28">
      <c r="A199" s="2">
        <v>196</v>
      </c>
      <c r="B199" s="2" t="s">
        <v>878</v>
      </c>
      <c r="C199" s="2" t="s">
        <v>2081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4"/>
        <v>43314869.504231721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43314869.504231721</v>
      </c>
      <c r="Y199" s="6" t="s">
        <v>1195</v>
      </c>
      <c r="Z199" s="6" t="s">
        <v>1195</v>
      </c>
      <c r="AA199" s="2">
        <f>AA198</f>
        <v>43324461.165265203</v>
      </c>
      <c r="AB199" s="2">
        <v>0</v>
      </c>
    </row>
    <row r="200" spans="1:28">
      <c r="A200" s="2">
        <v>197</v>
      </c>
      <c r="B200" s="2" t="s">
        <v>881</v>
      </c>
      <c r="C200" s="2" t="s">
        <v>2081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1126</v>
      </c>
      <c r="J200" s="2" t="s">
        <v>407</v>
      </c>
      <c r="K200" s="2">
        <f t="shared" si="24"/>
        <v>43314869.504231721</v>
      </c>
      <c r="L200" s="2" t="s">
        <v>1467</v>
      </c>
      <c r="M200" s="2" t="s">
        <v>1543</v>
      </c>
      <c r="N200" s="2" t="s">
        <v>1591</v>
      </c>
      <c r="O200" s="2">
        <v>345</v>
      </c>
      <c r="P200" s="2">
        <v>4294.05419921875</v>
      </c>
      <c r="Q200" s="2">
        <v>4492.65478515625</v>
      </c>
      <c r="R200" s="2">
        <f>O200*P200</f>
        <v>1481448.6987304687</v>
      </c>
      <c r="S200" s="2">
        <f>O200*Q200</f>
        <v>1549965.9008789062</v>
      </c>
      <c r="T200" s="2">
        <f>R200+S200</f>
        <v>3031414.599609375</v>
      </c>
      <c r="U200" s="2">
        <f>ROUND(T200*0.0005, 2)</f>
        <v>1515.71</v>
      </c>
      <c r="V200" s="2">
        <f>S200-R200</f>
        <v>68517.2021484375</v>
      </c>
      <c r="W200" s="2">
        <f>V200-U200</f>
        <v>67001.492148437494</v>
      </c>
      <c r="X200" s="2">
        <f>K200+W200</f>
        <v>43381870.996380158</v>
      </c>
      <c r="Y200" s="2">
        <f>ROUND(0.2*R200, 2)</f>
        <v>296289.74</v>
      </c>
      <c r="Z200" s="2">
        <f>ROUND((W200/Y200)*100, 2)</f>
        <v>22.61</v>
      </c>
      <c r="AA200" s="2">
        <f>MAX(AA199, X200)</f>
        <v>43381870.996380158</v>
      </c>
      <c r="AB200" s="2">
        <f>X200-AA200</f>
        <v>0</v>
      </c>
    </row>
    <row r="201" spans="1:28">
      <c r="A201" s="2">
        <v>198</v>
      </c>
      <c r="B201" s="2" t="s">
        <v>886</v>
      </c>
      <c r="C201" s="2" t="s">
        <v>2081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4"/>
        <v>43381870.996380158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43381870.996380158</v>
      </c>
      <c r="Y201" s="6" t="s">
        <v>1195</v>
      </c>
      <c r="Z201" s="6" t="s">
        <v>1195</v>
      </c>
      <c r="AA201" s="2">
        <f>AA200</f>
        <v>43381870.996380158</v>
      </c>
      <c r="AB201" s="2">
        <v>0</v>
      </c>
    </row>
    <row r="202" spans="1:28">
      <c r="A202" s="2">
        <v>199</v>
      </c>
      <c r="B202" s="2" t="s">
        <v>890</v>
      </c>
      <c r="C202" s="2" t="s">
        <v>2081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366</v>
      </c>
      <c r="J202" s="2" t="s">
        <v>2183</v>
      </c>
      <c r="K202" s="2">
        <f t="shared" si="24"/>
        <v>43381870.996380158</v>
      </c>
      <c r="L202" s="2" t="s">
        <v>1374</v>
      </c>
      <c r="M202" s="2" t="s">
        <v>1565</v>
      </c>
      <c r="N202" s="2" t="s">
        <v>1557</v>
      </c>
      <c r="O202" s="2">
        <v>100</v>
      </c>
      <c r="P202" s="2">
        <v>9331.263671875</v>
      </c>
      <c r="Q202" s="2">
        <v>9566.0244140625</v>
      </c>
      <c r="R202" s="2">
        <f>O202*P202</f>
        <v>933126.3671875</v>
      </c>
      <c r="S202" s="2">
        <f>O202*Q202</f>
        <v>956602.44140625</v>
      </c>
      <c r="T202" s="2">
        <f>R202+S202</f>
        <v>1889728.80859375</v>
      </c>
      <c r="U202" s="2">
        <f>ROUND(T202*0.0005, 2)</f>
        <v>944.86</v>
      </c>
      <c r="V202" s="2">
        <f>S202-R202</f>
        <v>23476.07421875</v>
      </c>
      <c r="W202" s="2">
        <f>V202-U202</f>
        <v>22531.214218749999</v>
      </c>
      <c r="X202" s="2">
        <f>K202+W202</f>
        <v>43404402.210598908</v>
      </c>
      <c r="Y202" s="2">
        <f>ROUND(0.2*R202, 2)</f>
        <v>186625.27</v>
      </c>
      <c r="Z202" s="2">
        <f>ROUND((W202/Y202)*100, 2)</f>
        <v>12.07</v>
      </c>
      <c r="AA202" s="2">
        <f>MAX(AA201, X202)</f>
        <v>43404402.210598908</v>
      </c>
      <c r="AB202" s="2">
        <f>X202-AA202</f>
        <v>0</v>
      </c>
    </row>
    <row r="203" spans="1:28">
      <c r="A203" s="2">
        <v>200</v>
      </c>
      <c r="B203" s="2" t="s">
        <v>894</v>
      </c>
      <c r="C203" s="2" t="s">
        <v>2081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4"/>
        <v>43404402.210598908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5">K203</f>
        <v>43404402.210598908</v>
      </c>
      <c r="Y203" s="6" t="s">
        <v>1195</v>
      </c>
      <c r="Z203" s="6" t="s">
        <v>1195</v>
      </c>
      <c r="AA203" s="2">
        <f t="shared" ref="AA203:AA211" si="26">AA202</f>
        <v>43404402.210598908</v>
      </c>
      <c r="AB203" s="2">
        <v>0</v>
      </c>
    </row>
    <row r="204" spans="1:28">
      <c r="A204" s="2">
        <v>201</v>
      </c>
      <c r="B204" s="2" t="s">
        <v>897</v>
      </c>
      <c r="C204" s="2" t="s">
        <v>2081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4"/>
        <v>43404402.210598908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5"/>
        <v>43404402.210598908</v>
      </c>
      <c r="Y204" s="6" t="s">
        <v>1195</v>
      </c>
      <c r="Z204" s="6" t="s">
        <v>1195</v>
      </c>
      <c r="AA204" s="2">
        <f t="shared" si="26"/>
        <v>43404402.210598908</v>
      </c>
      <c r="AB204" s="2">
        <v>0</v>
      </c>
    </row>
    <row r="205" spans="1:28">
      <c r="A205" s="2">
        <v>202</v>
      </c>
      <c r="B205" s="2" t="s">
        <v>899</v>
      </c>
      <c r="C205" s="2" t="s">
        <v>2081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4"/>
        <v>43404402.210598908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5"/>
        <v>43404402.210598908</v>
      </c>
      <c r="Y205" s="6" t="s">
        <v>1195</v>
      </c>
      <c r="Z205" s="6" t="s">
        <v>1195</v>
      </c>
      <c r="AA205" s="2">
        <f t="shared" si="26"/>
        <v>43404402.210598908</v>
      </c>
      <c r="AB205" s="2">
        <v>0</v>
      </c>
    </row>
    <row r="206" spans="1:28">
      <c r="A206" s="2">
        <v>203</v>
      </c>
      <c r="B206" s="2" t="s">
        <v>902</v>
      </c>
      <c r="C206" s="2" t="s">
        <v>2081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4"/>
        <v>43404402.210598908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5"/>
        <v>43404402.210598908</v>
      </c>
      <c r="Y206" s="6" t="s">
        <v>1195</v>
      </c>
      <c r="Z206" s="6" t="s">
        <v>1195</v>
      </c>
      <c r="AA206" s="2">
        <f t="shared" si="26"/>
        <v>43404402.210598908</v>
      </c>
      <c r="AB206" s="2">
        <v>0</v>
      </c>
    </row>
    <row r="207" spans="1:28">
      <c r="A207" s="2">
        <v>204</v>
      </c>
      <c r="B207" s="2" t="s">
        <v>906</v>
      </c>
      <c r="C207" s="2" t="s">
        <v>2081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4"/>
        <v>43404402.210598908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5"/>
        <v>43404402.210598908</v>
      </c>
      <c r="Y207" s="6" t="s">
        <v>1195</v>
      </c>
      <c r="Z207" s="6" t="s">
        <v>1195</v>
      </c>
      <c r="AA207" s="2">
        <f t="shared" si="26"/>
        <v>43404402.210598908</v>
      </c>
      <c r="AB207" s="2">
        <v>0</v>
      </c>
    </row>
    <row r="208" spans="1:28">
      <c r="A208" s="2">
        <v>205</v>
      </c>
      <c r="B208" s="2" t="s">
        <v>910</v>
      </c>
      <c r="C208" s="2" t="s">
        <v>2081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4"/>
        <v>43404402.210598908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5"/>
        <v>43404402.210598908</v>
      </c>
      <c r="Y208" s="6" t="s">
        <v>1195</v>
      </c>
      <c r="Z208" s="6" t="s">
        <v>1195</v>
      </c>
      <c r="AA208" s="2">
        <f t="shared" si="26"/>
        <v>43404402.210598908</v>
      </c>
      <c r="AB208" s="2">
        <v>0</v>
      </c>
    </row>
    <row r="209" spans="1:28">
      <c r="A209" s="2">
        <v>206</v>
      </c>
      <c r="B209" s="2" t="s">
        <v>913</v>
      </c>
      <c r="C209" s="2" t="s">
        <v>2081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4"/>
        <v>43404402.210598908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5"/>
        <v>43404402.210598908</v>
      </c>
      <c r="Y209" s="6" t="s">
        <v>1195</v>
      </c>
      <c r="Z209" s="6" t="s">
        <v>1195</v>
      </c>
      <c r="AA209" s="2">
        <f t="shared" si="26"/>
        <v>43404402.210598908</v>
      </c>
      <c r="AB209" s="2">
        <v>0</v>
      </c>
    </row>
    <row r="210" spans="1:28">
      <c r="A210" s="2">
        <v>207</v>
      </c>
      <c r="B210" s="2" t="s">
        <v>915</v>
      </c>
      <c r="C210" s="2" t="s">
        <v>2081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4"/>
        <v>43404402.210598908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5"/>
        <v>43404402.210598908</v>
      </c>
      <c r="Y210" s="6" t="s">
        <v>1195</v>
      </c>
      <c r="Z210" s="6" t="s">
        <v>1195</v>
      </c>
      <c r="AA210" s="2">
        <f t="shared" si="26"/>
        <v>43404402.210598908</v>
      </c>
      <c r="AB210" s="2">
        <v>0</v>
      </c>
    </row>
    <row r="211" spans="1:28">
      <c r="A211" s="2">
        <v>208</v>
      </c>
      <c r="B211" s="2" t="s">
        <v>918</v>
      </c>
      <c r="C211" s="2" t="s">
        <v>2081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4"/>
        <v>43404402.210598908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5"/>
        <v>43404402.210598908</v>
      </c>
      <c r="Y211" s="6" t="s">
        <v>1195</v>
      </c>
      <c r="Z211" s="6" t="s">
        <v>1195</v>
      </c>
      <c r="AA211" s="2">
        <f t="shared" si="26"/>
        <v>43404402.210598908</v>
      </c>
      <c r="AB211" s="2">
        <v>0</v>
      </c>
    </row>
    <row r="212" spans="1:28">
      <c r="A212" s="2">
        <v>209</v>
      </c>
      <c r="B212" s="2" t="s">
        <v>922</v>
      </c>
      <c r="C212" s="2" t="s">
        <v>2081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2184</v>
      </c>
      <c r="J212" s="2" t="s">
        <v>1822</v>
      </c>
      <c r="K212" s="2">
        <f t="shared" si="24"/>
        <v>43404402.210598908</v>
      </c>
      <c r="L212" s="2" t="s">
        <v>1709</v>
      </c>
      <c r="M212" s="2" t="s">
        <v>1374</v>
      </c>
      <c r="N212" s="2" t="s">
        <v>1375</v>
      </c>
      <c r="O212" s="2">
        <v>1500</v>
      </c>
      <c r="P212" s="2">
        <v>223.7106628417969</v>
      </c>
      <c r="Q212" s="2">
        <v>216.07084655761719</v>
      </c>
      <c r="R212" s="2">
        <f>O212*P212</f>
        <v>335565.99426269537</v>
      </c>
      <c r="S212" s="2">
        <f>O212*Q212</f>
        <v>324106.26983642578</v>
      </c>
      <c r="T212" s="2">
        <f>R212+S212</f>
        <v>659672.26409912109</v>
      </c>
      <c r="U212" s="2">
        <f>ROUND(T212*0.0005, 2)</f>
        <v>329.84</v>
      </c>
      <c r="V212" s="2">
        <f>S212-R212</f>
        <v>-11459.724426269589</v>
      </c>
      <c r="W212" s="2">
        <f>V212-U212</f>
        <v>-11789.56442626959</v>
      </c>
      <c r="X212" s="2">
        <f>K212+W212</f>
        <v>43392612.646172635</v>
      </c>
      <c r="Y212" s="2">
        <f>ROUND(0.2*R212, 2)</f>
        <v>67113.2</v>
      </c>
      <c r="Z212" s="2">
        <f>ROUND((W212/Y212)*100, 2)</f>
        <v>-17.57</v>
      </c>
      <c r="AA212" s="2">
        <f>MAX(AA211, X212)</f>
        <v>43404402.210598908</v>
      </c>
      <c r="AB212" s="2">
        <f>X212-AA212</f>
        <v>-11789.564426273108</v>
      </c>
    </row>
    <row r="213" spans="1:28">
      <c r="A213" s="2">
        <v>210</v>
      </c>
      <c r="B213" s="2" t="s">
        <v>925</v>
      </c>
      <c r="C213" s="2" t="s">
        <v>2081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4"/>
        <v>43392612.646172635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43392612.646172635</v>
      </c>
      <c r="Y213" s="6" t="s">
        <v>1195</v>
      </c>
      <c r="Z213" s="6" t="s">
        <v>1195</v>
      </c>
      <c r="AA213" s="2">
        <f>AA212</f>
        <v>43404402.210598908</v>
      </c>
      <c r="AB213" s="2">
        <v>0</v>
      </c>
    </row>
    <row r="214" spans="1:28">
      <c r="A214" s="2">
        <v>211</v>
      </c>
      <c r="B214" s="2" t="s">
        <v>928</v>
      </c>
      <c r="C214" s="2" t="s">
        <v>2081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4"/>
        <v>43392612.646172635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43392612.646172635</v>
      </c>
      <c r="Y214" s="6" t="s">
        <v>1195</v>
      </c>
      <c r="Z214" s="6" t="s">
        <v>1195</v>
      </c>
      <c r="AA214" s="2">
        <f>AA213</f>
        <v>43404402.210598908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2186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1235</v>
      </c>
      <c r="J4" s="2" t="s">
        <v>880</v>
      </c>
      <c r="K4" s="2">
        <v>42511150.109999999</v>
      </c>
      <c r="L4" s="2" t="s">
        <v>2187</v>
      </c>
      <c r="M4" s="2" t="s">
        <v>1525</v>
      </c>
      <c r="N4" s="2" t="s">
        <v>1356</v>
      </c>
      <c r="O4" s="2">
        <v>874</v>
      </c>
      <c r="P4" s="2">
        <v>1006.805541992188</v>
      </c>
      <c r="Q4" s="2">
        <v>1038.949951171875</v>
      </c>
      <c r="R4" s="2">
        <f t="shared" ref="R4:R17" si="0">O4*P4</f>
        <v>879948.04370117222</v>
      </c>
      <c r="S4" s="2">
        <f t="shared" ref="S4:S17" si="1">O4*Q4</f>
        <v>908042.25732421875</v>
      </c>
      <c r="T4" s="2">
        <f t="shared" ref="T4:T17" si="2">R4+S4</f>
        <v>1787990.3010253911</v>
      </c>
      <c r="U4" s="2">
        <f t="shared" ref="U4:U17" si="3">ROUND(T4*0.0005, 2)</f>
        <v>894</v>
      </c>
      <c r="V4" s="2">
        <f t="shared" ref="V4:V17" si="4">S4-R4</f>
        <v>28094.213623046526</v>
      </c>
      <c r="W4" s="2">
        <f t="shared" ref="W4:W17" si="5">V4-U4</f>
        <v>27200.213623046526</v>
      </c>
      <c r="X4" s="2">
        <f t="shared" ref="X4:X17" si="6">K4+W4</f>
        <v>42538350.323623046</v>
      </c>
      <c r="Y4" s="2">
        <f t="shared" ref="Y4:Y17" si="7">ROUND(0.2*R4, 2)</f>
        <v>175989.61</v>
      </c>
      <c r="Z4" s="2">
        <f t="shared" ref="Z4:Z17" si="8">ROUND((W4/Y4)*100, 2)</f>
        <v>15.46</v>
      </c>
      <c r="AA4" s="2">
        <f>MAX(42511150.11, X4)</f>
        <v>42538350.323623046</v>
      </c>
      <c r="AB4" s="2">
        <f t="shared" ref="AB4:AB17" si="9">X4-AA4</f>
        <v>0</v>
      </c>
    </row>
    <row r="5" spans="1:29">
      <c r="A5" s="2">
        <v>2</v>
      </c>
      <c r="B5" s="2" t="s">
        <v>46</v>
      </c>
      <c r="C5" s="2" t="s">
        <v>2186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1208</v>
      </c>
      <c r="J5" s="2" t="s">
        <v>2188</v>
      </c>
      <c r="K5" s="2">
        <f t="shared" ref="K5:K68" si="10">X4</f>
        <v>42538350.323623046</v>
      </c>
      <c r="L5" s="2" t="s">
        <v>2189</v>
      </c>
      <c r="M5" s="2" t="s">
        <v>2087</v>
      </c>
      <c r="N5" s="2" t="s">
        <v>1062</v>
      </c>
      <c r="O5" s="2">
        <v>137</v>
      </c>
      <c r="P5" s="2">
        <v>6271.3505859375</v>
      </c>
      <c r="Q5" s="2">
        <v>6587.0595703125</v>
      </c>
      <c r="R5" s="2">
        <f t="shared" si="0"/>
        <v>859175.0302734375</v>
      </c>
      <c r="S5" s="2">
        <f t="shared" si="1"/>
        <v>902427.1611328125</v>
      </c>
      <c r="T5" s="2">
        <f t="shared" si="2"/>
        <v>1761602.19140625</v>
      </c>
      <c r="U5" s="2">
        <f t="shared" si="3"/>
        <v>880.8</v>
      </c>
      <c r="V5" s="2">
        <f t="shared" si="4"/>
        <v>43252.130859375</v>
      </c>
      <c r="W5" s="2">
        <f t="shared" si="5"/>
        <v>42371.330859374997</v>
      </c>
      <c r="X5" s="2">
        <f t="shared" si="6"/>
        <v>42580721.654482424</v>
      </c>
      <c r="Y5" s="2">
        <f t="shared" si="7"/>
        <v>171835.01</v>
      </c>
      <c r="Z5" s="2">
        <f t="shared" si="8"/>
        <v>24.66</v>
      </c>
      <c r="AA5" s="2">
        <f t="shared" ref="AA5:AA17" si="11">MAX(AA4, X5)</f>
        <v>42580721.654482424</v>
      </c>
      <c r="AB5" s="2">
        <f t="shared" si="9"/>
        <v>0</v>
      </c>
    </row>
    <row r="6" spans="1:29">
      <c r="A6" s="2">
        <v>3</v>
      </c>
      <c r="B6" s="2" t="s">
        <v>52</v>
      </c>
      <c r="C6" s="2" t="s">
        <v>2186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477</v>
      </c>
      <c r="J6" s="2" t="s">
        <v>2190</v>
      </c>
      <c r="K6" s="2">
        <f t="shared" si="10"/>
        <v>42580721.654482424</v>
      </c>
      <c r="L6" s="2" t="s">
        <v>1460</v>
      </c>
      <c r="M6" s="2" t="s">
        <v>1105</v>
      </c>
      <c r="N6" s="2" t="s">
        <v>1106</v>
      </c>
      <c r="O6" s="2">
        <v>2537</v>
      </c>
      <c r="P6" s="2">
        <v>351.20001220703119</v>
      </c>
      <c r="Q6" s="2">
        <v>364.89999389648438</v>
      </c>
      <c r="R6" s="2">
        <f t="shared" si="0"/>
        <v>890994.43096923816</v>
      </c>
      <c r="S6" s="2">
        <f t="shared" si="1"/>
        <v>925751.28451538086</v>
      </c>
      <c r="T6" s="2">
        <f t="shared" si="2"/>
        <v>1816745.7154846191</v>
      </c>
      <c r="U6" s="2">
        <f t="shared" si="3"/>
        <v>908.37</v>
      </c>
      <c r="V6" s="2">
        <f t="shared" si="4"/>
        <v>34756.853546142695</v>
      </c>
      <c r="W6" s="2">
        <f t="shared" si="5"/>
        <v>33848.483546142692</v>
      </c>
      <c r="X6" s="2">
        <f t="shared" si="6"/>
        <v>42614570.13802857</v>
      </c>
      <c r="Y6" s="2">
        <f t="shared" si="7"/>
        <v>178198.89</v>
      </c>
      <c r="Z6" s="2">
        <f t="shared" si="8"/>
        <v>18.989999999999998</v>
      </c>
      <c r="AA6" s="2">
        <f t="shared" si="11"/>
        <v>42614570.13802857</v>
      </c>
      <c r="AB6" s="2">
        <f t="shared" si="9"/>
        <v>0</v>
      </c>
    </row>
    <row r="7" spans="1:29">
      <c r="A7" s="2">
        <v>4</v>
      </c>
      <c r="B7" s="2" t="s">
        <v>60</v>
      </c>
      <c r="C7" s="2" t="s">
        <v>2186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611</v>
      </c>
      <c r="J7" s="2" t="s">
        <v>1469</v>
      </c>
      <c r="K7" s="2">
        <f t="shared" si="10"/>
        <v>42614570.13802857</v>
      </c>
      <c r="L7" s="2" t="s">
        <v>2083</v>
      </c>
      <c r="M7" s="2" t="s">
        <v>1519</v>
      </c>
      <c r="N7" s="2" t="s">
        <v>2191</v>
      </c>
      <c r="O7" s="2">
        <v>602</v>
      </c>
      <c r="P7" s="2">
        <v>1530.599975585938</v>
      </c>
      <c r="Q7" s="2">
        <v>1513.300048828125</v>
      </c>
      <c r="R7" s="2">
        <f t="shared" si="0"/>
        <v>921421.18530273461</v>
      </c>
      <c r="S7" s="2">
        <f t="shared" si="1"/>
        <v>911006.62939453125</v>
      </c>
      <c r="T7" s="2">
        <f t="shared" si="2"/>
        <v>1832427.8146972659</v>
      </c>
      <c r="U7" s="2">
        <f t="shared" si="3"/>
        <v>916.21</v>
      </c>
      <c r="V7" s="2">
        <f t="shared" si="4"/>
        <v>-10414.555908203358</v>
      </c>
      <c r="W7" s="2">
        <f t="shared" si="5"/>
        <v>-11330.765908203357</v>
      </c>
      <c r="X7" s="2">
        <f t="shared" si="6"/>
        <v>42603239.372120366</v>
      </c>
      <c r="Y7" s="2">
        <f t="shared" si="7"/>
        <v>184284.24</v>
      </c>
      <c r="Z7" s="2">
        <f t="shared" si="8"/>
        <v>-6.15</v>
      </c>
      <c r="AA7" s="2">
        <f t="shared" si="11"/>
        <v>42614570.13802857</v>
      </c>
      <c r="AB7" s="2">
        <f t="shared" si="9"/>
        <v>-11330.765908204019</v>
      </c>
    </row>
    <row r="8" spans="1:29">
      <c r="A8" s="2">
        <v>5</v>
      </c>
      <c r="B8" s="2" t="s">
        <v>68</v>
      </c>
      <c r="C8" s="2" t="s">
        <v>2186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2088</v>
      </c>
      <c r="J8" s="2" t="s">
        <v>1507</v>
      </c>
      <c r="K8" s="2">
        <f t="shared" si="10"/>
        <v>42603239.372120366</v>
      </c>
      <c r="L8" s="2" t="s">
        <v>1299</v>
      </c>
      <c r="M8" s="2" t="s">
        <v>1581</v>
      </c>
      <c r="N8" s="2" t="s">
        <v>1557</v>
      </c>
      <c r="O8" s="2">
        <v>300</v>
      </c>
      <c r="P8" s="2">
        <v>3035.54931640625</v>
      </c>
      <c r="Q8" s="2">
        <v>2870.81884765625</v>
      </c>
      <c r="R8" s="2">
        <f t="shared" si="0"/>
        <v>910664.794921875</v>
      </c>
      <c r="S8" s="2">
        <f t="shared" si="1"/>
        <v>861245.654296875</v>
      </c>
      <c r="T8" s="2">
        <f t="shared" si="2"/>
        <v>1771910.44921875</v>
      </c>
      <c r="U8" s="2">
        <f t="shared" si="3"/>
        <v>885.96</v>
      </c>
      <c r="V8" s="2">
        <f t="shared" si="4"/>
        <v>-49419.140625</v>
      </c>
      <c r="W8" s="2">
        <f t="shared" si="5"/>
        <v>-50305.100624999999</v>
      </c>
      <c r="X8" s="2">
        <f t="shared" si="6"/>
        <v>42552934.271495365</v>
      </c>
      <c r="Y8" s="2">
        <f t="shared" si="7"/>
        <v>182132.96</v>
      </c>
      <c r="Z8" s="2">
        <f t="shared" si="8"/>
        <v>-27.62</v>
      </c>
      <c r="AA8" s="2">
        <f t="shared" si="11"/>
        <v>42614570.13802857</v>
      </c>
      <c r="AB8" s="2">
        <f t="shared" si="9"/>
        <v>-61635.866533204913</v>
      </c>
    </row>
    <row r="9" spans="1:29">
      <c r="A9" s="2">
        <v>6</v>
      </c>
      <c r="B9" s="2" t="s">
        <v>75</v>
      </c>
      <c r="C9" s="2" t="s">
        <v>2186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2089</v>
      </c>
      <c r="J9" s="2" t="s">
        <v>2090</v>
      </c>
      <c r="K9" s="2">
        <f t="shared" si="10"/>
        <v>42552934.271495365</v>
      </c>
      <c r="L9" s="2" t="s">
        <v>1879</v>
      </c>
      <c r="M9" s="2" t="s">
        <v>1635</v>
      </c>
      <c r="N9" s="2" t="s">
        <v>2091</v>
      </c>
      <c r="O9" s="2">
        <v>500</v>
      </c>
      <c r="P9" s="2">
        <v>883.20001220703125</v>
      </c>
      <c r="Q9" s="2">
        <v>799.0999755859375</v>
      </c>
      <c r="R9" s="2">
        <f t="shared" si="0"/>
        <v>441600.00610351563</v>
      </c>
      <c r="S9" s="2">
        <f t="shared" si="1"/>
        <v>399549.98779296875</v>
      </c>
      <c r="T9" s="2">
        <f t="shared" si="2"/>
        <v>841149.99389648437</v>
      </c>
      <c r="U9" s="2">
        <f t="shared" si="3"/>
        <v>420.57</v>
      </c>
      <c r="V9" s="2">
        <f t="shared" si="4"/>
        <v>-42050.018310546875</v>
      </c>
      <c r="W9" s="2">
        <f t="shared" si="5"/>
        <v>-42470.588310546875</v>
      </c>
      <c r="X9" s="2">
        <f t="shared" si="6"/>
        <v>42510463.683184817</v>
      </c>
      <c r="Y9" s="2">
        <f t="shared" si="7"/>
        <v>88320</v>
      </c>
      <c r="Z9" s="2">
        <f t="shared" si="8"/>
        <v>-48.09</v>
      </c>
      <c r="AA9" s="2">
        <f t="shared" si="11"/>
        <v>42614570.13802857</v>
      </c>
      <c r="AB9" s="2">
        <f t="shared" si="9"/>
        <v>-104106.45484375209</v>
      </c>
    </row>
    <row r="10" spans="1:29">
      <c r="A10" s="2">
        <v>7</v>
      </c>
      <c r="B10" s="2" t="s">
        <v>82</v>
      </c>
      <c r="C10" s="2" t="s">
        <v>2186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1477</v>
      </c>
      <c r="J10" s="2" t="s">
        <v>2092</v>
      </c>
      <c r="K10" s="2">
        <f t="shared" si="10"/>
        <v>42510463.683184817</v>
      </c>
      <c r="L10" s="2" t="s">
        <v>1621</v>
      </c>
      <c r="M10" s="2" t="s">
        <v>1565</v>
      </c>
      <c r="N10" s="2" t="s">
        <v>1299</v>
      </c>
      <c r="O10" s="2">
        <v>625</v>
      </c>
      <c r="P10" s="2">
        <v>1304.579956054688</v>
      </c>
      <c r="Q10" s="2">
        <v>1228.057739257812</v>
      </c>
      <c r="R10" s="2">
        <f t="shared" si="0"/>
        <v>815362.47253417992</v>
      </c>
      <c r="S10" s="2">
        <f t="shared" si="1"/>
        <v>767536.08703613258</v>
      </c>
      <c r="T10" s="2">
        <f t="shared" si="2"/>
        <v>1582898.5595703125</v>
      </c>
      <c r="U10" s="2">
        <f t="shared" si="3"/>
        <v>791.45</v>
      </c>
      <c r="V10" s="2">
        <f t="shared" si="4"/>
        <v>-47826.385498047341</v>
      </c>
      <c r="W10" s="2">
        <f t="shared" si="5"/>
        <v>-48617.835498047338</v>
      </c>
      <c r="X10" s="2">
        <f t="shared" si="6"/>
        <v>42461845.847686768</v>
      </c>
      <c r="Y10" s="2">
        <f t="shared" si="7"/>
        <v>163072.49</v>
      </c>
      <c r="Z10" s="2">
        <f t="shared" si="8"/>
        <v>-29.81</v>
      </c>
      <c r="AA10" s="2">
        <f t="shared" si="11"/>
        <v>42614570.13802857</v>
      </c>
      <c r="AB10" s="2">
        <f t="shared" si="9"/>
        <v>-152724.29034180194</v>
      </c>
    </row>
    <row r="11" spans="1:29">
      <c r="A11" s="2">
        <v>8</v>
      </c>
      <c r="B11" s="2" t="s">
        <v>90</v>
      </c>
      <c r="C11" s="2" t="s">
        <v>2186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2192</v>
      </c>
      <c r="J11" s="2" t="s">
        <v>814</v>
      </c>
      <c r="K11" s="2">
        <f t="shared" si="10"/>
        <v>42461845.847686768</v>
      </c>
      <c r="L11" s="2" t="s">
        <v>1520</v>
      </c>
      <c r="M11" s="2" t="s">
        <v>2095</v>
      </c>
      <c r="N11" s="2" t="s">
        <v>2083</v>
      </c>
      <c r="O11" s="2">
        <v>4785</v>
      </c>
      <c r="P11" s="2">
        <v>232.30000305175781</v>
      </c>
      <c r="Q11" s="2">
        <v>244.5299987792969</v>
      </c>
      <c r="R11" s="2">
        <f t="shared" si="0"/>
        <v>1111555.5146026611</v>
      </c>
      <c r="S11" s="2">
        <f t="shared" si="1"/>
        <v>1170076.0441589358</v>
      </c>
      <c r="T11" s="2">
        <f t="shared" si="2"/>
        <v>2281631.5587615967</v>
      </c>
      <c r="U11" s="2">
        <f t="shared" si="3"/>
        <v>1140.82</v>
      </c>
      <c r="V11" s="2">
        <f t="shared" si="4"/>
        <v>58520.529556274647</v>
      </c>
      <c r="W11" s="2">
        <f t="shared" si="5"/>
        <v>57379.709556274647</v>
      </c>
      <c r="X11" s="2">
        <f t="shared" si="6"/>
        <v>42519225.557243042</v>
      </c>
      <c r="Y11" s="2">
        <f t="shared" si="7"/>
        <v>222311.1</v>
      </c>
      <c r="Z11" s="2">
        <f t="shared" si="8"/>
        <v>25.81</v>
      </c>
      <c r="AA11" s="2">
        <f t="shared" si="11"/>
        <v>42614570.13802857</v>
      </c>
      <c r="AB11" s="2">
        <f t="shared" si="9"/>
        <v>-95344.580785527825</v>
      </c>
    </row>
    <row r="12" spans="1:29">
      <c r="A12" s="2">
        <v>9</v>
      </c>
      <c r="B12" s="2" t="s">
        <v>95</v>
      </c>
      <c r="C12" s="2" t="s">
        <v>2186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2094</v>
      </c>
      <c r="J12" s="2" t="s">
        <v>2055</v>
      </c>
      <c r="K12" s="2">
        <f t="shared" si="10"/>
        <v>42519225.557243042</v>
      </c>
      <c r="L12" s="2" t="s">
        <v>2031</v>
      </c>
      <c r="M12" s="2" t="s">
        <v>2095</v>
      </c>
      <c r="N12" s="2" t="s">
        <v>1105</v>
      </c>
      <c r="O12" s="2">
        <v>171</v>
      </c>
      <c r="P12" s="2">
        <v>5451.5</v>
      </c>
      <c r="Q12" s="2">
        <v>5314.5</v>
      </c>
      <c r="R12" s="2">
        <f t="shared" si="0"/>
        <v>932206.5</v>
      </c>
      <c r="S12" s="2">
        <f t="shared" si="1"/>
        <v>908779.5</v>
      </c>
      <c r="T12" s="2">
        <f t="shared" si="2"/>
        <v>1840986</v>
      </c>
      <c r="U12" s="2">
        <f t="shared" si="3"/>
        <v>920.49</v>
      </c>
      <c r="V12" s="2">
        <f t="shared" si="4"/>
        <v>-23427</v>
      </c>
      <c r="W12" s="2">
        <f t="shared" si="5"/>
        <v>-24347.49</v>
      </c>
      <c r="X12" s="2">
        <f t="shared" si="6"/>
        <v>42494878.06724304</v>
      </c>
      <c r="Y12" s="2">
        <f t="shared" si="7"/>
        <v>186441.3</v>
      </c>
      <c r="Z12" s="2">
        <f t="shared" si="8"/>
        <v>-13.06</v>
      </c>
      <c r="AA12" s="2">
        <f t="shared" si="11"/>
        <v>42614570.13802857</v>
      </c>
      <c r="AB12" s="2">
        <f t="shared" si="9"/>
        <v>-119692.07078552991</v>
      </c>
    </row>
    <row r="13" spans="1:29">
      <c r="A13" s="2">
        <v>10</v>
      </c>
      <c r="B13" s="2" t="s">
        <v>102</v>
      </c>
      <c r="C13" s="2" t="s">
        <v>2186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42494878.06724304</v>
      </c>
      <c r="L13" s="2" t="s">
        <v>106</v>
      </c>
      <c r="M13" s="2" t="s">
        <v>44</v>
      </c>
      <c r="N13" s="2" t="s">
        <v>59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42497791.977243036</v>
      </c>
      <c r="Y13" s="2">
        <f t="shared" si="7"/>
        <v>199827</v>
      </c>
      <c r="Z13" s="2">
        <f t="shared" si="8"/>
        <v>1.46</v>
      </c>
      <c r="AA13" s="2">
        <f t="shared" si="11"/>
        <v>42614570.13802857</v>
      </c>
      <c r="AB13" s="2">
        <f t="shared" si="9"/>
        <v>-116778.16078553349</v>
      </c>
    </row>
    <row r="14" spans="1:29">
      <c r="A14" s="2">
        <v>11</v>
      </c>
      <c r="B14" s="2" t="s">
        <v>108</v>
      </c>
      <c r="C14" s="2" t="s">
        <v>2186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1325</v>
      </c>
      <c r="J14" s="2" t="s">
        <v>84</v>
      </c>
      <c r="K14" s="2">
        <f t="shared" si="10"/>
        <v>42497791.977243036</v>
      </c>
      <c r="L14" s="2" t="s">
        <v>2047</v>
      </c>
      <c r="M14" s="2" t="s">
        <v>2037</v>
      </c>
      <c r="N14" s="2" t="s">
        <v>2083</v>
      </c>
      <c r="O14" s="2">
        <v>2303</v>
      </c>
      <c r="P14" s="2">
        <v>424.25003051757813</v>
      </c>
      <c r="Q14" s="2">
        <v>428.13079833984381</v>
      </c>
      <c r="R14" s="2">
        <f t="shared" si="0"/>
        <v>977047.82028198242</v>
      </c>
      <c r="S14" s="2">
        <f t="shared" si="1"/>
        <v>985985.22857666027</v>
      </c>
      <c r="T14" s="2">
        <f t="shared" si="2"/>
        <v>1963033.0488586426</v>
      </c>
      <c r="U14" s="2">
        <f t="shared" si="3"/>
        <v>981.52</v>
      </c>
      <c r="V14" s="2">
        <f t="shared" si="4"/>
        <v>8937.4082946778508</v>
      </c>
      <c r="W14" s="2">
        <f t="shared" si="5"/>
        <v>7955.8882946778504</v>
      </c>
      <c r="X14" s="2">
        <f t="shared" si="6"/>
        <v>42505747.86553771</v>
      </c>
      <c r="Y14" s="2">
        <f t="shared" si="7"/>
        <v>195409.56</v>
      </c>
      <c r="Z14" s="2">
        <f t="shared" si="8"/>
        <v>4.07</v>
      </c>
      <c r="AA14" s="2">
        <f t="shared" si="11"/>
        <v>42614570.13802857</v>
      </c>
      <c r="AB14" s="2">
        <f t="shared" si="9"/>
        <v>-108822.27249085903</v>
      </c>
    </row>
    <row r="15" spans="1:29">
      <c r="A15" s="2">
        <v>12</v>
      </c>
      <c r="B15" s="2" t="s">
        <v>113</v>
      </c>
      <c r="C15" s="2" t="s">
        <v>2186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277</v>
      </c>
      <c r="J15" s="2" t="s">
        <v>2098</v>
      </c>
      <c r="K15" s="2">
        <f t="shared" si="10"/>
        <v>42505747.86553771</v>
      </c>
      <c r="L15" s="2" t="s">
        <v>1979</v>
      </c>
      <c r="M15" s="2" t="s">
        <v>2099</v>
      </c>
      <c r="N15" s="2" t="s">
        <v>2100</v>
      </c>
      <c r="O15" s="2">
        <v>3428</v>
      </c>
      <c r="P15" s="2">
        <v>279.59530639648437</v>
      </c>
      <c r="Q15" s="2">
        <v>320.21966552734369</v>
      </c>
      <c r="R15" s="2">
        <f t="shared" si="0"/>
        <v>958452.71032714844</v>
      </c>
      <c r="S15" s="2">
        <f t="shared" si="1"/>
        <v>1097713.0134277341</v>
      </c>
      <c r="T15" s="2">
        <f t="shared" si="2"/>
        <v>2056165.7237548826</v>
      </c>
      <c r="U15" s="2">
        <f t="shared" si="3"/>
        <v>1028.08</v>
      </c>
      <c r="V15" s="2">
        <f t="shared" si="4"/>
        <v>139260.3031005857</v>
      </c>
      <c r="W15" s="2">
        <f t="shared" si="5"/>
        <v>138232.22310058572</v>
      </c>
      <c r="X15" s="2">
        <f t="shared" si="6"/>
        <v>42643980.088638298</v>
      </c>
      <c r="Y15" s="2">
        <f t="shared" si="7"/>
        <v>191690.54</v>
      </c>
      <c r="Z15" s="2">
        <f t="shared" si="8"/>
        <v>72.11</v>
      </c>
      <c r="AA15" s="2">
        <f t="shared" si="11"/>
        <v>42643980.088638298</v>
      </c>
      <c r="AB15" s="2">
        <f t="shared" si="9"/>
        <v>0</v>
      </c>
    </row>
    <row r="16" spans="1:29">
      <c r="A16" s="2">
        <v>13</v>
      </c>
      <c r="B16" s="2" t="s">
        <v>120</v>
      </c>
      <c r="C16" s="2" t="s">
        <v>2186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626</v>
      </c>
      <c r="J16" s="2" t="s">
        <v>105</v>
      </c>
      <c r="K16" s="2">
        <f t="shared" si="10"/>
        <v>42643980.088638298</v>
      </c>
      <c r="L16" s="2" t="s">
        <v>2193</v>
      </c>
      <c r="M16" s="2" t="s">
        <v>2194</v>
      </c>
      <c r="N16" s="2" t="s">
        <v>2195</v>
      </c>
      <c r="O16" s="2">
        <v>528</v>
      </c>
      <c r="P16" s="2">
        <v>1767</v>
      </c>
      <c r="Q16" s="2">
        <v>1791.5</v>
      </c>
      <c r="R16" s="2">
        <f t="shared" si="0"/>
        <v>932976</v>
      </c>
      <c r="S16" s="2">
        <f t="shared" si="1"/>
        <v>945912</v>
      </c>
      <c r="T16" s="2">
        <f t="shared" si="2"/>
        <v>1878888</v>
      </c>
      <c r="U16" s="2">
        <f t="shared" si="3"/>
        <v>939.44</v>
      </c>
      <c r="V16" s="2">
        <f t="shared" si="4"/>
        <v>12936</v>
      </c>
      <c r="W16" s="2">
        <f t="shared" si="5"/>
        <v>11996.56</v>
      </c>
      <c r="X16" s="2">
        <f t="shared" si="6"/>
        <v>42655976.648638301</v>
      </c>
      <c r="Y16" s="2">
        <f t="shared" si="7"/>
        <v>186595.20000000001</v>
      </c>
      <c r="Z16" s="2">
        <f t="shared" si="8"/>
        <v>6.43</v>
      </c>
      <c r="AA16" s="2">
        <f t="shared" si="11"/>
        <v>42655976.648638301</v>
      </c>
      <c r="AB16" s="2">
        <f t="shared" si="9"/>
        <v>0</v>
      </c>
    </row>
    <row r="17" spans="1:28">
      <c r="A17" s="2">
        <v>14</v>
      </c>
      <c r="B17" s="2" t="s">
        <v>126</v>
      </c>
      <c r="C17" s="2" t="s">
        <v>2186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984</v>
      </c>
      <c r="J17" s="2" t="s">
        <v>1849</v>
      </c>
      <c r="K17" s="2">
        <f t="shared" si="10"/>
        <v>42655976.648638301</v>
      </c>
      <c r="L17" s="2" t="s">
        <v>1573</v>
      </c>
      <c r="M17" s="2" t="s">
        <v>2104</v>
      </c>
      <c r="N17" s="2" t="s">
        <v>1805</v>
      </c>
      <c r="O17" s="2">
        <v>125</v>
      </c>
      <c r="P17" s="2">
        <v>5734.505859375</v>
      </c>
      <c r="Q17" s="2">
        <v>5928.97216796875</v>
      </c>
      <c r="R17" s="2">
        <f t="shared" si="0"/>
        <v>716813.232421875</v>
      </c>
      <c r="S17" s="2">
        <f t="shared" si="1"/>
        <v>741121.52099609375</v>
      </c>
      <c r="T17" s="2">
        <f t="shared" si="2"/>
        <v>1457934.7534179688</v>
      </c>
      <c r="U17" s="2">
        <f t="shared" si="3"/>
        <v>728.97</v>
      </c>
      <c r="V17" s="2">
        <f t="shared" si="4"/>
        <v>24308.28857421875</v>
      </c>
      <c r="W17" s="2">
        <f t="shared" si="5"/>
        <v>23579.318574218749</v>
      </c>
      <c r="X17" s="2">
        <f t="shared" si="6"/>
        <v>42679555.967212521</v>
      </c>
      <c r="Y17" s="2">
        <f t="shared" si="7"/>
        <v>143362.65</v>
      </c>
      <c r="Z17" s="2">
        <f t="shared" si="8"/>
        <v>16.45</v>
      </c>
      <c r="AA17" s="2">
        <f t="shared" si="11"/>
        <v>42679555.967212521</v>
      </c>
      <c r="AB17" s="2">
        <f t="shared" si="9"/>
        <v>0</v>
      </c>
    </row>
    <row r="18" spans="1:28">
      <c r="A18" s="2">
        <v>15</v>
      </c>
      <c r="B18" s="2" t="s">
        <v>133</v>
      </c>
      <c r="C18" s="2" t="s">
        <v>2186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42679555.967212521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42679555.967212521</v>
      </c>
      <c r="Y18" s="6" t="s">
        <v>1195</v>
      </c>
      <c r="Z18" s="6" t="s">
        <v>1195</v>
      </c>
      <c r="AA18" s="2">
        <f>AA17</f>
        <v>42679555.967212521</v>
      </c>
      <c r="AB18" s="2">
        <v>0</v>
      </c>
    </row>
    <row r="19" spans="1:28">
      <c r="A19" s="2">
        <v>16</v>
      </c>
      <c r="B19" s="2" t="s">
        <v>141</v>
      </c>
      <c r="C19" s="2" t="s">
        <v>2186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2093</v>
      </c>
      <c r="J19" s="2" t="s">
        <v>207</v>
      </c>
      <c r="K19" s="2">
        <f t="shared" si="10"/>
        <v>42679555.967212521</v>
      </c>
      <c r="L19" s="2" t="s">
        <v>1557</v>
      </c>
      <c r="M19" s="2" t="s">
        <v>1572</v>
      </c>
      <c r="N19" s="2" t="s">
        <v>1565</v>
      </c>
      <c r="O19" s="2">
        <v>200</v>
      </c>
      <c r="P19" s="2">
        <v>2792.13427734375</v>
      </c>
      <c r="Q19" s="2">
        <v>2841.106201171875</v>
      </c>
      <c r="R19" s="2">
        <f>O19*P19</f>
        <v>558426.85546875</v>
      </c>
      <c r="S19" s="2">
        <f>O19*Q19</f>
        <v>568221.240234375</v>
      </c>
      <c r="T19" s="2">
        <f>R19+S19</f>
        <v>1126648.095703125</v>
      </c>
      <c r="U19" s="2">
        <f>ROUND(T19*0.0005, 2)</f>
        <v>563.32000000000005</v>
      </c>
      <c r="V19" s="2">
        <f>S19-R19</f>
        <v>9794.384765625</v>
      </c>
      <c r="W19" s="2">
        <f>V19-U19</f>
        <v>9231.0647656250003</v>
      </c>
      <c r="X19" s="2">
        <f>K19+W19</f>
        <v>42688787.031978145</v>
      </c>
      <c r="Y19" s="2">
        <f>ROUND(0.2*R19, 2)</f>
        <v>111685.37</v>
      </c>
      <c r="Z19" s="2">
        <f>ROUND((W19/Y19)*100, 2)</f>
        <v>8.27</v>
      </c>
      <c r="AA19" s="2">
        <f>MAX(AA18, X19)</f>
        <v>42688787.031978145</v>
      </c>
      <c r="AB19" s="2">
        <f>X19-AA19</f>
        <v>0</v>
      </c>
    </row>
    <row r="20" spans="1:28">
      <c r="A20" s="2">
        <v>17</v>
      </c>
      <c r="B20" s="2" t="s">
        <v>149</v>
      </c>
      <c r="C20" s="2" t="s">
        <v>2186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42688787.031978145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42688787.031978145</v>
      </c>
      <c r="Y20" s="6" t="s">
        <v>1195</v>
      </c>
      <c r="Z20" s="6" t="s">
        <v>1195</v>
      </c>
      <c r="AA20" s="2">
        <f>AA19</f>
        <v>42688787.031978145</v>
      </c>
      <c r="AB20" s="2">
        <v>0</v>
      </c>
    </row>
    <row r="21" spans="1:28">
      <c r="A21" s="2">
        <v>18</v>
      </c>
      <c r="B21" s="2" t="s">
        <v>154</v>
      </c>
      <c r="C21" s="2" t="s">
        <v>2186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42688787.031978145</v>
      </c>
      <c r="L21" s="2" t="s">
        <v>159</v>
      </c>
      <c r="M21" s="2" t="s">
        <v>81</v>
      </c>
      <c r="N21" s="2" t="s">
        <v>2196</v>
      </c>
      <c r="O21" s="2">
        <v>668</v>
      </c>
      <c r="P21" s="2">
        <v>1280</v>
      </c>
      <c r="Q21" s="2">
        <v>1470.2</v>
      </c>
      <c r="R21" s="2">
        <f>O21*P21</f>
        <v>855040</v>
      </c>
      <c r="S21" s="2">
        <f>O21*Q21</f>
        <v>982093.6</v>
      </c>
      <c r="T21" s="2">
        <f>R21+S21</f>
        <v>1837133.6</v>
      </c>
      <c r="U21" s="2">
        <f>ROUND(T21*0.0005, 2)</f>
        <v>918.57</v>
      </c>
      <c r="V21" s="2">
        <f>S21-R21</f>
        <v>127053.59999999998</v>
      </c>
      <c r="W21" s="2">
        <f>V21-U21</f>
        <v>126135.02999999997</v>
      </c>
      <c r="X21" s="2">
        <f>K21+W21</f>
        <v>42814922.061978146</v>
      </c>
      <c r="Y21" s="2">
        <f>ROUND(0.2*R21, 2)</f>
        <v>171008</v>
      </c>
      <c r="Z21" s="2">
        <f>ROUND((W21/Y21)*100, 2)</f>
        <v>73.760000000000005</v>
      </c>
      <c r="AA21" s="2">
        <f>MAX(AA20, X21)</f>
        <v>42814922.061978146</v>
      </c>
      <c r="AB21" s="2">
        <f>X21-AA21</f>
        <v>0</v>
      </c>
    </row>
    <row r="22" spans="1:28">
      <c r="A22" s="2">
        <v>19</v>
      </c>
      <c r="B22" s="2" t="s">
        <v>160</v>
      </c>
      <c r="C22" s="2" t="s">
        <v>2186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42814922.061978146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42814922.061978146</v>
      </c>
      <c r="Y22" s="6" t="s">
        <v>1195</v>
      </c>
      <c r="Z22" s="6" t="s">
        <v>1195</v>
      </c>
      <c r="AA22" s="2">
        <f>AA21</f>
        <v>42814922.061978146</v>
      </c>
      <c r="AB22" s="2">
        <v>0</v>
      </c>
    </row>
    <row r="23" spans="1:28">
      <c r="A23" s="2">
        <v>20</v>
      </c>
      <c r="B23" s="2" t="s">
        <v>168</v>
      </c>
      <c r="C23" s="2" t="s">
        <v>2186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42814922.061978146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42814922.061978146</v>
      </c>
      <c r="Y23" s="6" t="s">
        <v>1195</v>
      </c>
      <c r="Z23" s="6" t="s">
        <v>1195</v>
      </c>
      <c r="AA23" s="2">
        <f>AA22</f>
        <v>42814922.061978146</v>
      </c>
      <c r="AB23" s="2">
        <v>0</v>
      </c>
    </row>
    <row r="24" spans="1:28">
      <c r="A24" s="2">
        <v>21</v>
      </c>
      <c r="B24" s="2" t="s">
        <v>175</v>
      </c>
      <c r="C24" s="2" t="s">
        <v>2186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2106</v>
      </c>
      <c r="J24" s="2" t="s">
        <v>1387</v>
      </c>
      <c r="K24" s="2">
        <f t="shared" si="10"/>
        <v>42814922.061978146</v>
      </c>
      <c r="L24" s="2" t="s">
        <v>1629</v>
      </c>
      <c r="M24" s="2" t="s">
        <v>1557</v>
      </c>
      <c r="N24" s="2" t="s">
        <v>1374</v>
      </c>
      <c r="O24" s="2">
        <v>625</v>
      </c>
      <c r="P24" s="2">
        <v>1060.704833984375</v>
      </c>
      <c r="Q24" s="2">
        <v>1138.767456054688</v>
      </c>
      <c r="R24" s="2">
        <f>O24*P24</f>
        <v>662940.52124023437</v>
      </c>
      <c r="S24" s="2">
        <f>O24*Q24</f>
        <v>711729.66003417992</v>
      </c>
      <c r="T24" s="2">
        <f>R24+S24</f>
        <v>1374670.1812744143</v>
      </c>
      <c r="U24" s="2">
        <f>ROUND(T24*0.0005, 2)</f>
        <v>687.34</v>
      </c>
      <c r="V24" s="2">
        <f>S24-R24</f>
        <v>48789.138793945545</v>
      </c>
      <c r="W24" s="2">
        <f>V24-U24</f>
        <v>48101.798793945549</v>
      </c>
      <c r="X24" s="2">
        <f>K24+W24</f>
        <v>42863023.860772096</v>
      </c>
      <c r="Y24" s="2">
        <f>ROUND(0.2*R24, 2)</f>
        <v>132588.1</v>
      </c>
      <c r="Z24" s="2">
        <f>ROUND((W24/Y24)*100, 2)</f>
        <v>36.28</v>
      </c>
      <c r="AA24" s="2">
        <f>MAX(AA23, X24)</f>
        <v>42863023.860772096</v>
      </c>
      <c r="AB24" s="2">
        <f>X24-AA24</f>
        <v>0</v>
      </c>
    </row>
    <row r="25" spans="1:28">
      <c r="A25" s="2">
        <v>22</v>
      </c>
      <c r="B25" s="2" t="s">
        <v>184</v>
      </c>
      <c r="C25" s="2" t="s">
        <v>2186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1886</v>
      </c>
      <c r="J25" s="2" t="s">
        <v>2107</v>
      </c>
      <c r="K25" s="2">
        <f t="shared" si="10"/>
        <v>42863023.860772096</v>
      </c>
      <c r="L25" s="2" t="s">
        <v>1709</v>
      </c>
      <c r="M25" s="2" t="s">
        <v>1580</v>
      </c>
      <c r="N25" s="2" t="s">
        <v>1630</v>
      </c>
      <c r="O25" s="2">
        <v>125</v>
      </c>
      <c r="P25" s="2">
        <v>8591.2421875</v>
      </c>
      <c r="Q25" s="2">
        <v>8391.09375</v>
      </c>
      <c r="R25" s="2">
        <f>O25*P25</f>
        <v>1073905.2734375</v>
      </c>
      <c r="S25" s="2">
        <f>O25*Q25</f>
        <v>1048886.71875</v>
      </c>
      <c r="T25" s="2">
        <f>R25+S25</f>
        <v>2122791.9921875</v>
      </c>
      <c r="U25" s="2">
        <f>ROUND(T25*0.0005, 2)</f>
        <v>1061.4000000000001</v>
      </c>
      <c r="V25" s="2">
        <f>S25-R25</f>
        <v>-25018.5546875</v>
      </c>
      <c r="W25" s="2">
        <f>V25-U25</f>
        <v>-26079.954687500001</v>
      </c>
      <c r="X25" s="2">
        <f>K25+W25</f>
        <v>42836943.906084597</v>
      </c>
      <c r="Y25" s="2">
        <f>ROUND(0.2*R25, 2)</f>
        <v>214781.05</v>
      </c>
      <c r="Z25" s="2">
        <f>ROUND((W25/Y25)*100, 2)</f>
        <v>-12.14</v>
      </c>
      <c r="AA25" s="2">
        <f>MAX(AA24, X25)</f>
        <v>42863023.860772096</v>
      </c>
      <c r="AB25" s="2">
        <f>X25-AA25</f>
        <v>-26079.95468749851</v>
      </c>
    </row>
    <row r="26" spans="1:28">
      <c r="A26" s="2">
        <v>23</v>
      </c>
      <c r="B26" s="2" t="s">
        <v>190</v>
      </c>
      <c r="C26" s="2" t="s">
        <v>2186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1840</v>
      </c>
      <c r="J26" s="2" t="s">
        <v>618</v>
      </c>
      <c r="K26" s="2">
        <f t="shared" si="10"/>
        <v>42836943.906084597</v>
      </c>
      <c r="L26" s="2" t="s">
        <v>1467</v>
      </c>
      <c r="M26" s="2" t="s">
        <v>1591</v>
      </c>
      <c r="N26" s="2" t="s">
        <v>1639</v>
      </c>
      <c r="O26" s="2">
        <v>500</v>
      </c>
      <c r="P26" s="2">
        <v>1594.205200195312</v>
      </c>
      <c r="Q26" s="2">
        <v>1611.820434570312</v>
      </c>
      <c r="R26" s="2">
        <f>O26*P26</f>
        <v>797102.60009765602</v>
      </c>
      <c r="S26" s="2">
        <f>O26*Q26</f>
        <v>805910.21728515602</v>
      </c>
      <c r="T26" s="2">
        <f>R26+S26</f>
        <v>1603012.817382812</v>
      </c>
      <c r="U26" s="2">
        <f>ROUND(T26*0.0005, 2)</f>
        <v>801.51</v>
      </c>
      <c r="V26" s="2">
        <f>S26-R26</f>
        <v>8807.6171875</v>
      </c>
      <c r="W26" s="2">
        <f>V26-U26</f>
        <v>8006.1071874999998</v>
      </c>
      <c r="X26" s="2">
        <f>K26+W26</f>
        <v>42844950.013272099</v>
      </c>
      <c r="Y26" s="2">
        <f>ROUND(0.2*R26, 2)</f>
        <v>159420.51999999999</v>
      </c>
      <c r="Z26" s="2">
        <f>ROUND((W26/Y26)*100, 2)</f>
        <v>5.0199999999999996</v>
      </c>
      <c r="AA26" s="2">
        <f>MAX(AA25, X26)</f>
        <v>42863023.860772096</v>
      </c>
      <c r="AB26" s="2">
        <f>X26-AA26</f>
        <v>-18073.847499996424</v>
      </c>
    </row>
    <row r="27" spans="1:28">
      <c r="A27" s="2">
        <v>24</v>
      </c>
      <c r="B27" s="2" t="s">
        <v>195</v>
      </c>
      <c r="C27" s="2" t="s">
        <v>2186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42844950.013272099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42844950.013272099</v>
      </c>
      <c r="Y27" s="6" t="s">
        <v>1195</v>
      </c>
      <c r="Z27" s="6" t="s">
        <v>1195</v>
      </c>
      <c r="AA27" s="2">
        <f>AA26</f>
        <v>42863023.860772096</v>
      </c>
      <c r="AB27" s="2">
        <v>0</v>
      </c>
    </row>
    <row r="28" spans="1:28">
      <c r="A28" s="2">
        <v>25</v>
      </c>
      <c r="B28" s="2" t="s">
        <v>199</v>
      </c>
      <c r="C28" s="2" t="s">
        <v>2186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2088</v>
      </c>
      <c r="J28" s="2" t="s">
        <v>396</v>
      </c>
      <c r="K28" s="2">
        <f t="shared" si="10"/>
        <v>42844950.013272099</v>
      </c>
      <c r="L28" s="2" t="s">
        <v>1629</v>
      </c>
      <c r="M28" s="2" t="s">
        <v>1557</v>
      </c>
      <c r="N28" s="2" t="s">
        <v>1374</v>
      </c>
      <c r="O28" s="2">
        <v>125</v>
      </c>
      <c r="P28" s="2">
        <v>720.3536376953125</v>
      </c>
      <c r="Q28" s="2">
        <v>681.2701416015625</v>
      </c>
      <c r="R28" s="2">
        <f>O28*P28</f>
        <v>90044.204711914063</v>
      </c>
      <c r="S28" s="2">
        <f>O28*Q28</f>
        <v>85158.767700195313</v>
      </c>
      <c r="T28" s="2">
        <f>R28+S28</f>
        <v>175202.97241210937</v>
      </c>
      <c r="U28" s="2">
        <f>ROUND(T28*0.0005, 2)</f>
        <v>87.6</v>
      </c>
      <c r="V28" s="2">
        <f>S28-R28</f>
        <v>-4885.43701171875</v>
      </c>
      <c r="W28" s="2">
        <f>V28-U28</f>
        <v>-4973.0370117187504</v>
      </c>
      <c r="X28" s="2">
        <f>K28+W28</f>
        <v>42839976.976260379</v>
      </c>
      <c r="Y28" s="2">
        <f>ROUND(0.2*R28, 2)</f>
        <v>18008.84</v>
      </c>
      <c r="Z28" s="2">
        <f>ROUND((W28/Y28)*100, 2)</f>
        <v>-27.61</v>
      </c>
      <c r="AA28" s="2">
        <f>MAX(AA27, X28)</f>
        <v>42863023.860772096</v>
      </c>
      <c r="AB28" s="2">
        <f>X28-AA28</f>
        <v>-23046.884511716664</v>
      </c>
    </row>
    <row r="29" spans="1:28">
      <c r="A29" s="2">
        <v>26</v>
      </c>
      <c r="B29" s="2" t="s">
        <v>205</v>
      </c>
      <c r="C29" s="2" t="s">
        <v>2186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42839976.976260379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42839976.976260379</v>
      </c>
      <c r="Y29" s="6" t="s">
        <v>1195</v>
      </c>
      <c r="Z29" s="6" t="s">
        <v>1195</v>
      </c>
      <c r="AA29" s="2">
        <f>AA28</f>
        <v>42863023.860772096</v>
      </c>
      <c r="AB29" s="2">
        <v>0</v>
      </c>
    </row>
    <row r="30" spans="1:28">
      <c r="A30" s="2">
        <v>27</v>
      </c>
      <c r="B30" s="2" t="s">
        <v>209</v>
      </c>
      <c r="C30" s="2" t="s">
        <v>2186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42839976.976260379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42839976.976260379</v>
      </c>
      <c r="Y30" s="6" t="s">
        <v>1195</v>
      </c>
      <c r="Z30" s="6" t="s">
        <v>1195</v>
      </c>
      <c r="AA30" s="2">
        <f>AA29</f>
        <v>42863023.860772096</v>
      </c>
      <c r="AB30" s="2">
        <v>0</v>
      </c>
    </row>
    <row r="31" spans="1:28">
      <c r="A31" s="2">
        <v>28</v>
      </c>
      <c r="B31" s="2" t="s">
        <v>213</v>
      </c>
      <c r="C31" s="2" t="s">
        <v>2186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42839976.976260379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42839976.976260379</v>
      </c>
      <c r="Y31" s="6" t="s">
        <v>1195</v>
      </c>
      <c r="Z31" s="6" t="s">
        <v>1195</v>
      </c>
      <c r="AA31" s="2">
        <f>AA30</f>
        <v>42863023.860772096</v>
      </c>
      <c r="AB31" s="2">
        <v>0</v>
      </c>
    </row>
    <row r="32" spans="1:28">
      <c r="A32" s="2">
        <v>29</v>
      </c>
      <c r="B32" s="2" t="s">
        <v>218</v>
      </c>
      <c r="C32" s="2" t="s">
        <v>2186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42839976.976260379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42839976.976260379</v>
      </c>
      <c r="Y32" s="6" t="s">
        <v>1195</v>
      </c>
      <c r="Z32" s="6" t="s">
        <v>1195</v>
      </c>
      <c r="AA32" s="2">
        <f>AA31</f>
        <v>42863023.860772096</v>
      </c>
      <c r="AB32" s="2">
        <v>0</v>
      </c>
    </row>
    <row r="33" spans="1:28">
      <c r="A33" s="2">
        <v>30</v>
      </c>
      <c r="B33" s="2" t="s">
        <v>225</v>
      </c>
      <c r="C33" s="2" t="s">
        <v>2186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2108</v>
      </c>
      <c r="J33" s="2" t="s">
        <v>2109</v>
      </c>
      <c r="K33" s="2">
        <f t="shared" si="10"/>
        <v>42839976.976260379</v>
      </c>
      <c r="L33" s="2" t="s">
        <v>1565</v>
      </c>
      <c r="M33" s="2" t="s">
        <v>1540</v>
      </c>
      <c r="N33" s="2" t="s">
        <v>1651</v>
      </c>
      <c r="O33" s="2">
        <v>2438</v>
      </c>
      <c r="P33" s="2">
        <v>290.1260986328125</v>
      </c>
      <c r="Q33" s="2">
        <v>222.8783264160156</v>
      </c>
      <c r="R33" s="2">
        <f>O33*P33</f>
        <v>707327.42846679687</v>
      </c>
      <c r="S33" s="2">
        <f>O33*Q33</f>
        <v>543377.35980224598</v>
      </c>
      <c r="T33" s="2">
        <f>R33+S33</f>
        <v>1250704.788269043</v>
      </c>
      <c r="U33" s="2">
        <f>ROUND(T33*0.0005, 2)</f>
        <v>625.35</v>
      </c>
      <c r="V33" s="2">
        <f>S33-R33</f>
        <v>-163950.0686645509</v>
      </c>
      <c r="W33" s="2">
        <f>V33-U33</f>
        <v>-164575.4186645509</v>
      </c>
      <c r="X33" s="2">
        <f>K33+W33</f>
        <v>42675401.557595827</v>
      </c>
      <c r="Y33" s="2">
        <f>ROUND(0.2*R33, 2)</f>
        <v>141465.49</v>
      </c>
      <c r="Z33" s="2">
        <f>ROUND((W33/Y33)*100, 2)</f>
        <v>-116.34</v>
      </c>
      <c r="AA33" s="2">
        <f>MAX(AA32, X33)</f>
        <v>42863023.860772096</v>
      </c>
      <c r="AB33" s="2">
        <f>X33-AA33</f>
        <v>-187622.30317626894</v>
      </c>
    </row>
    <row r="34" spans="1:28">
      <c r="A34" s="2">
        <v>31</v>
      </c>
      <c r="B34" s="2" t="s">
        <v>230</v>
      </c>
      <c r="C34" s="2" t="s">
        <v>2186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42675401.557595827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42675401.557595827</v>
      </c>
      <c r="Y34" s="6" t="s">
        <v>1195</v>
      </c>
      <c r="Z34" s="6" t="s">
        <v>1195</v>
      </c>
      <c r="AA34" s="2">
        <f>AA33</f>
        <v>42863023.860772096</v>
      </c>
      <c r="AB34" s="2">
        <v>0</v>
      </c>
    </row>
    <row r="35" spans="1:28">
      <c r="A35" s="2">
        <v>32</v>
      </c>
      <c r="B35" s="2" t="s">
        <v>236</v>
      </c>
      <c r="C35" s="2" t="s">
        <v>2186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665</v>
      </c>
      <c r="J35" s="2" t="s">
        <v>2023</v>
      </c>
      <c r="K35" s="2">
        <f t="shared" si="10"/>
        <v>42675401.557595827</v>
      </c>
      <c r="L35" s="2" t="s">
        <v>1557</v>
      </c>
      <c r="M35" s="2" t="s">
        <v>1613</v>
      </c>
      <c r="N35" s="2" t="s">
        <v>1555</v>
      </c>
      <c r="O35" s="2">
        <v>950</v>
      </c>
      <c r="P35" s="2">
        <v>1259.7890625</v>
      </c>
      <c r="Q35" s="2">
        <v>1329.317138671875</v>
      </c>
      <c r="R35" s="2">
        <f>O35*P35</f>
        <v>1196799.609375</v>
      </c>
      <c r="S35" s="2">
        <f>O35*Q35</f>
        <v>1262851.2817382812</v>
      </c>
      <c r="T35" s="2">
        <f>R35+S35</f>
        <v>2459650.8911132812</v>
      </c>
      <c r="U35" s="2">
        <f>ROUND(T35*0.0005, 2)</f>
        <v>1229.83</v>
      </c>
      <c r="V35" s="2">
        <f>S35-R35</f>
        <v>66051.67236328125</v>
      </c>
      <c r="W35" s="2">
        <f>V35-U35</f>
        <v>64821.842363281248</v>
      </c>
      <c r="X35" s="2">
        <f>K35+W35</f>
        <v>42740223.39995911</v>
      </c>
      <c r="Y35" s="2">
        <f>ROUND(0.2*R35, 2)</f>
        <v>239359.92</v>
      </c>
      <c r="Z35" s="2">
        <f>ROUND((W35/Y35)*100, 2)</f>
        <v>27.08</v>
      </c>
      <c r="AA35" s="2">
        <f>MAX(AA34, X35)</f>
        <v>42863023.860772096</v>
      </c>
      <c r="AB35" s="2">
        <f>X35-AA35</f>
        <v>-122800.4608129859</v>
      </c>
    </row>
    <row r="36" spans="1:28">
      <c r="A36" s="2">
        <v>33</v>
      </c>
      <c r="B36" s="2" t="s">
        <v>240</v>
      </c>
      <c r="C36" s="2" t="s">
        <v>2186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42740223.39995911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42740223.39995911</v>
      </c>
      <c r="Y36" s="6" t="s">
        <v>1195</v>
      </c>
      <c r="Z36" s="6" t="s">
        <v>1195</v>
      </c>
      <c r="AA36" s="2">
        <f>AA35</f>
        <v>42863023.860772096</v>
      </c>
      <c r="AB36" s="2">
        <v>0</v>
      </c>
    </row>
    <row r="37" spans="1:28">
      <c r="A37" s="2">
        <v>34</v>
      </c>
      <c r="B37" s="2" t="s">
        <v>245</v>
      </c>
      <c r="C37" s="2" t="s">
        <v>2186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42740223.39995911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42740223.39995911</v>
      </c>
      <c r="Y37" s="6" t="s">
        <v>1195</v>
      </c>
      <c r="Z37" s="6" t="s">
        <v>1195</v>
      </c>
      <c r="AA37" s="2">
        <f>AA36</f>
        <v>42863023.860772096</v>
      </c>
      <c r="AB37" s="2">
        <v>0</v>
      </c>
    </row>
    <row r="38" spans="1:28">
      <c r="A38" s="2">
        <v>35</v>
      </c>
      <c r="B38" s="2" t="s">
        <v>248</v>
      </c>
      <c r="C38" s="2" t="s">
        <v>2186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42740223.39995911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42740223.39995911</v>
      </c>
      <c r="Y38" s="6" t="s">
        <v>1195</v>
      </c>
      <c r="Z38" s="6" t="s">
        <v>1195</v>
      </c>
      <c r="AA38" s="2">
        <f>AA37</f>
        <v>42863023.860772096</v>
      </c>
      <c r="AB38" s="2">
        <v>0</v>
      </c>
    </row>
    <row r="39" spans="1:28">
      <c r="A39" s="2">
        <v>36</v>
      </c>
      <c r="B39" s="2" t="s">
        <v>252</v>
      </c>
      <c r="C39" s="2" t="s">
        <v>2186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42740223.39995911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42740223.39995911</v>
      </c>
      <c r="Y39" s="6" t="s">
        <v>1195</v>
      </c>
      <c r="Z39" s="6" t="s">
        <v>1195</v>
      </c>
      <c r="AA39" s="2">
        <f>AA38</f>
        <v>42863023.860772096</v>
      </c>
      <c r="AB39" s="2">
        <v>0</v>
      </c>
    </row>
    <row r="40" spans="1:28">
      <c r="A40" s="2">
        <v>37</v>
      </c>
      <c r="B40" s="2" t="s">
        <v>256</v>
      </c>
      <c r="C40" s="2" t="s">
        <v>2186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2110</v>
      </c>
      <c r="J40" s="2" t="s">
        <v>152</v>
      </c>
      <c r="K40" s="2">
        <f t="shared" si="10"/>
        <v>42740223.39995911</v>
      </c>
      <c r="L40" s="2" t="s">
        <v>1557</v>
      </c>
      <c r="M40" s="2" t="s">
        <v>1558</v>
      </c>
      <c r="N40" s="2" t="s">
        <v>1559</v>
      </c>
      <c r="O40" s="2">
        <v>1800</v>
      </c>
      <c r="P40" s="2">
        <v>275.91717529296881</v>
      </c>
      <c r="Q40" s="2">
        <v>280.866943359375</v>
      </c>
      <c r="R40" s="2">
        <f>O40*P40</f>
        <v>496650.91552734387</v>
      </c>
      <c r="S40" s="2">
        <f>O40*Q40</f>
        <v>505560.498046875</v>
      </c>
      <c r="T40" s="2">
        <f>R40+S40</f>
        <v>1002211.4135742189</v>
      </c>
      <c r="U40" s="2">
        <f>ROUND(T40*0.0005, 2)</f>
        <v>501.11</v>
      </c>
      <c r="V40" s="2">
        <f>S40-R40</f>
        <v>8909.5825195311336</v>
      </c>
      <c r="W40" s="2">
        <f>V40-U40</f>
        <v>8408.472519531133</v>
      </c>
      <c r="X40" s="2">
        <f>K40+W40</f>
        <v>42748631.872478642</v>
      </c>
      <c r="Y40" s="2">
        <f>ROUND(0.2*R40, 2)</f>
        <v>99330.18</v>
      </c>
      <c r="Z40" s="2">
        <f>ROUND((W40/Y40)*100, 2)</f>
        <v>8.4700000000000006</v>
      </c>
      <c r="AA40" s="2">
        <f>MAX(AA39, X40)</f>
        <v>42863023.860772096</v>
      </c>
      <c r="AB40" s="2">
        <f>X40-AA40</f>
        <v>-114391.98829345405</v>
      </c>
    </row>
    <row r="41" spans="1:28">
      <c r="A41" s="2">
        <v>38</v>
      </c>
      <c r="B41" s="2" t="s">
        <v>259</v>
      </c>
      <c r="C41" s="2" t="s">
        <v>2186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1753</v>
      </c>
      <c r="J41" s="2" t="s">
        <v>2111</v>
      </c>
      <c r="K41" s="2">
        <f t="shared" si="10"/>
        <v>42748631.872478642</v>
      </c>
      <c r="L41" s="2" t="s">
        <v>1557</v>
      </c>
      <c r="M41" s="2" t="s">
        <v>1543</v>
      </c>
      <c r="N41" s="2" t="s">
        <v>1582</v>
      </c>
      <c r="O41" s="2">
        <v>200</v>
      </c>
      <c r="P41" s="2">
        <v>4623.0517578125</v>
      </c>
      <c r="Q41" s="2">
        <v>5041.3056640625</v>
      </c>
      <c r="R41" s="2">
        <f>O41*P41</f>
        <v>924610.3515625</v>
      </c>
      <c r="S41" s="2">
        <f>O41*Q41</f>
        <v>1008261.1328125</v>
      </c>
      <c r="T41" s="2">
        <f>R41+S41</f>
        <v>1932871.484375</v>
      </c>
      <c r="U41" s="2">
        <f>ROUND(T41*0.0005, 2)</f>
        <v>966.44</v>
      </c>
      <c r="V41" s="2">
        <f>S41-R41</f>
        <v>83650.78125</v>
      </c>
      <c r="W41" s="2">
        <f>V41-U41</f>
        <v>82684.341249999998</v>
      </c>
      <c r="X41" s="2">
        <f>K41+W41</f>
        <v>42831316.213728644</v>
      </c>
      <c r="Y41" s="2">
        <f>ROUND(0.2*R41, 2)</f>
        <v>184922.07</v>
      </c>
      <c r="Z41" s="2">
        <f>ROUND((W41/Y41)*100, 2)</f>
        <v>44.71</v>
      </c>
      <c r="AA41" s="2">
        <f>MAX(AA40, X41)</f>
        <v>42863023.860772096</v>
      </c>
      <c r="AB41" s="2">
        <f>X41-AA41</f>
        <v>-31707.647043451667</v>
      </c>
    </row>
    <row r="42" spans="1:28">
      <c r="A42" s="2">
        <v>39</v>
      </c>
      <c r="B42" s="2" t="s">
        <v>265</v>
      </c>
      <c r="C42" s="2" t="s">
        <v>2186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42831316.213728644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42831316.213728644</v>
      </c>
      <c r="Y42" s="6" t="s">
        <v>1195</v>
      </c>
      <c r="Z42" s="6" t="s">
        <v>1195</v>
      </c>
      <c r="AA42" s="2">
        <f t="shared" ref="AA42:AA47" si="13">AA41</f>
        <v>42863023.860772096</v>
      </c>
      <c r="AB42" s="2">
        <v>0</v>
      </c>
    </row>
    <row r="43" spans="1:28">
      <c r="A43" s="2">
        <v>40</v>
      </c>
      <c r="B43" s="2" t="s">
        <v>269</v>
      </c>
      <c r="C43" s="2" t="s">
        <v>2186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42831316.213728644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42831316.213728644</v>
      </c>
      <c r="Y43" s="6" t="s">
        <v>1195</v>
      </c>
      <c r="Z43" s="6" t="s">
        <v>1195</v>
      </c>
      <c r="AA43" s="2">
        <f t="shared" si="13"/>
        <v>42863023.860772096</v>
      </c>
      <c r="AB43" s="2">
        <v>0</v>
      </c>
    </row>
    <row r="44" spans="1:28">
      <c r="A44" s="2">
        <v>41</v>
      </c>
      <c r="B44" s="2" t="s">
        <v>272</v>
      </c>
      <c r="C44" s="2" t="s">
        <v>2186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42831316.213728644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42831316.213728644</v>
      </c>
      <c r="Y44" s="6" t="s">
        <v>1195</v>
      </c>
      <c r="Z44" s="6" t="s">
        <v>1195</v>
      </c>
      <c r="AA44" s="2">
        <f t="shared" si="13"/>
        <v>42863023.860772096</v>
      </c>
      <c r="AB44" s="2">
        <v>0</v>
      </c>
    </row>
    <row r="45" spans="1:28">
      <c r="A45" s="2">
        <v>42</v>
      </c>
      <c r="B45" s="2" t="s">
        <v>275</v>
      </c>
      <c r="C45" s="2" t="s">
        <v>2186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42831316.213728644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42831316.213728644</v>
      </c>
      <c r="Y45" s="6" t="s">
        <v>1195</v>
      </c>
      <c r="Z45" s="6" t="s">
        <v>1195</v>
      </c>
      <c r="AA45" s="2">
        <f t="shared" si="13"/>
        <v>42863023.860772096</v>
      </c>
      <c r="AB45" s="2">
        <v>0</v>
      </c>
    </row>
    <row r="46" spans="1:28">
      <c r="A46" s="2">
        <v>43</v>
      </c>
      <c r="B46" s="2" t="s">
        <v>280</v>
      </c>
      <c r="C46" s="2" t="s">
        <v>2186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42831316.213728644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42831316.213728644</v>
      </c>
      <c r="Y46" s="6" t="s">
        <v>1195</v>
      </c>
      <c r="Z46" s="6" t="s">
        <v>1195</v>
      </c>
      <c r="AA46" s="2">
        <f t="shared" si="13"/>
        <v>42863023.860772096</v>
      </c>
      <c r="AB46" s="2">
        <v>0</v>
      </c>
    </row>
    <row r="47" spans="1:28">
      <c r="A47" s="2">
        <v>44</v>
      </c>
      <c r="B47" s="2" t="s">
        <v>284</v>
      </c>
      <c r="C47" s="2" t="s">
        <v>2186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42831316.213728644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42831316.213728644</v>
      </c>
      <c r="Y47" s="6" t="s">
        <v>1195</v>
      </c>
      <c r="Z47" s="6" t="s">
        <v>1195</v>
      </c>
      <c r="AA47" s="2">
        <f t="shared" si="13"/>
        <v>42863023.860772096</v>
      </c>
      <c r="AB47" s="2">
        <v>0</v>
      </c>
    </row>
    <row r="48" spans="1:28">
      <c r="A48" s="2">
        <v>45</v>
      </c>
      <c r="B48" s="2" t="s">
        <v>291</v>
      </c>
      <c r="C48" s="2" t="s">
        <v>2186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1490</v>
      </c>
      <c r="J48" s="2" t="s">
        <v>2112</v>
      </c>
      <c r="K48" s="2">
        <f t="shared" si="10"/>
        <v>42831316.213728644</v>
      </c>
      <c r="L48" s="2" t="s">
        <v>1566</v>
      </c>
      <c r="M48" s="2" t="s">
        <v>1545</v>
      </c>
      <c r="N48" s="2" t="s">
        <v>2113</v>
      </c>
      <c r="O48" s="2">
        <v>650</v>
      </c>
      <c r="P48" s="2">
        <v>1359.866821289062</v>
      </c>
      <c r="Q48" s="2">
        <v>1345.967163085938</v>
      </c>
      <c r="R48" s="2">
        <f>O48*P48</f>
        <v>883913.43383789028</v>
      </c>
      <c r="S48" s="2">
        <f>O48*Q48</f>
        <v>874878.65600585972</v>
      </c>
      <c r="T48" s="2">
        <f>R48+S48</f>
        <v>1758792.08984375</v>
      </c>
      <c r="U48" s="2">
        <f>ROUND(T48*0.0005, 2)</f>
        <v>879.4</v>
      </c>
      <c r="V48" s="2">
        <f>S48-R48</f>
        <v>-9034.7778320305515</v>
      </c>
      <c r="W48" s="2">
        <f>V48-U48</f>
        <v>-9914.1778320305511</v>
      </c>
      <c r="X48" s="2">
        <f>K48+W48</f>
        <v>42821402.035896614</v>
      </c>
      <c r="Y48" s="2">
        <f>ROUND(0.2*R48, 2)</f>
        <v>176782.69</v>
      </c>
      <c r="Z48" s="2">
        <f>ROUND((W48/Y48)*100, 2)</f>
        <v>-5.61</v>
      </c>
      <c r="AA48" s="2">
        <f>MAX(AA47, X48)</f>
        <v>42863023.860772096</v>
      </c>
      <c r="AB48" s="2">
        <f>X48-AA48</f>
        <v>-41621.824875481427</v>
      </c>
    </row>
    <row r="49" spans="1:28">
      <c r="A49" s="2">
        <v>46</v>
      </c>
      <c r="B49" s="2" t="s">
        <v>295</v>
      </c>
      <c r="C49" s="2" t="s">
        <v>2186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2114</v>
      </c>
      <c r="J49" s="2" t="s">
        <v>2115</v>
      </c>
      <c r="K49" s="2">
        <f t="shared" si="10"/>
        <v>42821402.035896614</v>
      </c>
      <c r="L49" s="2" t="s">
        <v>1580</v>
      </c>
      <c r="M49" s="2" t="s">
        <v>1581</v>
      </c>
      <c r="N49" s="2" t="s">
        <v>1299</v>
      </c>
      <c r="O49" s="2">
        <v>2100</v>
      </c>
      <c r="P49" s="2">
        <v>389.44833374023437</v>
      </c>
      <c r="Q49" s="2">
        <v>404.96646118164062</v>
      </c>
      <c r="R49" s="2">
        <f>O49*P49</f>
        <v>817841.50085449219</v>
      </c>
      <c r="S49" s="2">
        <f>O49*Q49</f>
        <v>850429.56848144531</v>
      </c>
      <c r="T49" s="2">
        <f>R49+S49</f>
        <v>1668271.0693359375</v>
      </c>
      <c r="U49" s="2">
        <f>ROUND(T49*0.0005, 2)</f>
        <v>834.14</v>
      </c>
      <c r="V49" s="2">
        <f>S49-R49</f>
        <v>32588.067626953125</v>
      </c>
      <c r="W49" s="2">
        <f>V49-U49</f>
        <v>31753.927626953126</v>
      </c>
      <c r="X49" s="2">
        <f>K49+W49</f>
        <v>42853155.963523567</v>
      </c>
      <c r="Y49" s="2">
        <f>ROUND(0.2*R49, 2)</f>
        <v>163568.29999999999</v>
      </c>
      <c r="Z49" s="2">
        <f>ROUND((W49/Y49)*100, 2)</f>
        <v>19.41</v>
      </c>
      <c r="AA49" s="2">
        <f>MAX(AA48, X49)</f>
        <v>42863023.860772096</v>
      </c>
      <c r="AB49" s="2">
        <f>X49-AA49</f>
        <v>-9867.8972485288978</v>
      </c>
    </row>
    <row r="50" spans="1:28">
      <c r="A50" s="2">
        <v>47</v>
      </c>
      <c r="B50" s="2" t="s">
        <v>299</v>
      </c>
      <c r="C50" s="2" t="s">
        <v>2186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42853155.963523567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42853155.963523567</v>
      </c>
      <c r="Y50" s="6" t="s">
        <v>1195</v>
      </c>
      <c r="Z50" s="6" t="s">
        <v>1195</v>
      </c>
      <c r="AA50" s="2">
        <f t="shared" ref="AA50:AA61" si="15">AA49</f>
        <v>42863023.860772096</v>
      </c>
      <c r="AB50" s="2">
        <v>0</v>
      </c>
    </row>
    <row r="51" spans="1:28">
      <c r="A51" s="2">
        <v>48</v>
      </c>
      <c r="B51" s="2" t="s">
        <v>303</v>
      </c>
      <c r="C51" s="2" t="s">
        <v>2186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42853155.963523567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42853155.963523567</v>
      </c>
      <c r="Y51" s="6" t="s">
        <v>1195</v>
      </c>
      <c r="Z51" s="6" t="s">
        <v>1195</v>
      </c>
      <c r="AA51" s="2">
        <f t="shared" si="15"/>
        <v>42863023.860772096</v>
      </c>
      <c r="AB51" s="2">
        <v>0</v>
      </c>
    </row>
    <row r="52" spans="1:28">
      <c r="A52" s="2">
        <v>49</v>
      </c>
      <c r="B52" s="2" t="s">
        <v>307</v>
      </c>
      <c r="C52" s="2" t="s">
        <v>2186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42853155.963523567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42853155.963523567</v>
      </c>
      <c r="Y52" s="6" t="s">
        <v>1195</v>
      </c>
      <c r="Z52" s="6" t="s">
        <v>1195</v>
      </c>
      <c r="AA52" s="2">
        <f t="shared" si="15"/>
        <v>42863023.860772096</v>
      </c>
      <c r="AB52" s="2">
        <v>0</v>
      </c>
    </row>
    <row r="53" spans="1:28">
      <c r="A53" s="2">
        <v>50</v>
      </c>
      <c r="B53" s="2" t="s">
        <v>311</v>
      </c>
      <c r="C53" s="2" t="s">
        <v>2186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42853155.963523567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42853155.963523567</v>
      </c>
      <c r="Y53" s="6" t="s">
        <v>1195</v>
      </c>
      <c r="Z53" s="6" t="s">
        <v>1195</v>
      </c>
      <c r="AA53" s="2">
        <f t="shared" si="15"/>
        <v>42863023.860772096</v>
      </c>
      <c r="AB53" s="2">
        <v>0</v>
      </c>
    </row>
    <row r="54" spans="1:28">
      <c r="A54" s="2">
        <v>51</v>
      </c>
      <c r="B54" s="2" t="s">
        <v>315</v>
      </c>
      <c r="C54" s="2" t="s">
        <v>2186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42853155.963523567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42853155.963523567</v>
      </c>
      <c r="Y54" s="6" t="s">
        <v>1195</v>
      </c>
      <c r="Z54" s="6" t="s">
        <v>1195</v>
      </c>
      <c r="AA54" s="2">
        <f t="shared" si="15"/>
        <v>42863023.860772096</v>
      </c>
      <c r="AB54" s="2">
        <v>0</v>
      </c>
    </row>
    <row r="55" spans="1:28">
      <c r="A55" s="2">
        <v>52</v>
      </c>
      <c r="B55" s="2" t="s">
        <v>318</v>
      </c>
      <c r="C55" s="2" t="s">
        <v>2186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42853155.963523567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42853155.963523567</v>
      </c>
      <c r="Y55" s="6" t="s">
        <v>1195</v>
      </c>
      <c r="Z55" s="6" t="s">
        <v>1195</v>
      </c>
      <c r="AA55" s="2">
        <f t="shared" si="15"/>
        <v>42863023.860772096</v>
      </c>
      <c r="AB55" s="2">
        <v>0</v>
      </c>
    </row>
    <row r="56" spans="1:28">
      <c r="A56" s="2">
        <v>53</v>
      </c>
      <c r="B56" s="2" t="s">
        <v>322</v>
      </c>
      <c r="C56" s="2" t="s">
        <v>2186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42853155.963523567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42853155.963523567</v>
      </c>
      <c r="Y56" s="6" t="s">
        <v>1195</v>
      </c>
      <c r="Z56" s="6" t="s">
        <v>1195</v>
      </c>
      <c r="AA56" s="2">
        <f t="shared" si="15"/>
        <v>42863023.860772096</v>
      </c>
      <c r="AB56" s="2">
        <v>0</v>
      </c>
    </row>
    <row r="57" spans="1:28">
      <c r="A57" s="2">
        <v>54</v>
      </c>
      <c r="B57" s="2" t="s">
        <v>324</v>
      </c>
      <c r="C57" s="2" t="s">
        <v>2186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42853155.963523567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42853155.963523567</v>
      </c>
      <c r="Y57" s="6" t="s">
        <v>1195</v>
      </c>
      <c r="Z57" s="6" t="s">
        <v>1195</v>
      </c>
      <c r="AA57" s="2">
        <f t="shared" si="15"/>
        <v>42863023.860772096</v>
      </c>
      <c r="AB57" s="2">
        <v>0</v>
      </c>
    </row>
    <row r="58" spans="1:28">
      <c r="A58" s="2">
        <v>55</v>
      </c>
      <c r="B58" s="2" t="s">
        <v>328</v>
      </c>
      <c r="C58" s="2" t="s">
        <v>2186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42853155.963523567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42853155.963523567</v>
      </c>
      <c r="Y58" s="6" t="s">
        <v>1195</v>
      </c>
      <c r="Z58" s="6" t="s">
        <v>1195</v>
      </c>
      <c r="AA58" s="2">
        <f t="shared" si="15"/>
        <v>42863023.860772096</v>
      </c>
      <c r="AB58" s="2">
        <v>0</v>
      </c>
    </row>
    <row r="59" spans="1:28">
      <c r="A59" s="2">
        <v>56</v>
      </c>
      <c r="B59" s="2" t="s">
        <v>332</v>
      </c>
      <c r="C59" s="2" t="s">
        <v>2186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42853155.963523567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42853155.963523567</v>
      </c>
      <c r="Y59" s="6" t="s">
        <v>1195</v>
      </c>
      <c r="Z59" s="6" t="s">
        <v>1195</v>
      </c>
      <c r="AA59" s="2">
        <f t="shared" si="15"/>
        <v>42863023.860772096</v>
      </c>
      <c r="AB59" s="2">
        <v>0</v>
      </c>
    </row>
    <row r="60" spans="1:28">
      <c r="A60" s="2">
        <v>57</v>
      </c>
      <c r="B60" s="2" t="s">
        <v>337</v>
      </c>
      <c r="C60" s="2" t="s">
        <v>2186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42853155.963523567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42853155.963523567</v>
      </c>
      <c r="Y60" s="6" t="s">
        <v>1195</v>
      </c>
      <c r="Z60" s="6" t="s">
        <v>1195</v>
      </c>
      <c r="AA60" s="2">
        <f t="shared" si="15"/>
        <v>42863023.860772096</v>
      </c>
      <c r="AB60" s="2">
        <v>0</v>
      </c>
    </row>
    <row r="61" spans="1:28">
      <c r="A61" s="2">
        <v>58</v>
      </c>
      <c r="B61" s="2" t="s">
        <v>341</v>
      </c>
      <c r="C61" s="2" t="s">
        <v>2186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42853155.963523567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42853155.963523567</v>
      </c>
      <c r="Y61" s="6" t="s">
        <v>1195</v>
      </c>
      <c r="Z61" s="6" t="s">
        <v>1195</v>
      </c>
      <c r="AA61" s="2">
        <f t="shared" si="15"/>
        <v>42863023.860772096</v>
      </c>
      <c r="AB61" s="2">
        <v>0</v>
      </c>
    </row>
    <row r="62" spans="1:28">
      <c r="A62" s="2">
        <v>59</v>
      </c>
      <c r="B62" s="2" t="s">
        <v>347</v>
      </c>
      <c r="C62" s="2" t="s">
        <v>2186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250</v>
      </c>
      <c r="J62" s="2" t="s">
        <v>2116</v>
      </c>
      <c r="K62" s="2">
        <f t="shared" si="10"/>
        <v>42853155.963523567</v>
      </c>
      <c r="L62" s="2" t="s">
        <v>1467</v>
      </c>
      <c r="M62" s="2" t="s">
        <v>1565</v>
      </c>
      <c r="N62" s="2" t="s">
        <v>1543</v>
      </c>
      <c r="O62" s="2">
        <v>125</v>
      </c>
      <c r="P62" s="2">
        <v>1153.8681640625</v>
      </c>
      <c r="Q62" s="2">
        <v>1227.44091796875</v>
      </c>
      <c r="R62" s="2">
        <f>O62*P62</f>
        <v>144233.5205078125</v>
      </c>
      <c r="S62" s="2">
        <f>O62*Q62</f>
        <v>153430.11474609375</v>
      </c>
      <c r="T62" s="2">
        <f>R62+S62</f>
        <v>297663.63525390625</v>
      </c>
      <c r="U62" s="2">
        <f>ROUND(T62*0.0005, 2)</f>
        <v>148.83000000000001</v>
      </c>
      <c r="V62" s="2">
        <f>S62-R62</f>
        <v>9196.59423828125</v>
      </c>
      <c r="W62" s="2">
        <f>V62-U62</f>
        <v>9047.7642382812501</v>
      </c>
      <c r="X62" s="2">
        <f>K62+W62</f>
        <v>42862203.72776185</v>
      </c>
      <c r="Y62" s="2">
        <f>ROUND(0.2*R62, 2)</f>
        <v>28846.7</v>
      </c>
      <c r="Z62" s="2">
        <f>ROUND((W62/Y62)*100, 2)</f>
        <v>31.36</v>
      </c>
      <c r="AA62" s="2">
        <f>MAX(AA61, X62)</f>
        <v>42863023.860772096</v>
      </c>
      <c r="AB62" s="2">
        <f>X62-AA62</f>
        <v>-820.13301024585962</v>
      </c>
    </row>
    <row r="63" spans="1:28">
      <c r="A63" s="2">
        <v>60</v>
      </c>
      <c r="B63" s="2" t="s">
        <v>351</v>
      </c>
      <c r="C63" s="2" t="s">
        <v>2186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276</v>
      </c>
      <c r="J63" s="2" t="s">
        <v>261</v>
      </c>
      <c r="K63" s="2">
        <f t="shared" si="10"/>
        <v>42862203.72776185</v>
      </c>
      <c r="L63" s="2" t="s">
        <v>1591</v>
      </c>
      <c r="M63" s="2" t="s">
        <v>1555</v>
      </c>
      <c r="N63" s="2" t="s">
        <v>2113</v>
      </c>
      <c r="O63" s="2">
        <v>175</v>
      </c>
      <c r="P63" s="2">
        <v>4488.81494140625</v>
      </c>
      <c r="Q63" s="2">
        <v>4618.81982421875</v>
      </c>
      <c r="R63" s="2">
        <f>O63*P63</f>
        <v>785542.61474609375</v>
      </c>
      <c r="S63" s="2">
        <f>O63*Q63</f>
        <v>808293.46923828125</v>
      </c>
      <c r="T63" s="2">
        <f>R63+S63</f>
        <v>1593836.083984375</v>
      </c>
      <c r="U63" s="2">
        <f>ROUND(T63*0.0005, 2)</f>
        <v>796.92</v>
      </c>
      <c r="V63" s="2">
        <f>S63-R63</f>
        <v>22750.8544921875</v>
      </c>
      <c r="W63" s="2">
        <f>V63-U63</f>
        <v>21953.934492187502</v>
      </c>
      <c r="X63" s="2">
        <f>K63+W63</f>
        <v>42884157.662254035</v>
      </c>
      <c r="Y63" s="2">
        <f>ROUND(0.2*R63, 2)</f>
        <v>157108.51999999999</v>
      </c>
      <c r="Z63" s="2">
        <f>ROUND((W63/Y63)*100, 2)</f>
        <v>13.97</v>
      </c>
      <c r="AA63" s="2">
        <f>MAX(AA62, X63)</f>
        <v>42884157.662254035</v>
      </c>
      <c r="AB63" s="2">
        <f>X63-AA63</f>
        <v>0</v>
      </c>
    </row>
    <row r="64" spans="1:28">
      <c r="A64" s="2">
        <v>61</v>
      </c>
      <c r="B64" s="2" t="s">
        <v>355</v>
      </c>
      <c r="C64" s="2" t="s">
        <v>2186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1418</v>
      </c>
      <c r="J64" s="2" t="s">
        <v>620</v>
      </c>
      <c r="K64" s="2">
        <f t="shared" si="10"/>
        <v>42884157.662254035</v>
      </c>
      <c r="L64" s="2" t="s">
        <v>2197</v>
      </c>
      <c r="M64" s="2" t="s">
        <v>2198</v>
      </c>
      <c r="N64" s="2" t="s">
        <v>2199</v>
      </c>
      <c r="O64" s="2">
        <v>3399</v>
      </c>
      <c r="P64" s="2">
        <v>63.349998474121087</v>
      </c>
      <c r="Q64" s="2">
        <v>67.300003051757813</v>
      </c>
      <c r="R64" s="2">
        <f>O64*P64</f>
        <v>215326.64481353757</v>
      </c>
      <c r="S64" s="2">
        <f>O64*Q64</f>
        <v>228752.7103729248</v>
      </c>
      <c r="T64" s="2">
        <f>R64+S64</f>
        <v>444079.3551864624</v>
      </c>
      <c r="U64" s="2">
        <f>ROUND(T64*0.0005, 2)</f>
        <v>222.04</v>
      </c>
      <c r="V64" s="2">
        <f>S64-R64</f>
        <v>13426.065559387236</v>
      </c>
      <c r="W64" s="2">
        <f>V64-U64</f>
        <v>13204.025559387235</v>
      </c>
      <c r="X64" s="2">
        <f>K64+W64</f>
        <v>42897361.687813424</v>
      </c>
      <c r="Y64" s="2">
        <f>ROUND(0.2*R64, 2)</f>
        <v>43065.33</v>
      </c>
      <c r="Z64" s="2">
        <f>ROUND((W64/Y64)*100, 2)</f>
        <v>30.66</v>
      </c>
      <c r="AA64" s="2">
        <f>MAX(AA63, X64)</f>
        <v>42897361.687813424</v>
      </c>
      <c r="AB64" s="2">
        <f>X64-AA64</f>
        <v>0</v>
      </c>
    </row>
    <row r="65" spans="1:28">
      <c r="A65" s="2">
        <v>62</v>
      </c>
      <c r="B65" s="2" t="s">
        <v>360</v>
      </c>
      <c r="C65" s="2" t="s">
        <v>2186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42897361.687813424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42897361.687813424</v>
      </c>
      <c r="Y65" s="6" t="s">
        <v>1195</v>
      </c>
      <c r="Z65" s="6" t="s">
        <v>1195</v>
      </c>
      <c r="AA65" s="2">
        <f>AA64</f>
        <v>42897361.687813424</v>
      </c>
      <c r="AB65" s="2">
        <v>0</v>
      </c>
    </row>
    <row r="66" spans="1:28">
      <c r="A66" s="2">
        <v>63</v>
      </c>
      <c r="B66" s="2" t="s">
        <v>364</v>
      </c>
      <c r="C66" s="2" t="s">
        <v>2186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1310</v>
      </c>
      <c r="J66" s="2" t="s">
        <v>648</v>
      </c>
      <c r="K66" s="2">
        <f t="shared" si="10"/>
        <v>42897361.687813424</v>
      </c>
      <c r="L66" s="2" t="s">
        <v>2061</v>
      </c>
      <c r="M66" s="2" t="s">
        <v>2200</v>
      </c>
      <c r="N66" s="2" t="s">
        <v>2201</v>
      </c>
      <c r="O66" s="2">
        <v>100</v>
      </c>
      <c r="P66" s="2">
        <v>17468.43359375</v>
      </c>
      <c r="Q66" s="2">
        <v>17631.076171875</v>
      </c>
      <c r="R66" s="2">
        <f>O66*P66</f>
        <v>1746843.359375</v>
      </c>
      <c r="S66" s="2">
        <f>O66*Q66</f>
        <v>1763107.6171875</v>
      </c>
      <c r="T66" s="2">
        <f>R66+S66</f>
        <v>3509950.9765625</v>
      </c>
      <c r="U66" s="2">
        <f>ROUND(T66*0.0005, 2)</f>
        <v>1754.98</v>
      </c>
      <c r="V66" s="2">
        <f>S66-R66</f>
        <v>16264.2578125</v>
      </c>
      <c r="W66" s="2">
        <f>V66-U66</f>
        <v>14509.2778125</v>
      </c>
      <c r="X66" s="2">
        <f>K66+W66</f>
        <v>42911870.965625927</v>
      </c>
      <c r="Y66" s="2">
        <f>ROUND(0.2*R66, 2)</f>
        <v>349368.67</v>
      </c>
      <c r="Z66" s="2">
        <f>ROUND((W66/Y66)*100, 2)</f>
        <v>4.1500000000000004</v>
      </c>
      <c r="AA66" s="2">
        <f>MAX(AA65, X66)</f>
        <v>42911870.965625927</v>
      </c>
      <c r="AB66" s="2">
        <f>X66-AA66</f>
        <v>0</v>
      </c>
    </row>
    <row r="67" spans="1:28">
      <c r="A67" s="2">
        <v>64</v>
      </c>
      <c r="B67" s="2" t="s">
        <v>369</v>
      </c>
      <c r="C67" s="2" t="s">
        <v>2186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42911870.965625927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42911870.965625927</v>
      </c>
      <c r="Y67" s="6" t="s">
        <v>1195</v>
      </c>
      <c r="Z67" s="6" t="s">
        <v>1195</v>
      </c>
      <c r="AA67" s="2">
        <f t="shared" ref="AA67:AA73" si="17">AA66</f>
        <v>42911870.965625927</v>
      </c>
      <c r="AB67" s="2">
        <v>0</v>
      </c>
    </row>
    <row r="68" spans="1:28">
      <c r="A68" s="2">
        <v>65</v>
      </c>
      <c r="B68" s="2" t="s">
        <v>372</v>
      </c>
      <c r="C68" s="2" t="s">
        <v>2186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42911870.965625927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42911870.965625927</v>
      </c>
      <c r="Y68" s="6" t="s">
        <v>1195</v>
      </c>
      <c r="Z68" s="6" t="s">
        <v>1195</v>
      </c>
      <c r="AA68" s="2">
        <f t="shared" si="17"/>
        <v>42911870.965625927</v>
      </c>
      <c r="AB68" s="2">
        <v>0</v>
      </c>
    </row>
    <row r="69" spans="1:28">
      <c r="A69" s="2">
        <v>66</v>
      </c>
      <c r="B69" s="2" t="s">
        <v>376</v>
      </c>
      <c r="C69" s="2" t="s">
        <v>2186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42911870.965625927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42911870.965625927</v>
      </c>
      <c r="Y69" s="6" t="s">
        <v>1195</v>
      </c>
      <c r="Z69" s="6" t="s">
        <v>1195</v>
      </c>
      <c r="AA69" s="2">
        <f t="shared" si="17"/>
        <v>42911870.965625927</v>
      </c>
      <c r="AB69" s="2">
        <v>0</v>
      </c>
    </row>
    <row r="70" spans="1:28">
      <c r="A70" s="2">
        <v>67</v>
      </c>
      <c r="B70" s="2" t="s">
        <v>381</v>
      </c>
      <c r="C70" s="2" t="s">
        <v>2186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42911870.965625927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42911870.965625927</v>
      </c>
      <c r="Y70" s="6" t="s">
        <v>1195</v>
      </c>
      <c r="Z70" s="6" t="s">
        <v>1195</v>
      </c>
      <c r="AA70" s="2">
        <f t="shared" si="17"/>
        <v>42911870.965625927</v>
      </c>
      <c r="AB70" s="2">
        <v>0</v>
      </c>
    </row>
    <row r="71" spans="1:28">
      <c r="A71" s="2">
        <v>68</v>
      </c>
      <c r="B71" s="2" t="s">
        <v>385</v>
      </c>
      <c r="C71" s="2" t="s">
        <v>2186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42911870.965625927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42911870.965625927</v>
      </c>
      <c r="Y71" s="6" t="s">
        <v>1195</v>
      </c>
      <c r="Z71" s="6" t="s">
        <v>1195</v>
      </c>
      <c r="AA71" s="2">
        <f t="shared" si="17"/>
        <v>42911870.965625927</v>
      </c>
      <c r="AB71" s="2">
        <v>0</v>
      </c>
    </row>
    <row r="72" spans="1:28">
      <c r="A72" s="2">
        <v>69</v>
      </c>
      <c r="B72" s="2" t="s">
        <v>390</v>
      </c>
      <c r="C72" s="2" t="s">
        <v>2186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42911870.965625927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42911870.965625927</v>
      </c>
      <c r="Y72" s="6" t="s">
        <v>1195</v>
      </c>
      <c r="Z72" s="6" t="s">
        <v>1195</v>
      </c>
      <c r="AA72" s="2">
        <f t="shared" si="17"/>
        <v>42911870.965625927</v>
      </c>
      <c r="AB72" s="2">
        <v>0</v>
      </c>
    </row>
    <row r="73" spans="1:28">
      <c r="A73" s="2">
        <v>70</v>
      </c>
      <c r="B73" s="2" t="s">
        <v>393</v>
      </c>
      <c r="C73" s="2" t="s">
        <v>2186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42911870.965625927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42911870.965625927</v>
      </c>
      <c r="Y73" s="6" t="s">
        <v>1195</v>
      </c>
      <c r="Z73" s="6" t="s">
        <v>1195</v>
      </c>
      <c r="AA73" s="2">
        <f t="shared" si="17"/>
        <v>42911870.965625927</v>
      </c>
      <c r="AB73" s="2">
        <v>0</v>
      </c>
    </row>
    <row r="74" spans="1:28">
      <c r="A74" s="2">
        <v>71</v>
      </c>
      <c r="B74" s="2" t="s">
        <v>397</v>
      </c>
      <c r="C74" s="2" t="s">
        <v>2186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896</v>
      </c>
      <c r="J74" s="2" t="s">
        <v>2125</v>
      </c>
      <c r="K74" s="2">
        <f t="shared" si="18"/>
        <v>42911870.965625927</v>
      </c>
      <c r="L74" s="2" t="s">
        <v>1545</v>
      </c>
      <c r="M74" s="2" t="s">
        <v>1573</v>
      </c>
      <c r="N74" s="2" t="s">
        <v>1539</v>
      </c>
      <c r="O74" s="2">
        <v>250</v>
      </c>
      <c r="P74" s="2">
        <v>2327.754150390625</v>
      </c>
      <c r="Q74" s="2">
        <v>2405.62060546875</v>
      </c>
      <c r="R74" s="2">
        <f>O74*P74</f>
        <v>581938.53759765625</v>
      </c>
      <c r="S74" s="2">
        <f>O74*Q74</f>
        <v>601405.1513671875</v>
      </c>
      <c r="T74" s="2">
        <f>R74+S74</f>
        <v>1183343.6889648438</v>
      </c>
      <c r="U74" s="2">
        <f>ROUND(T74*0.0005, 2)</f>
        <v>591.66999999999996</v>
      </c>
      <c r="V74" s="2">
        <f>S74-R74</f>
        <v>19466.61376953125</v>
      </c>
      <c r="W74" s="2">
        <f>V74-U74</f>
        <v>18874.943769531252</v>
      </c>
      <c r="X74" s="2">
        <f>K74+W74</f>
        <v>42930745.909395456</v>
      </c>
      <c r="Y74" s="2">
        <f>ROUND(0.2*R74, 2)</f>
        <v>116387.71</v>
      </c>
      <c r="Z74" s="2">
        <f>ROUND((W74/Y74)*100, 2)</f>
        <v>16.22</v>
      </c>
      <c r="AA74" s="2">
        <f>MAX(AA73, X74)</f>
        <v>42930745.909395456</v>
      </c>
      <c r="AB74" s="2">
        <f>X74-AA74</f>
        <v>0</v>
      </c>
    </row>
    <row r="75" spans="1:28">
      <c r="A75" s="2">
        <v>72</v>
      </c>
      <c r="B75" s="2" t="s">
        <v>403</v>
      </c>
      <c r="C75" s="2" t="s">
        <v>2186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42930745.909395456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42930745.909395456</v>
      </c>
      <c r="Y75" s="6" t="s">
        <v>1195</v>
      </c>
      <c r="Z75" s="6" t="s">
        <v>1195</v>
      </c>
      <c r="AA75" s="2">
        <f>AA74</f>
        <v>42930745.909395456</v>
      </c>
      <c r="AB75" s="2">
        <v>0</v>
      </c>
    </row>
    <row r="76" spans="1:28">
      <c r="A76" s="2">
        <v>73</v>
      </c>
      <c r="B76" s="2" t="s">
        <v>406</v>
      </c>
      <c r="C76" s="2" t="s">
        <v>2186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42930745.909395456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42930745.909395456</v>
      </c>
      <c r="Y76" s="6" t="s">
        <v>1195</v>
      </c>
      <c r="Z76" s="6" t="s">
        <v>1195</v>
      </c>
      <c r="AA76" s="2">
        <f>AA75</f>
        <v>42930745.909395456</v>
      </c>
      <c r="AB76" s="2">
        <v>0</v>
      </c>
    </row>
    <row r="77" spans="1:28">
      <c r="A77" s="2">
        <v>74</v>
      </c>
      <c r="B77" s="2" t="s">
        <v>410</v>
      </c>
      <c r="C77" s="2" t="s">
        <v>2186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42930745.909395456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42930745.909395456</v>
      </c>
      <c r="Y77" s="6" t="s">
        <v>1195</v>
      </c>
      <c r="Z77" s="6" t="s">
        <v>1195</v>
      </c>
      <c r="AA77" s="2">
        <f>AA76</f>
        <v>42930745.909395456</v>
      </c>
      <c r="AB77" s="2">
        <v>0</v>
      </c>
    </row>
    <row r="78" spans="1:28">
      <c r="A78" s="2">
        <v>75</v>
      </c>
      <c r="B78" s="2" t="s">
        <v>414</v>
      </c>
      <c r="C78" s="2" t="s">
        <v>2186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2126</v>
      </c>
      <c r="J78" s="2" t="s">
        <v>2127</v>
      </c>
      <c r="K78" s="2">
        <f t="shared" si="18"/>
        <v>42930745.909395456</v>
      </c>
      <c r="L78" s="2" t="s">
        <v>1580</v>
      </c>
      <c r="M78" s="2" t="s">
        <v>1557</v>
      </c>
      <c r="N78" s="2" t="s">
        <v>1467</v>
      </c>
      <c r="O78" s="2">
        <v>350</v>
      </c>
      <c r="P78" s="2">
        <v>1338.384765625</v>
      </c>
      <c r="Q78" s="2">
        <v>1230.786254882812</v>
      </c>
      <c r="R78" s="2">
        <f>O78*P78</f>
        <v>468434.66796875</v>
      </c>
      <c r="S78" s="2">
        <f>O78*Q78</f>
        <v>430775.1892089842</v>
      </c>
      <c r="T78" s="2">
        <f>R78+S78</f>
        <v>899209.85717773414</v>
      </c>
      <c r="U78" s="2">
        <f>ROUND(T78*0.0005, 2)</f>
        <v>449.6</v>
      </c>
      <c r="V78" s="2">
        <f>S78-R78</f>
        <v>-37659.4787597658</v>
      </c>
      <c r="W78" s="2">
        <f>V78-U78</f>
        <v>-38109.078759765798</v>
      </c>
      <c r="X78" s="2">
        <f>K78+W78</f>
        <v>42892636.830635689</v>
      </c>
      <c r="Y78" s="2">
        <f>ROUND(0.2*R78, 2)</f>
        <v>93686.93</v>
      </c>
      <c r="Z78" s="2">
        <f>ROUND((W78/Y78)*100, 2)</f>
        <v>-40.68</v>
      </c>
      <c r="AA78" s="2">
        <f>MAX(AA77, X78)</f>
        <v>42930745.909395456</v>
      </c>
      <c r="AB78" s="2">
        <f>X78-AA78</f>
        <v>-38109.078759767115</v>
      </c>
    </row>
    <row r="79" spans="1:28">
      <c r="A79" s="2">
        <v>76</v>
      </c>
      <c r="B79" s="2" t="s">
        <v>419</v>
      </c>
      <c r="C79" s="2" t="s">
        <v>2186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42892636.830635689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42892636.830635689</v>
      </c>
      <c r="Y79" s="6" t="s">
        <v>1195</v>
      </c>
      <c r="Z79" s="6" t="s">
        <v>1195</v>
      </c>
      <c r="AA79" s="2">
        <f>AA78</f>
        <v>42930745.909395456</v>
      </c>
      <c r="AB79" s="2">
        <v>0</v>
      </c>
    </row>
    <row r="80" spans="1:28">
      <c r="A80" s="2">
        <v>77</v>
      </c>
      <c r="B80" s="2" t="s">
        <v>423</v>
      </c>
      <c r="C80" s="2" t="s">
        <v>2186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2128</v>
      </c>
      <c r="J80" s="2" t="s">
        <v>2129</v>
      </c>
      <c r="K80" s="2">
        <f t="shared" si="18"/>
        <v>42892636.830635689</v>
      </c>
      <c r="L80" s="2" t="s">
        <v>1718</v>
      </c>
      <c r="M80" s="2" t="s">
        <v>1467</v>
      </c>
      <c r="N80" s="2" t="s">
        <v>1719</v>
      </c>
      <c r="O80" s="2">
        <v>550</v>
      </c>
      <c r="P80" s="2">
        <v>741.39495849609375</v>
      </c>
      <c r="Q80" s="2">
        <v>722.84271240234375</v>
      </c>
      <c r="R80" s="2">
        <f>O80*P80</f>
        <v>407767.22717285156</v>
      </c>
      <c r="S80" s="2">
        <f>O80*Q80</f>
        <v>397563.49182128906</v>
      </c>
      <c r="T80" s="2">
        <f>R80+S80</f>
        <v>805330.71899414063</v>
      </c>
      <c r="U80" s="2">
        <f>ROUND(T80*0.0005, 2)</f>
        <v>402.67</v>
      </c>
      <c r="V80" s="2">
        <f>S80-R80</f>
        <v>-10203.7353515625</v>
      </c>
      <c r="W80" s="2">
        <f>V80-U80</f>
        <v>-10606.4053515625</v>
      </c>
      <c r="X80" s="2">
        <f>K80+W80</f>
        <v>42882030.425284125</v>
      </c>
      <c r="Y80" s="2">
        <f>ROUND(0.2*R80, 2)</f>
        <v>81553.45</v>
      </c>
      <c r="Z80" s="2">
        <f>ROUND((W80/Y80)*100, 2)</f>
        <v>-13.01</v>
      </c>
      <c r="AA80" s="2">
        <f>MAX(AA79, X80)</f>
        <v>42930745.909395456</v>
      </c>
      <c r="AB80" s="2">
        <f>X80-AA80</f>
        <v>-48715.484111331403</v>
      </c>
    </row>
    <row r="81" spans="1:28">
      <c r="A81" s="2">
        <v>78</v>
      </c>
      <c r="B81" s="2" t="s">
        <v>428</v>
      </c>
      <c r="C81" s="2" t="s">
        <v>2186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247</v>
      </c>
      <c r="J81" s="2" t="s">
        <v>1325</v>
      </c>
      <c r="K81" s="2">
        <f t="shared" si="18"/>
        <v>42882030.425284125</v>
      </c>
      <c r="L81" s="2" t="s">
        <v>2202</v>
      </c>
      <c r="M81" s="2" t="s">
        <v>2203</v>
      </c>
      <c r="N81" s="2" t="s">
        <v>2204</v>
      </c>
      <c r="O81" s="2">
        <v>1100</v>
      </c>
      <c r="P81" s="2">
        <v>531.7396240234375</v>
      </c>
      <c r="Q81" s="2">
        <v>540.475341796875</v>
      </c>
      <c r="R81" s="2">
        <f>O81*P81</f>
        <v>584913.58642578125</v>
      </c>
      <c r="S81" s="2">
        <f>O81*Q81</f>
        <v>594522.8759765625</v>
      </c>
      <c r="T81" s="2">
        <f>R81+S81</f>
        <v>1179436.4624023438</v>
      </c>
      <c r="U81" s="2">
        <f>ROUND(T81*0.0005, 2)</f>
        <v>589.72</v>
      </c>
      <c r="V81" s="2">
        <f>S81-R81</f>
        <v>9609.28955078125</v>
      </c>
      <c r="W81" s="2">
        <f>V81-U81</f>
        <v>9019.5695507812507</v>
      </c>
      <c r="X81" s="2">
        <f>K81+W81</f>
        <v>42891049.994834907</v>
      </c>
      <c r="Y81" s="2">
        <f>ROUND(0.2*R81, 2)</f>
        <v>116982.72</v>
      </c>
      <c r="Z81" s="2">
        <f>ROUND((W81/Y81)*100, 2)</f>
        <v>7.71</v>
      </c>
      <c r="AA81" s="2">
        <f>MAX(AA80, X81)</f>
        <v>42930745.909395456</v>
      </c>
      <c r="AB81" s="2">
        <f>X81-AA81</f>
        <v>-39695.914560548961</v>
      </c>
    </row>
    <row r="82" spans="1:28">
      <c r="A82" s="2">
        <v>79</v>
      </c>
      <c r="B82" s="2" t="s">
        <v>433</v>
      </c>
      <c r="C82" s="2" t="s">
        <v>2186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2133</v>
      </c>
      <c r="J82" s="2" t="s">
        <v>908</v>
      </c>
      <c r="K82" s="2">
        <f t="shared" si="18"/>
        <v>42891049.994834907</v>
      </c>
      <c r="L82" s="2" t="s">
        <v>1581</v>
      </c>
      <c r="M82" s="2" t="s">
        <v>1603</v>
      </c>
      <c r="N82" s="2" t="s">
        <v>1566</v>
      </c>
      <c r="O82" s="2">
        <v>150</v>
      </c>
      <c r="P82" s="2">
        <v>4219.99658203125</v>
      </c>
      <c r="Q82" s="2">
        <v>4732.3662109375</v>
      </c>
      <c r="R82" s="2">
        <f>O82*P82</f>
        <v>632999.4873046875</v>
      </c>
      <c r="S82" s="2">
        <f>O82*Q82</f>
        <v>709854.931640625</v>
      </c>
      <c r="T82" s="2">
        <f>R82+S82</f>
        <v>1342854.4189453125</v>
      </c>
      <c r="U82" s="2">
        <f>ROUND(T82*0.0005, 2)</f>
        <v>671.43</v>
      </c>
      <c r="V82" s="2">
        <f>S82-R82</f>
        <v>76855.4443359375</v>
      </c>
      <c r="W82" s="2">
        <f>V82-U82</f>
        <v>76184.014335937507</v>
      </c>
      <c r="X82" s="2">
        <f>K82+W82</f>
        <v>42967234.009170845</v>
      </c>
      <c r="Y82" s="2">
        <f>ROUND(0.2*R82, 2)</f>
        <v>126599.9</v>
      </c>
      <c r="Z82" s="2">
        <f>ROUND((W82/Y82)*100, 2)</f>
        <v>60.18</v>
      </c>
      <c r="AA82" s="2">
        <f>MAX(AA81, X82)</f>
        <v>42967234.009170845</v>
      </c>
      <c r="AB82" s="2">
        <f>X82-AA82</f>
        <v>0</v>
      </c>
    </row>
    <row r="83" spans="1:28">
      <c r="A83" s="2">
        <v>80</v>
      </c>
      <c r="B83" s="2" t="s">
        <v>438</v>
      </c>
      <c r="C83" s="2" t="s">
        <v>2186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610</v>
      </c>
      <c r="J83" s="2" t="s">
        <v>313</v>
      </c>
      <c r="K83" s="2">
        <f t="shared" si="18"/>
        <v>42967234.009170845</v>
      </c>
      <c r="L83" s="2" t="s">
        <v>1568</v>
      </c>
      <c r="M83" s="2" t="s">
        <v>1540</v>
      </c>
      <c r="N83" s="2" t="s">
        <v>1544</v>
      </c>
      <c r="O83" s="2">
        <v>1400</v>
      </c>
      <c r="P83" s="2">
        <v>665.60736083984375</v>
      </c>
      <c r="Q83" s="2">
        <v>681.0728759765625</v>
      </c>
      <c r="R83" s="2">
        <f>O83*P83</f>
        <v>931850.30517578125</v>
      </c>
      <c r="S83" s="2">
        <f>O83*Q83</f>
        <v>953502.0263671875</v>
      </c>
      <c r="T83" s="2">
        <f>R83+S83</f>
        <v>1885352.3315429688</v>
      </c>
      <c r="U83" s="2">
        <f>ROUND(T83*0.0005, 2)</f>
        <v>942.68</v>
      </c>
      <c r="V83" s="2">
        <f>S83-R83</f>
        <v>21651.72119140625</v>
      </c>
      <c r="W83" s="2">
        <f>V83-U83</f>
        <v>20709.04119140625</v>
      </c>
      <c r="X83" s="2">
        <f>K83+W83</f>
        <v>42987943.050362252</v>
      </c>
      <c r="Y83" s="2">
        <f>ROUND(0.2*R83, 2)</f>
        <v>186370.06</v>
      </c>
      <c r="Z83" s="2">
        <f>ROUND((W83/Y83)*100, 2)</f>
        <v>11.11</v>
      </c>
      <c r="AA83" s="2">
        <f>MAX(AA82, X83)</f>
        <v>42987943.050362252</v>
      </c>
      <c r="AB83" s="2">
        <f>X83-AA83</f>
        <v>0</v>
      </c>
    </row>
    <row r="84" spans="1:28">
      <c r="A84" s="2">
        <v>81</v>
      </c>
      <c r="B84" s="2" t="s">
        <v>443</v>
      </c>
      <c r="C84" s="2" t="s">
        <v>2186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42987943.050362252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42987943.050362252</v>
      </c>
      <c r="Y84" s="6" t="s">
        <v>1195</v>
      </c>
      <c r="Z84" s="6" t="s">
        <v>1195</v>
      </c>
      <c r="AA84" s="2">
        <f>AA83</f>
        <v>42987943.050362252</v>
      </c>
      <c r="AB84" s="2">
        <v>0</v>
      </c>
    </row>
    <row r="85" spans="1:28">
      <c r="A85" s="2">
        <v>82</v>
      </c>
      <c r="B85" s="2" t="s">
        <v>447</v>
      </c>
      <c r="C85" s="2" t="s">
        <v>2186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2134</v>
      </c>
      <c r="J85" s="2" t="s">
        <v>1029</v>
      </c>
      <c r="K85" s="2">
        <f t="shared" si="18"/>
        <v>42987943.050362252</v>
      </c>
      <c r="L85" s="2" t="s">
        <v>1466</v>
      </c>
      <c r="M85" s="2" t="s">
        <v>1299</v>
      </c>
      <c r="N85" s="2" t="s">
        <v>1629</v>
      </c>
      <c r="O85" s="2">
        <v>300</v>
      </c>
      <c r="P85" s="2">
        <v>2118.4091796875</v>
      </c>
      <c r="Q85" s="2">
        <v>2087.72216796875</v>
      </c>
      <c r="R85" s="2">
        <f>O85*P85</f>
        <v>635522.75390625</v>
      </c>
      <c r="S85" s="2">
        <f>O85*Q85</f>
        <v>626316.650390625</v>
      </c>
      <c r="T85" s="2">
        <f>R85+S85</f>
        <v>1261839.404296875</v>
      </c>
      <c r="U85" s="2">
        <f>ROUND(T85*0.0005, 2)</f>
        <v>630.91999999999996</v>
      </c>
      <c r="V85" s="2">
        <f>S85-R85</f>
        <v>-9206.103515625</v>
      </c>
      <c r="W85" s="2">
        <f>V85-U85</f>
        <v>-9837.0235156250001</v>
      </c>
      <c r="X85" s="2">
        <f>K85+W85</f>
        <v>42978106.026846625</v>
      </c>
      <c r="Y85" s="2">
        <f>ROUND(0.2*R85, 2)</f>
        <v>127104.55</v>
      </c>
      <c r="Z85" s="2">
        <f>ROUND((W85/Y85)*100, 2)</f>
        <v>-7.74</v>
      </c>
      <c r="AA85" s="2">
        <f>MAX(AA84, X85)</f>
        <v>42987943.050362252</v>
      </c>
      <c r="AB85" s="2">
        <f>X85-AA85</f>
        <v>-9837.0235156267881</v>
      </c>
    </row>
    <row r="86" spans="1:28">
      <c r="A86" s="2">
        <v>83</v>
      </c>
      <c r="B86" s="2" t="s">
        <v>451</v>
      </c>
      <c r="C86" s="2" t="s">
        <v>2186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42978106.026846625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42978106.026846625</v>
      </c>
      <c r="Y86" s="6" t="s">
        <v>1195</v>
      </c>
      <c r="Z86" s="6" t="s">
        <v>1195</v>
      </c>
      <c r="AA86" s="2">
        <f>AA85</f>
        <v>42987943.050362252</v>
      </c>
      <c r="AB86" s="2">
        <v>0</v>
      </c>
    </row>
    <row r="87" spans="1:28">
      <c r="A87" s="2">
        <v>84</v>
      </c>
      <c r="B87" s="2" t="s">
        <v>455</v>
      </c>
      <c r="C87" s="2" t="s">
        <v>2186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42978106.026846625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42978106.026846625</v>
      </c>
      <c r="Y87" s="6" t="s">
        <v>1195</v>
      </c>
      <c r="Z87" s="6" t="s">
        <v>1195</v>
      </c>
      <c r="AA87" s="2">
        <f>AA86</f>
        <v>42987943.050362252</v>
      </c>
      <c r="AB87" s="2">
        <v>0</v>
      </c>
    </row>
    <row r="88" spans="1:28">
      <c r="A88" s="2">
        <v>85</v>
      </c>
      <c r="B88" s="2" t="s">
        <v>459</v>
      </c>
      <c r="C88" s="2" t="s">
        <v>2186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2135</v>
      </c>
      <c r="J88" s="2" t="s">
        <v>2136</v>
      </c>
      <c r="K88" s="2">
        <f t="shared" si="18"/>
        <v>42978106.026846625</v>
      </c>
      <c r="L88" s="2" t="s">
        <v>1638</v>
      </c>
      <c r="M88" s="2" t="s">
        <v>1581</v>
      </c>
      <c r="N88" s="2" t="s">
        <v>1639</v>
      </c>
      <c r="O88" s="2">
        <v>700</v>
      </c>
      <c r="P88" s="2">
        <v>1049.841796875</v>
      </c>
      <c r="Q88" s="2">
        <v>1127.813720703125</v>
      </c>
      <c r="R88" s="2">
        <f>O88*P88</f>
        <v>734889.2578125</v>
      </c>
      <c r="S88" s="2">
        <f>O88*Q88</f>
        <v>789469.6044921875</v>
      </c>
      <c r="T88" s="2">
        <f>R88+S88</f>
        <v>1524358.8623046875</v>
      </c>
      <c r="U88" s="2">
        <f>ROUND(T88*0.0005, 2)</f>
        <v>762.18</v>
      </c>
      <c r="V88" s="2">
        <f>S88-R88</f>
        <v>54580.3466796875</v>
      </c>
      <c r="W88" s="2">
        <f>V88-U88</f>
        <v>53818.1666796875</v>
      </c>
      <c r="X88" s="2">
        <f>K88+W88</f>
        <v>43031924.193526313</v>
      </c>
      <c r="Y88" s="2">
        <f>ROUND(0.2*R88, 2)</f>
        <v>146977.85</v>
      </c>
      <c r="Z88" s="2">
        <f>ROUND((W88/Y88)*100, 2)</f>
        <v>36.619999999999997</v>
      </c>
      <c r="AA88" s="2">
        <f>MAX(AA87, X88)</f>
        <v>43031924.193526313</v>
      </c>
      <c r="AB88" s="2">
        <f>X88-AA88</f>
        <v>0</v>
      </c>
    </row>
    <row r="89" spans="1:28">
      <c r="A89" s="2">
        <v>86</v>
      </c>
      <c r="B89" s="2" t="s">
        <v>463</v>
      </c>
      <c r="C89" s="2" t="s">
        <v>2186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1675</v>
      </c>
      <c r="J89" s="2" t="s">
        <v>2205</v>
      </c>
      <c r="K89" s="2">
        <f t="shared" si="18"/>
        <v>43031924.193526313</v>
      </c>
      <c r="L89" s="2" t="s">
        <v>2206</v>
      </c>
      <c r="M89" s="2" t="s">
        <v>182</v>
      </c>
      <c r="N89" s="2" t="s">
        <v>251</v>
      </c>
      <c r="O89" s="2">
        <v>629</v>
      </c>
      <c r="P89" s="2">
        <v>1831.6</v>
      </c>
      <c r="Q89" s="2">
        <v>1878.25</v>
      </c>
      <c r="R89" s="2">
        <f>O89*P89</f>
        <v>1152076.3999999999</v>
      </c>
      <c r="S89" s="2">
        <f>O89*Q89</f>
        <v>1181419.25</v>
      </c>
      <c r="T89" s="2">
        <f>R89+S89</f>
        <v>2333495.65</v>
      </c>
      <c r="U89" s="2">
        <f>ROUND(T89*0.0005, 2)</f>
        <v>1166.75</v>
      </c>
      <c r="V89" s="2">
        <f>S89-R89</f>
        <v>29342.850000000093</v>
      </c>
      <c r="W89" s="2">
        <f>V89-U89</f>
        <v>28176.100000000093</v>
      </c>
      <c r="X89" s="2">
        <f>K89+W89</f>
        <v>43060100.293526314</v>
      </c>
      <c r="Y89" s="2">
        <f>ROUND(0.2*R89, 2)</f>
        <v>230415.28</v>
      </c>
      <c r="Z89" s="2">
        <f>ROUND((W89/Y89)*100, 2)</f>
        <v>12.23</v>
      </c>
      <c r="AA89" s="2">
        <f>MAX(AA88, X89)</f>
        <v>43060100.293526314</v>
      </c>
      <c r="AB89" s="2">
        <f>X89-AA89</f>
        <v>0</v>
      </c>
    </row>
    <row r="90" spans="1:28">
      <c r="A90" s="2">
        <v>87</v>
      </c>
      <c r="B90" s="2" t="s">
        <v>471</v>
      </c>
      <c r="C90" s="2" t="s">
        <v>2186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297</v>
      </c>
      <c r="J90" s="2" t="s">
        <v>1353</v>
      </c>
      <c r="K90" s="2">
        <f t="shared" si="18"/>
        <v>43060100.293526314</v>
      </c>
      <c r="L90" s="2" t="s">
        <v>757</v>
      </c>
      <c r="M90" s="2" t="s">
        <v>1876</v>
      </c>
      <c r="N90" s="2" t="s">
        <v>1877</v>
      </c>
      <c r="O90" s="2">
        <v>1958</v>
      </c>
      <c r="P90" s="2">
        <v>593.2412109375</v>
      </c>
      <c r="Q90" s="2">
        <v>599.0211181640625</v>
      </c>
      <c r="R90" s="2">
        <f>O90*P90</f>
        <v>1161566.291015625</v>
      </c>
      <c r="S90" s="2">
        <f>O90*Q90</f>
        <v>1172883.3493652344</v>
      </c>
      <c r="T90" s="2">
        <f>R90+S90</f>
        <v>2334449.6403808594</v>
      </c>
      <c r="U90" s="2">
        <f>ROUND(T90*0.0005, 2)</f>
        <v>1167.22</v>
      </c>
      <c r="V90" s="2">
        <f>S90-R90</f>
        <v>11317.058349609375</v>
      </c>
      <c r="W90" s="2">
        <f>V90-U90</f>
        <v>10149.838349609376</v>
      </c>
      <c r="X90" s="2">
        <f>K90+W90</f>
        <v>43070250.131875925</v>
      </c>
      <c r="Y90" s="2">
        <f>ROUND(0.2*R90, 2)</f>
        <v>232313.26</v>
      </c>
      <c r="Z90" s="2">
        <f>ROUND((W90/Y90)*100, 2)</f>
        <v>4.37</v>
      </c>
      <c r="AA90" s="2">
        <f>MAX(AA89, X90)</f>
        <v>43070250.131875925</v>
      </c>
      <c r="AB90" s="2">
        <f>X90-AA90</f>
        <v>0</v>
      </c>
    </row>
    <row r="91" spans="1:28">
      <c r="A91" s="2">
        <v>88</v>
      </c>
      <c r="B91" s="2" t="s">
        <v>476</v>
      </c>
      <c r="C91" s="2" t="s">
        <v>2186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43070250.131875925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43070250.131875925</v>
      </c>
      <c r="Y91" s="6" t="s">
        <v>1195</v>
      </c>
      <c r="Z91" s="6" t="s">
        <v>1195</v>
      </c>
      <c r="AA91" s="2">
        <f>AA90</f>
        <v>43070250.131875925</v>
      </c>
      <c r="AB91" s="2">
        <v>0</v>
      </c>
    </row>
    <row r="92" spans="1:28">
      <c r="A92" s="2">
        <v>89</v>
      </c>
      <c r="B92" s="2" t="s">
        <v>480</v>
      </c>
      <c r="C92" s="2" t="s">
        <v>2186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43070250.131875925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43070250.131875925</v>
      </c>
      <c r="Y92" s="6" t="s">
        <v>1195</v>
      </c>
      <c r="Z92" s="6" t="s">
        <v>1195</v>
      </c>
      <c r="AA92" s="2">
        <f>AA91</f>
        <v>43070250.131875925</v>
      </c>
      <c r="AB92" s="2">
        <v>0</v>
      </c>
    </row>
    <row r="93" spans="1:28">
      <c r="A93" s="2">
        <v>90</v>
      </c>
      <c r="B93" s="2" t="s">
        <v>483</v>
      </c>
      <c r="C93" s="2" t="s">
        <v>2186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43070250.131875925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43070250.131875925</v>
      </c>
      <c r="Y93" s="6" t="s">
        <v>1195</v>
      </c>
      <c r="Z93" s="6" t="s">
        <v>1195</v>
      </c>
      <c r="AA93" s="2">
        <f>AA92</f>
        <v>43070250.131875925</v>
      </c>
      <c r="AB93" s="2">
        <v>0</v>
      </c>
    </row>
    <row r="94" spans="1:28">
      <c r="A94" s="2">
        <v>91</v>
      </c>
      <c r="B94" s="2" t="s">
        <v>486</v>
      </c>
      <c r="C94" s="2" t="s">
        <v>2186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43070250.131875925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43070250.131875925</v>
      </c>
      <c r="Y94" s="6" t="s">
        <v>1195</v>
      </c>
      <c r="Z94" s="6" t="s">
        <v>1195</v>
      </c>
      <c r="AA94" s="2">
        <f>AA93</f>
        <v>43070250.131875925</v>
      </c>
      <c r="AB94" s="2">
        <v>0</v>
      </c>
    </row>
    <row r="95" spans="1:28">
      <c r="A95" s="2">
        <v>92</v>
      </c>
      <c r="B95" s="2" t="s">
        <v>490</v>
      </c>
      <c r="C95" s="2" t="s">
        <v>2186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43070250.131875925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43070250.131875925</v>
      </c>
      <c r="Y95" s="6" t="s">
        <v>1195</v>
      </c>
      <c r="Z95" s="6" t="s">
        <v>1195</v>
      </c>
      <c r="AA95" s="2">
        <f>AA94</f>
        <v>43070250.131875925</v>
      </c>
      <c r="AB95" s="2">
        <v>0</v>
      </c>
    </row>
    <row r="96" spans="1:28">
      <c r="A96" s="2">
        <v>93</v>
      </c>
      <c r="B96" s="2" t="s">
        <v>493</v>
      </c>
      <c r="C96" s="2" t="s">
        <v>2186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1512</v>
      </c>
      <c r="J96" s="2" t="s">
        <v>1698</v>
      </c>
      <c r="K96" s="2">
        <f t="shared" si="18"/>
        <v>43070250.131875925</v>
      </c>
      <c r="L96" s="2" t="s">
        <v>2207</v>
      </c>
      <c r="M96" s="2" t="s">
        <v>2199</v>
      </c>
      <c r="N96" s="2" t="s">
        <v>2208</v>
      </c>
      <c r="O96" s="2">
        <v>196</v>
      </c>
      <c r="P96" s="2">
        <v>2204.125244140625</v>
      </c>
      <c r="Q96" s="2">
        <v>2262.975830078125</v>
      </c>
      <c r="R96" s="2">
        <f>O96*P96</f>
        <v>432008.5478515625</v>
      </c>
      <c r="S96" s="2">
        <f>O96*Q96</f>
        <v>443543.2626953125</v>
      </c>
      <c r="T96" s="2">
        <f>R96+S96</f>
        <v>875551.810546875</v>
      </c>
      <c r="U96" s="2">
        <f>ROUND(T96*0.0005, 2)</f>
        <v>437.78</v>
      </c>
      <c r="V96" s="2">
        <f>S96-R96</f>
        <v>11534.71484375</v>
      </c>
      <c r="W96" s="2">
        <f>V96-U96</f>
        <v>11096.934843749999</v>
      </c>
      <c r="X96" s="2">
        <f>K96+W96</f>
        <v>43081347.066719674</v>
      </c>
      <c r="Y96" s="2">
        <f>ROUND(0.2*R96, 2)</f>
        <v>86401.71</v>
      </c>
      <c r="Z96" s="2">
        <f>ROUND((W96/Y96)*100, 2)</f>
        <v>12.84</v>
      </c>
      <c r="AA96" s="2">
        <f>MAX(AA95, X96)</f>
        <v>43081347.066719674</v>
      </c>
      <c r="AB96" s="2">
        <f>X96-AA96</f>
        <v>0</v>
      </c>
    </row>
    <row r="97" spans="1:28">
      <c r="A97" s="2">
        <v>94</v>
      </c>
      <c r="B97" s="2" t="s">
        <v>498</v>
      </c>
      <c r="C97" s="2" t="s">
        <v>2186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48</v>
      </c>
      <c r="J97" s="2" t="s">
        <v>1811</v>
      </c>
      <c r="K97" s="2">
        <f t="shared" si="18"/>
        <v>43081347.066719674</v>
      </c>
      <c r="L97" s="2" t="s">
        <v>1629</v>
      </c>
      <c r="M97" s="2" t="s">
        <v>1557</v>
      </c>
      <c r="N97" s="2" t="s">
        <v>1374</v>
      </c>
      <c r="O97" s="2">
        <v>500</v>
      </c>
      <c r="P97" s="2">
        <v>1456.10009765625</v>
      </c>
      <c r="Q97" s="2">
        <v>1465.0361328125</v>
      </c>
      <c r="R97" s="2">
        <f>O97*P97</f>
        <v>728050.048828125</v>
      </c>
      <c r="S97" s="2">
        <f>O97*Q97</f>
        <v>732518.06640625</v>
      </c>
      <c r="T97" s="2">
        <f>R97+S97</f>
        <v>1460568.115234375</v>
      </c>
      <c r="U97" s="2">
        <f>ROUND(T97*0.0005, 2)</f>
        <v>730.28</v>
      </c>
      <c r="V97" s="2">
        <f>S97-R97</f>
        <v>4468.017578125</v>
      </c>
      <c r="W97" s="2">
        <f>V97-U97</f>
        <v>3737.7375781250003</v>
      </c>
      <c r="X97" s="2">
        <f>K97+W97</f>
        <v>43085084.804297797</v>
      </c>
      <c r="Y97" s="2">
        <f>ROUND(0.2*R97, 2)</f>
        <v>145610.01</v>
      </c>
      <c r="Z97" s="2">
        <f>ROUND((W97/Y97)*100, 2)</f>
        <v>2.57</v>
      </c>
      <c r="AA97" s="2">
        <f>MAX(AA96, X97)</f>
        <v>43085084.804297797</v>
      </c>
      <c r="AB97" s="2">
        <f>X97-AA97</f>
        <v>0</v>
      </c>
    </row>
    <row r="98" spans="1:28">
      <c r="A98" s="2">
        <v>95</v>
      </c>
      <c r="B98" s="2" t="s">
        <v>502</v>
      </c>
      <c r="C98" s="2" t="s">
        <v>2186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43085084.804297797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43085084.804297797</v>
      </c>
      <c r="Y98" s="6" t="s">
        <v>1195</v>
      </c>
      <c r="Z98" s="6" t="s">
        <v>1195</v>
      </c>
      <c r="AA98" s="2">
        <f>AA97</f>
        <v>43085084.804297797</v>
      </c>
      <c r="AB98" s="2">
        <v>0</v>
      </c>
    </row>
    <row r="99" spans="1:28">
      <c r="A99" s="2">
        <v>96</v>
      </c>
      <c r="B99" s="2" t="s">
        <v>506</v>
      </c>
      <c r="C99" s="2" t="s">
        <v>2186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115</v>
      </c>
      <c r="J99" s="2" t="s">
        <v>1860</v>
      </c>
      <c r="K99" s="2">
        <f t="shared" si="18"/>
        <v>43085084.804297797</v>
      </c>
      <c r="L99" s="2" t="s">
        <v>1709</v>
      </c>
      <c r="M99" s="2" t="s">
        <v>1580</v>
      </c>
      <c r="N99" s="2" t="s">
        <v>1375</v>
      </c>
      <c r="O99" s="2">
        <v>400</v>
      </c>
      <c r="P99" s="2">
        <v>1320.340942382812</v>
      </c>
      <c r="Q99" s="2">
        <v>1388.581298828125</v>
      </c>
      <c r="R99" s="2">
        <f>O99*P99</f>
        <v>528136.37695312477</v>
      </c>
      <c r="S99" s="2">
        <f>O99*Q99</f>
        <v>555432.51953125</v>
      </c>
      <c r="T99" s="2">
        <f>R99+S99</f>
        <v>1083568.8964843748</v>
      </c>
      <c r="U99" s="2">
        <f>ROUND(T99*0.0005, 2)</f>
        <v>541.78</v>
      </c>
      <c r="V99" s="2">
        <f>S99-R99</f>
        <v>27296.142578125233</v>
      </c>
      <c r="W99" s="2">
        <f>V99-U99</f>
        <v>26754.362578125234</v>
      </c>
      <c r="X99" s="2">
        <f>K99+W99</f>
        <v>43111839.166875921</v>
      </c>
      <c r="Y99" s="2">
        <f>ROUND(0.2*R99, 2)</f>
        <v>105627.28</v>
      </c>
      <c r="Z99" s="2">
        <f>ROUND((W99/Y99)*100, 2)</f>
        <v>25.33</v>
      </c>
      <c r="AA99" s="2">
        <f>MAX(AA98, X99)</f>
        <v>43111839.166875921</v>
      </c>
      <c r="AB99" s="2">
        <f>X99-AA99</f>
        <v>0</v>
      </c>
    </row>
    <row r="100" spans="1:28">
      <c r="A100" s="2">
        <v>97</v>
      </c>
      <c r="B100" s="2" t="s">
        <v>511</v>
      </c>
      <c r="C100" s="2" t="s">
        <v>2186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43111839.166875921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43111839.166875921</v>
      </c>
      <c r="Y100" s="6" t="s">
        <v>1195</v>
      </c>
      <c r="Z100" s="6" t="s">
        <v>1195</v>
      </c>
      <c r="AA100" s="2">
        <f>AA99</f>
        <v>43111839.166875921</v>
      </c>
      <c r="AB100" s="2">
        <v>0</v>
      </c>
    </row>
    <row r="101" spans="1:28">
      <c r="A101" s="2">
        <v>98</v>
      </c>
      <c r="B101" s="2" t="s">
        <v>516</v>
      </c>
      <c r="C101" s="2" t="s">
        <v>2186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43111839.166875921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43111839.166875921</v>
      </c>
      <c r="Y101" s="6" t="s">
        <v>1195</v>
      </c>
      <c r="Z101" s="6" t="s">
        <v>1195</v>
      </c>
      <c r="AA101" s="2">
        <f>AA100</f>
        <v>43111839.166875921</v>
      </c>
      <c r="AB101" s="2">
        <v>0</v>
      </c>
    </row>
    <row r="102" spans="1:28">
      <c r="A102" s="2">
        <v>99</v>
      </c>
      <c r="B102" s="2" t="s">
        <v>519</v>
      </c>
      <c r="C102" s="2" t="s">
        <v>2186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43111839.166875921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43111839.166875921</v>
      </c>
      <c r="Y102" s="6" t="s">
        <v>1195</v>
      </c>
      <c r="Z102" s="6" t="s">
        <v>1195</v>
      </c>
      <c r="AA102" s="2">
        <f>AA101</f>
        <v>43111839.166875921</v>
      </c>
      <c r="AB102" s="2">
        <v>0</v>
      </c>
    </row>
    <row r="103" spans="1:28">
      <c r="A103" s="2">
        <v>100</v>
      </c>
      <c r="B103" s="2" t="s">
        <v>525</v>
      </c>
      <c r="C103" s="2" t="s">
        <v>2186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43111839.166875921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43111839.166875921</v>
      </c>
      <c r="Y103" s="6" t="s">
        <v>1195</v>
      </c>
      <c r="Z103" s="6" t="s">
        <v>1195</v>
      </c>
      <c r="AA103" s="2">
        <f>AA102</f>
        <v>43111839.166875921</v>
      </c>
      <c r="AB103" s="2">
        <v>0</v>
      </c>
    </row>
    <row r="104" spans="1:28">
      <c r="A104" s="2">
        <v>101</v>
      </c>
      <c r="B104" s="2" t="s">
        <v>527</v>
      </c>
      <c r="C104" s="2" t="s">
        <v>2186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1473</v>
      </c>
      <c r="J104" s="2" t="s">
        <v>458</v>
      </c>
      <c r="K104" s="2">
        <f t="shared" si="18"/>
        <v>43111839.166875921</v>
      </c>
      <c r="L104" s="2" t="s">
        <v>1572</v>
      </c>
      <c r="M104" s="2" t="s">
        <v>1540</v>
      </c>
      <c r="N104" s="2" t="s">
        <v>1539</v>
      </c>
      <c r="O104" s="2">
        <v>1600</v>
      </c>
      <c r="P104" s="2">
        <v>376.0321044921875</v>
      </c>
      <c r="Q104" s="2">
        <v>376.337158203125</v>
      </c>
      <c r="R104" s="2">
        <f>O104*P104</f>
        <v>601651.3671875</v>
      </c>
      <c r="S104" s="2">
        <f>O104*Q104</f>
        <v>602139.453125</v>
      </c>
      <c r="T104" s="2">
        <f>R104+S104</f>
        <v>1203790.8203125</v>
      </c>
      <c r="U104" s="2">
        <f>ROUND(T104*0.0005, 2)</f>
        <v>601.9</v>
      </c>
      <c r="V104" s="2">
        <f>S104-R104</f>
        <v>488.0859375</v>
      </c>
      <c r="W104" s="2">
        <f>V104-U104</f>
        <v>-113.81406249999998</v>
      </c>
      <c r="X104" s="2">
        <f>K104+W104</f>
        <v>43111725.352813423</v>
      </c>
      <c r="Y104" s="2">
        <f>ROUND(0.2*R104, 2)</f>
        <v>120330.27</v>
      </c>
      <c r="Z104" s="2">
        <f>ROUND((W104/Y104)*100, 2)</f>
        <v>-0.09</v>
      </c>
      <c r="AA104" s="2">
        <f>MAX(AA103, X104)</f>
        <v>43111839.166875921</v>
      </c>
      <c r="AB104" s="2">
        <f>X104-AA104</f>
        <v>-113.81406249850988</v>
      </c>
    </row>
    <row r="105" spans="1:28">
      <c r="A105" s="2">
        <v>102</v>
      </c>
      <c r="B105" s="2" t="s">
        <v>530</v>
      </c>
      <c r="C105" s="2" t="s">
        <v>2186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43111725.352813423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43111725.352813423</v>
      </c>
      <c r="Y105" s="6" t="s">
        <v>1195</v>
      </c>
      <c r="Z105" s="6" t="s">
        <v>1195</v>
      </c>
      <c r="AA105" s="2">
        <f>AA104</f>
        <v>43111839.166875921</v>
      </c>
      <c r="AB105" s="2">
        <v>0</v>
      </c>
    </row>
    <row r="106" spans="1:28">
      <c r="A106" s="2">
        <v>103</v>
      </c>
      <c r="B106" s="2" t="s">
        <v>534</v>
      </c>
      <c r="C106" s="2" t="s">
        <v>2186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1490</v>
      </c>
      <c r="J106" s="2" t="s">
        <v>1022</v>
      </c>
      <c r="K106" s="2">
        <f t="shared" si="18"/>
        <v>43111725.352813423</v>
      </c>
      <c r="L106" s="2" t="s">
        <v>1630</v>
      </c>
      <c r="M106" s="2" t="s">
        <v>1374</v>
      </c>
      <c r="N106" s="2" t="s">
        <v>1375</v>
      </c>
      <c r="O106" s="2">
        <v>4127</v>
      </c>
      <c r="P106" s="2">
        <v>381.70477294921881</v>
      </c>
      <c r="Q106" s="2">
        <v>377.81085205078131</v>
      </c>
      <c r="R106" s="2">
        <f>O106*P106</f>
        <v>1575295.597961426</v>
      </c>
      <c r="S106" s="2">
        <f>O106*Q106</f>
        <v>1559225.3864135745</v>
      </c>
      <c r="T106" s="2">
        <f>R106+S106</f>
        <v>3134520.9843750005</v>
      </c>
      <c r="U106" s="2">
        <f>ROUND(T106*0.0005, 2)</f>
        <v>1567.26</v>
      </c>
      <c r="V106" s="2">
        <f>S106-R106</f>
        <v>-16070.211547851563</v>
      </c>
      <c r="W106" s="2">
        <f>V106-U106</f>
        <v>-17637.471547851561</v>
      </c>
      <c r="X106" s="2">
        <f>K106+W106</f>
        <v>43094087.881265573</v>
      </c>
      <c r="Y106" s="2">
        <f>ROUND(0.2*R106, 2)</f>
        <v>315059.12</v>
      </c>
      <c r="Z106" s="2">
        <f>ROUND((W106/Y106)*100, 2)</f>
        <v>-5.6</v>
      </c>
      <c r="AA106" s="2">
        <f>MAX(AA105, X106)</f>
        <v>43111839.166875921</v>
      </c>
      <c r="AB106" s="2">
        <f>X106-AA106</f>
        <v>-17751.285610347986</v>
      </c>
    </row>
    <row r="107" spans="1:28">
      <c r="A107" s="2">
        <v>104</v>
      </c>
      <c r="B107" s="2" t="s">
        <v>539</v>
      </c>
      <c r="C107" s="2" t="s">
        <v>2186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43094087.881265573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43094087.881265573</v>
      </c>
      <c r="Y107" s="6" t="s">
        <v>1195</v>
      </c>
      <c r="Z107" s="6" t="s">
        <v>1195</v>
      </c>
      <c r="AA107" s="2">
        <f>AA106</f>
        <v>43111839.166875921</v>
      </c>
      <c r="AB107" s="2">
        <v>0</v>
      </c>
    </row>
    <row r="108" spans="1:28">
      <c r="A108" s="2">
        <v>105</v>
      </c>
      <c r="B108" s="2" t="s">
        <v>542</v>
      </c>
      <c r="C108" s="2" t="s">
        <v>2186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2145</v>
      </c>
      <c r="J108" s="2" t="s">
        <v>2146</v>
      </c>
      <c r="K108" s="2">
        <f t="shared" si="18"/>
        <v>43094087.881265573</v>
      </c>
      <c r="L108" s="2" t="s">
        <v>1559</v>
      </c>
      <c r="M108" s="2" t="s">
        <v>1544</v>
      </c>
      <c r="N108" s="2" t="s">
        <v>1545</v>
      </c>
      <c r="O108" s="2">
        <v>675</v>
      </c>
      <c r="P108" s="2">
        <v>839.86663818359375</v>
      </c>
      <c r="Q108" s="2">
        <v>894.031005859375</v>
      </c>
      <c r="R108" s="2">
        <f>O108*P108</f>
        <v>566909.98077392578</v>
      </c>
      <c r="S108" s="2">
        <f>O108*Q108</f>
        <v>603470.92895507812</v>
      </c>
      <c r="T108" s="2">
        <f>R108+S108</f>
        <v>1170380.9097290039</v>
      </c>
      <c r="U108" s="2">
        <f>ROUND(T108*0.0005, 2)</f>
        <v>585.19000000000005</v>
      </c>
      <c r="V108" s="2">
        <f>S108-R108</f>
        <v>36560.948181152344</v>
      </c>
      <c r="W108" s="2">
        <f>V108-U108</f>
        <v>35975.758181152341</v>
      </c>
      <c r="X108" s="2">
        <f>K108+W108</f>
        <v>43130063.639446728</v>
      </c>
      <c r="Y108" s="2">
        <f>ROUND(0.2*R108, 2)</f>
        <v>113382</v>
      </c>
      <c r="Z108" s="2">
        <f>ROUND((W108/Y108)*100, 2)</f>
        <v>31.73</v>
      </c>
      <c r="AA108" s="2">
        <f>MAX(AA107, X108)</f>
        <v>43130063.639446728</v>
      </c>
      <c r="AB108" s="2">
        <f>X108-AA108</f>
        <v>0</v>
      </c>
    </row>
    <row r="109" spans="1:28">
      <c r="A109" s="2">
        <v>106</v>
      </c>
      <c r="B109" s="2" t="s">
        <v>547</v>
      </c>
      <c r="C109" s="2" t="s">
        <v>2186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43130063.639446728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43130063.639446728</v>
      </c>
      <c r="Y109" s="6" t="s">
        <v>1195</v>
      </c>
      <c r="Z109" s="6" t="s">
        <v>1195</v>
      </c>
      <c r="AA109" s="2">
        <f>AA108</f>
        <v>43130063.639446728</v>
      </c>
      <c r="AB109" s="2">
        <v>0</v>
      </c>
    </row>
    <row r="110" spans="1:28">
      <c r="A110" s="2">
        <v>107</v>
      </c>
      <c r="B110" s="2" t="s">
        <v>551</v>
      </c>
      <c r="C110" s="2" t="s">
        <v>2186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43130063.639446728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43130063.639446728</v>
      </c>
      <c r="Y110" s="6" t="s">
        <v>1195</v>
      </c>
      <c r="Z110" s="6" t="s">
        <v>1195</v>
      </c>
      <c r="AA110" s="2">
        <f>AA109</f>
        <v>43130063.639446728</v>
      </c>
      <c r="AB110" s="2">
        <v>0</v>
      </c>
    </row>
    <row r="111" spans="1:28">
      <c r="A111" s="2">
        <v>108</v>
      </c>
      <c r="B111" s="2" t="s">
        <v>554</v>
      </c>
      <c r="C111" s="2" t="s">
        <v>2186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43130063.639446728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43130063.639446728</v>
      </c>
      <c r="Y111" s="6" t="s">
        <v>1195</v>
      </c>
      <c r="Z111" s="6" t="s">
        <v>1195</v>
      </c>
      <c r="AA111" s="2">
        <f>AA110</f>
        <v>43130063.639446728</v>
      </c>
      <c r="AB111" s="2">
        <v>0</v>
      </c>
    </row>
    <row r="112" spans="1:28">
      <c r="A112" s="2">
        <v>109</v>
      </c>
      <c r="B112" s="2" t="s">
        <v>558</v>
      </c>
      <c r="C112" s="2" t="s">
        <v>2186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43130063.639446728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43130063.639446728</v>
      </c>
      <c r="Y112" s="6" t="s">
        <v>1195</v>
      </c>
      <c r="Z112" s="6" t="s">
        <v>1195</v>
      </c>
      <c r="AA112" s="2">
        <f>AA111</f>
        <v>43130063.639446728</v>
      </c>
      <c r="AB112" s="2">
        <v>0</v>
      </c>
    </row>
    <row r="113" spans="1:28">
      <c r="A113" s="2">
        <v>110</v>
      </c>
      <c r="B113" s="2" t="s">
        <v>562</v>
      </c>
      <c r="C113" s="2" t="s">
        <v>2186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43130063.639446728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43130063.639446728</v>
      </c>
      <c r="Y113" s="6" t="s">
        <v>1195</v>
      </c>
      <c r="Z113" s="6" t="s">
        <v>1195</v>
      </c>
      <c r="AA113" s="2">
        <f>AA112</f>
        <v>43130063.639446728</v>
      </c>
      <c r="AB113" s="2">
        <v>0</v>
      </c>
    </row>
    <row r="114" spans="1:28">
      <c r="A114" s="2">
        <v>111</v>
      </c>
      <c r="B114" s="2" t="s">
        <v>566</v>
      </c>
      <c r="C114" s="2" t="s">
        <v>2186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382</v>
      </c>
      <c r="J114" s="2" t="s">
        <v>2147</v>
      </c>
      <c r="K114" s="2">
        <f t="shared" si="18"/>
        <v>43130063.639446728</v>
      </c>
      <c r="L114" s="2" t="s">
        <v>1591</v>
      </c>
      <c r="M114" s="2" t="s">
        <v>1543</v>
      </c>
      <c r="N114" s="2" t="s">
        <v>1582</v>
      </c>
      <c r="O114" s="2">
        <v>400</v>
      </c>
      <c r="P114" s="2">
        <v>328.04183959960937</v>
      </c>
      <c r="Q114" s="2">
        <v>324.06082153320312</v>
      </c>
      <c r="R114" s="2">
        <f>O114*P114</f>
        <v>131216.73583984375</v>
      </c>
      <c r="S114" s="2">
        <f>O114*Q114</f>
        <v>129624.32861328125</v>
      </c>
      <c r="T114" s="2">
        <f>R114+S114</f>
        <v>260841.064453125</v>
      </c>
      <c r="U114" s="2">
        <f>ROUND(T114*0.0005, 2)</f>
        <v>130.41999999999999</v>
      </c>
      <c r="V114" s="2">
        <f>S114-R114</f>
        <v>-1592.4072265625</v>
      </c>
      <c r="W114" s="2">
        <f>V114-U114</f>
        <v>-1722.8272265625001</v>
      </c>
      <c r="X114" s="2">
        <f>K114+W114</f>
        <v>43128340.812220164</v>
      </c>
      <c r="Y114" s="2">
        <f>ROUND(0.2*R114, 2)</f>
        <v>26243.35</v>
      </c>
      <c r="Z114" s="2">
        <f>ROUND((W114/Y114)*100, 2)</f>
        <v>-6.56</v>
      </c>
      <c r="AA114" s="2">
        <f>MAX(AA113, X114)</f>
        <v>43130063.639446728</v>
      </c>
      <c r="AB114" s="2">
        <f>X114-AA114</f>
        <v>-1722.8272265642881</v>
      </c>
    </row>
    <row r="115" spans="1:28">
      <c r="A115" s="2">
        <v>112</v>
      </c>
      <c r="B115" s="2" t="s">
        <v>570</v>
      </c>
      <c r="C115" s="2" t="s">
        <v>2186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43128340.812220164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43128340.812220164</v>
      </c>
      <c r="Y115" s="6" t="s">
        <v>1195</v>
      </c>
      <c r="Z115" s="6" t="s">
        <v>1195</v>
      </c>
      <c r="AA115" s="2">
        <f>AA114</f>
        <v>43130063.639446728</v>
      </c>
      <c r="AB115" s="2">
        <v>0</v>
      </c>
    </row>
    <row r="116" spans="1:28">
      <c r="A116" s="2">
        <v>113</v>
      </c>
      <c r="B116" s="2" t="s">
        <v>574</v>
      </c>
      <c r="C116" s="2" t="s">
        <v>2186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43128340.812220164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43128340.812220164</v>
      </c>
      <c r="Y116" s="6" t="s">
        <v>1195</v>
      </c>
      <c r="Z116" s="6" t="s">
        <v>1195</v>
      </c>
      <c r="AA116" s="2">
        <f>AA115</f>
        <v>43130063.639446728</v>
      </c>
      <c r="AB116" s="2">
        <v>0</v>
      </c>
    </row>
    <row r="117" spans="1:28">
      <c r="A117" s="2">
        <v>114</v>
      </c>
      <c r="B117" s="2" t="s">
        <v>578</v>
      </c>
      <c r="C117" s="2" t="s">
        <v>2186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43128340.812220164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43128340.812220164</v>
      </c>
      <c r="Y117" s="6" t="s">
        <v>1195</v>
      </c>
      <c r="Z117" s="6" t="s">
        <v>1195</v>
      </c>
      <c r="AA117" s="2">
        <f>AA116</f>
        <v>43130063.639446728</v>
      </c>
      <c r="AB117" s="2">
        <v>0</v>
      </c>
    </row>
    <row r="118" spans="1:28">
      <c r="A118" s="2">
        <v>115</v>
      </c>
      <c r="B118" s="2" t="s">
        <v>581</v>
      </c>
      <c r="C118" s="2" t="s">
        <v>2186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2209</v>
      </c>
      <c r="J118" s="2" t="s">
        <v>888</v>
      </c>
      <c r="K118" s="2">
        <f t="shared" si="18"/>
        <v>43128340.812220164</v>
      </c>
      <c r="L118" s="2" t="s">
        <v>173</v>
      </c>
      <c r="M118" s="2" t="s">
        <v>139</v>
      </c>
      <c r="N118" s="2" t="s">
        <v>174</v>
      </c>
      <c r="O118" s="2">
        <v>2364</v>
      </c>
      <c r="P118" s="2">
        <v>408.96356201171881</v>
      </c>
      <c r="Q118" s="2">
        <v>378.39495849609381</v>
      </c>
      <c r="R118" s="2">
        <f>O118*P118</f>
        <v>966789.86059570324</v>
      </c>
      <c r="S118" s="2">
        <f>O118*Q118</f>
        <v>894525.68188476574</v>
      </c>
      <c r="T118" s="2">
        <f>R118+S118</f>
        <v>1861315.542480469</v>
      </c>
      <c r="U118" s="2">
        <f>ROUND(T118*0.0005, 2)</f>
        <v>930.66</v>
      </c>
      <c r="V118" s="2">
        <f>S118-R118</f>
        <v>-72264.1787109375</v>
      </c>
      <c r="W118" s="2">
        <f>V118-U118</f>
        <v>-73194.838710937503</v>
      </c>
      <c r="X118" s="2">
        <f>K118+W118</f>
        <v>43055145.97350923</v>
      </c>
      <c r="Y118" s="2">
        <f>ROUND(0.2*R118, 2)</f>
        <v>193357.97</v>
      </c>
      <c r="Z118" s="2">
        <f>ROUND((W118/Y118)*100, 2)</f>
        <v>-37.85</v>
      </c>
      <c r="AA118" s="2">
        <f>MAX(AA117, X118)</f>
        <v>43130063.639446728</v>
      </c>
      <c r="AB118" s="2">
        <f>X118-AA118</f>
        <v>-74917.665937498212</v>
      </c>
    </row>
    <row r="119" spans="1:28">
      <c r="A119" s="2">
        <v>116</v>
      </c>
      <c r="B119" s="2" t="s">
        <v>586</v>
      </c>
      <c r="C119" s="2" t="s">
        <v>2186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43055145.97350923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43055145.97350923</v>
      </c>
      <c r="Y119" s="6" t="s">
        <v>1195</v>
      </c>
      <c r="Z119" s="6" t="s">
        <v>1195</v>
      </c>
      <c r="AA119" s="2">
        <f>AA118</f>
        <v>43130063.639446728</v>
      </c>
      <c r="AB119" s="2">
        <v>0</v>
      </c>
    </row>
    <row r="120" spans="1:28">
      <c r="A120" s="2">
        <v>117</v>
      </c>
      <c r="B120" s="2" t="s">
        <v>592</v>
      </c>
      <c r="C120" s="2" t="s">
        <v>2186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594</v>
      </c>
      <c r="J120" s="2" t="s">
        <v>42</v>
      </c>
      <c r="K120" s="2">
        <f t="shared" si="18"/>
        <v>43055145.97350923</v>
      </c>
      <c r="L120" s="2" t="s">
        <v>1565</v>
      </c>
      <c r="M120" s="2" t="s">
        <v>1572</v>
      </c>
      <c r="N120" s="2" t="s">
        <v>1565</v>
      </c>
      <c r="O120" s="2">
        <v>300</v>
      </c>
      <c r="P120" s="2">
        <v>3188.727783203125</v>
      </c>
      <c r="Q120" s="2">
        <v>3206.640625</v>
      </c>
      <c r="R120" s="2">
        <f>O120*P120</f>
        <v>956618.3349609375</v>
      </c>
      <c r="S120" s="2">
        <f>O120*Q120</f>
        <v>961992.1875</v>
      </c>
      <c r="T120" s="2">
        <f>R120+S120</f>
        <v>1918610.5224609375</v>
      </c>
      <c r="U120" s="2">
        <f>ROUND(T120*0.0005, 2)</f>
        <v>959.31</v>
      </c>
      <c r="V120" s="2">
        <f>S120-R120</f>
        <v>5373.8525390625</v>
      </c>
      <c r="W120" s="2">
        <f>V120-U120</f>
        <v>4414.5425390625005</v>
      </c>
      <c r="X120" s="2">
        <f>K120+W120</f>
        <v>43059560.51604829</v>
      </c>
      <c r="Y120" s="2">
        <f>ROUND(0.2*R120, 2)</f>
        <v>191323.67</v>
      </c>
      <c r="Z120" s="2">
        <f>ROUND((W120/Y120)*100, 2)</f>
        <v>2.31</v>
      </c>
      <c r="AA120" s="2">
        <f>MAX(AA119, X120)</f>
        <v>43130063.639446728</v>
      </c>
      <c r="AB120" s="2">
        <f>X120-AA120</f>
        <v>-70503.123398438096</v>
      </c>
    </row>
    <row r="121" spans="1:28">
      <c r="A121" s="2">
        <v>118</v>
      </c>
      <c r="B121" s="2" t="s">
        <v>597</v>
      </c>
      <c r="C121" s="2" t="s">
        <v>2186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43059560.51604829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43059560.51604829</v>
      </c>
      <c r="Y121" s="6" t="s">
        <v>1195</v>
      </c>
      <c r="Z121" s="6" t="s">
        <v>1195</v>
      </c>
      <c r="AA121" s="2">
        <f>AA120</f>
        <v>43130063.639446728</v>
      </c>
      <c r="AB121" s="2">
        <v>0</v>
      </c>
    </row>
    <row r="122" spans="1:28">
      <c r="A122" s="2">
        <v>119</v>
      </c>
      <c r="B122" s="2" t="s">
        <v>601</v>
      </c>
      <c r="C122" s="2" t="s">
        <v>2186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43059560.51604829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43059560.51604829</v>
      </c>
      <c r="Y122" s="6" t="s">
        <v>1195</v>
      </c>
      <c r="Z122" s="6" t="s">
        <v>1195</v>
      </c>
      <c r="AA122" s="2">
        <f>AA121</f>
        <v>43130063.639446728</v>
      </c>
      <c r="AB122" s="2">
        <v>0</v>
      </c>
    </row>
    <row r="123" spans="1:28">
      <c r="A123" s="2">
        <v>120</v>
      </c>
      <c r="B123" s="2" t="s">
        <v>605</v>
      </c>
      <c r="C123" s="2" t="s">
        <v>2186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43059560.51604829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43059560.51604829</v>
      </c>
      <c r="Y123" s="6" t="s">
        <v>1195</v>
      </c>
      <c r="Z123" s="6" t="s">
        <v>1195</v>
      </c>
      <c r="AA123" s="2">
        <f>AA122</f>
        <v>43130063.639446728</v>
      </c>
      <c r="AB123" s="2">
        <v>0</v>
      </c>
    </row>
    <row r="124" spans="1:28">
      <c r="A124" s="2">
        <v>121</v>
      </c>
      <c r="B124" s="2" t="s">
        <v>609</v>
      </c>
      <c r="C124" s="2" t="s">
        <v>2186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2153</v>
      </c>
      <c r="J124" s="2" t="s">
        <v>2154</v>
      </c>
      <c r="K124" s="2">
        <f t="shared" si="18"/>
        <v>43059560.51604829</v>
      </c>
      <c r="L124" s="2" t="s">
        <v>1572</v>
      </c>
      <c r="M124" s="2" t="s">
        <v>1568</v>
      </c>
      <c r="N124" s="2" t="s">
        <v>1558</v>
      </c>
      <c r="O124" s="2">
        <v>350</v>
      </c>
      <c r="P124" s="2">
        <v>2128.736083984375</v>
      </c>
      <c r="Q124" s="2">
        <v>2458.535400390625</v>
      </c>
      <c r="R124" s="2">
        <f>O124*P124</f>
        <v>745057.62939453125</v>
      </c>
      <c r="S124" s="2">
        <f>O124*Q124</f>
        <v>860487.39013671875</v>
      </c>
      <c r="T124" s="2">
        <f>R124+S124</f>
        <v>1605545.01953125</v>
      </c>
      <c r="U124" s="2">
        <f>ROUND(T124*0.0005, 2)</f>
        <v>802.77</v>
      </c>
      <c r="V124" s="2">
        <f>S124-R124</f>
        <v>115429.7607421875</v>
      </c>
      <c r="W124" s="2">
        <f>V124-U124</f>
        <v>114626.9907421875</v>
      </c>
      <c r="X124" s="2">
        <f>K124+W124</f>
        <v>43174187.506790474</v>
      </c>
      <c r="Y124" s="2">
        <f>ROUND(0.2*R124, 2)</f>
        <v>149011.53</v>
      </c>
      <c r="Z124" s="2">
        <f>ROUND((W124/Y124)*100, 2)</f>
        <v>76.92</v>
      </c>
      <c r="AA124" s="2">
        <f>MAX(AA123, X124)</f>
        <v>43174187.506790474</v>
      </c>
      <c r="AB124" s="2">
        <f>X124-AA124</f>
        <v>0</v>
      </c>
    </row>
    <row r="125" spans="1:28">
      <c r="A125" s="2">
        <v>122</v>
      </c>
      <c r="B125" s="2" t="s">
        <v>613</v>
      </c>
      <c r="C125" s="2" t="s">
        <v>2186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43174187.506790474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43174187.506790474</v>
      </c>
      <c r="Y125" s="6" t="s">
        <v>1195</v>
      </c>
      <c r="Z125" s="6" t="s">
        <v>1195</v>
      </c>
      <c r="AA125" s="2">
        <f>AA124</f>
        <v>43174187.506790474</v>
      </c>
      <c r="AB125" s="2">
        <v>0</v>
      </c>
    </row>
    <row r="126" spans="1:28">
      <c r="A126" s="2">
        <v>123</v>
      </c>
      <c r="B126" s="2" t="s">
        <v>617</v>
      </c>
      <c r="C126" s="2" t="s">
        <v>2186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43174187.506790474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43174187.506790474</v>
      </c>
      <c r="Y126" s="6" t="s">
        <v>1195</v>
      </c>
      <c r="Z126" s="6" t="s">
        <v>1195</v>
      </c>
      <c r="AA126" s="2">
        <f>AA125</f>
        <v>43174187.506790474</v>
      </c>
      <c r="AB126" s="2">
        <v>0</v>
      </c>
    </row>
    <row r="127" spans="1:28">
      <c r="A127" s="2">
        <v>124</v>
      </c>
      <c r="B127" s="2" t="s">
        <v>621</v>
      </c>
      <c r="C127" s="2" t="s">
        <v>2186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43174187.506790474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43174187.506790474</v>
      </c>
      <c r="Y127" s="6" t="s">
        <v>1195</v>
      </c>
      <c r="Z127" s="6" t="s">
        <v>1195</v>
      </c>
      <c r="AA127" s="2">
        <f>AA126</f>
        <v>43174187.506790474</v>
      </c>
      <c r="AB127" s="2">
        <v>0</v>
      </c>
    </row>
    <row r="128" spans="1:28">
      <c r="A128" s="2">
        <v>125</v>
      </c>
      <c r="B128" s="2" t="s">
        <v>625</v>
      </c>
      <c r="C128" s="2" t="s">
        <v>2186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43174187.506790474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43174187.506790474</v>
      </c>
      <c r="Y128" s="6" t="s">
        <v>1195</v>
      </c>
      <c r="Z128" s="6" t="s">
        <v>1195</v>
      </c>
      <c r="AA128" s="2">
        <f>AA127</f>
        <v>43174187.506790474</v>
      </c>
      <c r="AB128" s="2">
        <v>0</v>
      </c>
    </row>
    <row r="129" spans="1:28">
      <c r="A129" s="2">
        <v>126</v>
      </c>
      <c r="B129" s="2" t="s">
        <v>629</v>
      </c>
      <c r="C129" s="2" t="s">
        <v>2186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619</v>
      </c>
      <c r="J129" s="2" t="s">
        <v>2155</v>
      </c>
      <c r="K129" s="2">
        <f t="shared" si="18"/>
        <v>43174187.506790474</v>
      </c>
      <c r="L129" s="2" t="s">
        <v>1629</v>
      </c>
      <c r="M129" s="2" t="s">
        <v>1591</v>
      </c>
      <c r="N129" s="2" t="s">
        <v>1639</v>
      </c>
      <c r="O129" s="2">
        <v>100</v>
      </c>
      <c r="P129" s="2">
        <v>12561.6083984375</v>
      </c>
      <c r="Q129" s="2">
        <v>12685.630859375</v>
      </c>
      <c r="R129" s="2">
        <f>O129*P129</f>
        <v>1256160.83984375</v>
      </c>
      <c r="S129" s="2">
        <f>O129*Q129</f>
        <v>1268563.0859375</v>
      </c>
      <c r="T129" s="2">
        <f>R129+S129</f>
        <v>2524723.92578125</v>
      </c>
      <c r="U129" s="2">
        <f>ROUND(T129*0.0005, 2)</f>
        <v>1262.3599999999999</v>
      </c>
      <c r="V129" s="2">
        <f>S129-R129</f>
        <v>12402.24609375</v>
      </c>
      <c r="W129" s="2">
        <f>V129-U129</f>
        <v>11139.886093749999</v>
      </c>
      <c r="X129" s="2">
        <f>K129+W129</f>
        <v>43185327.392884225</v>
      </c>
      <c r="Y129" s="2">
        <f>ROUND(0.2*R129, 2)</f>
        <v>251232.17</v>
      </c>
      <c r="Z129" s="2">
        <f>ROUND((W129/Y129)*100, 2)</f>
        <v>4.43</v>
      </c>
      <c r="AA129" s="2">
        <f>MAX(AA128, X129)</f>
        <v>43185327.392884225</v>
      </c>
      <c r="AB129" s="2">
        <f>X129-AA129</f>
        <v>0</v>
      </c>
    </row>
    <row r="130" spans="1:28">
      <c r="A130" s="2">
        <v>127</v>
      </c>
      <c r="B130" s="2" t="s">
        <v>632</v>
      </c>
      <c r="C130" s="2" t="s">
        <v>2186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2210</v>
      </c>
      <c r="J130" s="2" t="s">
        <v>2211</v>
      </c>
      <c r="K130" s="2">
        <f t="shared" si="18"/>
        <v>43185327.392884225</v>
      </c>
      <c r="L130" s="2" t="s">
        <v>2212</v>
      </c>
      <c r="M130" s="2" t="s">
        <v>2197</v>
      </c>
      <c r="N130" s="2" t="s">
        <v>2213</v>
      </c>
      <c r="O130" s="2">
        <v>922</v>
      </c>
      <c r="P130" s="2">
        <v>477.1260986328125</v>
      </c>
      <c r="Q130" s="2">
        <v>519.30877685546875</v>
      </c>
      <c r="R130" s="2">
        <f>O130*P130</f>
        <v>439910.26293945312</v>
      </c>
      <c r="S130" s="2">
        <f>O130*Q130</f>
        <v>478802.69226074219</v>
      </c>
      <c r="T130" s="2">
        <f>R130+S130</f>
        <v>918712.95520019531</v>
      </c>
      <c r="U130" s="2">
        <f>ROUND(T130*0.0005, 2)</f>
        <v>459.36</v>
      </c>
      <c r="V130" s="2">
        <f>S130-R130</f>
        <v>38892.429321289063</v>
      </c>
      <c r="W130" s="2">
        <f>V130-U130</f>
        <v>38433.069321289062</v>
      </c>
      <c r="X130" s="2">
        <f>K130+W130</f>
        <v>43223760.462205514</v>
      </c>
      <c r="Y130" s="2">
        <f>ROUND(0.2*R130, 2)</f>
        <v>87982.05</v>
      </c>
      <c r="Z130" s="2">
        <f>ROUND((W130/Y130)*100, 2)</f>
        <v>43.68</v>
      </c>
      <c r="AA130" s="2">
        <f>MAX(AA129, X130)</f>
        <v>43223760.462205514</v>
      </c>
      <c r="AB130" s="2">
        <f>X130-AA130</f>
        <v>0</v>
      </c>
    </row>
    <row r="131" spans="1:28">
      <c r="A131" s="2">
        <v>128</v>
      </c>
      <c r="B131" s="2" t="s">
        <v>637</v>
      </c>
      <c r="C131" s="2" t="s">
        <v>2186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43223760.462205514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43223760.462205514</v>
      </c>
      <c r="Y131" s="6" t="s">
        <v>1195</v>
      </c>
      <c r="Z131" s="6" t="s">
        <v>1195</v>
      </c>
      <c r="AA131" s="2">
        <f t="shared" ref="AA131:AA136" si="20">AA130</f>
        <v>43223760.462205514</v>
      </c>
      <c r="AB131" s="2">
        <v>0</v>
      </c>
    </row>
    <row r="132" spans="1:28">
      <c r="A132" s="2">
        <v>129</v>
      </c>
      <c r="B132" s="2" t="s">
        <v>640</v>
      </c>
      <c r="C132" s="2" t="s">
        <v>2186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43223760.462205514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43223760.462205514</v>
      </c>
      <c r="Y132" s="6" t="s">
        <v>1195</v>
      </c>
      <c r="Z132" s="6" t="s">
        <v>1195</v>
      </c>
      <c r="AA132" s="2">
        <f t="shared" si="20"/>
        <v>43223760.462205514</v>
      </c>
      <c r="AB132" s="2">
        <v>0</v>
      </c>
    </row>
    <row r="133" spans="1:28">
      <c r="A133" s="2">
        <v>130</v>
      </c>
      <c r="B133" s="2" t="s">
        <v>647</v>
      </c>
      <c r="C133" s="2" t="s">
        <v>2186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43223760.462205514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43223760.462205514</v>
      </c>
      <c r="Y133" s="6" t="s">
        <v>1195</v>
      </c>
      <c r="Z133" s="6" t="s">
        <v>1195</v>
      </c>
      <c r="AA133" s="2">
        <f t="shared" si="20"/>
        <v>43223760.462205514</v>
      </c>
      <c r="AB133" s="2">
        <v>0</v>
      </c>
    </row>
    <row r="134" spans="1:28">
      <c r="A134" s="2">
        <v>131</v>
      </c>
      <c r="B134" s="2" t="s">
        <v>651</v>
      </c>
      <c r="C134" s="2" t="s">
        <v>2186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43223760.462205514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43223760.462205514</v>
      </c>
      <c r="Y134" s="6" t="s">
        <v>1195</v>
      </c>
      <c r="Z134" s="6" t="s">
        <v>1195</v>
      </c>
      <c r="AA134" s="2">
        <f t="shared" si="20"/>
        <v>43223760.462205514</v>
      </c>
      <c r="AB134" s="2">
        <v>0</v>
      </c>
    </row>
    <row r="135" spans="1:28">
      <c r="A135" s="2">
        <v>132</v>
      </c>
      <c r="B135" s="2" t="s">
        <v>654</v>
      </c>
      <c r="C135" s="2" t="s">
        <v>2186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43223760.462205514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43223760.462205514</v>
      </c>
      <c r="Y135" s="6" t="s">
        <v>1195</v>
      </c>
      <c r="Z135" s="6" t="s">
        <v>1195</v>
      </c>
      <c r="AA135" s="2">
        <f t="shared" si="20"/>
        <v>43223760.462205514</v>
      </c>
      <c r="AB135" s="2">
        <v>0</v>
      </c>
    </row>
    <row r="136" spans="1:28">
      <c r="A136" s="2">
        <v>133</v>
      </c>
      <c r="B136" s="2" t="s">
        <v>656</v>
      </c>
      <c r="C136" s="2" t="s">
        <v>2186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43223760.462205514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43223760.462205514</v>
      </c>
      <c r="Y136" s="6" t="s">
        <v>1195</v>
      </c>
      <c r="Z136" s="6" t="s">
        <v>1195</v>
      </c>
      <c r="AA136" s="2">
        <f t="shared" si="20"/>
        <v>43223760.462205514</v>
      </c>
      <c r="AB136" s="2">
        <v>0</v>
      </c>
    </row>
    <row r="137" spans="1:28">
      <c r="A137" s="2">
        <v>134</v>
      </c>
      <c r="B137" s="2" t="s">
        <v>658</v>
      </c>
      <c r="C137" s="2" t="s">
        <v>2186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1561</v>
      </c>
      <c r="J137" s="2" t="s">
        <v>1645</v>
      </c>
      <c r="K137" s="2">
        <f t="shared" si="21"/>
        <v>43223760.462205514</v>
      </c>
      <c r="L137" s="2" t="s">
        <v>2160</v>
      </c>
      <c r="M137" s="2" t="s">
        <v>2161</v>
      </c>
      <c r="N137" s="2" t="s">
        <v>1667</v>
      </c>
      <c r="O137" s="2">
        <v>332</v>
      </c>
      <c r="P137" s="2">
        <v>3360.882080078125</v>
      </c>
      <c r="Q137" s="2">
        <v>3666.498046875</v>
      </c>
      <c r="R137" s="2">
        <f>O137*P137</f>
        <v>1115812.8505859375</v>
      </c>
      <c r="S137" s="2">
        <f>O137*Q137</f>
        <v>1217277.3515625</v>
      </c>
      <c r="T137" s="2">
        <f>R137+S137</f>
        <v>2333090.2021484375</v>
      </c>
      <c r="U137" s="2">
        <f>ROUND(T137*0.0005, 2)</f>
        <v>1166.55</v>
      </c>
      <c r="V137" s="2">
        <f>S137-R137</f>
        <v>101464.5009765625</v>
      </c>
      <c r="W137" s="2">
        <f>V137-U137</f>
        <v>100297.9509765625</v>
      </c>
      <c r="X137" s="2">
        <f>K137+W137</f>
        <v>43324058.41318208</v>
      </c>
      <c r="Y137" s="2">
        <f>ROUND(0.2*R137, 2)</f>
        <v>223162.57</v>
      </c>
      <c r="Z137" s="2">
        <f>ROUND((W137/Y137)*100, 2)</f>
        <v>44.94</v>
      </c>
      <c r="AA137" s="2">
        <f>MAX(AA136, X137)</f>
        <v>43324058.41318208</v>
      </c>
      <c r="AB137" s="2">
        <f>X137-AA137</f>
        <v>0</v>
      </c>
    </row>
    <row r="138" spans="1:28">
      <c r="A138" s="2">
        <v>135</v>
      </c>
      <c r="B138" s="2" t="s">
        <v>661</v>
      </c>
      <c r="C138" s="2" t="s">
        <v>2186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43324058.41318208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>K138</f>
        <v>43324058.41318208</v>
      </c>
      <c r="Y138" s="6" t="s">
        <v>1195</v>
      </c>
      <c r="Z138" s="6" t="s">
        <v>1195</v>
      </c>
      <c r="AA138" s="2">
        <f>AA137</f>
        <v>43324058.41318208</v>
      </c>
      <c r="AB138" s="2">
        <v>0</v>
      </c>
    </row>
    <row r="139" spans="1:28">
      <c r="A139" s="2">
        <v>136</v>
      </c>
      <c r="B139" s="2" t="s">
        <v>664</v>
      </c>
      <c r="C139" s="2" t="s">
        <v>2186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43324058.41318208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>K139</f>
        <v>43324058.41318208</v>
      </c>
      <c r="Y139" s="6" t="s">
        <v>1195</v>
      </c>
      <c r="Z139" s="6" t="s">
        <v>1195</v>
      </c>
      <c r="AA139" s="2">
        <f>AA138</f>
        <v>43324058.41318208</v>
      </c>
      <c r="AB139" s="2">
        <v>0</v>
      </c>
    </row>
    <row r="140" spans="1:28">
      <c r="A140" s="2">
        <v>137</v>
      </c>
      <c r="B140" s="2" t="s">
        <v>667</v>
      </c>
      <c r="C140" s="2" t="s">
        <v>2186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43324058.41318208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>K140</f>
        <v>43324058.41318208</v>
      </c>
      <c r="Y140" s="6" t="s">
        <v>1195</v>
      </c>
      <c r="Z140" s="6" t="s">
        <v>1195</v>
      </c>
      <c r="AA140" s="2">
        <f>AA139</f>
        <v>43324058.41318208</v>
      </c>
      <c r="AB140" s="2">
        <v>0</v>
      </c>
    </row>
    <row r="141" spans="1:28">
      <c r="A141" s="2">
        <v>138</v>
      </c>
      <c r="B141" s="2" t="s">
        <v>670</v>
      </c>
      <c r="C141" s="2" t="s">
        <v>2186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43324058.41318208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>K141</f>
        <v>43324058.41318208</v>
      </c>
      <c r="Y141" s="6" t="s">
        <v>1195</v>
      </c>
      <c r="Z141" s="6" t="s">
        <v>1195</v>
      </c>
      <c r="AA141" s="2">
        <f>AA140</f>
        <v>43324058.41318208</v>
      </c>
      <c r="AB141" s="2">
        <v>0</v>
      </c>
    </row>
    <row r="142" spans="1:28">
      <c r="A142" s="2">
        <v>139</v>
      </c>
      <c r="B142" s="2" t="s">
        <v>674</v>
      </c>
      <c r="C142" s="2" t="s">
        <v>2186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1243</v>
      </c>
      <c r="J142" s="2" t="s">
        <v>247</v>
      </c>
      <c r="K142" s="2">
        <f t="shared" si="21"/>
        <v>43324058.41318208</v>
      </c>
      <c r="L142" s="2" t="s">
        <v>1801</v>
      </c>
      <c r="M142" s="2" t="s">
        <v>1789</v>
      </c>
      <c r="N142" s="2" t="s">
        <v>1801</v>
      </c>
      <c r="O142" s="2">
        <v>200</v>
      </c>
      <c r="P142" s="2">
        <v>1178.183837890625</v>
      </c>
      <c r="Q142" s="2">
        <v>1195.6884765625</v>
      </c>
      <c r="R142" s="2">
        <f>O142*P142</f>
        <v>235636.767578125</v>
      </c>
      <c r="S142" s="2">
        <f>O142*Q142</f>
        <v>239137.6953125</v>
      </c>
      <c r="T142" s="2">
        <f>R142+S142</f>
        <v>474774.462890625</v>
      </c>
      <c r="U142" s="2">
        <f>ROUND(T142*0.0005, 2)</f>
        <v>237.39</v>
      </c>
      <c r="V142" s="2">
        <f>S142-R142</f>
        <v>3500.927734375</v>
      </c>
      <c r="W142" s="2">
        <f>V142-U142</f>
        <v>3263.5377343750001</v>
      </c>
      <c r="X142" s="2">
        <f>K142+W142</f>
        <v>43327321.950916454</v>
      </c>
      <c r="Y142" s="2">
        <f>ROUND(0.2*R142, 2)</f>
        <v>47127.35</v>
      </c>
      <c r="Z142" s="2">
        <f>ROUND((W142/Y142)*100, 2)</f>
        <v>6.92</v>
      </c>
      <c r="AA142" s="2">
        <f>MAX(AA141, X142)</f>
        <v>43327321.950916454</v>
      </c>
      <c r="AB142" s="2">
        <f>X142-AA142</f>
        <v>0</v>
      </c>
    </row>
    <row r="143" spans="1:28">
      <c r="A143" s="2">
        <v>140</v>
      </c>
      <c r="B143" s="2" t="s">
        <v>678</v>
      </c>
      <c r="C143" s="2" t="s">
        <v>2186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43327321.950916454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>K143</f>
        <v>43327321.950916454</v>
      </c>
      <c r="Y143" s="6" t="s">
        <v>1195</v>
      </c>
      <c r="Z143" s="6" t="s">
        <v>1195</v>
      </c>
      <c r="AA143" s="2">
        <f>AA142</f>
        <v>43327321.950916454</v>
      </c>
      <c r="AB143" s="2">
        <v>0</v>
      </c>
    </row>
    <row r="144" spans="1:28">
      <c r="A144" s="2">
        <v>141</v>
      </c>
      <c r="B144" s="2" t="s">
        <v>681</v>
      </c>
      <c r="C144" s="2" t="s">
        <v>2186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43327321.950916454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>K144</f>
        <v>43327321.950916454</v>
      </c>
      <c r="Y144" s="6" t="s">
        <v>1195</v>
      </c>
      <c r="Z144" s="6" t="s">
        <v>1195</v>
      </c>
      <c r="AA144" s="2">
        <f>AA143</f>
        <v>43327321.950916454</v>
      </c>
      <c r="AB144" s="2">
        <v>0</v>
      </c>
    </row>
    <row r="145" spans="1:28">
      <c r="A145" s="2">
        <v>142</v>
      </c>
      <c r="B145" s="2" t="s">
        <v>685</v>
      </c>
      <c r="C145" s="2" t="s">
        <v>2186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2162</v>
      </c>
      <c r="J145" s="2" t="s">
        <v>2163</v>
      </c>
      <c r="K145" s="2">
        <f t="shared" si="21"/>
        <v>43327321.950916454</v>
      </c>
      <c r="L145" s="2" t="s">
        <v>1603</v>
      </c>
      <c r="M145" s="2" t="s">
        <v>1805</v>
      </c>
      <c r="N145" s="2" t="s">
        <v>1541</v>
      </c>
      <c r="O145" s="2">
        <v>1500</v>
      </c>
      <c r="P145" s="2">
        <v>342.2366943359375</v>
      </c>
      <c r="Q145" s="2">
        <v>344.47695922851563</v>
      </c>
      <c r="R145" s="2">
        <f>O145*P145</f>
        <v>513355.04150390625</v>
      </c>
      <c r="S145" s="2">
        <f>O145*Q145</f>
        <v>516715.43884277344</v>
      </c>
      <c r="T145" s="2">
        <f>R145+S145</f>
        <v>1030070.4803466797</v>
      </c>
      <c r="U145" s="2">
        <f>ROUND(T145*0.0005, 2)</f>
        <v>515.04</v>
      </c>
      <c r="V145" s="2">
        <f>S145-R145</f>
        <v>3360.3973388671875</v>
      </c>
      <c r="W145" s="2">
        <f>V145-U145</f>
        <v>2845.3573388671875</v>
      </c>
      <c r="X145" s="2">
        <f>K145+W145</f>
        <v>43330167.308255322</v>
      </c>
      <c r="Y145" s="2">
        <f>ROUND(0.2*R145, 2)</f>
        <v>102671.01</v>
      </c>
      <c r="Z145" s="2">
        <f>ROUND((W145/Y145)*100, 2)</f>
        <v>2.77</v>
      </c>
      <c r="AA145" s="2">
        <f>MAX(AA144, X145)</f>
        <v>43330167.308255322</v>
      </c>
      <c r="AB145" s="2">
        <f>X145-AA145</f>
        <v>0</v>
      </c>
    </row>
    <row r="146" spans="1:28">
      <c r="A146" s="2">
        <v>143</v>
      </c>
      <c r="B146" s="2" t="s">
        <v>689</v>
      </c>
      <c r="C146" s="2" t="s">
        <v>2186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43330167.308255322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43330167.308255322</v>
      </c>
      <c r="Y146" s="6" t="s">
        <v>1195</v>
      </c>
      <c r="Z146" s="6" t="s">
        <v>1195</v>
      </c>
      <c r="AA146" s="2">
        <f>AA145</f>
        <v>43330167.308255322</v>
      </c>
      <c r="AB146" s="2">
        <v>0</v>
      </c>
    </row>
    <row r="147" spans="1:28">
      <c r="A147" s="2">
        <v>144</v>
      </c>
      <c r="B147" s="2" t="s">
        <v>692</v>
      </c>
      <c r="C147" s="2" t="s">
        <v>2186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43330167.308255322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43330167.308255322</v>
      </c>
      <c r="Y147" s="6" t="s">
        <v>1195</v>
      </c>
      <c r="Z147" s="6" t="s">
        <v>1195</v>
      </c>
      <c r="AA147" s="2">
        <f>AA146</f>
        <v>43330167.308255322</v>
      </c>
      <c r="AB147" s="2">
        <v>0</v>
      </c>
    </row>
    <row r="148" spans="1:28">
      <c r="A148" s="2">
        <v>145</v>
      </c>
      <c r="B148" s="2" t="s">
        <v>696</v>
      </c>
      <c r="C148" s="2" t="s">
        <v>2186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43330167.308255322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43330167.308255322</v>
      </c>
      <c r="Y148" s="6" t="s">
        <v>1195</v>
      </c>
      <c r="Z148" s="6" t="s">
        <v>1195</v>
      </c>
      <c r="AA148" s="2">
        <f>AA147</f>
        <v>43330167.308255322</v>
      </c>
      <c r="AB148" s="2">
        <v>0</v>
      </c>
    </row>
    <row r="149" spans="1:28">
      <c r="A149" s="2">
        <v>146</v>
      </c>
      <c r="B149" s="2" t="s">
        <v>701</v>
      </c>
      <c r="C149" s="2" t="s">
        <v>2186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43330167.308255322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43330167.308255322</v>
      </c>
      <c r="Y149" s="6" t="s">
        <v>1195</v>
      </c>
      <c r="Z149" s="6" t="s">
        <v>1195</v>
      </c>
      <c r="AA149" s="2">
        <f>AA148</f>
        <v>43330167.308255322</v>
      </c>
      <c r="AB149" s="2">
        <v>0</v>
      </c>
    </row>
    <row r="150" spans="1:28">
      <c r="A150" s="2">
        <v>147</v>
      </c>
      <c r="B150" s="2" t="s">
        <v>705</v>
      </c>
      <c r="C150" s="2" t="s">
        <v>2186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1197</v>
      </c>
      <c r="J150" s="2" t="s">
        <v>2164</v>
      </c>
      <c r="K150" s="2">
        <f t="shared" si="21"/>
        <v>43330167.308255322</v>
      </c>
      <c r="L150" s="2" t="s">
        <v>1559</v>
      </c>
      <c r="M150" s="2" t="s">
        <v>1615</v>
      </c>
      <c r="N150" s="2" t="s">
        <v>1568</v>
      </c>
      <c r="O150" s="2">
        <v>3750</v>
      </c>
      <c r="P150" s="2">
        <v>247.10969543457031</v>
      </c>
      <c r="Q150" s="2">
        <v>243.46116638183599</v>
      </c>
      <c r="R150" s="2">
        <f>O150*P150</f>
        <v>926661.35787963867</v>
      </c>
      <c r="S150" s="2">
        <f>O150*Q150</f>
        <v>912979.373931885</v>
      </c>
      <c r="T150" s="2">
        <f>R150+S150</f>
        <v>1839640.7318115237</v>
      </c>
      <c r="U150" s="2">
        <f>ROUND(T150*0.0005, 2)</f>
        <v>919.82</v>
      </c>
      <c r="V150" s="2">
        <f>S150-R150</f>
        <v>-13681.983947753673</v>
      </c>
      <c r="W150" s="2">
        <f>V150-U150</f>
        <v>-14601.803947753673</v>
      </c>
      <c r="X150" s="2">
        <f>K150+W150</f>
        <v>43315565.504307568</v>
      </c>
      <c r="Y150" s="2">
        <f>ROUND(0.2*R150, 2)</f>
        <v>185332.27</v>
      </c>
      <c r="Z150" s="2">
        <f>ROUND((W150/Y150)*100, 2)</f>
        <v>-7.88</v>
      </c>
      <c r="AA150" s="2">
        <f>MAX(AA149, X150)</f>
        <v>43330167.308255322</v>
      </c>
      <c r="AB150" s="2">
        <f>X150-AA150</f>
        <v>-14601.803947754204</v>
      </c>
    </row>
    <row r="151" spans="1:28">
      <c r="A151" s="2">
        <v>148</v>
      </c>
      <c r="B151" s="2" t="s">
        <v>708</v>
      </c>
      <c r="C151" s="2" t="s">
        <v>2186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43315565.504307568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2">K151</f>
        <v>43315565.504307568</v>
      </c>
      <c r="Y151" s="6" t="s">
        <v>1195</v>
      </c>
      <c r="Z151" s="6" t="s">
        <v>1195</v>
      </c>
      <c r="AA151" s="2">
        <f t="shared" ref="AA151:AA164" si="23">AA150</f>
        <v>43330167.308255322</v>
      </c>
      <c r="AB151" s="2">
        <v>0</v>
      </c>
    </row>
    <row r="152" spans="1:28">
      <c r="A152" s="2">
        <v>149</v>
      </c>
      <c r="B152" s="2" t="s">
        <v>710</v>
      </c>
      <c r="C152" s="2" t="s">
        <v>2186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43315565.504307568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2"/>
        <v>43315565.504307568</v>
      </c>
      <c r="Y152" s="6" t="s">
        <v>1195</v>
      </c>
      <c r="Z152" s="6" t="s">
        <v>1195</v>
      </c>
      <c r="AA152" s="2">
        <f t="shared" si="23"/>
        <v>43330167.308255322</v>
      </c>
      <c r="AB152" s="2">
        <v>0</v>
      </c>
    </row>
    <row r="153" spans="1:28">
      <c r="A153" s="2">
        <v>150</v>
      </c>
      <c r="B153" s="2" t="s">
        <v>714</v>
      </c>
      <c r="C153" s="2" t="s">
        <v>2186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43315565.504307568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2"/>
        <v>43315565.504307568</v>
      </c>
      <c r="Y153" s="6" t="s">
        <v>1195</v>
      </c>
      <c r="Z153" s="6" t="s">
        <v>1195</v>
      </c>
      <c r="AA153" s="2">
        <f t="shared" si="23"/>
        <v>43330167.308255322</v>
      </c>
      <c r="AB153" s="2">
        <v>0</v>
      </c>
    </row>
    <row r="154" spans="1:28">
      <c r="A154" s="2">
        <v>151</v>
      </c>
      <c r="B154" s="2" t="s">
        <v>718</v>
      </c>
      <c r="C154" s="2" t="s">
        <v>2186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43315565.504307568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2"/>
        <v>43315565.504307568</v>
      </c>
      <c r="Y154" s="6" t="s">
        <v>1195</v>
      </c>
      <c r="Z154" s="6" t="s">
        <v>1195</v>
      </c>
      <c r="AA154" s="2">
        <f t="shared" si="23"/>
        <v>43330167.308255322</v>
      </c>
      <c r="AB154" s="2">
        <v>0</v>
      </c>
    </row>
    <row r="155" spans="1:28">
      <c r="A155" s="2">
        <v>152</v>
      </c>
      <c r="B155" s="2" t="s">
        <v>720</v>
      </c>
      <c r="C155" s="2" t="s">
        <v>2186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43315565.504307568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2"/>
        <v>43315565.504307568</v>
      </c>
      <c r="Y155" s="6" t="s">
        <v>1195</v>
      </c>
      <c r="Z155" s="6" t="s">
        <v>1195</v>
      </c>
      <c r="AA155" s="2">
        <f t="shared" si="23"/>
        <v>43330167.308255322</v>
      </c>
      <c r="AB155" s="2">
        <v>0</v>
      </c>
    </row>
    <row r="156" spans="1:28">
      <c r="A156" s="2">
        <v>153</v>
      </c>
      <c r="B156" s="2" t="s">
        <v>723</v>
      </c>
      <c r="C156" s="2" t="s">
        <v>2186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43315565.504307568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2"/>
        <v>43315565.504307568</v>
      </c>
      <c r="Y156" s="6" t="s">
        <v>1195</v>
      </c>
      <c r="Z156" s="6" t="s">
        <v>1195</v>
      </c>
      <c r="AA156" s="2">
        <f t="shared" si="23"/>
        <v>43330167.308255322</v>
      </c>
      <c r="AB156" s="2">
        <v>0</v>
      </c>
    </row>
    <row r="157" spans="1:28">
      <c r="A157" s="2">
        <v>154</v>
      </c>
      <c r="B157" s="2" t="s">
        <v>727</v>
      </c>
      <c r="C157" s="2" t="s">
        <v>2186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43315565.504307568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2"/>
        <v>43315565.504307568</v>
      </c>
      <c r="Y157" s="6" t="s">
        <v>1195</v>
      </c>
      <c r="Z157" s="6" t="s">
        <v>1195</v>
      </c>
      <c r="AA157" s="2">
        <f t="shared" si="23"/>
        <v>43330167.308255322</v>
      </c>
      <c r="AB157" s="2">
        <v>0</v>
      </c>
    </row>
    <row r="158" spans="1:28">
      <c r="A158" s="2">
        <v>155</v>
      </c>
      <c r="B158" s="2" t="s">
        <v>729</v>
      </c>
      <c r="C158" s="2" t="s">
        <v>2186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43315565.504307568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2"/>
        <v>43315565.504307568</v>
      </c>
      <c r="Y158" s="6" t="s">
        <v>1195</v>
      </c>
      <c r="Z158" s="6" t="s">
        <v>1195</v>
      </c>
      <c r="AA158" s="2">
        <f t="shared" si="23"/>
        <v>43330167.308255322</v>
      </c>
      <c r="AB158" s="2">
        <v>0</v>
      </c>
    </row>
    <row r="159" spans="1:28">
      <c r="A159" s="2">
        <v>156</v>
      </c>
      <c r="B159" s="2" t="s">
        <v>732</v>
      </c>
      <c r="C159" s="2" t="s">
        <v>2186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43315565.504307568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2"/>
        <v>43315565.504307568</v>
      </c>
      <c r="Y159" s="6" t="s">
        <v>1195</v>
      </c>
      <c r="Z159" s="6" t="s">
        <v>1195</v>
      </c>
      <c r="AA159" s="2">
        <f t="shared" si="23"/>
        <v>43330167.308255322</v>
      </c>
      <c r="AB159" s="2">
        <v>0</v>
      </c>
    </row>
    <row r="160" spans="1:28">
      <c r="A160" s="2">
        <v>157</v>
      </c>
      <c r="B160" s="2" t="s">
        <v>736</v>
      </c>
      <c r="C160" s="2" t="s">
        <v>2186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43315565.504307568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2"/>
        <v>43315565.504307568</v>
      </c>
      <c r="Y160" s="6" t="s">
        <v>1195</v>
      </c>
      <c r="Z160" s="6" t="s">
        <v>1195</v>
      </c>
      <c r="AA160" s="2">
        <f t="shared" si="23"/>
        <v>43330167.308255322</v>
      </c>
      <c r="AB160" s="2">
        <v>0</v>
      </c>
    </row>
    <row r="161" spans="1:28">
      <c r="A161" s="2">
        <v>158</v>
      </c>
      <c r="B161" s="2" t="s">
        <v>738</v>
      </c>
      <c r="C161" s="2" t="s">
        <v>2186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43315565.504307568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2"/>
        <v>43315565.504307568</v>
      </c>
      <c r="Y161" s="6" t="s">
        <v>1195</v>
      </c>
      <c r="Z161" s="6" t="s">
        <v>1195</v>
      </c>
      <c r="AA161" s="2">
        <f t="shared" si="23"/>
        <v>43330167.308255322</v>
      </c>
      <c r="AB161" s="2">
        <v>0</v>
      </c>
    </row>
    <row r="162" spans="1:28">
      <c r="A162" s="2">
        <v>159</v>
      </c>
      <c r="B162" s="2" t="s">
        <v>741</v>
      </c>
      <c r="C162" s="2" t="s">
        <v>2186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43315565.504307568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2"/>
        <v>43315565.504307568</v>
      </c>
      <c r="Y162" s="6" t="s">
        <v>1195</v>
      </c>
      <c r="Z162" s="6" t="s">
        <v>1195</v>
      </c>
      <c r="AA162" s="2">
        <f t="shared" si="23"/>
        <v>43330167.308255322</v>
      </c>
      <c r="AB162" s="2">
        <v>0</v>
      </c>
    </row>
    <row r="163" spans="1:28">
      <c r="A163" s="2">
        <v>160</v>
      </c>
      <c r="B163" s="2" t="s">
        <v>743</v>
      </c>
      <c r="C163" s="2" t="s">
        <v>2186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43315565.504307568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2"/>
        <v>43315565.504307568</v>
      </c>
      <c r="Y163" s="6" t="s">
        <v>1195</v>
      </c>
      <c r="Z163" s="6" t="s">
        <v>1195</v>
      </c>
      <c r="AA163" s="2">
        <f t="shared" si="23"/>
        <v>43330167.308255322</v>
      </c>
      <c r="AB163" s="2">
        <v>0</v>
      </c>
    </row>
    <row r="164" spans="1:28">
      <c r="A164" s="2">
        <v>161</v>
      </c>
      <c r="B164" s="2" t="s">
        <v>746</v>
      </c>
      <c r="C164" s="2" t="s">
        <v>2186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43315565.504307568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2"/>
        <v>43315565.504307568</v>
      </c>
      <c r="Y164" s="6" t="s">
        <v>1195</v>
      </c>
      <c r="Z164" s="6" t="s">
        <v>1195</v>
      </c>
      <c r="AA164" s="2">
        <f t="shared" si="23"/>
        <v>43330167.308255322</v>
      </c>
      <c r="AB164" s="2">
        <v>0</v>
      </c>
    </row>
    <row r="165" spans="1:28">
      <c r="A165" s="2">
        <v>162</v>
      </c>
      <c r="B165" s="2" t="s">
        <v>750</v>
      </c>
      <c r="C165" s="2" t="s">
        <v>2186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2165</v>
      </c>
      <c r="J165" s="2" t="s">
        <v>2166</v>
      </c>
      <c r="K165" s="2">
        <f t="shared" si="21"/>
        <v>43315565.504307568</v>
      </c>
      <c r="L165" s="2" t="s">
        <v>1613</v>
      </c>
      <c r="M165" s="2" t="s">
        <v>1573</v>
      </c>
      <c r="N165" s="2" t="s">
        <v>1539</v>
      </c>
      <c r="O165" s="2">
        <v>1800</v>
      </c>
      <c r="P165" s="2">
        <v>287.01956176757812</v>
      </c>
      <c r="Q165" s="2">
        <v>304.84719848632812</v>
      </c>
      <c r="R165" s="2">
        <f>O165*P165</f>
        <v>516635.21118164063</v>
      </c>
      <c r="S165" s="2">
        <f>O165*Q165</f>
        <v>548724.95727539063</v>
      </c>
      <c r="T165" s="2">
        <f>R165+S165</f>
        <v>1065360.1684570312</v>
      </c>
      <c r="U165" s="2">
        <f>ROUND(T165*0.0005, 2)</f>
        <v>532.67999999999995</v>
      </c>
      <c r="V165" s="2">
        <f>S165-R165</f>
        <v>32089.74609375</v>
      </c>
      <c r="W165" s="2">
        <f>V165-U165</f>
        <v>31557.06609375</v>
      </c>
      <c r="X165" s="2">
        <f>K165+W165</f>
        <v>43347122.570401318</v>
      </c>
      <c r="Y165" s="2">
        <f>ROUND(0.2*R165, 2)</f>
        <v>103327.03999999999</v>
      </c>
      <c r="Z165" s="2">
        <f>ROUND((W165/Y165)*100, 2)</f>
        <v>30.54</v>
      </c>
      <c r="AA165" s="2">
        <f>MAX(AA164, X165)</f>
        <v>43347122.570401318</v>
      </c>
      <c r="AB165" s="2">
        <f>X165-AA165</f>
        <v>0</v>
      </c>
    </row>
    <row r="166" spans="1:28">
      <c r="A166" s="2">
        <v>163</v>
      </c>
      <c r="B166" s="2" t="s">
        <v>754</v>
      </c>
      <c r="C166" s="2" t="s">
        <v>2186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43347122.570401318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43347122.570401318</v>
      </c>
      <c r="Y166" s="6" t="s">
        <v>1195</v>
      </c>
      <c r="Z166" s="6" t="s">
        <v>1195</v>
      </c>
      <c r="AA166" s="2">
        <f>AA165</f>
        <v>43347122.570401318</v>
      </c>
      <c r="AB166" s="2">
        <v>0</v>
      </c>
    </row>
    <row r="167" spans="1:28">
      <c r="A167" s="2">
        <v>164</v>
      </c>
      <c r="B167" s="2" t="s">
        <v>758</v>
      </c>
      <c r="C167" s="2" t="s">
        <v>2186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43347122.570401318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43347122.570401318</v>
      </c>
      <c r="Y167" s="6" t="s">
        <v>1195</v>
      </c>
      <c r="Z167" s="6" t="s">
        <v>1195</v>
      </c>
      <c r="AA167" s="2">
        <f>AA166</f>
        <v>43347122.570401318</v>
      </c>
      <c r="AB167" s="2">
        <v>0</v>
      </c>
    </row>
    <row r="168" spans="1:28">
      <c r="A168" s="2">
        <v>165</v>
      </c>
      <c r="B168" s="2" t="s">
        <v>760</v>
      </c>
      <c r="C168" s="2" t="s">
        <v>2186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43347122.570401318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43347122.570401318</v>
      </c>
      <c r="Y168" s="6" t="s">
        <v>1195</v>
      </c>
      <c r="Z168" s="6" t="s">
        <v>1195</v>
      </c>
      <c r="AA168" s="2">
        <f>AA167</f>
        <v>43347122.570401318</v>
      </c>
      <c r="AB168" s="2">
        <v>0</v>
      </c>
    </row>
    <row r="169" spans="1:28">
      <c r="A169" s="2">
        <v>166</v>
      </c>
      <c r="B169" s="2" t="s">
        <v>763</v>
      </c>
      <c r="C169" s="2" t="s">
        <v>2186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43347122.570401318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43347122.570401318</v>
      </c>
      <c r="Y169" s="6" t="s">
        <v>1195</v>
      </c>
      <c r="Z169" s="6" t="s">
        <v>1195</v>
      </c>
      <c r="AA169" s="2">
        <f>AA168</f>
        <v>43347122.570401318</v>
      </c>
      <c r="AB169" s="2">
        <v>0</v>
      </c>
    </row>
    <row r="170" spans="1:28">
      <c r="A170" s="2">
        <v>167</v>
      </c>
      <c r="B170" s="2" t="s">
        <v>764</v>
      </c>
      <c r="C170" s="2" t="s">
        <v>2186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43347122.570401318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43347122.570401318</v>
      </c>
      <c r="Y170" s="6" t="s">
        <v>1195</v>
      </c>
      <c r="Z170" s="6" t="s">
        <v>1195</v>
      </c>
      <c r="AA170" s="2">
        <f>AA169</f>
        <v>43347122.570401318</v>
      </c>
      <c r="AB170" s="2">
        <v>0</v>
      </c>
    </row>
    <row r="171" spans="1:28">
      <c r="A171" s="2">
        <v>168</v>
      </c>
      <c r="B171" s="2" t="s">
        <v>769</v>
      </c>
      <c r="C171" s="2" t="s">
        <v>2186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2214</v>
      </c>
      <c r="J171" s="2" t="s">
        <v>1704</v>
      </c>
      <c r="K171" s="2">
        <f t="shared" si="21"/>
        <v>43347122.570401318</v>
      </c>
      <c r="L171" s="2" t="s">
        <v>2215</v>
      </c>
      <c r="M171" s="2" t="s">
        <v>2042</v>
      </c>
      <c r="N171" s="2" t="s">
        <v>2040</v>
      </c>
      <c r="O171" s="2">
        <v>2667</v>
      </c>
      <c r="P171" s="2">
        <v>369.375732421875</v>
      </c>
      <c r="Q171" s="2">
        <v>355.28567504882812</v>
      </c>
      <c r="R171" s="2">
        <f>O171*P171</f>
        <v>985125.07836914063</v>
      </c>
      <c r="S171" s="2">
        <f>O171*Q171</f>
        <v>947546.89535522461</v>
      </c>
      <c r="T171" s="2">
        <f>R171+S171</f>
        <v>1932671.9737243652</v>
      </c>
      <c r="U171" s="2">
        <f>ROUND(T171*0.0005, 2)</f>
        <v>966.34</v>
      </c>
      <c r="V171" s="2">
        <f>S171-R171</f>
        <v>-37578.183013916016</v>
      </c>
      <c r="W171" s="2">
        <f>V171-U171</f>
        <v>-38544.523013916012</v>
      </c>
      <c r="X171" s="2">
        <f>K171+W171</f>
        <v>43308578.047387399</v>
      </c>
      <c r="Y171" s="2">
        <f>ROUND(0.2*R171, 2)</f>
        <v>197025.02</v>
      </c>
      <c r="Z171" s="2">
        <f>ROUND((W171/Y171)*100, 2)</f>
        <v>-19.559999999999999</v>
      </c>
      <c r="AA171" s="2">
        <f>MAX(AA170, X171)</f>
        <v>43347122.570401318</v>
      </c>
      <c r="AB171" s="2">
        <f>X171-AA171</f>
        <v>-38544.523013919592</v>
      </c>
    </row>
    <row r="172" spans="1:28">
      <c r="A172" s="2">
        <v>169</v>
      </c>
      <c r="B172" s="2" t="s">
        <v>773</v>
      </c>
      <c r="C172" s="2" t="s">
        <v>2186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1872</v>
      </c>
      <c r="J172" s="2" t="s">
        <v>1309</v>
      </c>
      <c r="K172" s="2">
        <f t="shared" si="21"/>
        <v>43308578.047387399</v>
      </c>
      <c r="L172" s="2" t="s">
        <v>1375</v>
      </c>
      <c r="M172" s="2" t="s">
        <v>1298</v>
      </c>
      <c r="N172" s="2" t="s">
        <v>1580</v>
      </c>
      <c r="O172" s="2">
        <v>250</v>
      </c>
      <c r="P172" s="2">
        <v>1447.568481445312</v>
      </c>
      <c r="Q172" s="2">
        <v>1452.607666015625</v>
      </c>
      <c r="R172" s="2">
        <f>O172*P172</f>
        <v>361892.12036132801</v>
      </c>
      <c r="S172" s="2">
        <f>O172*Q172</f>
        <v>363151.91650390625</v>
      </c>
      <c r="T172" s="2">
        <f>R172+S172</f>
        <v>725044.03686523426</v>
      </c>
      <c r="U172" s="2">
        <f>ROUND(T172*0.0005, 2)</f>
        <v>362.52</v>
      </c>
      <c r="V172" s="2">
        <f>S172-R172</f>
        <v>1259.7961425782414</v>
      </c>
      <c r="W172" s="2">
        <f>V172-U172</f>
        <v>897.27614257824143</v>
      </c>
      <c r="X172" s="2">
        <f>K172+W172</f>
        <v>43309475.323529974</v>
      </c>
      <c r="Y172" s="2">
        <f>ROUND(0.2*R172, 2)</f>
        <v>72378.42</v>
      </c>
      <c r="Z172" s="2">
        <f>ROUND((W172/Y172)*100, 2)</f>
        <v>1.24</v>
      </c>
      <c r="AA172" s="2">
        <f>MAX(AA171, X172)</f>
        <v>43347122.570401318</v>
      </c>
      <c r="AB172" s="2">
        <f>X172-AA172</f>
        <v>-37647.246871344745</v>
      </c>
    </row>
    <row r="173" spans="1:28">
      <c r="A173" s="2">
        <v>170</v>
      </c>
      <c r="B173" s="2" t="s">
        <v>778</v>
      </c>
      <c r="C173" s="2" t="s">
        <v>2186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43309475.323529974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43309475.323529974</v>
      </c>
      <c r="Y173" s="6" t="s">
        <v>1195</v>
      </c>
      <c r="Z173" s="6" t="s">
        <v>1195</v>
      </c>
      <c r="AA173" s="2">
        <f>AA172</f>
        <v>43347122.570401318</v>
      </c>
      <c r="AB173" s="2">
        <v>0</v>
      </c>
    </row>
    <row r="174" spans="1:28">
      <c r="A174" s="2">
        <v>171</v>
      </c>
      <c r="B174" s="2" t="s">
        <v>782</v>
      </c>
      <c r="C174" s="2" t="s">
        <v>2186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43309475.323529974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43309475.323529974</v>
      </c>
      <c r="Y174" s="6" t="s">
        <v>1195</v>
      </c>
      <c r="Z174" s="6" t="s">
        <v>1195</v>
      </c>
      <c r="AA174" s="2">
        <f>AA173</f>
        <v>43347122.570401318</v>
      </c>
      <c r="AB174" s="2">
        <v>0</v>
      </c>
    </row>
    <row r="175" spans="1:28">
      <c r="A175" s="2">
        <v>172</v>
      </c>
      <c r="B175" s="2" t="s">
        <v>784</v>
      </c>
      <c r="C175" s="2" t="s">
        <v>2186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43309475.323529974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43309475.323529974</v>
      </c>
      <c r="Y175" s="6" t="s">
        <v>1195</v>
      </c>
      <c r="Z175" s="6" t="s">
        <v>1195</v>
      </c>
      <c r="AA175" s="2">
        <f>AA174</f>
        <v>43347122.570401318</v>
      </c>
      <c r="AB175" s="2">
        <v>0</v>
      </c>
    </row>
    <row r="176" spans="1:28">
      <c r="A176" s="2">
        <v>173</v>
      </c>
      <c r="B176" s="2" t="s">
        <v>787</v>
      </c>
      <c r="C176" s="2" t="s">
        <v>2186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43309475.323529974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43309475.323529974</v>
      </c>
      <c r="Y176" s="6" t="s">
        <v>1195</v>
      </c>
      <c r="Z176" s="6" t="s">
        <v>1195</v>
      </c>
      <c r="AA176" s="2">
        <f>AA175</f>
        <v>43347122.570401318</v>
      </c>
      <c r="AB176" s="2">
        <v>0</v>
      </c>
    </row>
    <row r="177" spans="1:28">
      <c r="A177" s="2">
        <v>174</v>
      </c>
      <c r="B177" s="2" t="s">
        <v>790</v>
      </c>
      <c r="C177" s="2" t="s">
        <v>2186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1941</v>
      </c>
      <c r="J177" s="2" t="s">
        <v>1524</v>
      </c>
      <c r="K177" s="2">
        <f t="shared" si="21"/>
        <v>43309475.323529974</v>
      </c>
      <c r="L177" s="2" t="s">
        <v>2216</v>
      </c>
      <c r="M177" s="2" t="s">
        <v>2217</v>
      </c>
      <c r="N177" s="2" t="s">
        <v>2204</v>
      </c>
      <c r="O177" s="2">
        <v>375</v>
      </c>
      <c r="P177" s="2">
        <v>1100.240600585938</v>
      </c>
      <c r="Q177" s="2">
        <v>1131.282470703125</v>
      </c>
      <c r="R177" s="2">
        <f>O177*P177</f>
        <v>412590.22521972674</v>
      </c>
      <c r="S177" s="2">
        <f>O177*Q177</f>
        <v>424230.92651367187</v>
      </c>
      <c r="T177" s="2">
        <f>R177+S177</f>
        <v>836821.15173339867</v>
      </c>
      <c r="U177" s="2">
        <f>ROUND(T177*0.0005, 2)</f>
        <v>418.41</v>
      </c>
      <c r="V177" s="2">
        <f>S177-R177</f>
        <v>11640.701293945138</v>
      </c>
      <c r="W177" s="2">
        <f>V177-U177</f>
        <v>11222.291293945138</v>
      </c>
      <c r="X177" s="2">
        <f>K177+W177</f>
        <v>43320697.614823915</v>
      </c>
      <c r="Y177" s="2">
        <f>ROUND(0.2*R177, 2)</f>
        <v>82518.05</v>
      </c>
      <c r="Z177" s="2">
        <f>ROUND((W177/Y177)*100, 2)</f>
        <v>13.6</v>
      </c>
      <c r="AA177" s="2">
        <f>MAX(AA176, X177)</f>
        <v>43347122.570401318</v>
      </c>
      <c r="AB177" s="2">
        <f>X177-AA177</f>
        <v>-26424.955577403307</v>
      </c>
    </row>
    <row r="178" spans="1:28">
      <c r="A178" s="2">
        <v>175</v>
      </c>
      <c r="B178" s="2" t="s">
        <v>794</v>
      </c>
      <c r="C178" s="2" t="s">
        <v>2186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2171</v>
      </c>
      <c r="J178" s="2" t="s">
        <v>316</v>
      </c>
      <c r="K178" s="2">
        <f t="shared" si="21"/>
        <v>43320697.614823915</v>
      </c>
      <c r="L178" s="2" t="s">
        <v>1565</v>
      </c>
      <c r="M178" s="2" t="s">
        <v>1572</v>
      </c>
      <c r="N178" s="2" t="s">
        <v>1565</v>
      </c>
      <c r="O178" s="2">
        <v>1500</v>
      </c>
      <c r="P178" s="2">
        <v>776.4129638671875</v>
      </c>
      <c r="Q178" s="2">
        <v>765.99517822265625</v>
      </c>
      <c r="R178" s="2">
        <f>O178*P178</f>
        <v>1164619.4458007813</v>
      </c>
      <c r="S178" s="2">
        <f>O178*Q178</f>
        <v>1148992.7673339844</v>
      </c>
      <c r="T178" s="2">
        <f>R178+S178</f>
        <v>2313612.2131347656</v>
      </c>
      <c r="U178" s="2">
        <f>ROUND(T178*0.0005, 2)</f>
        <v>1156.81</v>
      </c>
      <c r="V178" s="2">
        <f>S178-R178</f>
        <v>-15626.678466796875</v>
      </c>
      <c r="W178" s="2">
        <f>V178-U178</f>
        <v>-16783.488466796876</v>
      </c>
      <c r="X178" s="2">
        <f>K178+W178</f>
        <v>43303914.126357116</v>
      </c>
      <c r="Y178" s="2">
        <f>ROUND(0.2*R178, 2)</f>
        <v>232923.89</v>
      </c>
      <c r="Z178" s="2">
        <f>ROUND((W178/Y178)*100, 2)</f>
        <v>-7.21</v>
      </c>
      <c r="AA178" s="2">
        <f>MAX(AA177, X178)</f>
        <v>43347122.570401318</v>
      </c>
      <c r="AB178" s="2">
        <f>X178-AA178</f>
        <v>-43208.444044202566</v>
      </c>
    </row>
    <row r="179" spans="1:28">
      <c r="A179" s="2">
        <v>176</v>
      </c>
      <c r="B179" s="2" t="s">
        <v>798</v>
      </c>
      <c r="C179" s="2" t="s">
        <v>2186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43303914.126357116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43303914.126357116</v>
      </c>
      <c r="Y179" s="6" t="s">
        <v>1195</v>
      </c>
      <c r="Z179" s="6" t="s">
        <v>1195</v>
      </c>
      <c r="AA179" s="2">
        <f>AA178</f>
        <v>43347122.570401318</v>
      </c>
      <c r="AB179" s="2">
        <v>0</v>
      </c>
    </row>
    <row r="180" spans="1:28">
      <c r="A180" s="2">
        <v>177</v>
      </c>
      <c r="B180" s="2" t="s">
        <v>801</v>
      </c>
      <c r="C180" s="2" t="s">
        <v>2186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2172</v>
      </c>
      <c r="J180" s="2" t="s">
        <v>1276</v>
      </c>
      <c r="K180" s="2">
        <f t="shared" si="21"/>
        <v>43303914.126357116</v>
      </c>
      <c r="L180" s="2" t="s">
        <v>1374</v>
      </c>
      <c r="M180" s="2" t="s">
        <v>1557</v>
      </c>
      <c r="N180" s="2" t="s">
        <v>1467</v>
      </c>
      <c r="O180" s="2">
        <v>957</v>
      </c>
      <c r="P180" s="2">
        <v>482.14688110351562</v>
      </c>
      <c r="Q180" s="2">
        <v>500.85736083984381</v>
      </c>
      <c r="R180" s="2">
        <f>O180*P180</f>
        <v>461414.56521606445</v>
      </c>
      <c r="S180" s="2">
        <f>O180*Q180</f>
        <v>479320.49432373053</v>
      </c>
      <c r="T180" s="2">
        <f>R180+S180</f>
        <v>940735.05953979492</v>
      </c>
      <c r="U180" s="2">
        <f>ROUND(T180*0.0005, 2)</f>
        <v>470.37</v>
      </c>
      <c r="V180" s="2">
        <f>S180-R180</f>
        <v>17905.929107666074</v>
      </c>
      <c r="W180" s="2">
        <f>V180-U180</f>
        <v>17435.559107666075</v>
      </c>
      <c r="X180" s="2">
        <f>K180+W180</f>
        <v>43321349.685464785</v>
      </c>
      <c r="Y180" s="2">
        <f>ROUND(0.2*R180, 2)</f>
        <v>92282.91</v>
      </c>
      <c r="Z180" s="2">
        <f>ROUND((W180/Y180)*100, 2)</f>
        <v>18.89</v>
      </c>
      <c r="AA180" s="2">
        <f>MAX(AA179, X180)</f>
        <v>43347122.570401318</v>
      </c>
      <c r="AB180" s="2">
        <f>X180-AA180</f>
        <v>-25772.884936533868</v>
      </c>
    </row>
    <row r="181" spans="1:28">
      <c r="A181" s="2">
        <v>178</v>
      </c>
      <c r="B181" s="2" t="s">
        <v>806</v>
      </c>
      <c r="C181" s="2" t="s">
        <v>2186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43321349.685464785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43321349.685464785</v>
      </c>
      <c r="Y181" s="6" t="s">
        <v>1195</v>
      </c>
      <c r="Z181" s="6" t="s">
        <v>1195</v>
      </c>
      <c r="AA181" s="2">
        <f>AA180</f>
        <v>43347122.570401318</v>
      </c>
      <c r="AB181" s="2">
        <v>0</v>
      </c>
    </row>
    <row r="182" spans="1:28">
      <c r="A182" s="2">
        <v>179</v>
      </c>
      <c r="B182" s="2" t="s">
        <v>809</v>
      </c>
      <c r="C182" s="2" t="s">
        <v>2186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43321349.685464785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43321349.685464785</v>
      </c>
      <c r="Y182" s="6" t="s">
        <v>1195</v>
      </c>
      <c r="Z182" s="6" t="s">
        <v>1195</v>
      </c>
      <c r="AA182" s="2">
        <f>AA181</f>
        <v>43347122.570401318</v>
      </c>
      <c r="AB182" s="2">
        <v>0</v>
      </c>
    </row>
    <row r="183" spans="1:28">
      <c r="A183" s="2">
        <v>180</v>
      </c>
      <c r="B183" s="2" t="s">
        <v>813</v>
      </c>
      <c r="C183" s="2" t="s">
        <v>2186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43321349.685464785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43321349.685464785</v>
      </c>
      <c r="Y183" s="6" t="s">
        <v>1195</v>
      </c>
      <c r="Z183" s="6" t="s">
        <v>1195</v>
      </c>
      <c r="AA183" s="2">
        <f>AA182</f>
        <v>43347122.570401318</v>
      </c>
      <c r="AB183" s="2">
        <v>0</v>
      </c>
    </row>
    <row r="184" spans="1:28">
      <c r="A184" s="2">
        <v>181</v>
      </c>
      <c r="B184" s="2" t="s">
        <v>817</v>
      </c>
      <c r="C184" s="2" t="s">
        <v>2186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43321349.685464785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43321349.685464785</v>
      </c>
      <c r="Y184" s="6" t="s">
        <v>1195</v>
      </c>
      <c r="Z184" s="6" t="s">
        <v>1195</v>
      </c>
      <c r="AA184" s="2">
        <f>AA183</f>
        <v>43347122.570401318</v>
      </c>
      <c r="AB184" s="2">
        <v>0</v>
      </c>
    </row>
    <row r="185" spans="1:28">
      <c r="A185" s="2">
        <v>182</v>
      </c>
      <c r="B185" s="2" t="s">
        <v>820</v>
      </c>
      <c r="C185" s="2" t="s">
        <v>2186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1152</v>
      </c>
      <c r="J185" s="2" t="s">
        <v>2218</v>
      </c>
      <c r="K185" s="2">
        <f t="shared" si="21"/>
        <v>43321349.685464785</v>
      </c>
      <c r="L185" s="2" t="s">
        <v>1572</v>
      </c>
      <c r="M185" s="2" t="s">
        <v>1609</v>
      </c>
      <c r="N185" s="2" t="s">
        <v>1613</v>
      </c>
      <c r="O185" s="2">
        <v>350</v>
      </c>
      <c r="P185" s="2">
        <v>1492.531982421875</v>
      </c>
      <c r="Q185" s="2">
        <v>1447.414794921875</v>
      </c>
      <c r="R185" s="2">
        <f>O185*P185</f>
        <v>522386.19384765625</v>
      </c>
      <c r="S185" s="2">
        <f>O185*Q185</f>
        <v>506595.17822265625</v>
      </c>
      <c r="T185" s="2">
        <f>R185+S185</f>
        <v>1028981.3720703125</v>
      </c>
      <c r="U185" s="2">
        <f>ROUND(T185*0.0005, 2)</f>
        <v>514.49</v>
      </c>
      <c r="V185" s="2">
        <f>S185-R185</f>
        <v>-15791.015625</v>
      </c>
      <c r="W185" s="2">
        <f>V185-U185</f>
        <v>-16305.505625</v>
      </c>
      <c r="X185" s="2">
        <f>K185+W185</f>
        <v>43305044.179839782</v>
      </c>
      <c r="Y185" s="2">
        <f>ROUND(0.2*R185, 2)</f>
        <v>104477.24</v>
      </c>
      <c r="Z185" s="2">
        <f>ROUND((W185/Y185)*100, 2)</f>
        <v>-15.61</v>
      </c>
      <c r="AA185" s="2">
        <f>MAX(AA184, X185)</f>
        <v>43347122.570401318</v>
      </c>
      <c r="AB185" s="2">
        <f>X185-AA185</f>
        <v>-42078.390561535954</v>
      </c>
    </row>
    <row r="186" spans="1:28">
      <c r="A186" s="2">
        <v>183</v>
      </c>
      <c r="B186" s="2" t="s">
        <v>823</v>
      </c>
      <c r="C186" s="2" t="s">
        <v>2186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43305044.179839782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43305044.179839782</v>
      </c>
      <c r="Y186" s="6" t="s">
        <v>1195</v>
      </c>
      <c r="Z186" s="6" t="s">
        <v>1195</v>
      </c>
      <c r="AA186" s="2">
        <f>AA185</f>
        <v>43347122.570401318</v>
      </c>
      <c r="AB186" s="2">
        <v>0</v>
      </c>
    </row>
    <row r="187" spans="1:28">
      <c r="A187" s="2">
        <v>184</v>
      </c>
      <c r="B187" s="2" t="s">
        <v>827</v>
      </c>
      <c r="C187" s="2" t="s">
        <v>2186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43305044.179839782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43305044.179839782</v>
      </c>
      <c r="Y187" s="6" t="s">
        <v>1195</v>
      </c>
      <c r="Z187" s="6" t="s">
        <v>1195</v>
      </c>
      <c r="AA187" s="2">
        <f>AA186</f>
        <v>43347122.570401318</v>
      </c>
      <c r="AB187" s="2">
        <v>0</v>
      </c>
    </row>
    <row r="188" spans="1:28">
      <c r="A188" s="2">
        <v>185</v>
      </c>
      <c r="B188" s="2" t="s">
        <v>831</v>
      </c>
      <c r="C188" s="2" t="s">
        <v>2186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43305044.179839782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43305044.179839782</v>
      </c>
      <c r="Y188" s="6" t="s">
        <v>1195</v>
      </c>
      <c r="Z188" s="6" t="s">
        <v>1195</v>
      </c>
      <c r="AA188" s="2">
        <f>AA187</f>
        <v>43347122.570401318</v>
      </c>
      <c r="AB188" s="2">
        <v>0</v>
      </c>
    </row>
    <row r="189" spans="1:28">
      <c r="A189" s="2">
        <v>186</v>
      </c>
      <c r="B189" s="2" t="s">
        <v>835</v>
      </c>
      <c r="C189" s="2" t="s">
        <v>2186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2173</v>
      </c>
      <c r="J189" s="2" t="s">
        <v>2174</v>
      </c>
      <c r="K189" s="2">
        <f t="shared" si="21"/>
        <v>43305044.179839782</v>
      </c>
      <c r="L189" s="2" t="s">
        <v>1580</v>
      </c>
      <c r="M189" s="2" t="s">
        <v>1299</v>
      </c>
      <c r="N189" s="2" t="s">
        <v>1629</v>
      </c>
      <c r="O189" s="2">
        <v>450</v>
      </c>
      <c r="P189" s="2">
        <v>1066.680297851562</v>
      </c>
      <c r="Q189" s="2">
        <v>1144.690673828125</v>
      </c>
      <c r="R189" s="2">
        <f>O189*P189</f>
        <v>480006.13403320289</v>
      </c>
      <c r="S189" s="2">
        <f>O189*Q189</f>
        <v>515110.80322265625</v>
      </c>
      <c r="T189" s="2">
        <f>R189+S189</f>
        <v>995116.93725585914</v>
      </c>
      <c r="U189" s="2">
        <f>ROUND(T189*0.0005, 2)</f>
        <v>497.56</v>
      </c>
      <c r="V189" s="2">
        <f>S189-R189</f>
        <v>35104.669189453358</v>
      </c>
      <c r="W189" s="2">
        <f>V189-U189</f>
        <v>34607.10918945336</v>
      </c>
      <c r="X189" s="2">
        <f>K189+W189</f>
        <v>43339651.289029233</v>
      </c>
      <c r="Y189" s="2">
        <f>ROUND(0.2*R189, 2)</f>
        <v>96001.23</v>
      </c>
      <c r="Z189" s="2">
        <f>ROUND((W189/Y189)*100, 2)</f>
        <v>36.049999999999997</v>
      </c>
      <c r="AA189" s="2">
        <f>MAX(AA188, X189)</f>
        <v>43347122.570401318</v>
      </c>
      <c r="AB189" s="2">
        <f>X189-AA189</f>
        <v>-7471.2813720852137</v>
      </c>
    </row>
    <row r="190" spans="1:28">
      <c r="A190" s="2">
        <v>187</v>
      </c>
      <c r="B190" s="2" t="s">
        <v>840</v>
      </c>
      <c r="C190" s="2" t="s">
        <v>2186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43339651.289029233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43339651.289029233</v>
      </c>
      <c r="Y190" s="6" t="s">
        <v>1195</v>
      </c>
      <c r="Z190" s="6" t="s">
        <v>1195</v>
      </c>
      <c r="AA190" s="2">
        <f>AA189</f>
        <v>43347122.570401318</v>
      </c>
      <c r="AB190" s="2">
        <v>0</v>
      </c>
    </row>
    <row r="191" spans="1:28">
      <c r="A191" s="2">
        <v>188</v>
      </c>
      <c r="B191" s="2" t="s">
        <v>845</v>
      </c>
      <c r="C191" s="2" t="s">
        <v>2186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43339651.289029233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43339651.289029233</v>
      </c>
      <c r="Y191" s="6" t="s">
        <v>1195</v>
      </c>
      <c r="Z191" s="6" t="s">
        <v>1195</v>
      </c>
      <c r="AA191" s="2">
        <f>AA190</f>
        <v>43347122.570401318</v>
      </c>
      <c r="AB191" s="2">
        <v>0</v>
      </c>
    </row>
    <row r="192" spans="1:28">
      <c r="A192" s="2">
        <v>189</v>
      </c>
      <c r="B192" s="2" t="s">
        <v>848</v>
      </c>
      <c r="C192" s="2" t="s">
        <v>2186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43339651.289029233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43339651.289029233</v>
      </c>
      <c r="Y192" s="6" t="s">
        <v>1195</v>
      </c>
      <c r="Z192" s="6" t="s">
        <v>1195</v>
      </c>
      <c r="AA192" s="2">
        <f>AA191</f>
        <v>43347122.570401318</v>
      </c>
      <c r="AB192" s="2">
        <v>0</v>
      </c>
    </row>
    <row r="193" spans="1:28">
      <c r="A193" s="2">
        <v>190</v>
      </c>
      <c r="B193" s="2" t="s">
        <v>851</v>
      </c>
      <c r="C193" s="2" t="s">
        <v>2186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2175</v>
      </c>
      <c r="J193" s="2" t="s">
        <v>2176</v>
      </c>
      <c r="K193" s="2">
        <f t="shared" si="21"/>
        <v>43339651.289029233</v>
      </c>
      <c r="L193" s="2" t="s">
        <v>1545</v>
      </c>
      <c r="M193" s="2" t="s">
        <v>1599</v>
      </c>
      <c r="N193" s="2" t="s">
        <v>1609</v>
      </c>
      <c r="O193" s="2">
        <v>5500</v>
      </c>
      <c r="P193" s="2">
        <v>158.80357360839841</v>
      </c>
      <c r="Q193" s="2">
        <v>157.0672607421875</v>
      </c>
      <c r="R193" s="2">
        <f>O193*P193</f>
        <v>873419.65484619129</v>
      </c>
      <c r="S193" s="2">
        <f>O193*Q193</f>
        <v>863869.93408203125</v>
      </c>
      <c r="T193" s="2">
        <f>R193+S193</f>
        <v>1737289.5889282227</v>
      </c>
      <c r="U193" s="2">
        <f>ROUND(T193*0.0005, 2)</f>
        <v>868.64</v>
      </c>
      <c r="V193" s="2">
        <f>S193-R193</f>
        <v>-9549.7207641600398</v>
      </c>
      <c r="W193" s="2">
        <f>V193-U193</f>
        <v>-10418.360764160039</v>
      </c>
      <c r="X193" s="2">
        <f>K193+W193</f>
        <v>43329232.928265072</v>
      </c>
      <c r="Y193" s="2">
        <f>ROUND(0.2*R193, 2)</f>
        <v>174683.93</v>
      </c>
      <c r="Z193" s="2">
        <f>ROUND((W193/Y193)*100, 2)</f>
        <v>-5.96</v>
      </c>
      <c r="AA193" s="2">
        <f>MAX(AA192, X193)</f>
        <v>43347122.570401318</v>
      </c>
      <c r="AB193" s="2">
        <f>X193-AA193</f>
        <v>-17889.642136245966</v>
      </c>
    </row>
    <row r="194" spans="1:28">
      <c r="A194" s="2">
        <v>191</v>
      </c>
      <c r="B194" s="2" t="s">
        <v>854</v>
      </c>
      <c r="C194" s="2" t="s">
        <v>2186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297</v>
      </c>
      <c r="J194" s="2" t="s">
        <v>548</v>
      </c>
      <c r="K194" s="2">
        <f t="shared" si="21"/>
        <v>43329232.928265072</v>
      </c>
      <c r="L194" s="2" t="s">
        <v>1373</v>
      </c>
      <c r="M194" s="2" t="s">
        <v>1466</v>
      </c>
      <c r="N194" s="2" t="s">
        <v>1547</v>
      </c>
      <c r="O194" s="2">
        <v>175</v>
      </c>
      <c r="P194" s="2">
        <v>3646.654541015625</v>
      </c>
      <c r="Q194" s="2">
        <v>3681.86083984375</v>
      </c>
      <c r="R194" s="2">
        <f>O194*P194</f>
        <v>638164.54467773438</v>
      </c>
      <c r="S194" s="2">
        <f>O194*Q194</f>
        <v>644325.64697265625</v>
      </c>
      <c r="T194" s="2">
        <f>R194+S194</f>
        <v>1282490.1916503906</v>
      </c>
      <c r="U194" s="2">
        <f>ROUND(T194*0.0005, 2)</f>
        <v>641.25</v>
      </c>
      <c r="V194" s="2">
        <f>S194-R194</f>
        <v>6161.102294921875</v>
      </c>
      <c r="W194" s="2">
        <f>V194-U194</f>
        <v>5519.852294921875</v>
      </c>
      <c r="X194" s="2">
        <f>K194+W194</f>
        <v>43334752.780559994</v>
      </c>
      <c r="Y194" s="2">
        <f>ROUND(0.2*R194, 2)</f>
        <v>127632.91</v>
      </c>
      <c r="Z194" s="2">
        <f>ROUND((W194/Y194)*100, 2)</f>
        <v>4.32</v>
      </c>
      <c r="AA194" s="2">
        <f>MAX(AA193, X194)</f>
        <v>43347122.570401318</v>
      </c>
      <c r="AB194" s="2">
        <f>X194-AA194</f>
        <v>-12369.789841324091</v>
      </c>
    </row>
    <row r="195" spans="1:28">
      <c r="A195" s="2">
        <v>192</v>
      </c>
      <c r="B195" s="2" t="s">
        <v>860</v>
      </c>
      <c r="C195" s="2" t="s">
        <v>2186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1893</v>
      </c>
      <c r="J195" s="2" t="s">
        <v>2177</v>
      </c>
      <c r="K195" s="2">
        <f t="shared" si="21"/>
        <v>43334752.780559994</v>
      </c>
      <c r="L195" s="2" t="s">
        <v>1629</v>
      </c>
      <c r="M195" s="2" t="s">
        <v>1557</v>
      </c>
      <c r="N195" s="2" t="s">
        <v>1374</v>
      </c>
      <c r="O195" s="2">
        <v>600</v>
      </c>
      <c r="P195" s="2">
        <v>1152.607055664062</v>
      </c>
      <c r="Q195" s="2">
        <v>1092.923583984375</v>
      </c>
      <c r="R195" s="2">
        <f>O195*P195</f>
        <v>691564.23339843727</v>
      </c>
      <c r="S195" s="2">
        <f>O195*Q195</f>
        <v>655754.150390625</v>
      </c>
      <c r="T195" s="2">
        <f>R195+S195</f>
        <v>1347318.3837890623</v>
      </c>
      <c r="U195" s="2">
        <f>ROUND(T195*0.0005, 2)</f>
        <v>673.66</v>
      </c>
      <c r="V195" s="2">
        <f>S195-R195</f>
        <v>-35810.083007812267</v>
      </c>
      <c r="W195" s="2">
        <f>V195-U195</f>
        <v>-36483.743007812271</v>
      </c>
      <c r="X195" s="2">
        <f>K195+W195</f>
        <v>43298269.037552185</v>
      </c>
      <c r="Y195" s="2">
        <f>ROUND(0.2*R195, 2)</f>
        <v>138312.85</v>
      </c>
      <c r="Z195" s="2">
        <f>ROUND((W195/Y195)*100, 2)</f>
        <v>-26.38</v>
      </c>
      <c r="AA195" s="2">
        <f>MAX(AA194, X195)</f>
        <v>43347122.570401318</v>
      </c>
      <c r="AB195" s="2">
        <f>X195-AA195</f>
        <v>-48853.532849133015</v>
      </c>
    </row>
    <row r="196" spans="1:28">
      <c r="A196" s="2">
        <v>193</v>
      </c>
      <c r="B196" s="2" t="s">
        <v>865</v>
      </c>
      <c r="C196" s="2" t="s">
        <v>2186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43298269.037552185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43298269.037552185</v>
      </c>
      <c r="Y196" s="6" t="s">
        <v>1195</v>
      </c>
      <c r="Z196" s="6" t="s">
        <v>1195</v>
      </c>
      <c r="AA196" s="2">
        <f>AA195</f>
        <v>43347122.570401318</v>
      </c>
      <c r="AB196" s="2">
        <v>0</v>
      </c>
    </row>
    <row r="197" spans="1:28">
      <c r="A197" s="2">
        <v>194</v>
      </c>
      <c r="B197" s="2" t="s">
        <v>868</v>
      </c>
      <c r="C197" s="2" t="s">
        <v>2186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1381</v>
      </c>
      <c r="J197" s="2" t="s">
        <v>2178</v>
      </c>
      <c r="K197" s="2">
        <f t="shared" ref="K197:K214" si="24">X196</f>
        <v>43298269.037552185</v>
      </c>
      <c r="L197" s="2" t="s">
        <v>1299</v>
      </c>
      <c r="M197" s="2" t="s">
        <v>1581</v>
      </c>
      <c r="N197" s="2" t="s">
        <v>1557</v>
      </c>
      <c r="O197" s="2">
        <v>175</v>
      </c>
      <c r="P197" s="2">
        <v>3248.9814453125</v>
      </c>
      <c r="Q197" s="2">
        <v>3534.54150390625</v>
      </c>
      <c r="R197" s="2">
        <f>O197*P197</f>
        <v>568571.7529296875</v>
      </c>
      <c r="S197" s="2">
        <f>O197*Q197</f>
        <v>618544.76318359375</v>
      </c>
      <c r="T197" s="2">
        <f>R197+S197</f>
        <v>1187116.5161132813</v>
      </c>
      <c r="U197" s="2">
        <f>ROUND(T197*0.0005, 2)</f>
        <v>593.55999999999995</v>
      </c>
      <c r="V197" s="2">
        <f>S197-R197</f>
        <v>49973.01025390625</v>
      </c>
      <c r="W197" s="2">
        <f>V197-U197</f>
        <v>49379.450253906252</v>
      </c>
      <c r="X197" s="2">
        <f>K197+W197</f>
        <v>43347648.487806089</v>
      </c>
      <c r="Y197" s="2">
        <f>ROUND(0.2*R197, 2)</f>
        <v>113714.35</v>
      </c>
      <c r="Z197" s="2">
        <f>ROUND((W197/Y197)*100, 2)</f>
        <v>43.42</v>
      </c>
      <c r="AA197" s="2">
        <f>MAX(AA196, X197)</f>
        <v>43347648.487806089</v>
      </c>
      <c r="AB197" s="2">
        <f>X197-AA197</f>
        <v>0</v>
      </c>
    </row>
    <row r="198" spans="1:28">
      <c r="A198" s="2">
        <v>195</v>
      </c>
      <c r="B198" s="2" t="s">
        <v>873</v>
      </c>
      <c r="C198" s="2" t="s">
        <v>2186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375</v>
      </c>
      <c r="J198" s="2" t="s">
        <v>2219</v>
      </c>
      <c r="K198" s="2">
        <f t="shared" si="24"/>
        <v>43347648.487806089</v>
      </c>
      <c r="L198" s="2" t="s">
        <v>2220</v>
      </c>
      <c r="M198" s="2" t="s">
        <v>2221</v>
      </c>
      <c r="N198" s="2" t="s">
        <v>2222</v>
      </c>
      <c r="O198" s="2">
        <v>3054</v>
      </c>
      <c r="P198" s="2">
        <v>120.5270080566406</v>
      </c>
      <c r="Q198" s="2">
        <v>128.4667663574219</v>
      </c>
      <c r="R198" s="2">
        <f>O198*P198</f>
        <v>368089.48260498041</v>
      </c>
      <c r="S198" s="2">
        <f>O198*Q198</f>
        <v>392337.50445556646</v>
      </c>
      <c r="T198" s="2">
        <f>R198+S198</f>
        <v>760426.98706054687</v>
      </c>
      <c r="U198" s="2">
        <f>ROUND(T198*0.0005, 2)</f>
        <v>380.21</v>
      </c>
      <c r="V198" s="2">
        <f>S198-R198</f>
        <v>24248.021850586054</v>
      </c>
      <c r="W198" s="2">
        <f>V198-U198</f>
        <v>23867.811850586055</v>
      </c>
      <c r="X198" s="2">
        <f>K198+W198</f>
        <v>43371516.299656674</v>
      </c>
      <c r="Y198" s="2">
        <f>ROUND(0.2*R198, 2)</f>
        <v>73617.899999999994</v>
      </c>
      <c r="Z198" s="2">
        <f>ROUND((W198/Y198)*100, 2)</f>
        <v>32.42</v>
      </c>
      <c r="AA198" s="2">
        <f>MAX(AA197, X198)</f>
        <v>43371516.299656674</v>
      </c>
      <c r="AB198" s="2">
        <f>X198-AA198</f>
        <v>0</v>
      </c>
    </row>
    <row r="199" spans="1:28">
      <c r="A199" s="2">
        <v>196</v>
      </c>
      <c r="B199" s="2" t="s">
        <v>878</v>
      </c>
      <c r="C199" s="2" t="s">
        <v>2186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4"/>
        <v>43371516.299656674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43371516.299656674</v>
      </c>
      <c r="Y199" s="6" t="s">
        <v>1195</v>
      </c>
      <c r="Z199" s="6" t="s">
        <v>1195</v>
      </c>
      <c r="AA199" s="2">
        <f>AA198</f>
        <v>43371516.299656674</v>
      </c>
      <c r="AB199" s="2">
        <v>0</v>
      </c>
    </row>
    <row r="200" spans="1:28">
      <c r="A200" s="2">
        <v>197</v>
      </c>
      <c r="B200" s="2" t="s">
        <v>881</v>
      </c>
      <c r="C200" s="2" t="s">
        <v>2186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1126</v>
      </c>
      <c r="J200" s="2" t="s">
        <v>407</v>
      </c>
      <c r="K200" s="2">
        <f t="shared" si="24"/>
        <v>43371516.299656674</v>
      </c>
      <c r="L200" s="2" t="s">
        <v>1467</v>
      </c>
      <c r="M200" s="2" t="s">
        <v>1543</v>
      </c>
      <c r="N200" s="2" t="s">
        <v>1591</v>
      </c>
      <c r="O200" s="2">
        <v>345</v>
      </c>
      <c r="P200" s="2">
        <v>4294.05419921875</v>
      </c>
      <c r="Q200" s="2">
        <v>4492.65478515625</v>
      </c>
      <c r="R200" s="2">
        <f>O200*P200</f>
        <v>1481448.6987304687</v>
      </c>
      <c r="S200" s="2">
        <f>O200*Q200</f>
        <v>1549965.9008789062</v>
      </c>
      <c r="T200" s="2">
        <f>R200+S200</f>
        <v>3031414.599609375</v>
      </c>
      <c r="U200" s="2">
        <f>ROUND(T200*0.0005, 2)</f>
        <v>1515.71</v>
      </c>
      <c r="V200" s="2">
        <f>S200-R200</f>
        <v>68517.2021484375</v>
      </c>
      <c r="W200" s="2">
        <f>V200-U200</f>
        <v>67001.492148437494</v>
      </c>
      <c r="X200" s="2">
        <f>K200+W200</f>
        <v>43438517.791805111</v>
      </c>
      <c r="Y200" s="2">
        <f>ROUND(0.2*R200, 2)</f>
        <v>296289.74</v>
      </c>
      <c r="Z200" s="2">
        <f>ROUND((W200/Y200)*100, 2)</f>
        <v>22.61</v>
      </c>
      <c r="AA200" s="2">
        <f>MAX(AA199, X200)</f>
        <v>43438517.791805111</v>
      </c>
      <c r="AB200" s="2">
        <f>X200-AA200</f>
        <v>0</v>
      </c>
    </row>
    <row r="201" spans="1:28">
      <c r="A201" s="2">
        <v>198</v>
      </c>
      <c r="B201" s="2" t="s">
        <v>886</v>
      </c>
      <c r="C201" s="2" t="s">
        <v>2186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4"/>
        <v>43438517.791805111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43438517.791805111</v>
      </c>
      <c r="Y201" s="6" t="s">
        <v>1195</v>
      </c>
      <c r="Z201" s="6" t="s">
        <v>1195</v>
      </c>
      <c r="AA201" s="2">
        <f>AA200</f>
        <v>43438517.791805111</v>
      </c>
      <c r="AB201" s="2">
        <v>0</v>
      </c>
    </row>
    <row r="202" spans="1:28">
      <c r="A202" s="2">
        <v>199</v>
      </c>
      <c r="B202" s="2" t="s">
        <v>890</v>
      </c>
      <c r="C202" s="2" t="s">
        <v>2186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366</v>
      </c>
      <c r="J202" s="2" t="s">
        <v>2183</v>
      </c>
      <c r="K202" s="2">
        <f t="shared" si="24"/>
        <v>43438517.791805111</v>
      </c>
      <c r="L202" s="2" t="s">
        <v>1374</v>
      </c>
      <c r="M202" s="2" t="s">
        <v>1565</v>
      </c>
      <c r="N202" s="2" t="s">
        <v>1557</v>
      </c>
      <c r="O202" s="2">
        <v>100</v>
      </c>
      <c r="P202" s="2">
        <v>9331.263671875</v>
      </c>
      <c r="Q202" s="2">
        <v>9566.0244140625</v>
      </c>
      <c r="R202" s="2">
        <f>O202*P202</f>
        <v>933126.3671875</v>
      </c>
      <c r="S202" s="2">
        <f>O202*Q202</f>
        <v>956602.44140625</v>
      </c>
      <c r="T202" s="2">
        <f>R202+S202</f>
        <v>1889728.80859375</v>
      </c>
      <c r="U202" s="2">
        <f>ROUND(T202*0.0005, 2)</f>
        <v>944.86</v>
      </c>
      <c r="V202" s="2">
        <f>S202-R202</f>
        <v>23476.07421875</v>
      </c>
      <c r="W202" s="2">
        <f>V202-U202</f>
        <v>22531.214218749999</v>
      </c>
      <c r="X202" s="2">
        <f>K202+W202</f>
        <v>43461049.006023861</v>
      </c>
      <c r="Y202" s="2">
        <f>ROUND(0.2*R202, 2)</f>
        <v>186625.27</v>
      </c>
      <c r="Z202" s="2">
        <f>ROUND((W202/Y202)*100, 2)</f>
        <v>12.07</v>
      </c>
      <c r="AA202" s="2">
        <f>MAX(AA201, X202)</f>
        <v>43461049.006023861</v>
      </c>
      <c r="AB202" s="2">
        <f>X202-AA202</f>
        <v>0</v>
      </c>
    </row>
    <row r="203" spans="1:28">
      <c r="A203" s="2">
        <v>200</v>
      </c>
      <c r="B203" s="2" t="s">
        <v>894</v>
      </c>
      <c r="C203" s="2" t="s">
        <v>2186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4"/>
        <v>43461049.006023861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5">K203</f>
        <v>43461049.006023861</v>
      </c>
      <c r="Y203" s="6" t="s">
        <v>1195</v>
      </c>
      <c r="Z203" s="6" t="s">
        <v>1195</v>
      </c>
      <c r="AA203" s="2">
        <f t="shared" ref="AA203:AA211" si="26">AA202</f>
        <v>43461049.006023861</v>
      </c>
      <c r="AB203" s="2">
        <v>0</v>
      </c>
    </row>
    <row r="204" spans="1:28">
      <c r="A204" s="2">
        <v>201</v>
      </c>
      <c r="B204" s="2" t="s">
        <v>897</v>
      </c>
      <c r="C204" s="2" t="s">
        <v>2186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4"/>
        <v>43461049.006023861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5"/>
        <v>43461049.006023861</v>
      </c>
      <c r="Y204" s="6" t="s">
        <v>1195</v>
      </c>
      <c r="Z204" s="6" t="s">
        <v>1195</v>
      </c>
      <c r="AA204" s="2">
        <f t="shared" si="26"/>
        <v>43461049.006023861</v>
      </c>
      <c r="AB204" s="2">
        <v>0</v>
      </c>
    </row>
    <row r="205" spans="1:28">
      <c r="A205" s="2">
        <v>202</v>
      </c>
      <c r="B205" s="2" t="s">
        <v>899</v>
      </c>
      <c r="C205" s="2" t="s">
        <v>2186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4"/>
        <v>43461049.006023861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5"/>
        <v>43461049.006023861</v>
      </c>
      <c r="Y205" s="6" t="s">
        <v>1195</v>
      </c>
      <c r="Z205" s="6" t="s">
        <v>1195</v>
      </c>
      <c r="AA205" s="2">
        <f t="shared" si="26"/>
        <v>43461049.006023861</v>
      </c>
      <c r="AB205" s="2">
        <v>0</v>
      </c>
    </row>
    <row r="206" spans="1:28">
      <c r="A206" s="2">
        <v>203</v>
      </c>
      <c r="B206" s="2" t="s">
        <v>902</v>
      </c>
      <c r="C206" s="2" t="s">
        <v>2186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4"/>
        <v>43461049.006023861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5"/>
        <v>43461049.006023861</v>
      </c>
      <c r="Y206" s="6" t="s">
        <v>1195</v>
      </c>
      <c r="Z206" s="6" t="s">
        <v>1195</v>
      </c>
      <c r="AA206" s="2">
        <f t="shared" si="26"/>
        <v>43461049.006023861</v>
      </c>
      <c r="AB206" s="2">
        <v>0</v>
      </c>
    </row>
    <row r="207" spans="1:28">
      <c r="A207" s="2">
        <v>204</v>
      </c>
      <c r="B207" s="2" t="s">
        <v>906</v>
      </c>
      <c r="C207" s="2" t="s">
        <v>2186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4"/>
        <v>43461049.006023861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5"/>
        <v>43461049.006023861</v>
      </c>
      <c r="Y207" s="6" t="s">
        <v>1195</v>
      </c>
      <c r="Z207" s="6" t="s">
        <v>1195</v>
      </c>
      <c r="AA207" s="2">
        <f t="shared" si="26"/>
        <v>43461049.006023861</v>
      </c>
      <c r="AB207" s="2">
        <v>0</v>
      </c>
    </row>
    <row r="208" spans="1:28">
      <c r="A208" s="2">
        <v>205</v>
      </c>
      <c r="B208" s="2" t="s">
        <v>910</v>
      </c>
      <c r="C208" s="2" t="s">
        <v>2186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4"/>
        <v>43461049.006023861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5"/>
        <v>43461049.006023861</v>
      </c>
      <c r="Y208" s="6" t="s">
        <v>1195</v>
      </c>
      <c r="Z208" s="6" t="s">
        <v>1195</v>
      </c>
      <c r="AA208" s="2">
        <f t="shared" si="26"/>
        <v>43461049.006023861</v>
      </c>
      <c r="AB208" s="2">
        <v>0</v>
      </c>
    </row>
    <row r="209" spans="1:28">
      <c r="A209" s="2">
        <v>206</v>
      </c>
      <c r="B209" s="2" t="s">
        <v>913</v>
      </c>
      <c r="C209" s="2" t="s">
        <v>2186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4"/>
        <v>43461049.006023861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5"/>
        <v>43461049.006023861</v>
      </c>
      <c r="Y209" s="6" t="s">
        <v>1195</v>
      </c>
      <c r="Z209" s="6" t="s">
        <v>1195</v>
      </c>
      <c r="AA209" s="2">
        <f t="shared" si="26"/>
        <v>43461049.006023861</v>
      </c>
      <c r="AB209" s="2">
        <v>0</v>
      </c>
    </row>
    <row r="210" spans="1:28">
      <c r="A210" s="2">
        <v>207</v>
      </c>
      <c r="B210" s="2" t="s">
        <v>915</v>
      </c>
      <c r="C210" s="2" t="s">
        <v>2186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4"/>
        <v>43461049.006023861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5"/>
        <v>43461049.006023861</v>
      </c>
      <c r="Y210" s="6" t="s">
        <v>1195</v>
      </c>
      <c r="Z210" s="6" t="s">
        <v>1195</v>
      </c>
      <c r="AA210" s="2">
        <f t="shared" si="26"/>
        <v>43461049.006023861</v>
      </c>
      <c r="AB210" s="2">
        <v>0</v>
      </c>
    </row>
    <row r="211" spans="1:28">
      <c r="A211" s="2">
        <v>208</v>
      </c>
      <c r="B211" s="2" t="s">
        <v>918</v>
      </c>
      <c r="C211" s="2" t="s">
        <v>2186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4"/>
        <v>43461049.006023861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5"/>
        <v>43461049.006023861</v>
      </c>
      <c r="Y211" s="6" t="s">
        <v>1195</v>
      </c>
      <c r="Z211" s="6" t="s">
        <v>1195</v>
      </c>
      <c r="AA211" s="2">
        <f t="shared" si="26"/>
        <v>43461049.006023861</v>
      </c>
      <c r="AB211" s="2">
        <v>0</v>
      </c>
    </row>
    <row r="212" spans="1:28">
      <c r="A212" s="2">
        <v>209</v>
      </c>
      <c r="B212" s="2" t="s">
        <v>922</v>
      </c>
      <c r="C212" s="2" t="s">
        <v>2186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2184</v>
      </c>
      <c r="J212" s="2" t="s">
        <v>1822</v>
      </c>
      <c r="K212" s="2">
        <f t="shared" si="24"/>
        <v>43461049.006023861</v>
      </c>
      <c r="L212" s="2" t="s">
        <v>1709</v>
      </c>
      <c r="M212" s="2" t="s">
        <v>1374</v>
      </c>
      <c r="N212" s="2" t="s">
        <v>1375</v>
      </c>
      <c r="O212" s="2">
        <v>1500</v>
      </c>
      <c r="P212" s="2">
        <v>223.7106628417969</v>
      </c>
      <c r="Q212" s="2">
        <v>216.07084655761719</v>
      </c>
      <c r="R212" s="2">
        <f>O212*P212</f>
        <v>335565.99426269537</v>
      </c>
      <c r="S212" s="2">
        <f>O212*Q212</f>
        <v>324106.26983642578</v>
      </c>
      <c r="T212" s="2">
        <f>R212+S212</f>
        <v>659672.26409912109</v>
      </c>
      <c r="U212" s="2">
        <f>ROUND(T212*0.0005, 2)</f>
        <v>329.84</v>
      </c>
      <c r="V212" s="2">
        <f>S212-R212</f>
        <v>-11459.724426269589</v>
      </c>
      <c r="W212" s="2">
        <f>V212-U212</f>
        <v>-11789.56442626959</v>
      </c>
      <c r="X212" s="2">
        <f>K212+W212</f>
        <v>43449259.441597588</v>
      </c>
      <c r="Y212" s="2">
        <f>ROUND(0.2*R212, 2)</f>
        <v>67113.2</v>
      </c>
      <c r="Z212" s="2">
        <f>ROUND((W212/Y212)*100, 2)</f>
        <v>-17.57</v>
      </c>
      <c r="AA212" s="2">
        <f>MAX(AA211, X212)</f>
        <v>43461049.006023861</v>
      </c>
      <c r="AB212" s="2">
        <f>X212-AA212</f>
        <v>-11789.564426273108</v>
      </c>
    </row>
    <row r="213" spans="1:28">
      <c r="A213" s="2">
        <v>210</v>
      </c>
      <c r="B213" s="2" t="s">
        <v>925</v>
      </c>
      <c r="C213" s="2" t="s">
        <v>2186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4"/>
        <v>43449259.441597588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43449259.441597588</v>
      </c>
      <c r="Y213" s="6" t="s">
        <v>1195</v>
      </c>
      <c r="Z213" s="6" t="s">
        <v>1195</v>
      </c>
      <c r="AA213" s="2">
        <f>AA212</f>
        <v>43461049.006023861</v>
      </c>
      <c r="AB213" s="2">
        <v>0</v>
      </c>
    </row>
    <row r="214" spans="1:28">
      <c r="A214" s="2">
        <v>211</v>
      </c>
      <c r="B214" s="2" t="s">
        <v>928</v>
      </c>
      <c r="C214" s="2" t="s">
        <v>2186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4"/>
        <v>43449259.441597588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43449259.441597588</v>
      </c>
      <c r="Y214" s="6" t="s">
        <v>1195</v>
      </c>
      <c r="Z214" s="6" t="s">
        <v>1195</v>
      </c>
      <c r="AA214" s="2">
        <f>AA213</f>
        <v>43461049.006023861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2223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2224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1892</v>
      </c>
      <c r="J4" s="2" t="s">
        <v>2225</v>
      </c>
      <c r="K4" s="2">
        <v>42511150.109999999</v>
      </c>
      <c r="L4" s="2" t="s">
        <v>2226</v>
      </c>
      <c r="M4" s="2" t="s">
        <v>2072</v>
      </c>
      <c r="N4" s="2" t="s">
        <v>2227</v>
      </c>
      <c r="O4" s="2">
        <v>874</v>
      </c>
      <c r="P4" s="2">
        <v>1058.057983398438</v>
      </c>
      <c r="Q4" s="2">
        <v>979.71282958984375</v>
      </c>
      <c r="R4" s="2">
        <f t="shared" ref="R4:R17" si="0">O4*P4</f>
        <v>924742.67749023472</v>
      </c>
      <c r="S4" s="2">
        <f t="shared" ref="S4:S17" si="1">O4*Q4</f>
        <v>856269.01306152344</v>
      </c>
      <c r="T4" s="2">
        <f t="shared" ref="T4:T17" si="2">R4+S4</f>
        <v>1781011.6905517583</v>
      </c>
      <c r="U4" s="2">
        <f t="shared" ref="U4:U17" si="3">ROUND(T4*0.0005, 2)</f>
        <v>890.51</v>
      </c>
      <c r="V4" s="2">
        <f t="shared" ref="V4:V17" si="4">S4-R4</f>
        <v>-68473.664428711287</v>
      </c>
      <c r="W4" s="2">
        <f t="shared" ref="W4:W17" si="5">V4-U4</f>
        <v>-69364.174428711282</v>
      </c>
      <c r="X4" s="2">
        <f t="shared" ref="X4:X17" si="6">K4+W4</f>
        <v>42441785.935571291</v>
      </c>
      <c r="Y4" s="2">
        <f t="shared" ref="Y4:Y17" si="7">ROUND(0.2*R4, 2)</f>
        <v>184948.54</v>
      </c>
      <c r="Z4" s="2">
        <f t="shared" ref="Z4:Z17" si="8">ROUND((W4/Y4)*100, 2)</f>
        <v>-37.5</v>
      </c>
      <c r="AA4" s="2">
        <f>MAX(42511150.11, X4)</f>
        <v>42511150.109999999</v>
      </c>
      <c r="AB4" s="2">
        <f t="shared" ref="AB4:AB17" si="9">X4-AA4</f>
        <v>-69364.174428708851</v>
      </c>
    </row>
    <row r="5" spans="1:29">
      <c r="A5" s="2">
        <v>2</v>
      </c>
      <c r="B5" s="2" t="s">
        <v>46</v>
      </c>
      <c r="C5" s="2" t="s">
        <v>2224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312</v>
      </c>
      <c r="J5" s="2" t="s">
        <v>373</v>
      </c>
      <c r="K5" s="2">
        <f t="shared" ref="K5:K68" si="10">X4</f>
        <v>42441785.935571291</v>
      </c>
      <c r="L5" s="2" t="s">
        <v>2228</v>
      </c>
      <c r="M5" s="2" t="s">
        <v>2226</v>
      </c>
      <c r="N5" s="2" t="s">
        <v>2229</v>
      </c>
      <c r="O5" s="2">
        <v>137</v>
      </c>
      <c r="P5" s="2">
        <v>5857.54296875</v>
      </c>
      <c r="Q5" s="2">
        <v>6037.30810546875</v>
      </c>
      <c r="R5" s="2">
        <f t="shared" si="0"/>
        <v>802483.38671875</v>
      </c>
      <c r="S5" s="2">
        <f t="shared" si="1"/>
        <v>827111.21044921875</v>
      </c>
      <c r="T5" s="2">
        <f t="shared" si="2"/>
        <v>1629594.5971679687</v>
      </c>
      <c r="U5" s="2">
        <f t="shared" si="3"/>
        <v>814.8</v>
      </c>
      <c r="V5" s="2">
        <f t="shared" si="4"/>
        <v>24627.82373046875</v>
      </c>
      <c r="W5" s="2">
        <f t="shared" si="5"/>
        <v>23813.023730468751</v>
      </c>
      <c r="X5" s="2">
        <f t="shared" si="6"/>
        <v>42465598.959301762</v>
      </c>
      <c r="Y5" s="2">
        <f t="shared" si="7"/>
        <v>160496.68</v>
      </c>
      <c r="Z5" s="2">
        <f t="shared" si="8"/>
        <v>14.84</v>
      </c>
      <c r="AA5" s="2">
        <f t="shared" ref="AA5:AA17" si="11">MAX(AA4, X5)</f>
        <v>42511150.109999999</v>
      </c>
      <c r="AB5" s="2">
        <f t="shared" si="9"/>
        <v>-45551.150698237121</v>
      </c>
    </row>
    <row r="6" spans="1:29">
      <c r="A6" s="2">
        <v>3</v>
      </c>
      <c r="B6" s="2" t="s">
        <v>52</v>
      </c>
      <c r="C6" s="2" t="s">
        <v>2224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2230</v>
      </c>
      <c r="J6" s="2" t="s">
        <v>657</v>
      </c>
      <c r="K6" s="2">
        <f t="shared" si="10"/>
        <v>42465598.959301762</v>
      </c>
      <c r="L6" s="2" t="s">
        <v>1518</v>
      </c>
      <c r="M6" s="2" t="s">
        <v>2031</v>
      </c>
      <c r="N6" s="2" t="s">
        <v>2047</v>
      </c>
      <c r="O6" s="2">
        <v>2537</v>
      </c>
      <c r="P6" s="2">
        <v>350.10000610351562</v>
      </c>
      <c r="Q6" s="2">
        <v>364.89999389648438</v>
      </c>
      <c r="R6" s="2">
        <f t="shared" si="0"/>
        <v>888203.71548461914</v>
      </c>
      <c r="S6" s="2">
        <f t="shared" si="1"/>
        <v>925751.28451538086</v>
      </c>
      <c r="T6" s="2">
        <f t="shared" si="2"/>
        <v>1813955</v>
      </c>
      <c r="U6" s="2">
        <f t="shared" si="3"/>
        <v>906.98</v>
      </c>
      <c r="V6" s="2">
        <f t="shared" si="4"/>
        <v>37547.569030761719</v>
      </c>
      <c r="W6" s="2">
        <f t="shared" si="5"/>
        <v>36640.589030761716</v>
      </c>
      <c r="X6" s="2">
        <f t="shared" si="6"/>
        <v>42502239.548332527</v>
      </c>
      <c r="Y6" s="2">
        <f t="shared" si="7"/>
        <v>177640.74</v>
      </c>
      <c r="Z6" s="2">
        <f t="shared" si="8"/>
        <v>20.63</v>
      </c>
      <c r="AA6" s="2">
        <f t="shared" si="11"/>
        <v>42511150.109999999</v>
      </c>
      <c r="AB6" s="2">
        <f t="shared" si="9"/>
        <v>-8910.5616674721241</v>
      </c>
    </row>
    <row r="7" spans="1:29">
      <c r="A7" s="2">
        <v>4</v>
      </c>
      <c r="B7" s="2" t="s">
        <v>60</v>
      </c>
      <c r="C7" s="2" t="s">
        <v>2224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2171</v>
      </c>
      <c r="J7" s="2" t="s">
        <v>2069</v>
      </c>
      <c r="K7" s="2">
        <f t="shared" si="10"/>
        <v>42502239.548332527</v>
      </c>
      <c r="L7" s="2" t="s">
        <v>1518</v>
      </c>
      <c r="M7" s="2" t="s">
        <v>2047</v>
      </c>
      <c r="N7" s="2" t="s">
        <v>1518</v>
      </c>
      <c r="O7" s="2">
        <v>602</v>
      </c>
      <c r="P7" s="2">
        <v>1346.099975585938</v>
      </c>
      <c r="Q7" s="2">
        <v>1328.300048828125</v>
      </c>
      <c r="R7" s="2">
        <f t="shared" si="0"/>
        <v>810352.18530273461</v>
      </c>
      <c r="S7" s="2">
        <f t="shared" si="1"/>
        <v>799636.62939453125</v>
      </c>
      <c r="T7" s="2">
        <f t="shared" si="2"/>
        <v>1609988.8146972659</v>
      </c>
      <c r="U7" s="2">
        <f t="shared" si="3"/>
        <v>804.99</v>
      </c>
      <c r="V7" s="2">
        <f t="shared" si="4"/>
        <v>-10715.555908203358</v>
      </c>
      <c r="W7" s="2">
        <f t="shared" si="5"/>
        <v>-11520.545908203358</v>
      </c>
      <c r="X7" s="2">
        <f t="shared" si="6"/>
        <v>42490719.002424322</v>
      </c>
      <c r="Y7" s="2">
        <f t="shared" si="7"/>
        <v>162070.44</v>
      </c>
      <c r="Z7" s="2">
        <f t="shared" si="8"/>
        <v>-7.11</v>
      </c>
      <c r="AA7" s="2">
        <f t="shared" si="11"/>
        <v>42511150.109999999</v>
      </c>
      <c r="AB7" s="2">
        <f t="shared" si="9"/>
        <v>-20431.107575677335</v>
      </c>
    </row>
    <row r="8" spans="1:29">
      <c r="A8" s="2">
        <v>5</v>
      </c>
      <c r="B8" s="2" t="s">
        <v>68</v>
      </c>
      <c r="C8" s="2" t="s">
        <v>2224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2088</v>
      </c>
      <c r="J8" s="2" t="s">
        <v>1507</v>
      </c>
      <c r="K8" s="2">
        <f t="shared" si="10"/>
        <v>42490719.002424322</v>
      </c>
      <c r="L8" s="2" t="s">
        <v>1299</v>
      </c>
      <c r="M8" s="2" t="s">
        <v>1581</v>
      </c>
      <c r="N8" s="2" t="s">
        <v>1557</v>
      </c>
      <c r="O8" s="2">
        <v>300</v>
      </c>
      <c r="P8" s="2">
        <v>3035.54931640625</v>
      </c>
      <c r="Q8" s="2">
        <v>2870.81884765625</v>
      </c>
      <c r="R8" s="2">
        <f t="shared" si="0"/>
        <v>910664.794921875</v>
      </c>
      <c r="S8" s="2">
        <f t="shared" si="1"/>
        <v>861245.654296875</v>
      </c>
      <c r="T8" s="2">
        <f t="shared" si="2"/>
        <v>1771910.44921875</v>
      </c>
      <c r="U8" s="2">
        <f t="shared" si="3"/>
        <v>885.96</v>
      </c>
      <c r="V8" s="2">
        <f t="shared" si="4"/>
        <v>-49419.140625</v>
      </c>
      <c r="W8" s="2">
        <f t="shared" si="5"/>
        <v>-50305.100624999999</v>
      </c>
      <c r="X8" s="2">
        <f t="shared" si="6"/>
        <v>42440413.901799321</v>
      </c>
      <c r="Y8" s="2">
        <f t="shared" si="7"/>
        <v>182132.96</v>
      </c>
      <c r="Z8" s="2">
        <f t="shared" si="8"/>
        <v>-27.62</v>
      </c>
      <c r="AA8" s="2">
        <f t="shared" si="11"/>
        <v>42511150.109999999</v>
      </c>
      <c r="AB8" s="2">
        <f t="shared" si="9"/>
        <v>-70736.208200678229</v>
      </c>
    </row>
    <row r="9" spans="1:29">
      <c r="A9" s="2">
        <v>6</v>
      </c>
      <c r="B9" s="2" t="s">
        <v>75</v>
      </c>
      <c r="C9" s="2" t="s">
        <v>2224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1120</v>
      </c>
      <c r="J9" s="2" t="s">
        <v>2231</v>
      </c>
      <c r="K9" s="2">
        <f t="shared" si="10"/>
        <v>42440413.901799321</v>
      </c>
      <c r="L9" s="2" t="s">
        <v>2232</v>
      </c>
      <c r="M9" s="2" t="s">
        <v>2233</v>
      </c>
      <c r="N9" s="2" t="s">
        <v>2234</v>
      </c>
      <c r="O9" s="2">
        <v>500</v>
      </c>
      <c r="P9" s="2">
        <v>988.79998779296875</v>
      </c>
      <c r="Q9" s="2">
        <v>935.29998779296875</v>
      </c>
      <c r="R9" s="2">
        <f t="shared" si="0"/>
        <v>494399.99389648437</v>
      </c>
      <c r="S9" s="2">
        <f t="shared" si="1"/>
        <v>467649.99389648438</v>
      </c>
      <c r="T9" s="2">
        <f t="shared" si="2"/>
        <v>962049.98779296875</v>
      </c>
      <c r="U9" s="2">
        <f t="shared" si="3"/>
        <v>481.02</v>
      </c>
      <c r="V9" s="2">
        <f t="shared" si="4"/>
        <v>-26750</v>
      </c>
      <c r="W9" s="2">
        <f t="shared" si="5"/>
        <v>-27231.02</v>
      </c>
      <c r="X9" s="2">
        <f t="shared" si="6"/>
        <v>42413182.881799318</v>
      </c>
      <c r="Y9" s="2">
        <f t="shared" si="7"/>
        <v>98880</v>
      </c>
      <c r="Z9" s="2">
        <f t="shared" si="8"/>
        <v>-27.54</v>
      </c>
      <c r="AA9" s="2">
        <f t="shared" si="11"/>
        <v>42511150.109999999</v>
      </c>
      <c r="AB9" s="2">
        <f t="shared" si="9"/>
        <v>-97967.228200681508</v>
      </c>
    </row>
    <row r="10" spans="1:29">
      <c r="A10" s="2">
        <v>7</v>
      </c>
      <c r="B10" s="2" t="s">
        <v>82</v>
      </c>
      <c r="C10" s="2" t="s">
        <v>2224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1477</v>
      </c>
      <c r="J10" s="2" t="s">
        <v>2092</v>
      </c>
      <c r="K10" s="2">
        <f t="shared" si="10"/>
        <v>42413182.881799318</v>
      </c>
      <c r="L10" s="2" t="s">
        <v>1621</v>
      </c>
      <c r="M10" s="2" t="s">
        <v>1565</v>
      </c>
      <c r="N10" s="2" t="s">
        <v>1299</v>
      </c>
      <c r="O10" s="2">
        <v>625</v>
      </c>
      <c r="P10" s="2">
        <v>1304.579956054688</v>
      </c>
      <c r="Q10" s="2">
        <v>1228.057739257812</v>
      </c>
      <c r="R10" s="2">
        <f t="shared" si="0"/>
        <v>815362.47253417992</v>
      </c>
      <c r="S10" s="2">
        <f t="shared" si="1"/>
        <v>767536.08703613258</v>
      </c>
      <c r="T10" s="2">
        <f t="shared" si="2"/>
        <v>1582898.5595703125</v>
      </c>
      <c r="U10" s="2">
        <f t="shared" si="3"/>
        <v>791.45</v>
      </c>
      <c r="V10" s="2">
        <f t="shared" si="4"/>
        <v>-47826.385498047341</v>
      </c>
      <c r="W10" s="2">
        <f t="shared" si="5"/>
        <v>-48617.835498047338</v>
      </c>
      <c r="X10" s="2">
        <f t="shared" si="6"/>
        <v>42364565.046301268</v>
      </c>
      <c r="Y10" s="2">
        <f t="shared" si="7"/>
        <v>163072.49</v>
      </c>
      <c r="Z10" s="2">
        <f t="shared" si="8"/>
        <v>-29.81</v>
      </c>
      <c r="AA10" s="2">
        <f t="shared" si="11"/>
        <v>42511150.109999999</v>
      </c>
      <c r="AB10" s="2">
        <f t="shared" si="9"/>
        <v>-146585.06369873136</v>
      </c>
    </row>
    <row r="11" spans="1:29">
      <c r="A11" s="2">
        <v>8</v>
      </c>
      <c r="B11" s="2" t="s">
        <v>90</v>
      </c>
      <c r="C11" s="2" t="s">
        <v>2224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740</v>
      </c>
      <c r="J11" s="2" t="s">
        <v>2235</v>
      </c>
      <c r="K11" s="2">
        <f t="shared" si="10"/>
        <v>42364565.046301268</v>
      </c>
      <c r="L11" s="2" t="s">
        <v>1737</v>
      </c>
      <c r="M11" s="2" t="s">
        <v>2236</v>
      </c>
      <c r="N11" s="2" t="s">
        <v>1607</v>
      </c>
      <c r="O11" s="2">
        <v>4785</v>
      </c>
      <c r="P11" s="2">
        <v>221.8500061035156</v>
      </c>
      <c r="Q11" s="2">
        <v>218.05000305175781</v>
      </c>
      <c r="R11" s="2">
        <f t="shared" si="0"/>
        <v>1061552.279205322</v>
      </c>
      <c r="S11" s="2">
        <f t="shared" si="1"/>
        <v>1043369.2646026611</v>
      </c>
      <c r="T11" s="2">
        <f t="shared" si="2"/>
        <v>2104921.5438079834</v>
      </c>
      <c r="U11" s="2">
        <f t="shared" si="3"/>
        <v>1052.46</v>
      </c>
      <c r="V11" s="2">
        <f t="shared" si="4"/>
        <v>-18183.0146026609</v>
      </c>
      <c r="W11" s="2">
        <f t="shared" si="5"/>
        <v>-19235.474602660899</v>
      </c>
      <c r="X11" s="2">
        <f t="shared" si="6"/>
        <v>42345329.571698606</v>
      </c>
      <c r="Y11" s="2">
        <f t="shared" si="7"/>
        <v>212310.46</v>
      </c>
      <c r="Z11" s="2">
        <f t="shared" si="8"/>
        <v>-9.06</v>
      </c>
      <c r="AA11" s="2">
        <f t="shared" si="11"/>
        <v>42511150.109999999</v>
      </c>
      <c r="AB11" s="2">
        <f t="shared" si="9"/>
        <v>-165820.53830139339</v>
      </c>
    </row>
    <row r="12" spans="1:29">
      <c r="A12" s="2">
        <v>9</v>
      </c>
      <c r="B12" s="2" t="s">
        <v>95</v>
      </c>
      <c r="C12" s="2" t="s">
        <v>2224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503</v>
      </c>
      <c r="J12" s="2" t="s">
        <v>912</v>
      </c>
      <c r="K12" s="2">
        <f t="shared" si="10"/>
        <v>42345329.571698606</v>
      </c>
      <c r="L12" s="2" t="s">
        <v>2237</v>
      </c>
      <c r="M12" s="2" t="s">
        <v>1979</v>
      </c>
      <c r="N12" s="2" t="s">
        <v>2187</v>
      </c>
      <c r="O12" s="2">
        <v>171</v>
      </c>
      <c r="P12" s="2">
        <v>5246</v>
      </c>
      <c r="Q12" s="2">
        <v>5364.5</v>
      </c>
      <c r="R12" s="2">
        <f t="shared" si="0"/>
        <v>897066</v>
      </c>
      <c r="S12" s="2">
        <f t="shared" si="1"/>
        <v>917329.5</v>
      </c>
      <c r="T12" s="2">
        <f t="shared" si="2"/>
        <v>1814395.5</v>
      </c>
      <c r="U12" s="2">
        <f t="shared" si="3"/>
        <v>907.2</v>
      </c>
      <c r="V12" s="2">
        <f t="shared" si="4"/>
        <v>20263.5</v>
      </c>
      <c r="W12" s="2">
        <f t="shared" si="5"/>
        <v>19356.3</v>
      </c>
      <c r="X12" s="2">
        <f t="shared" si="6"/>
        <v>42364685.871698603</v>
      </c>
      <c r="Y12" s="2">
        <f t="shared" si="7"/>
        <v>179413.2</v>
      </c>
      <c r="Z12" s="2">
        <f t="shared" si="8"/>
        <v>10.79</v>
      </c>
      <c r="AA12" s="2">
        <f t="shared" si="11"/>
        <v>42511150.109999999</v>
      </c>
      <c r="AB12" s="2">
        <f t="shared" si="9"/>
        <v>-146464.23830139637</v>
      </c>
    </row>
    <row r="13" spans="1:29">
      <c r="A13" s="2">
        <v>10</v>
      </c>
      <c r="B13" s="2" t="s">
        <v>102</v>
      </c>
      <c r="C13" s="2" t="s">
        <v>2224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105</v>
      </c>
      <c r="J13" s="2" t="s">
        <v>78</v>
      </c>
      <c r="K13" s="2">
        <f t="shared" si="10"/>
        <v>42364685.871698603</v>
      </c>
      <c r="L13" s="2" t="s">
        <v>106</v>
      </c>
      <c r="M13" s="2" t="s">
        <v>44</v>
      </c>
      <c r="N13" s="2" t="s">
        <v>59</v>
      </c>
      <c r="O13" s="2">
        <v>135</v>
      </c>
      <c r="P13" s="2">
        <v>7401</v>
      </c>
      <c r="Q13" s="2">
        <v>7430</v>
      </c>
      <c r="R13" s="2">
        <f t="shared" si="0"/>
        <v>999135</v>
      </c>
      <c r="S13" s="2">
        <f t="shared" si="1"/>
        <v>1003050</v>
      </c>
      <c r="T13" s="2">
        <f t="shared" si="2"/>
        <v>2002185</v>
      </c>
      <c r="U13" s="2">
        <f t="shared" si="3"/>
        <v>1001.09</v>
      </c>
      <c r="V13" s="2">
        <f t="shared" si="4"/>
        <v>3915</v>
      </c>
      <c r="W13" s="2">
        <f t="shared" si="5"/>
        <v>2913.91</v>
      </c>
      <c r="X13" s="2">
        <f t="shared" si="6"/>
        <v>42367599.781698599</v>
      </c>
      <c r="Y13" s="2">
        <f t="shared" si="7"/>
        <v>199827</v>
      </c>
      <c r="Z13" s="2">
        <f t="shared" si="8"/>
        <v>1.46</v>
      </c>
      <c r="AA13" s="2">
        <f t="shared" si="11"/>
        <v>42511150.109999999</v>
      </c>
      <c r="AB13" s="2">
        <f t="shared" si="9"/>
        <v>-143550.32830139995</v>
      </c>
    </row>
    <row r="14" spans="1:29">
      <c r="A14" s="2">
        <v>11</v>
      </c>
      <c r="B14" s="2" t="s">
        <v>108</v>
      </c>
      <c r="C14" s="2" t="s">
        <v>2224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412</v>
      </c>
      <c r="J14" s="2" t="s">
        <v>1019</v>
      </c>
      <c r="K14" s="2">
        <f t="shared" si="10"/>
        <v>42367599.781698599</v>
      </c>
      <c r="L14" s="2" t="s">
        <v>1525</v>
      </c>
      <c r="M14" s="2" t="s">
        <v>2238</v>
      </c>
      <c r="N14" s="2" t="s">
        <v>1537</v>
      </c>
      <c r="O14" s="2">
        <v>2303</v>
      </c>
      <c r="P14" s="2">
        <v>436.24066162109381</v>
      </c>
      <c r="Q14" s="2">
        <v>456.5401611328125</v>
      </c>
      <c r="R14" s="2">
        <f t="shared" si="0"/>
        <v>1004662.243713379</v>
      </c>
      <c r="S14" s="2">
        <f t="shared" si="1"/>
        <v>1051411.9910888672</v>
      </c>
      <c r="T14" s="2">
        <f t="shared" si="2"/>
        <v>2056074.2348022461</v>
      </c>
      <c r="U14" s="2">
        <f t="shared" si="3"/>
        <v>1028.04</v>
      </c>
      <c r="V14" s="2">
        <f t="shared" si="4"/>
        <v>46749.747375488165</v>
      </c>
      <c r="W14" s="2">
        <f t="shared" si="5"/>
        <v>45721.707375488164</v>
      </c>
      <c r="X14" s="2">
        <f t="shared" si="6"/>
        <v>42413321.489074089</v>
      </c>
      <c r="Y14" s="2">
        <f t="shared" si="7"/>
        <v>200932.45</v>
      </c>
      <c r="Z14" s="2">
        <f t="shared" si="8"/>
        <v>22.75</v>
      </c>
      <c r="AA14" s="2">
        <f t="shared" si="11"/>
        <v>42511150.109999999</v>
      </c>
      <c r="AB14" s="2">
        <f t="shared" si="9"/>
        <v>-97828.620925910771</v>
      </c>
    </row>
    <row r="15" spans="1:29">
      <c r="A15" s="2">
        <v>12</v>
      </c>
      <c r="B15" s="2" t="s">
        <v>113</v>
      </c>
      <c r="C15" s="2" t="s">
        <v>2224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2239</v>
      </c>
      <c r="J15" s="2" t="s">
        <v>2240</v>
      </c>
      <c r="K15" s="2">
        <f t="shared" si="10"/>
        <v>42413321.489074089</v>
      </c>
      <c r="L15" s="2" t="s">
        <v>2241</v>
      </c>
      <c r="M15" s="2" t="s">
        <v>2073</v>
      </c>
      <c r="N15" s="2" t="s">
        <v>2189</v>
      </c>
      <c r="O15" s="2">
        <v>3428</v>
      </c>
      <c r="P15" s="2">
        <v>214.7446594238281</v>
      </c>
      <c r="Q15" s="2">
        <v>234.5446472167969</v>
      </c>
      <c r="R15" s="2">
        <f t="shared" si="0"/>
        <v>736144.6925048827</v>
      </c>
      <c r="S15" s="2">
        <f t="shared" si="1"/>
        <v>804019.0506591798</v>
      </c>
      <c r="T15" s="2">
        <f t="shared" si="2"/>
        <v>1540163.7431640625</v>
      </c>
      <c r="U15" s="2">
        <f t="shared" si="3"/>
        <v>770.08</v>
      </c>
      <c r="V15" s="2">
        <f t="shared" si="4"/>
        <v>67874.358154297108</v>
      </c>
      <c r="W15" s="2">
        <f t="shared" si="5"/>
        <v>67104.278154297106</v>
      </c>
      <c r="X15" s="2">
        <f t="shared" si="6"/>
        <v>42480425.767228387</v>
      </c>
      <c r="Y15" s="2">
        <f t="shared" si="7"/>
        <v>147228.94</v>
      </c>
      <c r="Z15" s="2">
        <f t="shared" si="8"/>
        <v>45.58</v>
      </c>
      <c r="AA15" s="2">
        <f t="shared" si="11"/>
        <v>42511150.109999999</v>
      </c>
      <c r="AB15" s="2">
        <f t="shared" si="9"/>
        <v>-30724.342771612108</v>
      </c>
    </row>
    <row r="16" spans="1:29">
      <c r="A16" s="2">
        <v>13</v>
      </c>
      <c r="B16" s="2" t="s">
        <v>120</v>
      </c>
      <c r="C16" s="2" t="s">
        <v>2224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2242</v>
      </c>
      <c r="J16" s="2" t="s">
        <v>2243</v>
      </c>
      <c r="K16" s="2">
        <f t="shared" si="10"/>
        <v>42480425.767228387</v>
      </c>
      <c r="L16" s="2" t="s">
        <v>2244</v>
      </c>
      <c r="M16" s="2" t="s">
        <v>2245</v>
      </c>
      <c r="N16" s="2" t="s">
        <v>2246</v>
      </c>
      <c r="O16" s="2">
        <v>528</v>
      </c>
      <c r="P16" s="2">
        <v>1703.300048828125</v>
      </c>
      <c r="Q16" s="2">
        <v>1696.900024414062</v>
      </c>
      <c r="R16" s="2">
        <f t="shared" si="0"/>
        <v>899342.42578125</v>
      </c>
      <c r="S16" s="2">
        <f t="shared" si="1"/>
        <v>895963.21289062477</v>
      </c>
      <c r="T16" s="2">
        <f t="shared" si="2"/>
        <v>1795305.6386718748</v>
      </c>
      <c r="U16" s="2">
        <f t="shared" si="3"/>
        <v>897.65</v>
      </c>
      <c r="V16" s="2">
        <f t="shared" si="4"/>
        <v>-3379.2128906252328</v>
      </c>
      <c r="W16" s="2">
        <f t="shared" si="5"/>
        <v>-4276.8628906252325</v>
      </c>
      <c r="X16" s="2">
        <f t="shared" si="6"/>
        <v>42476148.904337764</v>
      </c>
      <c r="Y16" s="2">
        <f t="shared" si="7"/>
        <v>179868.49</v>
      </c>
      <c r="Z16" s="2">
        <f t="shared" si="8"/>
        <v>-2.38</v>
      </c>
      <c r="AA16" s="2">
        <f t="shared" si="11"/>
        <v>42511150.109999999</v>
      </c>
      <c r="AB16" s="2">
        <f t="shared" si="9"/>
        <v>-35001.205662235618</v>
      </c>
    </row>
    <row r="17" spans="1:28">
      <c r="A17" s="2">
        <v>14</v>
      </c>
      <c r="B17" s="2" t="s">
        <v>126</v>
      </c>
      <c r="C17" s="2" t="s">
        <v>2224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984</v>
      </c>
      <c r="J17" s="2" t="s">
        <v>1849</v>
      </c>
      <c r="K17" s="2">
        <f t="shared" si="10"/>
        <v>42476148.904337764</v>
      </c>
      <c r="L17" s="2" t="s">
        <v>1573</v>
      </c>
      <c r="M17" s="2" t="s">
        <v>2104</v>
      </c>
      <c r="N17" s="2" t="s">
        <v>1805</v>
      </c>
      <c r="O17" s="2">
        <v>125</v>
      </c>
      <c r="P17" s="2">
        <v>5734.505859375</v>
      </c>
      <c r="Q17" s="2">
        <v>5928.97216796875</v>
      </c>
      <c r="R17" s="2">
        <f t="shared" si="0"/>
        <v>716813.232421875</v>
      </c>
      <c r="S17" s="2">
        <f t="shared" si="1"/>
        <v>741121.52099609375</v>
      </c>
      <c r="T17" s="2">
        <f t="shared" si="2"/>
        <v>1457934.7534179688</v>
      </c>
      <c r="U17" s="2">
        <f t="shared" si="3"/>
        <v>728.97</v>
      </c>
      <c r="V17" s="2">
        <f t="shared" si="4"/>
        <v>24308.28857421875</v>
      </c>
      <c r="W17" s="2">
        <f t="shared" si="5"/>
        <v>23579.318574218749</v>
      </c>
      <c r="X17" s="2">
        <f t="shared" si="6"/>
        <v>42499728.222911984</v>
      </c>
      <c r="Y17" s="2">
        <f t="shared" si="7"/>
        <v>143362.65</v>
      </c>
      <c r="Z17" s="2">
        <f t="shared" si="8"/>
        <v>16.45</v>
      </c>
      <c r="AA17" s="2">
        <f t="shared" si="11"/>
        <v>42511150.109999999</v>
      </c>
      <c r="AB17" s="2">
        <f t="shared" si="9"/>
        <v>-11421.887088015676</v>
      </c>
    </row>
    <row r="18" spans="1:28">
      <c r="A18" s="2">
        <v>15</v>
      </c>
      <c r="B18" s="2" t="s">
        <v>133</v>
      </c>
      <c r="C18" s="2" t="s">
        <v>2224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42499728.222911984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42499728.222911984</v>
      </c>
      <c r="Y18" s="6" t="s">
        <v>1195</v>
      </c>
      <c r="Z18" s="6" t="s">
        <v>1195</v>
      </c>
      <c r="AA18" s="2">
        <f>AA17</f>
        <v>42511150.109999999</v>
      </c>
      <c r="AB18" s="2">
        <v>0</v>
      </c>
    </row>
    <row r="19" spans="1:28">
      <c r="A19" s="2">
        <v>16</v>
      </c>
      <c r="B19" s="2" t="s">
        <v>141</v>
      </c>
      <c r="C19" s="2" t="s">
        <v>2224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2093</v>
      </c>
      <c r="J19" s="2" t="s">
        <v>207</v>
      </c>
      <c r="K19" s="2">
        <f t="shared" si="10"/>
        <v>42499728.222911984</v>
      </c>
      <c r="L19" s="2" t="s">
        <v>1557</v>
      </c>
      <c r="M19" s="2" t="s">
        <v>1572</v>
      </c>
      <c r="N19" s="2" t="s">
        <v>1565</v>
      </c>
      <c r="O19" s="2">
        <v>200</v>
      </c>
      <c r="P19" s="2">
        <v>2792.13427734375</v>
      </c>
      <c r="Q19" s="2">
        <v>2841.106201171875</v>
      </c>
      <c r="R19" s="2">
        <f>O19*P19</f>
        <v>558426.85546875</v>
      </c>
      <c r="S19" s="2">
        <f>O19*Q19</f>
        <v>568221.240234375</v>
      </c>
      <c r="T19" s="2">
        <f>R19+S19</f>
        <v>1126648.095703125</v>
      </c>
      <c r="U19" s="2">
        <f>ROUND(T19*0.0005, 2)</f>
        <v>563.32000000000005</v>
      </c>
      <c r="V19" s="2">
        <f>S19-R19</f>
        <v>9794.384765625</v>
      </c>
      <c r="W19" s="2">
        <f>V19-U19</f>
        <v>9231.0647656250003</v>
      </c>
      <c r="X19" s="2">
        <f>K19+W19</f>
        <v>42508959.287677608</v>
      </c>
      <c r="Y19" s="2">
        <f>ROUND(0.2*R19, 2)</f>
        <v>111685.37</v>
      </c>
      <c r="Z19" s="2">
        <f>ROUND((W19/Y19)*100, 2)</f>
        <v>8.27</v>
      </c>
      <c r="AA19" s="2">
        <f>MAX(AA18, X19)</f>
        <v>42511150.109999999</v>
      </c>
      <c r="AB19" s="2">
        <f>X19-AA19</f>
        <v>-2190.8223223909736</v>
      </c>
    </row>
    <row r="20" spans="1:28">
      <c r="A20" s="2">
        <v>17</v>
      </c>
      <c r="B20" s="2" t="s">
        <v>149</v>
      </c>
      <c r="C20" s="2" t="s">
        <v>2224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42508959.287677608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42508959.287677608</v>
      </c>
      <c r="Y20" s="6" t="s">
        <v>1195</v>
      </c>
      <c r="Z20" s="6" t="s">
        <v>1195</v>
      </c>
      <c r="AA20" s="2">
        <f>AA19</f>
        <v>42511150.109999999</v>
      </c>
      <c r="AB20" s="2">
        <v>0</v>
      </c>
    </row>
    <row r="21" spans="1:28">
      <c r="A21" s="2">
        <v>18</v>
      </c>
      <c r="B21" s="2" t="s">
        <v>154</v>
      </c>
      <c r="C21" s="2" t="s">
        <v>2224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42508959.287677608</v>
      </c>
      <c r="L21" s="2" t="s">
        <v>159</v>
      </c>
      <c r="M21" s="2" t="s">
        <v>81</v>
      </c>
      <c r="N21" s="2" t="s">
        <v>2196</v>
      </c>
      <c r="O21" s="2">
        <v>668</v>
      </c>
      <c r="P21" s="2">
        <v>1280</v>
      </c>
      <c r="Q21" s="2">
        <v>1470.2</v>
      </c>
      <c r="R21" s="2">
        <f>O21*P21</f>
        <v>855040</v>
      </c>
      <c r="S21" s="2">
        <f>O21*Q21</f>
        <v>982093.6</v>
      </c>
      <c r="T21" s="2">
        <f>R21+S21</f>
        <v>1837133.6</v>
      </c>
      <c r="U21" s="2">
        <f>ROUND(T21*0.0005, 2)</f>
        <v>918.57</v>
      </c>
      <c r="V21" s="2">
        <f>S21-R21</f>
        <v>127053.59999999998</v>
      </c>
      <c r="W21" s="2">
        <f>V21-U21</f>
        <v>126135.02999999997</v>
      </c>
      <c r="X21" s="2">
        <f>K21+W21</f>
        <v>42635094.31767761</v>
      </c>
      <c r="Y21" s="2">
        <f>ROUND(0.2*R21, 2)</f>
        <v>171008</v>
      </c>
      <c r="Z21" s="2">
        <f>ROUND((W21/Y21)*100, 2)</f>
        <v>73.760000000000005</v>
      </c>
      <c r="AA21" s="2">
        <f>MAX(AA20, X21)</f>
        <v>42635094.31767761</v>
      </c>
      <c r="AB21" s="2">
        <f>X21-AA21</f>
        <v>0</v>
      </c>
    </row>
    <row r="22" spans="1:28">
      <c r="A22" s="2">
        <v>19</v>
      </c>
      <c r="B22" s="2" t="s">
        <v>160</v>
      </c>
      <c r="C22" s="2" t="s">
        <v>2224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42635094.31767761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42635094.31767761</v>
      </c>
      <c r="Y22" s="6" t="s">
        <v>1195</v>
      </c>
      <c r="Z22" s="6" t="s">
        <v>1195</v>
      </c>
      <c r="AA22" s="2">
        <f>AA21</f>
        <v>42635094.31767761</v>
      </c>
      <c r="AB22" s="2">
        <v>0</v>
      </c>
    </row>
    <row r="23" spans="1:28">
      <c r="A23" s="2">
        <v>20</v>
      </c>
      <c r="B23" s="2" t="s">
        <v>168</v>
      </c>
      <c r="C23" s="2" t="s">
        <v>2224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42635094.31767761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42635094.31767761</v>
      </c>
      <c r="Y23" s="6" t="s">
        <v>1195</v>
      </c>
      <c r="Z23" s="6" t="s">
        <v>1195</v>
      </c>
      <c r="AA23" s="2">
        <f>AA22</f>
        <v>42635094.31767761</v>
      </c>
      <c r="AB23" s="2">
        <v>0</v>
      </c>
    </row>
    <row r="24" spans="1:28">
      <c r="A24" s="2">
        <v>21</v>
      </c>
      <c r="B24" s="2" t="s">
        <v>175</v>
      </c>
      <c r="C24" s="2" t="s">
        <v>2224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2106</v>
      </c>
      <c r="J24" s="2" t="s">
        <v>1387</v>
      </c>
      <c r="K24" s="2">
        <f t="shared" si="10"/>
        <v>42635094.31767761</v>
      </c>
      <c r="L24" s="2" t="s">
        <v>1629</v>
      </c>
      <c r="M24" s="2" t="s">
        <v>1557</v>
      </c>
      <c r="N24" s="2" t="s">
        <v>1374</v>
      </c>
      <c r="O24" s="2">
        <v>625</v>
      </c>
      <c r="P24" s="2">
        <v>1060.704833984375</v>
      </c>
      <c r="Q24" s="2">
        <v>1138.767456054688</v>
      </c>
      <c r="R24" s="2">
        <f>O24*P24</f>
        <v>662940.52124023437</v>
      </c>
      <c r="S24" s="2">
        <f>O24*Q24</f>
        <v>711729.66003417992</v>
      </c>
      <c r="T24" s="2">
        <f>R24+S24</f>
        <v>1374670.1812744143</v>
      </c>
      <c r="U24" s="2">
        <f>ROUND(T24*0.0005, 2)</f>
        <v>687.34</v>
      </c>
      <c r="V24" s="2">
        <f>S24-R24</f>
        <v>48789.138793945545</v>
      </c>
      <c r="W24" s="2">
        <f>V24-U24</f>
        <v>48101.798793945549</v>
      </c>
      <c r="X24" s="2">
        <f>K24+W24</f>
        <v>42683196.116471559</v>
      </c>
      <c r="Y24" s="2">
        <f>ROUND(0.2*R24, 2)</f>
        <v>132588.1</v>
      </c>
      <c r="Z24" s="2">
        <f>ROUND((W24/Y24)*100, 2)</f>
        <v>36.28</v>
      </c>
      <c r="AA24" s="2">
        <f>MAX(AA23, X24)</f>
        <v>42683196.116471559</v>
      </c>
      <c r="AB24" s="2">
        <f>X24-AA24</f>
        <v>0</v>
      </c>
    </row>
    <row r="25" spans="1:28">
      <c r="A25" s="2">
        <v>22</v>
      </c>
      <c r="B25" s="2" t="s">
        <v>184</v>
      </c>
      <c r="C25" s="2" t="s">
        <v>2224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1886</v>
      </c>
      <c r="J25" s="2" t="s">
        <v>2107</v>
      </c>
      <c r="K25" s="2">
        <f t="shared" si="10"/>
        <v>42683196.116471559</v>
      </c>
      <c r="L25" s="2" t="s">
        <v>1709</v>
      </c>
      <c r="M25" s="2" t="s">
        <v>1580</v>
      </c>
      <c r="N25" s="2" t="s">
        <v>1630</v>
      </c>
      <c r="O25" s="2">
        <v>125</v>
      </c>
      <c r="P25" s="2">
        <v>8591.2421875</v>
      </c>
      <c r="Q25" s="2">
        <v>8391.09375</v>
      </c>
      <c r="R25" s="2">
        <f>O25*P25</f>
        <v>1073905.2734375</v>
      </c>
      <c r="S25" s="2">
        <f>O25*Q25</f>
        <v>1048886.71875</v>
      </c>
      <c r="T25" s="2">
        <f>R25+S25</f>
        <v>2122791.9921875</v>
      </c>
      <c r="U25" s="2">
        <f>ROUND(T25*0.0005, 2)</f>
        <v>1061.4000000000001</v>
      </c>
      <c r="V25" s="2">
        <f>S25-R25</f>
        <v>-25018.5546875</v>
      </c>
      <c r="W25" s="2">
        <f>V25-U25</f>
        <v>-26079.954687500001</v>
      </c>
      <c r="X25" s="2">
        <f>K25+W25</f>
        <v>42657116.16178406</v>
      </c>
      <c r="Y25" s="2">
        <f>ROUND(0.2*R25, 2)</f>
        <v>214781.05</v>
      </c>
      <c r="Z25" s="2">
        <f>ROUND((W25/Y25)*100, 2)</f>
        <v>-12.14</v>
      </c>
      <c r="AA25" s="2">
        <f>MAX(AA24, X25)</f>
        <v>42683196.116471559</v>
      </c>
      <c r="AB25" s="2">
        <f>X25-AA25</f>
        <v>-26079.95468749851</v>
      </c>
    </row>
    <row r="26" spans="1:28">
      <c r="A26" s="2">
        <v>23</v>
      </c>
      <c r="B26" s="2" t="s">
        <v>190</v>
      </c>
      <c r="C26" s="2" t="s">
        <v>2224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1840</v>
      </c>
      <c r="J26" s="2" t="s">
        <v>618</v>
      </c>
      <c r="K26" s="2">
        <f t="shared" si="10"/>
        <v>42657116.16178406</v>
      </c>
      <c r="L26" s="2" t="s">
        <v>1467</v>
      </c>
      <c r="M26" s="2" t="s">
        <v>1591</v>
      </c>
      <c r="N26" s="2" t="s">
        <v>1639</v>
      </c>
      <c r="O26" s="2">
        <v>500</v>
      </c>
      <c r="P26" s="2">
        <v>1594.205200195312</v>
      </c>
      <c r="Q26" s="2">
        <v>1611.820434570312</v>
      </c>
      <c r="R26" s="2">
        <f>O26*P26</f>
        <v>797102.60009765602</v>
      </c>
      <c r="S26" s="2">
        <f>O26*Q26</f>
        <v>805910.21728515602</v>
      </c>
      <c r="T26" s="2">
        <f>R26+S26</f>
        <v>1603012.817382812</v>
      </c>
      <c r="U26" s="2">
        <f>ROUND(T26*0.0005, 2)</f>
        <v>801.51</v>
      </c>
      <c r="V26" s="2">
        <f>S26-R26</f>
        <v>8807.6171875</v>
      </c>
      <c r="W26" s="2">
        <f>V26-U26</f>
        <v>8006.1071874999998</v>
      </c>
      <c r="X26" s="2">
        <f>K26+W26</f>
        <v>42665122.268971562</v>
      </c>
      <c r="Y26" s="2">
        <f>ROUND(0.2*R26, 2)</f>
        <v>159420.51999999999</v>
      </c>
      <c r="Z26" s="2">
        <f>ROUND((W26/Y26)*100, 2)</f>
        <v>5.0199999999999996</v>
      </c>
      <c r="AA26" s="2">
        <f>MAX(AA25, X26)</f>
        <v>42683196.116471559</v>
      </c>
      <c r="AB26" s="2">
        <f>X26-AA26</f>
        <v>-18073.847499996424</v>
      </c>
    </row>
    <row r="27" spans="1:28">
      <c r="A27" s="2">
        <v>24</v>
      </c>
      <c r="B27" s="2" t="s">
        <v>195</v>
      </c>
      <c r="C27" s="2" t="s">
        <v>2224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42665122.268971562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42665122.268971562</v>
      </c>
      <c r="Y27" s="6" t="s">
        <v>1195</v>
      </c>
      <c r="Z27" s="6" t="s">
        <v>1195</v>
      </c>
      <c r="AA27" s="2">
        <f>AA26</f>
        <v>42683196.116471559</v>
      </c>
      <c r="AB27" s="2">
        <v>0</v>
      </c>
    </row>
    <row r="28" spans="1:28">
      <c r="A28" s="2">
        <v>25</v>
      </c>
      <c r="B28" s="2" t="s">
        <v>199</v>
      </c>
      <c r="C28" s="2" t="s">
        <v>2224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2088</v>
      </c>
      <c r="J28" s="2" t="s">
        <v>396</v>
      </c>
      <c r="K28" s="2">
        <f t="shared" si="10"/>
        <v>42665122.268971562</v>
      </c>
      <c r="L28" s="2" t="s">
        <v>1629</v>
      </c>
      <c r="M28" s="2" t="s">
        <v>1557</v>
      </c>
      <c r="N28" s="2" t="s">
        <v>1374</v>
      </c>
      <c r="O28" s="2">
        <v>125</v>
      </c>
      <c r="P28" s="2">
        <v>720.3536376953125</v>
      </c>
      <c r="Q28" s="2">
        <v>681.2701416015625</v>
      </c>
      <c r="R28" s="2">
        <f>O28*P28</f>
        <v>90044.204711914063</v>
      </c>
      <c r="S28" s="2">
        <f>O28*Q28</f>
        <v>85158.767700195313</v>
      </c>
      <c r="T28" s="2">
        <f>R28+S28</f>
        <v>175202.97241210937</v>
      </c>
      <c r="U28" s="2">
        <f>ROUND(T28*0.0005, 2)</f>
        <v>87.6</v>
      </c>
      <c r="V28" s="2">
        <f>S28-R28</f>
        <v>-4885.43701171875</v>
      </c>
      <c r="W28" s="2">
        <f>V28-U28</f>
        <v>-4973.0370117187504</v>
      </c>
      <c r="X28" s="2">
        <f>K28+W28</f>
        <v>42660149.231959842</v>
      </c>
      <c r="Y28" s="2">
        <f>ROUND(0.2*R28, 2)</f>
        <v>18008.84</v>
      </c>
      <c r="Z28" s="2">
        <f>ROUND((W28/Y28)*100, 2)</f>
        <v>-27.61</v>
      </c>
      <c r="AA28" s="2">
        <f>MAX(AA27, X28)</f>
        <v>42683196.116471559</v>
      </c>
      <c r="AB28" s="2">
        <f>X28-AA28</f>
        <v>-23046.884511716664</v>
      </c>
    </row>
    <row r="29" spans="1:28">
      <c r="A29" s="2">
        <v>26</v>
      </c>
      <c r="B29" s="2" t="s">
        <v>205</v>
      </c>
      <c r="C29" s="2" t="s">
        <v>2224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42660149.231959842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42660149.231959842</v>
      </c>
      <c r="Y29" s="6" t="s">
        <v>1195</v>
      </c>
      <c r="Z29" s="6" t="s">
        <v>1195</v>
      </c>
      <c r="AA29" s="2">
        <f>AA28</f>
        <v>42683196.116471559</v>
      </c>
      <c r="AB29" s="2">
        <v>0</v>
      </c>
    </row>
    <row r="30" spans="1:28">
      <c r="A30" s="2">
        <v>27</v>
      </c>
      <c r="B30" s="2" t="s">
        <v>209</v>
      </c>
      <c r="C30" s="2" t="s">
        <v>2224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42660149.231959842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42660149.231959842</v>
      </c>
      <c r="Y30" s="6" t="s">
        <v>1195</v>
      </c>
      <c r="Z30" s="6" t="s">
        <v>1195</v>
      </c>
      <c r="AA30" s="2">
        <f>AA29</f>
        <v>42683196.116471559</v>
      </c>
      <c r="AB30" s="2">
        <v>0</v>
      </c>
    </row>
    <row r="31" spans="1:28">
      <c r="A31" s="2">
        <v>28</v>
      </c>
      <c r="B31" s="2" t="s">
        <v>213</v>
      </c>
      <c r="C31" s="2" t="s">
        <v>2224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42660149.231959842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42660149.231959842</v>
      </c>
      <c r="Y31" s="6" t="s">
        <v>1195</v>
      </c>
      <c r="Z31" s="6" t="s">
        <v>1195</v>
      </c>
      <c r="AA31" s="2">
        <f>AA30</f>
        <v>42683196.116471559</v>
      </c>
      <c r="AB31" s="2">
        <v>0</v>
      </c>
    </row>
    <row r="32" spans="1:28">
      <c r="A32" s="2">
        <v>29</v>
      </c>
      <c r="B32" s="2" t="s">
        <v>218</v>
      </c>
      <c r="C32" s="2" t="s">
        <v>2224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42660149.231959842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42660149.231959842</v>
      </c>
      <c r="Y32" s="6" t="s">
        <v>1195</v>
      </c>
      <c r="Z32" s="6" t="s">
        <v>1195</v>
      </c>
      <c r="AA32" s="2">
        <f>AA31</f>
        <v>42683196.116471559</v>
      </c>
      <c r="AB32" s="2">
        <v>0</v>
      </c>
    </row>
    <row r="33" spans="1:28">
      <c r="A33" s="2">
        <v>30</v>
      </c>
      <c r="B33" s="2" t="s">
        <v>225</v>
      </c>
      <c r="C33" s="2" t="s">
        <v>2224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2108</v>
      </c>
      <c r="J33" s="2" t="s">
        <v>2109</v>
      </c>
      <c r="K33" s="2">
        <f t="shared" si="10"/>
        <v>42660149.231959842</v>
      </c>
      <c r="L33" s="2" t="s">
        <v>1565</v>
      </c>
      <c r="M33" s="2" t="s">
        <v>1540</v>
      </c>
      <c r="N33" s="2" t="s">
        <v>1651</v>
      </c>
      <c r="O33" s="2">
        <v>2438</v>
      </c>
      <c r="P33" s="2">
        <v>290.1260986328125</v>
      </c>
      <c r="Q33" s="2">
        <v>222.8783264160156</v>
      </c>
      <c r="R33" s="2">
        <f>O33*P33</f>
        <v>707327.42846679687</v>
      </c>
      <c r="S33" s="2">
        <f>O33*Q33</f>
        <v>543377.35980224598</v>
      </c>
      <c r="T33" s="2">
        <f>R33+S33</f>
        <v>1250704.788269043</v>
      </c>
      <c r="U33" s="2">
        <f>ROUND(T33*0.0005, 2)</f>
        <v>625.35</v>
      </c>
      <c r="V33" s="2">
        <f>S33-R33</f>
        <v>-163950.0686645509</v>
      </c>
      <c r="W33" s="2">
        <f>V33-U33</f>
        <v>-164575.4186645509</v>
      </c>
      <c r="X33" s="2">
        <f>K33+W33</f>
        <v>42495573.81329529</v>
      </c>
      <c r="Y33" s="2">
        <f>ROUND(0.2*R33, 2)</f>
        <v>141465.49</v>
      </c>
      <c r="Z33" s="2">
        <f>ROUND((W33/Y33)*100, 2)</f>
        <v>-116.34</v>
      </c>
      <c r="AA33" s="2">
        <f>MAX(AA32, X33)</f>
        <v>42683196.116471559</v>
      </c>
      <c r="AB33" s="2">
        <f>X33-AA33</f>
        <v>-187622.30317626894</v>
      </c>
    </row>
    <row r="34" spans="1:28">
      <c r="A34" s="2">
        <v>31</v>
      </c>
      <c r="B34" s="2" t="s">
        <v>230</v>
      </c>
      <c r="C34" s="2" t="s">
        <v>2224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42495573.81329529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42495573.81329529</v>
      </c>
      <c r="Y34" s="6" t="s">
        <v>1195</v>
      </c>
      <c r="Z34" s="6" t="s">
        <v>1195</v>
      </c>
      <c r="AA34" s="2">
        <f>AA33</f>
        <v>42683196.116471559</v>
      </c>
      <c r="AB34" s="2">
        <v>0</v>
      </c>
    </row>
    <row r="35" spans="1:28">
      <c r="A35" s="2">
        <v>32</v>
      </c>
      <c r="B35" s="2" t="s">
        <v>236</v>
      </c>
      <c r="C35" s="2" t="s">
        <v>2224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665</v>
      </c>
      <c r="J35" s="2" t="s">
        <v>2023</v>
      </c>
      <c r="K35" s="2">
        <f t="shared" si="10"/>
        <v>42495573.81329529</v>
      </c>
      <c r="L35" s="2" t="s">
        <v>1557</v>
      </c>
      <c r="M35" s="2" t="s">
        <v>1613</v>
      </c>
      <c r="N35" s="2" t="s">
        <v>1555</v>
      </c>
      <c r="O35" s="2">
        <v>950</v>
      </c>
      <c r="P35" s="2">
        <v>1259.7890625</v>
      </c>
      <c r="Q35" s="2">
        <v>1329.317138671875</v>
      </c>
      <c r="R35" s="2">
        <f>O35*P35</f>
        <v>1196799.609375</v>
      </c>
      <c r="S35" s="2">
        <f>O35*Q35</f>
        <v>1262851.2817382812</v>
      </c>
      <c r="T35" s="2">
        <f>R35+S35</f>
        <v>2459650.8911132812</v>
      </c>
      <c r="U35" s="2">
        <f>ROUND(T35*0.0005, 2)</f>
        <v>1229.83</v>
      </c>
      <c r="V35" s="2">
        <f>S35-R35</f>
        <v>66051.67236328125</v>
      </c>
      <c r="W35" s="2">
        <f>V35-U35</f>
        <v>64821.842363281248</v>
      </c>
      <c r="X35" s="2">
        <f>K35+W35</f>
        <v>42560395.655658573</v>
      </c>
      <c r="Y35" s="2">
        <f>ROUND(0.2*R35, 2)</f>
        <v>239359.92</v>
      </c>
      <c r="Z35" s="2">
        <f>ROUND((W35/Y35)*100, 2)</f>
        <v>27.08</v>
      </c>
      <c r="AA35" s="2">
        <f>MAX(AA34, X35)</f>
        <v>42683196.116471559</v>
      </c>
      <c r="AB35" s="2">
        <f>X35-AA35</f>
        <v>-122800.4608129859</v>
      </c>
    </row>
    <row r="36" spans="1:28">
      <c r="A36" s="2">
        <v>33</v>
      </c>
      <c r="B36" s="2" t="s">
        <v>240</v>
      </c>
      <c r="C36" s="2" t="s">
        <v>2224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42560395.655658573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42560395.655658573</v>
      </c>
      <c r="Y36" s="6" t="s">
        <v>1195</v>
      </c>
      <c r="Z36" s="6" t="s">
        <v>1195</v>
      </c>
      <c r="AA36" s="2">
        <f>AA35</f>
        <v>42683196.116471559</v>
      </c>
      <c r="AB36" s="2">
        <v>0</v>
      </c>
    </row>
    <row r="37" spans="1:28">
      <c r="A37" s="2">
        <v>34</v>
      </c>
      <c r="B37" s="2" t="s">
        <v>245</v>
      </c>
      <c r="C37" s="2" t="s">
        <v>2224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42560395.655658573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42560395.655658573</v>
      </c>
      <c r="Y37" s="6" t="s">
        <v>1195</v>
      </c>
      <c r="Z37" s="6" t="s">
        <v>1195</v>
      </c>
      <c r="AA37" s="2">
        <f>AA36</f>
        <v>42683196.116471559</v>
      </c>
      <c r="AB37" s="2">
        <v>0</v>
      </c>
    </row>
    <row r="38" spans="1:28">
      <c r="A38" s="2">
        <v>35</v>
      </c>
      <c r="B38" s="2" t="s">
        <v>248</v>
      </c>
      <c r="C38" s="2" t="s">
        <v>2224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42560395.655658573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42560395.655658573</v>
      </c>
      <c r="Y38" s="6" t="s">
        <v>1195</v>
      </c>
      <c r="Z38" s="6" t="s">
        <v>1195</v>
      </c>
      <c r="AA38" s="2">
        <f>AA37</f>
        <v>42683196.116471559</v>
      </c>
      <c r="AB38" s="2">
        <v>0</v>
      </c>
    </row>
    <row r="39" spans="1:28">
      <c r="A39" s="2">
        <v>36</v>
      </c>
      <c r="B39" s="2" t="s">
        <v>252</v>
      </c>
      <c r="C39" s="2" t="s">
        <v>2224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42560395.655658573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42560395.655658573</v>
      </c>
      <c r="Y39" s="6" t="s">
        <v>1195</v>
      </c>
      <c r="Z39" s="6" t="s">
        <v>1195</v>
      </c>
      <c r="AA39" s="2">
        <f>AA38</f>
        <v>42683196.116471559</v>
      </c>
      <c r="AB39" s="2">
        <v>0</v>
      </c>
    </row>
    <row r="40" spans="1:28">
      <c r="A40" s="2">
        <v>37</v>
      </c>
      <c r="B40" s="2" t="s">
        <v>256</v>
      </c>
      <c r="C40" s="2" t="s">
        <v>2224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2110</v>
      </c>
      <c r="J40" s="2" t="s">
        <v>152</v>
      </c>
      <c r="K40" s="2">
        <f t="shared" si="10"/>
        <v>42560395.655658573</v>
      </c>
      <c r="L40" s="2" t="s">
        <v>1557</v>
      </c>
      <c r="M40" s="2" t="s">
        <v>1558</v>
      </c>
      <c r="N40" s="2" t="s">
        <v>1559</v>
      </c>
      <c r="O40" s="2">
        <v>1800</v>
      </c>
      <c r="P40" s="2">
        <v>275.91717529296881</v>
      </c>
      <c r="Q40" s="2">
        <v>280.866943359375</v>
      </c>
      <c r="R40" s="2">
        <f>O40*P40</f>
        <v>496650.91552734387</v>
      </c>
      <c r="S40" s="2">
        <f>O40*Q40</f>
        <v>505560.498046875</v>
      </c>
      <c r="T40" s="2">
        <f>R40+S40</f>
        <v>1002211.4135742189</v>
      </c>
      <c r="U40" s="2">
        <f>ROUND(T40*0.0005, 2)</f>
        <v>501.11</v>
      </c>
      <c r="V40" s="2">
        <f>S40-R40</f>
        <v>8909.5825195311336</v>
      </c>
      <c r="W40" s="2">
        <f>V40-U40</f>
        <v>8408.472519531133</v>
      </c>
      <c r="X40" s="2">
        <f>K40+W40</f>
        <v>42568804.128178105</v>
      </c>
      <c r="Y40" s="2">
        <f>ROUND(0.2*R40, 2)</f>
        <v>99330.18</v>
      </c>
      <c r="Z40" s="2">
        <f>ROUND((W40/Y40)*100, 2)</f>
        <v>8.4700000000000006</v>
      </c>
      <c r="AA40" s="2">
        <f>MAX(AA39, X40)</f>
        <v>42683196.116471559</v>
      </c>
      <c r="AB40" s="2">
        <f>X40-AA40</f>
        <v>-114391.98829345405</v>
      </c>
    </row>
    <row r="41" spans="1:28">
      <c r="A41" s="2">
        <v>38</v>
      </c>
      <c r="B41" s="2" t="s">
        <v>259</v>
      </c>
      <c r="C41" s="2" t="s">
        <v>2224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1753</v>
      </c>
      <c r="J41" s="2" t="s">
        <v>2111</v>
      </c>
      <c r="K41" s="2">
        <f t="shared" si="10"/>
        <v>42568804.128178105</v>
      </c>
      <c r="L41" s="2" t="s">
        <v>1557</v>
      </c>
      <c r="M41" s="2" t="s">
        <v>1543</v>
      </c>
      <c r="N41" s="2" t="s">
        <v>1582</v>
      </c>
      <c r="O41" s="2">
        <v>200</v>
      </c>
      <c r="P41" s="2">
        <v>4623.0517578125</v>
      </c>
      <c r="Q41" s="2">
        <v>5041.3056640625</v>
      </c>
      <c r="R41" s="2">
        <f>O41*P41</f>
        <v>924610.3515625</v>
      </c>
      <c r="S41" s="2">
        <f>O41*Q41</f>
        <v>1008261.1328125</v>
      </c>
      <c r="T41" s="2">
        <f>R41+S41</f>
        <v>1932871.484375</v>
      </c>
      <c r="U41" s="2">
        <f>ROUND(T41*0.0005, 2)</f>
        <v>966.44</v>
      </c>
      <c r="V41" s="2">
        <f>S41-R41</f>
        <v>83650.78125</v>
      </c>
      <c r="W41" s="2">
        <f>V41-U41</f>
        <v>82684.341249999998</v>
      </c>
      <c r="X41" s="2">
        <f>K41+W41</f>
        <v>42651488.469428107</v>
      </c>
      <c r="Y41" s="2">
        <f>ROUND(0.2*R41, 2)</f>
        <v>184922.07</v>
      </c>
      <c r="Z41" s="2">
        <f>ROUND((W41/Y41)*100, 2)</f>
        <v>44.71</v>
      </c>
      <c r="AA41" s="2">
        <f>MAX(AA40, X41)</f>
        <v>42683196.116471559</v>
      </c>
      <c r="AB41" s="2">
        <f>X41-AA41</f>
        <v>-31707.647043451667</v>
      </c>
    </row>
    <row r="42" spans="1:28">
      <c r="A42" s="2">
        <v>39</v>
      </c>
      <c r="B42" s="2" t="s">
        <v>265</v>
      </c>
      <c r="C42" s="2" t="s">
        <v>2224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42651488.469428107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42651488.469428107</v>
      </c>
      <c r="Y42" s="6" t="s">
        <v>1195</v>
      </c>
      <c r="Z42" s="6" t="s">
        <v>1195</v>
      </c>
      <c r="AA42" s="2">
        <f t="shared" ref="AA42:AA47" si="13">AA41</f>
        <v>42683196.116471559</v>
      </c>
      <c r="AB42" s="2">
        <v>0</v>
      </c>
    </row>
    <row r="43" spans="1:28">
      <c r="A43" s="2">
        <v>40</v>
      </c>
      <c r="B43" s="2" t="s">
        <v>269</v>
      </c>
      <c r="C43" s="2" t="s">
        <v>2224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42651488.469428107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42651488.469428107</v>
      </c>
      <c r="Y43" s="6" t="s">
        <v>1195</v>
      </c>
      <c r="Z43" s="6" t="s">
        <v>1195</v>
      </c>
      <c r="AA43" s="2">
        <f t="shared" si="13"/>
        <v>42683196.116471559</v>
      </c>
      <c r="AB43" s="2">
        <v>0</v>
      </c>
    </row>
    <row r="44" spans="1:28">
      <c r="A44" s="2">
        <v>41</v>
      </c>
      <c r="B44" s="2" t="s">
        <v>272</v>
      </c>
      <c r="C44" s="2" t="s">
        <v>2224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42651488.469428107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42651488.469428107</v>
      </c>
      <c r="Y44" s="6" t="s">
        <v>1195</v>
      </c>
      <c r="Z44" s="6" t="s">
        <v>1195</v>
      </c>
      <c r="AA44" s="2">
        <f t="shared" si="13"/>
        <v>42683196.116471559</v>
      </c>
      <c r="AB44" s="2">
        <v>0</v>
      </c>
    </row>
    <row r="45" spans="1:28">
      <c r="A45" s="2">
        <v>42</v>
      </c>
      <c r="B45" s="2" t="s">
        <v>275</v>
      </c>
      <c r="C45" s="2" t="s">
        <v>2224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42651488.469428107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42651488.469428107</v>
      </c>
      <c r="Y45" s="6" t="s">
        <v>1195</v>
      </c>
      <c r="Z45" s="6" t="s">
        <v>1195</v>
      </c>
      <c r="AA45" s="2">
        <f t="shared" si="13"/>
        <v>42683196.116471559</v>
      </c>
      <c r="AB45" s="2">
        <v>0</v>
      </c>
    </row>
    <row r="46" spans="1:28">
      <c r="A46" s="2">
        <v>43</v>
      </c>
      <c r="B46" s="2" t="s">
        <v>280</v>
      </c>
      <c r="C46" s="2" t="s">
        <v>2224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42651488.469428107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42651488.469428107</v>
      </c>
      <c r="Y46" s="6" t="s">
        <v>1195</v>
      </c>
      <c r="Z46" s="6" t="s">
        <v>1195</v>
      </c>
      <c r="AA46" s="2">
        <f t="shared" si="13"/>
        <v>42683196.116471559</v>
      </c>
      <c r="AB46" s="2">
        <v>0</v>
      </c>
    </row>
    <row r="47" spans="1:28">
      <c r="A47" s="2">
        <v>44</v>
      </c>
      <c r="B47" s="2" t="s">
        <v>284</v>
      </c>
      <c r="C47" s="2" t="s">
        <v>2224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42651488.469428107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42651488.469428107</v>
      </c>
      <c r="Y47" s="6" t="s">
        <v>1195</v>
      </c>
      <c r="Z47" s="6" t="s">
        <v>1195</v>
      </c>
      <c r="AA47" s="2">
        <f t="shared" si="13"/>
        <v>42683196.116471559</v>
      </c>
      <c r="AB47" s="2">
        <v>0</v>
      </c>
    </row>
    <row r="48" spans="1:28">
      <c r="A48" s="2">
        <v>45</v>
      </c>
      <c r="B48" s="2" t="s">
        <v>291</v>
      </c>
      <c r="C48" s="2" t="s">
        <v>2224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1490</v>
      </c>
      <c r="J48" s="2" t="s">
        <v>2112</v>
      </c>
      <c r="K48" s="2">
        <f t="shared" si="10"/>
        <v>42651488.469428107</v>
      </c>
      <c r="L48" s="2" t="s">
        <v>1566</v>
      </c>
      <c r="M48" s="2" t="s">
        <v>1545</v>
      </c>
      <c r="N48" s="2" t="s">
        <v>2113</v>
      </c>
      <c r="O48" s="2">
        <v>650</v>
      </c>
      <c r="P48" s="2">
        <v>1359.866821289062</v>
      </c>
      <c r="Q48" s="2">
        <v>1345.967163085938</v>
      </c>
      <c r="R48" s="2">
        <f>O48*P48</f>
        <v>883913.43383789028</v>
      </c>
      <c r="S48" s="2">
        <f>O48*Q48</f>
        <v>874878.65600585972</v>
      </c>
      <c r="T48" s="2">
        <f>R48+S48</f>
        <v>1758792.08984375</v>
      </c>
      <c r="U48" s="2">
        <f>ROUND(T48*0.0005, 2)</f>
        <v>879.4</v>
      </c>
      <c r="V48" s="2">
        <f>S48-R48</f>
        <v>-9034.7778320305515</v>
      </c>
      <c r="W48" s="2">
        <f>V48-U48</f>
        <v>-9914.1778320305511</v>
      </c>
      <c r="X48" s="2">
        <f>K48+W48</f>
        <v>42641574.291596077</v>
      </c>
      <c r="Y48" s="2">
        <f>ROUND(0.2*R48, 2)</f>
        <v>176782.69</v>
      </c>
      <c r="Z48" s="2">
        <f>ROUND((W48/Y48)*100, 2)</f>
        <v>-5.61</v>
      </c>
      <c r="AA48" s="2">
        <f>MAX(AA47, X48)</f>
        <v>42683196.116471559</v>
      </c>
      <c r="AB48" s="2">
        <f>X48-AA48</f>
        <v>-41621.824875481427</v>
      </c>
    </row>
    <row r="49" spans="1:28">
      <c r="A49" s="2">
        <v>46</v>
      </c>
      <c r="B49" s="2" t="s">
        <v>295</v>
      </c>
      <c r="C49" s="2" t="s">
        <v>2224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2114</v>
      </c>
      <c r="J49" s="2" t="s">
        <v>2115</v>
      </c>
      <c r="K49" s="2">
        <f t="shared" si="10"/>
        <v>42641574.291596077</v>
      </c>
      <c r="L49" s="2" t="s">
        <v>1580</v>
      </c>
      <c r="M49" s="2" t="s">
        <v>1581</v>
      </c>
      <c r="N49" s="2" t="s">
        <v>1299</v>
      </c>
      <c r="O49" s="2">
        <v>2100</v>
      </c>
      <c r="P49" s="2">
        <v>389.44833374023437</v>
      </c>
      <c r="Q49" s="2">
        <v>404.96646118164062</v>
      </c>
      <c r="R49" s="2">
        <f>O49*P49</f>
        <v>817841.50085449219</v>
      </c>
      <c r="S49" s="2">
        <f>O49*Q49</f>
        <v>850429.56848144531</v>
      </c>
      <c r="T49" s="2">
        <f>R49+S49</f>
        <v>1668271.0693359375</v>
      </c>
      <c r="U49" s="2">
        <f>ROUND(T49*0.0005, 2)</f>
        <v>834.14</v>
      </c>
      <c r="V49" s="2">
        <f>S49-R49</f>
        <v>32588.067626953125</v>
      </c>
      <c r="W49" s="2">
        <f>V49-U49</f>
        <v>31753.927626953126</v>
      </c>
      <c r="X49" s="2">
        <f>K49+W49</f>
        <v>42673328.21922303</v>
      </c>
      <c r="Y49" s="2">
        <f>ROUND(0.2*R49, 2)</f>
        <v>163568.29999999999</v>
      </c>
      <c r="Z49" s="2">
        <f>ROUND((W49/Y49)*100, 2)</f>
        <v>19.41</v>
      </c>
      <c r="AA49" s="2">
        <f>MAX(AA48, X49)</f>
        <v>42683196.116471559</v>
      </c>
      <c r="AB49" s="2">
        <f>X49-AA49</f>
        <v>-9867.8972485288978</v>
      </c>
    </row>
    <row r="50" spans="1:28">
      <c r="A50" s="2">
        <v>47</v>
      </c>
      <c r="B50" s="2" t="s">
        <v>299</v>
      </c>
      <c r="C50" s="2" t="s">
        <v>2224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42673328.21922303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42673328.21922303</v>
      </c>
      <c r="Y50" s="6" t="s">
        <v>1195</v>
      </c>
      <c r="Z50" s="6" t="s">
        <v>1195</v>
      </c>
      <c r="AA50" s="2">
        <f t="shared" ref="AA50:AA61" si="15">AA49</f>
        <v>42683196.116471559</v>
      </c>
      <c r="AB50" s="2">
        <v>0</v>
      </c>
    </row>
    <row r="51" spans="1:28">
      <c r="A51" s="2">
        <v>48</v>
      </c>
      <c r="B51" s="2" t="s">
        <v>303</v>
      </c>
      <c r="C51" s="2" t="s">
        <v>2224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42673328.21922303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42673328.21922303</v>
      </c>
      <c r="Y51" s="6" t="s">
        <v>1195</v>
      </c>
      <c r="Z51" s="6" t="s">
        <v>1195</v>
      </c>
      <c r="AA51" s="2">
        <f t="shared" si="15"/>
        <v>42683196.116471559</v>
      </c>
      <c r="AB51" s="2">
        <v>0</v>
      </c>
    </row>
    <row r="52" spans="1:28">
      <c r="A52" s="2">
        <v>49</v>
      </c>
      <c r="B52" s="2" t="s">
        <v>307</v>
      </c>
      <c r="C52" s="2" t="s">
        <v>2224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42673328.21922303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42673328.21922303</v>
      </c>
      <c r="Y52" s="6" t="s">
        <v>1195</v>
      </c>
      <c r="Z52" s="6" t="s">
        <v>1195</v>
      </c>
      <c r="AA52" s="2">
        <f t="shared" si="15"/>
        <v>42683196.116471559</v>
      </c>
      <c r="AB52" s="2">
        <v>0</v>
      </c>
    </row>
    <row r="53" spans="1:28">
      <c r="A53" s="2">
        <v>50</v>
      </c>
      <c r="B53" s="2" t="s">
        <v>311</v>
      </c>
      <c r="C53" s="2" t="s">
        <v>2224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42673328.21922303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42673328.21922303</v>
      </c>
      <c r="Y53" s="6" t="s">
        <v>1195</v>
      </c>
      <c r="Z53" s="6" t="s">
        <v>1195</v>
      </c>
      <c r="AA53" s="2">
        <f t="shared" si="15"/>
        <v>42683196.116471559</v>
      </c>
      <c r="AB53" s="2">
        <v>0</v>
      </c>
    </row>
    <row r="54" spans="1:28">
      <c r="A54" s="2">
        <v>51</v>
      </c>
      <c r="B54" s="2" t="s">
        <v>315</v>
      </c>
      <c r="C54" s="2" t="s">
        <v>2224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42673328.21922303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42673328.21922303</v>
      </c>
      <c r="Y54" s="6" t="s">
        <v>1195</v>
      </c>
      <c r="Z54" s="6" t="s">
        <v>1195</v>
      </c>
      <c r="AA54" s="2">
        <f t="shared" si="15"/>
        <v>42683196.116471559</v>
      </c>
      <c r="AB54" s="2">
        <v>0</v>
      </c>
    </row>
    <row r="55" spans="1:28">
      <c r="A55" s="2">
        <v>52</v>
      </c>
      <c r="B55" s="2" t="s">
        <v>318</v>
      </c>
      <c r="C55" s="2" t="s">
        <v>2224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42673328.21922303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42673328.21922303</v>
      </c>
      <c r="Y55" s="6" t="s">
        <v>1195</v>
      </c>
      <c r="Z55" s="6" t="s">
        <v>1195</v>
      </c>
      <c r="AA55" s="2">
        <f t="shared" si="15"/>
        <v>42683196.116471559</v>
      </c>
      <c r="AB55" s="2">
        <v>0</v>
      </c>
    </row>
    <row r="56" spans="1:28">
      <c r="A56" s="2">
        <v>53</v>
      </c>
      <c r="B56" s="2" t="s">
        <v>322</v>
      </c>
      <c r="C56" s="2" t="s">
        <v>2224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42673328.21922303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42673328.21922303</v>
      </c>
      <c r="Y56" s="6" t="s">
        <v>1195</v>
      </c>
      <c r="Z56" s="6" t="s">
        <v>1195</v>
      </c>
      <c r="AA56" s="2">
        <f t="shared" si="15"/>
        <v>42683196.116471559</v>
      </c>
      <c r="AB56" s="2">
        <v>0</v>
      </c>
    </row>
    <row r="57" spans="1:28">
      <c r="A57" s="2">
        <v>54</v>
      </c>
      <c r="B57" s="2" t="s">
        <v>324</v>
      </c>
      <c r="C57" s="2" t="s">
        <v>2224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42673328.21922303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42673328.21922303</v>
      </c>
      <c r="Y57" s="6" t="s">
        <v>1195</v>
      </c>
      <c r="Z57" s="6" t="s">
        <v>1195</v>
      </c>
      <c r="AA57" s="2">
        <f t="shared" si="15"/>
        <v>42683196.116471559</v>
      </c>
      <c r="AB57" s="2">
        <v>0</v>
      </c>
    </row>
    <row r="58" spans="1:28">
      <c r="A58" s="2">
        <v>55</v>
      </c>
      <c r="B58" s="2" t="s">
        <v>328</v>
      </c>
      <c r="C58" s="2" t="s">
        <v>2224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42673328.21922303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42673328.21922303</v>
      </c>
      <c r="Y58" s="6" t="s">
        <v>1195</v>
      </c>
      <c r="Z58" s="6" t="s">
        <v>1195</v>
      </c>
      <c r="AA58" s="2">
        <f t="shared" si="15"/>
        <v>42683196.116471559</v>
      </c>
      <c r="AB58" s="2">
        <v>0</v>
      </c>
    </row>
    <row r="59" spans="1:28">
      <c r="A59" s="2">
        <v>56</v>
      </c>
      <c r="B59" s="2" t="s">
        <v>332</v>
      </c>
      <c r="C59" s="2" t="s">
        <v>2224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42673328.21922303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42673328.21922303</v>
      </c>
      <c r="Y59" s="6" t="s">
        <v>1195</v>
      </c>
      <c r="Z59" s="6" t="s">
        <v>1195</v>
      </c>
      <c r="AA59" s="2">
        <f t="shared" si="15"/>
        <v>42683196.116471559</v>
      </c>
      <c r="AB59" s="2">
        <v>0</v>
      </c>
    </row>
    <row r="60" spans="1:28">
      <c r="A60" s="2">
        <v>57</v>
      </c>
      <c r="B60" s="2" t="s">
        <v>337</v>
      </c>
      <c r="C60" s="2" t="s">
        <v>2224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42673328.21922303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42673328.21922303</v>
      </c>
      <c r="Y60" s="6" t="s">
        <v>1195</v>
      </c>
      <c r="Z60" s="6" t="s">
        <v>1195</v>
      </c>
      <c r="AA60" s="2">
        <f t="shared" si="15"/>
        <v>42683196.116471559</v>
      </c>
      <c r="AB60" s="2">
        <v>0</v>
      </c>
    </row>
    <row r="61" spans="1:28">
      <c r="A61" s="2">
        <v>58</v>
      </c>
      <c r="B61" s="2" t="s">
        <v>341</v>
      </c>
      <c r="C61" s="2" t="s">
        <v>2224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42673328.21922303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42673328.21922303</v>
      </c>
      <c r="Y61" s="6" t="s">
        <v>1195</v>
      </c>
      <c r="Z61" s="6" t="s">
        <v>1195</v>
      </c>
      <c r="AA61" s="2">
        <f t="shared" si="15"/>
        <v>42683196.116471559</v>
      </c>
      <c r="AB61" s="2">
        <v>0</v>
      </c>
    </row>
    <row r="62" spans="1:28">
      <c r="A62" s="2">
        <v>59</v>
      </c>
      <c r="B62" s="2" t="s">
        <v>347</v>
      </c>
      <c r="C62" s="2" t="s">
        <v>2224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250</v>
      </c>
      <c r="J62" s="2" t="s">
        <v>2116</v>
      </c>
      <c r="K62" s="2">
        <f t="shared" si="10"/>
        <v>42673328.21922303</v>
      </c>
      <c r="L62" s="2" t="s">
        <v>1467</v>
      </c>
      <c r="M62" s="2" t="s">
        <v>1565</v>
      </c>
      <c r="N62" s="2" t="s">
        <v>1543</v>
      </c>
      <c r="O62" s="2">
        <v>125</v>
      </c>
      <c r="P62" s="2">
        <v>1153.8681640625</v>
      </c>
      <c r="Q62" s="2">
        <v>1227.44091796875</v>
      </c>
      <c r="R62" s="2">
        <f>O62*P62</f>
        <v>144233.5205078125</v>
      </c>
      <c r="S62" s="2">
        <f>O62*Q62</f>
        <v>153430.11474609375</v>
      </c>
      <c r="T62" s="2">
        <f>R62+S62</f>
        <v>297663.63525390625</v>
      </c>
      <c r="U62" s="2">
        <f>ROUND(T62*0.0005, 2)</f>
        <v>148.83000000000001</v>
      </c>
      <c r="V62" s="2">
        <f>S62-R62</f>
        <v>9196.59423828125</v>
      </c>
      <c r="W62" s="2">
        <f>V62-U62</f>
        <v>9047.7642382812501</v>
      </c>
      <c r="X62" s="2">
        <f>K62+W62</f>
        <v>42682375.983461313</v>
      </c>
      <c r="Y62" s="2">
        <f>ROUND(0.2*R62, 2)</f>
        <v>28846.7</v>
      </c>
      <c r="Z62" s="2">
        <f>ROUND((W62/Y62)*100, 2)</f>
        <v>31.36</v>
      </c>
      <c r="AA62" s="2">
        <f>MAX(AA61, X62)</f>
        <v>42683196.116471559</v>
      </c>
      <c r="AB62" s="2">
        <f>X62-AA62</f>
        <v>-820.13301024585962</v>
      </c>
    </row>
    <row r="63" spans="1:28">
      <c r="A63" s="2">
        <v>60</v>
      </c>
      <c r="B63" s="2" t="s">
        <v>351</v>
      </c>
      <c r="C63" s="2" t="s">
        <v>2224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276</v>
      </c>
      <c r="J63" s="2" t="s">
        <v>261</v>
      </c>
      <c r="K63" s="2">
        <f t="shared" si="10"/>
        <v>42682375.983461313</v>
      </c>
      <c r="L63" s="2" t="s">
        <v>1591</v>
      </c>
      <c r="M63" s="2" t="s">
        <v>1555</v>
      </c>
      <c r="N63" s="2" t="s">
        <v>2113</v>
      </c>
      <c r="O63" s="2">
        <v>175</v>
      </c>
      <c r="P63" s="2">
        <v>4488.81494140625</v>
      </c>
      <c r="Q63" s="2">
        <v>4618.81982421875</v>
      </c>
      <c r="R63" s="2">
        <f>O63*P63</f>
        <v>785542.61474609375</v>
      </c>
      <c r="S63" s="2">
        <f>O63*Q63</f>
        <v>808293.46923828125</v>
      </c>
      <c r="T63" s="2">
        <f>R63+S63</f>
        <v>1593836.083984375</v>
      </c>
      <c r="U63" s="2">
        <f>ROUND(T63*0.0005, 2)</f>
        <v>796.92</v>
      </c>
      <c r="V63" s="2">
        <f>S63-R63</f>
        <v>22750.8544921875</v>
      </c>
      <c r="W63" s="2">
        <f>V63-U63</f>
        <v>21953.934492187502</v>
      </c>
      <c r="X63" s="2">
        <f>K63+W63</f>
        <v>42704329.917953499</v>
      </c>
      <c r="Y63" s="2">
        <f>ROUND(0.2*R63, 2)</f>
        <v>157108.51999999999</v>
      </c>
      <c r="Z63" s="2">
        <f>ROUND((W63/Y63)*100, 2)</f>
        <v>13.97</v>
      </c>
      <c r="AA63" s="2">
        <f>MAX(AA62, X63)</f>
        <v>42704329.917953499</v>
      </c>
      <c r="AB63" s="2">
        <f>X63-AA63</f>
        <v>0</v>
      </c>
    </row>
    <row r="64" spans="1:28">
      <c r="A64" s="2">
        <v>61</v>
      </c>
      <c r="B64" s="2" t="s">
        <v>355</v>
      </c>
      <c r="C64" s="2" t="s">
        <v>2224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1447</v>
      </c>
      <c r="J64" s="2" t="s">
        <v>1966</v>
      </c>
      <c r="K64" s="2">
        <f t="shared" si="10"/>
        <v>42704329.917953499</v>
      </c>
      <c r="L64" s="2" t="s">
        <v>2247</v>
      </c>
      <c r="M64" s="2" t="s">
        <v>2248</v>
      </c>
      <c r="N64" s="2" t="s">
        <v>2249</v>
      </c>
      <c r="O64" s="2">
        <v>3399</v>
      </c>
      <c r="P64" s="2">
        <v>49.349998474121087</v>
      </c>
      <c r="Q64" s="2">
        <v>50.25</v>
      </c>
      <c r="R64" s="2">
        <f>O64*P64</f>
        <v>167740.64481353757</v>
      </c>
      <c r="S64" s="2">
        <f>O64*Q64</f>
        <v>170799.75</v>
      </c>
      <c r="T64" s="2">
        <f>R64+S64</f>
        <v>338540.3948135376</v>
      </c>
      <c r="U64" s="2">
        <f>ROUND(T64*0.0005, 2)</f>
        <v>169.27</v>
      </c>
      <c r="V64" s="2">
        <f>S64-R64</f>
        <v>3059.1051864624314</v>
      </c>
      <c r="W64" s="2">
        <f>V64-U64</f>
        <v>2889.8351864624315</v>
      </c>
      <c r="X64" s="2">
        <f>K64+W64</f>
        <v>42707219.753139958</v>
      </c>
      <c r="Y64" s="2">
        <f>ROUND(0.2*R64, 2)</f>
        <v>33548.129999999997</v>
      </c>
      <c r="Z64" s="2">
        <f>ROUND((W64/Y64)*100, 2)</f>
        <v>8.61</v>
      </c>
      <c r="AA64" s="2">
        <f>MAX(AA63, X64)</f>
        <v>42707219.753139958</v>
      </c>
      <c r="AB64" s="2">
        <f>X64-AA64</f>
        <v>0</v>
      </c>
    </row>
    <row r="65" spans="1:28">
      <c r="A65" s="2">
        <v>62</v>
      </c>
      <c r="B65" s="2" t="s">
        <v>360</v>
      </c>
      <c r="C65" s="2" t="s">
        <v>2224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42707219.753139958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42707219.753139958</v>
      </c>
      <c r="Y65" s="6" t="s">
        <v>1195</v>
      </c>
      <c r="Z65" s="6" t="s">
        <v>1195</v>
      </c>
      <c r="AA65" s="2">
        <f>AA64</f>
        <v>42707219.753139958</v>
      </c>
      <c r="AB65" s="2">
        <v>0</v>
      </c>
    </row>
    <row r="66" spans="1:28">
      <c r="A66" s="2">
        <v>63</v>
      </c>
      <c r="B66" s="2" t="s">
        <v>364</v>
      </c>
      <c r="C66" s="2" t="s">
        <v>2224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2250</v>
      </c>
      <c r="J66" s="2" t="s">
        <v>1806</v>
      </c>
      <c r="K66" s="2">
        <f t="shared" si="10"/>
        <v>42707219.753139958</v>
      </c>
      <c r="L66" s="2" t="s">
        <v>2140</v>
      </c>
      <c r="M66" s="2" t="s">
        <v>2251</v>
      </c>
      <c r="N66" s="2" t="s">
        <v>2252</v>
      </c>
      <c r="O66" s="2">
        <v>100</v>
      </c>
      <c r="P66" s="2">
        <v>9087.4375</v>
      </c>
      <c r="Q66" s="2">
        <v>9930.576171875</v>
      </c>
      <c r="R66" s="2">
        <f>O66*P66</f>
        <v>908743.75</v>
      </c>
      <c r="S66" s="2">
        <f>O66*Q66</f>
        <v>993057.6171875</v>
      </c>
      <c r="T66" s="2">
        <f>R66+S66</f>
        <v>1901801.3671875</v>
      </c>
      <c r="U66" s="2">
        <f>ROUND(T66*0.0005, 2)</f>
        <v>950.9</v>
      </c>
      <c r="V66" s="2">
        <f>S66-R66</f>
        <v>84313.8671875</v>
      </c>
      <c r="W66" s="2">
        <f>V66-U66</f>
        <v>83362.967187500006</v>
      </c>
      <c r="X66" s="2">
        <f>K66+W66</f>
        <v>42790582.720327459</v>
      </c>
      <c r="Y66" s="2">
        <f>ROUND(0.2*R66, 2)</f>
        <v>181748.75</v>
      </c>
      <c r="Z66" s="2">
        <f>ROUND((W66/Y66)*100, 2)</f>
        <v>45.87</v>
      </c>
      <c r="AA66" s="2">
        <f>MAX(AA65, X66)</f>
        <v>42790582.720327459</v>
      </c>
      <c r="AB66" s="2">
        <f>X66-AA66</f>
        <v>0</v>
      </c>
    </row>
    <row r="67" spans="1:28">
      <c r="A67" s="2">
        <v>64</v>
      </c>
      <c r="B67" s="2" t="s">
        <v>369</v>
      </c>
      <c r="C67" s="2" t="s">
        <v>2224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42790582.720327459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42790582.720327459</v>
      </c>
      <c r="Y67" s="6" t="s">
        <v>1195</v>
      </c>
      <c r="Z67" s="6" t="s">
        <v>1195</v>
      </c>
      <c r="AA67" s="2">
        <f t="shared" ref="AA67:AA73" si="17">AA66</f>
        <v>42790582.720327459</v>
      </c>
      <c r="AB67" s="2">
        <v>0</v>
      </c>
    </row>
    <row r="68" spans="1:28">
      <c r="A68" s="2">
        <v>65</v>
      </c>
      <c r="B68" s="2" t="s">
        <v>372</v>
      </c>
      <c r="C68" s="2" t="s">
        <v>2224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42790582.720327459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42790582.720327459</v>
      </c>
      <c r="Y68" s="6" t="s">
        <v>1195</v>
      </c>
      <c r="Z68" s="6" t="s">
        <v>1195</v>
      </c>
      <c r="AA68" s="2">
        <f t="shared" si="17"/>
        <v>42790582.720327459</v>
      </c>
      <c r="AB68" s="2">
        <v>0</v>
      </c>
    </row>
    <row r="69" spans="1:28">
      <c r="A69" s="2">
        <v>66</v>
      </c>
      <c r="B69" s="2" t="s">
        <v>376</v>
      </c>
      <c r="C69" s="2" t="s">
        <v>2224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42790582.720327459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42790582.720327459</v>
      </c>
      <c r="Y69" s="6" t="s">
        <v>1195</v>
      </c>
      <c r="Z69" s="6" t="s">
        <v>1195</v>
      </c>
      <c r="AA69" s="2">
        <f t="shared" si="17"/>
        <v>42790582.720327459</v>
      </c>
      <c r="AB69" s="2">
        <v>0</v>
      </c>
    </row>
    <row r="70" spans="1:28">
      <c r="A70" s="2">
        <v>67</v>
      </c>
      <c r="B70" s="2" t="s">
        <v>381</v>
      </c>
      <c r="C70" s="2" t="s">
        <v>2224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42790582.720327459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42790582.720327459</v>
      </c>
      <c r="Y70" s="6" t="s">
        <v>1195</v>
      </c>
      <c r="Z70" s="6" t="s">
        <v>1195</v>
      </c>
      <c r="AA70" s="2">
        <f t="shared" si="17"/>
        <v>42790582.720327459</v>
      </c>
      <c r="AB70" s="2">
        <v>0</v>
      </c>
    </row>
    <row r="71" spans="1:28">
      <c r="A71" s="2">
        <v>68</v>
      </c>
      <c r="B71" s="2" t="s">
        <v>385</v>
      </c>
      <c r="C71" s="2" t="s">
        <v>2224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42790582.720327459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42790582.720327459</v>
      </c>
      <c r="Y71" s="6" t="s">
        <v>1195</v>
      </c>
      <c r="Z71" s="6" t="s">
        <v>1195</v>
      </c>
      <c r="AA71" s="2">
        <f t="shared" si="17"/>
        <v>42790582.720327459</v>
      </c>
      <c r="AB71" s="2">
        <v>0</v>
      </c>
    </row>
    <row r="72" spans="1:28">
      <c r="A72" s="2">
        <v>69</v>
      </c>
      <c r="B72" s="2" t="s">
        <v>390</v>
      </c>
      <c r="C72" s="2" t="s">
        <v>2224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42790582.720327459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42790582.720327459</v>
      </c>
      <c r="Y72" s="6" t="s">
        <v>1195</v>
      </c>
      <c r="Z72" s="6" t="s">
        <v>1195</v>
      </c>
      <c r="AA72" s="2">
        <f t="shared" si="17"/>
        <v>42790582.720327459</v>
      </c>
      <c r="AB72" s="2">
        <v>0</v>
      </c>
    </row>
    <row r="73" spans="1:28">
      <c r="A73" s="2">
        <v>70</v>
      </c>
      <c r="B73" s="2" t="s">
        <v>393</v>
      </c>
      <c r="C73" s="2" t="s">
        <v>2224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42790582.720327459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42790582.720327459</v>
      </c>
      <c r="Y73" s="6" t="s">
        <v>1195</v>
      </c>
      <c r="Z73" s="6" t="s">
        <v>1195</v>
      </c>
      <c r="AA73" s="2">
        <f t="shared" si="17"/>
        <v>42790582.720327459</v>
      </c>
      <c r="AB73" s="2">
        <v>0</v>
      </c>
    </row>
    <row r="74" spans="1:28">
      <c r="A74" s="2">
        <v>71</v>
      </c>
      <c r="B74" s="2" t="s">
        <v>397</v>
      </c>
      <c r="C74" s="2" t="s">
        <v>2224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896</v>
      </c>
      <c r="J74" s="2" t="s">
        <v>2125</v>
      </c>
      <c r="K74" s="2">
        <f t="shared" si="18"/>
        <v>42790582.720327459</v>
      </c>
      <c r="L74" s="2" t="s">
        <v>1545</v>
      </c>
      <c r="M74" s="2" t="s">
        <v>1573</v>
      </c>
      <c r="N74" s="2" t="s">
        <v>1539</v>
      </c>
      <c r="O74" s="2">
        <v>250</v>
      </c>
      <c r="P74" s="2">
        <v>2327.754150390625</v>
      </c>
      <c r="Q74" s="2">
        <v>2405.62060546875</v>
      </c>
      <c r="R74" s="2">
        <f>O74*P74</f>
        <v>581938.53759765625</v>
      </c>
      <c r="S74" s="2">
        <f>O74*Q74</f>
        <v>601405.1513671875</v>
      </c>
      <c r="T74" s="2">
        <f>R74+S74</f>
        <v>1183343.6889648438</v>
      </c>
      <c r="U74" s="2">
        <f>ROUND(T74*0.0005, 2)</f>
        <v>591.66999999999996</v>
      </c>
      <c r="V74" s="2">
        <f>S74-R74</f>
        <v>19466.61376953125</v>
      </c>
      <c r="W74" s="2">
        <f>V74-U74</f>
        <v>18874.943769531252</v>
      </c>
      <c r="X74" s="2">
        <f>K74+W74</f>
        <v>42809457.664096989</v>
      </c>
      <c r="Y74" s="2">
        <f>ROUND(0.2*R74, 2)</f>
        <v>116387.71</v>
      </c>
      <c r="Z74" s="2">
        <f>ROUND((W74/Y74)*100, 2)</f>
        <v>16.22</v>
      </c>
      <c r="AA74" s="2">
        <f>MAX(AA73, X74)</f>
        <v>42809457.664096989</v>
      </c>
      <c r="AB74" s="2">
        <f>X74-AA74</f>
        <v>0</v>
      </c>
    </row>
    <row r="75" spans="1:28">
      <c r="A75" s="2">
        <v>72</v>
      </c>
      <c r="B75" s="2" t="s">
        <v>403</v>
      </c>
      <c r="C75" s="2" t="s">
        <v>2224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42809457.664096989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42809457.664096989</v>
      </c>
      <c r="Y75" s="6" t="s">
        <v>1195</v>
      </c>
      <c r="Z75" s="6" t="s">
        <v>1195</v>
      </c>
      <c r="AA75" s="2">
        <f>AA74</f>
        <v>42809457.664096989</v>
      </c>
      <c r="AB75" s="2">
        <v>0</v>
      </c>
    </row>
    <row r="76" spans="1:28">
      <c r="A76" s="2">
        <v>73</v>
      </c>
      <c r="B76" s="2" t="s">
        <v>406</v>
      </c>
      <c r="C76" s="2" t="s">
        <v>2224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42809457.664096989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42809457.664096989</v>
      </c>
      <c r="Y76" s="6" t="s">
        <v>1195</v>
      </c>
      <c r="Z76" s="6" t="s">
        <v>1195</v>
      </c>
      <c r="AA76" s="2">
        <f>AA75</f>
        <v>42809457.664096989</v>
      </c>
      <c r="AB76" s="2">
        <v>0</v>
      </c>
    </row>
    <row r="77" spans="1:28">
      <c r="A77" s="2">
        <v>74</v>
      </c>
      <c r="B77" s="2" t="s">
        <v>410</v>
      </c>
      <c r="C77" s="2" t="s">
        <v>2224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42809457.664096989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42809457.664096989</v>
      </c>
      <c r="Y77" s="6" t="s">
        <v>1195</v>
      </c>
      <c r="Z77" s="6" t="s">
        <v>1195</v>
      </c>
      <c r="AA77" s="2">
        <f>AA76</f>
        <v>42809457.664096989</v>
      </c>
      <c r="AB77" s="2">
        <v>0</v>
      </c>
    </row>
    <row r="78" spans="1:28">
      <c r="A78" s="2">
        <v>75</v>
      </c>
      <c r="B78" s="2" t="s">
        <v>414</v>
      </c>
      <c r="C78" s="2" t="s">
        <v>2224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2126</v>
      </c>
      <c r="J78" s="2" t="s">
        <v>2127</v>
      </c>
      <c r="K78" s="2">
        <f t="shared" si="18"/>
        <v>42809457.664096989</v>
      </c>
      <c r="L78" s="2" t="s">
        <v>1580</v>
      </c>
      <c r="M78" s="2" t="s">
        <v>1557</v>
      </c>
      <c r="N78" s="2" t="s">
        <v>1467</v>
      </c>
      <c r="O78" s="2">
        <v>350</v>
      </c>
      <c r="P78" s="2">
        <v>1338.384765625</v>
      </c>
      <c r="Q78" s="2">
        <v>1230.786254882812</v>
      </c>
      <c r="R78" s="2">
        <f>O78*P78</f>
        <v>468434.66796875</v>
      </c>
      <c r="S78" s="2">
        <f>O78*Q78</f>
        <v>430775.1892089842</v>
      </c>
      <c r="T78" s="2">
        <f>R78+S78</f>
        <v>899209.85717773414</v>
      </c>
      <c r="U78" s="2">
        <f>ROUND(T78*0.0005, 2)</f>
        <v>449.6</v>
      </c>
      <c r="V78" s="2">
        <f>S78-R78</f>
        <v>-37659.4787597658</v>
      </c>
      <c r="W78" s="2">
        <f>V78-U78</f>
        <v>-38109.078759765798</v>
      </c>
      <c r="X78" s="2">
        <f>K78+W78</f>
        <v>42771348.585337222</v>
      </c>
      <c r="Y78" s="2">
        <f>ROUND(0.2*R78, 2)</f>
        <v>93686.93</v>
      </c>
      <c r="Z78" s="2">
        <f>ROUND((W78/Y78)*100, 2)</f>
        <v>-40.68</v>
      </c>
      <c r="AA78" s="2">
        <f>MAX(AA77, X78)</f>
        <v>42809457.664096989</v>
      </c>
      <c r="AB78" s="2">
        <f>X78-AA78</f>
        <v>-38109.078759767115</v>
      </c>
    </row>
    <row r="79" spans="1:28">
      <c r="A79" s="2">
        <v>76</v>
      </c>
      <c r="B79" s="2" t="s">
        <v>419</v>
      </c>
      <c r="C79" s="2" t="s">
        <v>2224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42771348.585337222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42771348.585337222</v>
      </c>
      <c r="Y79" s="6" t="s">
        <v>1195</v>
      </c>
      <c r="Z79" s="6" t="s">
        <v>1195</v>
      </c>
      <c r="AA79" s="2">
        <f>AA78</f>
        <v>42809457.664096989</v>
      </c>
      <c r="AB79" s="2">
        <v>0</v>
      </c>
    </row>
    <row r="80" spans="1:28">
      <c r="A80" s="2">
        <v>77</v>
      </c>
      <c r="B80" s="2" t="s">
        <v>423</v>
      </c>
      <c r="C80" s="2" t="s">
        <v>2224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2128</v>
      </c>
      <c r="J80" s="2" t="s">
        <v>2129</v>
      </c>
      <c r="K80" s="2">
        <f t="shared" si="18"/>
        <v>42771348.585337222</v>
      </c>
      <c r="L80" s="2" t="s">
        <v>1718</v>
      </c>
      <c r="M80" s="2" t="s">
        <v>1467</v>
      </c>
      <c r="N80" s="2" t="s">
        <v>1719</v>
      </c>
      <c r="O80" s="2">
        <v>550</v>
      </c>
      <c r="P80" s="2">
        <v>741.39495849609375</v>
      </c>
      <c r="Q80" s="2">
        <v>722.84271240234375</v>
      </c>
      <c r="R80" s="2">
        <f>O80*P80</f>
        <v>407767.22717285156</v>
      </c>
      <c r="S80" s="2">
        <f>O80*Q80</f>
        <v>397563.49182128906</v>
      </c>
      <c r="T80" s="2">
        <f>R80+S80</f>
        <v>805330.71899414063</v>
      </c>
      <c r="U80" s="2">
        <f>ROUND(T80*0.0005, 2)</f>
        <v>402.67</v>
      </c>
      <c r="V80" s="2">
        <f>S80-R80</f>
        <v>-10203.7353515625</v>
      </c>
      <c r="W80" s="2">
        <f>V80-U80</f>
        <v>-10606.4053515625</v>
      </c>
      <c r="X80" s="2">
        <f>K80+W80</f>
        <v>42760742.179985657</v>
      </c>
      <c r="Y80" s="2">
        <f>ROUND(0.2*R80, 2)</f>
        <v>81553.45</v>
      </c>
      <c r="Z80" s="2">
        <f>ROUND((W80/Y80)*100, 2)</f>
        <v>-13.01</v>
      </c>
      <c r="AA80" s="2">
        <f>MAX(AA79, X80)</f>
        <v>42809457.664096989</v>
      </c>
      <c r="AB80" s="2">
        <f>X80-AA80</f>
        <v>-48715.484111331403</v>
      </c>
    </row>
    <row r="81" spans="1:28">
      <c r="A81" s="2">
        <v>78</v>
      </c>
      <c r="B81" s="2" t="s">
        <v>428</v>
      </c>
      <c r="C81" s="2" t="s">
        <v>2224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2253</v>
      </c>
      <c r="J81" s="2" t="s">
        <v>111</v>
      </c>
      <c r="K81" s="2">
        <f t="shared" si="18"/>
        <v>42760742.179985657</v>
      </c>
      <c r="L81" s="2" t="s">
        <v>2254</v>
      </c>
      <c r="M81" s="2" t="s">
        <v>2255</v>
      </c>
      <c r="N81" s="2" t="s">
        <v>2256</v>
      </c>
      <c r="O81" s="2">
        <v>1100</v>
      </c>
      <c r="P81" s="2">
        <v>580.1065673828125</v>
      </c>
      <c r="Q81" s="2">
        <v>593.28399658203125</v>
      </c>
      <c r="R81" s="2">
        <f>O81*P81</f>
        <v>638117.22412109375</v>
      </c>
      <c r="S81" s="2">
        <f>O81*Q81</f>
        <v>652612.39624023437</v>
      </c>
      <c r="T81" s="2">
        <f>R81+S81</f>
        <v>1290729.6203613281</v>
      </c>
      <c r="U81" s="2">
        <f>ROUND(T81*0.0005, 2)</f>
        <v>645.36</v>
      </c>
      <c r="V81" s="2">
        <f>S81-R81</f>
        <v>14495.172119140625</v>
      </c>
      <c r="W81" s="2">
        <f>V81-U81</f>
        <v>13849.812119140624</v>
      </c>
      <c r="X81" s="2">
        <f>K81+W81</f>
        <v>42774591.992104799</v>
      </c>
      <c r="Y81" s="2">
        <f>ROUND(0.2*R81, 2)</f>
        <v>127623.44</v>
      </c>
      <c r="Z81" s="2">
        <f>ROUND((W81/Y81)*100, 2)</f>
        <v>10.85</v>
      </c>
      <c r="AA81" s="2">
        <f>MAX(AA80, X81)</f>
        <v>42809457.664096989</v>
      </c>
      <c r="AB81" s="2">
        <f>X81-AA81</f>
        <v>-34865.671992190182</v>
      </c>
    </row>
    <row r="82" spans="1:28">
      <c r="A82" s="2">
        <v>79</v>
      </c>
      <c r="B82" s="2" t="s">
        <v>433</v>
      </c>
      <c r="C82" s="2" t="s">
        <v>2224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2133</v>
      </c>
      <c r="J82" s="2" t="s">
        <v>908</v>
      </c>
      <c r="K82" s="2">
        <f t="shared" si="18"/>
        <v>42774591.992104799</v>
      </c>
      <c r="L82" s="2" t="s">
        <v>1581</v>
      </c>
      <c r="M82" s="2" t="s">
        <v>1603</v>
      </c>
      <c r="N82" s="2" t="s">
        <v>1566</v>
      </c>
      <c r="O82" s="2">
        <v>150</v>
      </c>
      <c r="P82" s="2">
        <v>4219.99658203125</v>
      </c>
      <c r="Q82" s="2">
        <v>4732.3662109375</v>
      </c>
      <c r="R82" s="2">
        <f>O82*P82</f>
        <v>632999.4873046875</v>
      </c>
      <c r="S82" s="2">
        <f>O82*Q82</f>
        <v>709854.931640625</v>
      </c>
      <c r="T82" s="2">
        <f>R82+S82</f>
        <v>1342854.4189453125</v>
      </c>
      <c r="U82" s="2">
        <f>ROUND(T82*0.0005, 2)</f>
        <v>671.43</v>
      </c>
      <c r="V82" s="2">
        <f>S82-R82</f>
        <v>76855.4443359375</v>
      </c>
      <c r="W82" s="2">
        <f>V82-U82</f>
        <v>76184.014335937507</v>
      </c>
      <c r="X82" s="2">
        <f>K82+W82</f>
        <v>42850776.006440736</v>
      </c>
      <c r="Y82" s="2">
        <f>ROUND(0.2*R82, 2)</f>
        <v>126599.9</v>
      </c>
      <c r="Z82" s="2">
        <f>ROUND((W82/Y82)*100, 2)</f>
        <v>60.18</v>
      </c>
      <c r="AA82" s="2">
        <f>MAX(AA81, X82)</f>
        <v>42850776.006440736</v>
      </c>
      <c r="AB82" s="2">
        <f>X82-AA82</f>
        <v>0</v>
      </c>
    </row>
    <row r="83" spans="1:28">
      <c r="A83" s="2">
        <v>80</v>
      </c>
      <c r="B83" s="2" t="s">
        <v>438</v>
      </c>
      <c r="C83" s="2" t="s">
        <v>2224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610</v>
      </c>
      <c r="J83" s="2" t="s">
        <v>313</v>
      </c>
      <c r="K83" s="2">
        <f t="shared" si="18"/>
        <v>42850776.006440736</v>
      </c>
      <c r="L83" s="2" t="s">
        <v>1568</v>
      </c>
      <c r="M83" s="2" t="s">
        <v>1540</v>
      </c>
      <c r="N83" s="2" t="s">
        <v>1544</v>
      </c>
      <c r="O83" s="2">
        <v>1400</v>
      </c>
      <c r="P83" s="2">
        <v>665.60736083984375</v>
      </c>
      <c r="Q83" s="2">
        <v>681.0728759765625</v>
      </c>
      <c r="R83" s="2">
        <f>O83*P83</f>
        <v>931850.30517578125</v>
      </c>
      <c r="S83" s="2">
        <f>O83*Q83</f>
        <v>953502.0263671875</v>
      </c>
      <c r="T83" s="2">
        <f>R83+S83</f>
        <v>1885352.3315429688</v>
      </c>
      <c r="U83" s="2">
        <f>ROUND(T83*0.0005, 2)</f>
        <v>942.68</v>
      </c>
      <c r="V83" s="2">
        <f>S83-R83</f>
        <v>21651.72119140625</v>
      </c>
      <c r="W83" s="2">
        <f>V83-U83</f>
        <v>20709.04119140625</v>
      </c>
      <c r="X83" s="2">
        <f>K83+W83</f>
        <v>42871485.047632143</v>
      </c>
      <c r="Y83" s="2">
        <f>ROUND(0.2*R83, 2)</f>
        <v>186370.06</v>
      </c>
      <c r="Z83" s="2">
        <f>ROUND((W83/Y83)*100, 2)</f>
        <v>11.11</v>
      </c>
      <c r="AA83" s="2">
        <f>MAX(AA82, X83)</f>
        <v>42871485.047632143</v>
      </c>
      <c r="AB83" s="2">
        <f>X83-AA83</f>
        <v>0</v>
      </c>
    </row>
    <row r="84" spans="1:28">
      <c r="A84" s="2">
        <v>81</v>
      </c>
      <c r="B84" s="2" t="s">
        <v>443</v>
      </c>
      <c r="C84" s="2" t="s">
        <v>2224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42871485.047632143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42871485.047632143</v>
      </c>
      <c r="Y84" s="6" t="s">
        <v>1195</v>
      </c>
      <c r="Z84" s="6" t="s">
        <v>1195</v>
      </c>
      <c r="AA84" s="2">
        <f>AA83</f>
        <v>42871485.047632143</v>
      </c>
      <c r="AB84" s="2">
        <v>0</v>
      </c>
    </row>
    <row r="85" spans="1:28">
      <c r="A85" s="2">
        <v>82</v>
      </c>
      <c r="B85" s="2" t="s">
        <v>447</v>
      </c>
      <c r="C85" s="2" t="s">
        <v>2224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2134</v>
      </c>
      <c r="J85" s="2" t="s">
        <v>1029</v>
      </c>
      <c r="K85" s="2">
        <f t="shared" si="18"/>
        <v>42871485.047632143</v>
      </c>
      <c r="L85" s="2" t="s">
        <v>1466</v>
      </c>
      <c r="M85" s="2" t="s">
        <v>1299</v>
      </c>
      <c r="N85" s="2" t="s">
        <v>1629</v>
      </c>
      <c r="O85" s="2">
        <v>300</v>
      </c>
      <c r="P85" s="2">
        <v>2118.4091796875</v>
      </c>
      <c r="Q85" s="2">
        <v>2087.72216796875</v>
      </c>
      <c r="R85" s="2">
        <f>O85*P85</f>
        <v>635522.75390625</v>
      </c>
      <c r="S85" s="2">
        <f>O85*Q85</f>
        <v>626316.650390625</v>
      </c>
      <c r="T85" s="2">
        <f>R85+S85</f>
        <v>1261839.404296875</v>
      </c>
      <c r="U85" s="2">
        <f>ROUND(T85*0.0005, 2)</f>
        <v>630.91999999999996</v>
      </c>
      <c r="V85" s="2">
        <f>S85-R85</f>
        <v>-9206.103515625</v>
      </c>
      <c r="W85" s="2">
        <f>V85-U85</f>
        <v>-9837.0235156250001</v>
      </c>
      <c r="X85" s="2">
        <f>K85+W85</f>
        <v>42861648.024116516</v>
      </c>
      <c r="Y85" s="2">
        <f>ROUND(0.2*R85, 2)</f>
        <v>127104.55</v>
      </c>
      <c r="Z85" s="2">
        <f>ROUND((W85/Y85)*100, 2)</f>
        <v>-7.74</v>
      </c>
      <c r="AA85" s="2">
        <f>MAX(AA84, X85)</f>
        <v>42871485.047632143</v>
      </c>
      <c r="AB85" s="2">
        <f>X85-AA85</f>
        <v>-9837.0235156267881</v>
      </c>
    </row>
    <row r="86" spans="1:28">
      <c r="A86" s="2">
        <v>83</v>
      </c>
      <c r="B86" s="2" t="s">
        <v>451</v>
      </c>
      <c r="C86" s="2" t="s">
        <v>2224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42861648.024116516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42861648.024116516</v>
      </c>
      <c r="Y86" s="6" t="s">
        <v>1195</v>
      </c>
      <c r="Z86" s="6" t="s">
        <v>1195</v>
      </c>
      <c r="AA86" s="2">
        <f>AA85</f>
        <v>42871485.047632143</v>
      </c>
      <c r="AB86" s="2">
        <v>0</v>
      </c>
    </row>
    <row r="87" spans="1:28">
      <c r="A87" s="2">
        <v>84</v>
      </c>
      <c r="B87" s="2" t="s">
        <v>455</v>
      </c>
      <c r="C87" s="2" t="s">
        <v>2224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42861648.024116516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42861648.024116516</v>
      </c>
      <c r="Y87" s="6" t="s">
        <v>1195</v>
      </c>
      <c r="Z87" s="6" t="s">
        <v>1195</v>
      </c>
      <c r="AA87" s="2">
        <f>AA86</f>
        <v>42871485.047632143</v>
      </c>
      <c r="AB87" s="2">
        <v>0</v>
      </c>
    </row>
    <row r="88" spans="1:28">
      <c r="A88" s="2">
        <v>85</v>
      </c>
      <c r="B88" s="2" t="s">
        <v>459</v>
      </c>
      <c r="C88" s="2" t="s">
        <v>2224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2135</v>
      </c>
      <c r="J88" s="2" t="s">
        <v>2136</v>
      </c>
      <c r="K88" s="2">
        <f t="shared" si="18"/>
        <v>42861648.024116516</v>
      </c>
      <c r="L88" s="2" t="s">
        <v>1638</v>
      </c>
      <c r="M88" s="2" t="s">
        <v>1581</v>
      </c>
      <c r="N88" s="2" t="s">
        <v>1639</v>
      </c>
      <c r="O88" s="2">
        <v>700</v>
      </c>
      <c r="P88" s="2">
        <v>1049.841796875</v>
      </c>
      <c r="Q88" s="2">
        <v>1127.813720703125</v>
      </c>
      <c r="R88" s="2">
        <f>O88*P88</f>
        <v>734889.2578125</v>
      </c>
      <c r="S88" s="2">
        <f>O88*Q88</f>
        <v>789469.6044921875</v>
      </c>
      <c r="T88" s="2">
        <f>R88+S88</f>
        <v>1524358.8623046875</v>
      </c>
      <c r="U88" s="2">
        <f>ROUND(T88*0.0005, 2)</f>
        <v>762.18</v>
      </c>
      <c r="V88" s="2">
        <f>S88-R88</f>
        <v>54580.3466796875</v>
      </c>
      <c r="W88" s="2">
        <f>V88-U88</f>
        <v>53818.1666796875</v>
      </c>
      <c r="X88" s="2">
        <f>K88+W88</f>
        <v>42915466.190796204</v>
      </c>
      <c r="Y88" s="2">
        <f>ROUND(0.2*R88, 2)</f>
        <v>146977.85</v>
      </c>
      <c r="Z88" s="2">
        <f>ROUND((W88/Y88)*100, 2)</f>
        <v>36.619999999999997</v>
      </c>
      <c r="AA88" s="2">
        <f>MAX(AA87, X88)</f>
        <v>42915466.190796204</v>
      </c>
      <c r="AB88" s="2">
        <f>X88-AA88</f>
        <v>0</v>
      </c>
    </row>
    <row r="89" spans="1:28">
      <c r="A89" s="2">
        <v>86</v>
      </c>
      <c r="B89" s="2" t="s">
        <v>463</v>
      </c>
      <c r="C89" s="2" t="s">
        <v>2224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1675</v>
      </c>
      <c r="J89" s="2" t="s">
        <v>2205</v>
      </c>
      <c r="K89" s="2">
        <f t="shared" si="18"/>
        <v>42915466.190796204</v>
      </c>
      <c r="L89" s="2" t="s">
        <v>2206</v>
      </c>
      <c r="M89" s="2" t="s">
        <v>182</v>
      </c>
      <c r="N89" s="2" t="s">
        <v>251</v>
      </c>
      <c r="O89" s="2">
        <v>629</v>
      </c>
      <c r="P89" s="2">
        <v>1831.6</v>
      </c>
      <c r="Q89" s="2">
        <v>1878.25</v>
      </c>
      <c r="R89" s="2">
        <f>O89*P89</f>
        <v>1152076.3999999999</v>
      </c>
      <c r="S89" s="2">
        <f>O89*Q89</f>
        <v>1181419.25</v>
      </c>
      <c r="T89" s="2">
        <f>R89+S89</f>
        <v>2333495.65</v>
      </c>
      <c r="U89" s="2">
        <f>ROUND(T89*0.0005, 2)</f>
        <v>1166.75</v>
      </c>
      <c r="V89" s="2">
        <f>S89-R89</f>
        <v>29342.850000000093</v>
      </c>
      <c r="W89" s="2">
        <f>V89-U89</f>
        <v>28176.100000000093</v>
      </c>
      <c r="X89" s="2">
        <f>K89+W89</f>
        <v>42943642.290796205</v>
      </c>
      <c r="Y89" s="2">
        <f>ROUND(0.2*R89, 2)</f>
        <v>230415.28</v>
      </c>
      <c r="Z89" s="2">
        <f>ROUND((W89/Y89)*100, 2)</f>
        <v>12.23</v>
      </c>
      <c r="AA89" s="2">
        <f>MAX(AA88, X89)</f>
        <v>42943642.290796205</v>
      </c>
      <c r="AB89" s="2">
        <f>X89-AA89</f>
        <v>0</v>
      </c>
    </row>
    <row r="90" spans="1:28">
      <c r="A90" s="2">
        <v>87</v>
      </c>
      <c r="B90" s="2" t="s">
        <v>471</v>
      </c>
      <c r="C90" s="2" t="s">
        <v>2224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1310</v>
      </c>
      <c r="J90" s="2" t="s">
        <v>529</v>
      </c>
      <c r="K90" s="2">
        <f t="shared" si="18"/>
        <v>42943642.290796205</v>
      </c>
      <c r="L90" s="2" t="s">
        <v>2257</v>
      </c>
      <c r="M90" s="2" t="s">
        <v>2245</v>
      </c>
      <c r="N90" s="2" t="s">
        <v>2244</v>
      </c>
      <c r="O90" s="2">
        <v>1958</v>
      </c>
      <c r="P90" s="2">
        <v>602.90765380859375</v>
      </c>
      <c r="Q90" s="2">
        <v>608.53814697265625</v>
      </c>
      <c r="R90" s="2">
        <f>O90*P90</f>
        <v>1180493.1861572266</v>
      </c>
      <c r="S90" s="2">
        <f>O90*Q90</f>
        <v>1191517.6917724609</v>
      </c>
      <c r="T90" s="2">
        <f>R90+S90</f>
        <v>2372010.8779296875</v>
      </c>
      <c r="U90" s="2">
        <f>ROUND(T90*0.0005, 2)</f>
        <v>1186.01</v>
      </c>
      <c r="V90" s="2">
        <f>S90-R90</f>
        <v>11024.505615234375</v>
      </c>
      <c r="W90" s="2">
        <f>V90-U90</f>
        <v>9838.4956152343748</v>
      </c>
      <c r="X90" s="2">
        <f>K90+W90</f>
        <v>42953480.786411442</v>
      </c>
      <c r="Y90" s="2">
        <f>ROUND(0.2*R90, 2)</f>
        <v>236098.64</v>
      </c>
      <c r="Z90" s="2">
        <f>ROUND((W90/Y90)*100, 2)</f>
        <v>4.17</v>
      </c>
      <c r="AA90" s="2">
        <f>MAX(AA89, X90)</f>
        <v>42953480.786411442</v>
      </c>
      <c r="AB90" s="2">
        <f>X90-AA90</f>
        <v>0</v>
      </c>
    </row>
    <row r="91" spans="1:28">
      <c r="A91" s="2">
        <v>88</v>
      </c>
      <c r="B91" s="2" t="s">
        <v>476</v>
      </c>
      <c r="C91" s="2" t="s">
        <v>2224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42953480.786411442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42953480.786411442</v>
      </c>
      <c r="Y91" s="6" t="s">
        <v>1195</v>
      </c>
      <c r="Z91" s="6" t="s">
        <v>1195</v>
      </c>
      <c r="AA91" s="2">
        <f>AA90</f>
        <v>42953480.786411442</v>
      </c>
      <c r="AB91" s="2">
        <v>0</v>
      </c>
    </row>
    <row r="92" spans="1:28">
      <c r="A92" s="2">
        <v>89</v>
      </c>
      <c r="B92" s="2" t="s">
        <v>480</v>
      </c>
      <c r="C92" s="2" t="s">
        <v>2224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42953480.786411442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42953480.786411442</v>
      </c>
      <c r="Y92" s="6" t="s">
        <v>1195</v>
      </c>
      <c r="Z92" s="6" t="s">
        <v>1195</v>
      </c>
      <c r="AA92" s="2">
        <f>AA91</f>
        <v>42953480.786411442</v>
      </c>
      <c r="AB92" s="2">
        <v>0</v>
      </c>
    </row>
    <row r="93" spans="1:28">
      <c r="A93" s="2">
        <v>90</v>
      </c>
      <c r="B93" s="2" t="s">
        <v>483</v>
      </c>
      <c r="C93" s="2" t="s">
        <v>2224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42953480.786411442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42953480.786411442</v>
      </c>
      <c r="Y93" s="6" t="s">
        <v>1195</v>
      </c>
      <c r="Z93" s="6" t="s">
        <v>1195</v>
      </c>
      <c r="AA93" s="2">
        <f>AA92</f>
        <v>42953480.786411442</v>
      </c>
      <c r="AB93" s="2">
        <v>0</v>
      </c>
    </row>
    <row r="94" spans="1:28">
      <c r="A94" s="2">
        <v>91</v>
      </c>
      <c r="B94" s="2" t="s">
        <v>486</v>
      </c>
      <c r="C94" s="2" t="s">
        <v>2224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42953480.786411442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42953480.786411442</v>
      </c>
      <c r="Y94" s="6" t="s">
        <v>1195</v>
      </c>
      <c r="Z94" s="6" t="s">
        <v>1195</v>
      </c>
      <c r="AA94" s="2">
        <f>AA93</f>
        <v>42953480.786411442</v>
      </c>
      <c r="AB94" s="2">
        <v>0</v>
      </c>
    </row>
    <row r="95" spans="1:28">
      <c r="A95" s="2">
        <v>92</v>
      </c>
      <c r="B95" s="2" t="s">
        <v>490</v>
      </c>
      <c r="C95" s="2" t="s">
        <v>2224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42953480.786411442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42953480.786411442</v>
      </c>
      <c r="Y95" s="6" t="s">
        <v>1195</v>
      </c>
      <c r="Z95" s="6" t="s">
        <v>1195</v>
      </c>
      <c r="AA95" s="2">
        <f>AA94</f>
        <v>42953480.786411442</v>
      </c>
      <c r="AB95" s="2">
        <v>0</v>
      </c>
    </row>
    <row r="96" spans="1:28">
      <c r="A96" s="2">
        <v>93</v>
      </c>
      <c r="B96" s="2" t="s">
        <v>493</v>
      </c>
      <c r="C96" s="2" t="s">
        <v>2224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2134</v>
      </c>
      <c r="J96" s="2" t="s">
        <v>776</v>
      </c>
      <c r="K96" s="2">
        <f t="shared" si="18"/>
        <v>42953480.786411442</v>
      </c>
      <c r="L96" s="2" t="s">
        <v>2258</v>
      </c>
      <c r="M96" s="2" t="s">
        <v>2259</v>
      </c>
      <c r="N96" s="2" t="s">
        <v>2260</v>
      </c>
      <c r="O96" s="2">
        <v>196</v>
      </c>
      <c r="P96" s="2">
        <v>2098.80322265625</v>
      </c>
      <c r="Q96" s="2">
        <v>2068.05517578125</v>
      </c>
      <c r="R96" s="2">
        <f>O96*P96</f>
        <v>411365.431640625</v>
      </c>
      <c r="S96" s="2">
        <f>O96*Q96</f>
        <v>405338.814453125</v>
      </c>
      <c r="T96" s="2">
        <f>R96+S96</f>
        <v>816704.24609375</v>
      </c>
      <c r="U96" s="2">
        <f>ROUND(T96*0.0005, 2)</f>
        <v>408.35</v>
      </c>
      <c r="V96" s="2">
        <f>S96-R96</f>
        <v>-6026.6171875</v>
      </c>
      <c r="W96" s="2">
        <f>V96-U96</f>
        <v>-6434.9671875000004</v>
      </c>
      <c r="X96" s="2">
        <f>K96+W96</f>
        <v>42947045.81922394</v>
      </c>
      <c r="Y96" s="2">
        <f>ROUND(0.2*R96, 2)</f>
        <v>82273.09</v>
      </c>
      <c r="Z96" s="2">
        <f>ROUND((W96/Y96)*100, 2)</f>
        <v>-7.82</v>
      </c>
      <c r="AA96" s="2">
        <f>MAX(AA95, X96)</f>
        <v>42953480.786411442</v>
      </c>
      <c r="AB96" s="2">
        <f>X96-AA96</f>
        <v>-6434.9671875014901</v>
      </c>
    </row>
    <row r="97" spans="1:28">
      <c r="A97" s="2">
        <v>94</v>
      </c>
      <c r="B97" s="2" t="s">
        <v>498</v>
      </c>
      <c r="C97" s="2" t="s">
        <v>2224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48</v>
      </c>
      <c r="J97" s="2" t="s">
        <v>1811</v>
      </c>
      <c r="K97" s="2">
        <f t="shared" si="18"/>
        <v>42947045.81922394</v>
      </c>
      <c r="L97" s="2" t="s">
        <v>1629</v>
      </c>
      <c r="M97" s="2" t="s">
        <v>1557</v>
      </c>
      <c r="N97" s="2" t="s">
        <v>1374</v>
      </c>
      <c r="O97" s="2">
        <v>500</v>
      </c>
      <c r="P97" s="2">
        <v>1456.10009765625</v>
      </c>
      <c r="Q97" s="2">
        <v>1465.0361328125</v>
      </c>
      <c r="R97" s="2">
        <f>O97*P97</f>
        <v>728050.048828125</v>
      </c>
      <c r="S97" s="2">
        <f>O97*Q97</f>
        <v>732518.06640625</v>
      </c>
      <c r="T97" s="2">
        <f>R97+S97</f>
        <v>1460568.115234375</v>
      </c>
      <c r="U97" s="2">
        <f>ROUND(T97*0.0005, 2)</f>
        <v>730.28</v>
      </c>
      <c r="V97" s="2">
        <f>S97-R97</f>
        <v>4468.017578125</v>
      </c>
      <c r="W97" s="2">
        <f>V97-U97</f>
        <v>3737.7375781250003</v>
      </c>
      <c r="X97" s="2">
        <f>K97+W97</f>
        <v>42950783.556802064</v>
      </c>
      <c r="Y97" s="2">
        <f>ROUND(0.2*R97, 2)</f>
        <v>145610.01</v>
      </c>
      <c r="Z97" s="2">
        <f>ROUND((W97/Y97)*100, 2)</f>
        <v>2.57</v>
      </c>
      <c r="AA97" s="2">
        <f>MAX(AA96, X97)</f>
        <v>42953480.786411442</v>
      </c>
      <c r="AB97" s="2">
        <f>X97-AA97</f>
        <v>-2697.2296093776822</v>
      </c>
    </row>
    <row r="98" spans="1:28">
      <c r="A98" s="2">
        <v>95</v>
      </c>
      <c r="B98" s="2" t="s">
        <v>502</v>
      </c>
      <c r="C98" s="2" t="s">
        <v>2224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42950783.556802064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42950783.556802064</v>
      </c>
      <c r="Y98" s="6" t="s">
        <v>1195</v>
      </c>
      <c r="Z98" s="6" t="s">
        <v>1195</v>
      </c>
      <c r="AA98" s="2">
        <f>AA97</f>
        <v>42953480.786411442</v>
      </c>
      <c r="AB98" s="2">
        <v>0</v>
      </c>
    </row>
    <row r="99" spans="1:28">
      <c r="A99" s="2">
        <v>96</v>
      </c>
      <c r="B99" s="2" t="s">
        <v>506</v>
      </c>
      <c r="C99" s="2" t="s">
        <v>2224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115</v>
      </c>
      <c r="J99" s="2" t="s">
        <v>1860</v>
      </c>
      <c r="K99" s="2">
        <f t="shared" si="18"/>
        <v>42950783.556802064</v>
      </c>
      <c r="L99" s="2" t="s">
        <v>1709</v>
      </c>
      <c r="M99" s="2" t="s">
        <v>1580</v>
      </c>
      <c r="N99" s="2" t="s">
        <v>1375</v>
      </c>
      <c r="O99" s="2">
        <v>400</v>
      </c>
      <c r="P99" s="2">
        <v>1320.340942382812</v>
      </c>
      <c r="Q99" s="2">
        <v>1388.581298828125</v>
      </c>
      <c r="R99" s="2">
        <f>O99*P99</f>
        <v>528136.37695312477</v>
      </c>
      <c r="S99" s="2">
        <f>O99*Q99</f>
        <v>555432.51953125</v>
      </c>
      <c r="T99" s="2">
        <f>R99+S99</f>
        <v>1083568.8964843748</v>
      </c>
      <c r="U99" s="2">
        <f>ROUND(T99*0.0005, 2)</f>
        <v>541.78</v>
      </c>
      <c r="V99" s="2">
        <f>S99-R99</f>
        <v>27296.142578125233</v>
      </c>
      <c r="W99" s="2">
        <f>V99-U99</f>
        <v>26754.362578125234</v>
      </c>
      <c r="X99" s="2">
        <f>K99+W99</f>
        <v>42977537.919380188</v>
      </c>
      <c r="Y99" s="2">
        <f>ROUND(0.2*R99, 2)</f>
        <v>105627.28</v>
      </c>
      <c r="Z99" s="2">
        <f>ROUND((W99/Y99)*100, 2)</f>
        <v>25.33</v>
      </c>
      <c r="AA99" s="2">
        <f>MAX(AA98, X99)</f>
        <v>42977537.919380188</v>
      </c>
      <c r="AB99" s="2">
        <f>X99-AA99</f>
        <v>0</v>
      </c>
    </row>
    <row r="100" spans="1:28">
      <c r="A100" s="2">
        <v>97</v>
      </c>
      <c r="B100" s="2" t="s">
        <v>511</v>
      </c>
      <c r="C100" s="2" t="s">
        <v>2224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42977537.919380188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42977537.919380188</v>
      </c>
      <c r="Y100" s="6" t="s">
        <v>1195</v>
      </c>
      <c r="Z100" s="6" t="s">
        <v>1195</v>
      </c>
      <c r="AA100" s="2">
        <f>AA99</f>
        <v>42977537.919380188</v>
      </c>
      <c r="AB100" s="2">
        <v>0</v>
      </c>
    </row>
    <row r="101" spans="1:28">
      <c r="A101" s="2">
        <v>98</v>
      </c>
      <c r="B101" s="2" t="s">
        <v>516</v>
      </c>
      <c r="C101" s="2" t="s">
        <v>2224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42977537.919380188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42977537.919380188</v>
      </c>
      <c r="Y101" s="6" t="s">
        <v>1195</v>
      </c>
      <c r="Z101" s="6" t="s">
        <v>1195</v>
      </c>
      <c r="AA101" s="2">
        <f>AA100</f>
        <v>42977537.919380188</v>
      </c>
      <c r="AB101" s="2">
        <v>0</v>
      </c>
    </row>
    <row r="102" spans="1:28">
      <c r="A102" s="2">
        <v>99</v>
      </c>
      <c r="B102" s="2" t="s">
        <v>519</v>
      </c>
      <c r="C102" s="2" t="s">
        <v>2224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42977537.919380188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42977537.919380188</v>
      </c>
      <c r="Y102" s="6" t="s">
        <v>1195</v>
      </c>
      <c r="Z102" s="6" t="s">
        <v>1195</v>
      </c>
      <c r="AA102" s="2">
        <f>AA101</f>
        <v>42977537.919380188</v>
      </c>
      <c r="AB102" s="2">
        <v>0</v>
      </c>
    </row>
    <row r="103" spans="1:28">
      <c r="A103" s="2">
        <v>100</v>
      </c>
      <c r="B103" s="2" t="s">
        <v>525</v>
      </c>
      <c r="C103" s="2" t="s">
        <v>2224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42977537.919380188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42977537.919380188</v>
      </c>
      <c r="Y103" s="6" t="s">
        <v>1195</v>
      </c>
      <c r="Z103" s="6" t="s">
        <v>1195</v>
      </c>
      <c r="AA103" s="2">
        <f>AA102</f>
        <v>42977537.919380188</v>
      </c>
      <c r="AB103" s="2">
        <v>0</v>
      </c>
    </row>
    <row r="104" spans="1:28">
      <c r="A104" s="2">
        <v>101</v>
      </c>
      <c r="B104" s="2" t="s">
        <v>527</v>
      </c>
      <c r="C104" s="2" t="s">
        <v>2224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1473</v>
      </c>
      <c r="J104" s="2" t="s">
        <v>458</v>
      </c>
      <c r="K104" s="2">
        <f t="shared" si="18"/>
        <v>42977537.919380188</v>
      </c>
      <c r="L104" s="2" t="s">
        <v>1572</v>
      </c>
      <c r="M104" s="2" t="s">
        <v>1540</v>
      </c>
      <c r="N104" s="2" t="s">
        <v>1539</v>
      </c>
      <c r="O104" s="2">
        <v>1600</v>
      </c>
      <c r="P104" s="2">
        <v>376.0321044921875</v>
      </c>
      <c r="Q104" s="2">
        <v>376.337158203125</v>
      </c>
      <c r="R104" s="2">
        <f>O104*P104</f>
        <v>601651.3671875</v>
      </c>
      <c r="S104" s="2">
        <f>O104*Q104</f>
        <v>602139.453125</v>
      </c>
      <c r="T104" s="2">
        <f>R104+S104</f>
        <v>1203790.8203125</v>
      </c>
      <c r="U104" s="2">
        <f>ROUND(T104*0.0005, 2)</f>
        <v>601.9</v>
      </c>
      <c r="V104" s="2">
        <f>S104-R104</f>
        <v>488.0859375</v>
      </c>
      <c r="W104" s="2">
        <f>V104-U104</f>
        <v>-113.81406249999998</v>
      </c>
      <c r="X104" s="2">
        <f>K104+W104</f>
        <v>42977424.105317689</v>
      </c>
      <c r="Y104" s="2">
        <f>ROUND(0.2*R104, 2)</f>
        <v>120330.27</v>
      </c>
      <c r="Z104" s="2">
        <f>ROUND((W104/Y104)*100, 2)</f>
        <v>-0.09</v>
      </c>
      <c r="AA104" s="2">
        <f>MAX(AA103, X104)</f>
        <v>42977537.919380188</v>
      </c>
      <c r="AB104" s="2">
        <f>X104-AA104</f>
        <v>-113.81406249850988</v>
      </c>
    </row>
    <row r="105" spans="1:28">
      <c r="A105" s="2">
        <v>102</v>
      </c>
      <c r="B105" s="2" t="s">
        <v>530</v>
      </c>
      <c r="C105" s="2" t="s">
        <v>2224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42977424.105317689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42977424.105317689</v>
      </c>
      <c r="Y105" s="6" t="s">
        <v>1195</v>
      </c>
      <c r="Z105" s="6" t="s">
        <v>1195</v>
      </c>
      <c r="AA105" s="2">
        <f>AA104</f>
        <v>42977537.919380188</v>
      </c>
      <c r="AB105" s="2">
        <v>0</v>
      </c>
    </row>
    <row r="106" spans="1:28">
      <c r="A106" s="2">
        <v>103</v>
      </c>
      <c r="B106" s="2" t="s">
        <v>534</v>
      </c>
      <c r="C106" s="2" t="s">
        <v>2224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1490</v>
      </c>
      <c r="J106" s="2" t="s">
        <v>1022</v>
      </c>
      <c r="K106" s="2">
        <f t="shared" si="18"/>
        <v>42977424.105317689</v>
      </c>
      <c r="L106" s="2" t="s">
        <v>1630</v>
      </c>
      <c r="M106" s="2" t="s">
        <v>1374</v>
      </c>
      <c r="N106" s="2" t="s">
        <v>1375</v>
      </c>
      <c r="O106" s="2">
        <v>4127</v>
      </c>
      <c r="P106" s="2">
        <v>381.70477294921881</v>
      </c>
      <c r="Q106" s="2">
        <v>377.81085205078131</v>
      </c>
      <c r="R106" s="2">
        <f>O106*P106</f>
        <v>1575295.597961426</v>
      </c>
      <c r="S106" s="2">
        <f>O106*Q106</f>
        <v>1559225.3864135745</v>
      </c>
      <c r="T106" s="2">
        <f>R106+S106</f>
        <v>3134520.9843750005</v>
      </c>
      <c r="U106" s="2">
        <f>ROUND(T106*0.0005, 2)</f>
        <v>1567.26</v>
      </c>
      <c r="V106" s="2">
        <f>S106-R106</f>
        <v>-16070.211547851563</v>
      </c>
      <c r="W106" s="2">
        <f>V106-U106</f>
        <v>-17637.471547851561</v>
      </c>
      <c r="X106" s="2">
        <f>K106+W106</f>
        <v>42959786.63376984</v>
      </c>
      <c r="Y106" s="2">
        <f>ROUND(0.2*R106, 2)</f>
        <v>315059.12</v>
      </c>
      <c r="Z106" s="2">
        <f>ROUND((W106/Y106)*100, 2)</f>
        <v>-5.6</v>
      </c>
      <c r="AA106" s="2">
        <f>MAX(AA105, X106)</f>
        <v>42977537.919380188</v>
      </c>
      <c r="AB106" s="2">
        <f>X106-AA106</f>
        <v>-17751.285610347986</v>
      </c>
    </row>
    <row r="107" spans="1:28">
      <c r="A107" s="2">
        <v>104</v>
      </c>
      <c r="B107" s="2" t="s">
        <v>539</v>
      </c>
      <c r="C107" s="2" t="s">
        <v>2224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42959786.63376984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42959786.63376984</v>
      </c>
      <c r="Y107" s="6" t="s">
        <v>1195</v>
      </c>
      <c r="Z107" s="6" t="s">
        <v>1195</v>
      </c>
      <c r="AA107" s="2">
        <f>AA106</f>
        <v>42977537.919380188</v>
      </c>
      <c r="AB107" s="2">
        <v>0</v>
      </c>
    </row>
    <row r="108" spans="1:28">
      <c r="A108" s="2">
        <v>105</v>
      </c>
      <c r="B108" s="2" t="s">
        <v>542</v>
      </c>
      <c r="C108" s="2" t="s">
        <v>2224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2145</v>
      </c>
      <c r="J108" s="2" t="s">
        <v>2146</v>
      </c>
      <c r="K108" s="2">
        <f t="shared" si="18"/>
        <v>42959786.63376984</v>
      </c>
      <c r="L108" s="2" t="s">
        <v>1559</v>
      </c>
      <c r="M108" s="2" t="s">
        <v>1544</v>
      </c>
      <c r="N108" s="2" t="s">
        <v>1545</v>
      </c>
      <c r="O108" s="2">
        <v>675</v>
      </c>
      <c r="P108" s="2">
        <v>839.86663818359375</v>
      </c>
      <c r="Q108" s="2">
        <v>894.031005859375</v>
      </c>
      <c r="R108" s="2">
        <f>O108*P108</f>
        <v>566909.98077392578</v>
      </c>
      <c r="S108" s="2">
        <f>O108*Q108</f>
        <v>603470.92895507812</v>
      </c>
      <c r="T108" s="2">
        <f>R108+S108</f>
        <v>1170380.9097290039</v>
      </c>
      <c r="U108" s="2">
        <f>ROUND(T108*0.0005, 2)</f>
        <v>585.19000000000005</v>
      </c>
      <c r="V108" s="2">
        <f>S108-R108</f>
        <v>36560.948181152344</v>
      </c>
      <c r="W108" s="2">
        <f>V108-U108</f>
        <v>35975.758181152341</v>
      </c>
      <c r="X108" s="2">
        <f>K108+W108</f>
        <v>42995762.391950995</v>
      </c>
      <c r="Y108" s="2">
        <f>ROUND(0.2*R108, 2)</f>
        <v>113382</v>
      </c>
      <c r="Z108" s="2">
        <f>ROUND((W108/Y108)*100, 2)</f>
        <v>31.73</v>
      </c>
      <c r="AA108" s="2">
        <f>MAX(AA107, X108)</f>
        <v>42995762.391950995</v>
      </c>
      <c r="AB108" s="2">
        <f>X108-AA108</f>
        <v>0</v>
      </c>
    </row>
    <row r="109" spans="1:28">
      <c r="A109" s="2">
        <v>106</v>
      </c>
      <c r="B109" s="2" t="s">
        <v>547</v>
      </c>
      <c r="C109" s="2" t="s">
        <v>2224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42995762.391950995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42995762.391950995</v>
      </c>
      <c r="Y109" s="6" t="s">
        <v>1195</v>
      </c>
      <c r="Z109" s="6" t="s">
        <v>1195</v>
      </c>
      <c r="AA109" s="2">
        <f>AA108</f>
        <v>42995762.391950995</v>
      </c>
      <c r="AB109" s="2">
        <v>0</v>
      </c>
    </row>
    <row r="110" spans="1:28">
      <c r="A110" s="2">
        <v>107</v>
      </c>
      <c r="B110" s="2" t="s">
        <v>551</v>
      </c>
      <c r="C110" s="2" t="s">
        <v>2224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42995762.391950995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42995762.391950995</v>
      </c>
      <c r="Y110" s="6" t="s">
        <v>1195</v>
      </c>
      <c r="Z110" s="6" t="s">
        <v>1195</v>
      </c>
      <c r="AA110" s="2">
        <f>AA109</f>
        <v>42995762.391950995</v>
      </c>
      <c r="AB110" s="2">
        <v>0</v>
      </c>
    </row>
    <row r="111" spans="1:28">
      <c r="A111" s="2">
        <v>108</v>
      </c>
      <c r="B111" s="2" t="s">
        <v>554</v>
      </c>
      <c r="C111" s="2" t="s">
        <v>2224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42995762.391950995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42995762.391950995</v>
      </c>
      <c r="Y111" s="6" t="s">
        <v>1195</v>
      </c>
      <c r="Z111" s="6" t="s">
        <v>1195</v>
      </c>
      <c r="AA111" s="2">
        <f>AA110</f>
        <v>42995762.391950995</v>
      </c>
      <c r="AB111" s="2">
        <v>0</v>
      </c>
    </row>
    <row r="112" spans="1:28">
      <c r="A112" s="2">
        <v>109</v>
      </c>
      <c r="B112" s="2" t="s">
        <v>558</v>
      </c>
      <c r="C112" s="2" t="s">
        <v>2224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42995762.391950995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42995762.391950995</v>
      </c>
      <c r="Y112" s="6" t="s">
        <v>1195</v>
      </c>
      <c r="Z112" s="6" t="s">
        <v>1195</v>
      </c>
      <c r="AA112" s="2">
        <f>AA111</f>
        <v>42995762.391950995</v>
      </c>
      <c r="AB112" s="2">
        <v>0</v>
      </c>
    </row>
    <row r="113" spans="1:28">
      <c r="A113" s="2">
        <v>110</v>
      </c>
      <c r="B113" s="2" t="s">
        <v>562</v>
      </c>
      <c r="C113" s="2" t="s">
        <v>2224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42995762.391950995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42995762.391950995</v>
      </c>
      <c r="Y113" s="6" t="s">
        <v>1195</v>
      </c>
      <c r="Z113" s="6" t="s">
        <v>1195</v>
      </c>
      <c r="AA113" s="2">
        <f>AA112</f>
        <v>42995762.391950995</v>
      </c>
      <c r="AB113" s="2">
        <v>0</v>
      </c>
    </row>
    <row r="114" spans="1:28">
      <c r="A114" s="2">
        <v>111</v>
      </c>
      <c r="B114" s="2" t="s">
        <v>566</v>
      </c>
      <c r="C114" s="2" t="s">
        <v>2224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382</v>
      </c>
      <c r="J114" s="2" t="s">
        <v>2147</v>
      </c>
      <c r="K114" s="2">
        <f t="shared" si="18"/>
        <v>42995762.391950995</v>
      </c>
      <c r="L114" s="2" t="s">
        <v>1591</v>
      </c>
      <c r="M114" s="2" t="s">
        <v>1543</v>
      </c>
      <c r="N114" s="2" t="s">
        <v>1582</v>
      </c>
      <c r="O114" s="2">
        <v>400</v>
      </c>
      <c r="P114" s="2">
        <v>328.04183959960937</v>
      </c>
      <c r="Q114" s="2">
        <v>324.06082153320312</v>
      </c>
      <c r="R114" s="2">
        <f>O114*P114</f>
        <v>131216.73583984375</v>
      </c>
      <c r="S114" s="2">
        <f>O114*Q114</f>
        <v>129624.32861328125</v>
      </c>
      <c r="T114" s="2">
        <f>R114+S114</f>
        <v>260841.064453125</v>
      </c>
      <c r="U114" s="2">
        <f>ROUND(T114*0.0005, 2)</f>
        <v>130.41999999999999</v>
      </c>
      <c r="V114" s="2">
        <f>S114-R114</f>
        <v>-1592.4072265625</v>
      </c>
      <c r="W114" s="2">
        <f>V114-U114</f>
        <v>-1722.8272265625001</v>
      </c>
      <c r="X114" s="2">
        <f>K114+W114</f>
        <v>42994039.56472443</v>
      </c>
      <c r="Y114" s="2">
        <f>ROUND(0.2*R114, 2)</f>
        <v>26243.35</v>
      </c>
      <c r="Z114" s="2">
        <f>ROUND((W114/Y114)*100, 2)</f>
        <v>-6.56</v>
      </c>
      <c r="AA114" s="2">
        <f>MAX(AA113, X114)</f>
        <v>42995762.391950995</v>
      </c>
      <c r="AB114" s="2">
        <f>X114-AA114</f>
        <v>-1722.8272265642881</v>
      </c>
    </row>
    <row r="115" spans="1:28">
      <c r="A115" s="2">
        <v>112</v>
      </c>
      <c r="B115" s="2" t="s">
        <v>570</v>
      </c>
      <c r="C115" s="2" t="s">
        <v>2224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42994039.56472443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42994039.56472443</v>
      </c>
      <c r="Y115" s="6" t="s">
        <v>1195</v>
      </c>
      <c r="Z115" s="6" t="s">
        <v>1195</v>
      </c>
      <c r="AA115" s="2">
        <f>AA114</f>
        <v>42995762.391950995</v>
      </c>
      <c r="AB115" s="2">
        <v>0</v>
      </c>
    </row>
    <row r="116" spans="1:28">
      <c r="A116" s="2">
        <v>113</v>
      </c>
      <c r="B116" s="2" t="s">
        <v>574</v>
      </c>
      <c r="C116" s="2" t="s">
        <v>2224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42994039.56472443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42994039.56472443</v>
      </c>
      <c r="Y116" s="6" t="s">
        <v>1195</v>
      </c>
      <c r="Z116" s="6" t="s">
        <v>1195</v>
      </c>
      <c r="AA116" s="2">
        <f>AA115</f>
        <v>42995762.391950995</v>
      </c>
      <c r="AB116" s="2">
        <v>0</v>
      </c>
    </row>
    <row r="117" spans="1:28">
      <c r="A117" s="2">
        <v>114</v>
      </c>
      <c r="B117" s="2" t="s">
        <v>578</v>
      </c>
      <c r="C117" s="2" t="s">
        <v>2224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42994039.56472443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42994039.56472443</v>
      </c>
      <c r="Y117" s="6" t="s">
        <v>1195</v>
      </c>
      <c r="Z117" s="6" t="s">
        <v>1195</v>
      </c>
      <c r="AA117" s="2">
        <f>AA116</f>
        <v>42995762.391950995</v>
      </c>
      <c r="AB117" s="2">
        <v>0</v>
      </c>
    </row>
    <row r="118" spans="1:28">
      <c r="A118" s="2">
        <v>115</v>
      </c>
      <c r="B118" s="2" t="s">
        <v>581</v>
      </c>
      <c r="C118" s="2" t="s">
        <v>2224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2261</v>
      </c>
      <c r="J118" s="2" t="s">
        <v>1072</v>
      </c>
      <c r="K118" s="2">
        <f t="shared" si="18"/>
        <v>42994039.56472443</v>
      </c>
      <c r="L118" s="2" t="s">
        <v>2206</v>
      </c>
      <c r="M118" s="2" t="s">
        <v>153</v>
      </c>
      <c r="N118" s="2" t="s">
        <v>345</v>
      </c>
      <c r="O118" s="2">
        <v>2364</v>
      </c>
      <c r="P118" s="2">
        <v>422.56036376953131</v>
      </c>
      <c r="Q118" s="2">
        <v>414.17086791992187</v>
      </c>
      <c r="R118" s="2">
        <f>O118*P118</f>
        <v>998932.69995117199</v>
      </c>
      <c r="S118" s="2">
        <f>O118*Q118</f>
        <v>979099.93176269531</v>
      </c>
      <c r="T118" s="2">
        <f>R118+S118</f>
        <v>1978032.6317138672</v>
      </c>
      <c r="U118" s="2">
        <f>ROUND(T118*0.0005, 2)</f>
        <v>989.02</v>
      </c>
      <c r="V118" s="2">
        <f>S118-R118</f>
        <v>-19832.768188476679</v>
      </c>
      <c r="W118" s="2">
        <f>V118-U118</f>
        <v>-20821.788188476679</v>
      </c>
      <c r="X118" s="2">
        <f>K118+W118</f>
        <v>42973217.776535951</v>
      </c>
      <c r="Y118" s="2">
        <f>ROUND(0.2*R118, 2)</f>
        <v>199786.54</v>
      </c>
      <c r="Z118" s="2">
        <f>ROUND((W118/Y118)*100, 2)</f>
        <v>-10.42</v>
      </c>
      <c r="AA118" s="2">
        <f>MAX(AA117, X118)</f>
        <v>42995762.391950995</v>
      </c>
      <c r="AB118" s="2">
        <f>X118-AA118</f>
        <v>-22544.615415044129</v>
      </c>
    </row>
    <row r="119" spans="1:28">
      <c r="A119" s="2">
        <v>116</v>
      </c>
      <c r="B119" s="2" t="s">
        <v>586</v>
      </c>
      <c r="C119" s="2" t="s">
        <v>2224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42973217.776535951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42973217.776535951</v>
      </c>
      <c r="Y119" s="6" t="s">
        <v>1195</v>
      </c>
      <c r="Z119" s="6" t="s">
        <v>1195</v>
      </c>
      <c r="AA119" s="2">
        <f>AA118</f>
        <v>42995762.391950995</v>
      </c>
      <c r="AB119" s="2">
        <v>0</v>
      </c>
    </row>
    <row r="120" spans="1:28">
      <c r="A120" s="2">
        <v>117</v>
      </c>
      <c r="B120" s="2" t="s">
        <v>592</v>
      </c>
      <c r="C120" s="2" t="s">
        <v>2224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594</v>
      </c>
      <c r="J120" s="2" t="s">
        <v>42</v>
      </c>
      <c r="K120" s="2">
        <f t="shared" si="18"/>
        <v>42973217.776535951</v>
      </c>
      <c r="L120" s="2" t="s">
        <v>1565</v>
      </c>
      <c r="M120" s="2" t="s">
        <v>1572</v>
      </c>
      <c r="N120" s="2" t="s">
        <v>1565</v>
      </c>
      <c r="O120" s="2">
        <v>300</v>
      </c>
      <c r="P120" s="2">
        <v>3188.727783203125</v>
      </c>
      <c r="Q120" s="2">
        <v>3206.640625</v>
      </c>
      <c r="R120" s="2">
        <f>O120*P120</f>
        <v>956618.3349609375</v>
      </c>
      <c r="S120" s="2">
        <f>O120*Q120</f>
        <v>961992.1875</v>
      </c>
      <c r="T120" s="2">
        <f>R120+S120</f>
        <v>1918610.5224609375</v>
      </c>
      <c r="U120" s="2">
        <f>ROUND(T120*0.0005, 2)</f>
        <v>959.31</v>
      </c>
      <c r="V120" s="2">
        <f>S120-R120</f>
        <v>5373.8525390625</v>
      </c>
      <c r="W120" s="2">
        <f>V120-U120</f>
        <v>4414.5425390625005</v>
      </c>
      <c r="X120" s="2">
        <f>K120+W120</f>
        <v>42977632.319075011</v>
      </c>
      <c r="Y120" s="2">
        <f>ROUND(0.2*R120, 2)</f>
        <v>191323.67</v>
      </c>
      <c r="Z120" s="2">
        <f>ROUND((W120/Y120)*100, 2)</f>
        <v>2.31</v>
      </c>
      <c r="AA120" s="2">
        <f>MAX(AA119, X120)</f>
        <v>42995762.391950995</v>
      </c>
      <c r="AB120" s="2">
        <f>X120-AA120</f>
        <v>-18130.072875984013</v>
      </c>
    </row>
    <row r="121" spans="1:28">
      <c r="A121" s="2">
        <v>118</v>
      </c>
      <c r="B121" s="2" t="s">
        <v>597</v>
      </c>
      <c r="C121" s="2" t="s">
        <v>2224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42977632.319075011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42977632.319075011</v>
      </c>
      <c r="Y121" s="6" t="s">
        <v>1195</v>
      </c>
      <c r="Z121" s="6" t="s">
        <v>1195</v>
      </c>
      <c r="AA121" s="2">
        <f>AA120</f>
        <v>42995762.391950995</v>
      </c>
      <c r="AB121" s="2">
        <v>0</v>
      </c>
    </row>
    <row r="122" spans="1:28">
      <c r="A122" s="2">
        <v>119</v>
      </c>
      <c r="B122" s="2" t="s">
        <v>601</v>
      </c>
      <c r="C122" s="2" t="s">
        <v>2224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42977632.319075011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42977632.319075011</v>
      </c>
      <c r="Y122" s="6" t="s">
        <v>1195</v>
      </c>
      <c r="Z122" s="6" t="s">
        <v>1195</v>
      </c>
      <c r="AA122" s="2">
        <f>AA121</f>
        <v>42995762.391950995</v>
      </c>
      <c r="AB122" s="2">
        <v>0</v>
      </c>
    </row>
    <row r="123" spans="1:28">
      <c r="A123" s="2">
        <v>120</v>
      </c>
      <c r="B123" s="2" t="s">
        <v>605</v>
      </c>
      <c r="C123" s="2" t="s">
        <v>2224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42977632.319075011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42977632.319075011</v>
      </c>
      <c r="Y123" s="6" t="s">
        <v>1195</v>
      </c>
      <c r="Z123" s="6" t="s">
        <v>1195</v>
      </c>
      <c r="AA123" s="2">
        <f>AA122</f>
        <v>42995762.391950995</v>
      </c>
      <c r="AB123" s="2">
        <v>0</v>
      </c>
    </row>
    <row r="124" spans="1:28">
      <c r="A124" s="2">
        <v>121</v>
      </c>
      <c r="B124" s="2" t="s">
        <v>609</v>
      </c>
      <c r="C124" s="2" t="s">
        <v>2224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2153</v>
      </c>
      <c r="J124" s="2" t="s">
        <v>2154</v>
      </c>
      <c r="K124" s="2">
        <f t="shared" si="18"/>
        <v>42977632.319075011</v>
      </c>
      <c r="L124" s="2" t="s">
        <v>1572</v>
      </c>
      <c r="M124" s="2" t="s">
        <v>1568</v>
      </c>
      <c r="N124" s="2" t="s">
        <v>1558</v>
      </c>
      <c r="O124" s="2">
        <v>350</v>
      </c>
      <c r="P124" s="2">
        <v>2128.736083984375</v>
      </c>
      <c r="Q124" s="2">
        <v>2458.535400390625</v>
      </c>
      <c r="R124" s="2">
        <f>O124*P124</f>
        <v>745057.62939453125</v>
      </c>
      <c r="S124" s="2">
        <f>O124*Q124</f>
        <v>860487.39013671875</v>
      </c>
      <c r="T124" s="2">
        <f>R124+S124</f>
        <v>1605545.01953125</v>
      </c>
      <c r="U124" s="2">
        <f>ROUND(T124*0.0005, 2)</f>
        <v>802.77</v>
      </c>
      <c r="V124" s="2">
        <f>S124-R124</f>
        <v>115429.7607421875</v>
      </c>
      <c r="W124" s="2">
        <f>V124-U124</f>
        <v>114626.9907421875</v>
      </c>
      <c r="X124" s="2">
        <f>K124+W124</f>
        <v>43092259.309817195</v>
      </c>
      <c r="Y124" s="2">
        <f>ROUND(0.2*R124, 2)</f>
        <v>149011.53</v>
      </c>
      <c r="Z124" s="2">
        <f>ROUND((W124/Y124)*100, 2)</f>
        <v>76.92</v>
      </c>
      <c r="AA124" s="2">
        <f>MAX(AA123, X124)</f>
        <v>43092259.309817195</v>
      </c>
      <c r="AB124" s="2">
        <f>X124-AA124</f>
        <v>0</v>
      </c>
    </row>
    <row r="125" spans="1:28">
      <c r="A125" s="2">
        <v>122</v>
      </c>
      <c r="B125" s="2" t="s">
        <v>613</v>
      </c>
      <c r="C125" s="2" t="s">
        <v>2224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43092259.309817195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43092259.309817195</v>
      </c>
      <c r="Y125" s="6" t="s">
        <v>1195</v>
      </c>
      <c r="Z125" s="6" t="s">
        <v>1195</v>
      </c>
      <c r="AA125" s="2">
        <f>AA124</f>
        <v>43092259.309817195</v>
      </c>
      <c r="AB125" s="2">
        <v>0</v>
      </c>
    </row>
    <row r="126" spans="1:28">
      <c r="A126" s="2">
        <v>123</v>
      </c>
      <c r="B126" s="2" t="s">
        <v>617</v>
      </c>
      <c r="C126" s="2" t="s">
        <v>2224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43092259.309817195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43092259.309817195</v>
      </c>
      <c r="Y126" s="6" t="s">
        <v>1195</v>
      </c>
      <c r="Z126" s="6" t="s">
        <v>1195</v>
      </c>
      <c r="AA126" s="2">
        <f>AA125</f>
        <v>43092259.309817195</v>
      </c>
      <c r="AB126" s="2">
        <v>0</v>
      </c>
    </row>
    <row r="127" spans="1:28">
      <c r="A127" s="2">
        <v>124</v>
      </c>
      <c r="B127" s="2" t="s">
        <v>621</v>
      </c>
      <c r="C127" s="2" t="s">
        <v>2224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43092259.309817195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43092259.309817195</v>
      </c>
      <c r="Y127" s="6" t="s">
        <v>1195</v>
      </c>
      <c r="Z127" s="6" t="s">
        <v>1195</v>
      </c>
      <c r="AA127" s="2">
        <f>AA126</f>
        <v>43092259.309817195</v>
      </c>
      <c r="AB127" s="2">
        <v>0</v>
      </c>
    </row>
    <row r="128" spans="1:28">
      <c r="A128" s="2">
        <v>125</v>
      </c>
      <c r="B128" s="2" t="s">
        <v>625</v>
      </c>
      <c r="C128" s="2" t="s">
        <v>2224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43092259.309817195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43092259.309817195</v>
      </c>
      <c r="Y128" s="6" t="s">
        <v>1195</v>
      </c>
      <c r="Z128" s="6" t="s">
        <v>1195</v>
      </c>
      <c r="AA128" s="2">
        <f>AA127</f>
        <v>43092259.309817195</v>
      </c>
      <c r="AB128" s="2">
        <v>0</v>
      </c>
    </row>
    <row r="129" spans="1:28">
      <c r="A129" s="2">
        <v>126</v>
      </c>
      <c r="B129" s="2" t="s">
        <v>629</v>
      </c>
      <c r="C129" s="2" t="s">
        <v>2224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619</v>
      </c>
      <c r="J129" s="2" t="s">
        <v>2155</v>
      </c>
      <c r="K129" s="2">
        <f t="shared" si="18"/>
        <v>43092259.309817195</v>
      </c>
      <c r="L129" s="2" t="s">
        <v>1629</v>
      </c>
      <c r="M129" s="2" t="s">
        <v>1591</v>
      </c>
      <c r="N129" s="2" t="s">
        <v>1639</v>
      </c>
      <c r="O129" s="2">
        <v>100</v>
      </c>
      <c r="P129" s="2">
        <v>12561.6083984375</v>
      </c>
      <c r="Q129" s="2">
        <v>12685.630859375</v>
      </c>
      <c r="R129" s="2">
        <f>O129*P129</f>
        <v>1256160.83984375</v>
      </c>
      <c r="S129" s="2">
        <f>O129*Q129</f>
        <v>1268563.0859375</v>
      </c>
      <c r="T129" s="2">
        <f>R129+S129</f>
        <v>2524723.92578125</v>
      </c>
      <c r="U129" s="2">
        <f>ROUND(T129*0.0005, 2)</f>
        <v>1262.3599999999999</v>
      </c>
      <c r="V129" s="2">
        <f>S129-R129</f>
        <v>12402.24609375</v>
      </c>
      <c r="W129" s="2">
        <f>V129-U129</f>
        <v>11139.886093749999</v>
      </c>
      <c r="X129" s="2">
        <f>K129+W129</f>
        <v>43103399.195910946</v>
      </c>
      <c r="Y129" s="2">
        <f>ROUND(0.2*R129, 2)</f>
        <v>251232.17</v>
      </c>
      <c r="Z129" s="2">
        <f>ROUND((W129/Y129)*100, 2)</f>
        <v>4.43</v>
      </c>
      <c r="AA129" s="2">
        <f>MAX(AA128, X129)</f>
        <v>43103399.195910946</v>
      </c>
      <c r="AB129" s="2">
        <f>X129-AA129</f>
        <v>0</v>
      </c>
    </row>
    <row r="130" spans="1:28">
      <c r="A130" s="2">
        <v>127</v>
      </c>
      <c r="B130" s="2" t="s">
        <v>632</v>
      </c>
      <c r="C130" s="2" t="s">
        <v>2224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2262</v>
      </c>
      <c r="J130" s="2" t="s">
        <v>522</v>
      </c>
      <c r="K130" s="2">
        <f t="shared" si="18"/>
        <v>43103399.195910946</v>
      </c>
      <c r="L130" s="2" t="s">
        <v>2255</v>
      </c>
      <c r="M130" s="2" t="s">
        <v>2260</v>
      </c>
      <c r="N130" s="2" t="s">
        <v>2263</v>
      </c>
      <c r="O130" s="2">
        <v>922</v>
      </c>
      <c r="P130" s="2">
        <v>451.737060546875</v>
      </c>
      <c r="Q130" s="2">
        <v>432.75732421875</v>
      </c>
      <c r="R130" s="2">
        <f>O130*P130</f>
        <v>416501.56982421875</v>
      </c>
      <c r="S130" s="2">
        <f>O130*Q130</f>
        <v>399002.2529296875</v>
      </c>
      <c r="T130" s="2">
        <f>R130+S130</f>
        <v>815503.82275390625</v>
      </c>
      <c r="U130" s="2">
        <f>ROUND(T130*0.0005, 2)</f>
        <v>407.75</v>
      </c>
      <c r="V130" s="2">
        <f>S130-R130</f>
        <v>-17499.31689453125</v>
      </c>
      <c r="W130" s="2">
        <f>V130-U130</f>
        <v>-17907.06689453125</v>
      </c>
      <c r="X130" s="2">
        <f>K130+W130</f>
        <v>43085492.129016414</v>
      </c>
      <c r="Y130" s="2">
        <f>ROUND(0.2*R130, 2)</f>
        <v>83300.31</v>
      </c>
      <c r="Z130" s="2">
        <f>ROUND((W130/Y130)*100, 2)</f>
        <v>-21.5</v>
      </c>
      <c r="AA130" s="2">
        <f>MAX(AA129, X130)</f>
        <v>43103399.195910946</v>
      </c>
      <c r="AB130" s="2">
        <f>X130-AA130</f>
        <v>-17907.06689453125</v>
      </c>
    </row>
    <row r="131" spans="1:28">
      <c r="A131" s="2">
        <v>128</v>
      </c>
      <c r="B131" s="2" t="s">
        <v>637</v>
      </c>
      <c r="C131" s="2" t="s">
        <v>2224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43085492.129016414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43085492.129016414</v>
      </c>
      <c r="Y131" s="6" t="s">
        <v>1195</v>
      </c>
      <c r="Z131" s="6" t="s">
        <v>1195</v>
      </c>
      <c r="AA131" s="2">
        <f t="shared" ref="AA131:AA136" si="20">AA130</f>
        <v>43103399.195910946</v>
      </c>
      <c r="AB131" s="2">
        <v>0</v>
      </c>
    </row>
    <row r="132" spans="1:28">
      <c r="A132" s="2">
        <v>129</v>
      </c>
      <c r="B132" s="2" t="s">
        <v>640</v>
      </c>
      <c r="C132" s="2" t="s">
        <v>2224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43085492.129016414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43085492.129016414</v>
      </c>
      <c r="Y132" s="6" t="s">
        <v>1195</v>
      </c>
      <c r="Z132" s="6" t="s">
        <v>1195</v>
      </c>
      <c r="AA132" s="2">
        <f t="shared" si="20"/>
        <v>43103399.195910946</v>
      </c>
      <c r="AB132" s="2">
        <v>0</v>
      </c>
    </row>
    <row r="133" spans="1:28">
      <c r="A133" s="2">
        <v>130</v>
      </c>
      <c r="B133" s="2" t="s">
        <v>647</v>
      </c>
      <c r="C133" s="2" t="s">
        <v>2224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43085492.129016414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43085492.129016414</v>
      </c>
      <c r="Y133" s="6" t="s">
        <v>1195</v>
      </c>
      <c r="Z133" s="6" t="s">
        <v>1195</v>
      </c>
      <c r="AA133" s="2">
        <f t="shared" si="20"/>
        <v>43103399.195910946</v>
      </c>
      <c r="AB133" s="2">
        <v>0</v>
      </c>
    </row>
    <row r="134" spans="1:28">
      <c r="A134" s="2">
        <v>131</v>
      </c>
      <c r="B134" s="2" t="s">
        <v>651</v>
      </c>
      <c r="C134" s="2" t="s">
        <v>2224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43085492.129016414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43085492.129016414</v>
      </c>
      <c r="Y134" s="6" t="s">
        <v>1195</v>
      </c>
      <c r="Z134" s="6" t="s">
        <v>1195</v>
      </c>
      <c r="AA134" s="2">
        <f t="shared" si="20"/>
        <v>43103399.195910946</v>
      </c>
      <c r="AB134" s="2">
        <v>0</v>
      </c>
    </row>
    <row r="135" spans="1:28">
      <c r="A135" s="2">
        <v>132</v>
      </c>
      <c r="B135" s="2" t="s">
        <v>654</v>
      </c>
      <c r="C135" s="2" t="s">
        <v>2224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43085492.129016414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43085492.129016414</v>
      </c>
      <c r="Y135" s="6" t="s">
        <v>1195</v>
      </c>
      <c r="Z135" s="6" t="s">
        <v>1195</v>
      </c>
      <c r="AA135" s="2">
        <f t="shared" si="20"/>
        <v>43103399.195910946</v>
      </c>
      <c r="AB135" s="2">
        <v>0</v>
      </c>
    </row>
    <row r="136" spans="1:28">
      <c r="A136" s="2">
        <v>133</v>
      </c>
      <c r="B136" s="2" t="s">
        <v>656</v>
      </c>
      <c r="C136" s="2" t="s">
        <v>2224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43085492.129016414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43085492.129016414</v>
      </c>
      <c r="Y136" s="6" t="s">
        <v>1195</v>
      </c>
      <c r="Z136" s="6" t="s">
        <v>1195</v>
      </c>
      <c r="AA136" s="2">
        <f t="shared" si="20"/>
        <v>43103399.195910946</v>
      </c>
      <c r="AB136" s="2">
        <v>0</v>
      </c>
    </row>
    <row r="137" spans="1:28">
      <c r="A137" s="2">
        <v>134</v>
      </c>
      <c r="B137" s="2" t="s">
        <v>658</v>
      </c>
      <c r="C137" s="2" t="s">
        <v>2224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786</v>
      </c>
      <c r="J137" s="2" t="s">
        <v>373</v>
      </c>
      <c r="K137" s="2">
        <f t="shared" si="21"/>
        <v>43085492.129016414</v>
      </c>
      <c r="L137" s="2" t="s">
        <v>2264</v>
      </c>
      <c r="M137" s="2" t="s">
        <v>2265</v>
      </c>
      <c r="N137" s="2" t="s">
        <v>2266</v>
      </c>
      <c r="O137" s="2">
        <v>332</v>
      </c>
      <c r="P137" s="2">
        <v>2568.085693359375</v>
      </c>
      <c r="Q137" s="2">
        <v>2653.364501953125</v>
      </c>
      <c r="R137" s="2">
        <f>O137*P137</f>
        <v>852604.4501953125</v>
      </c>
      <c r="S137" s="2">
        <f>O137*Q137</f>
        <v>880917.0146484375</v>
      </c>
      <c r="T137" s="2">
        <f>R137+S137</f>
        <v>1733521.46484375</v>
      </c>
      <c r="U137" s="2">
        <f>ROUND(T137*0.0005, 2)</f>
        <v>866.76</v>
      </c>
      <c r="V137" s="2">
        <f>S137-R137</f>
        <v>28312.564453125</v>
      </c>
      <c r="W137" s="2">
        <f>V137-U137</f>
        <v>27445.804453125002</v>
      </c>
      <c r="X137" s="2">
        <f>K137+W137</f>
        <v>43112937.933469541</v>
      </c>
      <c r="Y137" s="2">
        <f>ROUND(0.2*R137, 2)</f>
        <v>170520.89</v>
      </c>
      <c r="Z137" s="2">
        <f>ROUND((W137/Y137)*100, 2)</f>
        <v>16.100000000000001</v>
      </c>
      <c r="AA137" s="2">
        <f>MAX(AA136, X137)</f>
        <v>43112937.933469541</v>
      </c>
      <c r="AB137" s="2">
        <f>X137-AA137</f>
        <v>0</v>
      </c>
    </row>
    <row r="138" spans="1:28">
      <c r="A138" s="2">
        <v>135</v>
      </c>
      <c r="B138" s="2" t="s">
        <v>661</v>
      </c>
      <c r="C138" s="2" t="s">
        <v>2224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43112937.933469541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>K138</f>
        <v>43112937.933469541</v>
      </c>
      <c r="Y138" s="6" t="s">
        <v>1195</v>
      </c>
      <c r="Z138" s="6" t="s">
        <v>1195</v>
      </c>
      <c r="AA138" s="2">
        <f>AA137</f>
        <v>43112937.933469541</v>
      </c>
      <c r="AB138" s="2">
        <v>0</v>
      </c>
    </row>
    <row r="139" spans="1:28">
      <c r="A139" s="2">
        <v>136</v>
      </c>
      <c r="B139" s="2" t="s">
        <v>664</v>
      </c>
      <c r="C139" s="2" t="s">
        <v>2224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43112937.933469541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>K139</f>
        <v>43112937.933469541</v>
      </c>
      <c r="Y139" s="6" t="s">
        <v>1195</v>
      </c>
      <c r="Z139" s="6" t="s">
        <v>1195</v>
      </c>
      <c r="AA139" s="2">
        <f>AA138</f>
        <v>43112937.933469541</v>
      </c>
      <c r="AB139" s="2">
        <v>0</v>
      </c>
    </row>
    <row r="140" spans="1:28">
      <c r="A140" s="2">
        <v>137</v>
      </c>
      <c r="B140" s="2" t="s">
        <v>667</v>
      </c>
      <c r="C140" s="2" t="s">
        <v>2224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43112937.933469541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>K140</f>
        <v>43112937.933469541</v>
      </c>
      <c r="Y140" s="6" t="s">
        <v>1195</v>
      </c>
      <c r="Z140" s="6" t="s">
        <v>1195</v>
      </c>
      <c r="AA140" s="2">
        <f>AA139</f>
        <v>43112937.933469541</v>
      </c>
      <c r="AB140" s="2">
        <v>0</v>
      </c>
    </row>
    <row r="141" spans="1:28">
      <c r="A141" s="2">
        <v>138</v>
      </c>
      <c r="B141" s="2" t="s">
        <v>670</v>
      </c>
      <c r="C141" s="2" t="s">
        <v>2224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43112937.933469541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>K141</f>
        <v>43112937.933469541</v>
      </c>
      <c r="Y141" s="6" t="s">
        <v>1195</v>
      </c>
      <c r="Z141" s="6" t="s">
        <v>1195</v>
      </c>
      <c r="AA141" s="2">
        <f>AA140</f>
        <v>43112937.933469541</v>
      </c>
      <c r="AB141" s="2">
        <v>0</v>
      </c>
    </row>
    <row r="142" spans="1:28">
      <c r="A142" s="2">
        <v>139</v>
      </c>
      <c r="B142" s="2" t="s">
        <v>674</v>
      </c>
      <c r="C142" s="2" t="s">
        <v>2224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422</v>
      </c>
      <c r="J142" s="2" t="s">
        <v>2036</v>
      </c>
      <c r="K142" s="2">
        <f t="shared" si="21"/>
        <v>43112937.933469541</v>
      </c>
      <c r="L142" s="2" t="s">
        <v>2075</v>
      </c>
      <c r="M142" s="2" t="s">
        <v>1961</v>
      </c>
      <c r="N142" s="2" t="s">
        <v>1987</v>
      </c>
      <c r="O142" s="2">
        <v>200</v>
      </c>
      <c r="P142" s="2">
        <v>1138.267456054688</v>
      </c>
      <c r="Q142" s="2">
        <v>1168.535034179688</v>
      </c>
      <c r="R142" s="2">
        <f>O142*P142</f>
        <v>227653.49121093759</v>
      </c>
      <c r="S142" s="2">
        <f>O142*Q142</f>
        <v>233707.00683593759</v>
      </c>
      <c r="T142" s="2">
        <f>R142+S142</f>
        <v>461360.49804687517</v>
      </c>
      <c r="U142" s="2">
        <f>ROUND(T142*0.0005, 2)</f>
        <v>230.68</v>
      </c>
      <c r="V142" s="2">
        <f>S142-R142</f>
        <v>6053.515625</v>
      </c>
      <c r="W142" s="2">
        <f>V142-U142</f>
        <v>5822.8356249999997</v>
      </c>
      <c r="X142" s="2">
        <f>K142+W142</f>
        <v>43118760.769094542</v>
      </c>
      <c r="Y142" s="2">
        <f>ROUND(0.2*R142, 2)</f>
        <v>45530.7</v>
      </c>
      <c r="Z142" s="2">
        <f>ROUND((W142/Y142)*100, 2)</f>
        <v>12.79</v>
      </c>
      <c r="AA142" s="2">
        <f>MAX(AA141, X142)</f>
        <v>43118760.769094542</v>
      </c>
      <c r="AB142" s="2">
        <f>X142-AA142</f>
        <v>0</v>
      </c>
    </row>
    <row r="143" spans="1:28">
      <c r="A143" s="2">
        <v>140</v>
      </c>
      <c r="B143" s="2" t="s">
        <v>678</v>
      </c>
      <c r="C143" s="2" t="s">
        <v>2224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43118760.769094542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>K143</f>
        <v>43118760.769094542</v>
      </c>
      <c r="Y143" s="6" t="s">
        <v>1195</v>
      </c>
      <c r="Z143" s="6" t="s">
        <v>1195</v>
      </c>
      <c r="AA143" s="2">
        <f>AA142</f>
        <v>43118760.769094542</v>
      </c>
      <c r="AB143" s="2">
        <v>0</v>
      </c>
    </row>
    <row r="144" spans="1:28">
      <c r="A144" s="2">
        <v>141</v>
      </c>
      <c r="B144" s="2" t="s">
        <v>681</v>
      </c>
      <c r="C144" s="2" t="s">
        <v>2224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43118760.769094542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>K144</f>
        <v>43118760.769094542</v>
      </c>
      <c r="Y144" s="6" t="s">
        <v>1195</v>
      </c>
      <c r="Z144" s="6" t="s">
        <v>1195</v>
      </c>
      <c r="AA144" s="2">
        <f>AA143</f>
        <v>43118760.769094542</v>
      </c>
      <c r="AB144" s="2">
        <v>0</v>
      </c>
    </row>
    <row r="145" spans="1:28">
      <c r="A145" s="2">
        <v>142</v>
      </c>
      <c r="B145" s="2" t="s">
        <v>685</v>
      </c>
      <c r="C145" s="2" t="s">
        <v>2224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2162</v>
      </c>
      <c r="J145" s="2" t="s">
        <v>2163</v>
      </c>
      <c r="K145" s="2">
        <f t="shared" si="21"/>
        <v>43118760.769094542</v>
      </c>
      <c r="L145" s="2" t="s">
        <v>1603</v>
      </c>
      <c r="M145" s="2" t="s">
        <v>1805</v>
      </c>
      <c r="N145" s="2" t="s">
        <v>1541</v>
      </c>
      <c r="O145" s="2">
        <v>1500</v>
      </c>
      <c r="P145" s="2">
        <v>342.2366943359375</v>
      </c>
      <c r="Q145" s="2">
        <v>344.47695922851563</v>
      </c>
      <c r="R145" s="2">
        <f>O145*P145</f>
        <v>513355.04150390625</v>
      </c>
      <c r="S145" s="2">
        <f>O145*Q145</f>
        <v>516715.43884277344</v>
      </c>
      <c r="T145" s="2">
        <f>R145+S145</f>
        <v>1030070.4803466797</v>
      </c>
      <c r="U145" s="2">
        <f>ROUND(T145*0.0005, 2)</f>
        <v>515.04</v>
      </c>
      <c r="V145" s="2">
        <f>S145-R145</f>
        <v>3360.3973388671875</v>
      </c>
      <c r="W145" s="2">
        <f>V145-U145</f>
        <v>2845.3573388671875</v>
      </c>
      <c r="X145" s="2">
        <f>K145+W145</f>
        <v>43121606.12643341</v>
      </c>
      <c r="Y145" s="2">
        <f>ROUND(0.2*R145, 2)</f>
        <v>102671.01</v>
      </c>
      <c r="Z145" s="2">
        <f>ROUND((W145/Y145)*100, 2)</f>
        <v>2.77</v>
      </c>
      <c r="AA145" s="2">
        <f>MAX(AA144, X145)</f>
        <v>43121606.12643341</v>
      </c>
      <c r="AB145" s="2">
        <f>X145-AA145</f>
        <v>0</v>
      </c>
    </row>
    <row r="146" spans="1:28">
      <c r="A146" s="2">
        <v>143</v>
      </c>
      <c r="B146" s="2" t="s">
        <v>689</v>
      </c>
      <c r="C146" s="2" t="s">
        <v>2224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43121606.12643341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43121606.12643341</v>
      </c>
      <c r="Y146" s="6" t="s">
        <v>1195</v>
      </c>
      <c r="Z146" s="6" t="s">
        <v>1195</v>
      </c>
      <c r="AA146" s="2">
        <f>AA145</f>
        <v>43121606.12643341</v>
      </c>
      <c r="AB146" s="2">
        <v>0</v>
      </c>
    </row>
    <row r="147" spans="1:28">
      <c r="A147" s="2">
        <v>144</v>
      </c>
      <c r="B147" s="2" t="s">
        <v>692</v>
      </c>
      <c r="C147" s="2" t="s">
        <v>2224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43121606.12643341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43121606.12643341</v>
      </c>
      <c r="Y147" s="6" t="s">
        <v>1195</v>
      </c>
      <c r="Z147" s="6" t="s">
        <v>1195</v>
      </c>
      <c r="AA147" s="2">
        <f>AA146</f>
        <v>43121606.12643341</v>
      </c>
      <c r="AB147" s="2">
        <v>0</v>
      </c>
    </row>
    <row r="148" spans="1:28">
      <c r="A148" s="2">
        <v>145</v>
      </c>
      <c r="B148" s="2" t="s">
        <v>696</v>
      </c>
      <c r="C148" s="2" t="s">
        <v>2224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43121606.12643341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43121606.12643341</v>
      </c>
      <c r="Y148" s="6" t="s">
        <v>1195</v>
      </c>
      <c r="Z148" s="6" t="s">
        <v>1195</v>
      </c>
      <c r="AA148" s="2">
        <f>AA147</f>
        <v>43121606.12643341</v>
      </c>
      <c r="AB148" s="2">
        <v>0</v>
      </c>
    </row>
    <row r="149" spans="1:28">
      <c r="A149" s="2">
        <v>146</v>
      </c>
      <c r="B149" s="2" t="s">
        <v>701</v>
      </c>
      <c r="C149" s="2" t="s">
        <v>2224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43121606.12643341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43121606.12643341</v>
      </c>
      <c r="Y149" s="6" t="s">
        <v>1195</v>
      </c>
      <c r="Z149" s="6" t="s">
        <v>1195</v>
      </c>
      <c r="AA149" s="2">
        <f>AA148</f>
        <v>43121606.12643341</v>
      </c>
      <c r="AB149" s="2">
        <v>0</v>
      </c>
    </row>
    <row r="150" spans="1:28">
      <c r="A150" s="2">
        <v>147</v>
      </c>
      <c r="B150" s="2" t="s">
        <v>705</v>
      </c>
      <c r="C150" s="2" t="s">
        <v>2224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1197</v>
      </c>
      <c r="J150" s="2" t="s">
        <v>2164</v>
      </c>
      <c r="K150" s="2">
        <f t="shared" si="21"/>
        <v>43121606.12643341</v>
      </c>
      <c r="L150" s="2" t="s">
        <v>1559</v>
      </c>
      <c r="M150" s="2" t="s">
        <v>1615</v>
      </c>
      <c r="N150" s="2" t="s">
        <v>1568</v>
      </c>
      <c r="O150" s="2">
        <v>3750</v>
      </c>
      <c r="P150" s="2">
        <v>247.10969543457031</v>
      </c>
      <c r="Q150" s="2">
        <v>243.46116638183599</v>
      </c>
      <c r="R150" s="2">
        <f>O150*P150</f>
        <v>926661.35787963867</v>
      </c>
      <c r="S150" s="2">
        <f>O150*Q150</f>
        <v>912979.373931885</v>
      </c>
      <c r="T150" s="2">
        <f>R150+S150</f>
        <v>1839640.7318115237</v>
      </c>
      <c r="U150" s="2">
        <f>ROUND(T150*0.0005, 2)</f>
        <v>919.82</v>
      </c>
      <c r="V150" s="2">
        <f>S150-R150</f>
        <v>-13681.983947753673</v>
      </c>
      <c r="W150" s="2">
        <f>V150-U150</f>
        <v>-14601.803947753673</v>
      </c>
      <c r="X150" s="2">
        <f>K150+W150</f>
        <v>43107004.322485656</v>
      </c>
      <c r="Y150" s="2">
        <f>ROUND(0.2*R150, 2)</f>
        <v>185332.27</v>
      </c>
      <c r="Z150" s="2">
        <f>ROUND((W150/Y150)*100, 2)</f>
        <v>-7.88</v>
      </c>
      <c r="AA150" s="2">
        <f>MAX(AA149, X150)</f>
        <v>43121606.12643341</v>
      </c>
      <c r="AB150" s="2">
        <f>X150-AA150</f>
        <v>-14601.803947754204</v>
      </c>
    </row>
    <row r="151" spans="1:28">
      <c r="A151" s="2">
        <v>148</v>
      </c>
      <c r="B151" s="2" t="s">
        <v>708</v>
      </c>
      <c r="C151" s="2" t="s">
        <v>2224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43107004.322485656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2">K151</f>
        <v>43107004.322485656</v>
      </c>
      <c r="Y151" s="6" t="s">
        <v>1195</v>
      </c>
      <c r="Z151" s="6" t="s">
        <v>1195</v>
      </c>
      <c r="AA151" s="2">
        <f t="shared" ref="AA151:AA164" si="23">AA150</f>
        <v>43121606.12643341</v>
      </c>
      <c r="AB151" s="2">
        <v>0</v>
      </c>
    </row>
    <row r="152" spans="1:28">
      <c r="A152" s="2">
        <v>149</v>
      </c>
      <c r="B152" s="2" t="s">
        <v>710</v>
      </c>
      <c r="C152" s="2" t="s">
        <v>2224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43107004.322485656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2"/>
        <v>43107004.322485656</v>
      </c>
      <c r="Y152" s="6" t="s">
        <v>1195</v>
      </c>
      <c r="Z152" s="6" t="s">
        <v>1195</v>
      </c>
      <c r="AA152" s="2">
        <f t="shared" si="23"/>
        <v>43121606.12643341</v>
      </c>
      <c r="AB152" s="2">
        <v>0</v>
      </c>
    </row>
    <row r="153" spans="1:28">
      <c r="A153" s="2">
        <v>150</v>
      </c>
      <c r="B153" s="2" t="s">
        <v>714</v>
      </c>
      <c r="C153" s="2" t="s">
        <v>2224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43107004.322485656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2"/>
        <v>43107004.322485656</v>
      </c>
      <c r="Y153" s="6" t="s">
        <v>1195</v>
      </c>
      <c r="Z153" s="6" t="s">
        <v>1195</v>
      </c>
      <c r="AA153" s="2">
        <f t="shared" si="23"/>
        <v>43121606.12643341</v>
      </c>
      <c r="AB153" s="2">
        <v>0</v>
      </c>
    </row>
    <row r="154" spans="1:28">
      <c r="A154" s="2">
        <v>151</v>
      </c>
      <c r="B154" s="2" t="s">
        <v>718</v>
      </c>
      <c r="C154" s="2" t="s">
        <v>2224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43107004.322485656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2"/>
        <v>43107004.322485656</v>
      </c>
      <c r="Y154" s="6" t="s">
        <v>1195</v>
      </c>
      <c r="Z154" s="6" t="s">
        <v>1195</v>
      </c>
      <c r="AA154" s="2">
        <f t="shared" si="23"/>
        <v>43121606.12643341</v>
      </c>
      <c r="AB154" s="2">
        <v>0</v>
      </c>
    </row>
    <row r="155" spans="1:28">
      <c r="A155" s="2">
        <v>152</v>
      </c>
      <c r="B155" s="2" t="s">
        <v>720</v>
      </c>
      <c r="C155" s="2" t="s">
        <v>2224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43107004.322485656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2"/>
        <v>43107004.322485656</v>
      </c>
      <c r="Y155" s="6" t="s">
        <v>1195</v>
      </c>
      <c r="Z155" s="6" t="s">
        <v>1195</v>
      </c>
      <c r="AA155" s="2">
        <f t="shared" si="23"/>
        <v>43121606.12643341</v>
      </c>
      <c r="AB155" s="2">
        <v>0</v>
      </c>
    </row>
    <row r="156" spans="1:28">
      <c r="A156" s="2">
        <v>153</v>
      </c>
      <c r="B156" s="2" t="s">
        <v>723</v>
      </c>
      <c r="C156" s="2" t="s">
        <v>2224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43107004.322485656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2"/>
        <v>43107004.322485656</v>
      </c>
      <c r="Y156" s="6" t="s">
        <v>1195</v>
      </c>
      <c r="Z156" s="6" t="s">
        <v>1195</v>
      </c>
      <c r="AA156" s="2">
        <f t="shared" si="23"/>
        <v>43121606.12643341</v>
      </c>
      <c r="AB156" s="2">
        <v>0</v>
      </c>
    </row>
    <row r="157" spans="1:28">
      <c r="A157" s="2">
        <v>154</v>
      </c>
      <c r="B157" s="2" t="s">
        <v>727</v>
      </c>
      <c r="C157" s="2" t="s">
        <v>2224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43107004.322485656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2"/>
        <v>43107004.322485656</v>
      </c>
      <c r="Y157" s="6" t="s">
        <v>1195</v>
      </c>
      <c r="Z157" s="6" t="s">
        <v>1195</v>
      </c>
      <c r="AA157" s="2">
        <f t="shared" si="23"/>
        <v>43121606.12643341</v>
      </c>
      <c r="AB157" s="2">
        <v>0</v>
      </c>
    </row>
    <row r="158" spans="1:28">
      <c r="A158" s="2">
        <v>155</v>
      </c>
      <c r="B158" s="2" t="s">
        <v>729</v>
      </c>
      <c r="C158" s="2" t="s">
        <v>2224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43107004.322485656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2"/>
        <v>43107004.322485656</v>
      </c>
      <c r="Y158" s="6" t="s">
        <v>1195</v>
      </c>
      <c r="Z158" s="6" t="s">
        <v>1195</v>
      </c>
      <c r="AA158" s="2">
        <f t="shared" si="23"/>
        <v>43121606.12643341</v>
      </c>
      <c r="AB158" s="2">
        <v>0</v>
      </c>
    </row>
    <row r="159" spans="1:28">
      <c r="A159" s="2">
        <v>156</v>
      </c>
      <c r="B159" s="2" t="s">
        <v>732</v>
      </c>
      <c r="C159" s="2" t="s">
        <v>2224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43107004.322485656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2"/>
        <v>43107004.322485656</v>
      </c>
      <c r="Y159" s="6" t="s">
        <v>1195</v>
      </c>
      <c r="Z159" s="6" t="s">
        <v>1195</v>
      </c>
      <c r="AA159" s="2">
        <f t="shared" si="23"/>
        <v>43121606.12643341</v>
      </c>
      <c r="AB159" s="2">
        <v>0</v>
      </c>
    </row>
    <row r="160" spans="1:28">
      <c r="A160" s="2">
        <v>157</v>
      </c>
      <c r="B160" s="2" t="s">
        <v>736</v>
      </c>
      <c r="C160" s="2" t="s">
        <v>2224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43107004.322485656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2"/>
        <v>43107004.322485656</v>
      </c>
      <c r="Y160" s="6" t="s">
        <v>1195</v>
      </c>
      <c r="Z160" s="6" t="s">
        <v>1195</v>
      </c>
      <c r="AA160" s="2">
        <f t="shared" si="23"/>
        <v>43121606.12643341</v>
      </c>
      <c r="AB160" s="2">
        <v>0</v>
      </c>
    </row>
    <row r="161" spans="1:28">
      <c r="A161" s="2">
        <v>158</v>
      </c>
      <c r="B161" s="2" t="s">
        <v>738</v>
      </c>
      <c r="C161" s="2" t="s">
        <v>2224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43107004.322485656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2"/>
        <v>43107004.322485656</v>
      </c>
      <c r="Y161" s="6" t="s">
        <v>1195</v>
      </c>
      <c r="Z161" s="6" t="s">
        <v>1195</v>
      </c>
      <c r="AA161" s="2">
        <f t="shared" si="23"/>
        <v>43121606.12643341</v>
      </c>
      <c r="AB161" s="2">
        <v>0</v>
      </c>
    </row>
    <row r="162" spans="1:28">
      <c r="A162" s="2">
        <v>159</v>
      </c>
      <c r="B162" s="2" t="s">
        <v>741</v>
      </c>
      <c r="C162" s="2" t="s">
        <v>2224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43107004.322485656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2"/>
        <v>43107004.322485656</v>
      </c>
      <c r="Y162" s="6" t="s">
        <v>1195</v>
      </c>
      <c r="Z162" s="6" t="s">
        <v>1195</v>
      </c>
      <c r="AA162" s="2">
        <f t="shared" si="23"/>
        <v>43121606.12643341</v>
      </c>
      <c r="AB162" s="2">
        <v>0</v>
      </c>
    </row>
    <row r="163" spans="1:28">
      <c r="A163" s="2">
        <v>160</v>
      </c>
      <c r="B163" s="2" t="s">
        <v>743</v>
      </c>
      <c r="C163" s="2" t="s">
        <v>2224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43107004.322485656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2"/>
        <v>43107004.322485656</v>
      </c>
      <c r="Y163" s="6" t="s">
        <v>1195</v>
      </c>
      <c r="Z163" s="6" t="s">
        <v>1195</v>
      </c>
      <c r="AA163" s="2">
        <f t="shared" si="23"/>
        <v>43121606.12643341</v>
      </c>
      <c r="AB163" s="2">
        <v>0</v>
      </c>
    </row>
    <row r="164" spans="1:28">
      <c r="A164" s="2">
        <v>161</v>
      </c>
      <c r="B164" s="2" t="s">
        <v>746</v>
      </c>
      <c r="C164" s="2" t="s">
        <v>2224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43107004.322485656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2"/>
        <v>43107004.322485656</v>
      </c>
      <c r="Y164" s="6" t="s">
        <v>1195</v>
      </c>
      <c r="Z164" s="6" t="s">
        <v>1195</v>
      </c>
      <c r="AA164" s="2">
        <f t="shared" si="23"/>
        <v>43121606.12643341</v>
      </c>
      <c r="AB164" s="2">
        <v>0</v>
      </c>
    </row>
    <row r="165" spans="1:28">
      <c r="A165" s="2">
        <v>162</v>
      </c>
      <c r="B165" s="2" t="s">
        <v>750</v>
      </c>
      <c r="C165" s="2" t="s">
        <v>2224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2165</v>
      </c>
      <c r="J165" s="2" t="s">
        <v>2166</v>
      </c>
      <c r="K165" s="2">
        <f t="shared" si="21"/>
        <v>43107004.322485656</v>
      </c>
      <c r="L165" s="2" t="s">
        <v>1613</v>
      </c>
      <c r="M165" s="2" t="s">
        <v>1573</v>
      </c>
      <c r="N165" s="2" t="s">
        <v>1539</v>
      </c>
      <c r="O165" s="2">
        <v>1800</v>
      </c>
      <c r="P165" s="2">
        <v>287.01956176757812</v>
      </c>
      <c r="Q165" s="2">
        <v>304.84719848632812</v>
      </c>
      <c r="R165" s="2">
        <f>O165*P165</f>
        <v>516635.21118164063</v>
      </c>
      <c r="S165" s="2">
        <f>O165*Q165</f>
        <v>548724.95727539063</v>
      </c>
      <c r="T165" s="2">
        <f>R165+S165</f>
        <v>1065360.1684570312</v>
      </c>
      <c r="U165" s="2">
        <f>ROUND(T165*0.0005, 2)</f>
        <v>532.67999999999995</v>
      </c>
      <c r="V165" s="2">
        <f>S165-R165</f>
        <v>32089.74609375</v>
      </c>
      <c r="W165" s="2">
        <f>V165-U165</f>
        <v>31557.06609375</v>
      </c>
      <c r="X165" s="2">
        <f>K165+W165</f>
        <v>43138561.388579406</v>
      </c>
      <c r="Y165" s="2">
        <f>ROUND(0.2*R165, 2)</f>
        <v>103327.03999999999</v>
      </c>
      <c r="Z165" s="2">
        <f>ROUND((W165/Y165)*100, 2)</f>
        <v>30.54</v>
      </c>
      <c r="AA165" s="2">
        <f>MAX(AA164, X165)</f>
        <v>43138561.388579406</v>
      </c>
      <c r="AB165" s="2">
        <f>X165-AA165</f>
        <v>0</v>
      </c>
    </row>
    <row r="166" spans="1:28">
      <c r="A166" s="2">
        <v>163</v>
      </c>
      <c r="B166" s="2" t="s">
        <v>754</v>
      </c>
      <c r="C166" s="2" t="s">
        <v>2224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43138561.388579406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43138561.388579406</v>
      </c>
      <c r="Y166" s="6" t="s">
        <v>1195</v>
      </c>
      <c r="Z166" s="6" t="s">
        <v>1195</v>
      </c>
      <c r="AA166" s="2">
        <f>AA165</f>
        <v>43138561.388579406</v>
      </c>
      <c r="AB166" s="2">
        <v>0</v>
      </c>
    </row>
    <row r="167" spans="1:28">
      <c r="A167" s="2">
        <v>164</v>
      </c>
      <c r="B167" s="2" t="s">
        <v>758</v>
      </c>
      <c r="C167" s="2" t="s">
        <v>2224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43138561.388579406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43138561.388579406</v>
      </c>
      <c r="Y167" s="6" t="s">
        <v>1195</v>
      </c>
      <c r="Z167" s="6" t="s">
        <v>1195</v>
      </c>
      <c r="AA167" s="2">
        <f>AA166</f>
        <v>43138561.388579406</v>
      </c>
      <c r="AB167" s="2">
        <v>0</v>
      </c>
    </row>
    <row r="168" spans="1:28">
      <c r="A168" s="2">
        <v>165</v>
      </c>
      <c r="B168" s="2" t="s">
        <v>760</v>
      </c>
      <c r="C168" s="2" t="s">
        <v>2224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43138561.388579406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43138561.388579406</v>
      </c>
      <c r="Y168" s="6" t="s">
        <v>1195</v>
      </c>
      <c r="Z168" s="6" t="s">
        <v>1195</v>
      </c>
      <c r="AA168" s="2">
        <f>AA167</f>
        <v>43138561.388579406</v>
      </c>
      <c r="AB168" s="2">
        <v>0</v>
      </c>
    </row>
    <row r="169" spans="1:28">
      <c r="A169" s="2">
        <v>166</v>
      </c>
      <c r="B169" s="2" t="s">
        <v>763</v>
      </c>
      <c r="C169" s="2" t="s">
        <v>2224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43138561.388579406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43138561.388579406</v>
      </c>
      <c r="Y169" s="6" t="s">
        <v>1195</v>
      </c>
      <c r="Z169" s="6" t="s">
        <v>1195</v>
      </c>
      <c r="AA169" s="2">
        <f>AA168</f>
        <v>43138561.388579406</v>
      </c>
      <c r="AB169" s="2">
        <v>0</v>
      </c>
    </row>
    <row r="170" spans="1:28">
      <c r="A170" s="2">
        <v>167</v>
      </c>
      <c r="B170" s="2" t="s">
        <v>764</v>
      </c>
      <c r="C170" s="2" t="s">
        <v>2224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43138561.388579406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43138561.388579406</v>
      </c>
      <c r="Y170" s="6" t="s">
        <v>1195</v>
      </c>
      <c r="Z170" s="6" t="s">
        <v>1195</v>
      </c>
      <c r="AA170" s="2">
        <f>AA169</f>
        <v>43138561.388579406</v>
      </c>
      <c r="AB170" s="2">
        <v>0</v>
      </c>
    </row>
    <row r="171" spans="1:28">
      <c r="A171" s="2">
        <v>168</v>
      </c>
      <c r="B171" s="2" t="s">
        <v>769</v>
      </c>
      <c r="C171" s="2" t="s">
        <v>2224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2214</v>
      </c>
      <c r="J171" s="2" t="s">
        <v>1704</v>
      </c>
      <c r="K171" s="2">
        <f t="shared" si="21"/>
        <v>43138561.388579406</v>
      </c>
      <c r="L171" s="2" t="s">
        <v>2215</v>
      </c>
      <c r="M171" s="2" t="s">
        <v>2042</v>
      </c>
      <c r="N171" s="2" t="s">
        <v>2040</v>
      </c>
      <c r="O171" s="2">
        <v>2667</v>
      </c>
      <c r="P171" s="2">
        <v>369.375732421875</v>
      </c>
      <c r="Q171" s="2">
        <v>355.28567504882812</v>
      </c>
      <c r="R171" s="2">
        <f>O171*P171</f>
        <v>985125.07836914063</v>
      </c>
      <c r="S171" s="2">
        <f>O171*Q171</f>
        <v>947546.89535522461</v>
      </c>
      <c r="T171" s="2">
        <f>R171+S171</f>
        <v>1932671.9737243652</v>
      </c>
      <c r="U171" s="2">
        <f>ROUND(T171*0.0005, 2)</f>
        <v>966.34</v>
      </c>
      <c r="V171" s="2">
        <f>S171-R171</f>
        <v>-37578.183013916016</v>
      </c>
      <c r="W171" s="2">
        <f>V171-U171</f>
        <v>-38544.523013916012</v>
      </c>
      <c r="X171" s="2">
        <f>K171+W171</f>
        <v>43100016.865565486</v>
      </c>
      <c r="Y171" s="2">
        <f>ROUND(0.2*R171, 2)</f>
        <v>197025.02</v>
      </c>
      <c r="Z171" s="2">
        <f>ROUND((W171/Y171)*100, 2)</f>
        <v>-19.559999999999999</v>
      </c>
      <c r="AA171" s="2">
        <f>MAX(AA170, X171)</f>
        <v>43138561.388579406</v>
      </c>
      <c r="AB171" s="2">
        <f>X171-AA171</f>
        <v>-38544.523013919592</v>
      </c>
    </row>
    <row r="172" spans="1:28">
      <c r="A172" s="2">
        <v>169</v>
      </c>
      <c r="B172" s="2" t="s">
        <v>773</v>
      </c>
      <c r="C172" s="2" t="s">
        <v>2224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1872</v>
      </c>
      <c r="J172" s="2" t="s">
        <v>1309</v>
      </c>
      <c r="K172" s="2">
        <f t="shared" si="21"/>
        <v>43100016.865565486</v>
      </c>
      <c r="L172" s="2" t="s">
        <v>1375</v>
      </c>
      <c r="M172" s="2" t="s">
        <v>1298</v>
      </c>
      <c r="N172" s="2" t="s">
        <v>1580</v>
      </c>
      <c r="O172" s="2">
        <v>250</v>
      </c>
      <c r="P172" s="2">
        <v>1447.568481445312</v>
      </c>
      <c r="Q172" s="2">
        <v>1452.607666015625</v>
      </c>
      <c r="R172" s="2">
        <f>O172*P172</f>
        <v>361892.12036132801</v>
      </c>
      <c r="S172" s="2">
        <f>O172*Q172</f>
        <v>363151.91650390625</v>
      </c>
      <c r="T172" s="2">
        <f>R172+S172</f>
        <v>725044.03686523426</v>
      </c>
      <c r="U172" s="2">
        <f>ROUND(T172*0.0005, 2)</f>
        <v>362.52</v>
      </c>
      <c r="V172" s="2">
        <f>S172-R172</f>
        <v>1259.7961425782414</v>
      </c>
      <c r="W172" s="2">
        <f>V172-U172</f>
        <v>897.27614257824143</v>
      </c>
      <c r="X172" s="2">
        <f>K172+W172</f>
        <v>43100914.141708061</v>
      </c>
      <c r="Y172" s="2">
        <f>ROUND(0.2*R172, 2)</f>
        <v>72378.42</v>
      </c>
      <c r="Z172" s="2">
        <f>ROUND((W172/Y172)*100, 2)</f>
        <v>1.24</v>
      </c>
      <c r="AA172" s="2">
        <f>MAX(AA171, X172)</f>
        <v>43138561.388579406</v>
      </c>
      <c r="AB172" s="2">
        <f>X172-AA172</f>
        <v>-37647.246871344745</v>
      </c>
    </row>
    <row r="173" spans="1:28">
      <c r="A173" s="2">
        <v>170</v>
      </c>
      <c r="B173" s="2" t="s">
        <v>778</v>
      </c>
      <c r="C173" s="2" t="s">
        <v>2224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43100914.141708061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43100914.141708061</v>
      </c>
      <c r="Y173" s="6" t="s">
        <v>1195</v>
      </c>
      <c r="Z173" s="6" t="s">
        <v>1195</v>
      </c>
      <c r="AA173" s="2">
        <f>AA172</f>
        <v>43138561.388579406</v>
      </c>
      <c r="AB173" s="2">
        <v>0</v>
      </c>
    </row>
    <row r="174" spans="1:28">
      <c r="A174" s="2">
        <v>171</v>
      </c>
      <c r="B174" s="2" t="s">
        <v>782</v>
      </c>
      <c r="C174" s="2" t="s">
        <v>2224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43100914.141708061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43100914.141708061</v>
      </c>
      <c r="Y174" s="6" t="s">
        <v>1195</v>
      </c>
      <c r="Z174" s="6" t="s">
        <v>1195</v>
      </c>
      <c r="AA174" s="2">
        <f>AA173</f>
        <v>43138561.388579406</v>
      </c>
      <c r="AB174" s="2">
        <v>0</v>
      </c>
    </row>
    <row r="175" spans="1:28">
      <c r="A175" s="2">
        <v>172</v>
      </c>
      <c r="B175" s="2" t="s">
        <v>784</v>
      </c>
      <c r="C175" s="2" t="s">
        <v>2224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43100914.141708061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43100914.141708061</v>
      </c>
      <c r="Y175" s="6" t="s">
        <v>1195</v>
      </c>
      <c r="Z175" s="6" t="s">
        <v>1195</v>
      </c>
      <c r="AA175" s="2">
        <f>AA174</f>
        <v>43138561.388579406</v>
      </c>
      <c r="AB175" s="2">
        <v>0</v>
      </c>
    </row>
    <row r="176" spans="1:28">
      <c r="A176" s="2">
        <v>173</v>
      </c>
      <c r="B176" s="2" t="s">
        <v>787</v>
      </c>
      <c r="C176" s="2" t="s">
        <v>2224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43100914.141708061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43100914.141708061</v>
      </c>
      <c r="Y176" s="6" t="s">
        <v>1195</v>
      </c>
      <c r="Z176" s="6" t="s">
        <v>1195</v>
      </c>
      <c r="AA176" s="2">
        <f>AA175</f>
        <v>43138561.388579406</v>
      </c>
      <c r="AB176" s="2">
        <v>0</v>
      </c>
    </row>
    <row r="177" spans="1:28">
      <c r="A177" s="2">
        <v>174</v>
      </c>
      <c r="B177" s="2" t="s">
        <v>790</v>
      </c>
      <c r="C177" s="2" t="s">
        <v>2224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1671</v>
      </c>
      <c r="J177" s="2" t="s">
        <v>2267</v>
      </c>
      <c r="K177" s="2">
        <f t="shared" si="21"/>
        <v>43100914.141708061</v>
      </c>
      <c r="L177" s="2" t="s">
        <v>2268</v>
      </c>
      <c r="M177" s="2" t="s">
        <v>2269</v>
      </c>
      <c r="N177" s="2" t="s">
        <v>2270</v>
      </c>
      <c r="O177" s="2">
        <v>375</v>
      </c>
      <c r="P177" s="2">
        <v>1313.304565429688</v>
      </c>
      <c r="Q177" s="2">
        <v>1285.809692382812</v>
      </c>
      <c r="R177" s="2">
        <f>O177*P177</f>
        <v>492489.21203613299</v>
      </c>
      <c r="S177" s="2">
        <f>O177*Q177</f>
        <v>482178.63464355451</v>
      </c>
      <c r="T177" s="2">
        <f>R177+S177</f>
        <v>974667.8466796875</v>
      </c>
      <c r="U177" s="2">
        <f>ROUND(T177*0.0005, 2)</f>
        <v>487.33</v>
      </c>
      <c r="V177" s="2">
        <f>S177-R177</f>
        <v>-10310.577392578474</v>
      </c>
      <c r="W177" s="2">
        <f>V177-U177</f>
        <v>-10797.907392578474</v>
      </c>
      <c r="X177" s="2">
        <f>K177+W177</f>
        <v>43090116.234315485</v>
      </c>
      <c r="Y177" s="2">
        <f>ROUND(0.2*R177, 2)</f>
        <v>98497.84</v>
      </c>
      <c r="Z177" s="2">
        <f>ROUND((W177/Y177)*100, 2)</f>
        <v>-10.96</v>
      </c>
      <c r="AA177" s="2">
        <f>MAX(AA176, X177)</f>
        <v>43138561.388579406</v>
      </c>
      <c r="AB177" s="2">
        <f>X177-AA177</f>
        <v>-48445.154263921082</v>
      </c>
    </row>
    <row r="178" spans="1:28">
      <c r="A178" s="2">
        <v>175</v>
      </c>
      <c r="B178" s="2" t="s">
        <v>794</v>
      </c>
      <c r="C178" s="2" t="s">
        <v>2224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2171</v>
      </c>
      <c r="J178" s="2" t="s">
        <v>316</v>
      </c>
      <c r="K178" s="2">
        <f t="shared" si="21"/>
        <v>43090116.234315485</v>
      </c>
      <c r="L178" s="2" t="s">
        <v>1565</v>
      </c>
      <c r="M178" s="2" t="s">
        <v>1572</v>
      </c>
      <c r="N178" s="2" t="s">
        <v>1565</v>
      </c>
      <c r="O178" s="2">
        <v>1500</v>
      </c>
      <c r="P178" s="2">
        <v>776.4129638671875</v>
      </c>
      <c r="Q178" s="2">
        <v>765.99517822265625</v>
      </c>
      <c r="R178" s="2">
        <f>O178*P178</f>
        <v>1164619.4458007813</v>
      </c>
      <c r="S178" s="2">
        <f>O178*Q178</f>
        <v>1148992.7673339844</v>
      </c>
      <c r="T178" s="2">
        <f>R178+S178</f>
        <v>2313612.2131347656</v>
      </c>
      <c r="U178" s="2">
        <f>ROUND(T178*0.0005, 2)</f>
        <v>1156.81</v>
      </c>
      <c r="V178" s="2">
        <f>S178-R178</f>
        <v>-15626.678466796875</v>
      </c>
      <c r="W178" s="2">
        <f>V178-U178</f>
        <v>-16783.488466796876</v>
      </c>
      <c r="X178" s="2">
        <f>K178+W178</f>
        <v>43073332.745848686</v>
      </c>
      <c r="Y178" s="2">
        <f>ROUND(0.2*R178, 2)</f>
        <v>232923.89</v>
      </c>
      <c r="Z178" s="2">
        <f>ROUND((W178/Y178)*100, 2)</f>
        <v>-7.21</v>
      </c>
      <c r="AA178" s="2">
        <f>MAX(AA177, X178)</f>
        <v>43138561.388579406</v>
      </c>
      <c r="AB178" s="2">
        <f>X178-AA178</f>
        <v>-65228.642730720341</v>
      </c>
    </row>
    <row r="179" spans="1:28">
      <c r="A179" s="2">
        <v>176</v>
      </c>
      <c r="B179" s="2" t="s">
        <v>798</v>
      </c>
      <c r="C179" s="2" t="s">
        <v>2224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43073332.745848686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43073332.745848686</v>
      </c>
      <c r="Y179" s="6" t="s">
        <v>1195</v>
      </c>
      <c r="Z179" s="6" t="s">
        <v>1195</v>
      </c>
      <c r="AA179" s="2">
        <f>AA178</f>
        <v>43138561.388579406</v>
      </c>
      <c r="AB179" s="2">
        <v>0</v>
      </c>
    </row>
    <row r="180" spans="1:28">
      <c r="A180" s="2">
        <v>177</v>
      </c>
      <c r="B180" s="2" t="s">
        <v>801</v>
      </c>
      <c r="C180" s="2" t="s">
        <v>2224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2172</v>
      </c>
      <c r="J180" s="2" t="s">
        <v>1276</v>
      </c>
      <c r="K180" s="2">
        <f t="shared" si="21"/>
        <v>43073332.745848686</v>
      </c>
      <c r="L180" s="2" t="s">
        <v>1374</v>
      </c>
      <c r="M180" s="2" t="s">
        <v>1557</v>
      </c>
      <c r="N180" s="2" t="s">
        <v>1467</v>
      </c>
      <c r="O180" s="2">
        <v>957</v>
      </c>
      <c r="P180" s="2">
        <v>482.14688110351562</v>
      </c>
      <c r="Q180" s="2">
        <v>500.85736083984381</v>
      </c>
      <c r="R180" s="2">
        <f>O180*P180</f>
        <v>461414.56521606445</v>
      </c>
      <c r="S180" s="2">
        <f>O180*Q180</f>
        <v>479320.49432373053</v>
      </c>
      <c r="T180" s="2">
        <f>R180+S180</f>
        <v>940735.05953979492</v>
      </c>
      <c r="U180" s="2">
        <f>ROUND(T180*0.0005, 2)</f>
        <v>470.37</v>
      </c>
      <c r="V180" s="2">
        <f>S180-R180</f>
        <v>17905.929107666074</v>
      </c>
      <c r="W180" s="2">
        <f>V180-U180</f>
        <v>17435.559107666075</v>
      </c>
      <c r="X180" s="2">
        <f>K180+W180</f>
        <v>43090768.304956354</v>
      </c>
      <c r="Y180" s="2">
        <f>ROUND(0.2*R180, 2)</f>
        <v>92282.91</v>
      </c>
      <c r="Z180" s="2">
        <f>ROUND((W180/Y180)*100, 2)</f>
        <v>18.89</v>
      </c>
      <c r="AA180" s="2">
        <f>MAX(AA179, X180)</f>
        <v>43138561.388579406</v>
      </c>
      <c r="AB180" s="2">
        <f>X180-AA180</f>
        <v>-47793.083623051643</v>
      </c>
    </row>
    <row r="181" spans="1:28">
      <c r="A181" s="2">
        <v>178</v>
      </c>
      <c r="B181" s="2" t="s">
        <v>806</v>
      </c>
      <c r="C181" s="2" t="s">
        <v>2224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43090768.304956354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43090768.304956354</v>
      </c>
      <c r="Y181" s="6" t="s">
        <v>1195</v>
      </c>
      <c r="Z181" s="6" t="s">
        <v>1195</v>
      </c>
      <c r="AA181" s="2">
        <f>AA180</f>
        <v>43138561.388579406</v>
      </c>
      <c r="AB181" s="2">
        <v>0</v>
      </c>
    </row>
    <row r="182" spans="1:28">
      <c r="A182" s="2">
        <v>179</v>
      </c>
      <c r="B182" s="2" t="s">
        <v>809</v>
      </c>
      <c r="C182" s="2" t="s">
        <v>2224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43090768.304956354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43090768.304956354</v>
      </c>
      <c r="Y182" s="6" t="s">
        <v>1195</v>
      </c>
      <c r="Z182" s="6" t="s">
        <v>1195</v>
      </c>
      <c r="AA182" s="2">
        <f>AA181</f>
        <v>43138561.388579406</v>
      </c>
      <c r="AB182" s="2">
        <v>0</v>
      </c>
    </row>
    <row r="183" spans="1:28">
      <c r="A183" s="2">
        <v>180</v>
      </c>
      <c r="B183" s="2" t="s">
        <v>813</v>
      </c>
      <c r="C183" s="2" t="s">
        <v>2224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43090768.304956354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43090768.304956354</v>
      </c>
      <c r="Y183" s="6" t="s">
        <v>1195</v>
      </c>
      <c r="Z183" s="6" t="s">
        <v>1195</v>
      </c>
      <c r="AA183" s="2">
        <f>AA182</f>
        <v>43138561.388579406</v>
      </c>
      <c r="AB183" s="2">
        <v>0</v>
      </c>
    </row>
    <row r="184" spans="1:28">
      <c r="A184" s="2">
        <v>181</v>
      </c>
      <c r="B184" s="2" t="s">
        <v>817</v>
      </c>
      <c r="C184" s="2" t="s">
        <v>2224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43090768.304956354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43090768.304956354</v>
      </c>
      <c r="Y184" s="6" t="s">
        <v>1195</v>
      </c>
      <c r="Z184" s="6" t="s">
        <v>1195</v>
      </c>
      <c r="AA184" s="2">
        <f>AA183</f>
        <v>43138561.388579406</v>
      </c>
      <c r="AB184" s="2">
        <v>0</v>
      </c>
    </row>
    <row r="185" spans="1:28">
      <c r="A185" s="2">
        <v>182</v>
      </c>
      <c r="B185" s="2" t="s">
        <v>820</v>
      </c>
      <c r="C185" s="2" t="s">
        <v>2224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1152</v>
      </c>
      <c r="J185" s="2" t="s">
        <v>2218</v>
      </c>
      <c r="K185" s="2">
        <f t="shared" si="21"/>
        <v>43090768.304956354</v>
      </c>
      <c r="L185" s="2" t="s">
        <v>1572</v>
      </c>
      <c r="M185" s="2" t="s">
        <v>1609</v>
      </c>
      <c r="N185" s="2" t="s">
        <v>1613</v>
      </c>
      <c r="O185" s="2">
        <v>350</v>
      </c>
      <c r="P185" s="2">
        <v>1492.531982421875</v>
      </c>
      <c r="Q185" s="2">
        <v>1447.414794921875</v>
      </c>
      <c r="R185" s="2">
        <f>O185*P185</f>
        <v>522386.19384765625</v>
      </c>
      <c r="S185" s="2">
        <f>O185*Q185</f>
        <v>506595.17822265625</v>
      </c>
      <c r="T185" s="2">
        <f>R185+S185</f>
        <v>1028981.3720703125</v>
      </c>
      <c r="U185" s="2">
        <f>ROUND(T185*0.0005, 2)</f>
        <v>514.49</v>
      </c>
      <c r="V185" s="2">
        <f>S185-R185</f>
        <v>-15791.015625</v>
      </c>
      <c r="W185" s="2">
        <f>V185-U185</f>
        <v>-16305.505625</v>
      </c>
      <c r="X185" s="2">
        <f>K185+W185</f>
        <v>43074462.799331352</v>
      </c>
      <c r="Y185" s="2">
        <f>ROUND(0.2*R185, 2)</f>
        <v>104477.24</v>
      </c>
      <c r="Z185" s="2">
        <f>ROUND((W185/Y185)*100, 2)</f>
        <v>-15.61</v>
      </c>
      <c r="AA185" s="2">
        <f>MAX(AA184, X185)</f>
        <v>43138561.388579406</v>
      </c>
      <c r="AB185" s="2">
        <f>X185-AA185</f>
        <v>-64098.58924805373</v>
      </c>
    </row>
    <row r="186" spans="1:28">
      <c r="A186" s="2">
        <v>183</v>
      </c>
      <c r="B186" s="2" t="s">
        <v>823</v>
      </c>
      <c r="C186" s="2" t="s">
        <v>2224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43074462.799331352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43074462.799331352</v>
      </c>
      <c r="Y186" s="6" t="s">
        <v>1195</v>
      </c>
      <c r="Z186" s="6" t="s">
        <v>1195</v>
      </c>
      <c r="AA186" s="2">
        <f>AA185</f>
        <v>43138561.388579406</v>
      </c>
      <c r="AB186" s="2">
        <v>0</v>
      </c>
    </row>
    <row r="187" spans="1:28">
      <c r="A187" s="2">
        <v>184</v>
      </c>
      <c r="B187" s="2" t="s">
        <v>827</v>
      </c>
      <c r="C187" s="2" t="s">
        <v>2224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43074462.799331352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43074462.799331352</v>
      </c>
      <c r="Y187" s="6" t="s">
        <v>1195</v>
      </c>
      <c r="Z187" s="6" t="s">
        <v>1195</v>
      </c>
      <c r="AA187" s="2">
        <f>AA186</f>
        <v>43138561.388579406</v>
      </c>
      <c r="AB187" s="2">
        <v>0</v>
      </c>
    </row>
    <row r="188" spans="1:28">
      <c r="A188" s="2">
        <v>185</v>
      </c>
      <c r="B188" s="2" t="s">
        <v>831</v>
      </c>
      <c r="C188" s="2" t="s">
        <v>2224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43074462.799331352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43074462.799331352</v>
      </c>
      <c r="Y188" s="6" t="s">
        <v>1195</v>
      </c>
      <c r="Z188" s="6" t="s">
        <v>1195</v>
      </c>
      <c r="AA188" s="2">
        <f>AA187</f>
        <v>43138561.388579406</v>
      </c>
      <c r="AB188" s="2">
        <v>0</v>
      </c>
    </row>
    <row r="189" spans="1:28">
      <c r="A189" s="2">
        <v>186</v>
      </c>
      <c r="B189" s="2" t="s">
        <v>835</v>
      </c>
      <c r="C189" s="2" t="s">
        <v>2224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2173</v>
      </c>
      <c r="J189" s="2" t="s">
        <v>2174</v>
      </c>
      <c r="K189" s="2">
        <f t="shared" si="21"/>
        <v>43074462.799331352</v>
      </c>
      <c r="L189" s="2" t="s">
        <v>1580</v>
      </c>
      <c r="M189" s="2" t="s">
        <v>1299</v>
      </c>
      <c r="N189" s="2" t="s">
        <v>1629</v>
      </c>
      <c r="O189" s="2">
        <v>450</v>
      </c>
      <c r="P189" s="2">
        <v>1066.680297851562</v>
      </c>
      <c r="Q189" s="2">
        <v>1144.690673828125</v>
      </c>
      <c r="R189" s="2">
        <f>O189*P189</f>
        <v>480006.13403320289</v>
      </c>
      <c r="S189" s="2">
        <f>O189*Q189</f>
        <v>515110.80322265625</v>
      </c>
      <c r="T189" s="2">
        <f>R189+S189</f>
        <v>995116.93725585914</v>
      </c>
      <c r="U189" s="2">
        <f>ROUND(T189*0.0005, 2)</f>
        <v>497.56</v>
      </c>
      <c r="V189" s="2">
        <f>S189-R189</f>
        <v>35104.669189453358</v>
      </c>
      <c r="W189" s="2">
        <f>V189-U189</f>
        <v>34607.10918945336</v>
      </c>
      <c r="X189" s="2">
        <f>K189+W189</f>
        <v>43109069.908520803</v>
      </c>
      <c r="Y189" s="2">
        <f>ROUND(0.2*R189, 2)</f>
        <v>96001.23</v>
      </c>
      <c r="Z189" s="2">
        <f>ROUND((W189/Y189)*100, 2)</f>
        <v>36.049999999999997</v>
      </c>
      <c r="AA189" s="2">
        <f>MAX(AA188, X189)</f>
        <v>43138561.388579406</v>
      </c>
      <c r="AB189" s="2">
        <f>X189-AA189</f>
        <v>-29491.480058602989</v>
      </c>
    </row>
    <row r="190" spans="1:28">
      <c r="A190" s="2">
        <v>187</v>
      </c>
      <c r="B190" s="2" t="s">
        <v>840</v>
      </c>
      <c r="C190" s="2" t="s">
        <v>2224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43109069.908520803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43109069.908520803</v>
      </c>
      <c r="Y190" s="6" t="s">
        <v>1195</v>
      </c>
      <c r="Z190" s="6" t="s">
        <v>1195</v>
      </c>
      <c r="AA190" s="2">
        <f>AA189</f>
        <v>43138561.388579406</v>
      </c>
      <c r="AB190" s="2">
        <v>0</v>
      </c>
    </row>
    <row r="191" spans="1:28">
      <c r="A191" s="2">
        <v>188</v>
      </c>
      <c r="B191" s="2" t="s">
        <v>845</v>
      </c>
      <c r="C191" s="2" t="s">
        <v>2224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43109069.908520803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43109069.908520803</v>
      </c>
      <c r="Y191" s="6" t="s">
        <v>1195</v>
      </c>
      <c r="Z191" s="6" t="s">
        <v>1195</v>
      </c>
      <c r="AA191" s="2">
        <f>AA190</f>
        <v>43138561.388579406</v>
      </c>
      <c r="AB191" s="2">
        <v>0</v>
      </c>
    </row>
    <row r="192" spans="1:28">
      <c r="A192" s="2">
        <v>189</v>
      </c>
      <c r="B192" s="2" t="s">
        <v>848</v>
      </c>
      <c r="C192" s="2" t="s">
        <v>2224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43109069.908520803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43109069.908520803</v>
      </c>
      <c r="Y192" s="6" t="s">
        <v>1195</v>
      </c>
      <c r="Z192" s="6" t="s">
        <v>1195</v>
      </c>
      <c r="AA192" s="2">
        <f>AA191</f>
        <v>43138561.388579406</v>
      </c>
      <c r="AB192" s="2">
        <v>0</v>
      </c>
    </row>
    <row r="193" spans="1:28">
      <c r="A193" s="2">
        <v>190</v>
      </c>
      <c r="B193" s="2" t="s">
        <v>851</v>
      </c>
      <c r="C193" s="2" t="s">
        <v>2224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2175</v>
      </c>
      <c r="J193" s="2" t="s">
        <v>2176</v>
      </c>
      <c r="K193" s="2">
        <f t="shared" si="21"/>
        <v>43109069.908520803</v>
      </c>
      <c r="L193" s="2" t="s">
        <v>1545</v>
      </c>
      <c r="M193" s="2" t="s">
        <v>1599</v>
      </c>
      <c r="N193" s="2" t="s">
        <v>1609</v>
      </c>
      <c r="O193" s="2">
        <v>5500</v>
      </c>
      <c r="P193" s="2">
        <v>158.80357360839841</v>
      </c>
      <c r="Q193" s="2">
        <v>157.0672607421875</v>
      </c>
      <c r="R193" s="2">
        <f>O193*P193</f>
        <v>873419.65484619129</v>
      </c>
      <c r="S193" s="2">
        <f>O193*Q193</f>
        <v>863869.93408203125</v>
      </c>
      <c r="T193" s="2">
        <f>R193+S193</f>
        <v>1737289.5889282227</v>
      </c>
      <c r="U193" s="2">
        <f>ROUND(T193*0.0005, 2)</f>
        <v>868.64</v>
      </c>
      <c r="V193" s="2">
        <f>S193-R193</f>
        <v>-9549.7207641600398</v>
      </c>
      <c r="W193" s="2">
        <f>V193-U193</f>
        <v>-10418.360764160039</v>
      </c>
      <c r="X193" s="2">
        <f>K193+W193</f>
        <v>43098651.547756642</v>
      </c>
      <c r="Y193" s="2">
        <f>ROUND(0.2*R193, 2)</f>
        <v>174683.93</v>
      </c>
      <c r="Z193" s="2">
        <f>ROUND((W193/Y193)*100, 2)</f>
        <v>-5.96</v>
      </c>
      <c r="AA193" s="2">
        <f>MAX(AA192, X193)</f>
        <v>43138561.388579406</v>
      </c>
      <c r="AB193" s="2">
        <f>X193-AA193</f>
        <v>-39909.840822763741</v>
      </c>
    </row>
    <row r="194" spans="1:28">
      <c r="A194" s="2">
        <v>191</v>
      </c>
      <c r="B194" s="2" t="s">
        <v>854</v>
      </c>
      <c r="C194" s="2" t="s">
        <v>2224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297</v>
      </c>
      <c r="J194" s="2" t="s">
        <v>548</v>
      </c>
      <c r="K194" s="2">
        <f t="shared" si="21"/>
        <v>43098651.547756642</v>
      </c>
      <c r="L194" s="2" t="s">
        <v>1373</v>
      </c>
      <c r="M194" s="2" t="s">
        <v>1466</v>
      </c>
      <c r="N194" s="2" t="s">
        <v>1547</v>
      </c>
      <c r="O194" s="2">
        <v>175</v>
      </c>
      <c r="P194" s="2">
        <v>3646.654541015625</v>
      </c>
      <c r="Q194" s="2">
        <v>3681.86083984375</v>
      </c>
      <c r="R194" s="2">
        <f>O194*P194</f>
        <v>638164.54467773438</v>
      </c>
      <c r="S194" s="2">
        <f>O194*Q194</f>
        <v>644325.64697265625</v>
      </c>
      <c r="T194" s="2">
        <f>R194+S194</f>
        <v>1282490.1916503906</v>
      </c>
      <c r="U194" s="2">
        <f>ROUND(T194*0.0005, 2)</f>
        <v>641.25</v>
      </c>
      <c r="V194" s="2">
        <f>S194-R194</f>
        <v>6161.102294921875</v>
      </c>
      <c r="W194" s="2">
        <f>V194-U194</f>
        <v>5519.852294921875</v>
      </c>
      <c r="X194" s="2">
        <f>K194+W194</f>
        <v>43104171.400051564</v>
      </c>
      <c r="Y194" s="2">
        <f>ROUND(0.2*R194, 2)</f>
        <v>127632.91</v>
      </c>
      <c r="Z194" s="2">
        <f>ROUND((W194/Y194)*100, 2)</f>
        <v>4.32</v>
      </c>
      <c r="AA194" s="2">
        <f>MAX(AA193, X194)</f>
        <v>43138561.388579406</v>
      </c>
      <c r="AB194" s="2">
        <f>X194-AA194</f>
        <v>-34389.988527841866</v>
      </c>
    </row>
    <row r="195" spans="1:28">
      <c r="A195" s="2">
        <v>192</v>
      </c>
      <c r="B195" s="2" t="s">
        <v>860</v>
      </c>
      <c r="C195" s="2" t="s">
        <v>2224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1893</v>
      </c>
      <c r="J195" s="2" t="s">
        <v>2177</v>
      </c>
      <c r="K195" s="2">
        <f t="shared" si="21"/>
        <v>43104171.400051564</v>
      </c>
      <c r="L195" s="2" t="s">
        <v>1629</v>
      </c>
      <c r="M195" s="2" t="s">
        <v>1557</v>
      </c>
      <c r="N195" s="2" t="s">
        <v>1374</v>
      </c>
      <c r="O195" s="2">
        <v>600</v>
      </c>
      <c r="P195" s="2">
        <v>1152.607055664062</v>
      </c>
      <c r="Q195" s="2">
        <v>1092.923583984375</v>
      </c>
      <c r="R195" s="2">
        <f>O195*P195</f>
        <v>691564.23339843727</v>
      </c>
      <c r="S195" s="2">
        <f>O195*Q195</f>
        <v>655754.150390625</v>
      </c>
      <c r="T195" s="2">
        <f>R195+S195</f>
        <v>1347318.3837890623</v>
      </c>
      <c r="U195" s="2">
        <f>ROUND(T195*0.0005, 2)</f>
        <v>673.66</v>
      </c>
      <c r="V195" s="2">
        <f>S195-R195</f>
        <v>-35810.083007812267</v>
      </c>
      <c r="W195" s="2">
        <f>V195-U195</f>
        <v>-36483.743007812271</v>
      </c>
      <c r="X195" s="2">
        <f>K195+W195</f>
        <v>43067687.657043755</v>
      </c>
      <c r="Y195" s="2">
        <f>ROUND(0.2*R195, 2)</f>
        <v>138312.85</v>
      </c>
      <c r="Z195" s="2">
        <f>ROUND((W195/Y195)*100, 2)</f>
        <v>-26.38</v>
      </c>
      <c r="AA195" s="2">
        <f>MAX(AA194, X195)</f>
        <v>43138561.388579406</v>
      </c>
      <c r="AB195" s="2">
        <f>X195-AA195</f>
        <v>-70873.73153565079</v>
      </c>
    </row>
    <row r="196" spans="1:28">
      <c r="A196" s="2">
        <v>193</v>
      </c>
      <c r="B196" s="2" t="s">
        <v>865</v>
      </c>
      <c r="C196" s="2" t="s">
        <v>2224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43067687.657043755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43067687.657043755</v>
      </c>
      <c r="Y196" s="6" t="s">
        <v>1195</v>
      </c>
      <c r="Z196" s="6" t="s">
        <v>1195</v>
      </c>
      <c r="AA196" s="2">
        <f>AA195</f>
        <v>43138561.388579406</v>
      </c>
      <c r="AB196" s="2">
        <v>0</v>
      </c>
    </row>
    <row r="197" spans="1:28">
      <c r="A197" s="2">
        <v>194</v>
      </c>
      <c r="B197" s="2" t="s">
        <v>868</v>
      </c>
      <c r="C197" s="2" t="s">
        <v>2224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1381</v>
      </c>
      <c r="J197" s="2" t="s">
        <v>2178</v>
      </c>
      <c r="K197" s="2">
        <f t="shared" ref="K197:K214" si="24">X196</f>
        <v>43067687.657043755</v>
      </c>
      <c r="L197" s="2" t="s">
        <v>1299</v>
      </c>
      <c r="M197" s="2" t="s">
        <v>1581</v>
      </c>
      <c r="N197" s="2" t="s">
        <v>1557</v>
      </c>
      <c r="O197" s="2">
        <v>175</v>
      </c>
      <c r="P197" s="2">
        <v>3248.9814453125</v>
      </c>
      <c r="Q197" s="2">
        <v>3534.54150390625</v>
      </c>
      <c r="R197" s="2">
        <f>O197*P197</f>
        <v>568571.7529296875</v>
      </c>
      <c r="S197" s="2">
        <f>O197*Q197</f>
        <v>618544.76318359375</v>
      </c>
      <c r="T197" s="2">
        <f>R197+S197</f>
        <v>1187116.5161132813</v>
      </c>
      <c r="U197" s="2">
        <f>ROUND(T197*0.0005, 2)</f>
        <v>593.55999999999995</v>
      </c>
      <c r="V197" s="2">
        <f>S197-R197</f>
        <v>49973.01025390625</v>
      </c>
      <c r="W197" s="2">
        <f>V197-U197</f>
        <v>49379.450253906252</v>
      </c>
      <c r="X197" s="2">
        <f>K197+W197</f>
        <v>43117067.107297659</v>
      </c>
      <c r="Y197" s="2">
        <f>ROUND(0.2*R197, 2)</f>
        <v>113714.35</v>
      </c>
      <c r="Z197" s="2">
        <f>ROUND((W197/Y197)*100, 2)</f>
        <v>43.42</v>
      </c>
      <c r="AA197" s="2">
        <f>MAX(AA196, X197)</f>
        <v>43138561.388579406</v>
      </c>
      <c r="AB197" s="2">
        <f>X197-AA197</f>
        <v>-21494.281281746924</v>
      </c>
    </row>
    <row r="198" spans="1:28">
      <c r="A198" s="2">
        <v>195</v>
      </c>
      <c r="B198" s="2" t="s">
        <v>873</v>
      </c>
      <c r="C198" s="2" t="s">
        <v>2224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2" t="s">
        <v>208</v>
      </c>
      <c r="I198" s="2" t="s">
        <v>375</v>
      </c>
      <c r="J198" s="2" t="s">
        <v>2219</v>
      </c>
      <c r="K198" s="2">
        <f t="shared" si="24"/>
        <v>43117067.107297659</v>
      </c>
      <c r="L198" s="2" t="s">
        <v>2220</v>
      </c>
      <c r="M198" s="2" t="s">
        <v>2221</v>
      </c>
      <c r="N198" s="2" t="s">
        <v>2222</v>
      </c>
      <c r="O198" s="2">
        <v>3054</v>
      </c>
      <c r="P198" s="2">
        <v>120.5270080566406</v>
      </c>
      <c r="Q198" s="2">
        <v>128.4667663574219</v>
      </c>
      <c r="R198" s="2">
        <f>O198*P198</f>
        <v>368089.48260498041</v>
      </c>
      <c r="S198" s="2">
        <f>O198*Q198</f>
        <v>392337.50445556646</v>
      </c>
      <c r="T198" s="2">
        <f>R198+S198</f>
        <v>760426.98706054687</v>
      </c>
      <c r="U198" s="2">
        <f>ROUND(T198*0.0005, 2)</f>
        <v>380.21</v>
      </c>
      <c r="V198" s="2">
        <f>S198-R198</f>
        <v>24248.021850586054</v>
      </c>
      <c r="W198" s="2">
        <f>V198-U198</f>
        <v>23867.811850586055</v>
      </c>
      <c r="X198" s="2">
        <f>K198+W198</f>
        <v>43140934.919148244</v>
      </c>
      <c r="Y198" s="2">
        <f>ROUND(0.2*R198, 2)</f>
        <v>73617.899999999994</v>
      </c>
      <c r="Z198" s="2">
        <f>ROUND((W198/Y198)*100, 2)</f>
        <v>32.42</v>
      </c>
      <c r="AA198" s="2">
        <f>MAX(AA197, X198)</f>
        <v>43140934.919148244</v>
      </c>
      <c r="AB198" s="2">
        <f>X198-AA198</f>
        <v>0</v>
      </c>
    </row>
    <row r="199" spans="1:28">
      <c r="A199" s="2">
        <v>196</v>
      </c>
      <c r="B199" s="2" t="s">
        <v>878</v>
      </c>
      <c r="C199" s="2" t="s">
        <v>2224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4"/>
        <v>43140934.919148244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43140934.919148244</v>
      </c>
      <c r="Y199" s="6" t="s">
        <v>1195</v>
      </c>
      <c r="Z199" s="6" t="s">
        <v>1195</v>
      </c>
      <c r="AA199" s="2">
        <f>AA198</f>
        <v>43140934.919148244</v>
      </c>
      <c r="AB199" s="2">
        <v>0</v>
      </c>
    </row>
    <row r="200" spans="1:28">
      <c r="A200" s="2">
        <v>197</v>
      </c>
      <c r="B200" s="2" t="s">
        <v>881</v>
      </c>
      <c r="C200" s="2" t="s">
        <v>2224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1126</v>
      </c>
      <c r="J200" s="2" t="s">
        <v>407</v>
      </c>
      <c r="K200" s="2">
        <f t="shared" si="24"/>
        <v>43140934.919148244</v>
      </c>
      <c r="L200" s="2" t="s">
        <v>1467</v>
      </c>
      <c r="M200" s="2" t="s">
        <v>1543</v>
      </c>
      <c r="N200" s="2" t="s">
        <v>1591</v>
      </c>
      <c r="O200" s="2">
        <v>345</v>
      </c>
      <c r="P200" s="2">
        <v>4294.05419921875</v>
      </c>
      <c r="Q200" s="2">
        <v>4492.65478515625</v>
      </c>
      <c r="R200" s="2">
        <f>O200*P200</f>
        <v>1481448.6987304687</v>
      </c>
      <c r="S200" s="2">
        <f>O200*Q200</f>
        <v>1549965.9008789062</v>
      </c>
      <c r="T200" s="2">
        <f>R200+S200</f>
        <v>3031414.599609375</v>
      </c>
      <c r="U200" s="2">
        <f>ROUND(T200*0.0005, 2)</f>
        <v>1515.71</v>
      </c>
      <c r="V200" s="2">
        <f>S200-R200</f>
        <v>68517.2021484375</v>
      </c>
      <c r="W200" s="2">
        <f>V200-U200</f>
        <v>67001.492148437494</v>
      </c>
      <c r="X200" s="2">
        <f>K200+W200</f>
        <v>43207936.411296681</v>
      </c>
      <c r="Y200" s="2">
        <f>ROUND(0.2*R200, 2)</f>
        <v>296289.74</v>
      </c>
      <c r="Z200" s="2">
        <f>ROUND((W200/Y200)*100, 2)</f>
        <v>22.61</v>
      </c>
      <c r="AA200" s="2">
        <f>MAX(AA199, X200)</f>
        <v>43207936.411296681</v>
      </c>
      <c r="AB200" s="2">
        <f>X200-AA200</f>
        <v>0</v>
      </c>
    </row>
    <row r="201" spans="1:28">
      <c r="A201" s="2">
        <v>198</v>
      </c>
      <c r="B201" s="2" t="s">
        <v>886</v>
      </c>
      <c r="C201" s="2" t="s">
        <v>2224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4"/>
        <v>43207936.411296681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43207936.411296681</v>
      </c>
      <c r="Y201" s="6" t="s">
        <v>1195</v>
      </c>
      <c r="Z201" s="6" t="s">
        <v>1195</v>
      </c>
      <c r="AA201" s="2">
        <f>AA200</f>
        <v>43207936.411296681</v>
      </c>
      <c r="AB201" s="2">
        <v>0</v>
      </c>
    </row>
    <row r="202" spans="1:28">
      <c r="A202" s="2">
        <v>199</v>
      </c>
      <c r="B202" s="2" t="s">
        <v>890</v>
      </c>
      <c r="C202" s="2" t="s">
        <v>2224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1145</v>
      </c>
      <c r="J202" s="2" t="s">
        <v>2271</v>
      </c>
      <c r="K202" s="2">
        <f t="shared" si="24"/>
        <v>43207936.411296681</v>
      </c>
      <c r="L202" s="2" t="s">
        <v>1621</v>
      </c>
      <c r="M202" s="2" t="s">
        <v>1543</v>
      </c>
      <c r="N202" s="2" t="s">
        <v>1298</v>
      </c>
      <c r="O202" s="2">
        <v>100</v>
      </c>
      <c r="P202" s="2">
        <v>9564.69140625</v>
      </c>
      <c r="Q202" s="2">
        <v>9417.650390625</v>
      </c>
      <c r="R202" s="2">
        <f>O202*P202</f>
        <v>956469.140625</v>
      </c>
      <c r="S202" s="2">
        <f>O202*Q202</f>
        <v>941765.0390625</v>
      </c>
      <c r="T202" s="2">
        <f>R202+S202</f>
        <v>1898234.1796875</v>
      </c>
      <c r="U202" s="2">
        <f>ROUND(T202*0.0005, 2)</f>
        <v>949.12</v>
      </c>
      <c r="V202" s="2">
        <f>S202-R202</f>
        <v>-14704.1015625</v>
      </c>
      <c r="W202" s="2">
        <f>V202-U202</f>
        <v>-15653.221562500001</v>
      </c>
      <c r="X202" s="2">
        <f>K202+W202</f>
        <v>43192283.189734183</v>
      </c>
      <c r="Y202" s="2">
        <f>ROUND(0.2*R202, 2)</f>
        <v>191293.83</v>
      </c>
      <c r="Z202" s="2">
        <f>ROUND((W202/Y202)*100, 2)</f>
        <v>-8.18</v>
      </c>
      <c r="AA202" s="2">
        <f>MAX(AA201, X202)</f>
        <v>43207936.411296681</v>
      </c>
      <c r="AB202" s="2">
        <f>X202-AA202</f>
        <v>-15653.221562497318</v>
      </c>
    </row>
    <row r="203" spans="1:28">
      <c r="A203" s="2">
        <v>200</v>
      </c>
      <c r="B203" s="2" t="s">
        <v>894</v>
      </c>
      <c r="C203" s="2" t="s">
        <v>2224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4"/>
        <v>43192283.189734183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5">K203</f>
        <v>43192283.189734183</v>
      </c>
      <c r="Y203" s="6" t="s">
        <v>1195</v>
      </c>
      <c r="Z203" s="6" t="s">
        <v>1195</v>
      </c>
      <c r="AA203" s="2">
        <f t="shared" ref="AA203:AA211" si="26">AA202</f>
        <v>43207936.411296681</v>
      </c>
      <c r="AB203" s="2">
        <v>0</v>
      </c>
    </row>
    <row r="204" spans="1:28">
      <c r="A204" s="2">
        <v>201</v>
      </c>
      <c r="B204" s="2" t="s">
        <v>897</v>
      </c>
      <c r="C204" s="2" t="s">
        <v>2224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4"/>
        <v>43192283.189734183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5"/>
        <v>43192283.189734183</v>
      </c>
      <c r="Y204" s="6" t="s">
        <v>1195</v>
      </c>
      <c r="Z204" s="6" t="s">
        <v>1195</v>
      </c>
      <c r="AA204" s="2">
        <f t="shared" si="26"/>
        <v>43207936.411296681</v>
      </c>
      <c r="AB204" s="2">
        <v>0</v>
      </c>
    </row>
    <row r="205" spans="1:28">
      <c r="A205" s="2">
        <v>202</v>
      </c>
      <c r="B205" s="2" t="s">
        <v>899</v>
      </c>
      <c r="C205" s="2" t="s">
        <v>2224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4"/>
        <v>43192283.189734183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5"/>
        <v>43192283.189734183</v>
      </c>
      <c r="Y205" s="6" t="s">
        <v>1195</v>
      </c>
      <c r="Z205" s="6" t="s">
        <v>1195</v>
      </c>
      <c r="AA205" s="2">
        <f t="shared" si="26"/>
        <v>43207936.411296681</v>
      </c>
      <c r="AB205" s="2">
        <v>0</v>
      </c>
    </row>
    <row r="206" spans="1:28">
      <c r="A206" s="2">
        <v>203</v>
      </c>
      <c r="B206" s="2" t="s">
        <v>902</v>
      </c>
      <c r="C206" s="2" t="s">
        <v>2224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4"/>
        <v>43192283.189734183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5"/>
        <v>43192283.189734183</v>
      </c>
      <c r="Y206" s="6" t="s">
        <v>1195</v>
      </c>
      <c r="Z206" s="6" t="s">
        <v>1195</v>
      </c>
      <c r="AA206" s="2">
        <f t="shared" si="26"/>
        <v>43207936.411296681</v>
      </c>
      <c r="AB206" s="2">
        <v>0</v>
      </c>
    </row>
    <row r="207" spans="1:28">
      <c r="A207" s="2">
        <v>204</v>
      </c>
      <c r="B207" s="2" t="s">
        <v>906</v>
      </c>
      <c r="C207" s="2" t="s">
        <v>2224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4"/>
        <v>43192283.189734183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5"/>
        <v>43192283.189734183</v>
      </c>
      <c r="Y207" s="6" t="s">
        <v>1195</v>
      </c>
      <c r="Z207" s="6" t="s">
        <v>1195</v>
      </c>
      <c r="AA207" s="2">
        <f t="shared" si="26"/>
        <v>43207936.411296681</v>
      </c>
      <c r="AB207" s="2">
        <v>0</v>
      </c>
    </row>
    <row r="208" spans="1:28">
      <c r="A208" s="2">
        <v>205</v>
      </c>
      <c r="B208" s="2" t="s">
        <v>910</v>
      </c>
      <c r="C208" s="2" t="s">
        <v>2224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4"/>
        <v>43192283.189734183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5"/>
        <v>43192283.189734183</v>
      </c>
      <c r="Y208" s="6" t="s">
        <v>1195</v>
      </c>
      <c r="Z208" s="6" t="s">
        <v>1195</v>
      </c>
      <c r="AA208" s="2">
        <f t="shared" si="26"/>
        <v>43207936.411296681</v>
      </c>
      <c r="AB208" s="2">
        <v>0</v>
      </c>
    </row>
    <row r="209" spans="1:28">
      <c r="A209" s="2">
        <v>206</v>
      </c>
      <c r="B209" s="2" t="s">
        <v>913</v>
      </c>
      <c r="C209" s="2" t="s">
        <v>2224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4"/>
        <v>43192283.189734183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5"/>
        <v>43192283.189734183</v>
      </c>
      <c r="Y209" s="6" t="s">
        <v>1195</v>
      </c>
      <c r="Z209" s="6" t="s">
        <v>1195</v>
      </c>
      <c r="AA209" s="2">
        <f t="shared" si="26"/>
        <v>43207936.411296681</v>
      </c>
      <c r="AB209" s="2">
        <v>0</v>
      </c>
    </row>
    <row r="210" spans="1:28">
      <c r="A210" s="2">
        <v>207</v>
      </c>
      <c r="B210" s="2" t="s">
        <v>915</v>
      </c>
      <c r="C210" s="2" t="s">
        <v>2224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4"/>
        <v>43192283.189734183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5"/>
        <v>43192283.189734183</v>
      </c>
      <c r="Y210" s="6" t="s">
        <v>1195</v>
      </c>
      <c r="Z210" s="6" t="s">
        <v>1195</v>
      </c>
      <c r="AA210" s="2">
        <f t="shared" si="26"/>
        <v>43207936.411296681</v>
      </c>
      <c r="AB210" s="2">
        <v>0</v>
      </c>
    </row>
    <row r="211" spans="1:28">
      <c r="A211" s="2">
        <v>208</v>
      </c>
      <c r="B211" s="2" t="s">
        <v>918</v>
      </c>
      <c r="C211" s="2" t="s">
        <v>2224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4"/>
        <v>43192283.189734183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5"/>
        <v>43192283.189734183</v>
      </c>
      <c r="Y211" s="6" t="s">
        <v>1195</v>
      </c>
      <c r="Z211" s="6" t="s">
        <v>1195</v>
      </c>
      <c r="AA211" s="2">
        <f t="shared" si="26"/>
        <v>43207936.411296681</v>
      </c>
      <c r="AB211" s="2">
        <v>0</v>
      </c>
    </row>
    <row r="212" spans="1:28">
      <c r="A212" s="2">
        <v>209</v>
      </c>
      <c r="B212" s="2" t="s">
        <v>922</v>
      </c>
      <c r="C212" s="2" t="s">
        <v>2224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2184</v>
      </c>
      <c r="J212" s="2" t="s">
        <v>1822</v>
      </c>
      <c r="K212" s="2">
        <f t="shared" si="24"/>
        <v>43192283.189734183</v>
      </c>
      <c r="L212" s="2" t="s">
        <v>1709</v>
      </c>
      <c r="M212" s="2" t="s">
        <v>1374</v>
      </c>
      <c r="N212" s="2" t="s">
        <v>1375</v>
      </c>
      <c r="O212" s="2">
        <v>1500</v>
      </c>
      <c r="P212" s="2">
        <v>223.7106628417969</v>
      </c>
      <c r="Q212" s="2">
        <v>216.07084655761719</v>
      </c>
      <c r="R212" s="2">
        <f>O212*P212</f>
        <v>335565.99426269537</v>
      </c>
      <c r="S212" s="2">
        <f>O212*Q212</f>
        <v>324106.26983642578</v>
      </c>
      <c r="T212" s="2">
        <f>R212+S212</f>
        <v>659672.26409912109</v>
      </c>
      <c r="U212" s="2">
        <f>ROUND(T212*0.0005, 2)</f>
        <v>329.84</v>
      </c>
      <c r="V212" s="2">
        <f>S212-R212</f>
        <v>-11459.724426269589</v>
      </c>
      <c r="W212" s="2">
        <f>V212-U212</f>
        <v>-11789.56442626959</v>
      </c>
      <c r="X212" s="2">
        <f>K212+W212</f>
        <v>43180493.62530791</v>
      </c>
      <c r="Y212" s="2">
        <f>ROUND(0.2*R212, 2)</f>
        <v>67113.2</v>
      </c>
      <c r="Z212" s="2">
        <f>ROUND((W212/Y212)*100, 2)</f>
        <v>-17.57</v>
      </c>
      <c r="AA212" s="2">
        <f>MAX(AA211, X212)</f>
        <v>43207936.411296681</v>
      </c>
      <c r="AB212" s="2">
        <f>X212-AA212</f>
        <v>-27442.785988770425</v>
      </c>
    </row>
    <row r="213" spans="1:28">
      <c r="A213" s="2">
        <v>210</v>
      </c>
      <c r="B213" s="2" t="s">
        <v>925</v>
      </c>
      <c r="C213" s="2" t="s">
        <v>2224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4"/>
        <v>43180493.62530791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43180493.62530791</v>
      </c>
      <c r="Y213" s="6" t="s">
        <v>1195</v>
      </c>
      <c r="Z213" s="6" t="s">
        <v>1195</v>
      </c>
      <c r="AA213" s="2">
        <f>AA212</f>
        <v>43207936.411296681</v>
      </c>
      <c r="AB213" s="2">
        <v>0</v>
      </c>
    </row>
    <row r="214" spans="1:28">
      <c r="A214" s="2">
        <v>211</v>
      </c>
      <c r="B214" s="2" t="s">
        <v>928</v>
      </c>
      <c r="C214" s="2" t="s">
        <v>2224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4"/>
        <v>43180493.62530791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43180493.62530791</v>
      </c>
      <c r="Y214" s="6" t="s">
        <v>1195</v>
      </c>
      <c r="Z214" s="6" t="s">
        <v>1195</v>
      </c>
      <c r="AA214" s="2">
        <f>AA213</f>
        <v>43207936.411296681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2272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2273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2274</v>
      </c>
      <c r="J4" s="2" t="s">
        <v>2275</v>
      </c>
      <c r="K4" s="2">
        <v>42511150.109999999</v>
      </c>
      <c r="L4" s="2" t="s">
        <v>2276</v>
      </c>
      <c r="M4" s="2" t="s">
        <v>2103</v>
      </c>
      <c r="N4" s="2" t="s">
        <v>2277</v>
      </c>
      <c r="O4" s="2">
        <v>874</v>
      </c>
      <c r="P4" s="2">
        <v>1180.149291992188</v>
      </c>
      <c r="Q4" s="2">
        <v>1099.9150390625</v>
      </c>
      <c r="R4" s="2">
        <f t="shared" ref="R4:R17" si="0">O4*P4</f>
        <v>1031450.4812011722</v>
      </c>
      <c r="S4" s="2">
        <f t="shared" ref="S4:S17" si="1">O4*Q4</f>
        <v>961325.744140625</v>
      </c>
      <c r="T4" s="2">
        <f t="shared" ref="T4:T17" si="2">R4+S4</f>
        <v>1992776.2253417973</v>
      </c>
      <c r="U4" s="2">
        <f t="shared" ref="U4:U17" si="3">ROUND(T4*0.0005, 2)</f>
        <v>996.39</v>
      </c>
      <c r="V4" s="2">
        <f t="shared" ref="V4:V17" si="4">S4-R4</f>
        <v>-70124.737060547224</v>
      </c>
      <c r="W4" s="2">
        <f t="shared" ref="W4:W17" si="5">V4-U4</f>
        <v>-71121.127060547224</v>
      </c>
      <c r="X4" s="2">
        <f t="shared" ref="X4:X17" si="6">K4+W4</f>
        <v>42440028.982939452</v>
      </c>
      <c r="Y4" s="2">
        <f t="shared" ref="Y4:Y17" si="7">ROUND(0.2*R4, 2)</f>
        <v>206290.1</v>
      </c>
      <c r="Z4" s="2">
        <f t="shared" ref="Z4:Z17" si="8">ROUND((W4/Y4)*100, 2)</f>
        <v>-34.479999999999997</v>
      </c>
      <c r="AA4" s="2">
        <f>MAX(42511150.11, X4)</f>
        <v>42511150.109999999</v>
      </c>
      <c r="AB4" s="2">
        <f t="shared" ref="AB4:AB17" si="9">X4-AA4</f>
        <v>-71121.127060547471</v>
      </c>
    </row>
    <row r="5" spans="1:29">
      <c r="A5" s="2">
        <v>2</v>
      </c>
      <c r="B5" s="2" t="s">
        <v>46</v>
      </c>
      <c r="C5" s="2" t="s">
        <v>2273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2278</v>
      </c>
      <c r="J5" s="2" t="s">
        <v>329</v>
      </c>
      <c r="K5" s="2">
        <f t="shared" ref="K5:K68" si="10">X4</f>
        <v>42440028.982939452</v>
      </c>
      <c r="L5" s="2" t="s">
        <v>2054</v>
      </c>
      <c r="M5" s="2" t="s">
        <v>2279</v>
      </c>
      <c r="N5" s="2" t="s">
        <v>1935</v>
      </c>
      <c r="O5" s="2">
        <v>137</v>
      </c>
      <c r="P5" s="2">
        <v>5801.77099609375</v>
      </c>
      <c r="Q5" s="2">
        <v>6108.0185546875</v>
      </c>
      <c r="R5" s="2">
        <f t="shared" si="0"/>
        <v>794842.62646484375</v>
      </c>
      <c r="S5" s="2">
        <f t="shared" si="1"/>
        <v>836798.5419921875</v>
      </c>
      <c r="T5" s="2">
        <f t="shared" si="2"/>
        <v>1631641.1684570313</v>
      </c>
      <c r="U5" s="2">
        <f t="shared" si="3"/>
        <v>815.82</v>
      </c>
      <c r="V5" s="2">
        <f t="shared" si="4"/>
        <v>41955.91552734375</v>
      </c>
      <c r="W5" s="2">
        <f t="shared" si="5"/>
        <v>41140.09552734375</v>
      </c>
      <c r="X5" s="2">
        <f t="shared" si="6"/>
        <v>42481169.078466795</v>
      </c>
      <c r="Y5" s="2">
        <f t="shared" si="7"/>
        <v>158968.53</v>
      </c>
      <c r="Z5" s="2">
        <f t="shared" si="8"/>
        <v>25.88</v>
      </c>
      <c r="AA5" s="2">
        <f t="shared" ref="AA5:AA17" si="11">MAX(AA4, X5)</f>
        <v>42511150.109999999</v>
      </c>
      <c r="AB5" s="2">
        <f t="shared" si="9"/>
        <v>-29981.031533204019</v>
      </c>
    </row>
    <row r="6" spans="1:29">
      <c r="A6" s="2">
        <v>3</v>
      </c>
      <c r="B6" s="2" t="s">
        <v>52</v>
      </c>
      <c r="C6" s="2" t="s">
        <v>2273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2280</v>
      </c>
      <c r="J6" s="2" t="s">
        <v>208</v>
      </c>
      <c r="K6" s="2">
        <f t="shared" si="10"/>
        <v>42481169.078466795</v>
      </c>
      <c r="L6" s="2" t="s">
        <v>1527</v>
      </c>
      <c r="M6" s="2" t="s">
        <v>2281</v>
      </c>
      <c r="N6" s="2" t="s">
        <v>1526</v>
      </c>
      <c r="O6" s="2">
        <v>2537</v>
      </c>
      <c r="P6" s="2">
        <v>345.5</v>
      </c>
      <c r="Q6" s="2">
        <v>352.95001220703119</v>
      </c>
      <c r="R6" s="2">
        <f t="shared" si="0"/>
        <v>876533.5</v>
      </c>
      <c r="S6" s="2">
        <f t="shared" si="1"/>
        <v>895434.18096923816</v>
      </c>
      <c r="T6" s="2">
        <f t="shared" si="2"/>
        <v>1771967.6809692383</v>
      </c>
      <c r="U6" s="2">
        <f t="shared" si="3"/>
        <v>885.98</v>
      </c>
      <c r="V6" s="2">
        <f t="shared" si="4"/>
        <v>18900.680969238165</v>
      </c>
      <c r="W6" s="2">
        <f t="shared" si="5"/>
        <v>18014.700969238165</v>
      </c>
      <c r="X6" s="2">
        <f t="shared" si="6"/>
        <v>42499183.779436037</v>
      </c>
      <c r="Y6" s="2">
        <f t="shared" si="7"/>
        <v>175306.7</v>
      </c>
      <c r="Z6" s="2">
        <f t="shared" si="8"/>
        <v>10.28</v>
      </c>
      <c r="AA6" s="2">
        <f t="shared" si="11"/>
        <v>42511150.109999999</v>
      </c>
      <c r="AB6" s="2">
        <f t="shared" si="9"/>
        <v>-11966.33056396246</v>
      </c>
    </row>
    <row r="7" spans="1:29">
      <c r="A7" s="2">
        <v>4</v>
      </c>
      <c r="B7" s="2" t="s">
        <v>60</v>
      </c>
      <c r="C7" s="2" t="s">
        <v>2273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2282</v>
      </c>
      <c r="J7" s="2" t="s">
        <v>2283</v>
      </c>
      <c r="K7" s="2">
        <f t="shared" si="10"/>
        <v>42499183.779436037</v>
      </c>
      <c r="L7" s="2" t="s">
        <v>2099</v>
      </c>
      <c r="M7" s="2" t="s">
        <v>1737</v>
      </c>
      <c r="N7" s="2" t="s">
        <v>2099</v>
      </c>
      <c r="O7" s="2">
        <v>602</v>
      </c>
      <c r="P7" s="2">
        <v>1435.800048828125</v>
      </c>
      <c r="Q7" s="2">
        <v>1361.25</v>
      </c>
      <c r="R7" s="2">
        <f t="shared" si="0"/>
        <v>864351.62939453125</v>
      </c>
      <c r="S7" s="2">
        <f t="shared" si="1"/>
        <v>819472.5</v>
      </c>
      <c r="T7" s="2">
        <f t="shared" si="2"/>
        <v>1683824.1293945313</v>
      </c>
      <c r="U7" s="2">
        <f t="shared" si="3"/>
        <v>841.91</v>
      </c>
      <c r="V7" s="2">
        <f t="shared" si="4"/>
        <v>-44879.12939453125</v>
      </c>
      <c r="W7" s="2">
        <f t="shared" si="5"/>
        <v>-45721.039394531253</v>
      </c>
      <c r="X7" s="2">
        <f t="shared" si="6"/>
        <v>42453462.740041509</v>
      </c>
      <c r="Y7" s="2">
        <f t="shared" si="7"/>
        <v>172870.33</v>
      </c>
      <c r="Z7" s="2">
        <f t="shared" si="8"/>
        <v>-26.45</v>
      </c>
      <c r="AA7" s="2">
        <f t="shared" si="11"/>
        <v>42511150.109999999</v>
      </c>
      <c r="AB7" s="2">
        <f t="shared" si="9"/>
        <v>-57687.369958490133</v>
      </c>
    </row>
    <row r="8" spans="1:29">
      <c r="A8" s="2">
        <v>5</v>
      </c>
      <c r="B8" s="2" t="s">
        <v>68</v>
      </c>
      <c r="C8" s="2" t="s">
        <v>2273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2088</v>
      </c>
      <c r="J8" s="2" t="s">
        <v>1507</v>
      </c>
      <c r="K8" s="2">
        <f t="shared" si="10"/>
        <v>42453462.740041509</v>
      </c>
      <c r="L8" s="2" t="s">
        <v>1299</v>
      </c>
      <c r="M8" s="2" t="s">
        <v>1581</v>
      </c>
      <c r="N8" s="2" t="s">
        <v>1557</v>
      </c>
      <c r="O8" s="2">
        <v>300</v>
      </c>
      <c r="P8" s="2">
        <v>3035.54931640625</v>
      </c>
      <c r="Q8" s="2">
        <v>2870.81884765625</v>
      </c>
      <c r="R8" s="2">
        <f t="shared" si="0"/>
        <v>910664.794921875</v>
      </c>
      <c r="S8" s="2">
        <f t="shared" si="1"/>
        <v>861245.654296875</v>
      </c>
      <c r="T8" s="2">
        <f t="shared" si="2"/>
        <v>1771910.44921875</v>
      </c>
      <c r="U8" s="2">
        <f t="shared" si="3"/>
        <v>885.96</v>
      </c>
      <c r="V8" s="2">
        <f t="shared" si="4"/>
        <v>-49419.140625</v>
      </c>
      <c r="W8" s="2">
        <f t="shared" si="5"/>
        <v>-50305.100624999999</v>
      </c>
      <c r="X8" s="2">
        <f t="shared" si="6"/>
        <v>42403157.639416508</v>
      </c>
      <c r="Y8" s="2">
        <f t="shared" si="7"/>
        <v>182132.96</v>
      </c>
      <c r="Z8" s="2">
        <f t="shared" si="8"/>
        <v>-27.62</v>
      </c>
      <c r="AA8" s="2">
        <f t="shared" si="11"/>
        <v>42511150.109999999</v>
      </c>
      <c r="AB8" s="2">
        <f t="shared" si="9"/>
        <v>-107992.47058349103</v>
      </c>
    </row>
    <row r="9" spans="1:29">
      <c r="A9" s="2">
        <v>6</v>
      </c>
      <c r="B9" s="2" t="s">
        <v>75</v>
      </c>
      <c r="C9" s="2" t="s">
        <v>2273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829</v>
      </c>
      <c r="J9" s="2" t="s">
        <v>1628</v>
      </c>
      <c r="K9" s="2">
        <f t="shared" si="10"/>
        <v>42403157.639416508</v>
      </c>
      <c r="L9" s="2" t="s">
        <v>2284</v>
      </c>
      <c r="M9" s="2" t="s">
        <v>2285</v>
      </c>
      <c r="N9" s="2" t="s">
        <v>1632</v>
      </c>
      <c r="O9" s="2">
        <v>500</v>
      </c>
      <c r="P9" s="2">
        <v>1007.099975585938</v>
      </c>
      <c r="Q9" s="2">
        <v>1030.5</v>
      </c>
      <c r="R9" s="2">
        <f t="shared" si="0"/>
        <v>503549.98779296898</v>
      </c>
      <c r="S9" s="2">
        <f t="shared" si="1"/>
        <v>515250</v>
      </c>
      <c r="T9" s="2">
        <f t="shared" si="2"/>
        <v>1018799.987792969</v>
      </c>
      <c r="U9" s="2">
        <f t="shared" si="3"/>
        <v>509.4</v>
      </c>
      <c r="V9" s="2">
        <f t="shared" si="4"/>
        <v>11700.012207031017</v>
      </c>
      <c r="W9" s="2">
        <f t="shared" si="5"/>
        <v>11190.612207031018</v>
      </c>
      <c r="X9" s="2">
        <f t="shared" si="6"/>
        <v>42414348.251623541</v>
      </c>
      <c r="Y9" s="2">
        <f t="shared" si="7"/>
        <v>100710</v>
      </c>
      <c r="Z9" s="2">
        <f t="shared" si="8"/>
        <v>11.11</v>
      </c>
      <c r="AA9" s="2">
        <f t="shared" si="11"/>
        <v>42511150.109999999</v>
      </c>
      <c r="AB9" s="2">
        <f t="shared" si="9"/>
        <v>-96801.858376458287</v>
      </c>
    </row>
    <row r="10" spans="1:29">
      <c r="A10" s="2">
        <v>7</v>
      </c>
      <c r="B10" s="2" t="s">
        <v>82</v>
      </c>
      <c r="C10" s="2" t="s">
        <v>2273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1477</v>
      </c>
      <c r="J10" s="2" t="s">
        <v>2092</v>
      </c>
      <c r="K10" s="2">
        <f t="shared" si="10"/>
        <v>42414348.251623541</v>
      </c>
      <c r="L10" s="2" t="s">
        <v>1621</v>
      </c>
      <c r="M10" s="2" t="s">
        <v>1565</v>
      </c>
      <c r="N10" s="2" t="s">
        <v>1299</v>
      </c>
      <c r="O10" s="2">
        <v>625</v>
      </c>
      <c r="P10" s="2">
        <v>1304.579956054688</v>
      </c>
      <c r="Q10" s="2">
        <v>1228.057739257812</v>
      </c>
      <c r="R10" s="2">
        <f t="shared" si="0"/>
        <v>815362.47253417992</v>
      </c>
      <c r="S10" s="2">
        <f t="shared" si="1"/>
        <v>767536.08703613258</v>
      </c>
      <c r="T10" s="2">
        <f t="shared" si="2"/>
        <v>1582898.5595703125</v>
      </c>
      <c r="U10" s="2">
        <f t="shared" si="3"/>
        <v>791.45</v>
      </c>
      <c r="V10" s="2">
        <f t="shared" si="4"/>
        <v>-47826.385498047341</v>
      </c>
      <c r="W10" s="2">
        <f t="shared" si="5"/>
        <v>-48617.835498047338</v>
      </c>
      <c r="X10" s="2">
        <f t="shared" si="6"/>
        <v>42365730.416125491</v>
      </c>
      <c r="Y10" s="2">
        <f t="shared" si="7"/>
        <v>163072.49</v>
      </c>
      <c r="Z10" s="2">
        <f t="shared" si="8"/>
        <v>-29.81</v>
      </c>
      <c r="AA10" s="2">
        <f t="shared" si="11"/>
        <v>42511150.109999999</v>
      </c>
      <c r="AB10" s="2">
        <f t="shared" si="9"/>
        <v>-145419.69387450814</v>
      </c>
    </row>
    <row r="11" spans="1:29">
      <c r="A11" s="2">
        <v>8</v>
      </c>
      <c r="B11" s="2" t="s">
        <v>90</v>
      </c>
      <c r="C11" s="2" t="s">
        <v>2273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1830</v>
      </c>
      <c r="J11" s="2" t="s">
        <v>2286</v>
      </c>
      <c r="K11" s="2">
        <f t="shared" si="10"/>
        <v>42365730.416125491</v>
      </c>
      <c r="L11" s="2" t="s">
        <v>1356</v>
      </c>
      <c r="M11" s="2" t="s">
        <v>1737</v>
      </c>
      <c r="N11" s="2" t="s">
        <v>2099</v>
      </c>
      <c r="O11" s="2">
        <v>4785</v>
      </c>
      <c r="P11" s="2">
        <v>218.05000305175781</v>
      </c>
      <c r="Q11" s="2">
        <v>202.97999572753901</v>
      </c>
      <c r="R11" s="2">
        <f t="shared" si="0"/>
        <v>1043369.2646026611</v>
      </c>
      <c r="S11" s="2">
        <f t="shared" si="1"/>
        <v>971259.27955627418</v>
      </c>
      <c r="T11" s="2">
        <f t="shared" si="2"/>
        <v>2014628.5441589353</v>
      </c>
      <c r="U11" s="2">
        <f t="shared" si="3"/>
        <v>1007.31</v>
      </c>
      <c r="V11" s="2">
        <f t="shared" si="4"/>
        <v>-72109.985046386952</v>
      </c>
      <c r="W11" s="2">
        <f t="shared" si="5"/>
        <v>-73117.295046386949</v>
      </c>
      <c r="X11" s="2">
        <f t="shared" si="6"/>
        <v>42292613.121079102</v>
      </c>
      <c r="Y11" s="2">
        <f t="shared" si="7"/>
        <v>208673.85</v>
      </c>
      <c r="Z11" s="2">
        <f t="shared" si="8"/>
        <v>-35.04</v>
      </c>
      <c r="AA11" s="2">
        <f t="shared" si="11"/>
        <v>42511150.109999999</v>
      </c>
      <c r="AB11" s="2">
        <f t="shared" si="9"/>
        <v>-218536.98892089725</v>
      </c>
    </row>
    <row r="12" spans="1:29">
      <c r="A12" s="2">
        <v>9</v>
      </c>
      <c r="B12" s="2" t="s">
        <v>95</v>
      </c>
      <c r="C12" s="2" t="s">
        <v>2273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1431</v>
      </c>
      <c r="J12" s="2" t="s">
        <v>1728</v>
      </c>
      <c r="K12" s="2">
        <f t="shared" si="10"/>
        <v>42292613.121079102</v>
      </c>
      <c r="L12" s="2" t="s">
        <v>2287</v>
      </c>
      <c r="M12" s="2" t="s">
        <v>2087</v>
      </c>
      <c r="N12" s="2" t="s">
        <v>1696</v>
      </c>
      <c r="O12" s="2">
        <v>171</v>
      </c>
      <c r="P12" s="2">
        <v>5236.5</v>
      </c>
      <c r="Q12" s="2">
        <v>5370.5</v>
      </c>
      <c r="R12" s="2">
        <f t="shared" si="0"/>
        <v>895441.5</v>
      </c>
      <c r="S12" s="2">
        <f t="shared" si="1"/>
        <v>918355.5</v>
      </c>
      <c r="T12" s="2">
        <f t="shared" si="2"/>
        <v>1813797</v>
      </c>
      <c r="U12" s="2">
        <f t="shared" si="3"/>
        <v>906.9</v>
      </c>
      <c r="V12" s="2">
        <f t="shared" si="4"/>
        <v>22914</v>
      </c>
      <c r="W12" s="2">
        <f t="shared" si="5"/>
        <v>22007.1</v>
      </c>
      <c r="X12" s="2">
        <f t="shared" si="6"/>
        <v>42314620.221079104</v>
      </c>
      <c r="Y12" s="2">
        <f t="shared" si="7"/>
        <v>179088.3</v>
      </c>
      <c r="Z12" s="2">
        <f t="shared" si="8"/>
        <v>12.29</v>
      </c>
      <c r="AA12" s="2">
        <f t="shared" si="11"/>
        <v>42511150.109999999</v>
      </c>
      <c r="AB12" s="2">
        <f t="shared" si="9"/>
        <v>-196529.88892089576</v>
      </c>
    </row>
    <row r="13" spans="1:29">
      <c r="A13" s="2">
        <v>10</v>
      </c>
      <c r="B13" s="2" t="s">
        <v>102</v>
      </c>
      <c r="C13" s="2" t="s">
        <v>2273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2128</v>
      </c>
      <c r="J13" s="2" t="s">
        <v>151</v>
      </c>
      <c r="K13" s="2">
        <f t="shared" si="10"/>
        <v>42314620.221079104</v>
      </c>
      <c r="L13" s="2" t="s">
        <v>468</v>
      </c>
      <c r="M13" s="2" t="s">
        <v>1522</v>
      </c>
      <c r="N13" s="2" t="s">
        <v>2288</v>
      </c>
      <c r="O13" s="2">
        <v>135</v>
      </c>
      <c r="P13" s="2">
        <v>7804.5</v>
      </c>
      <c r="Q13" s="2">
        <v>7614.5</v>
      </c>
      <c r="R13" s="2">
        <f t="shared" si="0"/>
        <v>1053607.5</v>
      </c>
      <c r="S13" s="2">
        <f t="shared" si="1"/>
        <v>1027957.5</v>
      </c>
      <c r="T13" s="2">
        <f t="shared" si="2"/>
        <v>2081565</v>
      </c>
      <c r="U13" s="2">
        <f t="shared" si="3"/>
        <v>1040.78</v>
      </c>
      <c r="V13" s="2">
        <f t="shared" si="4"/>
        <v>-25650</v>
      </c>
      <c r="W13" s="2">
        <f t="shared" si="5"/>
        <v>-26690.78</v>
      </c>
      <c r="X13" s="2">
        <f t="shared" si="6"/>
        <v>42287929.441079102</v>
      </c>
      <c r="Y13" s="2">
        <f t="shared" si="7"/>
        <v>210721.5</v>
      </c>
      <c r="Z13" s="2">
        <f t="shared" si="8"/>
        <v>-12.67</v>
      </c>
      <c r="AA13" s="2">
        <f t="shared" si="11"/>
        <v>42511150.109999999</v>
      </c>
      <c r="AB13" s="2">
        <f t="shared" si="9"/>
        <v>-223220.66892089695</v>
      </c>
    </row>
    <row r="14" spans="1:29">
      <c r="A14" s="2">
        <v>11</v>
      </c>
      <c r="B14" s="2" t="s">
        <v>108</v>
      </c>
      <c r="C14" s="2" t="s">
        <v>2273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786</v>
      </c>
      <c r="J14" s="2" t="s">
        <v>312</v>
      </c>
      <c r="K14" s="2">
        <f t="shared" si="10"/>
        <v>42287929.441079102</v>
      </c>
      <c r="L14" s="2" t="s">
        <v>1773</v>
      </c>
      <c r="M14" s="2" t="s">
        <v>2281</v>
      </c>
      <c r="N14" s="2" t="s">
        <v>1526</v>
      </c>
      <c r="O14" s="2">
        <v>2303</v>
      </c>
      <c r="P14" s="2">
        <v>434.051513671875</v>
      </c>
      <c r="Q14" s="2">
        <v>448.97763061523438</v>
      </c>
      <c r="R14" s="2">
        <f t="shared" si="0"/>
        <v>999620.63598632812</v>
      </c>
      <c r="S14" s="2">
        <f t="shared" si="1"/>
        <v>1033995.4833068848</v>
      </c>
      <c r="T14" s="2">
        <f t="shared" si="2"/>
        <v>2033616.1192932129</v>
      </c>
      <c r="U14" s="2">
        <f t="shared" si="3"/>
        <v>1016.81</v>
      </c>
      <c r="V14" s="2">
        <f t="shared" si="4"/>
        <v>34374.847320556641</v>
      </c>
      <c r="W14" s="2">
        <f t="shared" si="5"/>
        <v>33358.037320556643</v>
      </c>
      <c r="X14" s="2">
        <f t="shared" si="6"/>
        <v>42321287.478399657</v>
      </c>
      <c r="Y14" s="2">
        <f t="shared" si="7"/>
        <v>199924.13</v>
      </c>
      <c r="Z14" s="2">
        <f t="shared" si="8"/>
        <v>16.690000000000001</v>
      </c>
      <c r="AA14" s="2">
        <f t="shared" si="11"/>
        <v>42511150.109999999</v>
      </c>
      <c r="AB14" s="2">
        <f t="shared" si="9"/>
        <v>-189862.63160034269</v>
      </c>
    </row>
    <row r="15" spans="1:29">
      <c r="A15" s="2">
        <v>12</v>
      </c>
      <c r="B15" s="2" t="s">
        <v>113</v>
      </c>
      <c r="C15" s="2" t="s">
        <v>2273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188</v>
      </c>
      <c r="J15" s="2" t="s">
        <v>382</v>
      </c>
      <c r="K15" s="2">
        <f t="shared" si="10"/>
        <v>42321287.478399657</v>
      </c>
      <c r="L15" s="2" t="s">
        <v>2289</v>
      </c>
      <c r="M15" s="2" t="s">
        <v>2072</v>
      </c>
      <c r="N15" s="2" t="s">
        <v>2227</v>
      </c>
      <c r="O15" s="2">
        <v>3428</v>
      </c>
      <c r="P15" s="2">
        <v>210.87493896484369</v>
      </c>
      <c r="Q15" s="2">
        <v>218.63417053222659</v>
      </c>
      <c r="R15" s="2">
        <f t="shared" si="0"/>
        <v>722879.29077148414</v>
      </c>
      <c r="S15" s="2">
        <f t="shared" si="1"/>
        <v>749477.93658447277</v>
      </c>
      <c r="T15" s="2">
        <f t="shared" si="2"/>
        <v>1472357.227355957</v>
      </c>
      <c r="U15" s="2">
        <f t="shared" si="3"/>
        <v>736.18</v>
      </c>
      <c r="V15" s="2">
        <f t="shared" si="4"/>
        <v>26598.64581298863</v>
      </c>
      <c r="W15" s="2">
        <f t="shared" si="5"/>
        <v>25862.46581298863</v>
      </c>
      <c r="X15" s="2">
        <f t="shared" si="6"/>
        <v>42347149.944212645</v>
      </c>
      <c r="Y15" s="2">
        <f t="shared" si="7"/>
        <v>144575.85999999999</v>
      </c>
      <c r="Z15" s="2">
        <f t="shared" si="8"/>
        <v>17.89</v>
      </c>
      <c r="AA15" s="2">
        <f t="shared" si="11"/>
        <v>42511150.109999999</v>
      </c>
      <c r="AB15" s="2">
        <f t="shared" si="9"/>
        <v>-164000.16578735411</v>
      </c>
    </row>
    <row r="16" spans="1:29">
      <c r="A16" s="2">
        <v>13</v>
      </c>
      <c r="B16" s="2" t="s">
        <v>120</v>
      </c>
      <c r="C16" s="2" t="s">
        <v>2273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1376</v>
      </c>
      <c r="J16" s="2" t="s">
        <v>1330</v>
      </c>
      <c r="K16" s="2">
        <f t="shared" si="10"/>
        <v>42347149.944212645</v>
      </c>
      <c r="L16" s="2" t="s">
        <v>2290</v>
      </c>
      <c r="M16" s="2" t="s">
        <v>2291</v>
      </c>
      <c r="N16" s="2" t="s">
        <v>2292</v>
      </c>
      <c r="O16" s="2">
        <v>528</v>
      </c>
      <c r="P16" s="2">
        <v>1681.699951171875</v>
      </c>
      <c r="Q16" s="2">
        <v>1689.199951171875</v>
      </c>
      <c r="R16" s="2">
        <f t="shared" si="0"/>
        <v>887937.57421875</v>
      </c>
      <c r="S16" s="2">
        <f t="shared" si="1"/>
        <v>891897.57421875</v>
      </c>
      <c r="T16" s="2">
        <f t="shared" si="2"/>
        <v>1779835.1484375</v>
      </c>
      <c r="U16" s="2">
        <f t="shared" si="3"/>
        <v>889.92</v>
      </c>
      <c r="V16" s="2">
        <f t="shared" si="4"/>
        <v>3960</v>
      </c>
      <c r="W16" s="2">
        <f t="shared" si="5"/>
        <v>3070.08</v>
      </c>
      <c r="X16" s="2">
        <f t="shared" si="6"/>
        <v>42350220.024212644</v>
      </c>
      <c r="Y16" s="2">
        <f t="shared" si="7"/>
        <v>177587.51</v>
      </c>
      <c r="Z16" s="2">
        <f t="shared" si="8"/>
        <v>1.73</v>
      </c>
      <c r="AA16" s="2">
        <f t="shared" si="11"/>
        <v>42511150.109999999</v>
      </c>
      <c r="AB16" s="2">
        <f t="shared" si="9"/>
        <v>-160930.0857873559</v>
      </c>
    </row>
    <row r="17" spans="1:28">
      <c r="A17" s="2">
        <v>14</v>
      </c>
      <c r="B17" s="2" t="s">
        <v>126</v>
      </c>
      <c r="C17" s="2" t="s">
        <v>2273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984</v>
      </c>
      <c r="J17" s="2" t="s">
        <v>1849</v>
      </c>
      <c r="K17" s="2">
        <f t="shared" si="10"/>
        <v>42350220.024212644</v>
      </c>
      <c r="L17" s="2" t="s">
        <v>1573</v>
      </c>
      <c r="M17" s="2" t="s">
        <v>2104</v>
      </c>
      <c r="N17" s="2" t="s">
        <v>1805</v>
      </c>
      <c r="O17" s="2">
        <v>125</v>
      </c>
      <c r="P17" s="2">
        <v>5734.505859375</v>
      </c>
      <c r="Q17" s="2">
        <v>5928.97216796875</v>
      </c>
      <c r="R17" s="2">
        <f t="shared" si="0"/>
        <v>716813.232421875</v>
      </c>
      <c r="S17" s="2">
        <f t="shared" si="1"/>
        <v>741121.52099609375</v>
      </c>
      <c r="T17" s="2">
        <f t="shared" si="2"/>
        <v>1457934.7534179688</v>
      </c>
      <c r="U17" s="2">
        <f t="shared" si="3"/>
        <v>728.97</v>
      </c>
      <c r="V17" s="2">
        <f t="shared" si="4"/>
        <v>24308.28857421875</v>
      </c>
      <c r="W17" s="2">
        <f t="shared" si="5"/>
        <v>23579.318574218749</v>
      </c>
      <c r="X17" s="2">
        <f t="shared" si="6"/>
        <v>42373799.342786863</v>
      </c>
      <c r="Y17" s="2">
        <f t="shared" si="7"/>
        <v>143362.65</v>
      </c>
      <c r="Z17" s="2">
        <f t="shared" si="8"/>
        <v>16.45</v>
      </c>
      <c r="AA17" s="2">
        <f t="shared" si="11"/>
        <v>42511150.109999999</v>
      </c>
      <c r="AB17" s="2">
        <f t="shared" si="9"/>
        <v>-137350.76721313596</v>
      </c>
    </row>
    <row r="18" spans="1:28">
      <c r="A18" s="2">
        <v>15</v>
      </c>
      <c r="B18" s="2" t="s">
        <v>133</v>
      </c>
      <c r="C18" s="2" t="s">
        <v>2273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42373799.342786863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42373799.342786863</v>
      </c>
      <c r="Y18" s="6" t="s">
        <v>1195</v>
      </c>
      <c r="Z18" s="6" t="s">
        <v>1195</v>
      </c>
      <c r="AA18" s="2">
        <f>AA17</f>
        <v>42511150.109999999</v>
      </c>
      <c r="AB18" s="2">
        <v>0</v>
      </c>
    </row>
    <row r="19" spans="1:28">
      <c r="A19" s="2">
        <v>16</v>
      </c>
      <c r="B19" s="2" t="s">
        <v>141</v>
      </c>
      <c r="C19" s="2" t="s">
        <v>2273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2093</v>
      </c>
      <c r="J19" s="2" t="s">
        <v>207</v>
      </c>
      <c r="K19" s="2">
        <f t="shared" si="10"/>
        <v>42373799.342786863</v>
      </c>
      <c r="L19" s="2" t="s">
        <v>1557</v>
      </c>
      <c r="M19" s="2" t="s">
        <v>1572</v>
      </c>
      <c r="N19" s="2" t="s">
        <v>1565</v>
      </c>
      <c r="O19" s="2">
        <v>200</v>
      </c>
      <c r="P19" s="2">
        <v>2792.13427734375</v>
      </c>
      <c r="Q19" s="2">
        <v>2841.106201171875</v>
      </c>
      <c r="R19" s="2">
        <f>O19*P19</f>
        <v>558426.85546875</v>
      </c>
      <c r="S19" s="2">
        <f>O19*Q19</f>
        <v>568221.240234375</v>
      </c>
      <c r="T19" s="2">
        <f>R19+S19</f>
        <v>1126648.095703125</v>
      </c>
      <c r="U19" s="2">
        <f>ROUND(T19*0.0005, 2)</f>
        <v>563.32000000000005</v>
      </c>
      <c r="V19" s="2">
        <f>S19-R19</f>
        <v>9794.384765625</v>
      </c>
      <c r="W19" s="2">
        <f>V19-U19</f>
        <v>9231.0647656250003</v>
      </c>
      <c r="X19" s="2">
        <f>K19+W19</f>
        <v>42383030.407552488</v>
      </c>
      <c r="Y19" s="2">
        <f>ROUND(0.2*R19, 2)</f>
        <v>111685.37</v>
      </c>
      <c r="Z19" s="2">
        <f>ROUND((W19/Y19)*100, 2)</f>
        <v>8.27</v>
      </c>
      <c r="AA19" s="2">
        <f>MAX(AA18, X19)</f>
        <v>42511150.109999999</v>
      </c>
      <c r="AB19" s="2">
        <f>X19-AA19</f>
        <v>-128119.70244751126</v>
      </c>
    </row>
    <row r="20" spans="1:28">
      <c r="A20" s="2">
        <v>17</v>
      </c>
      <c r="B20" s="2" t="s">
        <v>149</v>
      </c>
      <c r="C20" s="2" t="s">
        <v>2273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42383030.407552488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42383030.407552488</v>
      </c>
      <c r="Y20" s="6" t="s">
        <v>1195</v>
      </c>
      <c r="Z20" s="6" t="s">
        <v>1195</v>
      </c>
      <c r="AA20" s="2">
        <f>AA19</f>
        <v>42511150.109999999</v>
      </c>
      <c r="AB20" s="2">
        <v>0</v>
      </c>
    </row>
    <row r="21" spans="1:28">
      <c r="A21" s="2">
        <v>18</v>
      </c>
      <c r="B21" s="2" t="s">
        <v>154</v>
      </c>
      <c r="C21" s="2" t="s">
        <v>2273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42383030.407552488</v>
      </c>
      <c r="L21" s="2" t="s">
        <v>159</v>
      </c>
      <c r="M21" s="2" t="s">
        <v>81</v>
      </c>
      <c r="N21" s="2" t="s">
        <v>2293</v>
      </c>
      <c r="O21" s="2">
        <v>668</v>
      </c>
      <c r="P21" s="2">
        <v>1280</v>
      </c>
      <c r="Q21" s="2">
        <v>1470.2</v>
      </c>
      <c r="R21" s="2">
        <f>O21*P21</f>
        <v>855040</v>
      </c>
      <c r="S21" s="2">
        <f>O21*Q21</f>
        <v>982093.6</v>
      </c>
      <c r="T21" s="2">
        <f>R21+S21</f>
        <v>1837133.6</v>
      </c>
      <c r="U21" s="2">
        <f>ROUND(T21*0.0005, 2)</f>
        <v>918.57</v>
      </c>
      <c r="V21" s="2">
        <f>S21-R21</f>
        <v>127053.59999999998</v>
      </c>
      <c r="W21" s="2">
        <f>V21-U21</f>
        <v>126135.02999999997</v>
      </c>
      <c r="X21" s="2">
        <f>K21+W21</f>
        <v>42509165.437552489</v>
      </c>
      <c r="Y21" s="2">
        <f>ROUND(0.2*R21, 2)</f>
        <v>171008</v>
      </c>
      <c r="Z21" s="2">
        <f>ROUND((W21/Y21)*100, 2)</f>
        <v>73.760000000000005</v>
      </c>
      <c r="AA21" s="2">
        <f>MAX(AA20, X21)</f>
        <v>42511150.109999999</v>
      </c>
      <c r="AB21" s="2">
        <f>X21-AA21</f>
        <v>-1984.6724475100636</v>
      </c>
    </row>
    <row r="22" spans="1:28">
      <c r="A22" s="2">
        <v>19</v>
      </c>
      <c r="B22" s="2" t="s">
        <v>160</v>
      </c>
      <c r="C22" s="2" t="s">
        <v>2273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42509165.437552489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42509165.437552489</v>
      </c>
      <c r="Y22" s="6" t="s">
        <v>1195</v>
      </c>
      <c r="Z22" s="6" t="s">
        <v>1195</v>
      </c>
      <c r="AA22" s="2">
        <f>AA21</f>
        <v>42511150.109999999</v>
      </c>
      <c r="AB22" s="2">
        <v>0</v>
      </c>
    </row>
    <row r="23" spans="1:28">
      <c r="A23" s="2">
        <v>20</v>
      </c>
      <c r="B23" s="2" t="s">
        <v>168</v>
      </c>
      <c r="C23" s="2" t="s">
        <v>2273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42509165.437552489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42509165.437552489</v>
      </c>
      <c r="Y23" s="6" t="s">
        <v>1195</v>
      </c>
      <c r="Z23" s="6" t="s">
        <v>1195</v>
      </c>
      <c r="AA23" s="2">
        <f>AA22</f>
        <v>42511150.109999999</v>
      </c>
      <c r="AB23" s="2">
        <v>0</v>
      </c>
    </row>
    <row r="24" spans="1:28">
      <c r="A24" s="2">
        <v>21</v>
      </c>
      <c r="B24" s="2" t="s">
        <v>175</v>
      </c>
      <c r="C24" s="2" t="s">
        <v>2273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2106</v>
      </c>
      <c r="J24" s="2" t="s">
        <v>1387</v>
      </c>
      <c r="K24" s="2">
        <f t="shared" si="10"/>
        <v>42509165.437552489</v>
      </c>
      <c r="L24" s="2" t="s">
        <v>1629</v>
      </c>
      <c r="M24" s="2" t="s">
        <v>1557</v>
      </c>
      <c r="N24" s="2" t="s">
        <v>1374</v>
      </c>
      <c r="O24" s="2">
        <v>625</v>
      </c>
      <c r="P24" s="2">
        <v>1060.704833984375</v>
      </c>
      <c r="Q24" s="2">
        <v>1138.767456054688</v>
      </c>
      <c r="R24" s="2">
        <f>O24*P24</f>
        <v>662940.52124023437</v>
      </c>
      <c r="S24" s="2">
        <f>O24*Q24</f>
        <v>711729.66003417992</v>
      </c>
      <c r="T24" s="2">
        <f>R24+S24</f>
        <v>1374670.1812744143</v>
      </c>
      <c r="U24" s="2">
        <f>ROUND(T24*0.0005, 2)</f>
        <v>687.34</v>
      </c>
      <c r="V24" s="2">
        <f>S24-R24</f>
        <v>48789.138793945545</v>
      </c>
      <c r="W24" s="2">
        <f>V24-U24</f>
        <v>48101.798793945549</v>
      </c>
      <c r="X24" s="2">
        <f>K24+W24</f>
        <v>42557267.236346439</v>
      </c>
      <c r="Y24" s="2">
        <f>ROUND(0.2*R24, 2)</f>
        <v>132588.1</v>
      </c>
      <c r="Z24" s="2">
        <f>ROUND((W24/Y24)*100, 2)</f>
        <v>36.28</v>
      </c>
      <c r="AA24" s="2">
        <f>MAX(AA23, X24)</f>
        <v>42557267.236346439</v>
      </c>
      <c r="AB24" s="2">
        <f>X24-AA24</f>
        <v>0</v>
      </c>
    </row>
    <row r="25" spans="1:28">
      <c r="A25" s="2">
        <v>22</v>
      </c>
      <c r="B25" s="2" t="s">
        <v>184</v>
      </c>
      <c r="C25" s="2" t="s">
        <v>2273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1886</v>
      </c>
      <c r="J25" s="2" t="s">
        <v>2107</v>
      </c>
      <c r="K25" s="2">
        <f t="shared" si="10"/>
        <v>42557267.236346439</v>
      </c>
      <c r="L25" s="2" t="s">
        <v>1709</v>
      </c>
      <c r="M25" s="2" t="s">
        <v>1580</v>
      </c>
      <c r="N25" s="2" t="s">
        <v>1630</v>
      </c>
      <c r="O25" s="2">
        <v>125</v>
      </c>
      <c r="P25" s="2">
        <v>8591.2421875</v>
      </c>
      <c r="Q25" s="2">
        <v>8391.09375</v>
      </c>
      <c r="R25" s="2">
        <f>O25*P25</f>
        <v>1073905.2734375</v>
      </c>
      <c r="S25" s="2">
        <f>O25*Q25</f>
        <v>1048886.71875</v>
      </c>
      <c r="T25" s="2">
        <f>R25+S25</f>
        <v>2122791.9921875</v>
      </c>
      <c r="U25" s="2">
        <f>ROUND(T25*0.0005, 2)</f>
        <v>1061.4000000000001</v>
      </c>
      <c r="V25" s="2">
        <f>S25-R25</f>
        <v>-25018.5546875</v>
      </c>
      <c r="W25" s="2">
        <f>V25-U25</f>
        <v>-26079.954687500001</v>
      </c>
      <c r="X25" s="2">
        <f>K25+W25</f>
        <v>42531187.28165894</v>
      </c>
      <c r="Y25" s="2">
        <f>ROUND(0.2*R25, 2)</f>
        <v>214781.05</v>
      </c>
      <c r="Z25" s="2">
        <f>ROUND((W25/Y25)*100, 2)</f>
        <v>-12.14</v>
      </c>
      <c r="AA25" s="2">
        <f>MAX(AA24, X25)</f>
        <v>42557267.236346439</v>
      </c>
      <c r="AB25" s="2">
        <f>X25-AA25</f>
        <v>-26079.95468749851</v>
      </c>
    </row>
    <row r="26" spans="1:28">
      <c r="A26" s="2">
        <v>23</v>
      </c>
      <c r="B26" s="2" t="s">
        <v>190</v>
      </c>
      <c r="C26" s="2" t="s">
        <v>2273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1840</v>
      </c>
      <c r="J26" s="2" t="s">
        <v>618</v>
      </c>
      <c r="K26" s="2">
        <f t="shared" si="10"/>
        <v>42531187.28165894</v>
      </c>
      <c r="L26" s="2" t="s">
        <v>1467</v>
      </c>
      <c r="M26" s="2" t="s">
        <v>1591</v>
      </c>
      <c r="N26" s="2" t="s">
        <v>1639</v>
      </c>
      <c r="O26" s="2">
        <v>500</v>
      </c>
      <c r="P26" s="2">
        <v>1594.205200195312</v>
      </c>
      <c r="Q26" s="2">
        <v>1611.820434570312</v>
      </c>
      <c r="R26" s="2">
        <f>O26*P26</f>
        <v>797102.60009765602</v>
      </c>
      <c r="S26" s="2">
        <f>O26*Q26</f>
        <v>805910.21728515602</v>
      </c>
      <c r="T26" s="2">
        <f>R26+S26</f>
        <v>1603012.817382812</v>
      </c>
      <c r="U26" s="2">
        <f>ROUND(T26*0.0005, 2)</f>
        <v>801.51</v>
      </c>
      <c r="V26" s="2">
        <f>S26-R26</f>
        <v>8807.6171875</v>
      </c>
      <c r="W26" s="2">
        <f>V26-U26</f>
        <v>8006.1071874999998</v>
      </c>
      <c r="X26" s="2">
        <f>K26+W26</f>
        <v>42539193.388846442</v>
      </c>
      <c r="Y26" s="2">
        <f>ROUND(0.2*R26, 2)</f>
        <v>159420.51999999999</v>
      </c>
      <c r="Z26" s="2">
        <f>ROUND((W26/Y26)*100, 2)</f>
        <v>5.0199999999999996</v>
      </c>
      <c r="AA26" s="2">
        <f>MAX(AA25, X26)</f>
        <v>42557267.236346439</v>
      </c>
      <c r="AB26" s="2">
        <f>X26-AA26</f>
        <v>-18073.847499996424</v>
      </c>
    </row>
    <row r="27" spans="1:28">
      <c r="A27" s="2">
        <v>24</v>
      </c>
      <c r="B27" s="2" t="s">
        <v>195</v>
      </c>
      <c r="C27" s="2" t="s">
        <v>2273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42539193.388846442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42539193.388846442</v>
      </c>
      <c r="Y27" s="6" t="s">
        <v>1195</v>
      </c>
      <c r="Z27" s="6" t="s">
        <v>1195</v>
      </c>
      <c r="AA27" s="2">
        <f>AA26</f>
        <v>42557267.236346439</v>
      </c>
      <c r="AB27" s="2">
        <v>0</v>
      </c>
    </row>
    <row r="28" spans="1:28">
      <c r="A28" s="2">
        <v>25</v>
      </c>
      <c r="B28" s="2" t="s">
        <v>199</v>
      </c>
      <c r="C28" s="2" t="s">
        <v>2273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2088</v>
      </c>
      <c r="J28" s="2" t="s">
        <v>396</v>
      </c>
      <c r="K28" s="2">
        <f t="shared" si="10"/>
        <v>42539193.388846442</v>
      </c>
      <c r="L28" s="2" t="s">
        <v>1629</v>
      </c>
      <c r="M28" s="2" t="s">
        <v>1557</v>
      </c>
      <c r="N28" s="2" t="s">
        <v>1374</v>
      </c>
      <c r="O28" s="2">
        <v>125</v>
      </c>
      <c r="P28" s="2">
        <v>720.3536376953125</v>
      </c>
      <c r="Q28" s="2">
        <v>681.2701416015625</v>
      </c>
      <c r="R28" s="2">
        <f>O28*P28</f>
        <v>90044.204711914063</v>
      </c>
      <c r="S28" s="2">
        <f>O28*Q28</f>
        <v>85158.767700195313</v>
      </c>
      <c r="T28" s="2">
        <f>R28+S28</f>
        <v>175202.97241210937</v>
      </c>
      <c r="U28" s="2">
        <f>ROUND(T28*0.0005, 2)</f>
        <v>87.6</v>
      </c>
      <c r="V28" s="2">
        <f>S28-R28</f>
        <v>-4885.43701171875</v>
      </c>
      <c r="W28" s="2">
        <f>V28-U28</f>
        <v>-4973.0370117187504</v>
      </c>
      <c r="X28" s="2">
        <f>K28+W28</f>
        <v>42534220.351834722</v>
      </c>
      <c r="Y28" s="2">
        <f>ROUND(0.2*R28, 2)</f>
        <v>18008.84</v>
      </c>
      <c r="Z28" s="2">
        <f>ROUND((W28/Y28)*100, 2)</f>
        <v>-27.61</v>
      </c>
      <c r="AA28" s="2">
        <f>MAX(AA27, X28)</f>
        <v>42557267.236346439</v>
      </c>
      <c r="AB28" s="2">
        <f>X28-AA28</f>
        <v>-23046.884511716664</v>
      </c>
    </row>
    <row r="29" spans="1:28">
      <c r="A29" s="2">
        <v>26</v>
      </c>
      <c r="B29" s="2" t="s">
        <v>205</v>
      </c>
      <c r="C29" s="2" t="s">
        <v>2273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42534220.351834722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42534220.351834722</v>
      </c>
      <c r="Y29" s="6" t="s">
        <v>1195</v>
      </c>
      <c r="Z29" s="6" t="s">
        <v>1195</v>
      </c>
      <c r="AA29" s="2">
        <f>AA28</f>
        <v>42557267.236346439</v>
      </c>
      <c r="AB29" s="2">
        <v>0</v>
      </c>
    </row>
    <row r="30" spans="1:28">
      <c r="A30" s="2">
        <v>27</v>
      </c>
      <c r="B30" s="2" t="s">
        <v>209</v>
      </c>
      <c r="C30" s="2" t="s">
        <v>2273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42534220.351834722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42534220.351834722</v>
      </c>
      <c r="Y30" s="6" t="s">
        <v>1195</v>
      </c>
      <c r="Z30" s="6" t="s">
        <v>1195</v>
      </c>
      <c r="AA30" s="2">
        <f>AA29</f>
        <v>42557267.236346439</v>
      </c>
      <c r="AB30" s="2">
        <v>0</v>
      </c>
    </row>
    <row r="31" spans="1:28">
      <c r="A31" s="2">
        <v>28</v>
      </c>
      <c r="B31" s="2" t="s">
        <v>213</v>
      </c>
      <c r="C31" s="2" t="s">
        <v>2273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42534220.351834722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42534220.351834722</v>
      </c>
      <c r="Y31" s="6" t="s">
        <v>1195</v>
      </c>
      <c r="Z31" s="6" t="s">
        <v>1195</v>
      </c>
      <c r="AA31" s="2">
        <f>AA30</f>
        <v>42557267.236346439</v>
      </c>
      <c r="AB31" s="2">
        <v>0</v>
      </c>
    </row>
    <row r="32" spans="1:28">
      <c r="A32" s="2">
        <v>29</v>
      </c>
      <c r="B32" s="2" t="s">
        <v>218</v>
      </c>
      <c r="C32" s="2" t="s">
        <v>2273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42534220.351834722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42534220.351834722</v>
      </c>
      <c r="Y32" s="6" t="s">
        <v>1195</v>
      </c>
      <c r="Z32" s="6" t="s">
        <v>1195</v>
      </c>
      <c r="AA32" s="2">
        <f>AA31</f>
        <v>42557267.236346439</v>
      </c>
      <c r="AB32" s="2">
        <v>0</v>
      </c>
    </row>
    <row r="33" spans="1:28">
      <c r="A33" s="2">
        <v>30</v>
      </c>
      <c r="B33" s="2" t="s">
        <v>225</v>
      </c>
      <c r="C33" s="2" t="s">
        <v>2273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2108</v>
      </c>
      <c r="J33" s="2" t="s">
        <v>2109</v>
      </c>
      <c r="K33" s="2">
        <f t="shared" si="10"/>
        <v>42534220.351834722</v>
      </c>
      <c r="L33" s="2" t="s">
        <v>1565</v>
      </c>
      <c r="M33" s="2" t="s">
        <v>1540</v>
      </c>
      <c r="N33" s="2" t="s">
        <v>1651</v>
      </c>
      <c r="O33" s="2">
        <v>2438</v>
      </c>
      <c r="P33" s="2">
        <v>290.1260986328125</v>
      </c>
      <c r="Q33" s="2">
        <v>222.8783264160156</v>
      </c>
      <c r="R33" s="2">
        <f>O33*P33</f>
        <v>707327.42846679687</v>
      </c>
      <c r="S33" s="2">
        <f>O33*Q33</f>
        <v>543377.35980224598</v>
      </c>
      <c r="T33" s="2">
        <f>R33+S33</f>
        <v>1250704.788269043</v>
      </c>
      <c r="U33" s="2">
        <f>ROUND(T33*0.0005, 2)</f>
        <v>625.35</v>
      </c>
      <c r="V33" s="2">
        <f>S33-R33</f>
        <v>-163950.0686645509</v>
      </c>
      <c r="W33" s="2">
        <f>V33-U33</f>
        <v>-164575.4186645509</v>
      </c>
      <c r="X33" s="2">
        <f>K33+W33</f>
        <v>42369644.93317017</v>
      </c>
      <c r="Y33" s="2">
        <f>ROUND(0.2*R33, 2)</f>
        <v>141465.49</v>
      </c>
      <c r="Z33" s="2">
        <f>ROUND((W33/Y33)*100, 2)</f>
        <v>-116.34</v>
      </c>
      <c r="AA33" s="2">
        <f>MAX(AA32, X33)</f>
        <v>42557267.236346439</v>
      </c>
      <c r="AB33" s="2">
        <f>X33-AA33</f>
        <v>-187622.30317626894</v>
      </c>
    </row>
    <row r="34" spans="1:28">
      <c r="A34" s="2">
        <v>31</v>
      </c>
      <c r="B34" s="2" t="s">
        <v>230</v>
      </c>
      <c r="C34" s="2" t="s">
        <v>2273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42369644.93317017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42369644.93317017</v>
      </c>
      <c r="Y34" s="6" t="s">
        <v>1195</v>
      </c>
      <c r="Z34" s="6" t="s">
        <v>1195</v>
      </c>
      <c r="AA34" s="2">
        <f>AA33</f>
        <v>42557267.236346439</v>
      </c>
      <c r="AB34" s="2">
        <v>0</v>
      </c>
    </row>
    <row r="35" spans="1:28">
      <c r="A35" s="2">
        <v>32</v>
      </c>
      <c r="B35" s="2" t="s">
        <v>236</v>
      </c>
      <c r="C35" s="2" t="s">
        <v>2273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665</v>
      </c>
      <c r="J35" s="2" t="s">
        <v>2023</v>
      </c>
      <c r="K35" s="2">
        <f t="shared" si="10"/>
        <v>42369644.93317017</v>
      </c>
      <c r="L35" s="2" t="s">
        <v>1557</v>
      </c>
      <c r="M35" s="2" t="s">
        <v>1613</v>
      </c>
      <c r="N35" s="2" t="s">
        <v>1555</v>
      </c>
      <c r="O35" s="2">
        <v>950</v>
      </c>
      <c r="P35" s="2">
        <v>1259.7890625</v>
      </c>
      <c r="Q35" s="2">
        <v>1329.317138671875</v>
      </c>
      <c r="R35" s="2">
        <f>O35*P35</f>
        <v>1196799.609375</v>
      </c>
      <c r="S35" s="2">
        <f>O35*Q35</f>
        <v>1262851.2817382812</v>
      </c>
      <c r="T35" s="2">
        <f>R35+S35</f>
        <v>2459650.8911132812</v>
      </c>
      <c r="U35" s="2">
        <f>ROUND(T35*0.0005, 2)</f>
        <v>1229.83</v>
      </c>
      <c r="V35" s="2">
        <f>S35-R35</f>
        <v>66051.67236328125</v>
      </c>
      <c r="W35" s="2">
        <f>V35-U35</f>
        <v>64821.842363281248</v>
      </c>
      <c r="X35" s="2">
        <f>K35+W35</f>
        <v>42434466.775533453</v>
      </c>
      <c r="Y35" s="2">
        <f>ROUND(0.2*R35, 2)</f>
        <v>239359.92</v>
      </c>
      <c r="Z35" s="2">
        <f>ROUND((W35/Y35)*100, 2)</f>
        <v>27.08</v>
      </c>
      <c r="AA35" s="2">
        <f>MAX(AA34, X35)</f>
        <v>42557267.236346439</v>
      </c>
      <c r="AB35" s="2">
        <f>X35-AA35</f>
        <v>-122800.4608129859</v>
      </c>
    </row>
    <row r="36" spans="1:28">
      <c r="A36" s="2">
        <v>33</v>
      </c>
      <c r="B36" s="2" t="s">
        <v>240</v>
      </c>
      <c r="C36" s="2" t="s">
        <v>2273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42434466.775533453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42434466.775533453</v>
      </c>
      <c r="Y36" s="6" t="s">
        <v>1195</v>
      </c>
      <c r="Z36" s="6" t="s">
        <v>1195</v>
      </c>
      <c r="AA36" s="2">
        <f>AA35</f>
        <v>42557267.236346439</v>
      </c>
      <c r="AB36" s="2">
        <v>0</v>
      </c>
    </row>
    <row r="37" spans="1:28">
      <c r="A37" s="2">
        <v>34</v>
      </c>
      <c r="B37" s="2" t="s">
        <v>245</v>
      </c>
      <c r="C37" s="2" t="s">
        <v>2273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42434466.775533453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42434466.775533453</v>
      </c>
      <c r="Y37" s="6" t="s">
        <v>1195</v>
      </c>
      <c r="Z37" s="6" t="s">
        <v>1195</v>
      </c>
      <c r="AA37" s="2">
        <f>AA36</f>
        <v>42557267.236346439</v>
      </c>
      <c r="AB37" s="2">
        <v>0</v>
      </c>
    </row>
    <row r="38" spans="1:28">
      <c r="A38" s="2">
        <v>35</v>
      </c>
      <c r="B38" s="2" t="s">
        <v>248</v>
      </c>
      <c r="C38" s="2" t="s">
        <v>2273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42434466.775533453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42434466.775533453</v>
      </c>
      <c r="Y38" s="6" t="s">
        <v>1195</v>
      </c>
      <c r="Z38" s="6" t="s">
        <v>1195</v>
      </c>
      <c r="AA38" s="2">
        <f>AA37</f>
        <v>42557267.236346439</v>
      </c>
      <c r="AB38" s="2">
        <v>0</v>
      </c>
    </row>
    <row r="39" spans="1:28">
      <c r="A39" s="2">
        <v>36</v>
      </c>
      <c r="B39" s="2" t="s">
        <v>252</v>
      </c>
      <c r="C39" s="2" t="s">
        <v>2273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42434466.775533453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42434466.775533453</v>
      </c>
      <c r="Y39" s="6" t="s">
        <v>1195</v>
      </c>
      <c r="Z39" s="6" t="s">
        <v>1195</v>
      </c>
      <c r="AA39" s="2">
        <f>AA38</f>
        <v>42557267.236346439</v>
      </c>
      <c r="AB39" s="2">
        <v>0</v>
      </c>
    </row>
    <row r="40" spans="1:28">
      <c r="A40" s="2">
        <v>37</v>
      </c>
      <c r="B40" s="2" t="s">
        <v>256</v>
      </c>
      <c r="C40" s="2" t="s">
        <v>2273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2110</v>
      </c>
      <c r="J40" s="2" t="s">
        <v>152</v>
      </c>
      <c r="K40" s="2">
        <f t="shared" si="10"/>
        <v>42434466.775533453</v>
      </c>
      <c r="L40" s="2" t="s">
        <v>1557</v>
      </c>
      <c r="M40" s="2" t="s">
        <v>1558</v>
      </c>
      <c r="N40" s="2" t="s">
        <v>1559</v>
      </c>
      <c r="O40" s="2">
        <v>1800</v>
      </c>
      <c r="P40" s="2">
        <v>275.91717529296881</v>
      </c>
      <c r="Q40" s="2">
        <v>280.866943359375</v>
      </c>
      <c r="R40" s="2">
        <f>O40*P40</f>
        <v>496650.91552734387</v>
      </c>
      <c r="S40" s="2">
        <f>O40*Q40</f>
        <v>505560.498046875</v>
      </c>
      <c r="T40" s="2">
        <f>R40+S40</f>
        <v>1002211.4135742189</v>
      </c>
      <c r="U40" s="2">
        <f>ROUND(T40*0.0005, 2)</f>
        <v>501.11</v>
      </c>
      <c r="V40" s="2">
        <f>S40-R40</f>
        <v>8909.5825195311336</v>
      </c>
      <c r="W40" s="2">
        <f>V40-U40</f>
        <v>8408.472519531133</v>
      </c>
      <c r="X40" s="2">
        <f>K40+W40</f>
        <v>42442875.248052984</v>
      </c>
      <c r="Y40" s="2">
        <f>ROUND(0.2*R40, 2)</f>
        <v>99330.18</v>
      </c>
      <c r="Z40" s="2">
        <f>ROUND((W40/Y40)*100, 2)</f>
        <v>8.4700000000000006</v>
      </c>
      <c r="AA40" s="2">
        <f>MAX(AA39, X40)</f>
        <v>42557267.236346439</v>
      </c>
      <c r="AB40" s="2">
        <f>X40-AA40</f>
        <v>-114391.98829345405</v>
      </c>
    </row>
    <row r="41" spans="1:28">
      <c r="A41" s="2">
        <v>38</v>
      </c>
      <c r="B41" s="2" t="s">
        <v>259</v>
      </c>
      <c r="C41" s="2" t="s">
        <v>2273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1753</v>
      </c>
      <c r="J41" s="2" t="s">
        <v>2111</v>
      </c>
      <c r="K41" s="2">
        <f t="shared" si="10"/>
        <v>42442875.248052984</v>
      </c>
      <c r="L41" s="2" t="s">
        <v>1557</v>
      </c>
      <c r="M41" s="2" t="s">
        <v>1543</v>
      </c>
      <c r="N41" s="2" t="s">
        <v>1582</v>
      </c>
      <c r="O41" s="2">
        <v>200</v>
      </c>
      <c r="P41" s="2">
        <v>4623.0517578125</v>
      </c>
      <c r="Q41" s="2">
        <v>5041.3056640625</v>
      </c>
      <c r="R41" s="2">
        <f>O41*P41</f>
        <v>924610.3515625</v>
      </c>
      <c r="S41" s="2">
        <f>O41*Q41</f>
        <v>1008261.1328125</v>
      </c>
      <c r="T41" s="2">
        <f>R41+S41</f>
        <v>1932871.484375</v>
      </c>
      <c r="U41" s="2">
        <f>ROUND(T41*0.0005, 2)</f>
        <v>966.44</v>
      </c>
      <c r="V41" s="2">
        <f>S41-R41</f>
        <v>83650.78125</v>
      </c>
      <c r="W41" s="2">
        <f>V41-U41</f>
        <v>82684.341249999998</v>
      </c>
      <c r="X41" s="2">
        <f>K41+W41</f>
        <v>42525559.589302987</v>
      </c>
      <c r="Y41" s="2">
        <f>ROUND(0.2*R41, 2)</f>
        <v>184922.07</v>
      </c>
      <c r="Z41" s="2">
        <f>ROUND((W41/Y41)*100, 2)</f>
        <v>44.71</v>
      </c>
      <c r="AA41" s="2">
        <f>MAX(AA40, X41)</f>
        <v>42557267.236346439</v>
      </c>
      <c r="AB41" s="2">
        <f>X41-AA41</f>
        <v>-31707.647043451667</v>
      </c>
    </row>
    <row r="42" spans="1:28">
      <c r="A42" s="2">
        <v>39</v>
      </c>
      <c r="B42" s="2" t="s">
        <v>265</v>
      </c>
      <c r="C42" s="2" t="s">
        <v>2273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42525559.589302987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42525559.589302987</v>
      </c>
      <c r="Y42" s="6" t="s">
        <v>1195</v>
      </c>
      <c r="Z42" s="6" t="s">
        <v>1195</v>
      </c>
      <c r="AA42" s="2">
        <f t="shared" ref="AA42:AA47" si="13">AA41</f>
        <v>42557267.236346439</v>
      </c>
      <c r="AB42" s="2">
        <v>0</v>
      </c>
    </row>
    <row r="43" spans="1:28">
      <c r="A43" s="2">
        <v>40</v>
      </c>
      <c r="B43" s="2" t="s">
        <v>269</v>
      </c>
      <c r="C43" s="2" t="s">
        <v>2273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42525559.589302987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42525559.589302987</v>
      </c>
      <c r="Y43" s="6" t="s">
        <v>1195</v>
      </c>
      <c r="Z43" s="6" t="s">
        <v>1195</v>
      </c>
      <c r="AA43" s="2">
        <f t="shared" si="13"/>
        <v>42557267.236346439</v>
      </c>
      <c r="AB43" s="2">
        <v>0</v>
      </c>
    </row>
    <row r="44" spans="1:28">
      <c r="A44" s="2">
        <v>41</v>
      </c>
      <c r="B44" s="2" t="s">
        <v>272</v>
      </c>
      <c r="C44" s="2" t="s">
        <v>2273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42525559.589302987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42525559.589302987</v>
      </c>
      <c r="Y44" s="6" t="s">
        <v>1195</v>
      </c>
      <c r="Z44" s="6" t="s">
        <v>1195</v>
      </c>
      <c r="AA44" s="2">
        <f t="shared" si="13"/>
        <v>42557267.236346439</v>
      </c>
      <c r="AB44" s="2">
        <v>0</v>
      </c>
    </row>
    <row r="45" spans="1:28">
      <c r="A45" s="2">
        <v>42</v>
      </c>
      <c r="B45" s="2" t="s">
        <v>275</v>
      </c>
      <c r="C45" s="2" t="s">
        <v>2273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42525559.589302987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42525559.589302987</v>
      </c>
      <c r="Y45" s="6" t="s">
        <v>1195</v>
      </c>
      <c r="Z45" s="6" t="s">
        <v>1195</v>
      </c>
      <c r="AA45" s="2">
        <f t="shared" si="13"/>
        <v>42557267.236346439</v>
      </c>
      <c r="AB45" s="2">
        <v>0</v>
      </c>
    </row>
    <row r="46" spans="1:28">
      <c r="A46" s="2">
        <v>43</v>
      </c>
      <c r="B46" s="2" t="s">
        <v>280</v>
      </c>
      <c r="C46" s="2" t="s">
        <v>2273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42525559.589302987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42525559.589302987</v>
      </c>
      <c r="Y46" s="6" t="s">
        <v>1195</v>
      </c>
      <c r="Z46" s="6" t="s">
        <v>1195</v>
      </c>
      <c r="AA46" s="2">
        <f t="shared" si="13"/>
        <v>42557267.236346439</v>
      </c>
      <c r="AB46" s="2">
        <v>0</v>
      </c>
    </row>
    <row r="47" spans="1:28">
      <c r="A47" s="2">
        <v>44</v>
      </c>
      <c r="B47" s="2" t="s">
        <v>284</v>
      </c>
      <c r="C47" s="2" t="s">
        <v>2273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42525559.589302987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42525559.589302987</v>
      </c>
      <c r="Y47" s="6" t="s">
        <v>1195</v>
      </c>
      <c r="Z47" s="6" t="s">
        <v>1195</v>
      </c>
      <c r="AA47" s="2">
        <f t="shared" si="13"/>
        <v>42557267.236346439</v>
      </c>
      <c r="AB47" s="2">
        <v>0</v>
      </c>
    </row>
    <row r="48" spans="1:28">
      <c r="A48" s="2">
        <v>45</v>
      </c>
      <c r="B48" s="2" t="s">
        <v>291</v>
      </c>
      <c r="C48" s="2" t="s">
        <v>2273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1490</v>
      </c>
      <c r="J48" s="2" t="s">
        <v>2112</v>
      </c>
      <c r="K48" s="2">
        <f t="shared" si="10"/>
        <v>42525559.589302987</v>
      </c>
      <c r="L48" s="2" t="s">
        <v>1566</v>
      </c>
      <c r="M48" s="2" t="s">
        <v>1545</v>
      </c>
      <c r="N48" s="2" t="s">
        <v>2113</v>
      </c>
      <c r="O48" s="2">
        <v>650</v>
      </c>
      <c r="P48" s="2">
        <v>1359.866821289062</v>
      </c>
      <c r="Q48" s="2">
        <v>1345.967163085938</v>
      </c>
      <c r="R48" s="2">
        <f>O48*P48</f>
        <v>883913.43383789028</v>
      </c>
      <c r="S48" s="2">
        <f>O48*Q48</f>
        <v>874878.65600585972</v>
      </c>
      <c r="T48" s="2">
        <f>R48+S48</f>
        <v>1758792.08984375</v>
      </c>
      <c r="U48" s="2">
        <f>ROUND(T48*0.0005, 2)</f>
        <v>879.4</v>
      </c>
      <c r="V48" s="2">
        <f>S48-R48</f>
        <v>-9034.7778320305515</v>
      </c>
      <c r="W48" s="2">
        <f>V48-U48</f>
        <v>-9914.1778320305511</v>
      </c>
      <c r="X48" s="2">
        <f>K48+W48</f>
        <v>42515645.411470957</v>
      </c>
      <c r="Y48" s="2">
        <f>ROUND(0.2*R48, 2)</f>
        <v>176782.69</v>
      </c>
      <c r="Z48" s="2">
        <f>ROUND((W48/Y48)*100, 2)</f>
        <v>-5.61</v>
      </c>
      <c r="AA48" s="2">
        <f>MAX(AA47, X48)</f>
        <v>42557267.236346439</v>
      </c>
      <c r="AB48" s="2">
        <f>X48-AA48</f>
        <v>-41621.824875481427</v>
      </c>
    </row>
    <row r="49" spans="1:28">
      <c r="A49" s="2">
        <v>46</v>
      </c>
      <c r="B49" s="2" t="s">
        <v>295</v>
      </c>
      <c r="C49" s="2" t="s">
        <v>2273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2114</v>
      </c>
      <c r="J49" s="2" t="s">
        <v>2115</v>
      </c>
      <c r="K49" s="2">
        <f t="shared" si="10"/>
        <v>42515645.411470957</v>
      </c>
      <c r="L49" s="2" t="s">
        <v>1580</v>
      </c>
      <c r="M49" s="2" t="s">
        <v>1581</v>
      </c>
      <c r="N49" s="2" t="s">
        <v>1299</v>
      </c>
      <c r="O49" s="2">
        <v>2100</v>
      </c>
      <c r="P49" s="2">
        <v>389.44833374023437</v>
      </c>
      <c r="Q49" s="2">
        <v>404.96646118164062</v>
      </c>
      <c r="R49" s="2">
        <f>O49*P49</f>
        <v>817841.50085449219</v>
      </c>
      <c r="S49" s="2">
        <f>O49*Q49</f>
        <v>850429.56848144531</v>
      </c>
      <c r="T49" s="2">
        <f>R49+S49</f>
        <v>1668271.0693359375</v>
      </c>
      <c r="U49" s="2">
        <f>ROUND(T49*0.0005, 2)</f>
        <v>834.14</v>
      </c>
      <c r="V49" s="2">
        <f>S49-R49</f>
        <v>32588.067626953125</v>
      </c>
      <c r="W49" s="2">
        <f>V49-U49</f>
        <v>31753.927626953126</v>
      </c>
      <c r="X49" s="2">
        <f>K49+W49</f>
        <v>42547399.33909791</v>
      </c>
      <c r="Y49" s="2">
        <f>ROUND(0.2*R49, 2)</f>
        <v>163568.29999999999</v>
      </c>
      <c r="Z49" s="2">
        <f>ROUND((W49/Y49)*100, 2)</f>
        <v>19.41</v>
      </c>
      <c r="AA49" s="2">
        <f>MAX(AA48, X49)</f>
        <v>42557267.236346439</v>
      </c>
      <c r="AB49" s="2">
        <f>X49-AA49</f>
        <v>-9867.8972485288978</v>
      </c>
    </row>
    <row r="50" spans="1:28">
      <c r="A50" s="2">
        <v>47</v>
      </c>
      <c r="B50" s="2" t="s">
        <v>299</v>
      </c>
      <c r="C50" s="2" t="s">
        <v>2273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42547399.33909791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42547399.33909791</v>
      </c>
      <c r="Y50" s="6" t="s">
        <v>1195</v>
      </c>
      <c r="Z50" s="6" t="s">
        <v>1195</v>
      </c>
      <c r="AA50" s="2">
        <f t="shared" ref="AA50:AA61" si="15">AA49</f>
        <v>42557267.236346439</v>
      </c>
      <c r="AB50" s="2">
        <v>0</v>
      </c>
    </row>
    <row r="51" spans="1:28">
      <c r="A51" s="2">
        <v>48</v>
      </c>
      <c r="B51" s="2" t="s">
        <v>303</v>
      </c>
      <c r="C51" s="2" t="s">
        <v>2273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42547399.33909791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42547399.33909791</v>
      </c>
      <c r="Y51" s="6" t="s">
        <v>1195</v>
      </c>
      <c r="Z51" s="6" t="s">
        <v>1195</v>
      </c>
      <c r="AA51" s="2">
        <f t="shared" si="15"/>
        <v>42557267.236346439</v>
      </c>
      <c r="AB51" s="2">
        <v>0</v>
      </c>
    </row>
    <row r="52" spans="1:28">
      <c r="A52" s="2">
        <v>49</v>
      </c>
      <c r="B52" s="2" t="s">
        <v>307</v>
      </c>
      <c r="C52" s="2" t="s">
        <v>2273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42547399.33909791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42547399.33909791</v>
      </c>
      <c r="Y52" s="6" t="s">
        <v>1195</v>
      </c>
      <c r="Z52" s="6" t="s">
        <v>1195</v>
      </c>
      <c r="AA52" s="2">
        <f t="shared" si="15"/>
        <v>42557267.236346439</v>
      </c>
      <c r="AB52" s="2">
        <v>0</v>
      </c>
    </row>
    <row r="53" spans="1:28">
      <c r="A53" s="2">
        <v>50</v>
      </c>
      <c r="B53" s="2" t="s">
        <v>311</v>
      </c>
      <c r="C53" s="2" t="s">
        <v>2273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42547399.33909791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42547399.33909791</v>
      </c>
      <c r="Y53" s="6" t="s">
        <v>1195</v>
      </c>
      <c r="Z53" s="6" t="s">
        <v>1195</v>
      </c>
      <c r="AA53" s="2">
        <f t="shared" si="15"/>
        <v>42557267.236346439</v>
      </c>
      <c r="AB53" s="2">
        <v>0</v>
      </c>
    </row>
    <row r="54" spans="1:28">
      <c r="A54" s="2">
        <v>51</v>
      </c>
      <c r="B54" s="2" t="s">
        <v>315</v>
      </c>
      <c r="C54" s="2" t="s">
        <v>2273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42547399.33909791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42547399.33909791</v>
      </c>
      <c r="Y54" s="6" t="s">
        <v>1195</v>
      </c>
      <c r="Z54" s="6" t="s">
        <v>1195</v>
      </c>
      <c r="AA54" s="2">
        <f t="shared" si="15"/>
        <v>42557267.236346439</v>
      </c>
      <c r="AB54" s="2">
        <v>0</v>
      </c>
    </row>
    <row r="55" spans="1:28">
      <c r="A55" s="2">
        <v>52</v>
      </c>
      <c r="B55" s="2" t="s">
        <v>318</v>
      </c>
      <c r="C55" s="2" t="s">
        <v>2273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42547399.33909791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42547399.33909791</v>
      </c>
      <c r="Y55" s="6" t="s">
        <v>1195</v>
      </c>
      <c r="Z55" s="6" t="s">
        <v>1195</v>
      </c>
      <c r="AA55" s="2">
        <f t="shared" si="15"/>
        <v>42557267.236346439</v>
      </c>
      <c r="AB55" s="2">
        <v>0</v>
      </c>
    </row>
    <row r="56" spans="1:28">
      <c r="A56" s="2">
        <v>53</v>
      </c>
      <c r="B56" s="2" t="s">
        <v>322</v>
      </c>
      <c r="C56" s="2" t="s">
        <v>2273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42547399.33909791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42547399.33909791</v>
      </c>
      <c r="Y56" s="6" t="s">
        <v>1195</v>
      </c>
      <c r="Z56" s="6" t="s">
        <v>1195</v>
      </c>
      <c r="AA56" s="2">
        <f t="shared" si="15"/>
        <v>42557267.236346439</v>
      </c>
      <c r="AB56" s="2">
        <v>0</v>
      </c>
    </row>
    <row r="57" spans="1:28">
      <c r="A57" s="2">
        <v>54</v>
      </c>
      <c r="B57" s="2" t="s">
        <v>324</v>
      </c>
      <c r="C57" s="2" t="s">
        <v>2273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42547399.33909791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42547399.33909791</v>
      </c>
      <c r="Y57" s="6" t="s">
        <v>1195</v>
      </c>
      <c r="Z57" s="6" t="s">
        <v>1195</v>
      </c>
      <c r="AA57" s="2">
        <f t="shared" si="15"/>
        <v>42557267.236346439</v>
      </c>
      <c r="AB57" s="2">
        <v>0</v>
      </c>
    </row>
    <row r="58" spans="1:28">
      <c r="A58" s="2">
        <v>55</v>
      </c>
      <c r="B58" s="2" t="s">
        <v>328</v>
      </c>
      <c r="C58" s="2" t="s">
        <v>2273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42547399.33909791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42547399.33909791</v>
      </c>
      <c r="Y58" s="6" t="s">
        <v>1195</v>
      </c>
      <c r="Z58" s="6" t="s">
        <v>1195</v>
      </c>
      <c r="AA58" s="2">
        <f t="shared" si="15"/>
        <v>42557267.236346439</v>
      </c>
      <c r="AB58" s="2">
        <v>0</v>
      </c>
    </row>
    <row r="59" spans="1:28">
      <c r="A59" s="2">
        <v>56</v>
      </c>
      <c r="B59" s="2" t="s">
        <v>332</v>
      </c>
      <c r="C59" s="2" t="s">
        <v>2273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42547399.33909791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42547399.33909791</v>
      </c>
      <c r="Y59" s="6" t="s">
        <v>1195</v>
      </c>
      <c r="Z59" s="6" t="s">
        <v>1195</v>
      </c>
      <c r="AA59" s="2">
        <f t="shared" si="15"/>
        <v>42557267.236346439</v>
      </c>
      <c r="AB59" s="2">
        <v>0</v>
      </c>
    </row>
    <row r="60" spans="1:28">
      <c r="A60" s="2">
        <v>57</v>
      </c>
      <c r="B60" s="2" t="s">
        <v>337</v>
      </c>
      <c r="C60" s="2" t="s">
        <v>2273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42547399.33909791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42547399.33909791</v>
      </c>
      <c r="Y60" s="6" t="s">
        <v>1195</v>
      </c>
      <c r="Z60" s="6" t="s">
        <v>1195</v>
      </c>
      <c r="AA60" s="2">
        <f t="shared" si="15"/>
        <v>42557267.236346439</v>
      </c>
      <c r="AB60" s="2">
        <v>0</v>
      </c>
    </row>
    <row r="61" spans="1:28">
      <c r="A61" s="2">
        <v>58</v>
      </c>
      <c r="B61" s="2" t="s">
        <v>341</v>
      </c>
      <c r="C61" s="2" t="s">
        <v>2273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42547399.33909791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42547399.33909791</v>
      </c>
      <c r="Y61" s="6" t="s">
        <v>1195</v>
      </c>
      <c r="Z61" s="6" t="s">
        <v>1195</v>
      </c>
      <c r="AA61" s="2">
        <f t="shared" si="15"/>
        <v>42557267.236346439</v>
      </c>
      <c r="AB61" s="2">
        <v>0</v>
      </c>
    </row>
    <row r="62" spans="1:28">
      <c r="A62" s="2">
        <v>59</v>
      </c>
      <c r="B62" s="2" t="s">
        <v>347</v>
      </c>
      <c r="C62" s="2" t="s">
        <v>2273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250</v>
      </c>
      <c r="J62" s="2" t="s">
        <v>2116</v>
      </c>
      <c r="K62" s="2">
        <f t="shared" si="10"/>
        <v>42547399.33909791</v>
      </c>
      <c r="L62" s="2" t="s">
        <v>1467</v>
      </c>
      <c r="M62" s="2" t="s">
        <v>1565</v>
      </c>
      <c r="N62" s="2" t="s">
        <v>1543</v>
      </c>
      <c r="O62" s="2">
        <v>125</v>
      </c>
      <c r="P62" s="2">
        <v>1153.8681640625</v>
      </c>
      <c r="Q62" s="2">
        <v>1227.44091796875</v>
      </c>
      <c r="R62" s="2">
        <f>O62*P62</f>
        <v>144233.5205078125</v>
      </c>
      <c r="S62" s="2">
        <f>O62*Q62</f>
        <v>153430.11474609375</v>
      </c>
      <c r="T62" s="2">
        <f>R62+S62</f>
        <v>297663.63525390625</v>
      </c>
      <c r="U62" s="2">
        <f>ROUND(T62*0.0005, 2)</f>
        <v>148.83000000000001</v>
      </c>
      <c r="V62" s="2">
        <f>S62-R62</f>
        <v>9196.59423828125</v>
      </c>
      <c r="W62" s="2">
        <f>V62-U62</f>
        <v>9047.7642382812501</v>
      </c>
      <c r="X62" s="2">
        <f>K62+W62</f>
        <v>42556447.103336193</v>
      </c>
      <c r="Y62" s="2">
        <f>ROUND(0.2*R62, 2)</f>
        <v>28846.7</v>
      </c>
      <c r="Z62" s="2">
        <f>ROUND((W62/Y62)*100, 2)</f>
        <v>31.36</v>
      </c>
      <c r="AA62" s="2">
        <f>MAX(AA61, X62)</f>
        <v>42557267.236346439</v>
      </c>
      <c r="AB62" s="2">
        <f>X62-AA62</f>
        <v>-820.13301024585962</v>
      </c>
    </row>
    <row r="63" spans="1:28">
      <c r="A63" s="2">
        <v>60</v>
      </c>
      <c r="B63" s="2" t="s">
        <v>351</v>
      </c>
      <c r="C63" s="2" t="s">
        <v>2273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276</v>
      </c>
      <c r="J63" s="2" t="s">
        <v>261</v>
      </c>
      <c r="K63" s="2">
        <f t="shared" si="10"/>
        <v>42556447.103336193</v>
      </c>
      <c r="L63" s="2" t="s">
        <v>1591</v>
      </c>
      <c r="M63" s="2" t="s">
        <v>1555</v>
      </c>
      <c r="N63" s="2" t="s">
        <v>2113</v>
      </c>
      <c r="O63" s="2">
        <v>175</v>
      </c>
      <c r="P63" s="2">
        <v>4488.81494140625</v>
      </c>
      <c r="Q63" s="2">
        <v>4618.81982421875</v>
      </c>
      <c r="R63" s="2">
        <f>O63*P63</f>
        <v>785542.61474609375</v>
      </c>
      <c r="S63" s="2">
        <f>O63*Q63</f>
        <v>808293.46923828125</v>
      </c>
      <c r="T63" s="2">
        <f>R63+S63</f>
        <v>1593836.083984375</v>
      </c>
      <c r="U63" s="2">
        <f>ROUND(T63*0.0005, 2)</f>
        <v>796.92</v>
      </c>
      <c r="V63" s="2">
        <f>S63-R63</f>
        <v>22750.8544921875</v>
      </c>
      <c r="W63" s="2">
        <f>V63-U63</f>
        <v>21953.934492187502</v>
      </c>
      <c r="X63" s="2">
        <f>K63+W63</f>
        <v>42578401.037828378</v>
      </c>
      <c r="Y63" s="2">
        <f>ROUND(0.2*R63, 2)</f>
        <v>157108.51999999999</v>
      </c>
      <c r="Z63" s="2">
        <f>ROUND((W63/Y63)*100, 2)</f>
        <v>13.97</v>
      </c>
      <c r="AA63" s="2">
        <f>MAX(AA62, X63)</f>
        <v>42578401.037828378</v>
      </c>
      <c r="AB63" s="2">
        <f>X63-AA63</f>
        <v>0</v>
      </c>
    </row>
    <row r="64" spans="1:28">
      <c r="A64" s="2">
        <v>61</v>
      </c>
      <c r="B64" s="2" t="s">
        <v>355</v>
      </c>
      <c r="C64" s="2" t="s">
        <v>2273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2294</v>
      </c>
      <c r="J64" s="2" t="s">
        <v>2295</v>
      </c>
      <c r="K64" s="2">
        <f t="shared" si="10"/>
        <v>42578401.037828378</v>
      </c>
      <c r="L64" s="2" t="s">
        <v>2296</v>
      </c>
      <c r="M64" s="2" t="s">
        <v>2297</v>
      </c>
      <c r="N64" s="2" t="s">
        <v>2298</v>
      </c>
      <c r="O64" s="2">
        <v>3399</v>
      </c>
      <c r="P64" s="2">
        <v>55.349998474121087</v>
      </c>
      <c r="Q64" s="2">
        <v>62.049999237060547</v>
      </c>
      <c r="R64" s="2">
        <f>O64*P64</f>
        <v>188134.64481353757</v>
      </c>
      <c r="S64" s="2">
        <f>O64*Q64</f>
        <v>210907.9474067688</v>
      </c>
      <c r="T64" s="2">
        <f>R64+S64</f>
        <v>399042.5922203064</v>
      </c>
      <c r="U64" s="2">
        <f>ROUND(T64*0.0005, 2)</f>
        <v>199.52</v>
      </c>
      <c r="V64" s="2">
        <f>S64-R64</f>
        <v>22773.30259323123</v>
      </c>
      <c r="W64" s="2">
        <f>V64-U64</f>
        <v>22573.78259323123</v>
      </c>
      <c r="X64" s="2">
        <f>K64+W64</f>
        <v>42600974.820421606</v>
      </c>
      <c r="Y64" s="2">
        <f>ROUND(0.2*R64, 2)</f>
        <v>37626.93</v>
      </c>
      <c r="Z64" s="2">
        <f>ROUND((W64/Y64)*100, 2)</f>
        <v>59.99</v>
      </c>
      <c r="AA64" s="2">
        <f>MAX(AA63, X64)</f>
        <v>42600974.820421606</v>
      </c>
      <c r="AB64" s="2">
        <f>X64-AA64</f>
        <v>0</v>
      </c>
    </row>
    <row r="65" spans="1:28">
      <c r="A65" s="2">
        <v>62</v>
      </c>
      <c r="B65" s="2" t="s">
        <v>360</v>
      </c>
      <c r="C65" s="2" t="s">
        <v>2273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42600974.820421606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42600974.820421606</v>
      </c>
      <c r="Y65" s="6" t="s">
        <v>1195</v>
      </c>
      <c r="Z65" s="6" t="s">
        <v>1195</v>
      </c>
      <c r="AA65" s="2">
        <f>AA64</f>
        <v>42600974.820421606</v>
      </c>
      <c r="AB65" s="2">
        <v>0</v>
      </c>
    </row>
    <row r="66" spans="1:28">
      <c r="A66" s="2">
        <v>63</v>
      </c>
      <c r="B66" s="2" t="s">
        <v>364</v>
      </c>
      <c r="C66" s="2" t="s">
        <v>2273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1330</v>
      </c>
      <c r="J66" s="2" t="s">
        <v>1504</v>
      </c>
      <c r="K66" s="2">
        <f t="shared" si="10"/>
        <v>42600974.820421606</v>
      </c>
      <c r="L66" s="2" t="s">
        <v>174</v>
      </c>
      <c r="M66" s="2" t="s">
        <v>402</v>
      </c>
      <c r="N66" s="2" t="s">
        <v>264</v>
      </c>
      <c r="O66" s="2">
        <v>100</v>
      </c>
      <c r="P66" s="2">
        <v>6573.9365234375</v>
      </c>
      <c r="Q66" s="2">
        <v>6537.86572265625</v>
      </c>
      <c r="R66" s="2">
        <f>O66*P66</f>
        <v>657393.65234375</v>
      </c>
      <c r="S66" s="2">
        <f>O66*Q66</f>
        <v>653786.572265625</v>
      </c>
      <c r="T66" s="2">
        <f>R66+S66</f>
        <v>1311180.224609375</v>
      </c>
      <c r="U66" s="2">
        <f>ROUND(T66*0.0005, 2)</f>
        <v>655.59</v>
      </c>
      <c r="V66" s="2">
        <f>S66-R66</f>
        <v>-3607.080078125</v>
      </c>
      <c r="W66" s="2">
        <f>V66-U66</f>
        <v>-4262.6700781250001</v>
      </c>
      <c r="X66" s="2">
        <f>K66+W66</f>
        <v>42596712.150343478</v>
      </c>
      <c r="Y66" s="2">
        <f>ROUND(0.2*R66, 2)</f>
        <v>131478.73000000001</v>
      </c>
      <c r="Z66" s="2">
        <f>ROUND((W66/Y66)*100, 2)</f>
        <v>-3.24</v>
      </c>
      <c r="AA66" s="2">
        <f>MAX(AA65, X66)</f>
        <v>42600974.820421606</v>
      </c>
      <c r="AB66" s="2">
        <f>X66-AA66</f>
        <v>-4262.6700781285763</v>
      </c>
    </row>
    <row r="67" spans="1:28">
      <c r="A67" s="2">
        <v>64</v>
      </c>
      <c r="B67" s="2" t="s">
        <v>369</v>
      </c>
      <c r="C67" s="2" t="s">
        <v>2273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42596712.150343478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42596712.150343478</v>
      </c>
      <c r="Y67" s="6" t="s">
        <v>1195</v>
      </c>
      <c r="Z67" s="6" t="s">
        <v>1195</v>
      </c>
      <c r="AA67" s="2">
        <f t="shared" ref="AA67:AA73" si="17">AA66</f>
        <v>42600974.820421606</v>
      </c>
      <c r="AB67" s="2">
        <v>0</v>
      </c>
    </row>
    <row r="68" spans="1:28">
      <c r="A68" s="2">
        <v>65</v>
      </c>
      <c r="B68" s="2" t="s">
        <v>372</v>
      </c>
      <c r="C68" s="2" t="s">
        <v>2273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42596712.150343478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42596712.150343478</v>
      </c>
      <c r="Y68" s="6" t="s">
        <v>1195</v>
      </c>
      <c r="Z68" s="6" t="s">
        <v>1195</v>
      </c>
      <c r="AA68" s="2">
        <f t="shared" si="17"/>
        <v>42600974.820421606</v>
      </c>
      <c r="AB68" s="2">
        <v>0</v>
      </c>
    </row>
    <row r="69" spans="1:28">
      <c r="A69" s="2">
        <v>66</v>
      </c>
      <c r="B69" s="2" t="s">
        <v>376</v>
      </c>
      <c r="C69" s="2" t="s">
        <v>2273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42596712.150343478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42596712.150343478</v>
      </c>
      <c r="Y69" s="6" t="s">
        <v>1195</v>
      </c>
      <c r="Z69" s="6" t="s">
        <v>1195</v>
      </c>
      <c r="AA69" s="2">
        <f t="shared" si="17"/>
        <v>42600974.820421606</v>
      </c>
      <c r="AB69" s="2">
        <v>0</v>
      </c>
    </row>
    <row r="70" spans="1:28">
      <c r="A70" s="2">
        <v>67</v>
      </c>
      <c r="B70" s="2" t="s">
        <v>381</v>
      </c>
      <c r="C70" s="2" t="s">
        <v>2273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42596712.150343478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42596712.150343478</v>
      </c>
      <c r="Y70" s="6" t="s">
        <v>1195</v>
      </c>
      <c r="Z70" s="6" t="s">
        <v>1195</v>
      </c>
      <c r="AA70" s="2">
        <f t="shared" si="17"/>
        <v>42600974.820421606</v>
      </c>
      <c r="AB70" s="2">
        <v>0</v>
      </c>
    </row>
    <row r="71" spans="1:28">
      <c r="A71" s="2">
        <v>68</v>
      </c>
      <c r="B71" s="2" t="s">
        <v>385</v>
      </c>
      <c r="C71" s="2" t="s">
        <v>2273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42596712.150343478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42596712.150343478</v>
      </c>
      <c r="Y71" s="6" t="s">
        <v>1195</v>
      </c>
      <c r="Z71" s="6" t="s">
        <v>1195</v>
      </c>
      <c r="AA71" s="2">
        <f t="shared" si="17"/>
        <v>42600974.820421606</v>
      </c>
      <c r="AB71" s="2">
        <v>0</v>
      </c>
    </row>
    <row r="72" spans="1:28">
      <c r="A72" s="2">
        <v>69</v>
      </c>
      <c r="B72" s="2" t="s">
        <v>390</v>
      </c>
      <c r="C72" s="2" t="s">
        <v>2273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42596712.150343478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42596712.150343478</v>
      </c>
      <c r="Y72" s="6" t="s">
        <v>1195</v>
      </c>
      <c r="Z72" s="6" t="s">
        <v>1195</v>
      </c>
      <c r="AA72" s="2">
        <f t="shared" si="17"/>
        <v>42600974.820421606</v>
      </c>
      <c r="AB72" s="2">
        <v>0</v>
      </c>
    </row>
    <row r="73" spans="1:28">
      <c r="A73" s="2">
        <v>70</v>
      </c>
      <c r="B73" s="2" t="s">
        <v>393</v>
      </c>
      <c r="C73" s="2" t="s">
        <v>2273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42596712.150343478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42596712.150343478</v>
      </c>
      <c r="Y73" s="6" t="s">
        <v>1195</v>
      </c>
      <c r="Z73" s="6" t="s">
        <v>1195</v>
      </c>
      <c r="AA73" s="2">
        <f t="shared" si="17"/>
        <v>42600974.820421606</v>
      </c>
      <c r="AB73" s="2">
        <v>0</v>
      </c>
    </row>
    <row r="74" spans="1:28">
      <c r="A74" s="2">
        <v>71</v>
      </c>
      <c r="B74" s="2" t="s">
        <v>397</v>
      </c>
      <c r="C74" s="2" t="s">
        <v>2273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896</v>
      </c>
      <c r="J74" s="2" t="s">
        <v>2125</v>
      </c>
      <c r="K74" s="2">
        <f t="shared" si="18"/>
        <v>42596712.150343478</v>
      </c>
      <c r="L74" s="2" t="s">
        <v>1545</v>
      </c>
      <c r="M74" s="2" t="s">
        <v>1573</v>
      </c>
      <c r="N74" s="2" t="s">
        <v>1539</v>
      </c>
      <c r="O74" s="2">
        <v>250</v>
      </c>
      <c r="P74" s="2">
        <v>2327.754150390625</v>
      </c>
      <c r="Q74" s="2">
        <v>2405.62060546875</v>
      </c>
      <c r="R74" s="2">
        <f>O74*P74</f>
        <v>581938.53759765625</v>
      </c>
      <c r="S74" s="2">
        <f>O74*Q74</f>
        <v>601405.1513671875</v>
      </c>
      <c r="T74" s="2">
        <f>R74+S74</f>
        <v>1183343.6889648438</v>
      </c>
      <c r="U74" s="2">
        <f>ROUND(T74*0.0005, 2)</f>
        <v>591.66999999999996</v>
      </c>
      <c r="V74" s="2">
        <f>S74-R74</f>
        <v>19466.61376953125</v>
      </c>
      <c r="W74" s="2">
        <f>V74-U74</f>
        <v>18874.943769531252</v>
      </c>
      <c r="X74" s="2">
        <f>K74+W74</f>
        <v>42615587.094113007</v>
      </c>
      <c r="Y74" s="2">
        <f>ROUND(0.2*R74, 2)</f>
        <v>116387.71</v>
      </c>
      <c r="Z74" s="2">
        <f>ROUND((W74/Y74)*100, 2)</f>
        <v>16.22</v>
      </c>
      <c r="AA74" s="2">
        <f>MAX(AA73, X74)</f>
        <v>42615587.094113007</v>
      </c>
      <c r="AB74" s="2">
        <f>X74-AA74</f>
        <v>0</v>
      </c>
    </row>
    <row r="75" spans="1:28">
      <c r="A75" s="2">
        <v>72</v>
      </c>
      <c r="B75" s="2" t="s">
        <v>403</v>
      </c>
      <c r="C75" s="2" t="s">
        <v>2273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42615587.094113007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42615587.094113007</v>
      </c>
      <c r="Y75" s="6" t="s">
        <v>1195</v>
      </c>
      <c r="Z75" s="6" t="s">
        <v>1195</v>
      </c>
      <c r="AA75" s="2">
        <f>AA74</f>
        <v>42615587.094113007</v>
      </c>
      <c r="AB75" s="2">
        <v>0</v>
      </c>
    </row>
    <row r="76" spans="1:28">
      <c r="A76" s="2">
        <v>73</v>
      </c>
      <c r="B76" s="2" t="s">
        <v>406</v>
      </c>
      <c r="C76" s="2" t="s">
        <v>2273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42615587.094113007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42615587.094113007</v>
      </c>
      <c r="Y76" s="6" t="s">
        <v>1195</v>
      </c>
      <c r="Z76" s="6" t="s">
        <v>1195</v>
      </c>
      <c r="AA76" s="2">
        <f>AA75</f>
        <v>42615587.094113007</v>
      </c>
      <c r="AB76" s="2">
        <v>0</v>
      </c>
    </row>
    <row r="77" spans="1:28">
      <c r="A77" s="2">
        <v>74</v>
      </c>
      <c r="B77" s="2" t="s">
        <v>410</v>
      </c>
      <c r="C77" s="2" t="s">
        <v>2273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42615587.094113007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42615587.094113007</v>
      </c>
      <c r="Y77" s="6" t="s">
        <v>1195</v>
      </c>
      <c r="Z77" s="6" t="s">
        <v>1195</v>
      </c>
      <c r="AA77" s="2">
        <f>AA76</f>
        <v>42615587.094113007</v>
      </c>
      <c r="AB77" s="2">
        <v>0</v>
      </c>
    </row>
    <row r="78" spans="1:28">
      <c r="A78" s="2">
        <v>75</v>
      </c>
      <c r="B78" s="2" t="s">
        <v>414</v>
      </c>
      <c r="C78" s="2" t="s">
        <v>2273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2126</v>
      </c>
      <c r="J78" s="2" t="s">
        <v>2127</v>
      </c>
      <c r="K78" s="2">
        <f t="shared" si="18"/>
        <v>42615587.094113007</v>
      </c>
      <c r="L78" s="2" t="s">
        <v>1580</v>
      </c>
      <c r="M78" s="2" t="s">
        <v>1557</v>
      </c>
      <c r="N78" s="2" t="s">
        <v>1467</v>
      </c>
      <c r="O78" s="2">
        <v>350</v>
      </c>
      <c r="P78" s="2">
        <v>1338.384765625</v>
      </c>
      <c r="Q78" s="2">
        <v>1230.786254882812</v>
      </c>
      <c r="R78" s="2">
        <f>O78*P78</f>
        <v>468434.66796875</v>
      </c>
      <c r="S78" s="2">
        <f>O78*Q78</f>
        <v>430775.1892089842</v>
      </c>
      <c r="T78" s="2">
        <f>R78+S78</f>
        <v>899209.85717773414</v>
      </c>
      <c r="U78" s="2">
        <f>ROUND(T78*0.0005, 2)</f>
        <v>449.6</v>
      </c>
      <c r="V78" s="2">
        <f>S78-R78</f>
        <v>-37659.4787597658</v>
      </c>
      <c r="W78" s="2">
        <f>V78-U78</f>
        <v>-38109.078759765798</v>
      </c>
      <c r="X78" s="2">
        <f>K78+W78</f>
        <v>42577478.01535324</v>
      </c>
      <c r="Y78" s="2">
        <f>ROUND(0.2*R78, 2)</f>
        <v>93686.93</v>
      </c>
      <c r="Z78" s="2">
        <f>ROUND((W78/Y78)*100, 2)</f>
        <v>-40.68</v>
      </c>
      <c r="AA78" s="2">
        <f>MAX(AA77, X78)</f>
        <v>42615587.094113007</v>
      </c>
      <c r="AB78" s="2">
        <f>X78-AA78</f>
        <v>-38109.078759767115</v>
      </c>
    </row>
    <row r="79" spans="1:28">
      <c r="A79" s="2">
        <v>76</v>
      </c>
      <c r="B79" s="2" t="s">
        <v>419</v>
      </c>
      <c r="C79" s="2" t="s">
        <v>2273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42577478.01535324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42577478.01535324</v>
      </c>
      <c r="Y79" s="6" t="s">
        <v>1195</v>
      </c>
      <c r="Z79" s="6" t="s">
        <v>1195</v>
      </c>
      <c r="AA79" s="2">
        <f>AA78</f>
        <v>42615587.094113007</v>
      </c>
      <c r="AB79" s="2">
        <v>0</v>
      </c>
    </row>
    <row r="80" spans="1:28">
      <c r="A80" s="2">
        <v>77</v>
      </c>
      <c r="B80" s="2" t="s">
        <v>423</v>
      </c>
      <c r="C80" s="2" t="s">
        <v>2273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2128</v>
      </c>
      <c r="J80" s="2" t="s">
        <v>2129</v>
      </c>
      <c r="K80" s="2">
        <f t="shared" si="18"/>
        <v>42577478.01535324</v>
      </c>
      <c r="L80" s="2" t="s">
        <v>1718</v>
      </c>
      <c r="M80" s="2" t="s">
        <v>1467</v>
      </c>
      <c r="N80" s="2" t="s">
        <v>1719</v>
      </c>
      <c r="O80" s="2">
        <v>550</v>
      </c>
      <c r="P80" s="2">
        <v>741.39495849609375</v>
      </c>
      <c r="Q80" s="2">
        <v>722.84271240234375</v>
      </c>
      <c r="R80" s="2">
        <f>O80*P80</f>
        <v>407767.22717285156</v>
      </c>
      <c r="S80" s="2">
        <f>O80*Q80</f>
        <v>397563.49182128906</v>
      </c>
      <c r="T80" s="2">
        <f>R80+S80</f>
        <v>805330.71899414063</v>
      </c>
      <c r="U80" s="2">
        <f>ROUND(T80*0.0005, 2)</f>
        <v>402.67</v>
      </c>
      <c r="V80" s="2">
        <f>S80-R80</f>
        <v>-10203.7353515625</v>
      </c>
      <c r="W80" s="2">
        <f>V80-U80</f>
        <v>-10606.4053515625</v>
      </c>
      <c r="X80" s="2">
        <f>K80+W80</f>
        <v>42566871.610001676</v>
      </c>
      <c r="Y80" s="2">
        <f>ROUND(0.2*R80, 2)</f>
        <v>81553.45</v>
      </c>
      <c r="Z80" s="2">
        <f>ROUND((W80/Y80)*100, 2)</f>
        <v>-13.01</v>
      </c>
      <c r="AA80" s="2">
        <f>MAX(AA79, X80)</f>
        <v>42615587.094113007</v>
      </c>
      <c r="AB80" s="2">
        <f>X80-AA80</f>
        <v>-48715.484111331403</v>
      </c>
    </row>
    <row r="81" spans="1:28">
      <c r="A81" s="2">
        <v>78</v>
      </c>
      <c r="B81" s="2" t="s">
        <v>428</v>
      </c>
      <c r="C81" s="2" t="s">
        <v>2273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1702</v>
      </c>
      <c r="J81" s="2" t="s">
        <v>1972</v>
      </c>
      <c r="K81" s="2">
        <f t="shared" si="18"/>
        <v>42566871.610001676</v>
      </c>
      <c r="L81" s="2" t="s">
        <v>2299</v>
      </c>
      <c r="M81" s="2" t="s">
        <v>2300</v>
      </c>
      <c r="N81" s="2" t="s">
        <v>2301</v>
      </c>
      <c r="O81" s="2">
        <v>1100</v>
      </c>
      <c r="P81" s="2">
        <v>570.75994873046875</v>
      </c>
      <c r="Q81" s="2">
        <v>545.3643798828125</v>
      </c>
      <c r="R81" s="2">
        <f>O81*P81</f>
        <v>627835.94360351562</v>
      </c>
      <c r="S81" s="2">
        <f>O81*Q81</f>
        <v>599900.81787109375</v>
      </c>
      <c r="T81" s="2">
        <f>R81+S81</f>
        <v>1227736.7614746094</v>
      </c>
      <c r="U81" s="2">
        <f>ROUND(T81*0.0005, 2)</f>
        <v>613.87</v>
      </c>
      <c r="V81" s="2">
        <f>S81-R81</f>
        <v>-27935.125732421875</v>
      </c>
      <c r="W81" s="2">
        <f>V81-U81</f>
        <v>-28548.995732421874</v>
      </c>
      <c r="X81" s="2">
        <f>K81+W81</f>
        <v>42538322.614269257</v>
      </c>
      <c r="Y81" s="2">
        <f>ROUND(0.2*R81, 2)</f>
        <v>125567.19</v>
      </c>
      <c r="Z81" s="2">
        <f>ROUND((W81/Y81)*100, 2)</f>
        <v>-22.74</v>
      </c>
      <c r="AA81" s="2">
        <f>MAX(AA80, X81)</f>
        <v>42615587.094113007</v>
      </c>
      <c r="AB81" s="2">
        <f>X81-AA81</f>
        <v>-77264.479843750596</v>
      </c>
    </row>
    <row r="82" spans="1:28">
      <c r="A82" s="2">
        <v>79</v>
      </c>
      <c r="B82" s="2" t="s">
        <v>433</v>
      </c>
      <c r="C82" s="2" t="s">
        <v>2273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2133</v>
      </c>
      <c r="J82" s="2" t="s">
        <v>908</v>
      </c>
      <c r="K82" s="2">
        <f t="shared" si="18"/>
        <v>42538322.614269257</v>
      </c>
      <c r="L82" s="2" t="s">
        <v>1581</v>
      </c>
      <c r="M82" s="2" t="s">
        <v>1603</v>
      </c>
      <c r="N82" s="2" t="s">
        <v>1566</v>
      </c>
      <c r="O82" s="2">
        <v>150</v>
      </c>
      <c r="P82" s="2">
        <v>4219.99658203125</v>
      </c>
      <c r="Q82" s="2">
        <v>4732.3662109375</v>
      </c>
      <c r="R82" s="2">
        <f>O82*P82</f>
        <v>632999.4873046875</v>
      </c>
      <c r="S82" s="2">
        <f>O82*Q82</f>
        <v>709854.931640625</v>
      </c>
      <c r="T82" s="2">
        <f>R82+S82</f>
        <v>1342854.4189453125</v>
      </c>
      <c r="U82" s="2">
        <f>ROUND(T82*0.0005, 2)</f>
        <v>671.43</v>
      </c>
      <c r="V82" s="2">
        <f>S82-R82</f>
        <v>76855.4443359375</v>
      </c>
      <c r="W82" s="2">
        <f>V82-U82</f>
        <v>76184.014335937507</v>
      </c>
      <c r="X82" s="2">
        <f>K82+W82</f>
        <v>42614506.628605194</v>
      </c>
      <c r="Y82" s="2">
        <f>ROUND(0.2*R82, 2)</f>
        <v>126599.9</v>
      </c>
      <c r="Z82" s="2">
        <f>ROUND((W82/Y82)*100, 2)</f>
        <v>60.18</v>
      </c>
      <c r="AA82" s="2">
        <f>MAX(AA81, X82)</f>
        <v>42615587.094113007</v>
      </c>
      <c r="AB82" s="2">
        <f>X82-AA82</f>
        <v>-1080.465507812798</v>
      </c>
    </row>
    <row r="83" spans="1:28">
      <c r="A83" s="2">
        <v>80</v>
      </c>
      <c r="B83" s="2" t="s">
        <v>438</v>
      </c>
      <c r="C83" s="2" t="s">
        <v>2273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610</v>
      </c>
      <c r="J83" s="2" t="s">
        <v>313</v>
      </c>
      <c r="K83" s="2">
        <f t="shared" si="18"/>
        <v>42614506.628605194</v>
      </c>
      <c r="L83" s="2" t="s">
        <v>1568</v>
      </c>
      <c r="M83" s="2" t="s">
        <v>1540</v>
      </c>
      <c r="N83" s="2" t="s">
        <v>1544</v>
      </c>
      <c r="O83" s="2">
        <v>1400</v>
      </c>
      <c r="P83" s="2">
        <v>665.60736083984375</v>
      </c>
      <c r="Q83" s="2">
        <v>681.0728759765625</v>
      </c>
      <c r="R83" s="2">
        <f>O83*P83</f>
        <v>931850.30517578125</v>
      </c>
      <c r="S83" s="2">
        <f>O83*Q83</f>
        <v>953502.0263671875</v>
      </c>
      <c r="T83" s="2">
        <f>R83+S83</f>
        <v>1885352.3315429688</v>
      </c>
      <c r="U83" s="2">
        <f>ROUND(T83*0.0005, 2)</f>
        <v>942.68</v>
      </c>
      <c r="V83" s="2">
        <f>S83-R83</f>
        <v>21651.72119140625</v>
      </c>
      <c r="W83" s="2">
        <f>V83-U83</f>
        <v>20709.04119140625</v>
      </c>
      <c r="X83" s="2">
        <f>K83+W83</f>
        <v>42635215.669796601</v>
      </c>
      <c r="Y83" s="2">
        <f>ROUND(0.2*R83, 2)</f>
        <v>186370.06</v>
      </c>
      <c r="Z83" s="2">
        <f>ROUND((W83/Y83)*100, 2)</f>
        <v>11.11</v>
      </c>
      <c r="AA83" s="2">
        <f>MAX(AA82, X83)</f>
        <v>42635215.669796601</v>
      </c>
      <c r="AB83" s="2">
        <f>X83-AA83</f>
        <v>0</v>
      </c>
    </row>
    <row r="84" spans="1:28">
      <c r="A84" s="2">
        <v>81</v>
      </c>
      <c r="B84" s="2" t="s">
        <v>443</v>
      </c>
      <c r="C84" s="2" t="s">
        <v>2273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42635215.669796601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42635215.669796601</v>
      </c>
      <c r="Y84" s="6" t="s">
        <v>1195</v>
      </c>
      <c r="Z84" s="6" t="s">
        <v>1195</v>
      </c>
      <c r="AA84" s="2">
        <f>AA83</f>
        <v>42635215.669796601</v>
      </c>
      <c r="AB84" s="2">
        <v>0</v>
      </c>
    </row>
    <row r="85" spans="1:28">
      <c r="A85" s="2">
        <v>82</v>
      </c>
      <c r="B85" s="2" t="s">
        <v>447</v>
      </c>
      <c r="C85" s="2" t="s">
        <v>2273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2134</v>
      </c>
      <c r="J85" s="2" t="s">
        <v>1029</v>
      </c>
      <c r="K85" s="2">
        <f t="shared" si="18"/>
        <v>42635215.669796601</v>
      </c>
      <c r="L85" s="2" t="s">
        <v>1466</v>
      </c>
      <c r="M85" s="2" t="s">
        <v>1299</v>
      </c>
      <c r="N85" s="2" t="s">
        <v>1629</v>
      </c>
      <c r="O85" s="2">
        <v>300</v>
      </c>
      <c r="P85" s="2">
        <v>2118.4091796875</v>
      </c>
      <c r="Q85" s="2">
        <v>2087.72216796875</v>
      </c>
      <c r="R85" s="2">
        <f>O85*P85</f>
        <v>635522.75390625</v>
      </c>
      <c r="S85" s="2">
        <f>O85*Q85</f>
        <v>626316.650390625</v>
      </c>
      <c r="T85" s="2">
        <f>R85+S85</f>
        <v>1261839.404296875</v>
      </c>
      <c r="U85" s="2">
        <f>ROUND(T85*0.0005, 2)</f>
        <v>630.91999999999996</v>
      </c>
      <c r="V85" s="2">
        <f>S85-R85</f>
        <v>-9206.103515625</v>
      </c>
      <c r="W85" s="2">
        <f>V85-U85</f>
        <v>-9837.0235156250001</v>
      </c>
      <c r="X85" s="2">
        <f>K85+W85</f>
        <v>42625378.646280974</v>
      </c>
      <c r="Y85" s="2">
        <f>ROUND(0.2*R85, 2)</f>
        <v>127104.55</v>
      </c>
      <c r="Z85" s="2">
        <f>ROUND((W85/Y85)*100, 2)</f>
        <v>-7.74</v>
      </c>
      <c r="AA85" s="2">
        <f>MAX(AA84, X85)</f>
        <v>42635215.669796601</v>
      </c>
      <c r="AB85" s="2">
        <f>X85-AA85</f>
        <v>-9837.0235156267881</v>
      </c>
    </row>
    <row r="86" spans="1:28">
      <c r="A86" s="2">
        <v>83</v>
      </c>
      <c r="B86" s="2" t="s">
        <v>451</v>
      </c>
      <c r="C86" s="2" t="s">
        <v>2273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42625378.646280974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42625378.646280974</v>
      </c>
      <c r="Y86" s="6" t="s">
        <v>1195</v>
      </c>
      <c r="Z86" s="6" t="s">
        <v>1195</v>
      </c>
      <c r="AA86" s="2">
        <f>AA85</f>
        <v>42635215.669796601</v>
      </c>
      <c r="AB86" s="2">
        <v>0</v>
      </c>
    </row>
    <row r="87" spans="1:28">
      <c r="A87" s="2">
        <v>84</v>
      </c>
      <c r="B87" s="2" t="s">
        <v>455</v>
      </c>
      <c r="C87" s="2" t="s">
        <v>2273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42625378.646280974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42625378.646280974</v>
      </c>
      <c r="Y87" s="6" t="s">
        <v>1195</v>
      </c>
      <c r="Z87" s="6" t="s">
        <v>1195</v>
      </c>
      <c r="AA87" s="2">
        <f>AA86</f>
        <v>42635215.669796601</v>
      </c>
      <c r="AB87" s="2">
        <v>0</v>
      </c>
    </row>
    <row r="88" spans="1:28">
      <c r="A88" s="2">
        <v>85</v>
      </c>
      <c r="B88" s="2" t="s">
        <v>459</v>
      </c>
      <c r="C88" s="2" t="s">
        <v>2273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2135</v>
      </c>
      <c r="J88" s="2" t="s">
        <v>2136</v>
      </c>
      <c r="K88" s="2">
        <f t="shared" si="18"/>
        <v>42625378.646280974</v>
      </c>
      <c r="L88" s="2" t="s">
        <v>1638</v>
      </c>
      <c r="M88" s="2" t="s">
        <v>1581</v>
      </c>
      <c r="N88" s="2" t="s">
        <v>1639</v>
      </c>
      <c r="O88" s="2">
        <v>700</v>
      </c>
      <c r="P88" s="2">
        <v>1049.841796875</v>
      </c>
      <c r="Q88" s="2">
        <v>1127.813720703125</v>
      </c>
      <c r="R88" s="2">
        <f>O88*P88</f>
        <v>734889.2578125</v>
      </c>
      <c r="S88" s="2">
        <f>O88*Q88</f>
        <v>789469.6044921875</v>
      </c>
      <c r="T88" s="2">
        <f>R88+S88</f>
        <v>1524358.8623046875</v>
      </c>
      <c r="U88" s="2">
        <f>ROUND(T88*0.0005, 2)</f>
        <v>762.18</v>
      </c>
      <c r="V88" s="2">
        <f>S88-R88</f>
        <v>54580.3466796875</v>
      </c>
      <c r="W88" s="2">
        <f>V88-U88</f>
        <v>53818.1666796875</v>
      </c>
      <c r="X88" s="2">
        <f>K88+W88</f>
        <v>42679196.812960662</v>
      </c>
      <c r="Y88" s="2">
        <f>ROUND(0.2*R88, 2)</f>
        <v>146977.85</v>
      </c>
      <c r="Z88" s="2">
        <f>ROUND((W88/Y88)*100, 2)</f>
        <v>36.619999999999997</v>
      </c>
      <c r="AA88" s="2">
        <f>MAX(AA87, X88)</f>
        <v>42679196.812960662</v>
      </c>
      <c r="AB88" s="2">
        <f>X88-AA88</f>
        <v>0</v>
      </c>
    </row>
    <row r="89" spans="1:28">
      <c r="A89" s="2">
        <v>86</v>
      </c>
      <c r="B89" s="2" t="s">
        <v>463</v>
      </c>
      <c r="C89" s="2" t="s">
        <v>2273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1237</v>
      </c>
      <c r="J89" s="2" t="s">
        <v>1388</v>
      </c>
      <c r="K89" s="2">
        <f t="shared" si="18"/>
        <v>42679196.812960662</v>
      </c>
      <c r="L89" s="2" t="s">
        <v>2302</v>
      </c>
      <c r="M89" s="2" t="s">
        <v>2303</v>
      </c>
      <c r="N89" s="2" t="s">
        <v>2304</v>
      </c>
      <c r="O89" s="2">
        <v>629</v>
      </c>
      <c r="P89" s="2">
        <v>1918.55</v>
      </c>
      <c r="Q89" s="2">
        <v>1861.7</v>
      </c>
      <c r="R89" s="2">
        <f>O89*P89</f>
        <v>1206767.95</v>
      </c>
      <c r="S89" s="2">
        <f>O89*Q89</f>
        <v>1171009.3</v>
      </c>
      <c r="T89" s="2">
        <f>R89+S89</f>
        <v>2377777.25</v>
      </c>
      <c r="U89" s="2">
        <f>ROUND(T89*0.0005, 2)</f>
        <v>1188.8900000000001</v>
      </c>
      <c r="V89" s="2">
        <f>S89-R89</f>
        <v>-35758.649999999907</v>
      </c>
      <c r="W89" s="2">
        <f>V89-U89</f>
        <v>-36947.539999999906</v>
      </c>
      <c r="X89" s="2">
        <f>K89+W89</f>
        <v>42642249.272960663</v>
      </c>
      <c r="Y89" s="2">
        <f>ROUND(0.2*R89, 2)</f>
        <v>241353.59</v>
      </c>
      <c r="Z89" s="2">
        <f>ROUND((W89/Y89)*100, 2)</f>
        <v>-15.31</v>
      </c>
      <c r="AA89" s="2">
        <f>MAX(AA88, X89)</f>
        <v>42679196.812960662</v>
      </c>
      <c r="AB89" s="2">
        <f>X89-AA89</f>
        <v>-36947.539999999106</v>
      </c>
    </row>
    <row r="90" spans="1:28">
      <c r="A90" s="2">
        <v>87</v>
      </c>
      <c r="B90" s="2" t="s">
        <v>471</v>
      </c>
      <c r="C90" s="2" t="s">
        <v>2273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1310</v>
      </c>
      <c r="J90" s="2" t="s">
        <v>529</v>
      </c>
      <c r="K90" s="2">
        <f t="shared" si="18"/>
        <v>42642249.272960663</v>
      </c>
      <c r="L90" s="2" t="s">
        <v>2257</v>
      </c>
      <c r="M90" s="2" t="s">
        <v>2245</v>
      </c>
      <c r="N90" s="2" t="s">
        <v>2244</v>
      </c>
      <c r="O90" s="2">
        <v>1958</v>
      </c>
      <c r="P90" s="2">
        <v>602.90765380859375</v>
      </c>
      <c r="Q90" s="2">
        <v>608.53814697265625</v>
      </c>
      <c r="R90" s="2">
        <f>O90*P90</f>
        <v>1180493.1861572266</v>
      </c>
      <c r="S90" s="2">
        <f>O90*Q90</f>
        <v>1191517.6917724609</v>
      </c>
      <c r="T90" s="2">
        <f>R90+S90</f>
        <v>2372010.8779296875</v>
      </c>
      <c r="U90" s="2">
        <f>ROUND(T90*0.0005, 2)</f>
        <v>1186.01</v>
      </c>
      <c r="V90" s="2">
        <f>S90-R90</f>
        <v>11024.505615234375</v>
      </c>
      <c r="W90" s="2">
        <f>V90-U90</f>
        <v>9838.4956152343748</v>
      </c>
      <c r="X90" s="2">
        <f>K90+W90</f>
        <v>42652087.768575899</v>
      </c>
      <c r="Y90" s="2">
        <f>ROUND(0.2*R90, 2)</f>
        <v>236098.64</v>
      </c>
      <c r="Z90" s="2">
        <f>ROUND((W90/Y90)*100, 2)</f>
        <v>4.17</v>
      </c>
      <c r="AA90" s="2">
        <f>MAX(AA89, X90)</f>
        <v>42679196.812960662</v>
      </c>
      <c r="AB90" s="2">
        <f>X90-AA90</f>
        <v>-27109.044384762645</v>
      </c>
    </row>
    <row r="91" spans="1:28">
      <c r="A91" s="2">
        <v>88</v>
      </c>
      <c r="B91" s="2" t="s">
        <v>476</v>
      </c>
      <c r="C91" s="2" t="s">
        <v>2273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42652087.768575899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42652087.768575899</v>
      </c>
      <c r="Y91" s="6" t="s">
        <v>1195</v>
      </c>
      <c r="Z91" s="6" t="s">
        <v>1195</v>
      </c>
      <c r="AA91" s="2">
        <f>AA90</f>
        <v>42679196.812960662</v>
      </c>
      <c r="AB91" s="2">
        <v>0</v>
      </c>
    </row>
    <row r="92" spans="1:28">
      <c r="A92" s="2">
        <v>89</v>
      </c>
      <c r="B92" s="2" t="s">
        <v>480</v>
      </c>
      <c r="C92" s="2" t="s">
        <v>2273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42652087.768575899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42652087.768575899</v>
      </c>
      <c r="Y92" s="6" t="s">
        <v>1195</v>
      </c>
      <c r="Z92" s="6" t="s">
        <v>1195</v>
      </c>
      <c r="AA92" s="2">
        <f>AA91</f>
        <v>42679196.812960662</v>
      </c>
      <c r="AB92" s="2">
        <v>0</v>
      </c>
    </row>
    <row r="93" spans="1:28">
      <c r="A93" s="2">
        <v>90</v>
      </c>
      <c r="B93" s="2" t="s">
        <v>483</v>
      </c>
      <c r="C93" s="2" t="s">
        <v>2273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42652087.768575899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42652087.768575899</v>
      </c>
      <c r="Y93" s="6" t="s">
        <v>1195</v>
      </c>
      <c r="Z93" s="6" t="s">
        <v>1195</v>
      </c>
      <c r="AA93" s="2">
        <f>AA92</f>
        <v>42679196.812960662</v>
      </c>
      <c r="AB93" s="2">
        <v>0</v>
      </c>
    </row>
    <row r="94" spans="1:28">
      <c r="A94" s="2">
        <v>91</v>
      </c>
      <c r="B94" s="2" t="s">
        <v>486</v>
      </c>
      <c r="C94" s="2" t="s">
        <v>2273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42652087.768575899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42652087.768575899</v>
      </c>
      <c r="Y94" s="6" t="s">
        <v>1195</v>
      </c>
      <c r="Z94" s="6" t="s">
        <v>1195</v>
      </c>
      <c r="AA94" s="2">
        <f>AA93</f>
        <v>42679196.812960662</v>
      </c>
      <c r="AB94" s="2">
        <v>0</v>
      </c>
    </row>
    <row r="95" spans="1:28">
      <c r="A95" s="2">
        <v>92</v>
      </c>
      <c r="B95" s="2" t="s">
        <v>490</v>
      </c>
      <c r="C95" s="2" t="s">
        <v>2273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42652087.768575899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42652087.768575899</v>
      </c>
      <c r="Y95" s="6" t="s">
        <v>1195</v>
      </c>
      <c r="Z95" s="6" t="s">
        <v>1195</v>
      </c>
      <c r="AA95" s="2">
        <f>AA94</f>
        <v>42679196.812960662</v>
      </c>
      <c r="AB95" s="2">
        <v>0</v>
      </c>
    </row>
    <row r="96" spans="1:28">
      <c r="A96" s="2">
        <v>93</v>
      </c>
      <c r="B96" s="2" t="s">
        <v>493</v>
      </c>
      <c r="C96" s="2" t="s">
        <v>2273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2305</v>
      </c>
      <c r="J96" s="2" t="s">
        <v>2306</v>
      </c>
      <c r="K96" s="2">
        <f t="shared" si="18"/>
        <v>42652087.768575899</v>
      </c>
      <c r="L96" s="2" t="s">
        <v>2307</v>
      </c>
      <c r="M96" s="2" t="s">
        <v>2308</v>
      </c>
      <c r="N96" s="2" t="s">
        <v>2309</v>
      </c>
      <c r="O96" s="2">
        <v>196</v>
      </c>
      <c r="P96" s="2">
        <v>1651.80859375</v>
      </c>
      <c r="Q96" s="2">
        <v>1813.135986328125</v>
      </c>
      <c r="R96" s="2">
        <f>O96*P96</f>
        <v>323754.484375</v>
      </c>
      <c r="S96" s="2">
        <f>O96*Q96</f>
        <v>355374.6533203125</v>
      </c>
      <c r="T96" s="2">
        <f>R96+S96</f>
        <v>679129.1376953125</v>
      </c>
      <c r="U96" s="2">
        <f>ROUND(T96*0.0005, 2)</f>
        <v>339.56</v>
      </c>
      <c r="V96" s="2">
        <f>S96-R96</f>
        <v>31620.1689453125</v>
      </c>
      <c r="W96" s="2">
        <f>V96-U96</f>
        <v>31280.608945312499</v>
      </c>
      <c r="X96" s="2">
        <f>K96+W96</f>
        <v>42683368.377521209</v>
      </c>
      <c r="Y96" s="2">
        <f>ROUND(0.2*R96, 2)</f>
        <v>64750.9</v>
      </c>
      <c r="Z96" s="2">
        <f>ROUND((W96/Y96)*100, 2)</f>
        <v>48.31</v>
      </c>
      <c r="AA96" s="2">
        <f>MAX(AA95, X96)</f>
        <v>42683368.377521209</v>
      </c>
      <c r="AB96" s="2">
        <f>X96-AA96</f>
        <v>0</v>
      </c>
    </row>
    <row r="97" spans="1:28">
      <c r="A97" s="2">
        <v>94</v>
      </c>
      <c r="B97" s="2" t="s">
        <v>498</v>
      </c>
      <c r="C97" s="2" t="s">
        <v>2273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48</v>
      </c>
      <c r="J97" s="2" t="s">
        <v>1811</v>
      </c>
      <c r="K97" s="2">
        <f t="shared" si="18"/>
        <v>42683368.377521209</v>
      </c>
      <c r="L97" s="2" t="s">
        <v>1629</v>
      </c>
      <c r="M97" s="2" t="s">
        <v>1557</v>
      </c>
      <c r="N97" s="2" t="s">
        <v>1374</v>
      </c>
      <c r="O97" s="2">
        <v>500</v>
      </c>
      <c r="P97" s="2">
        <v>1456.10009765625</v>
      </c>
      <c r="Q97" s="2">
        <v>1465.0361328125</v>
      </c>
      <c r="R97" s="2">
        <f>O97*P97</f>
        <v>728050.048828125</v>
      </c>
      <c r="S97" s="2">
        <f>O97*Q97</f>
        <v>732518.06640625</v>
      </c>
      <c r="T97" s="2">
        <f>R97+S97</f>
        <v>1460568.115234375</v>
      </c>
      <c r="U97" s="2">
        <f>ROUND(T97*0.0005, 2)</f>
        <v>730.28</v>
      </c>
      <c r="V97" s="2">
        <f>S97-R97</f>
        <v>4468.017578125</v>
      </c>
      <c r="W97" s="2">
        <f>V97-U97</f>
        <v>3737.7375781250003</v>
      </c>
      <c r="X97" s="2">
        <f>K97+W97</f>
        <v>42687106.115099333</v>
      </c>
      <c r="Y97" s="2">
        <f>ROUND(0.2*R97, 2)</f>
        <v>145610.01</v>
      </c>
      <c r="Z97" s="2">
        <f>ROUND((W97/Y97)*100, 2)</f>
        <v>2.57</v>
      </c>
      <c r="AA97" s="2">
        <f>MAX(AA96, X97)</f>
        <v>42687106.115099333</v>
      </c>
      <c r="AB97" s="2">
        <f>X97-AA97</f>
        <v>0</v>
      </c>
    </row>
    <row r="98" spans="1:28">
      <c r="A98" s="2">
        <v>95</v>
      </c>
      <c r="B98" s="2" t="s">
        <v>502</v>
      </c>
      <c r="C98" s="2" t="s">
        <v>2273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42687106.115099333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42687106.115099333</v>
      </c>
      <c r="Y98" s="6" t="s">
        <v>1195</v>
      </c>
      <c r="Z98" s="6" t="s">
        <v>1195</v>
      </c>
      <c r="AA98" s="2">
        <f>AA97</f>
        <v>42687106.115099333</v>
      </c>
      <c r="AB98" s="2">
        <v>0</v>
      </c>
    </row>
    <row r="99" spans="1:28">
      <c r="A99" s="2">
        <v>96</v>
      </c>
      <c r="B99" s="2" t="s">
        <v>506</v>
      </c>
      <c r="C99" s="2" t="s">
        <v>2273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115</v>
      </c>
      <c r="J99" s="2" t="s">
        <v>1860</v>
      </c>
      <c r="K99" s="2">
        <f t="shared" si="18"/>
        <v>42687106.115099333</v>
      </c>
      <c r="L99" s="2" t="s">
        <v>1709</v>
      </c>
      <c r="M99" s="2" t="s">
        <v>1580</v>
      </c>
      <c r="N99" s="2" t="s">
        <v>1375</v>
      </c>
      <c r="O99" s="2">
        <v>400</v>
      </c>
      <c r="P99" s="2">
        <v>1320.340942382812</v>
      </c>
      <c r="Q99" s="2">
        <v>1388.581298828125</v>
      </c>
      <c r="R99" s="2">
        <f>O99*P99</f>
        <v>528136.37695312477</v>
      </c>
      <c r="S99" s="2">
        <f>O99*Q99</f>
        <v>555432.51953125</v>
      </c>
      <c r="T99" s="2">
        <f>R99+S99</f>
        <v>1083568.8964843748</v>
      </c>
      <c r="U99" s="2">
        <f>ROUND(T99*0.0005, 2)</f>
        <v>541.78</v>
      </c>
      <c r="V99" s="2">
        <f>S99-R99</f>
        <v>27296.142578125233</v>
      </c>
      <c r="W99" s="2">
        <f>V99-U99</f>
        <v>26754.362578125234</v>
      </c>
      <c r="X99" s="2">
        <f>K99+W99</f>
        <v>42713860.477677457</v>
      </c>
      <c r="Y99" s="2">
        <f>ROUND(0.2*R99, 2)</f>
        <v>105627.28</v>
      </c>
      <c r="Z99" s="2">
        <f>ROUND((W99/Y99)*100, 2)</f>
        <v>25.33</v>
      </c>
      <c r="AA99" s="2">
        <f>MAX(AA98, X99)</f>
        <v>42713860.477677457</v>
      </c>
      <c r="AB99" s="2">
        <f>X99-AA99</f>
        <v>0</v>
      </c>
    </row>
    <row r="100" spans="1:28">
      <c r="A100" s="2">
        <v>97</v>
      </c>
      <c r="B100" s="2" t="s">
        <v>511</v>
      </c>
      <c r="C100" s="2" t="s">
        <v>2273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42713860.477677457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42713860.477677457</v>
      </c>
      <c r="Y100" s="6" t="s">
        <v>1195</v>
      </c>
      <c r="Z100" s="6" t="s">
        <v>1195</v>
      </c>
      <c r="AA100" s="2">
        <f>AA99</f>
        <v>42713860.477677457</v>
      </c>
      <c r="AB100" s="2">
        <v>0</v>
      </c>
    </row>
    <row r="101" spans="1:28">
      <c r="A101" s="2">
        <v>98</v>
      </c>
      <c r="B101" s="2" t="s">
        <v>516</v>
      </c>
      <c r="C101" s="2" t="s">
        <v>2273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42713860.477677457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42713860.477677457</v>
      </c>
      <c r="Y101" s="6" t="s">
        <v>1195</v>
      </c>
      <c r="Z101" s="6" t="s">
        <v>1195</v>
      </c>
      <c r="AA101" s="2">
        <f>AA100</f>
        <v>42713860.477677457</v>
      </c>
      <c r="AB101" s="2">
        <v>0</v>
      </c>
    </row>
    <row r="102" spans="1:28">
      <c r="A102" s="2">
        <v>99</v>
      </c>
      <c r="B102" s="2" t="s">
        <v>519</v>
      </c>
      <c r="C102" s="2" t="s">
        <v>2273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42713860.477677457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42713860.477677457</v>
      </c>
      <c r="Y102" s="6" t="s">
        <v>1195</v>
      </c>
      <c r="Z102" s="6" t="s">
        <v>1195</v>
      </c>
      <c r="AA102" s="2">
        <f>AA101</f>
        <v>42713860.477677457</v>
      </c>
      <c r="AB102" s="2">
        <v>0</v>
      </c>
    </row>
    <row r="103" spans="1:28">
      <c r="A103" s="2">
        <v>100</v>
      </c>
      <c r="B103" s="2" t="s">
        <v>525</v>
      </c>
      <c r="C103" s="2" t="s">
        <v>2273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42713860.477677457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42713860.477677457</v>
      </c>
      <c r="Y103" s="6" t="s">
        <v>1195</v>
      </c>
      <c r="Z103" s="6" t="s">
        <v>1195</v>
      </c>
      <c r="AA103" s="2">
        <f>AA102</f>
        <v>42713860.477677457</v>
      </c>
      <c r="AB103" s="2">
        <v>0</v>
      </c>
    </row>
    <row r="104" spans="1:28">
      <c r="A104" s="2">
        <v>101</v>
      </c>
      <c r="B104" s="2" t="s">
        <v>527</v>
      </c>
      <c r="C104" s="2" t="s">
        <v>2273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1473</v>
      </c>
      <c r="J104" s="2" t="s">
        <v>458</v>
      </c>
      <c r="K104" s="2">
        <f t="shared" si="18"/>
        <v>42713860.477677457</v>
      </c>
      <c r="L104" s="2" t="s">
        <v>1572</v>
      </c>
      <c r="M104" s="2" t="s">
        <v>1540</v>
      </c>
      <c r="N104" s="2" t="s">
        <v>1539</v>
      </c>
      <c r="O104" s="2">
        <v>1600</v>
      </c>
      <c r="P104" s="2">
        <v>376.0321044921875</v>
      </c>
      <c r="Q104" s="2">
        <v>376.337158203125</v>
      </c>
      <c r="R104" s="2">
        <f>O104*P104</f>
        <v>601651.3671875</v>
      </c>
      <c r="S104" s="2">
        <f>O104*Q104</f>
        <v>602139.453125</v>
      </c>
      <c r="T104" s="2">
        <f>R104+S104</f>
        <v>1203790.8203125</v>
      </c>
      <c r="U104" s="2">
        <f>ROUND(T104*0.0005, 2)</f>
        <v>601.9</v>
      </c>
      <c r="V104" s="2">
        <f>S104-R104</f>
        <v>488.0859375</v>
      </c>
      <c r="W104" s="2">
        <f>V104-U104</f>
        <v>-113.81406249999998</v>
      </c>
      <c r="X104" s="2">
        <f>K104+W104</f>
        <v>42713746.663614959</v>
      </c>
      <c r="Y104" s="2">
        <f>ROUND(0.2*R104, 2)</f>
        <v>120330.27</v>
      </c>
      <c r="Z104" s="2">
        <f>ROUND((W104/Y104)*100, 2)</f>
        <v>-0.09</v>
      </c>
      <c r="AA104" s="2">
        <f>MAX(AA103, X104)</f>
        <v>42713860.477677457</v>
      </c>
      <c r="AB104" s="2">
        <f>X104-AA104</f>
        <v>-113.81406249850988</v>
      </c>
    </row>
    <row r="105" spans="1:28">
      <c r="A105" s="2">
        <v>102</v>
      </c>
      <c r="B105" s="2" t="s">
        <v>530</v>
      </c>
      <c r="C105" s="2" t="s">
        <v>2273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42713746.663614959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42713746.663614959</v>
      </c>
      <c r="Y105" s="6" t="s">
        <v>1195</v>
      </c>
      <c r="Z105" s="6" t="s">
        <v>1195</v>
      </c>
      <c r="AA105" s="2">
        <f>AA104</f>
        <v>42713860.477677457</v>
      </c>
      <c r="AB105" s="2">
        <v>0</v>
      </c>
    </row>
    <row r="106" spans="1:28">
      <c r="A106" s="2">
        <v>103</v>
      </c>
      <c r="B106" s="2" t="s">
        <v>534</v>
      </c>
      <c r="C106" s="2" t="s">
        <v>2273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1490</v>
      </c>
      <c r="J106" s="2" t="s">
        <v>1022</v>
      </c>
      <c r="K106" s="2">
        <f t="shared" si="18"/>
        <v>42713746.663614959</v>
      </c>
      <c r="L106" s="2" t="s">
        <v>1630</v>
      </c>
      <c r="M106" s="2" t="s">
        <v>1374</v>
      </c>
      <c r="N106" s="2" t="s">
        <v>1375</v>
      </c>
      <c r="O106" s="2">
        <v>4127</v>
      </c>
      <c r="P106" s="2">
        <v>381.70477294921881</v>
      </c>
      <c r="Q106" s="2">
        <v>377.81085205078131</v>
      </c>
      <c r="R106" s="2">
        <f>O106*P106</f>
        <v>1575295.597961426</v>
      </c>
      <c r="S106" s="2">
        <f>O106*Q106</f>
        <v>1559225.3864135745</v>
      </c>
      <c r="T106" s="2">
        <f>R106+S106</f>
        <v>3134520.9843750005</v>
      </c>
      <c r="U106" s="2">
        <f>ROUND(T106*0.0005, 2)</f>
        <v>1567.26</v>
      </c>
      <c r="V106" s="2">
        <f>S106-R106</f>
        <v>-16070.211547851563</v>
      </c>
      <c r="W106" s="2">
        <f>V106-U106</f>
        <v>-17637.471547851561</v>
      </c>
      <c r="X106" s="2">
        <f>K106+W106</f>
        <v>42696109.192067109</v>
      </c>
      <c r="Y106" s="2">
        <f>ROUND(0.2*R106, 2)</f>
        <v>315059.12</v>
      </c>
      <c r="Z106" s="2">
        <f>ROUND((W106/Y106)*100, 2)</f>
        <v>-5.6</v>
      </c>
      <c r="AA106" s="2">
        <f>MAX(AA105, X106)</f>
        <v>42713860.477677457</v>
      </c>
      <c r="AB106" s="2">
        <f>X106-AA106</f>
        <v>-17751.285610347986</v>
      </c>
    </row>
    <row r="107" spans="1:28">
      <c r="A107" s="2">
        <v>104</v>
      </c>
      <c r="B107" s="2" t="s">
        <v>539</v>
      </c>
      <c r="C107" s="2" t="s">
        <v>2273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42696109.192067109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42696109.192067109</v>
      </c>
      <c r="Y107" s="6" t="s">
        <v>1195</v>
      </c>
      <c r="Z107" s="6" t="s">
        <v>1195</v>
      </c>
      <c r="AA107" s="2">
        <f>AA106</f>
        <v>42713860.477677457</v>
      </c>
      <c r="AB107" s="2">
        <v>0</v>
      </c>
    </row>
    <row r="108" spans="1:28">
      <c r="A108" s="2">
        <v>105</v>
      </c>
      <c r="B108" s="2" t="s">
        <v>542</v>
      </c>
      <c r="C108" s="2" t="s">
        <v>2273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2145</v>
      </c>
      <c r="J108" s="2" t="s">
        <v>2146</v>
      </c>
      <c r="K108" s="2">
        <f t="shared" si="18"/>
        <v>42696109.192067109</v>
      </c>
      <c r="L108" s="2" t="s">
        <v>1559</v>
      </c>
      <c r="M108" s="2" t="s">
        <v>1544</v>
      </c>
      <c r="N108" s="2" t="s">
        <v>1545</v>
      </c>
      <c r="O108" s="2">
        <v>675</v>
      </c>
      <c r="P108" s="2">
        <v>839.86663818359375</v>
      </c>
      <c r="Q108" s="2">
        <v>894.031005859375</v>
      </c>
      <c r="R108" s="2">
        <f>O108*P108</f>
        <v>566909.98077392578</v>
      </c>
      <c r="S108" s="2">
        <f>O108*Q108</f>
        <v>603470.92895507812</v>
      </c>
      <c r="T108" s="2">
        <f>R108+S108</f>
        <v>1170380.9097290039</v>
      </c>
      <c r="U108" s="2">
        <f>ROUND(T108*0.0005, 2)</f>
        <v>585.19000000000005</v>
      </c>
      <c r="V108" s="2">
        <f>S108-R108</f>
        <v>36560.948181152344</v>
      </c>
      <c r="W108" s="2">
        <f>V108-U108</f>
        <v>35975.758181152341</v>
      </c>
      <c r="X108" s="2">
        <f>K108+W108</f>
        <v>42732084.950248264</v>
      </c>
      <c r="Y108" s="2">
        <f>ROUND(0.2*R108, 2)</f>
        <v>113382</v>
      </c>
      <c r="Z108" s="2">
        <f>ROUND((W108/Y108)*100, 2)</f>
        <v>31.73</v>
      </c>
      <c r="AA108" s="2">
        <f>MAX(AA107, X108)</f>
        <v>42732084.950248264</v>
      </c>
      <c r="AB108" s="2">
        <f>X108-AA108</f>
        <v>0</v>
      </c>
    </row>
    <row r="109" spans="1:28">
      <c r="A109" s="2">
        <v>106</v>
      </c>
      <c r="B109" s="2" t="s">
        <v>547</v>
      </c>
      <c r="C109" s="2" t="s">
        <v>2273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42732084.950248264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42732084.950248264</v>
      </c>
      <c r="Y109" s="6" t="s">
        <v>1195</v>
      </c>
      <c r="Z109" s="6" t="s">
        <v>1195</v>
      </c>
      <c r="AA109" s="2">
        <f>AA108</f>
        <v>42732084.950248264</v>
      </c>
      <c r="AB109" s="2">
        <v>0</v>
      </c>
    </row>
    <row r="110" spans="1:28">
      <c r="A110" s="2">
        <v>107</v>
      </c>
      <c r="B110" s="2" t="s">
        <v>551</v>
      </c>
      <c r="C110" s="2" t="s">
        <v>2273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42732084.950248264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42732084.950248264</v>
      </c>
      <c r="Y110" s="6" t="s">
        <v>1195</v>
      </c>
      <c r="Z110" s="6" t="s">
        <v>1195</v>
      </c>
      <c r="AA110" s="2">
        <f>AA109</f>
        <v>42732084.950248264</v>
      </c>
      <c r="AB110" s="2">
        <v>0</v>
      </c>
    </row>
    <row r="111" spans="1:28">
      <c r="A111" s="2">
        <v>108</v>
      </c>
      <c r="B111" s="2" t="s">
        <v>554</v>
      </c>
      <c r="C111" s="2" t="s">
        <v>2273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42732084.950248264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42732084.950248264</v>
      </c>
      <c r="Y111" s="6" t="s">
        <v>1195</v>
      </c>
      <c r="Z111" s="6" t="s">
        <v>1195</v>
      </c>
      <c r="AA111" s="2">
        <f>AA110</f>
        <v>42732084.950248264</v>
      </c>
      <c r="AB111" s="2">
        <v>0</v>
      </c>
    </row>
    <row r="112" spans="1:28">
      <c r="A112" s="2">
        <v>109</v>
      </c>
      <c r="B112" s="2" t="s">
        <v>558</v>
      </c>
      <c r="C112" s="2" t="s">
        <v>2273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42732084.950248264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42732084.950248264</v>
      </c>
      <c r="Y112" s="6" t="s">
        <v>1195</v>
      </c>
      <c r="Z112" s="6" t="s">
        <v>1195</v>
      </c>
      <c r="AA112" s="2">
        <f>AA111</f>
        <v>42732084.950248264</v>
      </c>
      <c r="AB112" s="2">
        <v>0</v>
      </c>
    </row>
    <row r="113" spans="1:28">
      <c r="A113" s="2">
        <v>110</v>
      </c>
      <c r="B113" s="2" t="s">
        <v>562</v>
      </c>
      <c r="C113" s="2" t="s">
        <v>2273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42732084.950248264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42732084.950248264</v>
      </c>
      <c r="Y113" s="6" t="s">
        <v>1195</v>
      </c>
      <c r="Z113" s="6" t="s">
        <v>1195</v>
      </c>
      <c r="AA113" s="2">
        <f>AA112</f>
        <v>42732084.950248264</v>
      </c>
      <c r="AB113" s="2">
        <v>0</v>
      </c>
    </row>
    <row r="114" spans="1:28">
      <c r="A114" s="2">
        <v>111</v>
      </c>
      <c r="B114" s="2" t="s">
        <v>566</v>
      </c>
      <c r="C114" s="2" t="s">
        <v>2273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382</v>
      </c>
      <c r="J114" s="2" t="s">
        <v>2147</v>
      </c>
      <c r="K114" s="2">
        <f t="shared" si="18"/>
        <v>42732084.950248264</v>
      </c>
      <c r="L114" s="2" t="s">
        <v>1591</v>
      </c>
      <c r="M114" s="2" t="s">
        <v>1543</v>
      </c>
      <c r="N114" s="2" t="s">
        <v>1582</v>
      </c>
      <c r="O114" s="2">
        <v>400</v>
      </c>
      <c r="P114" s="2">
        <v>328.04183959960937</v>
      </c>
      <c r="Q114" s="2">
        <v>324.06082153320312</v>
      </c>
      <c r="R114" s="2">
        <f>O114*P114</f>
        <v>131216.73583984375</v>
      </c>
      <c r="S114" s="2">
        <f>O114*Q114</f>
        <v>129624.32861328125</v>
      </c>
      <c r="T114" s="2">
        <f>R114+S114</f>
        <v>260841.064453125</v>
      </c>
      <c r="U114" s="2">
        <f>ROUND(T114*0.0005, 2)</f>
        <v>130.41999999999999</v>
      </c>
      <c r="V114" s="2">
        <f>S114-R114</f>
        <v>-1592.4072265625</v>
      </c>
      <c r="W114" s="2">
        <f>V114-U114</f>
        <v>-1722.8272265625001</v>
      </c>
      <c r="X114" s="2">
        <f>K114+W114</f>
        <v>42730362.123021699</v>
      </c>
      <c r="Y114" s="2">
        <f>ROUND(0.2*R114, 2)</f>
        <v>26243.35</v>
      </c>
      <c r="Z114" s="2">
        <f>ROUND((W114/Y114)*100, 2)</f>
        <v>-6.56</v>
      </c>
      <c r="AA114" s="2">
        <f>MAX(AA113, X114)</f>
        <v>42732084.950248264</v>
      </c>
      <c r="AB114" s="2">
        <f>X114-AA114</f>
        <v>-1722.8272265642881</v>
      </c>
    </row>
    <row r="115" spans="1:28">
      <c r="A115" s="2">
        <v>112</v>
      </c>
      <c r="B115" s="2" t="s">
        <v>570</v>
      </c>
      <c r="C115" s="2" t="s">
        <v>2273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42730362.123021699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42730362.123021699</v>
      </c>
      <c r="Y115" s="6" t="s">
        <v>1195</v>
      </c>
      <c r="Z115" s="6" t="s">
        <v>1195</v>
      </c>
      <c r="AA115" s="2">
        <f>AA114</f>
        <v>42732084.950248264</v>
      </c>
      <c r="AB115" s="2">
        <v>0</v>
      </c>
    </row>
    <row r="116" spans="1:28">
      <c r="A116" s="2">
        <v>113</v>
      </c>
      <c r="B116" s="2" t="s">
        <v>574</v>
      </c>
      <c r="C116" s="2" t="s">
        <v>2273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42730362.123021699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42730362.123021699</v>
      </c>
      <c r="Y116" s="6" t="s">
        <v>1195</v>
      </c>
      <c r="Z116" s="6" t="s">
        <v>1195</v>
      </c>
      <c r="AA116" s="2">
        <f>AA115</f>
        <v>42732084.950248264</v>
      </c>
      <c r="AB116" s="2">
        <v>0</v>
      </c>
    </row>
    <row r="117" spans="1:28">
      <c r="A117" s="2">
        <v>114</v>
      </c>
      <c r="B117" s="2" t="s">
        <v>578</v>
      </c>
      <c r="C117" s="2" t="s">
        <v>2273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42730362.123021699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42730362.123021699</v>
      </c>
      <c r="Y117" s="6" t="s">
        <v>1195</v>
      </c>
      <c r="Z117" s="6" t="s">
        <v>1195</v>
      </c>
      <c r="AA117" s="2">
        <f>AA116</f>
        <v>42732084.950248264</v>
      </c>
      <c r="AB117" s="2">
        <v>0</v>
      </c>
    </row>
    <row r="118" spans="1:28">
      <c r="A118" s="2">
        <v>115</v>
      </c>
      <c r="B118" s="2" t="s">
        <v>581</v>
      </c>
      <c r="C118" s="2" t="s">
        <v>2273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1886</v>
      </c>
      <c r="J118" s="2" t="s">
        <v>1829</v>
      </c>
      <c r="K118" s="2">
        <f t="shared" si="18"/>
        <v>42730362.123021699</v>
      </c>
      <c r="L118" s="2" t="s">
        <v>983</v>
      </c>
      <c r="M118" s="2" t="s">
        <v>980</v>
      </c>
      <c r="N118" s="2" t="s">
        <v>948</v>
      </c>
      <c r="O118" s="2">
        <v>2364</v>
      </c>
      <c r="P118" s="2">
        <v>448.57257080078131</v>
      </c>
      <c r="Q118" s="2">
        <v>438.10986328125</v>
      </c>
      <c r="R118" s="2">
        <f>O118*P118</f>
        <v>1060425.5573730471</v>
      </c>
      <c r="S118" s="2">
        <f>O118*Q118</f>
        <v>1035691.716796875</v>
      </c>
      <c r="T118" s="2">
        <f>R118+S118</f>
        <v>2096117.2741699221</v>
      </c>
      <c r="U118" s="2">
        <f>ROUND(T118*0.0005, 2)</f>
        <v>1048.06</v>
      </c>
      <c r="V118" s="2">
        <f>S118-R118</f>
        <v>-24733.840576172108</v>
      </c>
      <c r="W118" s="2">
        <f>V118-U118</f>
        <v>-25781.900576172109</v>
      </c>
      <c r="X118" s="2">
        <f>K118+W118</f>
        <v>42704580.222445525</v>
      </c>
      <c r="Y118" s="2">
        <f>ROUND(0.2*R118, 2)</f>
        <v>212085.11</v>
      </c>
      <c r="Z118" s="2">
        <f>ROUND((W118/Y118)*100, 2)</f>
        <v>-12.16</v>
      </c>
      <c r="AA118" s="2">
        <f>MAX(AA117, X118)</f>
        <v>42732084.950248264</v>
      </c>
      <c r="AB118" s="2">
        <f>X118-AA118</f>
        <v>-27504.727802738547</v>
      </c>
    </row>
    <row r="119" spans="1:28">
      <c r="A119" s="2">
        <v>116</v>
      </c>
      <c r="B119" s="2" t="s">
        <v>586</v>
      </c>
      <c r="C119" s="2" t="s">
        <v>2273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42704580.222445525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42704580.222445525</v>
      </c>
      <c r="Y119" s="6" t="s">
        <v>1195</v>
      </c>
      <c r="Z119" s="6" t="s">
        <v>1195</v>
      </c>
      <c r="AA119" s="2">
        <f>AA118</f>
        <v>42732084.950248264</v>
      </c>
      <c r="AB119" s="2">
        <v>0</v>
      </c>
    </row>
    <row r="120" spans="1:28">
      <c r="A120" s="2">
        <v>117</v>
      </c>
      <c r="B120" s="2" t="s">
        <v>592</v>
      </c>
      <c r="C120" s="2" t="s">
        <v>2273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594</v>
      </c>
      <c r="J120" s="2" t="s">
        <v>42</v>
      </c>
      <c r="K120" s="2">
        <f t="shared" si="18"/>
        <v>42704580.222445525</v>
      </c>
      <c r="L120" s="2" t="s">
        <v>1565</v>
      </c>
      <c r="M120" s="2" t="s">
        <v>1572</v>
      </c>
      <c r="N120" s="2" t="s">
        <v>1565</v>
      </c>
      <c r="O120" s="2">
        <v>300</v>
      </c>
      <c r="P120" s="2">
        <v>3188.727783203125</v>
      </c>
      <c r="Q120" s="2">
        <v>3206.640625</v>
      </c>
      <c r="R120" s="2">
        <f>O120*P120</f>
        <v>956618.3349609375</v>
      </c>
      <c r="S120" s="2">
        <f>O120*Q120</f>
        <v>961992.1875</v>
      </c>
      <c r="T120" s="2">
        <f>R120+S120</f>
        <v>1918610.5224609375</v>
      </c>
      <c r="U120" s="2">
        <f>ROUND(T120*0.0005, 2)</f>
        <v>959.31</v>
      </c>
      <c r="V120" s="2">
        <f>S120-R120</f>
        <v>5373.8525390625</v>
      </c>
      <c r="W120" s="2">
        <f>V120-U120</f>
        <v>4414.5425390625005</v>
      </c>
      <c r="X120" s="2">
        <f>K120+W120</f>
        <v>42708994.764984585</v>
      </c>
      <c r="Y120" s="2">
        <f>ROUND(0.2*R120, 2)</f>
        <v>191323.67</v>
      </c>
      <c r="Z120" s="2">
        <f>ROUND((W120/Y120)*100, 2)</f>
        <v>2.31</v>
      </c>
      <c r="AA120" s="2">
        <f>MAX(AA119, X120)</f>
        <v>42732084.950248264</v>
      </c>
      <c r="AB120" s="2">
        <f>X120-AA120</f>
        <v>-23090.185263678432</v>
      </c>
    </row>
    <row r="121" spans="1:28">
      <c r="A121" s="2">
        <v>118</v>
      </c>
      <c r="B121" s="2" t="s">
        <v>597</v>
      </c>
      <c r="C121" s="2" t="s">
        <v>2273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42708994.764984585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42708994.764984585</v>
      </c>
      <c r="Y121" s="6" t="s">
        <v>1195</v>
      </c>
      <c r="Z121" s="6" t="s">
        <v>1195</v>
      </c>
      <c r="AA121" s="2">
        <f>AA120</f>
        <v>42732084.950248264</v>
      </c>
      <c r="AB121" s="2">
        <v>0</v>
      </c>
    </row>
    <row r="122" spans="1:28">
      <c r="A122" s="2">
        <v>119</v>
      </c>
      <c r="B122" s="2" t="s">
        <v>601</v>
      </c>
      <c r="C122" s="2" t="s">
        <v>2273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42708994.764984585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42708994.764984585</v>
      </c>
      <c r="Y122" s="6" t="s">
        <v>1195</v>
      </c>
      <c r="Z122" s="6" t="s">
        <v>1195</v>
      </c>
      <c r="AA122" s="2">
        <f>AA121</f>
        <v>42732084.950248264</v>
      </c>
      <c r="AB122" s="2">
        <v>0</v>
      </c>
    </row>
    <row r="123" spans="1:28">
      <c r="A123" s="2">
        <v>120</v>
      </c>
      <c r="B123" s="2" t="s">
        <v>605</v>
      </c>
      <c r="C123" s="2" t="s">
        <v>2273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42708994.764984585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42708994.764984585</v>
      </c>
      <c r="Y123" s="6" t="s">
        <v>1195</v>
      </c>
      <c r="Z123" s="6" t="s">
        <v>1195</v>
      </c>
      <c r="AA123" s="2">
        <f>AA122</f>
        <v>42732084.950248264</v>
      </c>
      <c r="AB123" s="2">
        <v>0</v>
      </c>
    </row>
    <row r="124" spans="1:28">
      <c r="A124" s="2">
        <v>121</v>
      </c>
      <c r="B124" s="2" t="s">
        <v>609</v>
      </c>
      <c r="C124" s="2" t="s">
        <v>2273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2153</v>
      </c>
      <c r="J124" s="2" t="s">
        <v>2154</v>
      </c>
      <c r="K124" s="2">
        <f t="shared" si="18"/>
        <v>42708994.764984585</v>
      </c>
      <c r="L124" s="2" t="s">
        <v>1572</v>
      </c>
      <c r="M124" s="2" t="s">
        <v>1568</v>
      </c>
      <c r="N124" s="2" t="s">
        <v>1558</v>
      </c>
      <c r="O124" s="2">
        <v>350</v>
      </c>
      <c r="P124" s="2">
        <v>2128.736083984375</v>
      </c>
      <c r="Q124" s="2">
        <v>2458.535400390625</v>
      </c>
      <c r="R124" s="2">
        <f>O124*P124</f>
        <v>745057.62939453125</v>
      </c>
      <c r="S124" s="2">
        <f>O124*Q124</f>
        <v>860487.39013671875</v>
      </c>
      <c r="T124" s="2">
        <f>R124+S124</f>
        <v>1605545.01953125</v>
      </c>
      <c r="U124" s="2">
        <f>ROUND(T124*0.0005, 2)</f>
        <v>802.77</v>
      </c>
      <c r="V124" s="2">
        <f>S124-R124</f>
        <v>115429.7607421875</v>
      </c>
      <c r="W124" s="2">
        <f>V124-U124</f>
        <v>114626.9907421875</v>
      </c>
      <c r="X124" s="2">
        <f>K124+W124</f>
        <v>42823621.75572677</v>
      </c>
      <c r="Y124" s="2">
        <f>ROUND(0.2*R124, 2)</f>
        <v>149011.53</v>
      </c>
      <c r="Z124" s="2">
        <f>ROUND((W124/Y124)*100, 2)</f>
        <v>76.92</v>
      </c>
      <c r="AA124" s="2">
        <f>MAX(AA123, X124)</f>
        <v>42823621.75572677</v>
      </c>
      <c r="AB124" s="2">
        <f>X124-AA124</f>
        <v>0</v>
      </c>
    </row>
    <row r="125" spans="1:28">
      <c r="A125" s="2">
        <v>122</v>
      </c>
      <c r="B125" s="2" t="s">
        <v>613</v>
      </c>
      <c r="C125" s="2" t="s">
        <v>2273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42823621.75572677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42823621.75572677</v>
      </c>
      <c r="Y125" s="6" t="s">
        <v>1195</v>
      </c>
      <c r="Z125" s="6" t="s">
        <v>1195</v>
      </c>
      <c r="AA125" s="2">
        <f>AA124</f>
        <v>42823621.75572677</v>
      </c>
      <c r="AB125" s="2">
        <v>0</v>
      </c>
    </row>
    <row r="126" spans="1:28">
      <c r="A126" s="2">
        <v>123</v>
      </c>
      <c r="B126" s="2" t="s">
        <v>617</v>
      </c>
      <c r="C126" s="2" t="s">
        <v>2273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42823621.75572677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42823621.75572677</v>
      </c>
      <c r="Y126" s="6" t="s">
        <v>1195</v>
      </c>
      <c r="Z126" s="6" t="s">
        <v>1195</v>
      </c>
      <c r="AA126" s="2">
        <f>AA125</f>
        <v>42823621.75572677</v>
      </c>
      <c r="AB126" s="2">
        <v>0</v>
      </c>
    </row>
    <row r="127" spans="1:28">
      <c r="A127" s="2">
        <v>124</v>
      </c>
      <c r="B127" s="2" t="s">
        <v>621</v>
      </c>
      <c r="C127" s="2" t="s">
        <v>2273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42823621.75572677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42823621.75572677</v>
      </c>
      <c r="Y127" s="6" t="s">
        <v>1195</v>
      </c>
      <c r="Z127" s="6" t="s">
        <v>1195</v>
      </c>
      <c r="AA127" s="2">
        <f>AA126</f>
        <v>42823621.75572677</v>
      </c>
      <c r="AB127" s="2">
        <v>0</v>
      </c>
    </row>
    <row r="128" spans="1:28">
      <c r="A128" s="2">
        <v>125</v>
      </c>
      <c r="B128" s="2" t="s">
        <v>625</v>
      </c>
      <c r="C128" s="2" t="s">
        <v>2273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42823621.75572677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42823621.75572677</v>
      </c>
      <c r="Y128" s="6" t="s">
        <v>1195</v>
      </c>
      <c r="Z128" s="6" t="s">
        <v>1195</v>
      </c>
      <c r="AA128" s="2">
        <f>AA127</f>
        <v>42823621.75572677</v>
      </c>
      <c r="AB128" s="2">
        <v>0</v>
      </c>
    </row>
    <row r="129" spans="1:28">
      <c r="A129" s="2">
        <v>126</v>
      </c>
      <c r="B129" s="2" t="s">
        <v>629</v>
      </c>
      <c r="C129" s="2" t="s">
        <v>2273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619</v>
      </c>
      <c r="J129" s="2" t="s">
        <v>2155</v>
      </c>
      <c r="K129" s="2">
        <f t="shared" si="18"/>
        <v>42823621.75572677</v>
      </c>
      <c r="L129" s="2" t="s">
        <v>1629</v>
      </c>
      <c r="M129" s="2" t="s">
        <v>1591</v>
      </c>
      <c r="N129" s="2" t="s">
        <v>1639</v>
      </c>
      <c r="O129" s="2">
        <v>100</v>
      </c>
      <c r="P129" s="2">
        <v>12561.6083984375</v>
      </c>
      <c r="Q129" s="2">
        <v>12685.630859375</v>
      </c>
      <c r="R129" s="2">
        <f>O129*P129</f>
        <v>1256160.83984375</v>
      </c>
      <c r="S129" s="2">
        <f>O129*Q129</f>
        <v>1268563.0859375</v>
      </c>
      <c r="T129" s="2">
        <f>R129+S129</f>
        <v>2524723.92578125</v>
      </c>
      <c r="U129" s="2">
        <f>ROUND(T129*0.0005, 2)</f>
        <v>1262.3599999999999</v>
      </c>
      <c r="V129" s="2">
        <f>S129-R129</f>
        <v>12402.24609375</v>
      </c>
      <c r="W129" s="2">
        <f>V129-U129</f>
        <v>11139.886093749999</v>
      </c>
      <c r="X129" s="2">
        <f>K129+W129</f>
        <v>42834761.64182052</v>
      </c>
      <c r="Y129" s="2">
        <f>ROUND(0.2*R129, 2)</f>
        <v>251232.17</v>
      </c>
      <c r="Z129" s="2">
        <f>ROUND((W129/Y129)*100, 2)</f>
        <v>4.43</v>
      </c>
      <c r="AA129" s="2">
        <f>MAX(AA128, X129)</f>
        <v>42834761.64182052</v>
      </c>
      <c r="AB129" s="2">
        <f>X129-AA129</f>
        <v>0</v>
      </c>
    </row>
    <row r="130" spans="1:28">
      <c r="A130" s="2">
        <v>127</v>
      </c>
      <c r="B130" s="2" t="s">
        <v>632</v>
      </c>
      <c r="C130" s="2" t="s">
        <v>2273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1229</v>
      </c>
      <c r="J130" s="2" t="s">
        <v>1315</v>
      </c>
      <c r="K130" s="2">
        <f t="shared" si="18"/>
        <v>42834761.64182052</v>
      </c>
      <c r="L130" s="2" t="s">
        <v>2296</v>
      </c>
      <c r="M130" s="2" t="s">
        <v>2308</v>
      </c>
      <c r="N130" s="2" t="s">
        <v>2309</v>
      </c>
      <c r="O130" s="2">
        <v>922</v>
      </c>
      <c r="P130" s="2">
        <v>365.73211669921881</v>
      </c>
      <c r="Q130" s="2">
        <v>363.29754638671881</v>
      </c>
      <c r="R130" s="2">
        <f>O130*P130</f>
        <v>337205.01159667975</v>
      </c>
      <c r="S130" s="2">
        <f>O130*Q130</f>
        <v>334960.33776855475</v>
      </c>
      <c r="T130" s="2">
        <f>R130+S130</f>
        <v>672165.34936523449</v>
      </c>
      <c r="U130" s="2">
        <f>ROUND(T130*0.0005, 2)</f>
        <v>336.08</v>
      </c>
      <c r="V130" s="2">
        <f>S130-R130</f>
        <v>-2244.673828125</v>
      </c>
      <c r="W130" s="2">
        <f>V130-U130</f>
        <v>-2580.7538281249999</v>
      </c>
      <c r="X130" s="2">
        <f>K130+W130</f>
        <v>42832180.887992397</v>
      </c>
      <c r="Y130" s="2">
        <f>ROUND(0.2*R130, 2)</f>
        <v>67441</v>
      </c>
      <c r="Z130" s="2">
        <f>ROUND((W130/Y130)*100, 2)</f>
        <v>-3.83</v>
      </c>
      <c r="AA130" s="2">
        <f>MAX(AA129, X130)</f>
        <v>42834761.64182052</v>
      </c>
      <c r="AB130" s="2">
        <f>X130-AA130</f>
        <v>-2580.7538281232119</v>
      </c>
    </row>
    <row r="131" spans="1:28">
      <c r="A131" s="2">
        <v>128</v>
      </c>
      <c r="B131" s="2" t="s">
        <v>637</v>
      </c>
      <c r="C131" s="2" t="s">
        <v>2273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42832180.887992397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42832180.887992397</v>
      </c>
      <c r="Y131" s="6" t="s">
        <v>1195</v>
      </c>
      <c r="Z131" s="6" t="s">
        <v>1195</v>
      </c>
      <c r="AA131" s="2">
        <f t="shared" ref="AA131:AA136" si="20">AA130</f>
        <v>42834761.64182052</v>
      </c>
      <c r="AB131" s="2">
        <v>0</v>
      </c>
    </row>
    <row r="132" spans="1:28">
      <c r="A132" s="2">
        <v>129</v>
      </c>
      <c r="B132" s="2" t="s">
        <v>640</v>
      </c>
      <c r="C132" s="2" t="s">
        <v>2273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42832180.887992397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42832180.887992397</v>
      </c>
      <c r="Y132" s="6" t="s">
        <v>1195</v>
      </c>
      <c r="Z132" s="6" t="s">
        <v>1195</v>
      </c>
      <c r="AA132" s="2">
        <f t="shared" si="20"/>
        <v>42834761.64182052</v>
      </c>
      <c r="AB132" s="2">
        <v>0</v>
      </c>
    </row>
    <row r="133" spans="1:28">
      <c r="A133" s="2">
        <v>130</v>
      </c>
      <c r="B133" s="2" t="s">
        <v>647</v>
      </c>
      <c r="C133" s="2" t="s">
        <v>2273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42832180.887992397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42832180.887992397</v>
      </c>
      <c r="Y133" s="6" t="s">
        <v>1195</v>
      </c>
      <c r="Z133" s="6" t="s">
        <v>1195</v>
      </c>
      <c r="AA133" s="2">
        <f t="shared" si="20"/>
        <v>42834761.64182052</v>
      </c>
      <c r="AB133" s="2">
        <v>0</v>
      </c>
    </row>
    <row r="134" spans="1:28">
      <c r="A134" s="2">
        <v>131</v>
      </c>
      <c r="B134" s="2" t="s">
        <v>651</v>
      </c>
      <c r="C134" s="2" t="s">
        <v>2273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42832180.887992397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42832180.887992397</v>
      </c>
      <c r="Y134" s="6" t="s">
        <v>1195</v>
      </c>
      <c r="Z134" s="6" t="s">
        <v>1195</v>
      </c>
      <c r="AA134" s="2">
        <f t="shared" si="20"/>
        <v>42834761.64182052</v>
      </c>
      <c r="AB134" s="2">
        <v>0</v>
      </c>
    </row>
    <row r="135" spans="1:28">
      <c r="A135" s="2">
        <v>132</v>
      </c>
      <c r="B135" s="2" t="s">
        <v>654</v>
      </c>
      <c r="C135" s="2" t="s">
        <v>2273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42832180.887992397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42832180.887992397</v>
      </c>
      <c r="Y135" s="6" t="s">
        <v>1195</v>
      </c>
      <c r="Z135" s="6" t="s">
        <v>1195</v>
      </c>
      <c r="AA135" s="2">
        <f t="shared" si="20"/>
        <v>42834761.64182052</v>
      </c>
      <c r="AB135" s="2">
        <v>0</v>
      </c>
    </row>
    <row r="136" spans="1:28">
      <c r="A136" s="2">
        <v>133</v>
      </c>
      <c r="B136" s="2" t="s">
        <v>656</v>
      </c>
      <c r="C136" s="2" t="s">
        <v>2273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42832180.887992397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42832180.887992397</v>
      </c>
      <c r="Y136" s="6" t="s">
        <v>1195</v>
      </c>
      <c r="Z136" s="6" t="s">
        <v>1195</v>
      </c>
      <c r="AA136" s="2">
        <f t="shared" si="20"/>
        <v>42834761.64182052</v>
      </c>
      <c r="AB136" s="2">
        <v>0</v>
      </c>
    </row>
    <row r="137" spans="1:28">
      <c r="A137" s="2">
        <v>134</v>
      </c>
      <c r="B137" s="2" t="s">
        <v>658</v>
      </c>
      <c r="C137" s="2" t="s">
        <v>2273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786</v>
      </c>
      <c r="J137" s="2" t="s">
        <v>373</v>
      </c>
      <c r="K137" s="2">
        <f t="shared" si="21"/>
        <v>42832180.887992397</v>
      </c>
      <c r="L137" s="2" t="s">
        <v>2264</v>
      </c>
      <c r="M137" s="2" t="s">
        <v>2265</v>
      </c>
      <c r="N137" s="2" t="s">
        <v>2266</v>
      </c>
      <c r="O137" s="2">
        <v>332</v>
      </c>
      <c r="P137" s="2">
        <v>2568.085693359375</v>
      </c>
      <c r="Q137" s="2">
        <v>2653.364501953125</v>
      </c>
      <c r="R137" s="2">
        <f>O137*P137</f>
        <v>852604.4501953125</v>
      </c>
      <c r="S137" s="2">
        <f>O137*Q137</f>
        <v>880917.0146484375</v>
      </c>
      <c r="T137" s="2">
        <f>R137+S137</f>
        <v>1733521.46484375</v>
      </c>
      <c r="U137" s="2">
        <f>ROUND(T137*0.0005, 2)</f>
        <v>866.76</v>
      </c>
      <c r="V137" s="2">
        <f>S137-R137</f>
        <v>28312.564453125</v>
      </c>
      <c r="W137" s="2">
        <f>V137-U137</f>
        <v>27445.804453125002</v>
      </c>
      <c r="X137" s="2">
        <f>K137+W137</f>
        <v>42859626.692445524</v>
      </c>
      <c r="Y137" s="2">
        <f>ROUND(0.2*R137, 2)</f>
        <v>170520.89</v>
      </c>
      <c r="Z137" s="2">
        <f>ROUND((W137/Y137)*100, 2)</f>
        <v>16.100000000000001</v>
      </c>
      <c r="AA137" s="2">
        <f>MAX(AA136, X137)</f>
        <v>42859626.692445524</v>
      </c>
      <c r="AB137" s="2">
        <f>X137-AA137</f>
        <v>0</v>
      </c>
    </row>
    <row r="138" spans="1:28">
      <c r="A138" s="2">
        <v>135</v>
      </c>
      <c r="B138" s="2" t="s">
        <v>661</v>
      </c>
      <c r="C138" s="2" t="s">
        <v>2273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42859626.692445524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>K138</f>
        <v>42859626.692445524</v>
      </c>
      <c r="Y138" s="6" t="s">
        <v>1195</v>
      </c>
      <c r="Z138" s="6" t="s">
        <v>1195</v>
      </c>
      <c r="AA138" s="2">
        <f>AA137</f>
        <v>42859626.692445524</v>
      </c>
      <c r="AB138" s="2">
        <v>0</v>
      </c>
    </row>
    <row r="139" spans="1:28">
      <c r="A139" s="2">
        <v>136</v>
      </c>
      <c r="B139" s="2" t="s">
        <v>664</v>
      </c>
      <c r="C139" s="2" t="s">
        <v>2273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42859626.692445524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>K139</f>
        <v>42859626.692445524</v>
      </c>
      <c r="Y139" s="6" t="s">
        <v>1195</v>
      </c>
      <c r="Z139" s="6" t="s">
        <v>1195</v>
      </c>
      <c r="AA139" s="2">
        <f>AA138</f>
        <v>42859626.692445524</v>
      </c>
      <c r="AB139" s="2">
        <v>0</v>
      </c>
    </row>
    <row r="140" spans="1:28">
      <c r="A140" s="2">
        <v>137</v>
      </c>
      <c r="B140" s="2" t="s">
        <v>667</v>
      </c>
      <c r="C140" s="2" t="s">
        <v>2273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42859626.692445524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>K140</f>
        <v>42859626.692445524</v>
      </c>
      <c r="Y140" s="6" t="s">
        <v>1195</v>
      </c>
      <c r="Z140" s="6" t="s">
        <v>1195</v>
      </c>
      <c r="AA140" s="2">
        <f>AA139</f>
        <v>42859626.692445524</v>
      </c>
      <c r="AB140" s="2">
        <v>0</v>
      </c>
    </row>
    <row r="141" spans="1:28">
      <c r="A141" s="2">
        <v>138</v>
      </c>
      <c r="B141" s="2" t="s">
        <v>670</v>
      </c>
      <c r="C141" s="2" t="s">
        <v>2273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42859626.692445524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>K141</f>
        <v>42859626.692445524</v>
      </c>
      <c r="Y141" s="6" t="s">
        <v>1195</v>
      </c>
      <c r="Z141" s="6" t="s">
        <v>1195</v>
      </c>
      <c r="AA141" s="2">
        <f>AA140</f>
        <v>42859626.692445524</v>
      </c>
      <c r="AB141" s="2">
        <v>0</v>
      </c>
    </row>
    <row r="142" spans="1:28">
      <c r="A142" s="2">
        <v>139</v>
      </c>
      <c r="B142" s="2" t="s">
        <v>674</v>
      </c>
      <c r="C142" s="2" t="s">
        <v>2273</v>
      </c>
      <c r="D142" s="3" t="s">
        <v>37</v>
      </c>
      <c r="E142" s="5" t="s">
        <v>134</v>
      </c>
      <c r="F142" s="2" t="s">
        <v>675</v>
      </c>
      <c r="G142" s="2" t="s">
        <v>63</v>
      </c>
      <c r="H142" s="2" t="s">
        <v>676</v>
      </c>
      <c r="I142" s="2" t="s">
        <v>319</v>
      </c>
      <c r="J142" s="2" t="s">
        <v>2310</v>
      </c>
      <c r="K142" s="2">
        <f t="shared" si="21"/>
        <v>42859626.692445524</v>
      </c>
      <c r="L142" s="2" t="s">
        <v>2311</v>
      </c>
      <c r="M142" s="2" t="s">
        <v>2312</v>
      </c>
      <c r="N142" s="2" t="s">
        <v>2311</v>
      </c>
      <c r="O142" s="2">
        <v>200</v>
      </c>
      <c r="P142" s="2">
        <v>121.31504821777339</v>
      </c>
      <c r="Q142" s="2">
        <v>122.2781982421875</v>
      </c>
      <c r="R142" s="2">
        <f>O142*P142</f>
        <v>24263.00964355468</v>
      </c>
      <c r="S142" s="2">
        <f>O142*Q142</f>
        <v>24455.6396484375</v>
      </c>
      <c r="T142" s="2">
        <f>R142+S142</f>
        <v>48718.64929199218</v>
      </c>
      <c r="U142" s="2">
        <f>ROUND(T142*0.0005, 2)</f>
        <v>24.36</v>
      </c>
      <c r="V142" s="2">
        <f>S142-R142</f>
        <v>192.63000488281978</v>
      </c>
      <c r="W142" s="2">
        <f>V142-U142</f>
        <v>168.27000488281976</v>
      </c>
      <c r="X142" s="2">
        <f>K142+W142</f>
        <v>42859794.962450407</v>
      </c>
      <c r="Y142" s="2">
        <f>ROUND(0.2*R142, 2)</f>
        <v>4852.6000000000004</v>
      </c>
      <c r="Z142" s="2">
        <f>ROUND((W142/Y142)*100, 2)</f>
        <v>3.47</v>
      </c>
      <c r="AA142" s="2">
        <f>MAX(AA141, X142)</f>
        <v>42859794.962450407</v>
      </c>
      <c r="AB142" s="2">
        <f>X142-AA142</f>
        <v>0</v>
      </c>
    </row>
    <row r="143" spans="1:28">
      <c r="A143" s="2">
        <v>140</v>
      </c>
      <c r="B143" s="2" t="s">
        <v>678</v>
      </c>
      <c r="C143" s="2" t="s">
        <v>2273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42859794.962450407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>K143</f>
        <v>42859794.962450407</v>
      </c>
      <c r="Y143" s="6" t="s">
        <v>1195</v>
      </c>
      <c r="Z143" s="6" t="s">
        <v>1195</v>
      </c>
      <c r="AA143" s="2">
        <f>AA142</f>
        <v>42859794.962450407</v>
      </c>
      <c r="AB143" s="2">
        <v>0</v>
      </c>
    </row>
    <row r="144" spans="1:28">
      <c r="A144" s="2">
        <v>141</v>
      </c>
      <c r="B144" s="2" t="s">
        <v>681</v>
      </c>
      <c r="C144" s="2" t="s">
        <v>2273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42859794.962450407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>K144</f>
        <v>42859794.962450407</v>
      </c>
      <c r="Y144" s="6" t="s">
        <v>1195</v>
      </c>
      <c r="Z144" s="6" t="s">
        <v>1195</v>
      </c>
      <c r="AA144" s="2">
        <f>AA143</f>
        <v>42859794.962450407</v>
      </c>
      <c r="AB144" s="2">
        <v>0</v>
      </c>
    </row>
    <row r="145" spans="1:28">
      <c r="A145" s="2">
        <v>142</v>
      </c>
      <c r="B145" s="2" t="s">
        <v>685</v>
      </c>
      <c r="C145" s="2" t="s">
        <v>2273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2162</v>
      </c>
      <c r="J145" s="2" t="s">
        <v>2163</v>
      </c>
      <c r="K145" s="2">
        <f t="shared" si="21"/>
        <v>42859794.962450407</v>
      </c>
      <c r="L145" s="2" t="s">
        <v>1603</v>
      </c>
      <c r="M145" s="2" t="s">
        <v>1805</v>
      </c>
      <c r="N145" s="2" t="s">
        <v>1541</v>
      </c>
      <c r="O145" s="2">
        <v>1500</v>
      </c>
      <c r="P145" s="2">
        <v>342.2366943359375</v>
      </c>
      <c r="Q145" s="2">
        <v>344.47695922851563</v>
      </c>
      <c r="R145" s="2">
        <f>O145*P145</f>
        <v>513355.04150390625</v>
      </c>
      <c r="S145" s="2">
        <f>O145*Q145</f>
        <v>516715.43884277344</v>
      </c>
      <c r="T145" s="2">
        <f>R145+S145</f>
        <v>1030070.4803466797</v>
      </c>
      <c r="U145" s="2">
        <f>ROUND(T145*0.0005, 2)</f>
        <v>515.04</v>
      </c>
      <c r="V145" s="2">
        <f>S145-R145</f>
        <v>3360.3973388671875</v>
      </c>
      <c r="W145" s="2">
        <f>V145-U145</f>
        <v>2845.3573388671875</v>
      </c>
      <c r="X145" s="2">
        <f>K145+W145</f>
        <v>42862640.319789276</v>
      </c>
      <c r="Y145" s="2">
        <f>ROUND(0.2*R145, 2)</f>
        <v>102671.01</v>
      </c>
      <c r="Z145" s="2">
        <f>ROUND((W145/Y145)*100, 2)</f>
        <v>2.77</v>
      </c>
      <c r="AA145" s="2">
        <f>MAX(AA144, X145)</f>
        <v>42862640.319789276</v>
      </c>
      <c r="AB145" s="2">
        <f>X145-AA145</f>
        <v>0</v>
      </c>
    </row>
    <row r="146" spans="1:28">
      <c r="A146" s="2">
        <v>143</v>
      </c>
      <c r="B146" s="2" t="s">
        <v>689</v>
      </c>
      <c r="C146" s="2" t="s">
        <v>2273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42862640.319789276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42862640.319789276</v>
      </c>
      <c r="Y146" s="6" t="s">
        <v>1195</v>
      </c>
      <c r="Z146" s="6" t="s">
        <v>1195</v>
      </c>
      <c r="AA146" s="2">
        <f>AA145</f>
        <v>42862640.319789276</v>
      </c>
      <c r="AB146" s="2">
        <v>0</v>
      </c>
    </row>
    <row r="147" spans="1:28">
      <c r="A147" s="2">
        <v>144</v>
      </c>
      <c r="B147" s="2" t="s">
        <v>692</v>
      </c>
      <c r="C147" s="2" t="s">
        <v>2273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42862640.319789276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42862640.319789276</v>
      </c>
      <c r="Y147" s="6" t="s">
        <v>1195</v>
      </c>
      <c r="Z147" s="6" t="s">
        <v>1195</v>
      </c>
      <c r="AA147" s="2">
        <f>AA146</f>
        <v>42862640.319789276</v>
      </c>
      <c r="AB147" s="2">
        <v>0</v>
      </c>
    </row>
    <row r="148" spans="1:28">
      <c r="A148" s="2">
        <v>145</v>
      </c>
      <c r="B148" s="2" t="s">
        <v>696</v>
      </c>
      <c r="C148" s="2" t="s">
        <v>2273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42862640.319789276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42862640.319789276</v>
      </c>
      <c r="Y148" s="6" t="s">
        <v>1195</v>
      </c>
      <c r="Z148" s="6" t="s">
        <v>1195</v>
      </c>
      <c r="AA148" s="2">
        <f>AA147</f>
        <v>42862640.319789276</v>
      </c>
      <c r="AB148" s="2">
        <v>0</v>
      </c>
    </row>
    <row r="149" spans="1:28">
      <c r="A149" s="2">
        <v>146</v>
      </c>
      <c r="B149" s="2" t="s">
        <v>701</v>
      </c>
      <c r="C149" s="2" t="s">
        <v>2273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42862640.319789276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42862640.319789276</v>
      </c>
      <c r="Y149" s="6" t="s">
        <v>1195</v>
      </c>
      <c r="Z149" s="6" t="s">
        <v>1195</v>
      </c>
      <c r="AA149" s="2">
        <f>AA148</f>
        <v>42862640.319789276</v>
      </c>
      <c r="AB149" s="2">
        <v>0</v>
      </c>
    </row>
    <row r="150" spans="1:28">
      <c r="A150" s="2">
        <v>147</v>
      </c>
      <c r="B150" s="2" t="s">
        <v>705</v>
      </c>
      <c r="C150" s="2" t="s">
        <v>2273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1197</v>
      </c>
      <c r="J150" s="2" t="s">
        <v>2164</v>
      </c>
      <c r="K150" s="2">
        <f t="shared" si="21"/>
        <v>42862640.319789276</v>
      </c>
      <c r="L150" s="2" t="s">
        <v>1559</v>
      </c>
      <c r="M150" s="2" t="s">
        <v>1615</v>
      </c>
      <c r="N150" s="2" t="s">
        <v>1568</v>
      </c>
      <c r="O150" s="2">
        <v>3750</v>
      </c>
      <c r="P150" s="2">
        <v>247.10969543457031</v>
      </c>
      <c r="Q150" s="2">
        <v>243.46116638183599</v>
      </c>
      <c r="R150" s="2">
        <f>O150*P150</f>
        <v>926661.35787963867</v>
      </c>
      <c r="S150" s="2">
        <f>O150*Q150</f>
        <v>912979.373931885</v>
      </c>
      <c r="T150" s="2">
        <f>R150+S150</f>
        <v>1839640.7318115237</v>
      </c>
      <c r="U150" s="2">
        <f>ROUND(T150*0.0005, 2)</f>
        <v>919.82</v>
      </c>
      <c r="V150" s="2">
        <f>S150-R150</f>
        <v>-13681.983947753673</v>
      </c>
      <c r="W150" s="2">
        <f>V150-U150</f>
        <v>-14601.803947753673</v>
      </c>
      <c r="X150" s="2">
        <f>K150+W150</f>
        <v>42848038.515841521</v>
      </c>
      <c r="Y150" s="2">
        <f>ROUND(0.2*R150, 2)</f>
        <v>185332.27</v>
      </c>
      <c r="Z150" s="2">
        <f>ROUND((W150/Y150)*100, 2)</f>
        <v>-7.88</v>
      </c>
      <c r="AA150" s="2">
        <f>MAX(AA149, X150)</f>
        <v>42862640.319789276</v>
      </c>
      <c r="AB150" s="2">
        <f>X150-AA150</f>
        <v>-14601.803947754204</v>
      </c>
    </row>
    <row r="151" spans="1:28">
      <c r="A151" s="2">
        <v>148</v>
      </c>
      <c r="B151" s="2" t="s">
        <v>708</v>
      </c>
      <c r="C151" s="2" t="s">
        <v>2273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42848038.515841521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2">K151</f>
        <v>42848038.515841521</v>
      </c>
      <c r="Y151" s="6" t="s">
        <v>1195</v>
      </c>
      <c r="Z151" s="6" t="s">
        <v>1195</v>
      </c>
      <c r="AA151" s="2">
        <f t="shared" ref="AA151:AA164" si="23">AA150</f>
        <v>42862640.319789276</v>
      </c>
      <c r="AB151" s="2">
        <v>0</v>
      </c>
    </row>
    <row r="152" spans="1:28">
      <c r="A152" s="2">
        <v>149</v>
      </c>
      <c r="B152" s="2" t="s">
        <v>710</v>
      </c>
      <c r="C152" s="2" t="s">
        <v>2273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42848038.515841521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2"/>
        <v>42848038.515841521</v>
      </c>
      <c r="Y152" s="6" t="s">
        <v>1195</v>
      </c>
      <c r="Z152" s="6" t="s">
        <v>1195</v>
      </c>
      <c r="AA152" s="2">
        <f t="shared" si="23"/>
        <v>42862640.319789276</v>
      </c>
      <c r="AB152" s="2">
        <v>0</v>
      </c>
    </row>
    <row r="153" spans="1:28">
      <c r="A153" s="2">
        <v>150</v>
      </c>
      <c r="B153" s="2" t="s">
        <v>714</v>
      </c>
      <c r="C153" s="2" t="s">
        <v>2273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42848038.515841521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2"/>
        <v>42848038.515841521</v>
      </c>
      <c r="Y153" s="6" t="s">
        <v>1195</v>
      </c>
      <c r="Z153" s="6" t="s">
        <v>1195</v>
      </c>
      <c r="AA153" s="2">
        <f t="shared" si="23"/>
        <v>42862640.319789276</v>
      </c>
      <c r="AB153" s="2">
        <v>0</v>
      </c>
    </row>
    <row r="154" spans="1:28">
      <c r="A154" s="2">
        <v>151</v>
      </c>
      <c r="B154" s="2" t="s">
        <v>718</v>
      </c>
      <c r="C154" s="2" t="s">
        <v>2273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42848038.515841521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2"/>
        <v>42848038.515841521</v>
      </c>
      <c r="Y154" s="6" t="s">
        <v>1195</v>
      </c>
      <c r="Z154" s="6" t="s">
        <v>1195</v>
      </c>
      <c r="AA154" s="2">
        <f t="shared" si="23"/>
        <v>42862640.319789276</v>
      </c>
      <c r="AB154" s="2">
        <v>0</v>
      </c>
    </row>
    <row r="155" spans="1:28">
      <c r="A155" s="2">
        <v>152</v>
      </c>
      <c r="B155" s="2" t="s">
        <v>720</v>
      </c>
      <c r="C155" s="2" t="s">
        <v>2273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42848038.515841521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2"/>
        <v>42848038.515841521</v>
      </c>
      <c r="Y155" s="6" t="s">
        <v>1195</v>
      </c>
      <c r="Z155" s="6" t="s">
        <v>1195</v>
      </c>
      <c r="AA155" s="2">
        <f t="shared" si="23"/>
        <v>42862640.319789276</v>
      </c>
      <c r="AB155" s="2">
        <v>0</v>
      </c>
    </row>
    <row r="156" spans="1:28">
      <c r="A156" s="2">
        <v>153</v>
      </c>
      <c r="B156" s="2" t="s">
        <v>723</v>
      </c>
      <c r="C156" s="2" t="s">
        <v>2273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42848038.515841521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2"/>
        <v>42848038.515841521</v>
      </c>
      <c r="Y156" s="6" t="s">
        <v>1195</v>
      </c>
      <c r="Z156" s="6" t="s">
        <v>1195</v>
      </c>
      <c r="AA156" s="2">
        <f t="shared" si="23"/>
        <v>42862640.319789276</v>
      </c>
      <c r="AB156" s="2">
        <v>0</v>
      </c>
    </row>
    <row r="157" spans="1:28">
      <c r="A157" s="2">
        <v>154</v>
      </c>
      <c r="B157" s="2" t="s">
        <v>727</v>
      </c>
      <c r="C157" s="2" t="s">
        <v>2273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42848038.515841521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2"/>
        <v>42848038.515841521</v>
      </c>
      <c r="Y157" s="6" t="s">
        <v>1195</v>
      </c>
      <c r="Z157" s="6" t="s">
        <v>1195</v>
      </c>
      <c r="AA157" s="2">
        <f t="shared" si="23"/>
        <v>42862640.319789276</v>
      </c>
      <c r="AB157" s="2">
        <v>0</v>
      </c>
    </row>
    <row r="158" spans="1:28">
      <c r="A158" s="2">
        <v>155</v>
      </c>
      <c r="B158" s="2" t="s">
        <v>729</v>
      </c>
      <c r="C158" s="2" t="s">
        <v>2273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42848038.515841521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2"/>
        <v>42848038.515841521</v>
      </c>
      <c r="Y158" s="6" t="s">
        <v>1195</v>
      </c>
      <c r="Z158" s="6" t="s">
        <v>1195</v>
      </c>
      <c r="AA158" s="2">
        <f t="shared" si="23"/>
        <v>42862640.319789276</v>
      </c>
      <c r="AB158" s="2">
        <v>0</v>
      </c>
    </row>
    <row r="159" spans="1:28">
      <c r="A159" s="2">
        <v>156</v>
      </c>
      <c r="B159" s="2" t="s">
        <v>732</v>
      </c>
      <c r="C159" s="2" t="s">
        <v>2273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42848038.515841521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2"/>
        <v>42848038.515841521</v>
      </c>
      <c r="Y159" s="6" t="s">
        <v>1195</v>
      </c>
      <c r="Z159" s="6" t="s">
        <v>1195</v>
      </c>
      <c r="AA159" s="2">
        <f t="shared" si="23"/>
        <v>42862640.319789276</v>
      </c>
      <c r="AB159" s="2">
        <v>0</v>
      </c>
    </row>
    <row r="160" spans="1:28">
      <c r="A160" s="2">
        <v>157</v>
      </c>
      <c r="B160" s="2" t="s">
        <v>736</v>
      </c>
      <c r="C160" s="2" t="s">
        <v>2273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42848038.515841521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2"/>
        <v>42848038.515841521</v>
      </c>
      <c r="Y160" s="6" t="s">
        <v>1195</v>
      </c>
      <c r="Z160" s="6" t="s">
        <v>1195</v>
      </c>
      <c r="AA160" s="2">
        <f t="shared" si="23"/>
        <v>42862640.319789276</v>
      </c>
      <c r="AB160" s="2">
        <v>0</v>
      </c>
    </row>
    <row r="161" spans="1:28">
      <c r="A161" s="2">
        <v>158</v>
      </c>
      <c r="B161" s="2" t="s">
        <v>738</v>
      </c>
      <c r="C161" s="2" t="s">
        <v>2273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42848038.515841521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2"/>
        <v>42848038.515841521</v>
      </c>
      <c r="Y161" s="6" t="s">
        <v>1195</v>
      </c>
      <c r="Z161" s="6" t="s">
        <v>1195</v>
      </c>
      <c r="AA161" s="2">
        <f t="shared" si="23"/>
        <v>42862640.319789276</v>
      </c>
      <c r="AB161" s="2">
        <v>0</v>
      </c>
    </row>
    <row r="162" spans="1:28">
      <c r="A162" s="2">
        <v>159</v>
      </c>
      <c r="B162" s="2" t="s">
        <v>741</v>
      </c>
      <c r="C162" s="2" t="s">
        <v>2273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42848038.515841521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2"/>
        <v>42848038.515841521</v>
      </c>
      <c r="Y162" s="6" t="s">
        <v>1195</v>
      </c>
      <c r="Z162" s="6" t="s">
        <v>1195</v>
      </c>
      <c r="AA162" s="2">
        <f t="shared" si="23"/>
        <v>42862640.319789276</v>
      </c>
      <c r="AB162" s="2">
        <v>0</v>
      </c>
    </row>
    <row r="163" spans="1:28">
      <c r="A163" s="2">
        <v>160</v>
      </c>
      <c r="B163" s="2" t="s">
        <v>743</v>
      </c>
      <c r="C163" s="2" t="s">
        <v>2273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42848038.515841521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2"/>
        <v>42848038.515841521</v>
      </c>
      <c r="Y163" s="6" t="s">
        <v>1195</v>
      </c>
      <c r="Z163" s="6" t="s">
        <v>1195</v>
      </c>
      <c r="AA163" s="2">
        <f t="shared" si="23"/>
        <v>42862640.319789276</v>
      </c>
      <c r="AB163" s="2">
        <v>0</v>
      </c>
    </row>
    <row r="164" spans="1:28">
      <c r="A164" s="2">
        <v>161</v>
      </c>
      <c r="B164" s="2" t="s">
        <v>746</v>
      </c>
      <c r="C164" s="2" t="s">
        <v>2273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42848038.515841521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2"/>
        <v>42848038.515841521</v>
      </c>
      <c r="Y164" s="6" t="s">
        <v>1195</v>
      </c>
      <c r="Z164" s="6" t="s">
        <v>1195</v>
      </c>
      <c r="AA164" s="2">
        <f t="shared" si="23"/>
        <v>42862640.319789276</v>
      </c>
      <c r="AB164" s="2">
        <v>0</v>
      </c>
    </row>
    <row r="165" spans="1:28">
      <c r="A165" s="2">
        <v>162</v>
      </c>
      <c r="B165" s="2" t="s">
        <v>750</v>
      </c>
      <c r="C165" s="2" t="s">
        <v>2273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2165</v>
      </c>
      <c r="J165" s="2" t="s">
        <v>2166</v>
      </c>
      <c r="K165" s="2">
        <f t="shared" si="21"/>
        <v>42848038.515841521</v>
      </c>
      <c r="L165" s="2" t="s">
        <v>1613</v>
      </c>
      <c r="M165" s="2" t="s">
        <v>1573</v>
      </c>
      <c r="N165" s="2" t="s">
        <v>1539</v>
      </c>
      <c r="O165" s="2">
        <v>1800</v>
      </c>
      <c r="P165" s="2">
        <v>287.01956176757812</v>
      </c>
      <c r="Q165" s="2">
        <v>304.84719848632812</v>
      </c>
      <c r="R165" s="2">
        <f>O165*P165</f>
        <v>516635.21118164063</v>
      </c>
      <c r="S165" s="2">
        <f>O165*Q165</f>
        <v>548724.95727539063</v>
      </c>
      <c r="T165" s="2">
        <f>R165+S165</f>
        <v>1065360.1684570312</v>
      </c>
      <c r="U165" s="2">
        <f>ROUND(T165*0.0005, 2)</f>
        <v>532.67999999999995</v>
      </c>
      <c r="V165" s="2">
        <f>S165-R165</f>
        <v>32089.74609375</v>
      </c>
      <c r="W165" s="2">
        <f>V165-U165</f>
        <v>31557.06609375</v>
      </c>
      <c r="X165" s="2">
        <f>K165+W165</f>
        <v>42879595.581935272</v>
      </c>
      <c r="Y165" s="2">
        <f>ROUND(0.2*R165, 2)</f>
        <v>103327.03999999999</v>
      </c>
      <c r="Z165" s="2">
        <f>ROUND((W165/Y165)*100, 2)</f>
        <v>30.54</v>
      </c>
      <c r="AA165" s="2">
        <f>MAX(AA164, X165)</f>
        <v>42879595.581935272</v>
      </c>
      <c r="AB165" s="2">
        <f>X165-AA165</f>
        <v>0</v>
      </c>
    </row>
    <row r="166" spans="1:28">
      <c r="A166" s="2">
        <v>163</v>
      </c>
      <c r="B166" s="2" t="s">
        <v>754</v>
      </c>
      <c r="C166" s="2" t="s">
        <v>2273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42879595.581935272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42879595.581935272</v>
      </c>
      <c r="Y166" s="6" t="s">
        <v>1195</v>
      </c>
      <c r="Z166" s="6" t="s">
        <v>1195</v>
      </c>
      <c r="AA166" s="2">
        <f>AA165</f>
        <v>42879595.581935272</v>
      </c>
      <c r="AB166" s="2">
        <v>0</v>
      </c>
    </row>
    <row r="167" spans="1:28">
      <c r="A167" s="2">
        <v>164</v>
      </c>
      <c r="B167" s="2" t="s">
        <v>758</v>
      </c>
      <c r="C167" s="2" t="s">
        <v>2273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42879595.581935272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42879595.581935272</v>
      </c>
      <c r="Y167" s="6" t="s">
        <v>1195</v>
      </c>
      <c r="Z167" s="6" t="s">
        <v>1195</v>
      </c>
      <c r="AA167" s="2">
        <f>AA166</f>
        <v>42879595.581935272</v>
      </c>
      <c r="AB167" s="2">
        <v>0</v>
      </c>
    </row>
    <row r="168" spans="1:28">
      <c r="A168" s="2">
        <v>165</v>
      </c>
      <c r="B168" s="2" t="s">
        <v>760</v>
      </c>
      <c r="C168" s="2" t="s">
        <v>2273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42879595.581935272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42879595.581935272</v>
      </c>
      <c r="Y168" s="6" t="s">
        <v>1195</v>
      </c>
      <c r="Z168" s="6" t="s">
        <v>1195</v>
      </c>
      <c r="AA168" s="2">
        <f>AA167</f>
        <v>42879595.581935272</v>
      </c>
      <c r="AB168" s="2">
        <v>0</v>
      </c>
    </row>
    <row r="169" spans="1:28">
      <c r="A169" s="2">
        <v>166</v>
      </c>
      <c r="B169" s="2" t="s">
        <v>763</v>
      </c>
      <c r="C169" s="2" t="s">
        <v>2273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42879595.581935272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42879595.581935272</v>
      </c>
      <c r="Y169" s="6" t="s">
        <v>1195</v>
      </c>
      <c r="Z169" s="6" t="s">
        <v>1195</v>
      </c>
      <c r="AA169" s="2">
        <f>AA168</f>
        <v>42879595.581935272</v>
      </c>
      <c r="AB169" s="2">
        <v>0</v>
      </c>
    </row>
    <row r="170" spans="1:28">
      <c r="A170" s="2">
        <v>167</v>
      </c>
      <c r="B170" s="2" t="s">
        <v>764</v>
      </c>
      <c r="C170" s="2" t="s">
        <v>2273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42879595.581935272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42879595.581935272</v>
      </c>
      <c r="Y170" s="6" t="s">
        <v>1195</v>
      </c>
      <c r="Z170" s="6" t="s">
        <v>1195</v>
      </c>
      <c r="AA170" s="2">
        <f>AA169</f>
        <v>42879595.581935272</v>
      </c>
      <c r="AB170" s="2">
        <v>0</v>
      </c>
    </row>
    <row r="171" spans="1:28">
      <c r="A171" s="2">
        <v>168</v>
      </c>
      <c r="B171" s="2" t="s">
        <v>769</v>
      </c>
      <c r="C171" s="2" t="s">
        <v>2273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1673</v>
      </c>
      <c r="J171" s="2" t="s">
        <v>1347</v>
      </c>
      <c r="K171" s="2">
        <f t="shared" si="21"/>
        <v>42879595.581935272</v>
      </c>
      <c r="L171" s="2" t="s">
        <v>1633</v>
      </c>
      <c r="M171" s="2" t="s">
        <v>1635</v>
      </c>
      <c r="N171" s="2" t="s">
        <v>2091</v>
      </c>
      <c r="O171" s="2">
        <v>2667</v>
      </c>
      <c r="P171" s="2">
        <v>348.14273071289062</v>
      </c>
      <c r="Q171" s="2">
        <v>356.11734008789062</v>
      </c>
      <c r="R171" s="2">
        <f>O171*P171</f>
        <v>928496.6628112793</v>
      </c>
      <c r="S171" s="2">
        <f>O171*Q171</f>
        <v>949764.9460144043</v>
      </c>
      <c r="T171" s="2">
        <f>R171+S171</f>
        <v>1878261.6088256836</v>
      </c>
      <c r="U171" s="2">
        <f>ROUND(T171*0.0005, 2)</f>
        <v>939.13</v>
      </c>
      <c r="V171" s="2">
        <f>S171-R171</f>
        <v>21268.283203125</v>
      </c>
      <c r="W171" s="2">
        <f>V171-U171</f>
        <v>20329.153203124999</v>
      </c>
      <c r="X171" s="2">
        <f>K171+W171</f>
        <v>42899924.735138394</v>
      </c>
      <c r="Y171" s="2">
        <f>ROUND(0.2*R171, 2)</f>
        <v>185699.33</v>
      </c>
      <c r="Z171" s="2">
        <f>ROUND((W171/Y171)*100, 2)</f>
        <v>10.95</v>
      </c>
      <c r="AA171" s="2">
        <f>MAX(AA170, X171)</f>
        <v>42899924.735138394</v>
      </c>
      <c r="AB171" s="2">
        <f>X171-AA171</f>
        <v>0</v>
      </c>
    </row>
    <row r="172" spans="1:28">
      <c r="A172" s="2">
        <v>169</v>
      </c>
      <c r="B172" s="2" t="s">
        <v>773</v>
      </c>
      <c r="C172" s="2" t="s">
        <v>2273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1872</v>
      </c>
      <c r="J172" s="2" t="s">
        <v>1309</v>
      </c>
      <c r="K172" s="2">
        <f t="shared" si="21"/>
        <v>42899924.735138394</v>
      </c>
      <c r="L172" s="2" t="s">
        <v>1375</v>
      </c>
      <c r="M172" s="2" t="s">
        <v>1298</v>
      </c>
      <c r="N172" s="2" t="s">
        <v>1580</v>
      </c>
      <c r="O172" s="2">
        <v>250</v>
      </c>
      <c r="P172" s="2">
        <v>1447.568481445312</v>
      </c>
      <c r="Q172" s="2">
        <v>1452.607666015625</v>
      </c>
      <c r="R172" s="2">
        <f>O172*P172</f>
        <v>361892.12036132801</v>
      </c>
      <c r="S172" s="2">
        <f>O172*Q172</f>
        <v>363151.91650390625</v>
      </c>
      <c r="T172" s="2">
        <f>R172+S172</f>
        <v>725044.03686523426</v>
      </c>
      <c r="U172" s="2">
        <f>ROUND(T172*0.0005, 2)</f>
        <v>362.52</v>
      </c>
      <c r="V172" s="2">
        <f>S172-R172</f>
        <v>1259.7961425782414</v>
      </c>
      <c r="W172" s="2">
        <f>V172-U172</f>
        <v>897.27614257824143</v>
      </c>
      <c r="X172" s="2">
        <f>K172+W172</f>
        <v>42900822.011280969</v>
      </c>
      <c r="Y172" s="2">
        <f>ROUND(0.2*R172, 2)</f>
        <v>72378.42</v>
      </c>
      <c r="Z172" s="2">
        <f>ROUND((W172/Y172)*100, 2)</f>
        <v>1.24</v>
      </c>
      <c r="AA172" s="2">
        <f>MAX(AA171, X172)</f>
        <v>42900822.011280969</v>
      </c>
      <c r="AB172" s="2">
        <f>X172-AA172</f>
        <v>0</v>
      </c>
    </row>
    <row r="173" spans="1:28">
      <c r="A173" s="2">
        <v>170</v>
      </c>
      <c r="B173" s="2" t="s">
        <v>778</v>
      </c>
      <c r="C173" s="2" t="s">
        <v>2273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42900822.011280969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42900822.011280969</v>
      </c>
      <c r="Y173" s="6" t="s">
        <v>1195</v>
      </c>
      <c r="Z173" s="6" t="s">
        <v>1195</v>
      </c>
      <c r="AA173" s="2">
        <f>AA172</f>
        <v>42900822.011280969</v>
      </c>
      <c r="AB173" s="2">
        <v>0</v>
      </c>
    </row>
    <row r="174" spans="1:28">
      <c r="A174" s="2">
        <v>171</v>
      </c>
      <c r="B174" s="2" t="s">
        <v>782</v>
      </c>
      <c r="C174" s="2" t="s">
        <v>2273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42900822.011280969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42900822.011280969</v>
      </c>
      <c r="Y174" s="6" t="s">
        <v>1195</v>
      </c>
      <c r="Z174" s="6" t="s">
        <v>1195</v>
      </c>
      <c r="AA174" s="2">
        <f>AA173</f>
        <v>42900822.011280969</v>
      </c>
      <c r="AB174" s="2">
        <v>0</v>
      </c>
    </row>
    <row r="175" spans="1:28">
      <c r="A175" s="2">
        <v>172</v>
      </c>
      <c r="B175" s="2" t="s">
        <v>784</v>
      </c>
      <c r="C175" s="2" t="s">
        <v>2273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42900822.011280969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42900822.011280969</v>
      </c>
      <c r="Y175" s="6" t="s">
        <v>1195</v>
      </c>
      <c r="Z175" s="6" t="s">
        <v>1195</v>
      </c>
      <c r="AA175" s="2">
        <f>AA174</f>
        <v>42900822.011280969</v>
      </c>
      <c r="AB175" s="2">
        <v>0</v>
      </c>
    </row>
    <row r="176" spans="1:28">
      <c r="A176" s="2">
        <v>173</v>
      </c>
      <c r="B176" s="2" t="s">
        <v>787</v>
      </c>
      <c r="C176" s="2" t="s">
        <v>2273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42900822.011280969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42900822.011280969</v>
      </c>
      <c r="Y176" s="6" t="s">
        <v>1195</v>
      </c>
      <c r="Z176" s="6" t="s">
        <v>1195</v>
      </c>
      <c r="AA176" s="2">
        <f>AA175</f>
        <v>42900822.011280969</v>
      </c>
      <c r="AB176" s="2">
        <v>0</v>
      </c>
    </row>
    <row r="177" spans="1:28">
      <c r="A177" s="2">
        <v>174</v>
      </c>
      <c r="B177" s="2" t="s">
        <v>790</v>
      </c>
      <c r="C177" s="2" t="s">
        <v>2273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657</v>
      </c>
      <c r="J177" s="2" t="s">
        <v>2313</v>
      </c>
      <c r="K177" s="2">
        <f t="shared" si="21"/>
        <v>42900822.011280969</v>
      </c>
      <c r="L177" s="2" t="s">
        <v>2314</v>
      </c>
      <c r="M177" s="2" t="s">
        <v>2315</v>
      </c>
      <c r="N177" s="2" t="s">
        <v>2316</v>
      </c>
      <c r="O177" s="2">
        <v>375</v>
      </c>
      <c r="P177" s="2">
        <v>1066.247192382812</v>
      </c>
      <c r="Q177" s="2">
        <v>1097.315551757812</v>
      </c>
      <c r="R177" s="2">
        <f>O177*P177</f>
        <v>399842.69714355451</v>
      </c>
      <c r="S177" s="2">
        <f>O177*Q177</f>
        <v>411493.33190917951</v>
      </c>
      <c r="T177" s="2">
        <f>R177+S177</f>
        <v>811336.02905273403</v>
      </c>
      <c r="U177" s="2">
        <f>ROUND(T177*0.0005, 2)</f>
        <v>405.67</v>
      </c>
      <c r="V177" s="2">
        <f>S177-R177</f>
        <v>11650.634765625</v>
      </c>
      <c r="W177" s="2">
        <f>V177-U177</f>
        <v>11244.964765625</v>
      </c>
      <c r="X177" s="2">
        <f>K177+W177</f>
        <v>42912066.976046592</v>
      </c>
      <c r="Y177" s="2">
        <f>ROUND(0.2*R177, 2)</f>
        <v>79968.539999999994</v>
      </c>
      <c r="Z177" s="2">
        <f>ROUND((W177/Y177)*100, 2)</f>
        <v>14.06</v>
      </c>
      <c r="AA177" s="2">
        <f>MAX(AA176, X177)</f>
        <v>42912066.976046592</v>
      </c>
      <c r="AB177" s="2">
        <f>X177-AA177</f>
        <v>0</v>
      </c>
    </row>
    <row r="178" spans="1:28">
      <c r="A178" s="2">
        <v>175</v>
      </c>
      <c r="B178" s="2" t="s">
        <v>794</v>
      </c>
      <c r="C178" s="2" t="s">
        <v>2273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2171</v>
      </c>
      <c r="J178" s="2" t="s">
        <v>316</v>
      </c>
      <c r="K178" s="2">
        <f t="shared" si="21"/>
        <v>42912066.976046592</v>
      </c>
      <c r="L178" s="2" t="s">
        <v>1565</v>
      </c>
      <c r="M178" s="2" t="s">
        <v>1572</v>
      </c>
      <c r="N178" s="2" t="s">
        <v>1565</v>
      </c>
      <c r="O178" s="2">
        <v>1500</v>
      </c>
      <c r="P178" s="2">
        <v>776.4129638671875</v>
      </c>
      <c r="Q178" s="2">
        <v>765.99517822265625</v>
      </c>
      <c r="R178" s="2">
        <f>O178*P178</f>
        <v>1164619.4458007813</v>
      </c>
      <c r="S178" s="2">
        <f>O178*Q178</f>
        <v>1148992.7673339844</v>
      </c>
      <c r="T178" s="2">
        <f>R178+S178</f>
        <v>2313612.2131347656</v>
      </c>
      <c r="U178" s="2">
        <f>ROUND(T178*0.0005, 2)</f>
        <v>1156.81</v>
      </c>
      <c r="V178" s="2">
        <f>S178-R178</f>
        <v>-15626.678466796875</v>
      </c>
      <c r="W178" s="2">
        <f>V178-U178</f>
        <v>-16783.488466796876</v>
      </c>
      <c r="X178" s="2">
        <f>K178+W178</f>
        <v>42895283.487579793</v>
      </c>
      <c r="Y178" s="2">
        <f>ROUND(0.2*R178, 2)</f>
        <v>232923.89</v>
      </c>
      <c r="Z178" s="2">
        <f>ROUND((W178/Y178)*100, 2)</f>
        <v>-7.21</v>
      </c>
      <c r="AA178" s="2">
        <f>MAX(AA177, X178)</f>
        <v>42912066.976046592</v>
      </c>
      <c r="AB178" s="2">
        <f>X178-AA178</f>
        <v>-16783.488466799259</v>
      </c>
    </row>
    <row r="179" spans="1:28">
      <c r="A179" s="2">
        <v>176</v>
      </c>
      <c r="B179" s="2" t="s">
        <v>798</v>
      </c>
      <c r="C179" s="2" t="s">
        <v>2273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42895283.487579793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42895283.487579793</v>
      </c>
      <c r="Y179" s="6" t="s">
        <v>1195</v>
      </c>
      <c r="Z179" s="6" t="s">
        <v>1195</v>
      </c>
      <c r="AA179" s="2">
        <f>AA178</f>
        <v>42912066.976046592</v>
      </c>
      <c r="AB179" s="2">
        <v>0</v>
      </c>
    </row>
    <row r="180" spans="1:28">
      <c r="A180" s="2">
        <v>177</v>
      </c>
      <c r="B180" s="2" t="s">
        <v>801</v>
      </c>
      <c r="C180" s="2" t="s">
        <v>2273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2172</v>
      </c>
      <c r="J180" s="2" t="s">
        <v>1276</v>
      </c>
      <c r="K180" s="2">
        <f t="shared" si="21"/>
        <v>42895283.487579793</v>
      </c>
      <c r="L180" s="2" t="s">
        <v>1374</v>
      </c>
      <c r="M180" s="2" t="s">
        <v>1557</v>
      </c>
      <c r="N180" s="2" t="s">
        <v>1467</v>
      </c>
      <c r="O180" s="2">
        <v>957</v>
      </c>
      <c r="P180" s="2">
        <v>482.14688110351562</v>
      </c>
      <c r="Q180" s="2">
        <v>500.85736083984381</v>
      </c>
      <c r="R180" s="2">
        <f>O180*P180</f>
        <v>461414.56521606445</v>
      </c>
      <c r="S180" s="2">
        <f>O180*Q180</f>
        <v>479320.49432373053</v>
      </c>
      <c r="T180" s="2">
        <f>R180+S180</f>
        <v>940735.05953979492</v>
      </c>
      <c r="U180" s="2">
        <f>ROUND(T180*0.0005, 2)</f>
        <v>470.37</v>
      </c>
      <c r="V180" s="2">
        <f>S180-R180</f>
        <v>17905.929107666074</v>
      </c>
      <c r="W180" s="2">
        <f>V180-U180</f>
        <v>17435.559107666075</v>
      </c>
      <c r="X180" s="2">
        <f>K180+W180</f>
        <v>42912719.046687461</v>
      </c>
      <c r="Y180" s="2">
        <f>ROUND(0.2*R180, 2)</f>
        <v>92282.91</v>
      </c>
      <c r="Z180" s="2">
        <f>ROUND((W180/Y180)*100, 2)</f>
        <v>18.89</v>
      </c>
      <c r="AA180" s="2">
        <f>MAX(AA179, X180)</f>
        <v>42912719.046687461</v>
      </c>
      <c r="AB180" s="2">
        <f>X180-AA180</f>
        <v>0</v>
      </c>
    </row>
    <row r="181" spans="1:28">
      <c r="A181" s="2">
        <v>178</v>
      </c>
      <c r="B181" s="2" t="s">
        <v>806</v>
      </c>
      <c r="C181" s="2" t="s">
        <v>2273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42912719.046687461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42912719.046687461</v>
      </c>
      <c r="Y181" s="6" t="s">
        <v>1195</v>
      </c>
      <c r="Z181" s="6" t="s">
        <v>1195</v>
      </c>
      <c r="AA181" s="2">
        <f>AA180</f>
        <v>42912719.046687461</v>
      </c>
      <c r="AB181" s="2">
        <v>0</v>
      </c>
    </row>
    <row r="182" spans="1:28">
      <c r="A182" s="2">
        <v>179</v>
      </c>
      <c r="B182" s="2" t="s">
        <v>809</v>
      </c>
      <c r="C182" s="2" t="s">
        <v>2273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42912719.046687461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42912719.046687461</v>
      </c>
      <c r="Y182" s="6" t="s">
        <v>1195</v>
      </c>
      <c r="Z182" s="6" t="s">
        <v>1195</v>
      </c>
      <c r="AA182" s="2">
        <f>AA181</f>
        <v>42912719.046687461</v>
      </c>
      <c r="AB182" s="2">
        <v>0</v>
      </c>
    </row>
    <row r="183" spans="1:28">
      <c r="A183" s="2">
        <v>180</v>
      </c>
      <c r="B183" s="2" t="s">
        <v>813</v>
      </c>
      <c r="C183" s="2" t="s">
        <v>2273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42912719.046687461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42912719.046687461</v>
      </c>
      <c r="Y183" s="6" t="s">
        <v>1195</v>
      </c>
      <c r="Z183" s="6" t="s">
        <v>1195</v>
      </c>
      <c r="AA183" s="2">
        <f>AA182</f>
        <v>42912719.046687461</v>
      </c>
      <c r="AB183" s="2">
        <v>0</v>
      </c>
    </row>
    <row r="184" spans="1:28">
      <c r="A184" s="2">
        <v>181</v>
      </c>
      <c r="B184" s="2" t="s">
        <v>817</v>
      </c>
      <c r="C184" s="2" t="s">
        <v>2273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42912719.046687461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42912719.046687461</v>
      </c>
      <c r="Y184" s="6" t="s">
        <v>1195</v>
      </c>
      <c r="Z184" s="6" t="s">
        <v>1195</v>
      </c>
      <c r="AA184" s="2">
        <f>AA183</f>
        <v>42912719.046687461</v>
      </c>
      <c r="AB184" s="2">
        <v>0</v>
      </c>
    </row>
    <row r="185" spans="1:28">
      <c r="A185" s="2">
        <v>182</v>
      </c>
      <c r="B185" s="2" t="s">
        <v>820</v>
      </c>
      <c r="C185" s="2" t="s">
        <v>2273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1152</v>
      </c>
      <c r="J185" s="2" t="s">
        <v>2218</v>
      </c>
      <c r="K185" s="2">
        <f t="shared" si="21"/>
        <v>42912719.046687461</v>
      </c>
      <c r="L185" s="2" t="s">
        <v>1572</v>
      </c>
      <c r="M185" s="2" t="s">
        <v>1609</v>
      </c>
      <c r="N185" s="2" t="s">
        <v>1613</v>
      </c>
      <c r="O185" s="2">
        <v>350</v>
      </c>
      <c r="P185" s="2">
        <v>1492.531982421875</v>
      </c>
      <c r="Q185" s="2">
        <v>1447.414794921875</v>
      </c>
      <c r="R185" s="2">
        <f>O185*P185</f>
        <v>522386.19384765625</v>
      </c>
      <c r="S185" s="2">
        <f>O185*Q185</f>
        <v>506595.17822265625</v>
      </c>
      <c r="T185" s="2">
        <f>R185+S185</f>
        <v>1028981.3720703125</v>
      </c>
      <c r="U185" s="2">
        <f>ROUND(T185*0.0005, 2)</f>
        <v>514.49</v>
      </c>
      <c r="V185" s="2">
        <f>S185-R185</f>
        <v>-15791.015625</v>
      </c>
      <c r="W185" s="2">
        <f>V185-U185</f>
        <v>-16305.505625</v>
      </c>
      <c r="X185" s="2">
        <f>K185+W185</f>
        <v>42896413.541062459</v>
      </c>
      <c r="Y185" s="2">
        <f>ROUND(0.2*R185, 2)</f>
        <v>104477.24</v>
      </c>
      <c r="Z185" s="2">
        <f>ROUND((W185/Y185)*100, 2)</f>
        <v>-15.61</v>
      </c>
      <c r="AA185" s="2">
        <f>MAX(AA184, X185)</f>
        <v>42912719.046687461</v>
      </c>
      <c r="AB185" s="2">
        <f>X185-AA185</f>
        <v>-16305.505625002086</v>
      </c>
    </row>
    <row r="186" spans="1:28">
      <c r="A186" s="2">
        <v>183</v>
      </c>
      <c r="B186" s="2" t="s">
        <v>823</v>
      </c>
      <c r="C186" s="2" t="s">
        <v>2273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42896413.541062459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42896413.541062459</v>
      </c>
      <c r="Y186" s="6" t="s">
        <v>1195</v>
      </c>
      <c r="Z186" s="6" t="s">
        <v>1195</v>
      </c>
      <c r="AA186" s="2">
        <f>AA185</f>
        <v>42912719.046687461</v>
      </c>
      <c r="AB186" s="2">
        <v>0</v>
      </c>
    </row>
    <row r="187" spans="1:28">
      <c r="A187" s="2">
        <v>184</v>
      </c>
      <c r="B187" s="2" t="s">
        <v>827</v>
      </c>
      <c r="C187" s="2" t="s">
        <v>2273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42896413.541062459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42896413.541062459</v>
      </c>
      <c r="Y187" s="6" t="s">
        <v>1195</v>
      </c>
      <c r="Z187" s="6" t="s">
        <v>1195</v>
      </c>
      <c r="AA187" s="2">
        <f>AA186</f>
        <v>42912719.046687461</v>
      </c>
      <c r="AB187" s="2">
        <v>0</v>
      </c>
    </row>
    <row r="188" spans="1:28">
      <c r="A188" s="2">
        <v>185</v>
      </c>
      <c r="B188" s="2" t="s">
        <v>831</v>
      </c>
      <c r="C188" s="2" t="s">
        <v>2273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42896413.541062459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42896413.541062459</v>
      </c>
      <c r="Y188" s="6" t="s">
        <v>1195</v>
      </c>
      <c r="Z188" s="6" t="s">
        <v>1195</v>
      </c>
      <c r="AA188" s="2">
        <f>AA187</f>
        <v>42912719.046687461</v>
      </c>
      <c r="AB188" s="2">
        <v>0</v>
      </c>
    </row>
    <row r="189" spans="1:28">
      <c r="A189" s="2">
        <v>186</v>
      </c>
      <c r="B189" s="2" t="s">
        <v>835</v>
      </c>
      <c r="C189" s="2" t="s">
        <v>2273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2173</v>
      </c>
      <c r="J189" s="2" t="s">
        <v>2174</v>
      </c>
      <c r="K189" s="2">
        <f t="shared" si="21"/>
        <v>42896413.541062459</v>
      </c>
      <c r="L189" s="2" t="s">
        <v>1580</v>
      </c>
      <c r="M189" s="2" t="s">
        <v>1299</v>
      </c>
      <c r="N189" s="2" t="s">
        <v>1629</v>
      </c>
      <c r="O189" s="2">
        <v>450</v>
      </c>
      <c r="P189" s="2">
        <v>1066.680297851562</v>
      </c>
      <c r="Q189" s="2">
        <v>1144.690673828125</v>
      </c>
      <c r="R189" s="2">
        <f>O189*P189</f>
        <v>480006.13403320289</v>
      </c>
      <c r="S189" s="2">
        <f>O189*Q189</f>
        <v>515110.80322265625</v>
      </c>
      <c r="T189" s="2">
        <f>R189+S189</f>
        <v>995116.93725585914</v>
      </c>
      <c r="U189" s="2">
        <f>ROUND(T189*0.0005, 2)</f>
        <v>497.56</v>
      </c>
      <c r="V189" s="2">
        <f>S189-R189</f>
        <v>35104.669189453358</v>
      </c>
      <c r="W189" s="2">
        <f>V189-U189</f>
        <v>34607.10918945336</v>
      </c>
      <c r="X189" s="2">
        <f>K189+W189</f>
        <v>42931020.65025191</v>
      </c>
      <c r="Y189" s="2">
        <f>ROUND(0.2*R189, 2)</f>
        <v>96001.23</v>
      </c>
      <c r="Z189" s="2">
        <f>ROUND((W189/Y189)*100, 2)</f>
        <v>36.049999999999997</v>
      </c>
      <c r="AA189" s="2">
        <f>MAX(AA188, X189)</f>
        <v>42931020.65025191</v>
      </c>
      <c r="AB189" s="2">
        <f>X189-AA189</f>
        <v>0</v>
      </c>
    </row>
    <row r="190" spans="1:28">
      <c r="A190" s="2">
        <v>187</v>
      </c>
      <c r="B190" s="2" t="s">
        <v>840</v>
      </c>
      <c r="C190" s="2" t="s">
        <v>2273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42931020.65025191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42931020.65025191</v>
      </c>
      <c r="Y190" s="6" t="s">
        <v>1195</v>
      </c>
      <c r="Z190" s="6" t="s">
        <v>1195</v>
      </c>
      <c r="AA190" s="2">
        <f>AA189</f>
        <v>42931020.65025191</v>
      </c>
      <c r="AB190" s="2">
        <v>0</v>
      </c>
    </row>
    <row r="191" spans="1:28">
      <c r="A191" s="2">
        <v>188</v>
      </c>
      <c r="B191" s="2" t="s">
        <v>845</v>
      </c>
      <c r="C191" s="2" t="s">
        <v>2273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42931020.65025191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42931020.65025191</v>
      </c>
      <c r="Y191" s="6" t="s">
        <v>1195</v>
      </c>
      <c r="Z191" s="6" t="s">
        <v>1195</v>
      </c>
      <c r="AA191" s="2">
        <f>AA190</f>
        <v>42931020.65025191</v>
      </c>
      <c r="AB191" s="2">
        <v>0</v>
      </c>
    </row>
    <row r="192" spans="1:28">
      <c r="A192" s="2">
        <v>189</v>
      </c>
      <c r="B192" s="2" t="s">
        <v>848</v>
      </c>
      <c r="C192" s="2" t="s">
        <v>2273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42931020.65025191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42931020.65025191</v>
      </c>
      <c r="Y192" s="6" t="s">
        <v>1195</v>
      </c>
      <c r="Z192" s="6" t="s">
        <v>1195</v>
      </c>
      <c r="AA192" s="2">
        <f>AA191</f>
        <v>42931020.65025191</v>
      </c>
      <c r="AB192" s="2">
        <v>0</v>
      </c>
    </row>
    <row r="193" spans="1:28">
      <c r="A193" s="2">
        <v>190</v>
      </c>
      <c r="B193" s="2" t="s">
        <v>851</v>
      </c>
      <c r="C193" s="2" t="s">
        <v>2273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2175</v>
      </c>
      <c r="J193" s="2" t="s">
        <v>2176</v>
      </c>
      <c r="K193" s="2">
        <f t="shared" si="21"/>
        <v>42931020.65025191</v>
      </c>
      <c r="L193" s="2" t="s">
        <v>1545</v>
      </c>
      <c r="M193" s="2" t="s">
        <v>1599</v>
      </c>
      <c r="N193" s="2" t="s">
        <v>1609</v>
      </c>
      <c r="O193" s="2">
        <v>5500</v>
      </c>
      <c r="P193" s="2">
        <v>158.80357360839841</v>
      </c>
      <c r="Q193" s="2">
        <v>157.0672607421875</v>
      </c>
      <c r="R193" s="2">
        <f>O193*P193</f>
        <v>873419.65484619129</v>
      </c>
      <c r="S193" s="2">
        <f>O193*Q193</f>
        <v>863869.93408203125</v>
      </c>
      <c r="T193" s="2">
        <f>R193+S193</f>
        <v>1737289.5889282227</v>
      </c>
      <c r="U193" s="2">
        <f>ROUND(T193*0.0005, 2)</f>
        <v>868.64</v>
      </c>
      <c r="V193" s="2">
        <f>S193-R193</f>
        <v>-9549.7207641600398</v>
      </c>
      <c r="W193" s="2">
        <f>V193-U193</f>
        <v>-10418.360764160039</v>
      </c>
      <c r="X193" s="2">
        <f>K193+W193</f>
        <v>42920602.289487749</v>
      </c>
      <c r="Y193" s="2">
        <f>ROUND(0.2*R193, 2)</f>
        <v>174683.93</v>
      </c>
      <c r="Z193" s="2">
        <f>ROUND((W193/Y193)*100, 2)</f>
        <v>-5.96</v>
      </c>
      <c r="AA193" s="2">
        <f>MAX(AA192, X193)</f>
        <v>42931020.65025191</v>
      </c>
      <c r="AB193" s="2">
        <f>X193-AA193</f>
        <v>-10418.360764160752</v>
      </c>
    </row>
    <row r="194" spans="1:28">
      <c r="A194" s="2">
        <v>191</v>
      </c>
      <c r="B194" s="2" t="s">
        <v>854</v>
      </c>
      <c r="C194" s="2" t="s">
        <v>2273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297</v>
      </c>
      <c r="J194" s="2" t="s">
        <v>548</v>
      </c>
      <c r="K194" s="2">
        <f t="shared" si="21"/>
        <v>42920602.289487749</v>
      </c>
      <c r="L194" s="2" t="s">
        <v>1373</v>
      </c>
      <c r="M194" s="2" t="s">
        <v>1466</v>
      </c>
      <c r="N194" s="2" t="s">
        <v>1547</v>
      </c>
      <c r="O194" s="2">
        <v>175</v>
      </c>
      <c r="P194" s="2">
        <v>3646.654541015625</v>
      </c>
      <c r="Q194" s="2">
        <v>3681.86083984375</v>
      </c>
      <c r="R194" s="2">
        <f>O194*P194</f>
        <v>638164.54467773438</v>
      </c>
      <c r="S194" s="2">
        <f>O194*Q194</f>
        <v>644325.64697265625</v>
      </c>
      <c r="T194" s="2">
        <f>R194+S194</f>
        <v>1282490.1916503906</v>
      </c>
      <c r="U194" s="2">
        <f>ROUND(T194*0.0005, 2)</f>
        <v>641.25</v>
      </c>
      <c r="V194" s="2">
        <f>S194-R194</f>
        <v>6161.102294921875</v>
      </c>
      <c r="W194" s="2">
        <f>V194-U194</f>
        <v>5519.852294921875</v>
      </c>
      <c r="X194" s="2">
        <f>K194+W194</f>
        <v>42926122.141782671</v>
      </c>
      <c r="Y194" s="2">
        <f>ROUND(0.2*R194, 2)</f>
        <v>127632.91</v>
      </c>
      <c r="Z194" s="2">
        <f>ROUND((W194/Y194)*100, 2)</f>
        <v>4.32</v>
      </c>
      <c r="AA194" s="2">
        <f>MAX(AA193, X194)</f>
        <v>42931020.65025191</v>
      </c>
      <c r="AB194" s="2">
        <f>X194-AA194</f>
        <v>-4898.5084692388773</v>
      </c>
    </row>
    <row r="195" spans="1:28">
      <c r="A195" s="2">
        <v>192</v>
      </c>
      <c r="B195" s="2" t="s">
        <v>860</v>
      </c>
      <c r="C195" s="2" t="s">
        <v>2273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1893</v>
      </c>
      <c r="J195" s="2" t="s">
        <v>2177</v>
      </c>
      <c r="K195" s="2">
        <f t="shared" si="21"/>
        <v>42926122.141782671</v>
      </c>
      <c r="L195" s="2" t="s">
        <v>1629</v>
      </c>
      <c r="M195" s="2" t="s">
        <v>1557</v>
      </c>
      <c r="N195" s="2" t="s">
        <v>1374</v>
      </c>
      <c r="O195" s="2">
        <v>600</v>
      </c>
      <c r="P195" s="2">
        <v>1152.607055664062</v>
      </c>
      <c r="Q195" s="2">
        <v>1092.923583984375</v>
      </c>
      <c r="R195" s="2">
        <f>O195*P195</f>
        <v>691564.23339843727</v>
      </c>
      <c r="S195" s="2">
        <f>O195*Q195</f>
        <v>655754.150390625</v>
      </c>
      <c r="T195" s="2">
        <f>R195+S195</f>
        <v>1347318.3837890623</v>
      </c>
      <c r="U195" s="2">
        <f>ROUND(T195*0.0005, 2)</f>
        <v>673.66</v>
      </c>
      <c r="V195" s="2">
        <f>S195-R195</f>
        <v>-35810.083007812267</v>
      </c>
      <c r="W195" s="2">
        <f>V195-U195</f>
        <v>-36483.743007812271</v>
      </c>
      <c r="X195" s="2">
        <f>K195+W195</f>
        <v>42889638.398774862</v>
      </c>
      <c r="Y195" s="2">
        <f>ROUND(0.2*R195, 2)</f>
        <v>138312.85</v>
      </c>
      <c r="Z195" s="2">
        <f>ROUND((W195/Y195)*100, 2)</f>
        <v>-26.38</v>
      </c>
      <c r="AA195" s="2">
        <f>MAX(AA194, X195)</f>
        <v>42931020.65025191</v>
      </c>
      <c r="AB195" s="2">
        <f>X195-AA195</f>
        <v>-41382.251477047801</v>
      </c>
    </row>
    <row r="196" spans="1:28">
      <c r="A196" s="2">
        <v>193</v>
      </c>
      <c r="B196" s="2" t="s">
        <v>865</v>
      </c>
      <c r="C196" s="2" t="s">
        <v>2273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42889638.398774862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42889638.398774862</v>
      </c>
      <c r="Y196" s="6" t="s">
        <v>1195</v>
      </c>
      <c r="Z196" s="6" t="s">
        <v>1195</v>
      </c>
      <c r="AA196" s="2">
        <f>AA195</f>
        <v>42931020.65025191</v>
      </c>
      <c r="AB196" s="2">
        <v>0</v>
      </c>
    </row>
    <row r="197" spans="1:28">
      <c r="A197" s="2">
        <v>194</v>
      </c>
      <c r="B197" s="2" t="s">
        <v>868</v>
      </c>
      <c r="C197" s="2" t="s">
        <v>2273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1381</v>
      </c>
      <c r="J197" s="2" t="s">
        <v>2178</v>
      </c>
      <c r="K197" s="2">
        <f t="shared" ref="K197:K214" si="24">X196</f>
        <v>42889638.398774862</v>
      </c>
      <c r="L197" s="2" t="s">
        <v>1299</v>
      </c>
      <c r="M197" s="2" t="s">
        <v>1581</v>
      </c>
      <c r="N197" s="2" t="s">
        <v>1557</v>
      </c>
      <c r="O197" s="2">
        <v>175</v>
      </c>
      <c r="P197" s="2">
        <v>3248.9814453125</v>
      </c>
      <c r="Q197" s="2">
        <v>3534.54150390625</v>
      </c>
      <c r="R197" s="2">
        <f>O197*P197</f>
        <v>568571.7529296875</v>
      </c>
      <c r="S197" s="2">
        <f>O197*Q197</f>
        <v>618544.76318359375</v>
      </c>
      <c r="T197" s="2">
        <f>R197+S197</f>
        <v>1187116.5161132813</v>
      </c>
      <c r="U197" s="2">
        <f>ROUND(T197*0.0005, 2)</f>
        <v>593.55999999999995</v>
      </c>
      <c r="V197" s="2">
        <f>S197-R197</f>
        <v>49973.01025390625</v>
      </c>
      <c r="W197" s="2">
        <f>V197-U197</f>
        <v>49379.450253906252</v>
      </c>
      <c r="X197" s="2">
        <f>K197+W197</f>
        <v>42939017.849028766</v>
      </c>
      <c r="Y197" s="2">
        <f>ROUND(0.2*R197, 2)</f>
        <v>113714.35</v>
      </c>
      <c r="Z197" s="2">
        <f>ROUND((W197/Y197)*100, 2)</f>
        <v>43.42</v>
      </c>
      <c r="AA197" s="2">
        <f>MAX(AA196, X197)</f>
        <v>42939017.849028766</v>
      </c>
      <c r="AB197" s="2">
        <f>X197-AA197</f>
        <v>0</v>
      </c>
    </row>
    <row r="198" spans="1:28">
      <c r="A198" s="2">
        <v>195</v>
      </c>
      <c r="B198" s="2" t="s">
        <v>873</v>
      </c>
      <c r="C198" s="2" t="s">
        <v>2273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6" t="s">
        <v>1195</v>
      </c>
      <c r="I198" s="6" t="s">
        <v>1195</v>
      </c>
      <c r="J198" s="6" t="s">
        <v>1195</v>
      </c>
      <c r="K198" s="2">
        <f t="shared" si="24"/>
        <v>42939017.849028766</v>
      </c>
      <c r="L198" s="6" t="s">
        <v>1195</v>
      </c>
      <c r="M198" s="6" t="s">
        <v>1195</v>
      </c>
      <c r="N198" s="6" t="s">
        <v>1195</v>
      </c>
      <c r="O198" s="2">
        <v>3054</v>
      </c>
      <c r="P198" s="6" t="s">
        <v>1195</v>
      </c>
      <c r="Q198" s="6" t="s">
        <v>1195</v>
      </c>
      <c r="R198" s="6" t="s">
        <v>1195</v>
      </c>
      <c r="S198" s="6" t="s">
        <v>1195</v>
      </c>
      <c r="T198" s="6" t="s">
        <v>1195</v>
      </c>
      <c r="U198" s="6" t="s">
        <v>1195</v>
      </c>
      <c r="V198" s="6" t="s">
        <v>1195</v>
      </c>
      <c r="W198" s="6" t="s">
        <v>1195</v>
      </c>
      <c r="X198" s="2">
        <f>K198</f>
        <v>42939017.849028766</v>
      </c>
      <c r="Y198" s="6" t="s">
        <v>1195</v>
      </c>
      <c r="Z198" s="6" t="s">
        <v>1195</v>
      </c>
      <c r="AA198" s="2">
        <f>AA197</f>
        <v>42939017.849028766</v>
      </c>
      <c r="AB198" s="2">
        <v>0</v>
      </c>
    </row>
    <row r="199" spans="1:28">
      <c r="A199" s="2">
        <v>196</v>
      </c>
      <c r="B199" s="2" t="s">
        <v>878</v>
      </c>
      <c r="C199" s="2" t="s">
        <v>2273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4"/>
        <v>42939017.849028766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42939017.849028766</v>
      </c>
      <c r="Y199" s="6" t="s">
        <v>1195</v>
      </c>
      <c r="Z199" s="6" t="s">
        <v>1195</v>
      </c>
      <c r="AA199" s="2">
        <f>AA198</f>
        <v>42939017.849028766</v>
      </c>
      <c r="AB199" s="2">
        <v>0</v>
      </c>
    </row>
    <row r="200" spans="1:28">
      <c r="A200" s="2">
        <v>197</v>
      </c>
      <c r="B200" s="2" t="s">
        <v>881</v>
      </c>
      <c r="C200" s="2" t="s">
        <v>2273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1126</v>
      </c>
      <c r="J200" s="2" t="s">
        <v>407</v>
      </c>
      <c r="K200" s="2">
        <f t="shared" si="24"/>
        <v>42939017.849028766</v>
      </c>
      <c r="L200" s="2" t="s">
        <v>1467</v>
      </c>
      <c r="M200" s="2" t="s">
        <v>1543</v>
      </c>
      <c r="N200" s="2" t="s">
        <v>1591</v>
      </c>
      <c r="O200" s="2">
        <v>345</v>
      </c>
      <c r="P200" s="2">
        <v>4294.05419921875</v>
      </c>
      <c r="Q200" s="2">
        <v>4492.65478515625</v>
      </c>
      <c r="R200" s="2">
        <f>O200*P200</f>
        <v>1481448.6987304687</v>
      </c>
      <c r="S200" s="2">
        <f>O200*Q200</f>
        <v>1549965.9008789062</v>
      </c>
      <c r="T200" s="2">
        <f>R200+S200</f>
        <v>3031414.599609375</v>
      </c>
      <c r="U200" s="2">
        <f>ROUND(T200*0.0005, 2)</f>
        <v>1515.71</v>
      </c>
      <c r="V200" s="2">
        <f>S200-R200</f>
        <v>68517.2021484375</v>
      </c>
      <c r="W200" s="2">
        <f>V200-U200</f>
        <v>67001.492148437494</v>
      </c>
      <c r="X200" s="2">
        <f>K200+W200</f>
        <v>43006019.341177203</v>
      </c>
      <c r="Y200" s="2">
        <f>ROUND(0.2*R200, 2)</f>
        <v>296289.74</v>
      </c>
      <c r="Z200" s="2">
        <f>ROUND((W200/Y200)*100, 2)</f>
        <v>22.61</v>
      </c>
      <c r="AA200" s="2">
        <f>MAX(AA199, X200)</f>
        <v>43006019.341177203</v>
      </c>
      <c r="AB200" s="2">
        <f>X200-AA200</f>
        <v>0</v>
      </c>
    </row>
    <row r="201" spans="1:28">
      <c r="A201" s="2">
        <v>198</v>
      </c>
      <c r="B201" s="2" t="s">
        <v>886</v>
      </c>
      <c r="C201" s="2" t="s">
        <v>2273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4"/>
        <v>43006019.341177203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43006019.341177203</v>
      </c>
      <c r="Y201" s="6" t="s">
        <v>1195</v>
      </c>
      <c r="Z201" s="6" t="s">
        <v>1195</v>
      </c>
      <c r="AA201" s="2">
        <f>AA200</f>
        <v>43006019.341177203</v>
      </c>
      <c r="AB201" s="2">
        <v>0</v>
      </c>
    </row>
    <row r="202" spans="1:28">
      <c r="A202" s="2">
        <v>199</v>
      </c>
      <c r="B202" s="2" t="s">
        <v>890</v>
      </c>
      <c r="C202" s="2" t="s">
        <v>2273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1145</v>
      </c>
      <c r="J202" s="2" t="s">
        <v>2271</v>
      </c>
      <c r="K202" s="2">
        <f t="shared" si="24"/>
        <v>43006019.341177203</v>
      </c>
      <c r="L202" s="2" t="s">
        <v>1621</v>
      </c>
      <c r="M202" s="2" t="s">
        <v>1543</v>
      </c>
      <c r="N202" s="2" t="s">
        <v>1298</v>
      </c>
      <c r="O202" s="2">
        <v>100</v>
      </c>
      <c r="P202" s="2">
        <v>9564.69140625</v>
      </c>
      <c r="Q202" s="2">
        <v>9417.650390625</v>
      </c>
      <c r="R202" s="2">
        <f>O202*P202</f>
        <v>956469.140625</v>
      </c>
      <c r="S202" s="2">
        <f>O202*Q202</f>
        <v>941765.0390625</v>
      </c>
      <c r="T202" s="2">
        <f>R202+S202</f>
        <v>1898234.1796875</v>
      </c>
      <c r="U202" s="2">
        <f>ROUND(T202*0.0005, 2)</f>
        <v>949.12</v>
      </c>
      <c r="V202" s="2">
        <f>S202-R202</f>
        <v>-14704.1015625</v>
      </c>
      <c r="W202" s="2">
        <f>V202-U202</f>
        <v>-15653.221562500001</v>
      </c>
      <c r="X202" s="2">
        <f>K202+W202</f>
        <v>42990366.119614705</v>
      </c>
      <c r="Y202" s="2">
        <f>ROUND(0.2*R202, 2)</f>
        <v>191293.83</v>
      </c>
      <c r="Z202" s="2">
        <f>ROUND((W202/Y202)*100, 2)</f>
        <v>-8.18</v>
      </c>
      <c r="AA202" s="2">
        <f>MAX(AA201, X202)</f>
        <v>43006019.341177203</v>
      </c>
      <c r="AB202" s="2">
        <f>X202-AA202</f>
        <v>-15653.221562497318</v>
      </c>
    </row>
    <row r="203" spans="1:28">
      <c r="A203" s="2">
        <v>200</v>
      </c>
      <c r="B203" s="2" t="s">
        <v>894</v>
      </c>
      <c r="C203" s="2" t="s">
        <v>2273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4"/>
        <v>42990366.119614705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5">K203</f>
        <v>42990366.119614705</v>
      </c>
      <c r="Y203" s="6" t="s">
        <v>1195</v>
      </c>
      <c r="Z203" s="6" t="s">
        <v>1195</v>
      </c>
      <c r="AA203" s="2">
        <f t="shared" ref="AA203:AA211" si="26">AA202</f>
        <v>43006019.341177203</v>
      </c>
      <c r="AB203" s="2">
        <v>0</v>
      </c>
    </row>
    <row r="204" spans="1:28">
      <c r="A204" s="2">
        <v>201</v>
      </c>
      <c r="B204" s="2" t="s">
        <v>897</v>
      </c>
      <c r="C204" s="2" t="s">
        <v>2273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4"/>
        <v>42990366.119614705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5"/>
        <v>42990366.119614705</v>
      </c>
      <c r="Y204" s="6" t="s">
        <v>1195</v>
      </c>
      <c r="Z204" s="6" t="s">
        <v>1195</v>
      </c>
      <c r="AA204" s="2">
        <f t="shared" si="26"/>
        <v>43006019.341177203</v>
      </c>
      <c r="AB204" s="2">
        <v>0</v>
      </c>
    </row>
    <row r="205" spans="1:28">
      <c r="A205" s="2">
        <v>202</v>
      </c>
      <c r="B205" s="2" t="s">
        <v>899</v>
      </c>
      <c r="C205" s="2" t="s">
        <v>2273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4"/>
        <v>42990366.119614705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5"/>
        <v>42990366.119614705</v>
      </c>
      <c r="Y205" s="6" t="s">
        <v>1195</v>
      </c>
      <c r="Z205" s="6" t="s">
        <v>1195</v>
      </c>
      <c r="AA205" s="2">
        <f t="shared" si="26"/>
        <v>43006019.341177203</v>
      </c>
      <c r="AB205" s="2">
        <v>0</v>
      </c>
    </row>
    <row r="206" spans="1:28">
      <c r="A206" s="2">
        <v>203</v>
      </c>
      <c r="B206" s="2" t="s">
        <v>902</v>
      </c>
      <c r="C206" s="2" t="s">
        <v>2273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4"/>
        <v>42990366.119614705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5"/>
        <v>42990366.119614705</v>
      </c>
      <c r="Y206" s="6" t="s">
        <v>1195</v>
      </c>
      <c r="Z206" s="6" t="s">
        <v>1195</v>
      </c>
      <c r="AA206" s="2">
        <f t="shared" si="26"/>
        <v>43006019.341177203</v>
      </c>
      <c r="AB206" s="2">
        <v>0</v>
      </c>
    </row>
    <row r="207" spans="1:28">
      <c r="A207" s="2">
        <v>204</v>
      </c>
      <c r="B207" s="2" t="s">
        <v>906</v>
      </c>
      <c r="C207" s="2" t="s">
        <v>2273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4"/>
        <v>42990366.119614705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5"/>
        <v>42990366.119614705</v>
      </c>
      <c r="Y207" s="6" t="s">
        <v>1195</v>
      </c>
      <c r="Z207" s="6" t="s">
        <v>1195</v>
      </c>
      <c r="AA207" s="2">
        <f t="shared" si="26"/>
        <v>43006019.341177203</v>
      </c>
      <c r="AB207" s="2">
        <v>0</v>
      </c>
    </row>
    <row r="208" spans="1:28">
      <c r="A208" s="2">
        <v>205</v>
      </c>
      <c r="B208" s="2" t="s">
        <v>910</v>
      </c>
      <c r="C208" s="2" t="s">
        <v>2273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4"/>
        <v>42990366.119614705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5"/>
        <v>42990366.119614705</v>
      </c>
      <c r="Y208" s="6" t="s">
        <v>1195</v>
      </c>
      <c r="Z208" s="6" t="s">
        <v>1195</v>
      </c>
      <c r="AA208" s="2">
        <f t="shared" si="26"/>
        <v>43006019.341177203</v>
      </c>
      <c r="AB208" s="2">
        <v>0</v>
      </c>
    </row>
    <row r="209" spans="1:28">
      <c r="A209" s="2">
        <v>206</v>
      </c>
      <c r="B209" s="2" t="s">
        <v>913</v>
      </c>
      <c r="C209" s="2" t="s">
        <v>2273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4"/>
        <v>42990366.119614705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5"/>
        <v>42990366.119614705</v>
      </c>
      <c r="Y209" s="6" t="s">
        <v>1195</v>
      </c>
      <c r="Z209" s="6" t="s">
        <v>1195</v>
      </c>
      <c r="AA209" s="2">
        <f t="shared" si="26"/>
        <v>43006019.341177203</v>
      </c>
      <c r="AB209" s="2">
        <v>0</v>
      </c>
    </row>
    <row r="210" spans="1:28">
      <c r="A210" s="2">
        <v>207</v>
      </c>
      <c r="B210" s="2" t="s">
        <v>915</v>
      </c>
      <c r="C210" s="2" t="s">
        <v>2273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4"/>
        <v>42990366.119614705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5"/>
        <v>42990366.119614705</v>
      </c>
      <c r="Y210" s="6" t="s">
        <v>1195</v>
      </c>
      <c r="Z210" s="6" t="s">
        <v>1195</v>
      </c>
      <c r="AA210" s="2">
        <f t="shared" si="26"/>
        <v>43006019.341177203</v>
      </c>
      <c r="AB210" s="2">
        <v>0</v>
      </c>
    </row>
    <row r="211" spans="1:28">
      <c r="A211" s="2">
        <v>208</v>
      </c>
      <c r="B211" s="2" t="s">
        <v>918</v>
      </c>
      <c r="C211" s="2" t="s">
        <v>2273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4"/>
        <v>42990366.119614705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5"/>
        <v>42990366.119614705</v>
      </c>
      <c r="Y211" s="6" t="s">
        <v>1195</v>
      </c>
      <c r="Z211" s="6" t="s">
        <v>1195</v>
      </c>
      <c r="AA211" s="2">
        <f t="shared" si="26"/>
        <v>43006019.341177203</v>
      </c>
      <c r="AB211" s="2">
        <v>0</v>
      </c>
    </row>
    <row r="212" spans="1:28">
      <c r="A212" s="2">
        <v>209</v>
      </c>
      <c r="B212" s="2" t="s">
        <v>922</v>
      </c>
      <c r="C212" s="2" t="s">
        <v>2273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2184</v>
      </c>
      <c r="J212" s="2" t="s">
        <v>1822</v>
      </c>
      <c r="K212" s="2">
        <f t="shared" si="24"/>
        <v>42990366.119614705</v>
      </c>
      <c r="L212" s="2" t="s">
        <v>1709</v>
      </c>
      <c r="M212" s="2" t="s">
        <v>1374</v>
      </c>
      <c r="N212" s="2" t="s">
        <v>1375</v>
      </c>
      <c r="O212" s="2">
        <v>1500</v>
      </c>
      <c r="P212" s="2">
        <v>223.7106628417969</v>
      </c>
      <c r="Q212" s="2">
        <v>216.07084655761719</v>
      </c>
      <c r="R212" s="2">
        <f>O212*P212</f>
        <v>335565.99426269537</v>
      </c>
      <c r="S212" s="2">
        <f>O212*Q212</f>
        <v>324106.26983642578</v>
      </c>
      <c r="T212" s="2">
        <f>R212+S212</f>
        <v>659672.26409912109</v>
      </c>
      <c r="U212" s="2">
        <f>ROUND(T212*0.0005, 2)</f>
        <v>329.84</v>
      </c>
      <c r="V212" s="2">
        <f>S212-R212</f>
        <v>-11459.724426269589</v>
      </c>
      <c r="W212" s="2">
        <f>V212-U212</f>
        <v>-11789.56442626959</v>
      </c>
      <c r="X212" s="2">
        <f>K212+W212</f>
        <v>42978576.555188432</v>
      </c>
      <c r="Y212" s="2">
        <f>ROUND(0.2*R212, 2)</f>
        <v>67113.2</v>
      </c>
      <c r="Z212" s="2">
        <f>ROUND((W212/Y212)*100, 2)</f>
        <v>-17.57</v>
      </c>
      <c r="AA212" s="2">
        <f>MAX(AA211, X212)</f>
        <v>43006019.341177203</v>
      </c>
      <c r="AB212" s="2">
        <f>X212-AA212</f>
        <v>-27442.785988770425</v>
      </c>
    </row>
    <row r="213" spans="1:28">
      <c r="A213" s="2">
        <v>210</v>
      </c>
      <c r="B213" s="2" t="s">
        <v>925</v>
      </c>
      <c r="C213" s="2" t="s">
        <v>2273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4"/>
        <v>42978576.555188432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42978576.555188432</v>
      </c>
      <c r="Y213" s="6" t="s">
        <v>1195</v>
      </c>
      <c r="Z213" s="6" t="s">
        <v>1195</v>
      </c>
      <c r="AA213" s="2">
        <f>AA212</f>
        <v>43006019.341177203</v>
      </c>
      <c r="AB213" s="2">
        <v>0</v>
      </c>
    </row>
    <row r="214" spans="1:28">
      <c r="A214" s="2">
        <v>211</v>
      </c>
      <c r="B214" s="2" t="s">
        <v>928</v>
      </c>
      <c r="C214" s="2" t="s">
        <v>2273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4"/>
        <v>42978576.555188432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42978576.555188432</v>
      </c>
      <c r="Y214" s="6" t="s">
        <v>1195</v>
      </c>
      <c r="Z214" s="6" t="s">
        <v>1195</v>
      </c>
      <c r="AA214" s="2">
        <f>AA213</f>
        <v>43006019.341177203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2317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2318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2137</v>
      </c>
      <c r="J4" s="2" t="s">
        <v>1897</v>
      </c>
      <c r="K4" s="2">
        <v>42511150.109999999</v>
      </c>
      <c r="L4" s="2" t="s">
        <v>2319</v>
      </c>
      <c r="M4" s="2" t="s">
        <v>1634</v>
      </c>
      <c r="N4" s="2" t="s">
        <v>2276</v>
      </c>
      <c r="O4" s="2">
        <v>874</v>
      </c>
      <c r="P4" s="2">
        <v>1163.843872070312</v>
      </c>
      <c r="Q4" s="2">
        <v>1130.239013671875</v>
      </c>
      <c r="R4" s="2">
        <f t="shared" ref="R4:R17" si="0">O4*P4</f>
        <v>1017199.5441894528</v>
      </c>
      <c r="S4" s="2">
        <f t="shared" ref="S4:S17" si="1">O4*Q4</f>
        <v>987828.89794921875</v>
      </c>
      <c r="T4" s="2">
        <f t="shared" ref="T4:T17" si="2">R4+S4</f>
        <v>2005028.4421386714</v>
      </c>
      <c r="U4" s="2">
        <f t="shared" ref="U4:U17" si="3">ROUND(T4*0.0005, 2)</f>
        <v>1002.51</v>
      </c>
      <c r="V4" s="2">
        <f t="shared" ref="V4:V17" si="4">S4-R4</f>
        <v>-29370.646240234026</v>
      </c>
      <c r="W4" s="2">
        <f t="shared" ref="W4:W17" si="5">V4-U4</f>
        <v>-30373.156240234024</v>
      </c>
      <c r="X4" s="2">
        <f t="shared" ref="X4:X17" si="6">K4+W4</f>
        <v>42480776.953759767</v>
      </c>
      <c r="Y4" s="2">
        <f t="shared" ref="Y4:Y17" si="7">ROUND(0.2*R4, 2)</f>
        <v>203439.91</v>
      </c>
      <c r="Z4" s="2">
        <f t="shared" ref="Z4:Z17" si="8">ROUND((W4/Y4)*100, 2)</f>
        <v>-14.93</v>
      </c>
      <c r="AA4" s="2">
        <f>MAX(42511150.11, X4)</f>
        <v>42511150.109999999</v>
      </c>
      <c r="AB4" s="2">
        <f t="shared" ref="AB4:AB17" si="9">X4-AA4</f>
        <v>-30373.156240232289</v>
      </c>
    </row>
    <row r="5" spans="1:29">
      <c r="A5" s="2">
        <v>2</v>
      </c>
      <c r="B5" s="2" t="s">
        <v>46</v>
      </c>
      <c r="C5" s="2" t="s">
        <v>2318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2278</v>
      </c>
      <c r="J5" s="2" t="s">
        <v>329</v>
      </c>
      <c r="K5" s="2">
        <f t="shared" ref="K5:K68" si="10">X4</f>
        <v>42480776.953759767</v>
      </c>
      <c r="L5" s="2" t="s">
        <v>2054</v>
      </c>
      <c r="M5" s="2" t="s">
        <v>2279</v>
      </c>
      <c r="N5" s="2" t="s">
        <v>1935</v>
      </c>
      <c r="O5" s="2">
        <v>137</v>
      </c>
      <c r="P5" s="2">
        <v>5801.77099609375</v>
      </c>
      <c r="Q5" s="2">
        <v>6108.0185546875</v>
      </c>
      <c r="R5" s="2">
        <f t="shared" si="0"/>
        <v>794842.62646484375</v>
      </c>
      <c r="S5" s="2">
        <f t="shared" si="1"/>
        <v>836798.5419921875</v>
      </c>
      <c r="T5" s="2">
        <f t="shared" si="2"/>
        <v>1631641.1684570313</v>
      </c>
      <c r="U5" s="2">
        <f t="shared" si="3"/>
        <v>815.82</v>
      </c>
      <c r="V5" s="2">
        <f t="shared" si="4"/>
        <v>41955.91552734375</v>
      </c>
      <c r="W5" s="2">
        <f t="shared" si="5"/>
        <v>41140.09552734375</v>
      </c>
      <c r="X5" s="2">
        <f t="shared" si="6"/>
        <v>42521917.049287111</v>
      </c>
      <c r="Y5" s="2">
        <f t="shared" si="7"/>
        <v>158968.53</v>
      </c>
      <c r="Z5" s="2">
        <f t="shared" si="8"/>
        <v>25.88</v>
      </c>
      <c r="AA5" s="2">
        <f t="shared" ref="AA5:AA17" si="11">MAX(AA4, X5)</f>
        <v>42521917.049287111</v>
      </c>
      <c r="AB5" s="2">
        <f t="shared" si="9"/>
        <v>0</v>
      </c>
    </row>
    <row r="6" spans="1:29">
      <c r="A6" s="2">
        <v>3</v>
      </c>
      <c r="B6" s="2" t="s">
        <v>52</v>
      </c>
      <c r="C6" s="2" t="s">
        <v>2318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2320</v>
      </c>
      <c r="J6" s="2" t="s">
        <v>1976</v>
      </c>
      <c r="K6" s="2">
        <f t="shared" si="10"/>
        <v>42521917.049287111</v>
      </c>
      <c r="L6" s="2" t="s">
        <v>2073</v>
      </c>
      <c r="M6" s="2" t="s">
        <v>2087</v>
      </c>
      <c r="N6" s="2" t="s">
        <v>1062</v>
      </c>
      <c r="O6" s="2">
        <v>2537</v>
      </c>
      <c r="P6" s="2">
        <v>305.75</v>
      </c>
      <c r="Q6" s="2">
        <v>334.54998779296881</v>
      </c>
      <c r="R6" s="2">
        <f t="shared" si="0"/>
        <v>775687.75</v>
      </c>
      <c r="S6" s="2">
        <f t="shared" si="1"/>
        <v>848753.31903076184</v>
      </c>
      <c r="T6" s="2">
        <f t="shared" si="2"/>
        <v>1624441.0690307617</v>
      </c>
      <c r="U6" s="2">
        <f t="shared" si="3"/>
        <v>812.22</v>
      </c>
      <c r="V6" s="2">
        <f t="shared" si="4"/>
        <v>73065.569030761835</v>
      </c>
      <c r="W6" s="2">
        <f t="shared" si="5"/>
        <v>72253.349030761834</v>
      </c>
      <c r="X6" s="2">
        <f t="shared" si="6"/>
        <v>42594170.398317873</v>
      </c>
      <c r="Y6" s="2">
        <f t="shared" si="7"/>
        <v>155137.54999999999</v>
      </c>
      <c r="Z6" s="2">
        <f t="shared" si="8"/>
        <v>46.57</v>
      </c>
      <c r="AA6" s="2">
        <f t="shared" si="11"/>
        <v>42594170.398317873</v>
      </c>
      <c r="AB6" s="2">
        <f t="shared" si="9"/>
        <v>0</v>
      </c>
    </row>
    <row r="7" spans="1:29">
      <c r="A7" s="2">
        <v>4</v>
      </c>
      <c r="B7" s="2" t="s">
        <v>60</v>
      </c>
      <c r="C7" s="2" t="s">
        <v>2318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616</v>
      </c>
      <c r="J7" s="2" t="s">
        <v>65</v>
      </c>
      <c r="K7" s="2">
        <f t="shared" si="10"/>
        <v>42594170.398317873</v>
      </c>
      <c r="L7" s="2" t="s">
        <v>2321</v>
      </c>
      <c r="M7" s="2" t="s">
        <v>2229</v>
      </c>
      <c r="N7" s="2" t="s">
        <v>2321</v>
      </c>
      <c r="O7" s="2">
        <v>602</v>
      </c>
      <c r="P7" s="2">
        <v>1011.549987792969</v>
      </c>
      <c r="Q7" s="2">
        <v>1013</v>
      </c>
      <c r="R7" s="2">
        <f t="shared" si="0"/>
        <v>608953.0926513673</v>
      </c>
      <c r="S7" s="2">
        <f t="shared" si="1"/>
        <v>609826</v>
      </c>
      <c r="T7" s="2">
        <f t="shared" si="2"/>
        <v>1218779.0926513672</v>
      </c>
      <c r="U7" s="2">
        <f t="shared" si="3"/>
        <v>609.39</v>
      </c>
      <c r="V7" s="2">
        <f t="shared" si="4"/>
        <v>872.90734863269608</v>
      </c>
      <c r="W7" s="2">
        <f t="shared" si="5"/>
        <v>263.5173486326961</v>
      </c>
      <c r="X7" s="2">
        <f t="shared" si="6"/>
        <v>42594433.915666506</v>
      </c>
      <c r="Y7" s="2">
        <f t="shared" si="7"/>
        <v>121790.62</v>
      </c>
      <c r="Z7" s="2">
        <f t="shared" si="8"/>
        <v>0.22</v>
      </c>
      <c r="AA7" s="2">
        <f t="shared" si="11"/>
        <v>42594433.915666506</v>
      </c>
      <c r="AB7" s="2">
        <f t="shared" si="9"/>
        <v>0</v>
      </c>
    </row>
    <row r="8" spans="1:29">
      <c r="A8" s="2">
        <v>5</v>
      </c>
      <c r="B8" s="2" t="s">
        <v>68</v>
      </c>
      <c r="C8" s="2" t="s">
        <v>2318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990</v>
      </c>
      <c r="J8" s="2" t="s">
        <v>2322</v>
      </c>
      <c r="K8" s="2">
        <f t="shared" si="10"/>
        <v>42594433.915666506</v>
      </c>
      <c r="L8" s="2" t="s">
        <v>1808</v>
      </c>
      <c r="M8" s="2" t="s">
        <v>1778</v>
      </c>
      <c r="N8" s="2" t="s">
        <v>1802</v>
      </c>
      <c r="O8" s="2">
        <v>300</v>
      </c>
      <c r="P8" s="2">
        <v>3149.29736328125</v>
      </c>
      <c r="Q8" s="2">
        <v>3169.220947265625</v>
      </c>
      <c r="R8" s="2">
        <f t="shared" si="0"/>
        <v>944789.208984375</v>
      </c>
      <c r="S8" s="2">
        <f t="shared" si="1"/>
        <v>950766.2841796875</v>
      </c>
      <c r="T8" s="2">
        <f t="shared" si="2"/>
        <v>1895555.4931640625</v>
      </c>
      <c r="U8" s="2">
        <f t="shared" si="3"/>
        <v>947.78</v>
      </c>
      <c r="V8" s="2">
        <f t="shared" si="4"/>
        <v>5977.0751953125</v>
      </c>
      <c r="W8" s="2">
        <f t="shared" si="5"/>
        <v>5029.2951953125003</v>
      </c>
      <c r="X8" s="2">
        <f t="shared" si="6"/>
        <v>42599463.210861817</v>
      </c>
      <c r="Y8" s="2">
        <f t="shared" si="7"/>
        <v>188957.84</v>
      </c>
      <c r="Z8" s="2">
        <f t="shared" si="8"/>
        <v>2.66</v>
      </c>
      <c r="AA8" s="2">
        <f t="shared" si="11"/>
        <v>42599463.210861817</v>
      </c>
      <c r="AB8" s="2">
        <f t="shared" si="9"/>
        <v>0</v>
      </c>
    </row>
    <row r="9" spans="1:29">
      <c r="A9" s="2">
        <v>6</v>
      </c>
      <c r="B9" s="2" t="s">
        <v>75</v>
      </c>
      <c r="C9" s="2" t="s">
        <v>2318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829</v>
      </c>
      <c r="J9" s="2" t="s">
        <v>1628</v>
      </c>
      <c r="K9" s="2">
        <f t="shared" si="10"/>
        <v>42599463.210861817</v>
      </c>
      <c r="L9" s="2" t="s">
        <v>2284</v>
      </c>
      <c r="M9" s="2" t="s">
        <v>2285</v>
      </c>
      <c r="N9" s="2" t="s">
        <v>1632</v>
      </c>
      <c r="O9" s="2">
        <v>500</v>
      </c>
      <c r="P9" s="2">
        <v>1007.099975585938</v>
      </c>
      <c r="Q9" s="2">
        <v>1030.5</v>
      </c>
      <c r="R9" s="2">
        <f t="shared" si="0"/>
        <v>503549.98779296898</v>
      </c>
      <c r="S9" s="2">
        <f t="shared" si="1"/>
        <v>515250</v>
      </c>
      <c r="T9" s="2">
        <f t="shared" si="2"/>
        <v>1018799.987792969</v>
      </c>
      <c r="U9" s="2">
        <f t="shared" si="3"/>
        <v>509.4</v>
      </c>
      <c r="V9" s="2">
        <f t="shared" si="4"/>
        <v>11700.012207031017</v>
      </c>
      <c r="W9" s="2">
        <f t="shared" si="5"/>
        <v>11190.612207031018</v>
      </c>
      <c r="X9" s="2">
        <f t="shared" si="6"/>
        <v>42610653.82306885</v>
      </c>
      <c r="Y9" s="2">
        <f t="shared" si="7"/>
        <v>100710</v>
      </c>
      <c r="Z9" s="2">
        <f t="shared" si="8"/>
        <v>11.11</v>
      </c>
      <c r="AA9" s="2">
        <f t="shared" si="11"/>
        <v>42610653.82306885</v>
      </c>
      <c r="AB9" s="2">
        <f t="shared" si="9"/>
        <v>0</v>
      </c>
    </row>
    <row r="10" spans="1:29">
      <c r="A10" s="2">
        <v>7</v>
      </c>
      <c r="B10" s="2" t="s">
        <v>82</v>
      </c>
      <c r="C10" s="2" t="s">
        <v>2318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2323</v>
      </c>
      <c r="J10" s="2" t="s">
        <v>2324</v>
      </c>
      <c r="K10" s="2">
        <f t="shared" si="10"/>
        <v>42610653.82306885</v>
      </c>
      <c r="L10" s="2" t="s">
        <v>1799</v>
      </c>
      <c r="M10" s="2" t="s">
        <v>1801</v>
      </c>
      <c r="N10" s="2" t="s">
        <v>1808</v>
      </c>
      <c r="O10" s="2">
        <v>625</v>
      </c>
      <c r="P10" s="2">
        <v>1122.031372070312</v>
      </c>
      <c r="Q10" s="2">
        <v>1228.698852539062</v>
      </c>
      <c r="R10" s="2">
        <f t="shared" si="0"/>
        <v>701269.60754394508</v>
      </c>
      <c r="S10" s="2">
        <f t="shared" si="1"/>
        <v>767936.78283691383</v>
      </c>
      <c r="T10" s="2">
        <f t="shared" si="2"/>
        <v>1469206.3903808589</v>
      </c>
      <c r="U10" s="2">
        <f t="shared" si="3"/>
        <v>734.6</v>
      </c>
      <c r="V10" s="2">
        <f t="shared" si="4"/>
        <v>66667.17529296875</v>
      </c>
      <c r="W10" s="2">
        <f t="shared" si="5"/>
        <v>65932.575292968744</v>
      </c>
      <c r="X10" s="2">
        <f t="shared" si="6"/>
        <v>42676586.398361817</v>
      </c>
      <c r="Y10" s="2">
        <f t="shared" si="7"/>
        <v>140253.92000000001</v>
      </c>
      <c r="Z10" s="2">
        <f t="shared" si="8"/>
        <v>47.01</v>
      </c>
      <c r="AA10" s="2">
        <f t="shared" si="11"/>
        <v>42676586.398361817</v>
      </c>
      <c r="AB10" s="2">
        <f t="shared" si="9"/>
        <v>0</v>
      </c>
    </row>
    <row r="11" spans="1:29">
      <c r="A11" s="2">
        <v>8</v>
      </c>
      <c r="B11" s="2" t="s">
        <v>90</v>
      </c>
      <c r="C11" s="2" t="s">
        <v>2318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2325</v>
      </c>
      <c r="J11" s="2" t="s">
        <v>2326</v>
      </c>
      <c r="K11" s="2">
        <f t="shared" si="10"/>
        <v>42676586.398361817</v>
      </c>
      <c r="L11" s="2" t="s">
        <v>2073</v>
      </c>
      <c r="M11" s="2" t="s">
        <v>2287</v>
      </c>
      <c r="N11" s="2" t="s">
        <v>1355</v>
      </c>
      <c r="O11" s="2">
        <v>4785</v>
      </c>
      <c r="P11" s="2">
        <v>163.25999450683591</v>
      </c>
      <c r="Q11" s="2">
        <v>153.91999816894531</v>
      </c>
      <c r="R11" s="2">
        <f t="shared" si="0"/>
        <v>781199.07371520984</v>
      </c>
      <c r="S11" s="2">
        <f t="shared" si="1"/>
        <v>736507.19123840332</v>
      </c>
      <c r="T11" s="2">
        <f t="shared" si="2"/>
        <v>1517706.2649536133</v>
      </c>
      <c r="U11" s="2">
        <f t="shared" si="3"/>
        <v>758.85</v>
      </c>
      <c r="V11" s="2">
        <f t="shared" si="4"/>
        <v>-44691.882476806524</v>
      </c>
      <c r="W11" s="2">
        <f t="shared" si="5"/>
        <v>-45450.732476806523</v>
      </c>
      <c r="X11" s="2">
        <f t="shared" si="6"/>
        <v>42631135.665885009</v>
      </c>
      <c r="Y11" s="2">
        <f t="shared" si="7"/>
        <v>156239.81</v>
      </c>
      <c r="Z11" s="2">
        <f t="shared" si="8"/>
        <v>-29.09</v>
      </c>
      <c r="AA11" s="2">
        <f t="shared" si="11"/>
        <v>42676586.398361817</v>
      </c>
      <c r="AB11" s="2">
        <f t="shared" si="9"/>
        <v>-45450.732476808131</v>
      </c>
    </row>
    <row r="12" spans="1:29">
      <c r="A12" s="2">
        <v>9</v>
      </c>
      <c r="B12" s="2" t="s">
        <v>95</v>
      </c>
      <c r="C12" s="2" t="s">
        <v>2318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1907</v>
      </c>
      <c r="J12" s="2" t="s">
        <v>2327</v>
      </c>
      <c r="K12" s="2">
        <f t="shared" si="10"/>
        <v>42631135.665885009</v>
      </c>
      <c r="L12" s="2" t="s">
        <v>2054</v>
      </c>
      <c r="M12" s="2" t="s">
        <v>2328</v>
      </c>
      <c r="N12" s="2" t="s">
        <v>2329</v>
      </c>
      <c r="O12" s="2">
        <v>171</v>
      </c>
      <c r="P12" s="2">
        <v>5842.8974609375</v>
      </c>
      <c r="Q12" s="2">
        <v>5436.67236328125</v>
      </c>
      <c r="R12" s="2">
        <f t="shared" si="0"/>
        <v>999135.4658203125</v>
      </c>
      <c r="S12" s="2">
        <f t="shared" si="1"/>
        <v>929670.97412109375</v>
      </c>
      <c r="T12" s="2">
        <f t="shared" si="2"/>
        <v>1928806.4399414062</v>
      </c>
      <c r="U12" s="2">
        <f t="shared" si="3"/>
        <v>964.4</v>
      </c>
      <c r="V12" s="2">
        <f t="shared" si="4"/>
        <v>-69464.49169921875</v>
      </c>
      <c r="W12" s="2">
        <f t="shared" si="5"/>
        <v>-70428.891699218744</v>
      </c>
      <c r="X12" s="2">
        <f t="shared" si="6"/>
        <v>42560706.774185792</v>
      </c>
      <c r="Y12" s="2">
        <f t="shared" si="7"/>
        <v>199827.09</v>
      </c>
      <c r="Z12" s="2">
        <f t="shared" si="8"/>
        <v>-35.24</v>
      </c>
      <c r="AA12" s="2">
        <f t="shared" si="11"/>
        <v>42676586.398361817</v>
      </c>
      <c r="AB12" s="2">
        <f t="shared" si="9"/>
        <v>-115879.62417602539</v>
      </c>
    </row>
    <row r="13" spans="1:29">
      <c r="A13" s="2">
        <v>10</v>
      </c>
      <c r="B13" s="2" t="s">
        <v>102</v>
      </c>
      <c r="C13" s="2" t="s">
        <v>2318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2036</v>
      </c>
      <c r="J13" s="2" t="s">
        <v>2330</v>
      </c>
      <c r="K13" s="2">
        <f t="shared" si="10"/>
        <v>42560706.774185792</v>
      </c>
      <c r="L13" s="2" t="s">
        <v>1238</v>
      </c>
      <c r="M13" s="2" t="s">
        <v>2331</v>
      </c>
      <c r="N13" s="2" t="s">
        <v>1163</v>
      </c>
      <c r="O13" s="2">
        <v>135</v>
      </c>
      <c r="P13" s="2">
        <v>7625</v>
      </c>
      <c r="Q13" s="2">
        <v>7843.5</v>
      </c>
      <c r="R13" s="2">
        <f t="shared" si="0"/>
        <v>1029375</v>
      </c>
      <c r="S13" s="2">
        <f t="shared" si="1"/>
        <v>1058872.5</v>
      </c>
      <c r="T13" s="2">
        <f t="shared" si="2"/>
        <v>2088247.5</v>
      </c>
      <c r="U13" s="2">
        <f t="shared" si="3"/>
        <v>1044.1199999999999</v>
      </c>
      <c r="V13" s="2">
        <f t="shared" si="4"/>
        <v>29497.5</v>
      </c>
      <c r="W13" s="2">
        <f t="shared" si="5"/>
        <v>28453.38</v>
      </c>
      <c r="X13" s="2">
        <f t="shared" si="6"/>
        <v>42589160.154185794</v>
      </c>
      <c r="Y13" s="2">
        <f t="shared" si="7"/>
        <v>205875</v>
      </c>
      <c r="Z13" s="2">
        <f t="shared" si="8"/>
        <v>13.82</v>
      </c>
      <c r="AA13" s="2">
        <f t="shared" si="11"/>
        <v>42676586.398361817</v>
      </c>
      <c r="AB13" s="2">
        <f t="shared" si="9"/>
        <v>-87426.244176022708</v>
      </c>
    </row>
    <row r="14" spans="1:29">
      <c r="A14" s="2">
        <v>11</v>
      </c>
      <c r="B14" s="2" t="s">
        <v>108</v>
      </c>
      <c r="C14" s="2" t="s">
        <v>2318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786</v>
      </c>
      <c r="J14" s="2" t="s">
        <v>312</v>
      </c>
      <c r="K14" s="2">
        <f t="shared" si="10"/>
        <v>42589160.154185794</v>
      </c>
      <c r="L14" s="2" t="s">
        <v>1773</v>
      </c>
      <c r="M14" s="2" t="s">
        <v>2281</v>
      </c>
      <c r="N14" s="2" t="s">
        <v>1526</v>
      </c>
      <c r="O14" s="2">
        <v>2303</v>
      </c>
      <c r="P14" s="2">
        <v>434.051513671875</v>
      </c>
      <c r="Q14" s="2">
        <v>448.97763061523438</v>
      </c>
      <c r="R14" s="2">
        <f t="shared" si="0"/>
        <v>999620.63598632812</v>
      </c>
      <c r="S14" s="2">
        <f t="shared" si="1"/>
        <v>1033995.4833068848</v>
      </c>
      <c r="T14" s="2">
        <f t="shared" si="2"/>
        <v>2033616.1192932129</v>
      </c>
      <c r="U14" s="2">
        <f t="shared" si="3"/>
        <v>1016.81</v>
      </c>
      <c r="V14" s="2">
        <f t="shared" si="4"/>
        <v>34374.847320556641</v>
      </c>
      <c r="W14" s="2">
        <f t="shared" si="5"/>
        <v>33358.037320556643</v>
      </c>
      <c r="X14" s="2">
        <f t="shared" si="6"/>
        <v>42622518.191506349</v>
      </c>
      <c r="Y14" s="2">
        <f t="shared" si="7"/>
        <v>199924.13</v>
      </c>
      <c r="Z14" s="2">
        <f t="shared" si="8"/>
        <v>16.690000000000001</v>
      </c>
      <c r="AA14" s="2">
        <f t="shared" si="11"/>
        <v>42676586.398361817</v>
      </c>
      <c r="AB14" s="2">
        <f t="shared" si="9"/>
        <v>-54068.206855468452</v>
      </c>
    </row>
    <row r="15" spans="1:29">
      <c r="A15" s="2">
        <v>12</v>
      </c>
      <c r="B15" s="2" t="s">
        <v>113</v>
      </c>
      <c r="C15" s="2" t="s">
        <v>2318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1260</v>
      </c>
      <c r="J15" s="2" t="s">
        <v>2332</v>
      </c>
      <c r="K15" s="2">
        <f t="shared" si="10"/>
        <v>42622518.191506349</v>
      </c>
      <c r="L15" s="2" t="s">
        <v>2328</v>
      </c>
      <c r="M15" s="2" t="s">
        <v>2321</v>
      </c>
      <c r="N15" s="2" t="s">
        <v>2228</v>
      </c>
      <c r="O15" s="2">
        <v>3428</v>
      </c>
      <c r="P15" s="2">
        <v>254.6294860839844</v>
      </c>
      <c r="Q15" s="2">
        <v>246.4248962402344</v>
      </c>
      <c r="R15" s="2">
        <f t="shared" si="0"/>
        <v>872869.87829589855</v>
      </c>
      <c r="S15" s="2">
        <f t="shared" si="1"/>
        <v>844744.54431152355</v>
      </c>
      <c r="T15" s="2">
        <f t="shared" si="2"/>
        <v>1717614.4226074221</v>
      </c>
      <c r="U15" s="2">
        <f t="shared" si="3"/>
        <v>858.81</v>
      </c>
      <c r="V15" s="2">
        <f t="shared" si="4"/>
        <v>-28125.333984375</v>
      </c>
      <c r="W15" s="2">
        <f t="shared" si="5"/>
        <v>-28984.143984375001</v>
      </c>
      <c r="X15" s="2">
        <f t="shared" si="6"/>
        <v>42593534.047521971</v>
      </c>
      <c r="Y15" s="2">
        <f t="shared" si="7"/>
        <v>174573.98</v>
      </c>
      <c r="Z15" s="2">
        <f t="shared" si="8"/>
        <v>-16.600000000000001</v>
      </c>
      <c r="AA15" s="2">
        <f t="shared" si="11"/>
        <v>42676586.398361817</v>
      </c>
      <c r="AB15" s="2">
        <f t="shared" si="9"/>
        <v>-83052.350839845836</v>
      </c>
    </row>
    <row r="16" spans="1:29">
      <c r="A16" s="2">
        <v>13</v>
      </c>
      <c r="B16" s="2" t="s">
        <v>120</v>
      </c>
      <c r="C16" s="2" t="s">
        <v>2318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771</v>
      </c>
      <c r="J16" s="2" t="s">
        <v>635</v>
      </c>
      <c r="K16" s="2">
        <f t="shared" si="10"/>
        <v>42593534.047521971</v>
      </c>
      <c r="L16" s="2" t="s">
        <v>2333</v>
      </c>
      <c r="M16" s="2" t="s">
        <v>2334</v>
      </c>
      <c r="N16" s="2" t="s">
        <v>2335</v>
      </c>
      <c r="O16" s="2">
        <v>528</v>
      </c>
      <c r="P16" s="2">
        <v>1620.6435546875</v>
      </c>
      <c r="Q16" s="2">
        <v>1645.199951171875</v>
      </c>
      <c r="R16" s="2">
        <f t="shared" si="0"/>
        <v>855699.796875</v>
      </c>
      <c r="S16" s="2">
        <f t="shared" si="1"/>
        <v>868665.57421875</v>
      </c>
      <c r="T16" s="2">
        <f t="shared" si="2"/>
        <v>1724365.37109375</v>
      </c>
      <c r="U16" s="2">
        <f t="shared" si="3"/>
        <v>862.18</v>
      </c>
      <c r="V16" s="2">
        <f t="shared" si="4"/>
        <v>12965.77734375</v>
      </c>
      <c r="W16" s="2">
        <f t="shared" si="5"/>
        <v>12103.59734375</v>
      </c>
      <c r="X16" s="2">
        <f t="shared" si="6"/>
        <v>42605637.644865721</v>
      </c>
      <c r="Y16" s="2">
        <f t="shared" si="7"/>
        <v>171139.96</v>
      </c>
      <c r="Z16" s="2">
        <f t="shared" si="8"/>
        <v>7.07</v>
      </c>
      <c r="AA16" s="2">
        <f t="shared" si="11"/>
        <v>42676586.398361817</v>
      </c>
      <c r="AB16" s="2">
        <f t="shared" si="9"/>
        <v>-70948.753496095538</v>
      </c>
    </row>
    <row r="17" spans="1:28">
      <c r="A17" s="2">
        <v>14</v>
      </c>
      <c r="B17" s="2" t="s">
        <v>126</v>
      </c>
      <c r="C17" s="2" t="s">
        <v>2318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1209</v>
      </c>
      <c r="J17" s="2" t="s">
        <v>2336</v>
      </c>
      <c r="K17" s="2">
        <f t="shared" si="10"/>
        <v>42605637.644865721</v>
      </c>
      <c r="L17" s="2" t="s">
        <v>1801</v>
      </c>
      <c r="M17" s="2" t="s">
        <v>1721</v>
      </c>
      <c r="N17" s="2" t="s">
        <v>1722</v>
      </c>
      <c r="O17" s="2">
        <v>125</v>
      </c>
      <c r="P17" s="2">
        <v>6190.89697265625</v>
      </c>
      <c r="Q17" s="2">
        <v>6584.9443359375</v>
      </c>
      <c r="R17" s="2">
        <f t="shared" si="0"/>
        <v>773862.12158203125</v>
      </c>
      <c r="S17" s="2">
        <f t="shared" si="1"/>
        <v>823118.0419921875</v>
      </c>
      <c r="T17" s="2">
        <f t="shared" si="2"/>
        <v>1596980.1635742188</v>
      </c>
      <c r="U17" s="2">
        <f t="shared" si="3"/>
        <v>798.49</v>
      </c>
      <c r="V17" s="2">
        <f t="shared" si="4"/>
        <v>49255.92041015625</v>
      </c>
      <c r="W17" s="2">
        <f t="shared" si="5"/>
        <v>48457.430410156252</v>
      </c>
      <c r="X17" s="2">
        <f t="shared" si="6"/>
        <v>42654095.075275876</v>
      </c>
      <c r="Y17" s="2">
        <f t="shared" si="7"/>
        <v>154772.42000000001</v>
      </c>
      <c r="Z17" s="2">
        <f t="shared" si="8"/>
        <v>31.31</v>
      </c>
      <c r="AA17" s="2">
        <f t="shared" si="11"/>
        <v>42676586.398361817</v>
      </c>
      <c r="AB17" s="2">
        <f t="shared" si="9"/>
        <v>-22491.323085941374</v>
      </c>
    </row>
    <row r="18" spans="1:28">
      <c r="A18" s="2">
        <v>15</v>
      </c>
      <c r="B18" s="2" t="s">
        <v>133</v>
      </c>
      <c r="C18" s="2" t="s">
        <v>2318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42654095.075275876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42654095.075275876</v>
      </c>
      <c r="Y18" s="6" t="s">
        <v>1195</v>
      </c>
      <c r="Z18" s="6" t="s">
        <v>1195</v>
      </c>
      <c r="AA18" s="2">
        <f>AA17</f>
        <v>42676586.398361817</v>
      </c>
      <c r="AB18" s="2">
        <v>0</v>
      </c>
    </row>
    <row r="19" spans="1:28">
      <c r="A19" s="2">
        <v>16</v>
      </c>
      <c r="B19" s="2" t="s">
        <v>141</v>
      </c>
      <c r="C19" s="2" t="s">
        <v>2318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268</v>
      </c>
      <c r="J19" s="2" t="s">
        <v>2172</v>
      </c>
      <c r="K19" s="2">
        <f t="shared" si="10"/>
        <v>42654095.075275876</v>
      </c>
      <c r="L19" s="2" t="s">
        <v>1848</v>
      </c>
      <c r="M19" s="2" t="s">
        <v>1823</v>
      </c>
      <c r="N19" s="2" t="s">
        <v>1783</v>
      </c>
      <c r="O19" s="2">
        <v>200</v>
      </c>
      <c r="P19" s="2">
        <v>3070.06298828125</v>
      </c>
      <c r="Q19" s="2">
        <v>3188.7109375</v>
      </c>
      <c r="R19" s="2">
        <f>O19*P19</f>
        <v>614012.59765625</v>
      </c>
      <c r="S19" s="2">
        <f>O19*Q19</f>
        <v>637742.1875</v>
      </c>
      <c r="T19" s="2">
        <f>R19+S19</f>
        <v>1251754.78515625</v>
      </c>
      <c r="U19" s="2">
        <f>ROUND(T19*0.0005, 2)</f>
        <v>625.88</v>
      </c>
      <c r="V19" s="2">
        <f>S19-R19</f>
        <v>23729.58984375</v>
      </c>
      <c r="W19" s="2">
        <f>V19-U19</f>
        <v>23103.709843749999</v>
      </c>
      <c r="X19" s="2">
        <f>K19+W19</f>
        <v>42677198.785119623</v>
      </c>
      <c r="Y19" s="2">
        <f>ROUND(0.2*R19, 2)</f>
        <v>122802.52</v>
      </c>
      <c r="Z19" s="2">
        <f>ROUND((W19/Y19)*100, 2)</f>
        <v>18.809999999999999</v>
      </c>
      <c r="AA19" s="2">
        <f>MAX(AA18, X19)</f>
        <v>42677198.785119623</v>
      </c>
      <c r="AB19" s="2">
        <f>X19-AA19</f>
        <v>0</v>
      </c>
    </row>
    <row r="20" spans="1:28">
      <c r="A20" s="2">
        <v>17</v>
      </c>
      <c r="B20" s="2" t="s">
        <v>149</v>
      </c>
      <c r="C20" s="2" t="s">
        <v>2318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42677198.785119623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42677198.785119623</v>
      </c>
      <c r="Y20" s="6" t="s">
        <v>1195</v>
      </c>
      <c r="Z20" s="6" t="s">
        <v>1195</v>
      </c>
      <c r="AA20" s="2">
        <f>AA19</f>
        <v>42677198.785119623</v>
      </c>
      <c r="AB20" s="2">
        <v>0</v>
      </c>
    </row>
    <row r="21" spans="1:28">
      <c r="A21" s="2">
        <v>18</v>
      </c>
      <c r="B21" s="2" t="s">
        <v>154</v>
      </c>
      <c r="C21" s="2" t="s">
        <v>2318</v>
      </c>
      <c r="D21" s="3" t="s">
        <v>37</v>
      </c>
      <c r="E21" s="5" t="s">
        <v>134</v>
      </c>
      <c r="F21" s="2" t="s">
        <v>155</v>
      </c>
      <c r="G21" s="2" t="s">
        <v>127</v>
      </c>
      <c r="H21" s="2" t="s">
        <v>156</v>
      </c>
      <c r="I21" s="2" t="s">
        <v>952</v>
      </c>
      <c r="J21" s="2" t="s">
        <v>953</v>
      </c>
      <c r="K21" s="2">
        <f t="shared" si="10"/>
        <v>42677198.785119623</v>
      </c>
      <c r="L21" s="2" t="s">
        <v>159</v>
      </c>
      <c r="M21" s="2" t="s">
        <v>81</v>
      </c>
      <c r="N21" s="2" t="s">
        <v>2337</v>
      </c>
      <c r="O21" s="2">
        <v>668</v>
      </c>
      <c r="P21" s="2">
        <v>1280</v>
      </c>
      <c r="Q21" s="2">
        <v>1470.2</v>
      </c>
      <c r="R21" s="2">
        <f>O21*P21</f>
        <v>855040</v>
      </c>
      <c r="S21" s="2">
        <f>O21*Q21</f>
        <v>982093.6</v>
      </c>
      <c r="T21" s="2">
        <f>R21+S21</f>
        <v>1837133.6</v>
      </c>
      <c r="U21" s="2">
        <f>ROUND(T21*0.0005, 2)</f>
        <v>918.57</v>
      </c>
      <c r="V21" s="2">
        <f>S21-R21</f>
        <v>127053.59999999998</v>
      </c>
      <c r="W21" s="2">
        <f>V21-U21</f>
        <v>126135.02999999997</v>
      </c>
      <c r="X21" s="2">
        <f>K21+W21</f>
        <v>42803333.815119624</v>
      </c>
      <c r="Y21" s="2">
        <f>ROUND(0.2*R21, 2)</f>
        <v>171008</v>
      </c>
      <c r="Z21" s="2">
        <f>ROUND((W21/Y21)*100, 2)</f>
        <v>73.760000000000005</v>
      </c>
      <c r="AA21" s="2">
        <f>MAX(AA20, X21)</f>
        <v>42803333.815119624</v>
      </c>
      <c r="AB21" s="2">
        <f>X21-AA21</f>
        <v>0</v>
      </c>
    </row>
    <row r="22" spans="1:28">
      <c r="A22" s="2">
        <v>19</v>
      </c>
      <c r="B22" s="2" t="s">
        <v>160</v>
      </c>
      <c r="C22" s="2" t="s">
        <v>2318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42803333.815119624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42803333.815119624</v>
      </c>
      <c r="Y22" s="6" t="s">
        <v>1195</v>
      </c>
      <c r="Z22" s="6" t="s">
        <v>1195</v>
      </c>
      <c r="AA22" s="2">
        <f>AA21</f>
        <v>42803333.815119624</v>
      </c>
      <c r="AB22" s="2">
        <v>0</v>
      </c>
    </row>
    <row r="23" spans="1:28">
      <c r="A23" s="2">
        <v>20</v>
      </c>
      <c r="B23" s="2" t="s">
        <v>168</v>
      </c>
      <c r="C23" s="2" t="s">
        <v>2318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42803333.815119624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42803333.815119624</v>
      </c>
      <c r="Y23" s="6" t="s">
        <v>1195</v>
      </c>
      <c r="Z23" s="6" t="s">
        <v>1195</v>
      </c>
      <c r="AA23" s="2">
        <f>AA22</f>
        <v>42803333.815119624</v>
      </c>
      <c r="AB23" s="2">
        <v>0</v>
      </c>
    </row>
    <row r="24" spans="1:28">
      <c r="A24" s="2">
        <v>21</v>
      </c>
      <c r="B24" s="2" t="s">
        <v>175</v>
      </c>
      <c r="C24" s="2" t="s">
        <v>2318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2338</v>
      </c>
      <c r="J24" s="2" t="s">
        <v>1571</v>
      </c>
      <c r="K24" s="2">
        <f t="shared" si="10"/>
        <v>42803333.815119624</v>
      </c>
      <c r="L24" s="2" t="s">
        <v>1799</v>
      </c>
      <c r="M24" s="2" t="s">
        <v>1808</v>
      </c>
      <c r="N24" s="2" t="s">
        <v>1584</v>
      </c>
      <c r="O24" s="2">
        <v>625</v>
      </c>
      <c r="P24" s="2">
        <v>1086.642578125</v>
      </c>
      <c r="Q24" s="2">
        <v>1081.654418945312</v>
      </c>
      <c r="R24" s="2">
        <f>O24*P24</f>
        <v>679151.611328125</v>
      </c>
      <c r="S24" s="2">
        <f>O24*Q24</f>
        <v>676034.01184082008</v>
      </c>
      <c r="T24" s="2">
        <f>R24+S24</f>
        <v>1355185.6231689451</v>
      </c>
      <c r="U24" s="2">
        <f>ROUND(T24*0.0005, 2)</f>
        <v>677.59</v>
      </c>
      <c r="V24" s="2">
        <f>S24-R24</f>
        <v>-3117.5994873049203</v>
      </c>
      <c r="W24" s="2">
        <f>V24-U24</f>
        <v>-3795.1894873049205</v>
      </c>
      <c r="X24" s="2">
        <f>K24+W24</f>
        <v>42799538.625632316</v>
      </c>
      <c r="Y24" s="2">
        <f>ROUND(0.2*R24, 2)</f>
        <v>135830.32</v>
      </c>
      <c r="Z24" s="2">
        <f>ROUND((W24/Y24)*100, 2)</f>
        <v>-2.79</v>
      </c>
      <c r="AA24" s="2">
        <f>MAX(AA23, X24)</f>
        <v>42803333.815119624</v>
      </c>
      <c r="AB24" s="2">
        <f>X24-AA24</f>
        <v>-3795.1894873082638</v>
      </c>
    </row>
    <row r="25" spans="1:28">
      <c r="A25" s="2">
        <v>22</v>
      </c>
      <c r="B25" s="2" t="s">
        <v>184</v>
      </c>
      <c r="C25" s="2" t="s">
        <v>2318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2219</v>
      </c>
      <c r="J25" s="2" t="s">
        <v>1710</v>
      </c>
      <c r="K25" s="2">
        <f t="shared" si="10"/>
        <v>42799538.625632316</v>
      </c>
      <c r="L25" s="2" t="s">
        <v>1783</v>
      </c>
      <c r="M25" s="2" t="s">
        <v>1585</v>
      </c>
      <c r="N25" s="2" t="s">
        <v>1584</v>
      </c>
      <c r="O25" s="2">
        <v>125</v>
      </c>
      <c r="P25" s="2">
        <v>6836.2744140625</v>
      </c>
      <c r="Q25" s="2">
        <v>7201.5107421875</v>
      </c>
      <c r="R25" s="2">
        <f>O25*P25</f>
        <v>854534.3017578125</v>
      </c>
      <c r="S25" s="2">
        <f>O25*Q25</f>
        <v>900188.8427734375</v>
      </c>
      <c r="T25" s="2">
        <f>R25+S25</f>
        <v>1754723.14453125</v>
      </c>
      <c r="U25" s="2">
        <f>ROUND(T25*0.0005, 2)</f>
        <v>877.36</v>
      </c>
      <c r="V25" s="2">
        <f>S25-R25</f>
        <v>45654.541015625</v>
      </c>
      <c r="W25" s="2">
        <f>V25-U25</f>
        <v>44777.181015624999</v>
      </c>
      <c r="X25" s="2">
        <f>K25+W25</f>
        <v>42844315.806647941</v>
      </c>
      <c r="Y25" s="2">
        <f>ROUND(0.2*R25, 2)</f>
        <v>170906.86</v>
      </c>
      <c r="Z25" s="2">
        <f>ROUND((W25/Y25)*100, 2)</f>
        <v>26.2</v>
      </c>
      <c r="AA25" s="2">
        <f>MAX(AA24, X25)</f>
        <v>42844315.806647941</v>
      </c>
      <c r="AB25" s="2">
        <f>X25-AA25</f>
        <v>0</v>
      </c>
    </row>
    <row r="26" spans="1:28">
      <c r="A26" s="2">
        <v>23</v>
      </c>
      <c r="B26" s="2" t="s">
        <v>190</v>
      </c>
      <c r="C26" s="2" t="s">
        <v>2318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1382</v>
      </c>
      <c r="J26" s="2" t="s">
        <v>598</v>
      </c>
      <c r="K26" s="2">
        <f t="shared" si="10"/>
        <v>42844315.806647941</v>
      </c>
      <c r="L26" s="2" t="s">
        <v>1720</v>
      </c>
      <c r="M26" s="2" t="s">
        <v>1808</v>
      </c>
      <c r="N26" s="2" t="s">
        <v>1720</v>
      </c>
      <c r="O26" s="2">
        <v>500</v>
      </c>
      <c r="P26" s="2">
        <v>1587.418579101562</v>
      </c>
      <c r="Q26" s="2">
        <v>1619.056030273438</v>
      </c>
      <c r="R26" s="2">
        <f>O26*P26</f>
        <v>793709.28955078102</v>
      </c>
      <c r="S26" s="2">
        <f>O26*Q26</f>
        <v>809528.01513671898</v>
      </c>
      <c r="T26" s="2">
        <f>R26+S26</f>
        <v>1603237.3046875</v>
      </c>
      <c r="U26" s="2">
        <f>ROUND(T26*0.0005, 2)</f>
        <v>801.62</v>
      </c>
      <c r="V26" s="2">
        <f>S26-R26</f>
        <v>15818.725585937966</v>
      </c>
      <c r="W26" s="2">
        <f>V26-U26</f>
        <v>15017.105585937965</v>
      </c>
      <c r="X26" s="2">
        <f>K26+W26</f>
        <v>42859332.912233882</v>
      </c>
      <c r="Y26" s="2">
        <f>ROUND(0.2*R26, 2)</f>
        <v>158741.85999999999</v>
      </c>
      <c r="Z26" s="2">
        <f>ROUND((W26/Y26)*100, 2)</f>
        <v>9.4600000000000009</v>
      </c>
      <c r="AA26" s="2">
        <f>MAX(AA25, X26)</f>
        <v>42859332.912233882</v>
      </c>
      <c r="AB26" s="2">
        <f>X26-AA26</f>
        <v>0</v>
      </c>
    </row>
    <row r="27" spans="1:28">
      <c r="A27" s="2">
        <v>24</v>
      </c>
      <c r="B27" s="2" t="s">
        <v>195</v>
      </c>
      <c r="C27" s="2" t="s">
        <v>2318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42859332.912233882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42859332.912233882</v>
      </c>
      <c r="Y27" s="6" t="s">
        <v>1195</v>
      </c>
      <c r="Z27" s="6" t="s">
        <v>1195</v>
      </c>
      <c r="AA27" s="2">
        <f>AA26</f>
        <v>42859332.912233882</v>
      </c>
      <c r="AB27" s="2">
        <v>0</v>
      </c>
    </row>
    <row r="28" spans="1:28">
      <c r="A28" s="2">
        <v>25</v>
      </c>
      <c r="B28" s="2" t="s">
        <v>199</v>
      </c>
      <c r="C28" s="2" t="s">
        <v>2318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2339</v>
      </c>
      <c r="J28" s="2" t="s">
        <v>2340</v>
      </c>
      <c r="K28" s="2">
        <f t="shared" si="10"/>
        <v>42859332.912233882</v>
      </c>
      <c r="L28" s="2" t="s">
        <v>1586</v>
      </c>
      <c r="M28" s="2" t="s">
        <v>1778</v>
      </c>
      <c r="N28" s="2" t="s">
        <v>1585</v>
      </c>
      <c r="O28" s="2">
        <v>125</v>
      </c>
      <c r="P28" s="2">
        <v>696.40618896484375</v>
      </c>
      <c r="Q28" s="2">
        <v>649.49432373046875</v>
      </c>
      <c r="R28" s="2">
        <f>O28*P28</f>
        <v>87050.773620605469</v>
      </c>
      <c r="S28" s="2">
        <f>O28*Q28</f>
        <v>81186.790466308594</v>
      </c>
      <c r="T28" s="2">
        <f>R28+S28</f>
        <v>168237.56408691406</v>
      </c>
      <c r="U28" s="2">
        <f>ROUND(T28*0.0005, 2)</f>
        <v>84.12</v>
      </c>
      <c r="V28" s="2">
        <f>S28-R28</f>
        <v>-5863.983154296875</v>
      </c>
      <c r="W28" s="2">
        <f>V28-U28</f>
        <v>-5948.1031542968749</v>
      </c>
      <c r="X28" s="2">
        <f>K28+W28</f>
        <v>42853384.809079587</v>
      </c>
      <c r="Y28" s="2">
        <f>ROUND(0.2*R28, 2)</f>
        <v>17410.150000000001</v>
      </c>
      <c r="Z28" s="2">
        <f>ROUND((W28/Y28)*100, 2)</f>
        <v>-34.159999999999997</v>
      </c>
      <c r="AA28" s="2">
        <f>MAX(AA27, X28)</f>
        <v>42859332.912233882</v>
      </c>
      <c r="AB28" s="2">
        <f>X28-AA28</f>
        <v>-5948.1031542941928</v>
      </c>
    </row>
    <row r="29" spans="1:28">
      <c r="A29" s="2">
        <v>26</v>
      </c>
      <c r="B29" s="2" t="s">
        <v>205</v>
      </c>
      <c r="C29" s="2" t="s">
        <v>2318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42853384.809079587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42853384.809079587</v>
      </c>
      <c r="Y29" s="6" t="s">
        <v>1195</v>
      </c>
      <c r="Z29" s="6" t="s">
        <v>1195</v>
      </c>
      <c r="AA29" s="2">
        <f>AA28</f>
        <v>42859332.912233882</v>
      </c>
      <c r="AB29" s="2">
        <v>0</v>
      </c>
    </row>
    <row r="30" spans="1:28">
      <c r="A30" s="2">
        <v>27</v>
      </c>
      <c r="B30" s="2" t="s">
        <v>209</v>
      </c>
      <c r="C30" s="2" t="s">
        <v>2318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42853384.809079587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42853384.809079587</v>
      </c>
      <c r="Y30" s="6" t="s">
        <v>1195</v>
      </c>
      <c r="Z30" s="6" t="s">
        <v>1195</v>
      </c>
      <c r="AA30" s="2">
        <f>AA29</f>
        <v>42859332.912233882</v>
      </c>
      <c r="AB30" s="2">
        <v>0</v>
      </c>
    </row>
    <row r="31" spans="1:28">
      <c r="A31" s="2">
        <v>28</v>
      </c>
      <c r="B31" s="2" t="s">
        <v>213</v>
      </c>
      <c r="C31" s="2" t="s">
        <v>2318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42853384.809079587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42853384.809079587</v>
      </c>
      <c r="Y31" s="6" t="s">
        <v>1195</v>
      </c>
      <c r="Z31" s="6" t="s">
        <v>1195</v>
      </c>
      <c r="AA31" s="2">
        <f>AA30</f>
        <v>42859332.912233882</v>
      </c>
      <c r="AB31" s="2">
        <v>0</v>
      </c>
    </row>
    <row r="32" spans="1:28">
      <c r="A32" s="2">
        <v>29</v>
      </c>
      <c r="B32" s="2" t="s">
        <v>218</v>
      </c>
      <c r="C32" s="2" t="s">
        <v>2318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42853384.809079587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42853384.809079587</v>
      </c>
      <c r="Y32" s="6" t="s">
        <v>1195</v>
      </c>
      <c r="Z32" s="6" t="s">
        <v>1195</v>
      </c>
      <c r="AA32" s="2">
        <f>AA31</f>
        <v>42859332.912233882</v>
      </c>
      <c r="AB32" s="2">
        <v>0</v>
      </c>
    </row>
    <row r="33" spans="1:28">
      <c r="A33" s="2">
        <v>30</v>
      </c>
      <c r="B33" s="2" t="s">
        <v>225</v>
      </c>
      <c r="C33" s="2" t="s">
        <v>2318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2341</v>
      </c>
      <c r="J33" s="2" t="s">
        <v>1282</v>
      </c>
      <c r="K33" s="2">
        <f t="shared" si="10"/>
        <v>42853384.809079587</v>
      </c>
      <c r="L33" s="2" t="s">
        <v>1783</v>
      </c>
      <c r="M33" s="2" t="s">
        <v>1778</v>
      </c>
      <c r="N33" s="2" t="s">
        <v>1585</v>
      </c>
      <c r="O33" s="2">
        <v>2438</v>
      </c>
      <c r="P33" s="2">
        <v>177.57270812988281</v>
      </c>
      <c r="Q33" s="2">
        <v>181.5828857421875</v>
      </c>
      <c r="R33" s="2">
        <f>O33*P33</f>
        <v>432922.2624206543</v>
      </c>
      <c r="S33" s="2">
        <f>O33*Q33</f>
        <v>442699.07543945312</v>
      </c>
      <c r="T33" s="2">
        <f>R33+S33</f>
        <v>875621.33786010742</v>
      </c>
      <c r="U33" s="2">
        <f>ROUND(T33*0.0005, 2)</f>
        <v>437.81</v>
      </c>
      <c r="V33" s="2">
        <f>S33-R33</f>
        <v>9776.8130187988281</v>
      </c>
      <c r="W33" s="2">
        <f>V33-U33</f>
        <v>9339.0030187988286</v>
      </c>
      <c r="X33" s="2">
        <f>K33+W33</f>
        <v>42862723.812098384</v>
      </c>
      <c r="Y33" s="2">
        <f>ROUND(0.2*R33, 2)</f>
        <v>86584.45</v>
      </c>
      <c r="Z33" s="2">
        <f>ROUND((W33/Y33)*100, 2)</f>
        <v>10.79</v>
      </c>
      <c r="AA33" s="2">
        <f>MAX(AA32, X33)</f>
        <v>42862723.812098384</v>
      </c>
      <c r="AB33" s="2">
        <f>X33-AA33</f>
        <v>0</v>
      </c>
    </row>
    <row r="34" spans="1:28">
      <c r="A34" s="2">
        <v>31</v>
      </c>
      <c r="B34" s="2" t="s">
        <v>230</v>
      </c>
      <c r="C34" s="2" t="s">
        <v>2318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42862723.812098384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42862723.812098384</v>
      </c>
      <c r="Y34" s="6" t="s">
        <v>1195</v>
      </c>
      <c r="Z34" s="6" t="s">
        <v>1195</v>
      </c>
      <c r="AA34" s="2">
        <f>AA33</f>
        <v>42862723.812098384</v>
      </c>
      <c r="AB34" s="2">
        <v>0</v>
      </c>
    </row>
    <row r="35" spans="1:28">
      <c r="A35" s="2">
        <v>32</v>
      </c>
      <c r="B35" s="2" t="s">
        <v>236</v>
      </c>
      <c r="C35" s="2" t="s">
        <v>2318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2342</v>
      </c>
      <c r="J35" s="2" t="s">
        <v>396</v>
      </c>
      <c r="K35" s="2">
        <f t="shared" si="10"/>
        <v>42862723.812098384</v>
      </c>
      <c r="L35" s="2" t="s">
        <v>1584</v>
      </c>
      <c r="M35" s="2" t="s">
        <v>1789</v>
      </c>
      <c r="N35" s="2" t="s">
        <v>1778</v>
      </c>
      <c r="O35" s="2">
        <v>950</v>
      </c>
      <c r="P35" s="2">
        <v>1173.544677734375</v>
      </c>
      <c r="Q35" s="2">
        <v>1103.276977539062</v>
      </c>
      <c r="R35" s="2">
        <f>O35*P35</f>
        <v>1114867.4438476562</v>
      </c>
      <c r="S35" s="2">
        <f>O35*Q35</f>
        <v>1048113.1286621089</v>
      </c>
      <c r="T35" s="2">
        <f>R35+S35</f>
        <v>2162980.5725097652</v>
      </c>
      <c r="U35" s="2">
        <f>ROUND(T35*0.0005, 2)</f>
        <v>1081.49</v>
      </c>
      <c r="V35" s="2">
        <f>S35-R35</f>
        <v>-66754.315185547341</v>
      </c>
      <c r="W35" s="2">
        <f>V35-U35</f>
        <v>-67835.805185547346</v>
      </c>
      <c r="X35" s="2">
        <f>K35+W35</f>
        <v>42794888.006912835</v>
      </c>
      <c r="Y35" s="2">
        <f>ROUND(0.2*R35, 2)</f>
        <v>222973.49</v>
      </c>
      <c r="Z35" s="2">
        <f>ROUND((W35/Y35)*100, 2)</f>
        <v>-30.42</v>
      </c>
      <c r="AA35" s="2">
        <f>MAX(AA34, X35)</f>
        <v>42862723.812098384</v>
      </c>
      <c r="AB35" s="2">
        <f>X35-AA35</f>
        <v>-67835.805185548961</v>
      </c>
    </row>
    <row r="36" spans="1:28">
      <c r="A36" s="2">
        <v>33</v>
      </c>
      <c r="B36" s="2" t="s">
        <v>240</v>
      </c>
      <c r="C36" s="2" t="s">
        <v>2318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42794888.006912835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42794888.006912835</v>
      </c>
      <c r="Y36" s="6" t="s">
        <v>1195</v>
      </c>
      <c r="Z36" s="6" t="s">
        <v>1195</v>
      </c>
      <c r="AA36" s="2">
        <f>AA35</f>
        <v>42862723.812098384</v>
      </c>
      <c r="AB36" s="2">
        <v>0</v>
      </c>
    </row>
    <row r="37" spans="1:28">
      <c r="A37" s="2">
        <v>34</v>
      </c>
      <c r="B37" s="2" t="s">
        <v>245</v>
      </c>
      <c r="C37" s="2" t="s">
        <v>2318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42794888.006912835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42794888.006912835</v>
      </c>
      <c r="Y37" s="6" t="s">
        <v>1195</v>
      </c>
      <c r="Z37" s="6" t="s">
        <v>1195</v>
      </c>
      <c r="AA37" s="2">
        <f>AA36</f>
        <v>42862723.812098384</v>
      </c>
      <c r="AB37" s="2">
        <v>0</v>
      </c>
    </row>
    <row r="38" spans="1:28">
      <c r="A38" s="2">
        <v>35</v>
      </c>
      <c r="B38" s="2" t="s">
        <v>248</v>
      </c>
      <c r="C38" s="2" t="s">
        <v>2318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42794888.006912835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42794888.006912835</v>
      </c>
      <c r="Y38" s="6" t="s">
        <v>1195</v>
      </c>
      <c r="Z38" s="6" t="s">
        <v>1195</v>
      </c>
      <c r="AA38" s="2">
        <f>AA37</f>
        <v>42862723.812098384</v>
      </c>
      <c r="AB38" s="2">
        <v>0</v>
      </c>
    </row>
    <row r="39" spans="1:28">
      <c r="A39" s="2">
        <v>36</v>
      </c>
      <c r="B39" s="2" t="s">
        <v>252</v>
      </c>
      <c r="C39" s="2" t="s">
        <v>2318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42794888.006912835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42794888.006912835</v>
      </c>
      <c r="Y39" s="6" t="s">
        <v>1195</v>
      </c>
      <c r="Z39" s="6" t="s">
        <v>1195</v>
      </c>
      <c r="AA39" s="2">
        <f>AA38</f>
        <v>42862723.812098384</v>
      </c>
      <c r="AB39" s="2">
        <v>0</v>
      </c>
    </row>
    <row r="40" spans="1:28">
      <c r="A40" s="2">
        <v>37</v>
      </c>
      <c r="B40" s="2" t="s">
        <v>256</v>
      </c>
      <c r="C40" s="2" t="s">
        <v>2318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2343</v>
      </c>
      <c r="J40" s="2" t="s">
        <v>2344</v>
      </c>
      <c r="K40" s="2">
        <f t="shared" si="10"/>
        <v>42794888.006912835</v>
      </c>
      <c r="L40" s="2" t="s">
        <v>1799</v>
      </c>
      <c r="M40" s="2" t="s">
        <v>1780</v>
      </c>
      <c r="N40" s="2" t="s">
        <v>1720</v>
      </c>
      <c r="O40" s="2">
        <v>1800</v>
      </c>
      <c r="P40" s="2">
        <v>271.70318603515619</v>
      </c>
      <c r="Q40" s="2">
        <v>206.48638916015619</v>
      </c>
      <c r="R40" s="2">
        <f>O40*P40</f>
        <v>489065.73486328113</v>
      </c>
      <c r="S40" s="2">
        <f>O40*Q40</f>
        <v>371675.50048828113</v>
      </c>
      <c r="T40" s="2">
        <f>R40+S40</f>
        <v>860741.23535156227</v>
      </c>
      <c r="U40" s="2">
        <f>ROUND(T40*0.0005, 2)</f>
        <v>430.37</v>
      </c>
      <c r="V40" s="2">
        <f>S40-R40</f>
        <v>-117390.234375</v>
      </c>
      <c r="W40" s="2">
        <f>V40-U40</f>
        <v>-117820.604375</v>
      </c>
      <c r="X40" s="2">
        <f>K40+W40</f>
        <v>42677067.402537838</v>
      </c>
      <c r="Y40" s="2">
        <f>ROUND(0.2*R40, 2)</f>
        <v>97813.15</v>
      </c>
      <c r="Z40" s="2">
        <f>ROUND((W40/Y40)*100, 2)</f>
        <v>-120.45</v>
      </c>
      <c r="AA40" s="2">
        <f>MAX(AA39, X40)</f>
        <v>42862723.812098384</v>
      </c>
      <c r="AB40" s="2">
        <f>X40-AA40</f>
        <v>-185656.40956054628</v>
      </c>
    </row>
    <row r="41" spans="1:28">
      <c r="A41" s="2">
        <v>38</v>
      </c>
      <c r="B41" s="2" t="s">
        <v>259</v>
      </c>
      <c r="C41" s="2" t="s">
        <v>2318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636</v>
      </c>
      <c r="J41" s="2" t="s">
        <v>1906</v>
      </c>
      <c r="K41" s="2">
        <f t="shared" si="10"/>
        <v>42677067.402537838</v>
      </c>
      <c r="L41" s="2" t="s">
        <v>1779</v>
      </c>
      <c r="M41" s="2" t="s">
        <v>1722</v>
      </c>
      <c r="N41" s="2" t="s">
        <v>1779</v>
      </c>
      <c r="O41" s="2">
        <v>200</v>
      </c>
      <c r="P41" s="2">
        <v>4948.154296875</v>
      </c>
      <c r="Q41" s="2">
        <v>4844.13916015625</v>
      </c>
      <c r="R41" s="2">
        <f>O41*P41</f>
        <v>989630.859375</v>
      </c>
      <c r="S41" s="2">
        <f>O41*Q41</f>
        <v>968827.83203125</v>
      </c>
      <c r="T41" s="2">
        <f>R41+S41</f>
        <v>1958458.69140625</v>
      </c>
      <c r="U41" s="2">
        <f>ROUND(T41*0.0005, 2)</f>
        <v>979.23</v>
      </c>
      <c r="V41" s="2">
        <f>S41-R41</f>
        <v>-20803.02734375</v>
      </c>
      <c r="W41" s="2">
        <f>V41-U41</f>
        <v>-21782.25734375</v>
      </c>
      <c r="X41" s="2">
        <f>K41+W41</f>
        <v>42655285.145194091</v>
      </c>
      <c r="Y41" s="2">
        <f>ROUND(0.2*R41, 2)</f>
        <v>197926.17</v>
      </c>
      <c r="Z41" s="2">
        <f>ROUND((W41/Y41)*100, 2)</f>
        <v>-11.01</v>
      </c>
      <c r="AA41" s="2">
        <f>MAX(AA40, X41)</f>
        <v>42862723.812098384</v>
      </c>
      <c r="AB41" s="2">
        <f>X41-AA41</f>
        <v>-207438.666904293</v>
      </c>
    </row>
    <row r="42" spans="1:28">
      <c r="A42" s="2">
        <v>39</v>
      </c>
      <c r="B42" s="2" t="s">
        <v>265</v>
      </c>
      <c r="C42" s="2" t="s">
        <v>2318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42655285.145194091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42655285.145194091</v>
      </c>
      <c r="Y42" s="6" t="s">
        <v>1195</v>
      </c>
      <c r="Z42" s="6" t="s">
        <v>1195</v>
      </c>
      <c r="AA42" s="2">
        <f t="shared" ref="AA42:AA47" si="13">AA41</f>
        <v>42862723.812098384</v>
      </c>
      <c r="AB42" s="2">
        <v>0</v>
      </c>
    </row>
    <row r="43" spans="1:28">
      <c r="A43" s="2">
        <v>40</v>
      </c>
      <c r="B43" s="2" t="s">
        <v>269</v>
      </c>
      <c r="C43" s="2" t="s">
        <v>2318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42655285.145194091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42655285.145194091</v>
      </c>
      <c r="Y43" s="6" t="s">
        <v>1195</v>
      </c>
      <c r="Z43" s="6" t="s">
        <v>1195</v>
      </c>
      <c r="AA43" s="2">
        <f t="shared" si="13"/>
        <v>42862723.812098384</v>
      </c>
      <c r="AB43" s="2">
        <v>0</v>
      </c>
    </row>
    <row r="44" spans="1:28">
      <c r="A44" s="2">
        <v>41</v>
      </c>
      <c r="B44" s="2" t="s">
        <v>272</v>
      </c>
      <c r="C44" s="2" t="s">
        <v>2318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42655285.145194091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42655285.145194091</v>
      </c>
      <c r="Y44" s="6" t="s">
        <v>1195</v>
      </c>
      <c r="Z44" s="6" t="s">
        <v>1195</v>
      </c>
      <c r="AA44" s="2">
        <f t="shared" si="13"/>
        <v>42862723.812098384</v>
      </c>
      <c r="AB44" s="2">
        <v>0</v>
      </c>
    </row>
    <row r="45" spans="1:28">
      <c r="A45" s="2">
        <v>42</v>
      </c>
      <c r="B45" s="2" t="s">
        <v>275</v>
      </c>
      <c r="C45" s="2" t="s">
        <v>2318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42655285.145194091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42655285.145194091</v>
      </c>
      <c r="Y45" s="6" t="s">
        <v>1195</v>
      </c>
      <c r="Z45" s="6" t="s">
        <v>1195</v>
      </c>
      <c r="AA45" s="2">
        <f t="shared" si="13"/>
        <v>42862723.812098384</v>
      </c>
      <c r="AB45" s="2">
        <v>0</v>
      </c>
    </row>
    <row r="46" spans="1:28">
      <c r="A46" s="2">
        <v>43</v>
      </c>
      <c r="B46" s="2" t="s">
        <v>280</v>
      </c>
      <c r="C46" s="2" t="s">
        <v>2318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42655285.145194091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42655285.145194091</v>
      </c>
      <c r="Y46" s="6" t="s">
        <v>1195</v>
      </c>
      <c r="Z46" s="6" t="s">
        <v>1195</v>
      </c>
      <c r="AA46" s="2">
        <f t="shared" si="13"/>
        <v>42862723.812098384</v>
      </c>
      <c r="AB46" s="2">
        <v>0</v>
      </c>
    </row>
    <row r="47" spans="1:28">
      <c r="A47" s="2">
        <v>44</v>
      </c>
      <c r="B47" s="2" t="s">
        <v>284</v>
      </c>
      <c r="C47" s="2" t="s">
        <v>2318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42655285.145194091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42655285.145194091</v>
      </c>
      <c r="Y47" s="6" t="s">
        <v>1195</v>
      </c>
      <c r="Z47" s="6" t="s">
        <v>1195</v>
      </c>
      <c r="AA47" s="2">
        <f t="shared" si="13"/>
        <v>42862723.812098384</v>
      </c>
      <c r="AB47" s="2">
        <v>0</v>
      </c>
    </row>
    <row r="48" spans="1:28">
      <c r="A48" s="2">
        <v>45</v>
      </c>
      <c r="B48" s="2" t="s">
        <v>291</v>
      </c>
      <c r="C48" s="2" t="s">
        <v>2318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1571</v>
      </c>
      <c r="J48" s="2" t="s">
        <v>2345</v>
      </c>
      <c r="K48" s="2">
        <f t="shared" si="10"/>
        <v>42655285.145194091</v>
      </c>
      <c r="L48" s="2" t="s">
        <v>1783</v>
      </c>
      <c r="M48" s="2" t="s">
        <v>1720</v>
      </c>
      <c r="N48" s="2" t="s">
        <v>1833</v>
      </c>
      <c r="O48" s="2">
        <v>650</v>
      </c>
      <c r="P48" s="2">
        <v>1280.211791992188</v>
      </c>
      <c r="Q48" s="2">
        <v>1257.7587890625</v>
      </c>
      <c r="R48" s="2">
        <f>O48*P48</f>
        <v>832137.66479492222</v>
      </c>
      <c r="S48" s="2">
        <f>O48*Q48</f>
        <v>817543.212890625</v>
      </c>
      <c r="T48" s="2">
        <f>R48+S48</f>
        <v>1649680.8776855473</v>
      </c>
      <c r="U48" s="2">
        <f>ROUND(T48*0.0005, 2)</f>
        <v>824.84</v>
      </c>
      <c r="V48" s="2">
        <f>S48-R48</f>
        <v>-14594.451904297224</v>
      </c>
      <c r="W48" s="2">
        <f>V48-U48</f>
        <v>-15419.291904297224</v>
      </c>
      <c r="X48" s="2">
        <f>K48+W48</f>
        <v>42639865.85328979</v>
      </c>
      <c r="Y48" s="2">
        <f>ROUND(0.2*R48, 2)</f>
        <v>166427.53</v>
      </c>
      <c r="Z48" s="2">
        <f>ROUND((W48/Y48)*100, 2)</f>
        <v>-9.26</v>
      </c>
      <c r="AA48" s="2">
        <f>MAX(AA47, X48)</f>
        <v>42862723.812098384</v>
      </c>
      <c r="AB48" s="2">
        <f>X48-AA48</f>
        <v>-222857.95880859345</v>
      </c>
    </row>
    <row r="49" spans="1:28">
      <c r="A49" s="2">
        <v>46</v>
      </c>
      <c r="B49" s="2" t="s">
        <v>295</v>
      </c>
      <c r="C49" s="2" t="s">
        <v>2318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2346</v>
      </c>
      <c r="J49" s="2" t="s">
        <v>2347</v>
      </c>
      <c r="K49" s="2">
        <f t="shared" si="10"/>
        <v>42639865.85328979</v>
      </c>
      <c r="L49" s="2" t="s">
        <v>1808</v>
      </c>
      <c r="M49" s="2" t="s">
        <v>1835</v>
      </c>
      <c r="N49" s="2" t="s">
        <v>1789</v>
      </c>
      <c r="O49" s="2">
        <v>2100</v>
      </c>
      <c r="P49" s="2">
        <v>353.50457763671881</v>
      </c>
      <c r="Q49" s="2">
        <v>405.35247802734381</v>
      </c>
      <c r="R49" s="2">
        <f>O49*P49</f>
        <v>742359.61303710949</v>
      </c>
      <c r="S49" s="2">
        <f>O49*Q49</f>
        <v>851240.20385742199</v>
      </c>
      <c r="T49" s="2">
        <f>R49+S49</f>
        <v>1593599.8168945315</v>
      </c>
      <c r="U49" s="2">
        <f>ROUND(T49*0.0005, 2)</f>
        <v>796.8</v>
      </c>
      <c r="V49" s="2">
        <f>S49-R49</f>
        <v>108880.5908203125</v>
      </c>
      <c r="W49" s="2">
        <f>V49-U49</f>
        <v>108083.7908203125</v>
      </c>
      <c r="X49" s="2">
        <f>K49+W49</f>
        <v>42747949.644110106</v>
      </c>
      <c r="Y49" s="2">
        <f>ROUND(0.2*R49, 2)</f>
        <v>148471.92000000001</v>
      </c>
      <c r="Z49" s="2">
        <f>ROUND((W49/Y49)*100, 2)</f>
        <v>72.8</v>
      </c>
      <c r="AA49" s="2">
        <f>MAX(AA48, X49)</f>
        <v>42862723.812098384</v>
      </c>
      <c r="AB49" s="2">
        <f>X49-AA49</f>
        <v>-114774.16798827797</v>
      </c>
    </row>
    <row r="50" spans="1:28">
      <c r="A50" s="2">
        <v>47</v>
      </c>
      <c r="B50" s="2" t="s">
        <v>299</v>
      </c>
      <c r="C50" s="2" t="s">
        <v>2318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42747949.644110106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42747949.644110106</v>
      </c>
      <c r="Y50" s="6" t="s">
        <v>1195</v>
      </c>
      <c r="Z50" s="6" t="s">
        <v>1195</v>
      </c>
      <c r="AA50" s="2">
        <f t="shared" ref="AA50:AA61" si="15">AA49</f>
        <v>42862723.812098384</v>
      </c>
      <c r="AB50" s="2">
        <v>0</v>
      </c>
    </row>
    <row r="51" spans="1:28">
      <c r="A51" s="2">
        <v>48</v>
      </c>
      <c r="B51" s="2" t="s">
        <v>303</v>
      </c>
      <c r="C51" s="2" t="s">
        <v>2318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42747949.644110106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42747949.644110106</v>
      </c>
      <c r="Y51" s="6" t="s">
        <v>1195</v>
      </c>
      <c r="Z51" s="6" t="s">
        <v>1195</v>
      </c>
      <c r="AA51" s="2">
        <f t="shared" si="15"/>
        <v>42862723.812098384</v>
      </c>
      <c r="AB51" s="2">
        <v>0</v>
      </c>
    </row>
    <row r="52" spans="1:28">
      <c r="A52" s="2">
        <v>49</v>
      </c>
      <c r="B52" s="2" t="s">
        <v>307</v>
      </c>
      <c r="C52" s="2" t="s">
        <v>2318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42747949.644110106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42747949.644110106</v>
      </c>
      <c r="Y52" s="6" t="s">
        <v>1195</v>
      </c>
      <c r="Z52" s="6" t="s">
        <v>1195</v>
      </c>
      <c r="AA52" s="2">
        <f t="shared" si="15"/>
        <v>42862723.812098384</v>
      </c>
      <c r="AB52" s="2">
        <v>0</v>
      </c>
    </row>
    <row r="53" spans="1:28">
      <c r="A53" s="2">
        <v>50</v>
      </c>
      <c r="B53" s="2" t="s">
        <v>311</v>
      </c>
      <c r="C53" s="2" t="s">
        <v>2318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42747949.644110106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42747949.644110106</v>
      </c>
      <c r="Y53" s="6" t="s">
        <v>1195</v>
      </c>
      <c r="Z53" s="6" t="s">
        <v>1195</v>
      </c>
      <c r="AA53" s="2">
        <f t="shared" si="15"/>
        <v>42862723.812098384</v>
      </c>
      <c r="AB53" s="2">
        <v>0</v>
      </c>
    </row>
    <row r="54" spans="1:28">
      <c r="A54" s="2">
        <v>51</v>
      </c>
      <c r="B54" s="2" t="s">
        <v>315</v>
      </c>
      <c r="C54" s="2" t="s">
        <v>2318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42747949.644110106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42747949.644110106</v>
      </c>
      <c r="Y54" s="6" t="s">
        <v>1195</v>
      </c>
      <c r="Z54" s="6" t="s">
        <v>1195</v>
      </c>
      <c r="AA54" s="2">
        <f t="shared" si="15"/>
        <v>42862723.812098384</v>
      </c>
      <c r="AB54" s="2">
        <v>0</v>
      </c>
    </row>
    <row r="55" spans="1:28">
      <c r="A55" s="2">
        <v>52</v>
      </c>
      <c r="B55" s="2" t="s">
        <v>318</v>
      </c>
      <c r="C55" s="2" t="s">
        <v>2318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42747949.644110106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42747949.644110106</v>
      </c>
      <c r="Y55" s="6" t="s">
        <v>1195</v>
      </c>
      <c r="Z55" s="6" t="s">
        <v>1195</v>
      </c>
      <c r="AA55" s="2">
        <f t="shared" si="15"/>
        <v>42862723.812098384</v>
      </c>
      <c r="AB55" s="2">
        <v>0</v>
      </c>
    </row>
    <row r="56" spans="1:28">
      <c r="A56" s="2">
        <v>53</v>
      </c>
      <c r="B56" s="2" t="s">
        <v>322</v>
      </c>
      <c r="C56" s="2" t="s">
        <v>2318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42747949.644110106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42747949.644110106</v>
      </c>
      <c r="Y56" s="6" t="s">
        <v>1195</v>
      </c>
      <c r="Z56" s="6" t="s">
        <v>1195</v>
      </c>
      <c r="AA56" s="2">
        <f t="shared" si="15"/>
        <v>42862723.812098384</v>
      </c>
      <c r="AB56" s="2">
        <v>0</v>
      </c>
    </row>
    <row r="57" spans="1:28">
      <c r="A57" s="2">
        <v>54</v>
      </c>
      <c r="B57" s="2" t="s">
        <v>324</v>
      </c>
      <c r="C57" s="2" t="s">
        <v>2318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42747949.644110106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42747949.644110106</v>
      </c>
      <c r="Y57" s="6" t="s">
        <v>1195</v>
      </c>
      <c r="Z57" s="6" t="s">
        <v>1195</v>
      </c>
      <c r="AA57" s="2">
        <f t="shared" si="15"/>
        <v>42862723.812098384</v>
      </c>
      <c r="AB57" s="2">
        <v>0</v>
      </c>
    </row>
    <row r="58" spans="1:28">
      <c r="A58" s="2">
        <v>55</v>
      </c>
      <c r="B58" s="2" t="s">
        <v>328</v>
      </c>
      <c r="C58" s="2" t="s">
        <v>2318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42747949.644110106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42747949.644110106</v>
      </c>
      <c r="Y58" s="6" t="s">
        <v>1195</v>
      </c>
      <c r="Z58" s="6" t="s">
        <v>1195</v>
      </c>
      <c r="AA58" s="2">
        <f t="shared" si="15"/>
        <v>42862723.812098384</v>
      </c>
      <c r="AB58" s="2">
        <v>0</v>
      </c>
    </row>
    <row r="59" spans="1:28">
      <c r="A59" s="2">
        <v>56</v>
      </c>
      <c r="B59" s="2" t="s">
        <v>332</v>
      </c>
      <c r="C59" s="2" t="s">
        <v>2318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42747949.644110106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42747949.644110106</v>
      </c>
      <c r="Y59" s="6" t="s">
        <v>1195</v>
      </c>
      <c r="Z59" s="6" t="s">
        <v>1195</v>
      </c>
      <c r="AA59" s="2">
        <f t="shared" si="15"/>
        <v>42862723.812098384</v>
      </c>
      <c r="AB59" s="2">
        <v>0</v>
      </c>
    </row>
    <row r="60" spans="1:28">
      <c r="A60" s="2">
        <v>57</v>
      </c>
      <c r="B60" s="2" t="s">
        <v>337</v>
      </c>
      <c r="C60" s="2" t="s">
        <v>2318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42747949.644110106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42747949.644110106</v>
      </c>
      <c r="Y60" s="6" t="s">
        <v>1195</v>
      </c>
      <c r="Z60" s="6" t="s">
        <v>1195</v>
      </c>
      <c r="AA60" s="2">
        <f t="shared" si="15"/>
        <v>42862723.812098384</v>
      </c>
      <c r="AB60" s="2">
        <v>0</v>
      </c>
    </row>
    <row r="61" spans="1:28">
      <c r="A61" s="2">
        <v>58</v>
      </c>
      <c r="B61" s="2" t="s">
        <v>341</v>
      </c>
      <c r="C61" s="2" t="s">
        <v>2318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42747949.644110106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42747949.644110106</v>
      </c>
      <c r="Y61" s="6" t="s">
        <v>1195</v>
      </c>
      <c r="Z61" s="6" t="s">
        <v>1195</v>
      </c>
      <c r="AA61" s="2">
        <f t="shared" si="15"/>
        <v>42862723.812098384</v>
      </c>
      <c r="AB61" s="2">
        <v>0</v>
      </c>
    </row>
    <row r="62" spans="1:28">
      <c r="A62" s="2">
        <v>59</v>
      </c>
      <c r="B62" s="2" t="s">
        <v>347</v>
      </c>
      <c r="C62" s="2" t="s">
        <v>2318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2325</v>
      </c>
      <c r="J62" s="2" t="s">
        <v>2274</v>
      </c>
      <c r="K62" s="2">
        <f t="shared" si="10"/>
        <v>42747949.644110106</v>
      </c>
      <c r="L62" s="2" t="s">
        <v>1842</v>
      </c>
      <c r="M62" s="2" t="s">
        <v>1808</v>
      </c>
      <c r="N62" s="2" t="s">
        <v>1720</v>
      </c>
      <c r="O62" s="2">
        <v>125</v>
      </c>
      <c r="P62" s="2">
        <v>1176.6025390625</v>
      </c>
      <c r="Q62" s="2">
        <v>1109.22412109375</v>
      </c>
      <c r="R62" s="2">
        <f>O62*P62</f>
        <v>147075.3173828125</v>
      </c>
      <c r="S62" s="2">
        <f>O62*Q62</f>
        <v>138653.01513671875</v>
      </c>
      <c r="T62" s="2">
        <f>R62+S62</f>
        <v>285728.33251953125</v>
      </c>
      <c r="U62" s="2">
        <f>ROUND(T62*0.0005, 2)</f>
        <v>142.86000000000001</v>
      </c>
      <c r="V62" s="2">
        <f>S62-R62</f>
        <v>-8422.30224609375</v>
      </c>
      <c r="W62" s="2">
        <f>V62-U62</f>
        <v>-8565.1622460937506</v>
      </c>
      <c r="X62" s="2">
        <f>K62+W62</f>
        <v>42739384.481864013</v>
      </c>
      <c r="Y62" s="2">
        <f>ROUND(0.2*R62, 2)</f>
        <v>29415.06</v>
      </c>
      <c r="Z62" s="2">
        <f>ROUND((W62/Y62)*100, 2)</f>
        <v>-29.12</v>
      </c>
      <c r="AA62" s="2">
        <f>MAX(AA61, X62)</f>
        <v>42862723.812098384</v>
      </c>
      <c r="AB62" s="2">
        <f>X62-AA62</f>
        <v>-123339.33023437113</v>
      </c>
    </row>
    <row r="63" spans="1:28">
      <c r="A63" s="2">
        <v>60</v>
      </c>
      <c r="B63" s="2" t="s">
        <v>351</v>
      </c>
      <c r="C63" s="2" t="s">
        <v>2318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934</v>
      </c>
      <c r="J63" s="2" t="s">
        <v>1473</v>
      </c>
      <c r="K63" s="2">
        <f t="shared" si="10"/>
        <v>42739384.481864013</v>
      </c>
      <c r="L63" s="2" t="s">
        <v>1802</v>
      </c>
      <c r="M63" s="2" t="s">
        <v>1721</v>
      </c>
      <c r="N63" s="2" t="s">
        <v>1809</v>
      </c>
      <c r="O63" s="2">
        <v>175</v>
      </c>
      <c r="P63" s="2">
        <v>3735.195068359375</v>
      </c>
      <c r="Q63" s="2">
        <v>3824.045654296875</v>
      </c>
      <c r="R63" s="2">
        <f>O63*P63</f>
        <v>653659.13696289062</v>
      </c>
      <c r="S63" s="2">
        <f>O63*Q63</f>
        <v>669207.98950195312</v>
      </c>
      <c r="T63" s="2">
        <f>R63+S63</f>
        <v>1322867.1264648438</v>
      </c>
      <c r="U63" s="2">
        <f>ROUND(T63*0.0005, 2)</f>
        <v>661.43</v>
      </c>
      <c r="V63" s="2">
        <f>S63-R63</f>
        <v>15548.8525390625</v>
      </c>
      <c r="W63" s="2">
        <f>V63-U63</f>
        <v>14887.4225390625</v>
      </c>
      <c r="X63" s="2">
        <f>K63+W63</f>
        <v>42754271.904403076</v>
      </c>
      <c r="Y63" s="2">
        <f>ROUND(0.2*R63, 2)</f>
        <v>130731.83</v>
      </c>
      <c r="Z63" s="2">
        <f>ROUND((W63/Y63)*100, 2)</f>
        <v>11.39</v>
      </c>
      <c r="AA63" s="2">
        <f>MAX(AA62, X63)</f>
        <v>42862723.812098384</v>
      </c>
      <c r="AB63" s="2">
        <f>X63-AA63</f>
        <v>-108451.90769530833</v>
      </c>
    </row>
    <row r="64" spans="1:28">
      <c r="A64" s="2">
        <v>61</v>
      </c>
      <c r="B64" s="2" t="s">
        <v>355</v>
      </c>
      <c r="C64" s="2" t="s">
        <v>2318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2348</v>
      </c>
      <c r="J64" s="2" t="s">
        <v>2349</v>
      </c>
      <c r="K64" s="2">
        <f t="shared" si="10"/>
        <v>42754271.904403076</v>
      </c>
      <c r="L64" s="2" t="s">
        <v>2350</v>
      </c>
      <c r="M64" s="2" t="s">
        <v>2351</v>
      </c>
      <c r="N64" s="2" t="s">
        <v>2352</v>
      </c>
      <c r="O64" s="2">
        <v>3399</v>
      </c>
      <c r="P64" s="2">
        <v>93.550003051757798</v>
      </c>
      <c r="Q64" s="2">
        <v>84.949996948242188</v>
      </c>
      <c r="R64" s="2">
        <f>O64*P64</f>
        <v>317976.46037292475</v>
      </c>
      <c r="S64" s="2">
        <f>O64*Q64</f>
        <v>288745.0396270752</v>
      </c>
      <c r="T64" s="2">
        <f>R64+S64</f>
        <v>606721.5</v>
      </c>
      <c r="U64" s="2">
        <f>ROUND(T64*0.0005, 2)</f>
        <v>303.36</v>
      </c>
      <c r="V64" s="2">
        <f>S64-R64</f>
        <v>-29231.420745849551</v>
      </c>
      <c r="W64" s="2">
        <f>V64-U64</f>
        <v>-29534.780745849552</v>
      </c>
      <c r="X64" s="2">
        <f>K64+W64</f>
        <v>42724737.123657227</v>
      </c>
      <c r="Y64" s="2">
        <f>ROUND(0.2*R64, 2)</f>
        <v>63595.29</v>
      </c>
      <c r="Z64" s="2">
        <f>ROUND((W64/Y64)*100, 2)</f>
        <v>-46.44</v>
      </c>
      <c r="AA64" s="2">
        <f>MAX(AA63, X64)</f>
        <v>42862723.812098384</v>
      </c>
      <c r="AB64" s="2">
        <f>X64-AA64</f>
        <v>-137986.68844115734</v>
      </c>
    </row>
    <row r="65" spans="1:28">
      <c r="A65" s="2">
        <v>62</v>
      </c>
      <c r="B65" s="2" t="s">
        <v>360</v>
      </c>
      <c r="C65" s="2" t="s">
        <v>2318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42724737.123657227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42724737.123657227</v>
      </c>
      <c r="Y65" s="6" t="s">
        <v>1195</v>
      </c>
      <c r="Z65" s="6" t="s">
        <v>1195</v>
      </c>
      <c r="AA65" s="2">
        <f>AA64</f>
        <v>42862723.812098384</v>
      </c>
      <c r="AB65" s="2">
        <v>0</v>
      </c>
    </row>
    <row r="66" spans="1:28">
      <c r="A66" s="2">
        <v>63</v>
      </c>
      <c r="B66" s="2" t="s">
        <v>364</v>
      </c>
      <c r="C66" s="2" t="s">
        <v>2318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2353</v>
      </c>
      <c r="J66" s="2" t="s">
        <v>2354</v>
      </c>
      <c r="K66" s="2">
        <f t="shared" si="10"/>
        <v>42724737.123657227</v>
      </c>
      <c r="L66" s="2" t="s">
        <v>289</v>
      </c>
      <c r="M66" s="2" t="s">
        <v>979</v>
      </c>
      <c r="N66" s="2" t="s">
        <v>994</v>
      </c>
      <c r="O66" s="2">
        <v>100</v>
      </c>
      <c r="P66" s="2">
        <v>6400.6689453125</v>
      </c>
      <c r="Q66" s="2">
        <v>7374.26953125</v>
      </c>
      <c r="R66" s="2">
        <f>O66*P66</f>
        <v>640066.89453125</v>
      </c>
      <c r="S66" s="2">
        <f>O66*Q66</f>
        <v>737426.953125</v>
      </c>
      <c r="T66" s="2">
        <f>R66+S66</f>
        <v>1377493.84765625</v>
      </c>
      <c r="U66" s="2">
        <f>ROUND(T66*0.0005, 2)</f>
        <v>688.75</v>
      </c>
      <c r="V66" s="2">
        <f>S66-R66</f>
        <v>97360.05859375</v>
      </c>
      <c r="W66" s="2">
        <f>V66-U66</f>
        <v>96671.30859375</v>
      </c>
      <c r="X66" s="2">
        <f>K66+W66</f>
        <v>42821408.432250977</v>
      </c>
      <c r="Y66" s="2">
        <f>ROUND(0.2*R66, 2)</f>
        <v>128013.38</v>
      </c>
      <c r="Z66" s="2">
        <f>ROUND((W66/Y66)*100, 2)</f>
        <v>75.52</v>
      </c>
      <c r="AA66" s="2">
        <f>MAX(AA65, X66)</f>
        <v>42862723.812098384</v>
      </c>
      <c r="AB66" s="2">
        <f>X66-AA66</f>
        <v>-41315.379847407341</v>
      </c>
    </row>
    <row r="67" spans="1:28">
      <c r="A67" s="2">
        <v>64</v>
      </c>
      <c r="B67" s="2" t="s">
        <v>369</v>
      </c>
      <c r="C67" s="2" t="s">
        <v>2318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42821408.432250977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42821408.432250977</v>
      </c>
      <c r="Y67" s="6" t="s">
        <v>1195</v>
      </c>
      <c r="Z67" s="6" t="s">
        <v>1195</v>
      </c>
      <c r="AA67" s="2">
        <f t="shared" ref="AA67:AA73" si="17">AA66</f>
        <v>42862723.812098384</v>
      </c>
      <c r="AB67" s="2">
        <v>0</v>
      </c>
    </row>
    <row r="68" spans="1:28">
      <c r="A68" s="2">
        <v>65</v>
      </c>
      <c r="B68" s="2" t="s">
        <v>372</v>
      </c>
      <c r="C68" s="2" t="s">
        <v>2318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42821408.432250977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42821408.432250977</v>
      </c>
      <c r="Y68" s="6" t="s">
        <v>1195</v>
      </c>
      <c r="Z68" s="6" t="s">
        <v>1195</v>
      </c>
      <c r="AA68" s="2">
        <f t="shared" si="17"/>
        <v>42862723.812098384</v>
      </c>
      <c r="AB68" s="2">
        <v>0</v>
      </c>
    </row>
    <row r="69" spans="1:28">
      <c r="A69" s="2">
        <v>66</v>
      </c>
      <c r="B69" s="2" t="s">
        <v>376</v>
      </c>
      <c r="C69" s="2" t="s">
        <v>2318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42821408.432250977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42821408.432250977</v>
      </c>
      <c r="Y69" s="6" t="s">
        <v>1195</v>
      </c>
      <c r="Z69" s="6" t="s">
        <v>1195</v>
      </c>
      <c r="AA69" s="2">
        <f t="shared" si="17"/>
        <v>42862723.812098384</v>
      </c>
      <c r="AB69" s="2">
        <v>0</v>
      </c>
    </row>
    <row r="70" spans="1:28">
      <c r="A70" s="2">
        <v>67</v>
      </c>
      <c r="B70" s="2" t="s">
        <v>381</v>
      </c>
      <c r="C70" s="2" t="s">
        <v>2318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42821408.432250977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42821408.432250977</v>
      </c>
      <c r="Y70" s="6" t="s">
        <v>1195</v>
      </c>
      <c r="Z70" s="6" t="s">
        <v>1195</v>
      </c>
      <c r="AA70" s="2">
        <f t="shared" si="17"/>
        <v>42862723.812098384</v>
      </c>
      <c r="AB70" s="2">
        <v>0</v>
      </c>
    </row>
    <row r="71" spans="1:28">
      <c r="A71" s="2">
        <v>68</v>
      </c>
      <c r="B71" s="2" t="s">
        <v>385</v>
      </c>
      <c r="C71" s="2" t="s">
        <v>2318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42821408.432250977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42821408.432250977</v>
      </c>
      <c r="Y71" s="6" t="s">
        <v>1195</v>
      </c>
      <c r="Z71" s="6" t="s">
        <v>1195</v>
      </c>
      <c r="AA71" s="2">
        <f t="shared" si="17"/>
        <v>42862723.812098384</v>
      </c>
      <c r="AB71" s="2">
        <v>0</v>
      </c>
    </row>
    <row r="72" spans="1:28">
      <c r="A72" s="2">
        <v>69</v>
      </c>
      <c r="B72" s="2" t="s">
        <v>390</v>
      </c>
      <c r="C72" s="2" t="s">
        <v>2318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42821408.432250977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42821408.432250977</v>
      </c>
      <c r="Y72" s="6" t="s">
        <v>1195</v>
      </c>
      <c r="Z72" s="6" t="s">
        <v>1195</v>
      </c>
      <c r="AA72" s="2">
        <f t="shared" si="17"/>
        <v>42862723.812098384</v>
      </c>
      <c r="AB72" s="2">
        <v>0</v>
      </c>
    </row>
    <row r="73" spans="1:28">
      <c r="A73" s="2">
        <v>70</v>
      </c>
      <c r="B73" s="2" t="s">
        <v>393</v>
      </c>
      <c r="C73" s="2" t="s">
        <v>2318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42821408.432250977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42821408.432250977</v>
      </c>
      <c r="Y73" s="6" t="s">
        <v>1195</v>
      </c>
      <c r="Z73" s="6" t="s">
        <v>1195</v>
      </c>
      <c r="AA73" s="2">
        <f t="shared" si="17"/>
        <v>42862723.812098384</v>
      </c>
      <c r="AB73" s="2">
        <v>0</v>
      </c>
    </row>
    <row r="74" spans="1:28">
      <c r="A74" s="2">
        <v>71</v>
      </c>
      <c r="B74" s="2" t="s">
        <v>397</v>
      </c>
      <c r="C74" s="2" t="s">
        <v>2318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425</v>
      </c>
      <c r="J74" s="2" t="s">
        <v>887</v>
      </c>
      <c r="K74" s="2">
        <f t="shared" si="18"/>
        <v>42821408.432250977</v>
      </c>
      <c r="L74" s="2" t="s">
        <v>1778</v>
      </c>
      <c r="M74" s="2" t="s">
        <v>1721</v>
      </c>
      <c r="N74" s="2" t="s">
        <v>1722</v>
      </c>
      <c r="O74" s="2">
        <v>250</v>
      </c>
      <c r="P74" s="2">
        <v>2069.29150390625</v>
      </c>
      <c r="Q74" s="2">
        <v>2074.20458984375</v>
      </c>
      <c r="R74" s="2">
        <f>O74*P74</f>
        <v>517322.8759765625</v>
      </c>
      <c r="S74" s="2">
        <f>O74*Q74</f>
        <v>518551.1474609375</v>
      </c>
      <c r="T74" s="2">
        <f>R74+S74</f>
        <v>1035874.0234375</v>
      </c>
      <c r="U74" s="2">
        <f>ROUND(T74*0.0005, 2)</f>
        <v>517.94000000000005</v>
      </c>
      <c r="V74" s="2">
        <f>S74-R74</f>
        <v>1228.271484375</v>
      </c>
      <c r="W74" s="2">
        <f>V74-U74</f>
        <v>710.33148437499995</v>
      </c>
      <c r="X74" s="2">
        <f>K74+W74</f>
        <v>42822118.763735354</v>
      </c>
      <c r="Y74" s="2">
        <f>ROUND(0.2*R74, 2)</f>
        <v>103464.58</v>
      </c>
      <c r="Z74" s="2">
        <f>ROUND((W74/Y74)*100, 2)</f>
        <v>0.69</v>
      </c>
      <c r="AA74" s="2">
        <f>MAX(AA73, X74)</f>
        <v>42862723.812098384</v>
      </c>
      <c r="AB74" s="2">
        <f>X74-AA74</f>
        <v>-40605.048363029957</v>
      </c>
    </row>
    <row r="75" spans="1:28">
      <c r="A75" s="2">
        <v>72</v>
      </c>
      <c r="B75" s="2" t="s">
        <v>403</v>
      </c>
      <c r="C75" s="2" t="s">
        <v>2318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42822118.763735354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42822118.763735354</v>
      </c>
      <c r="Y75" s="6" t="s">
        <v>1195</v>
      </c>
      <c r="Z75" s="6" t="s">
        <v>1195</v>
      </c>
      <c r="AA75" s="2">
        <f>AA74</f>
        <v>42862723.812098384</v>
      </c>
      <c r="AB75" s="2">
        <v>0</v>
      </c>
    </row>
    <row r="76" spans="1:28">
      <c r="A76" s="2">
        <v>73</v>
      </c>
      <c r="B76" s="2" t="s">
        <v>406</v>
      </c>
      <c r="C76" s="2" t="s">
        <v>2318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42822118.763735354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42822118.763735354</v>
      </c>
      <c r="Y76" s="6" t="s">
        <v>1195</v>
      </c>
      <c r="Z76" s="6" t="s">
        <v>1195</v>
      </c>
      <c r="AA76" s="2">
        <f>AA75</f>
        <v>42862723.812098384</v>
      </c>
      <c r="AB76" s="2">
        <v>0</v>
      </c>
    </row>
    <row r="77" spans="1:28">
      <c r="A77" s="2">
        <v>74</v>
      </c>
      <c r="B77" s="2" t="s">
        <v>410</v>
      </c>
      <c r="C77" s="2" t="s">
        <v>2318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42822118.763735354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42822118.763735354</v>
      </c>
      <c r="Y77" s="6" t="s">
        <v>1195</v>
      </c>
      <c r="Z77" s="6" t="s">
        <v>1195</v>
      </c>
      <c r="AA77" s="2">
        <f>AA76</f>
        <v>42862723.812098384</v>
      </c>
      <c r="AB77" s="2">
        <v>0</v>
      </c>
    </row>
    <row r="78" spans="1:28">
      <c r="A78" s="2">
        <v>75</v>
      </c>
      <c r="B78" s="2" t="s">
        <v>414</v>
      </c>
      <c r="C78" s="2" t="s">
        <v>2318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1266</v>
      </c>
      <c r="J78" s="2" t="s">
        <v>2355</v>
      </c>
      <c r="K78" s="2">
        <f t="shared" si="18"/>
        <v>42822118.763735354</v>
      </c>
      <c r="L78" s="2" t="s">
        <v>2356</v>
      </c>
      <c r="M78" s="2" t="s">
        <v>1842</v>
      </c>
      <c r="N78" s="2" t="s">
        <v>1787</v>
      </c>
      <c r="O78" s="2">
        <v>350</v>
      </c>
      <c r="P78" s="2">
        <v>1311.830322265625</v>
      </c>
      <c r="Q78" s="2">
        <v>1420.236328125</v>
      </c>
      <c r="R78" s="2">
        <f>O78*P78</f>
        <v>459140.61279296875</v>
      </c>
      <c r="S78" s="2">
        <f>O78*Q78</f>
        <v>497082.71484375</v>
      </c>
      <c r="T78" s="2">
        <f>R78+S78</f>
        <v>956223.32763671875</v>
      </c>
      <c r="U78" s="2">
        <f>ROUND(T78*0.0005, 2)</f>
        <v>478.11</v>
      </c>
      <c r="V78" s="2">
        <f>S78-R78</f>
        <v>37942.10205078125</v>
      </c>
      <c r="W78" s="2">
        <f>V78-U78</f>
        <v>37463.992050781249</v>
      </c>
      <c r="X78" s="2">
        <f>K78+W78</f>
        <v>42859582.755786136</v>
      </c>
      <c r="Y78" s="2">
        <f>ROUND(0.2*R78, 2)</f>
        <v>91828.12</v>
      </c>
      <c r="Z78" s="2">
        <f>ROUND((W78/Y78)*100, 2)</f>
        <v>40.799999999999997</v>
      </c>
      <c r="AA78" s="2">
        <f>MAX(AA77, X78)</f>
        <v>42862723.812098384</v>
      </c>
      <c r="AB78" s="2">
        <f>X78-AA78</f>
        <v>-3141.0563122481108</v>
      </c>
    </row>
    <row r="79" spans="1:28">
      <c r="A79" s="2">
        <v>76</v>
      </c>
      <c r="B79" s="2" t="s">
        <v>419</v>
      </c>
      <c r="C79" s="2" t="s">
        <v>2318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42859582.755786136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42859582.755786136</v>
      </c>
      <c r="Y79" s="6" t="s">
        <v>1195</v>
      </c>
      <c r="Z79" s="6" t="s">
        <v>1195</v>
      </c>
      <c r="AA79" s="2">
        <f>AA78</f>
        <v>42862723.812098384</v>
      </c>
      <c r="AB79" s="2">
        <v>0</v>
      </c>
    </row>
    <row r="80" spans="1:28">
      <c r="A80" s="2">
        <v>77</v>
      </c>
      <c r="B80" s="2" t="s">
        <v>423</v>
      </c>
      <c r="C80" s="2" t="s">
        <v>2318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2357</v>
      </c>
      <c r="J80" s="2" t="s">
        <v>2358</v>
      </c>
      <c r="K80" s="2">
        <f t="shared" si="18"/>
        <v>42859582.755786136</v>
      </c>
      <c r="L80" s="2" t="s">
        <v>2356</v>
      </c>
      <c r="M80" s="2" t="s">
        <v>1584</v>
      </c>
      <c r="N80" s="2" t="s">
        <v>1815</v>
      </c>
      <c r="O80" s="2">
        <v>550</v>
      </c>
      <c r="P80" s="2">
        <v>796.4052734375</v>
      </c>
      <c r="Q80" s="2">
        <v>697.03717041015625</v>
      </c>
      <c r="R80" s="2">
        <f>O80*P80</f>
        <v>438022.900390625</v>
      </c>
      <c r="S80" s="2">
        <f>O80*Q80</f>
        <v>383370.44372558594</v>
      </c>
      <c r="T80" s="2">
        <f>R80+S80</f>
        <v>821393.34411621094</v>
      </c>
      <c r="U80" s="2">
        <f>ROUND(T80*0.0005, 2)</f>
        <v>410.7</v>
      </c>
      <c r="V80" s="2">
        <f>S80-R80</f>
        <v>-54652.456665039063</v>
      </c>
      <c r="W80" s="2">
        <f>V80-U80</f>
        <v>-55063.15666503906</v>
      </c>
      <c r="X80" s="2">
        <f>K80+W80</f>
        <v>42804519.599121094</v>
      </c>
      <c r="Y80" s="2">
        <f>ROUND(0.2*R80, 2)</f>
        <v>87604.58</v>
      </c>
      <c r="Z80" s="2">
        <f>ROUND((W80/Y80)*100, 2)</f>
        <v>-62.85</v>
      </c>
      <c r="AA80" s="2">
        <f>MAX(AA79, X80)</f>
        <v>42862723.812098384</v>
      </c>
      <c r="AB80" s="2">
        <f>X80-AA80</f>
        <v>-58204.212977290154</v>
      </c>
    </row>
    <row r="81" spans="1:28">
      <c r="A81" s="2">
        <v>78</v>
      </c>
      <c r="B81" s="2" t="s">
        <v>428</v>
      </c>
      <c r="C81" s="2" t="s">
        <v>2318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2359</v>
      </c>
      <c r="J81" s="2" t="s">
        <v>2360</v>
      </c>
      <c r="K81" s="2">
        <f t="shared" si="18"/>
        <v>42804519.599121094</v>
      </c>
      <c r="L81" s="2" t="s">
        <v>2361</v>
      </c>
      <c r="M81" s="2" t="s">
        <v>2362</v>
      </c>
      <c r="N81" s="2" t="s">
        <v>2363</v>
      </c>
      <c r="O81" s="2">
        <v>1100</v>
      </c>
      <c r="P81" s="2">
        <v>610.72357177734375</v>
      </c>
      <c r="Q81" s="2">
        <v>645.765380859375</v>
      </c>
      <c r="R81" s="2">
        <f>O81*P81</f>
        <v>671795.92895507813</v>
      </c>
      <c r="S81" s="2">
        <f>O81*Q81</f>
        <v>710341.9189453125</v>
      </c>
      <c r="T81" s="2">
        <f>R81+S81</f>
        <v>1382137.8479003906</v>
      </c>
      <c r="U81" s="2">
        <f>ROUND(T81*0.0005, 2)</f>
        <v>691.07</v>
      </c>
      <c r="V81" s="2">
        <f>S81-R81</f>
        <v>38545.989990234375</v>
      </c>
      <c r="W81" s="2">
        <f>V81-U81</f>
        <v>37854.919990234375</v>
      </c>
      <c r="X81" s="2">
        <f>K81+W81</f>
        <v>42842374.519111328</v>
      </c>
      <c r="Y81" s="2">
        <f>ROUND(0.2*R81, 2)</f>
        <v>134359.19</v>
      </c>
      <c r="Z81" s="2">
        <f>ROUND((W81/Y81)*100, 2)</f>
        <v>28.17</v>
      </c>
      <c r="AA81" s="2">
        <f>MAX(AA80, X81)</f>
        <v>42862723.812098384</v>
      </c>
      <c r="AB81" s="2">
        <f>X81-AA81</f>
        <v>-20349.292987056077</v>
      </c>
    </row>
    <row r="82" spans="1:28">
      <c r="A82" s="2">
        <v>79</v>
      </c>
      <c r="B82" s="2" t="s">
        <v>433</v>
      </c>
      <c r="C82" s="2" t="s">
        <v>2318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779</v>
      </c>
      <c r="J82" s="2" t="s">
        <v>1196</v>
      </c>
      <c r="K82" s="2">
        <f t="shared" si="18"/>
        <v>42842374.519111328</v>
      </c>
      <c r="L82" s="2" t="s">
        <v>1779</v>
      </c>
      <c r="M82" s="2" t="s">
        <v>1861</v>
      </c>
      <c r="N82" s="2" t="s">
        <v>1790</v>
      </c>
      <c r="O82" s="2">
        <v>150</v>
      </c>
      <c r="P82" s="2">
        <v>4389.19189453125</v>
      </c>
      <c r="Q82" s="2">
        <v>4481.63037109375</v>
      </c>
      <c r="R82" s="2">
        <f>O82*P82</f>
        <v>658378.7841796875</v>
      </c>
      <c r="S82" s="2">
        <f>O82*Q82</f>
        <v>672244.5556640625</v>
      </c>
      <c r="T82" s="2">
        <f>R82+S82</f>
        <v>1330623.33984375</v>
      </c>
      <c r="U82" s="2">
        <f>ROUND(T82*0.0005, 2)</f>
        <v>665.31</v>
      </c>
      <c r="V82" s="2">
        <f>S82-R82</f>
        <v>13865.771484375</v>
      </c>
      <c r="W82" s="2">
        <f>V82-U82</f>
        <v>13200.461484375001</v>
      </c>
      <c r="X82" s="2">
        <f>K82+W82</f>
        <v>42855574.9805957</v>
      </c>
      <c r="Y82" s="2">
        <f>ROUND(0.2*R82, 2)</f>
        <v>131675.76</v>
      </c>
      <c r="Z82" s="2">
        <f>ROUND((W82/Y82)*100, 2)</f>
        <v>10.02</v>
      </c>
      <c r="AA82" s="2">
        <f>MAX(AA81, X82)</f>
        <v>42862723.812098384</v>
      </c>
      <c r="AB82" s="2">
        <f>X82-AA82</f>
        <v>-7148.8315026834607</v>
      </c>
    </row>
    <row r="83" spans="1:28">
      <c r="A83" s="2">
        <v>80</v>
      </c>
      <c r="B83" s="2" t="s">
        <v>438</v>
      </c>
      <c r="C83" s="2" t="s">
        <v>2318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2364</v>
      </c>
      <c r="J83" s="2" t="s">
        <v>2365</v>
      </c>
      <c r="K83" s="2">
        <f t="shared" si="18"/>
        <v>42855574.9805957</v>
      </c>
      <c r="L83" s="2" t="s">
        <v>1722</v>
      </c>
      <c r="M83" s="2" t="s">
        <v>1721</v>
      </c>
      <c r="N83" s="2" t="s">
        <v>1809</v>
      </c>
      <c r="O83" s="2">
        <v>1400</v>
      </c>
      <c r="P83" s="2">
        <v>503.93112182617187</v>
      </c>
      <c r="Q83" s="2">
        <v>580.6204833984375</v>
      </c>
      <c r="R83" s="2">
        <f>O83*P83</f>
        <v>705503.57055664062</v>
      </c>
      <c r="S83" s="2">
        <f>O83*Q83</f>
        <v>812868.6767578125</v>
      </c>
      <c r="T83" s="2">
        <f>R83+S83</f>
        <v>1518372.2473144531</v>
      </c>
      <c r="U83" s="2">
        <f>ROUND(T83*0.0005, 2)</f>
        <v>759.19</v>
      </c>
      <c r="V83" s="2">
        <f>S83-R83</f>
        <v>107365.10620117188</v>
      </c>
      <c r="W83" s="2">
        <f>V83-U83</f>
        <v>106605.91620117187</v>
      </c>
      <c r="X83" s="2">
        <f>K83+W83</f>
        <v>42962180.896796875</v>
      </c>
      <c r="Y83" s="2">
        <f>ROUND(0.2*R83, 2)</f>
        <v>141100.71</v>
      </c>
      <c r="Z83" s="2">
        <f>ROUND((W83/Y83)*100, 2)</f>
        <v>75.55</v>
      </c>
      <c r="AA83" s="2">
        <f>MAX(AA82, X83)</f>
        <v>42962180.896796875</v>
      </c>
      <c r="AB83" s="2">
        <f>X83-AA83</f>
        <v>0</v>
      </c>
    </row>
    <row r="84" spans="1:28">
      <c r="A84" s="2">
        <v>81</v>
      </c>
      <c r="B84" s="2" t="s">
        <v>443</v>
      </c>
      <c r="C84" s="2" t="s">
        <v>2318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42962180.896796875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42962180.896796875</v>
      </c>
      <c r="Y84" s="6" t="s">
        <v>1195</v>
      </c>
      <c r="Z84" s="6" t="s">
        <v>1195</v>
      </c>
      <c r="AA84" s="2">
        <f>AA83</f>
        <v>42962180.896796875</v>
      </c>
      <c r="AB84" s="2">
        <v>0</v>
      </c>
    </row>
    <row r="85" spans="1:28">
      <c r="A85" s="2">
        <v>82</v>
      </c>
      <c r="B85" s="2" t="s">
        <v>447</v>
      </c>
      <c r="C85" s="2" t="s">
        <v>2318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1091</v>
      </c>
      <c r="J85" s="2" t="s">
        <v>1424</v>
      </c>
      <c r="K85" s="2">
        <f t="shared" si="18"/>
        <v>42962180.896796875</v>
      </c>
      <c r="L85" s="2" t="s">
        <v>1845</v>
      </c>
      <c r="M85" s="2" t="s">
        <v>1585</v>
      </c>
      <c r="N85" s="2" t="s">
        <v>1823</v>
      </c>
      <c r="O85" s="2">
        <v>300</v>
      </c>
      <c r="P85" s="2">
        <v>2325.939453125</v>
      </c>
      <c r="Q85" s="2">
        <v>2452.493896484375</v>
      </c>
      <c r="R85" s="2">
        <f>O85*P85</f>
        <v>697781.8359375</v>
      </c>
      <c r="S85" s="2">
        <f>O85*Q85</f>
        <v>735748.1689453125</v>
      </c>
      <c r="T85" s="2">
        <f>R85+S85</f>
        <v>1433530.0048828125</v>
      </c>
      <c r="U85" s="2">
        <f>ROUND(T85*0.0005, 2)</f>
        <v>716.77</v>
      </c>
      <c r="V85" s="2">
        <f>S85-R85</f>
        <v>37966.3330078125</v>
      </c>
      <c r="W85" s="2">
        <f>V85-U85</f>
        <v>37249.563007812503</v>
      </c>
      <c r="X85" s="2">
        <f>K85+W85</f>
        <v>42999430.459804684</v>
      </c>
      <c r="Y85" s="2">
        <f>ROUND(0.2*R85, 2)</f>
        <v>139556.37</v>
      </c>
      <c r="Z85" s="2">
        <f>ROUND((W85/Y85)*100, 2)</f>
        <v>26.69</v>
      </c>
      <c r="AA85" s="2">
        <f>MAX(AA84, X85)</f>
        <v>42999430.459804684</v>
      </c>
      <c r="AB85" s="2">
        <f>X85-AA85</f>
        <v>0</v>
      </c>
    </row>
    <row r="86" spans="1:28">
      <c r="A86" s="2">
        <v>83</v>
      </c>
      <c r="B86" s="2" t="s">
        <v>451</v>
      </c>
      <c r="C86" s="2" t="s">
        <v>2318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42999430.459804684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42999430.459804684</v>
      </c>
      <c r="Y86" s="6" t="s">
        <v>1195</v>
      </c>
      <c r="Z86" s="6" t="s">
        <v>1195</v>
      </c>
      <c r="AA86" s="2">
        <f>AA85</f>
        <v>42999430.459804684</v>
      </c>
      <c r="AB86" s="2">
        <v>0</v>
      </c>
    </row>
    <row r="87" spans="1:28">
      <c r="A87" s="2">
        <v>84</v>
      </c>
      <c r="B87" s="2" t="s">
        <v>455</v>
      </c>
      <c r="C87" s="2" t="s">
        <v>2318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42999430.459804684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42999430.459804684</v>
      </c>
      <c r="Y87" s="6" t="s">
        <v>1195</v>
      </c>
      <c r="Z87" s="6" t="s">
        <v>1195</v>
      </c>
      <c r="AA87" s="2">
        <f>AA86</f>
        <v>42999430.459804684</v>
      </c>
      <c r="AB87" s="2">
        <v>0</v>
      </c>
    </row>
    <row r="88" spans="1:28">
      <c r="A88" s="2">
        <v>85</v>
      </c>
      <c r="B88" s="2" t="s">
        <v>459</v>
      </c>
      <c r="C88" s="2" t="s">
        <v>2318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559</v>
      </c>
      <c r="J88" s="2" t="s">
        <v>716</v>
      </c>
      <c r="K88" s="2">
        <f t="shared" si="18"/>
        <v>42999430.459804684</v>
      </c>
      <c r="L88" s="2" t="s">
        <v>1649</v>
      </c>
      <c r="M88" s="2" t="s">
        <v>1585</v>
      </c>
      <c r="N88" s="2" t="s">
        <v>1650</v>
      </c>
      <c r="O88" s="2">
        <v>700</v>
      </c>
      <c r="P88" s="2">
        <v>963.94958496093761</v>
      </c>
      <c r="Q88" s="2">
        <v>1000.008544921875</v>
      </c>
      <c r="R88" s="2">
        <f>O88*P88</f>
        <v>674764.70947265637</v>
      </c>
      <c r="S88" s="2">
        <f>O88*Q88</f>
        <v>700005.9814453125</v>
      </c>
      <c r="T88" s="2">
        <f>R88+S88</f>
        <v>1374770.6909179688</v>
      </c>
      <c r="U88" s="2">
        <f>ROUND(T88*0.0005, 2)</f>
        <v>687.39</v>
      </c>
      <c r="V88" s="2">
        <f>S88-R88</f>
        <v>25241.271972656134</v>
      </c>
      <c r="W88" s="2">
        <f>V88-U88</f>
        <v>24553.881972656134</v>
      </c>
      <c r="X88" s="2">
        <f>K88+W88</f>
        <v>43023984.34177734</v>
      </c>
      <c r="Y88" s="2">
        <f>ROUND(0.2*R88, 2)</f>
        <v>134952.94</v>
      </c>
      <c r="Z88" s="2">
        <f>ROUND((W88/Y88)*100, 2)</f>
        <v>18.190000000000001</v>
      </c>
      <c r="AA88" s="2">
        <f>MAX(AA87, X88)</f>
        <v>43023984.34177734</v>
      </c>
      <c r="AB88" s="2">
        <f>X88-AA88</f>
        <v>0</v>
      </c>
    </row>
    <row r="89" spans="1:28">
      <c r="A89" s="2">
        <v>86</v>
      </c>
      <c r="B89" s="2" t="s">
        <v>463</v>
      </c>
      <c r="C89" s="2" t="s">
        <v>2318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2366</v>
      </c>
      <c r="J89" s="2" t="s">
        <v>638</v>
      </c>
      <c r="K89" s="2">
        <f t="shared" si="18"/>
        <v>43023984.34177734</v>
      </c>
      <c r="L89" s="2" t="s">
        <v>1127</v>
      </c>
      <c r="M89" s="2" t="s">
        <v>288</v>
      </c>
      <c r="N89" s="2" t="s">
        <v>970</v>
      </c>
      <c r="O89" s="2">
        <v>629</v>
      </c>
      <c r="P89" s="2">
        <v>1954.1</v>
      </c>
      <c r="Q89" s="2">
        <v>2101.35</v>
      </c>
      <c r="R89" s="2">
        <f>O89*P89</f>
        <v>1229128.8999999999</v>
      </c>
      <c r="S89" s="2">
        <f>O89*Q89</f>
        <v>1321749.1499999999</v>
      </c>
      <c r="T89" s="2">
        <f>R89+S89</f>
        <v>2550878.0499999998</v>
      </c>
      <c r="U89" s="2">
        <f>ROUND(T89*0.0005, 2)</f>
        <v>1275.44</v>
      </c>
      <c r="V89" s="2">
        <f>S89-R89</f>
        <v>92620.25</v>
      </c>
      <c r="W89" s="2">
        <f>V89-U89</f>
        <v>91344.81</v>
      </c>
      <c r="X89" s="2">
        <f>K89+W89</f>
        <v>43115329.151777342</v>
      </c>
      <c r="Y89" s="2">
        <f>ROUND(0.2*R89, 2)</f>
        <v>245825.78</v>
      </c>
      <c r="Z89" s="2">
        <f>ROUND((W89/Y89)*100, 2)</f>
        <v>37.159999999999997</v>
      </c>
      <c r="AA89" s="2">
        <f>MAX(AA88, X89)</f>
        <v>43115329.151777342</v>
      </c>
      <c r="AB89" s="2">
        <f>X89-AA89</f>
        <v>0</v>
      </c>
    </row>
    <row r="90" spans="1:28">
      <c r="A90" s="2">
        <v>87</v>
      </c>
      <c r="B90" s="2" t="s">
        <v>471</v>
      </c>
      <c r="C90" s="2" t="s">
        <v>2318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2367</v>
      </c>
      <c r="J90" s="2" t="s">
        <v>1108</v>
      </c>
      <c r="K90" s="2">
        <f t="shared" si="18"/>
        <v>43115329.151777342</v>
      </c>
      <c r="L90" s="2" t="s">
        <v>2060</v>
      </c>
      <c r="M90" s="2" t="s">
        <v>2061</v>
      </c>
      <c r="N90" s="2" t="s">
        <v>2062</v>
      </c>
      <c r="O90" s="2">
        <v>1958</v>
      </c>
      <c r="P90" s="2">
        <v>622.93817138671875</v>
      </c>
      <c r="Q90" s="2">
        <v>648.69879150390625</v>
      </c>
      <c r="R90" s="2">
        <f>O90*P90</f>
        <v>1219712.9395751953</v>
      </c>
      <c r="S90" s="2">
        <f>O90*Q90</f>
        <v>1270152.2337646484</v>
      </c>
      <c r="T90" s="2">
        <f>R90+S90</f>
        <v>2489865.1733398438</v>
      </c>
      <c r="U90" s="2">
        <f>ROUND(T90*0.0005, 2)</f>
        <v>1244.93</v>
      </c>
      <c r="V90" s="2">
        <f>S90-R90</f>
        <v>50439.294189453125</v>
      </c>
      <c r="W90" s="2">
        <f>V90-U90</f>
        <v>49194.364189453125</v>
      </c>
      <c r="X90" s="2">
        <f>K90+W90</f>
        <v>43164523.515966795</v>
      </c>
      <c r="Y90" s="2">
        <f>ROUND(0.2*R90, 2)</f>
        <v>243942.59</v>
      </c>
      <c r="Z90" s="2">
        <f>ROUND((W90/Y90)*100, 2)</f>
        <v>20.170000000000002</v>
      </c>
      <c r="AA90" s="2">
        <f>MAX(AA89, X90)</f>
        <v>43164523.515966795</v>
      </c>
      <c r="AB90" s="2">
        <f>X90-AA90</f>
        <v>0</v>
      </c>
    </row>
    <row r="91" spans="1:28">
      <c r="A91" s="2">
        <v>88</v>
      </c>
      <c r="B91" s="2" t="s">
        <v>476</v>
      </c>
      <c r="C91" s="2" t="s">
        <v>2318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43164523.515966795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43164523.515966795</v>
      </c>
      <c r="Y91" s="6" t="s">
        <v>1195</v>
      </c>
      <c r="Z91" s="6" t="s">
        <v>1195</v>
      </c>
      <c r="AA91" s="2">
        <f>AA90</f>
        <v>43164523.515966795</v>
      </c>
      <c r="AB91" s="2">
        <v>0</v>
      </c>
    </row>
    <row r="92" spans="1:28">
      <c r="A92" s="2">
        <v>89</v>
      </c>
      <c r="B92" s="2" t="s">
        <v>480</v>
      </c>
      <c r="C92" s="2" t="s">
        <v>2318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43164523.515966795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43164523.515966795</v>
      </c>
      <c r="Y92" s="6" t="s">
        <v>1195</v>
      </c>
      <c r="Z92" s="6" t="s">
        <v>1195</v>
      </c>
      <c r="AA92" s="2">
        <f>AA91</f>
        <v>43164523.515966795</v>
      </c>
      <c r="AB92" s="2">
        <v>0</v>
      </c>
    </row>
    <row r="93" spans="1:28">
      <c r="A93" s="2">
        <v>90</v>
      </c>
      <c r="B93" s="2" t="s">
        <v>483</v>
      </c>
      <c r="C93" s="2" t="s">
        <v>2318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43164523.515966795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43164523.515966795</v>
      </c>
      <c r="Y93" s="6" t="s">
        <v>1195</v>
      </c>
      <c r="Z93" s="6" t="s">
        <v>1195</v>
      </c>
      <c r="AA93" s="2">
        <f>AA92</f>
        <v>43164523.515966795</v>
      </c>
      <c r="AB93" s="2">
        <v>0</v>
      </c>
    </row>
    <row r="94" spans="1:28">
      <c r="A94" s="2">
        <v>91</v>
      </c>
      <c r="B94" s="2" t="s">
        <v>486</v>
      </c>
      <c r="C94" s="2" t="s">
        <v>2318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43164523.515966795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43164523.515966795</v>
      </c>
      <c r="Y94" s="6" t="s">
        <v>1195</v>
      </c>
      <c r="Z94" s="6" t="s">
        <v>1195</v>
      </c>
      <c r="AA94" s="2">
        <f>AA93</f>
        <v>43164523.515966795</v>
      </c>
      <c r="AB94" s="2">
        <v>0</v>
      </c>
    </row>
    <row r="95" spans="1:28">
      <c r="A95" s="2">
        <v>92</v>
      </c>
      <c r="B95" s="2" t="s">
        <v>490</v>
      </c>
      <c r="C95" s="2" t="s">
        <v>2318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43164523.515966795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43164523.515966795</v>
      </c>
      <c r="Y95" s="6" t="s">
        <v>1195</v>
      </c>
      <c r="Z95" s="6" t="s">
        <v>1195</v>
      </c>
      <c r="AA95" s="2">
        <f>AA94</f>
        <v>43164523.515966795</v>
      </c>
      <c r="AB95" s="2">
        <v>0</v>
      </c>
    </row>
    <row r="96" spans="1:28">
      <c r="A96" s="2">
        <v>93</v>
      </c>
      <c r="B96" s="2" t="s">
        <v>493</v>
      </c>
      <c r="C96" s="2" t="s">
        <v>2318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2368</v>
      </c>
      <c r="J96" s="2" t="s">
        <v>1142</v>
      </c>
      <c r="K96" s="2">
        <f t="shared" si="18"/>
        <v>43164523.515966795</v>
      </c>
      <c r="L96" s="2" t="s">
        <v>2369</v>
      </c>
      <c r="M96" s="2" t="s">
        <v>2370</v>
      </c>
      <c r="N96" s="2" t="s">
        <v>2371</v>
      </c>
      <c r="O96" s="2">
        <v>196</v>
      </c>
      <c r="P96" s="2">
        <v>1963.382080078125</v>
      </c>
      <c r="Q96" s="2">
        <v>2166.43896484375</v>
      </c>
      <c r="R96" s="2">
        <f>O96*P96</f>
        <v>384822.8876953125</v>
      </c>
      <c r="S96" s="2">
        <f>O96*Q96</f>
        <v>424622.037109375</v>
      </c>
      <c r="T96" s="2">
        <f>R96+S96</f>
        <v>809444.9248046875</v>
      </c>
      <c r="U96" s="2">
        <f>ROUND(T96*0.0005, 2)</f>
        <v>404.72</v>
      </c>
      <c r="V96" s="2">
        <f>S96-R96</f>
        <v>39799.1494140625</v>
      </c>
      <c r="W96" s="2">
        <f>V96-U96</f>
        <v>39394.429414062499</v>
      </c>
      <c r="X96" s="2">
        <f>K96+W96</f>
        <v>43203917.945380859</v>
      </c>
      <c r="Y96" s="2">
        <f>ROUND(0.2*R96, 2)</f>
        <v>76964.58</v>
      </c>
      <c r="Z96" s="2">
        <f>ROUND((W96/Y96)*100, 2)</f>
        <v>51.19</v>
      </c>
      <c r="AA96" s="2">
        <f>MAX(AA95, X96)</f>
        <v>43203917.945380859</v>
      </c>
      <c r="AB96" s="2">
        <f>X96-AA96</f>
        <v>0</v>
      </c>
    </row>
    <row r="97" spans="1:28">
      <c r="A97" s="2">
        <v>94</v>
      </c>
      <c r="B97" s="2" t="s">
        <v>498</v>
      </c>
      <c r="C97" s="2" t="s">
        <v>2318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2372</v>
      </c>
      <c r="J97" s="2" t="s">
        <v>2373</v>
      </c>
      <c r="K97" s="2">
        <f t="shared" si="18"/>
        <v>43203917.945380859</v>
      </c>
      <c r="L97" s="2" t="s">
        <v>1783</v>
      </c>
      <c r="M97" s="2" t="s">
        <v>1585</v>
      </c>
      <c r="N97" s="2" t="s">
        <v>1842</v>
      </c>
      <c r="O97" s="2">
        <v>500</v>
      </c>
      <c r="P97" s="2">
        <v>1623.221069335938</v>
      </c>
      <c r="Q97" s="2">
        <v>1507.594116210938</v>
      </c>
      <c r="R97" s="2">
        <f>O97*P97</f>
        <v>811610.53466796898</v>
      </c>
      <c r="S97" s="2">
        <f>O97*Q97</f>
        <v>753797.05810546898</v>
      </c>
      <c r="T97" s="2">
        <f>R97+S97</f>
        <v>1565407.592773438</v>
      </c>
      <c r="U97" s="2">
        <f>ROUND(T97*0.0005, 2)</f>
        <v>782.7</v>
      </c>
      <c r="V97" s="2">
        <f>S97-R97</f>
        <v>-57813.4765625</v>
      </c>
      <c r="W97" s="2">
        <f>V97-U97</f>
        <v>-58596.176562499997</v>
      </c>
      <c r="X97" s="2">
        <f>K97+W97</f>
        <v>43145321.768818356</v>
      </c>
      <c r="Y97" s="2">
        <f>ROUND(0.2*R97, 2)</f>
        <v>162322.10999999999</v>
      </c>
      <c r="Z97" s="2">
        <f>ROUND((W97/Y97)*100, 2)</f>
        <v>-36.1</v>
      </c>
      <c r="AA97" s="2">
        <f>MAX(AA96, X97)</f>
        <v>43203917.945380859</v>
      </c>
      <c r="AB97" s="2">
        <f>X97-AA97</f>
        <v>-58596.17656250298</v>
      </c>
    </row>
    <row r="98" spans="1:28">
      <c r="A98" s="2">
        <v>95</v>
      </c>
      <c r="B98" s="2" t="s">
        <v>502</v>
      </c>
      <c r="C98" s="2" t="s">
        <v>2318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43145321.768818356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43145321.768818356</v>
      </c>
      <c r="Y98" s="6" t="s">
        <v>1195</v>
      </c>
      <c r="Z98" s="6" t="s">
        <v>1195</v>
      </c>
      <c r="AA98" s="2">
        <f>AA97</f>
        <v>43203917.945380859</v>
      </c>
      <c r="AB98" s="2">
        <v>0</v>
      </c>
    </row>
    <row r="99" spans="1:28">
      <c r="A99" s="2">
        <v>96</v>
      </c>
      <c r="B99" s="2" t="s">
        <v>506</v>
      </c>
      <c r="C99" s="2" t="s">
        <v>2318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595</v>
      </c>
      <c r="J99" s="2" t="s">
        <v>2374</v>
      </c>
      <c r="K99" s="2">
        <f t="shared" si="18"/>
        <v>43145321.768818356</v>
      </c>
      <c r="L99" s="2" t="s">
        <v>1867</v>
      </c>
      <c r="M99" s="2" t="s">
        <v>1740</v>
      </c>
      <c r="N99" s="2" t="s">
        <v>1848</v>
      </c>
      <c r="O99" s="2">
        <v>400</v>
      </c>
      <c r="P99" s="2">
        <v>1522.4814453125</v>
      </c>
      <c r="Q99" s="2">
        <v>1412.31103515625</v>
      </c>
      <c r="R99" s="2">
        <f>O99*P99</f>
        <v>608992.578125</v>
      </c>
      <c r="S99" s="2">
        <f>O99*Q99</f>
        <v>564924.4140625</v>
      </c>
      <c r="T99" s="2">
        <f>R99+S99</f>
        <v>1173916.9921875</v>
      </c>
      <c r="U99" s="2">
        <f>ROUND(T99*0.0005, 2)</f>
        <v>586.96</v>
      </c>
      <c r="V99" s="2">
        <f>S99-R99</f>
        <v>-44068.1640625</v>
      </c>
      <c r="W99" s="2">
        <f>V99-U99</f>
        <v>-44655.124062499999</v>
      </c>
      <c r="X99" s="2">
        <f>K99+W99</f>
        <v>43100666.644755855</v>
      </c>
      <c r="Y99" s="2">
        <f>ROUND(0.2*R99, 2)</f>
        <v>121798.52</v>
      </c>
      <c r="Z99" s="2">
        <f>ROUND((W99/Y99)*100, 2)</f>
        <v>-36.659999999999997</v>
      </c>
      <c r="AA99" s="2">
        <f>MAX(AA98, X99)</f>
        <v>43203917.945380859</v>
      </c>
      <c r="AB99" s="2">
        <f>X99-AA99</f>
        <v>-103251.30062500387</v>
      </c>
    </row>
    <row r="100" spans="1:28">
      <c r="A100" s="2">
        <v>97</v>
      </c>
      <c r="B100" s="2" t="s">
        <v>511</v>
      </c>
      <c r="C100" s="2" t="s">
        <v>2318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43100666.644755855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43100666.644755855</v>
      </c>
      <c r="Y100" s="6" t="s">
        <v>1195</v>
      </c>
      <c r="Z100" s="6" t="s">
        <v>1195</v>
      </c>
      <c r="AA100" s="2">
        <f>AA99</f>
        <v>43203917.945380859</v>
      </c>
      <c r="AB100" s="2">
        <v>0</v>
      </c>
    </row>
    <row r="101" spans="1:28">
      <c r="A101" s="2">
        <v>98</v>
      </c>
      <c r="B101" s="2" t="s">
        <v>516</v>
      </c>
      <c r="C101" s="2" t="s">
        <v>2318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43100666.644755855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43100666.644755855</v>
      </c>
      <c r="Y101" s="6" t="s">
        <v>1195</v>
      </c>
      <c r="Z101" s="6" t="s">
        <v>1195</v>
      </c>
      <c r="AA101" s="2">
        <f>AA100</f>
        <v>43203917.945380859</v>
      </c>
      <c r="AB101" s="2">
        <v>0</v>
      </c>
    </row>
    <row r="102" spans="1:28">
      <c r="A102" s="2">
        <v>99</v>
      </c>
      <c r="B102" s="2" t="s">
        <v>519</v>
      </c>
      <c r="C102" s="2" t="s">
        <v>2318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43100666.644755855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43100666.644755855</v>
      </c>
      <c r="Y102" s="6" t="s">
        <v>1195</v>
      </c>
      <c r="Z102" s="6" t="s">
        <v>1195</v>
      </c>
      <c r="AA102" s="2">
        <f>AA101</f>
        <v>43203917.945380859</v>
      </c>
      <c r="AB102" s="2">
        <v>0</v>
      </c>
    </row>
    <row r="103" spans="1:28">
      <c r="A103" s="2">
        <v>100</v>
      </c>
      <c r="B103" s="2" t="s">
        <v>525</v>
      </c>
      <c r="C103" s="2" t="s">
        <v>2318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43100666.644755855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43100666.644755855</v>
      </c>
      <c r="Y103" s="6" t="s">
        <v>1195</v>
      </c>
      <c r="Z103" s="6" t="s">
        <v>1195</v>
      </c>
      <c r="AA103" s="2">
        <f>AA102</f>
        <v>43203917.945380859</v>
      </c>
      <c r="AB103" s="2">
        <v>0</v>
      </c>
    </row>
    <row r="104" spans="1:28">
      <c r="A104" s="2">
        <v>101</v>
      </c>
      <c r="B104" s="2" t="s">
        <v>527</v>
      </c>
      <c r="C104" s="2" t="s">
        <v>2318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1015</v>
      </c>
      <c r="J104" s="2" t="s">
        <v>249</v>
      </c>
      <c r="K104" s="2">
        <f t="shared" si="18"/>
        <v>43100666.644755855</v>
      </c>
      <c r="L104" s="2" t="s">
        <v>1815</v>
      </c>
      <c r="M104" s="2" t="s">
        <v>1784</v>
      </c>
      <c r="N104" s="2" t="s">
        <v>1585</v>
      </c>
      <c r="O104" s="2">
        <v>1600</v>
      </c>
      <c r="P104" s="2">
        <v>379.00616455078131</v>
      </c>
      <c r="Q104" s="2">
        <v>405.40060424804687</v>
      </c>
      <c r="R104" s="2">
        <f>O104*P104</f>
        <v>606409.86328125012</v>
      </c>
      <c r="S104" s="2">
        <f>O104*Q104</f>
        <v>648640.966796875</v>
      </c>
      <c r="T104" s="2">
        <f>R104+S104</f>
        <v>1255050.830078125</v>
      </c>
      <c r="U104" s="2">
        <f>ROUND(T104*0.0005, 2)</f>
        <v>627.53</v>
      </c>
      <c r="V104" s="2">
        <f>S104-R104</f>
        <v>42231.103515624884</v>
      </c>
      <c r="W104" s="2">
        <f>V104-U104</f>
        <v>41603.573515624885</v>
      </c>
      <c r="X104" s="2">
        <f>K104+W104</f>
        <v>43142270.218271479</v>
      </c>
      <c r="Y104" s="2">
        <f>ROUND(0.2*R104, 2)</f>
        <v>121281.97</v>
      </c>
      <c r="Z104" s="2">
        <f>ROUND((W104/Y104)*100, 2)</f>
        <v>34.299999999999997</v>
      </c>
      <c r="AA104" s="2">
        <f>MAX(AA103, X104)</f>
        <v>43203917.945380859</v>
      </c>
      <c r="AB104" s="2">
        <f>X104-AA104</f>
        <v>-61647.727109380066</v>
      </c>
    </row>
    <row r="105" spans="1:28">
      <c r="A105" s="2">
        <v>102</v>
      </c>
      <c r="B105" s="2" t="s">
        <v>530</v>
      </c>
      <c r="C105" s="2" t="s">
        <v>2318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43142270.218271479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43142270.218271479</v>
      </c>
      <c r="Y105" s="6" t="s">
        <v>1195</v>
      </c>
      <c r="Z105" s="6" t="s">
        <v>1195</v>
      </c>
      <c r="AA105" s="2">
        <f>AA104</f>
        <v>43203917.945380859</v>
      </c>
      <c r="AB105" s="2">
        <v>0</v>
      </c>
    </row>
    <row r="106" spans="1:28">
      <c r="A106" s="2">
        <v>103</v>
      </c>
      <c r="B106" s="2" t="s">
        <v>534</v>
      </c>
      <c r="C106" s="2" t="s">
        <v>2318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1435</v>
      </c>
      <c r="J106" s="2" t="s">
        <v>2375</v>
      </c>
      <c r="K106" s="2">
        <f t="shared" si="18"/>
        <v>43142270.218271479</v>
      </c>
      <c r="L106" s="2" t="s">
        <v>1740</v>
      </c>
      <c r="M106" s="2" t="s">
        <v>1799</v>
      </c>
      <c r="N106" s="2" t="s">
        <v>1740</v>
      </c>
      <c r="O106" s="2">
        <v>4127</v>
      </c>
      <c r="P106" s="2">
        <v>240.02571105957031</v>
      </c>
      <c r="Q106" s="2">
        <v>254.65290832519531</v>
      </c>
      <c r="R106" s="2">
        <f>O106*P106</f>
        <v>990586.10954284668</v>
      </c>
      <c r="S106" s="2">
        <f>O106*Q106</f>
        <v>1050952.5526580811</v>
      </c>
      <c r="T106" s="2">
        <f>R106+S106</f>
        <v>2041538.6622009277</v>
      </c>
      <c r="U106" s="2">
        <f>ROUND(T106*0.0005, 2)</f>
        <v>1020.77</v>
      </c>
      <c r="V106" s="2">
        <f>S106-R106</f>
        <v>60366.443115234375</v>
      </c>
      <c r="W106" s="2">
        <f>V106-U106</f>
        <v>59345.673115234378</v>
      </c>
      <c r="X106" s="2">
        <f>K106+W106</f>
        <v>43201615.89138671</v>
      </c>
      <c r="Y106" s="2">
        <f>ROUND(0.2*R106, 2)</f>
        <v>198117.22</v>
      </c>
      <c r="Z106" s="2">
        <f>ROUND((W106/Y106)*100, 2)</f>
        <v>29.95</v>
      </c>
      <c r="AA106" s="2">
        <f>MAX(AA105, X106)</f>
        <v>43203917.945380859</v>
      </c>
      <c r="AB106" s="2">
        <f>X106-AA106</f>
        <v>-2302.0539941489697</v>
      </c>
    </row>
    <row r="107" spans="1:28">
      <c r="A107" s="2">
        <v>104</v>
      </c>
      <c r="B107" s="2" t="s">
        <v>539</v>
      </c>
      <c r="C107" s="2" t="s">
        <v>2318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43201615.89138671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43201615.89138671</v>
      </c>
      <c r="Y107" s="6" t="s">
        <v>1195</v>
      </c>
      <c r="Z107" s="6" t="s">
        <v>1195</v>
      </c>
      <c r="AA107" s="2">
        <f>AA106</f>
        <v>43203917.945380859</v>
      </c>
      <c r="AB107" s="2">
        <v>0</v>
      </c>
    </row>
    <row r="108" spans="1:28">
      <c r="A108" s="2">
        <v>105</v>
      </c>
      <c r="B108" s="2" t="s">
        <v>542</v>
      </c>
      <c r="C108" s="2" t="s">
        <v>2318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2376</v>
      </c>
      <c r="J108" s="2" t="s">
        <v>1152</v>
      </c>
      <c r="K108" s="2">
        <f t="shared" si="18"/>
        <v>43201615.89138671</v>
      </c>
      <c r="L108" s="2" t="s">
        <v>1783</v>
      </c>
      <c r="M108" s="2" t="s">
        <v>1808</v>
      </c>
      <c r="N108" s="2" t="s">
        <v>1586</v>
      </c>
      <c r="O108" s="2">
        <v>675</v>
      </c>
      <c r="P108" s="2">
        <v>799.57550048828125</v>
      </c>
      <c r="Q108" s="2">
        <v>788.8016357421875</v>
      </c>
      <c r="R108" s="2">
        <f>O108*P108</f>
        <v>539713.46282958984</v>
      </c>
      <c r="S108" s="2">
        <f>O108*Q108</f>
        <v>532441.10412597656</v>
      </c>
      <c r="T108" s="2">
        <f>R108+S108</f>
        <v>1072154.5669555664</v>
      </c>
      <c r="U108" s="2">
        <f>ROUND(T108*0.0005, 2)</f>
        <v>536.08000000000004</v>
      </c>
      <c r="V108" s="2">
        <f>S108-R108</f>
        <v>-7272.3587036132812</v>
      </c>
      <c r="W108" s="2">
        <f>V108-U108</f>
        <v>-7808.4387036132812</v>
      </c>
      <c r="X108" s="2">
        <f>K108+W108</f>
        <v>43193807.452683099</v>
      </c>
      <c r="Y108" s="2">
        <f>ROUND(0.2*R108, 2)</f>
        <v>107942.69</v>
      </c>
      <c r="Z108" s="2">
        <f>ROUND((W108/Y108)*100, 2)</f>
        <v>-7.23</v>
      </c>
      <c r="AA108" s="2">
        <f>MAX(AA107, X108)</f>
        <v>43203917.945380859</v>
      </c>
      <c r="AB108" s="2">
        <f>X108-AA108</f>
        <v>-10110.492697760463</v>
      </c>
    </row>
    <row r="109" spans="1:28">
      <c r="A109" s="2">
        <v>106</v>
      </c>
      <c r="B109" s="2" t="s">
        <v>547</v>
      </c>
      <c r="C109" s="2" t="s">
        <v>2318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43193807.452683099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43193807.452683099</v>
      </c>
      <c r="Y109" s="6" t="s">
        <v>1195</v>
      </c>
      <c r="Z109" s="6" t="s">
        <v>1195</v>
      </c>
      <c r="AA109" s="2">
        <f>AA108</f>
        <v>43203917.945380859</v>
      </c>
      <c r="AB109" s="2">
        <v>0</v>
      </c>
    </row>
    <row r="110" spans="1:28">
      <c r="A110" s="2">
        <v>107</v>
      </c>
      <c r="B110" s="2" t="s">
        <v>551</v>
      </c>
      <c r="C110" s="2" t="s">
        <v>2318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43193807.452683099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43193807.452683099</v>
      </c>
      <c r="Y110" s="6" t="s">
        <v>1195</v>
      </c>
      <c r="Z110" s="6" t="s">
        <v>1195</v>
      </c>
      <c r="AA110" s="2">
        <f>AA109</f>
        <v>43203917.945380859</v>
      </c>
      <c r="AB110" s="2">
        <v>0</v>
      </c>
    </row>
    <row r="111" spans="1:28">
      <c r="A111" s="2">
        <v>108</v>
      </c>
      <c r="B111" s="2" t="s">
        <v>554</v>
      </c>
      <c r="C111" s="2" t="s">
        <v>2318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43193807.452683099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43193807.452683099</v>
      </c>
      <c r="Y111" s="6" t="s">
        <v>1195</v>
      </c>
      <c r="Z111" s="6" t="s">
        <v>1195</v>
      </c>
      <c r="AA111" s="2">
        <f>AA110</f>
        <v>43203917.945380859</v>
      </c>
      <c r="AB111" s="2">
        <v>0</v>
      </c>
    </row>
    <row r="112" spans="1:28">
      <c r="A112" s="2">
        <v>109</v>
      </c>
      <c r="B112" s="2" t="s">
        <v>558</v>
      </c>
      <c r="C112" s="2" t="s">
        <v>2318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43193807.452683099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43193807.452683099</v>
      </c>
      <c r="Y112" s="6" t="s">
        <v>1195</v>
      </c>
      <c r="Z112" s="6" t="s">
        <v>1195</v>
      </c>
      <c r="AA112" s="2">
        <f>AA111</f>
        <v>43203917.945380859</v>
      </c>
      <c r="AB112" s="2">
        <v>0</v>
      </c>
    </row>
    <row r="113" spans="1:28">
      <c r="A113" s="2">
        <v>110</v>
      </c>
      <c r="B113" s="2" t="s">
        <v>562</v>
      </c>
      <c r="C113" s="2" t="s">
        <v>2318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43193807.452683099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43193807.452683099</v>
      </c>
      <c r="Y113" s="6" t="s">
        <v>1195</v>
      </c>
      <c r="Z113" s="6" t="s">
        <v>1195</v>
      </c>
      <c r="AA113" s="2">
        <f>AA112</f>
        <v>43203917.945380859</v>
      </c>
      <c r="AB113" s="2">
        <v>0</v>
      </c>
    </row>
    <row r="114" spans="1:28">
      <c r="A114" s="2">
        <v>111</v>
      </c>
      <c r="B114" s="2" t="s">
        <v>566</v>
      </c>
      <c r="C114" s="2" t="s">
        <v>2318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1016</v>
      </c>
      <c r="J114" s="2" t="s">
        <v>867</v>
      </c>
      <c r="K114" s="2">
        <f t="shared" si="18"/>
        <v>43193807.452683099</v>
      </c>
      <c r="L114" s="2" t="s">
        <v>1815</v>
      </c>
      <c r="M114" s="2" t="s">
        <v>1799</v>
      </c>
      <c r="N114" s="2" t="s">
        <v>1650</v>
      </c>
      <c r="O114" s="2">
        <v>400</v>
      </c>
      <c r="P114" s="2">
        <v>356.09869384765619</v>
      </c>
      <c r="Q114" s="2">
        <v>368.77020263671881</v>
      </c>
      <c r="R114" s="2">
        <f>O114*P114</f>
        <v>142439.47753906247</v>
      </c>
      <c r="S114" s="2">
        <f>O114*Q114</f>
        <v>147508.08105468753</v>
      </c>
      <c r="T114" s="2">
        <f>R114+S114</f>
        <v>289947.55859375</v>
      </c>
      <c r="U114" s="2">
        <f>ROUND(T114*0.0005, 2)</f>
        <v>144.97</v>
      </c>
      <c r="V114" s="2">
        <f>S114-R114</f>
        <v>5068.6035156250582</v>
      </c>
      <c r="W114" s="2">
        <f>V114-U114</f>
        <v>4923.633515625058</v>
      </c>
      <c r="X114" s="2">
        <f>K114+W114</f>
        <v>43198731.086198725</v>
      </c>
      <c r="Y114" s="2">
        <f>ROUND(0.2*R114, 2)</f>
        <v>28487.9</v>
      </c>
      <c r="Z114" s="2">
        <f>ROUND((W114/Y114)*100, 2)</f>
        <v>17.28</v>
      </c>
      <c r="AA114" s="2">
        <f>MAX(AA113, X114)</f>
        <v>43203917.945380859</v>
      </c>
      <c r="AB114" s="2">
        <f>X114-AA114</f>
        <v>-5186.8591821342707</v>
      </c>
    </row>
    <row r="115" spans="1:28">
      <c r="A115" s="2">
        <v>112</v>
      </c>
      <c r="B115" s="2" t="s">
        <v>570</v>
      </c>
      <c r="C115" s="2" t="s">
        <v>2318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43198731.086198725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43198731.086198725</v>
      </c>
      <c r="Y115" s="6" t="s">
        <v>1195</v>
      </c>
      <c r="Z115" s="6" t="s">
        <v>1195</v>
      </c>
      <c r="AA115" s="2">
        <f>AA114</f>
        <v>43203917.945380859</v>
      </c>
      <c r="AB115" s="2">
        <v>0</v>
      </c>
    </row>
    <row r="116" spans="1:28">
      <c r="A116" s="2">
        <v>113</v>
      </c>
      <c r="B116" s="2" t="s">
        <v>574</v>
      </c>
      <c r="C116" s="2" t="s">
        <v>2318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43198731.086198725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43198731.086198725</v>
      </c>
      <c r="Y116" s="6" t="s">
        <v>1195</v>
      </c>
      <c r="Z116" s="6" t="s">
        <v>1195</v>
      </c>
      <c r="AA116" s="2">
        <f>AA115</f>
        <v>43203917.945380859</v>
      </c>
      <c r="AB116" s="2">
        <v>0</v>
      </c>
    </row>
    <row r="117" spans="1:28">
      <c r="A117" s="2">
        <v>114</v>
      </c>
      <c r="B117" s="2" t="s">
        <v>578</v>
      </c>
      <c r="C117" s="2" t="s">
        <v>2318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43198731.086198725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43198731.086198725</v>
      </c>
      <c r="Y117" s="6" t="s">
        <v>1195</v>
      </c>
      <c r="Z117" s="6" t="s">
        <v>1195</v>
      </c>
      <c r="AA117" s="2">
        <f>AA116</f>
        <v>43203917.945380859</v>
      </c>
      <c r="AB117" s="2">
        <v>0</v>
      </c>
    </row>
    <row r="118" spans="1:28">
      <c r="A118" s="2">
        <v>115</v>
      </c>
      <c r="B118" s="2" t="s">
        <v>581</v>
      </c>
      <c r="C118" s="2" t="s">
        <v>2318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2377</v>
      </c>
      <c r="J118" s="2" t="s">
        <v>2378</v>
      </c>
      <c r="K118" s="2">
        <f t="shared" si="18"/>
        <v>43198731.086198725</v>
      </c>
      <c r="L118" s="2" t="s">
        <v>1292</v>
      </c>
      <c r="M118" s="2" t="s">
        <v>1379</v>
      </c>
      <c r="N118" s="2" t="s">
        <v>1251</v>
      </c>
      <c r="O118" s="2">
        <v>2364</v>
      </c>
      <c r="P118" s="2">
        <v>568.7255859375</v>
      </c>
      <c r="Q118" s="2">
        <v>509.78213500976562</v>
      </c>
      <c r="R118" s="2">
        <f>O118*P118</f>
        <v>1344467.28515625</v>
      </c>
      <c r="S118" s="2">
        <f>O118*Q118</f>
        <v>1205124.9671630859</v>
      </c>
      <c r="T118" s="2">
        <f>R118+S118</f>
        <v>2549592.2523193359</v>
      </c>
      <c r="U118" s="2">
        <f>ROUND(T118*0.0005, 2)</f>
        <v>1274.8</v>
      </c>
      <c r="V118" s="2">
        <f>S118-R118</f>
        <v>-139342.31799316406</v>
      </c>
      <c r="W118" s="2">
        <f>V118-U118</f>
        <v>-140617.11799316405</v>
      </c>
      <c r="X118" s="2">
        <f>K118+W118</f>
        <v>43058113.968205564</v>
      </c>
      <c r="Y118" s="2">
        <f>ROUND(0.2*R118, 2)</f>
        <v>268893.46000000002</v>
      </c>
      <c r="Z118" s="2">
        <f>ROUND((W118/Y118)*100, 2)</f>
        <v>-52.29</v>
      </c>
      <c r="AA118" s="2">
        <f>MAX(AA117, X118)</f>
        <v>43203917.945380859</v>
      </c>
      <c r="AB118" s="2">
        <f>X118-AA118</f>
        <v>-145803.97717529535</v>
      </c>
    </row>
    <row r="119" spans="1:28">
      <c r="A119" s="2">
        <v>116</v>
      </c>
      <c r="B119" s="2" t="s">
        <v>586</v>
      </c>
      <c r="C119" s="2" t="s">
        <v>2318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43058113.968205564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43058113.968205564</v>
      </c>
      <c r="Y119" s="6" t="s">
        <v>1195</v>
      </c>
      <c r="Z119" s="6" t="s">
        <v>1195</v>
      </c>
      <c r="AA119" s="2">
        <f>AA118</f>
        <v>43203917.945380859</v>
      </c>
      <c r="AB119" s="2">
        <v>0</v>
      </c>
    </row>
    <row r="120" spans="1:28">
      <c r="A120" s="2">
        <v>117</v>
      </c>
      <c r="B120" s="2" t="s">
        <v>592</v>
      </c>
      <c r="C120" s="2" t="s">
        <v>2318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384</v>
      </c>
      <c r="J120" s="2" t="s">
        <v>2379</v>
      </c>
      <c r="K120" s="2">
        <f t="shared" si="18"/>
        <v>43058113.968205564</v>
      </c>
      <c r="L120" s="2" t="s">
        <v>1784</v>
      </c>
      <c r="M120" s="2" t="s">
        <v>1802</v>
      </c>
      <c r="N120" s="2" t="s">
        <v>1784</v>
      </c>
      <c r="O120" s="2">
        <v>300</v>
      </c>
      <c r="P120" s="2">
        <v>3387.61865234375</v>
      </c>
      <c r="Q120" s="2">
        <v>3286.664306640625</v>
      </c>
      <c r="R120" s="2">
        <f>O120*P120</f>
        <v>1016285.595703125</v>
      </c>
      <c r="S120" s="2">
        <f>O120*Q120</f>
        <v>985999.2919921875</v>
      </c>
      <c r="T120" s="2">
        <f>R120+S120</f>
        <v>2002284.8876953125</v>
      </c>
      <c r="U120" s="2">
        <f>ROUND(T120*0.0005, 2)</f>
        <v>1001.14</v>
      </c>
      <c r="V120" s="2">
        <f>S120-R120</f>
        <v>-30286.3037109375</v>
      </c>
      <c r="W120" s="2">
        <f>V120-U120</f>
        <v>-31287.443710937499</v>
      </c>
      <c r="X120" s="2">
        <f>K120+W120</f>
        <v>43026826.524494626</v>
      </c>
      <c r="Y120" s="2">
        <f>ROUND(0.2*R120, 2)</f>
        <v>203257.12</v>
      </c>
      <c r="Z120" s="2">
        <f>ROUND((W120/Y120)*100, 2)</f>
        <v>-15.39</v>
      </c>
      <c r="AA120" s="2">
        <f>MAX(AA119, X120)</f>
        <v>43203917.945380859</v>
      </c>
      <c r="AB120" s="2">
        <f>X120-AA120</f>
        <v>-177091.42088623345</v>
      </c>
    </row>
    <row r="121" spans="1:28">
      <c r="A121" s="2">
        <v>118</v>
      </c>
      <c r="B121" s="2" t="s">
        <v>597</v>
      </c>
      <c r="C121" s="2" t="s">
        <v>2318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43026826.524494626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43026826.524494626</v>
      </c>
      <c r="Y121" s="6" t="s">
        <v>1195</v>
      </c>
      <c r="Z121" s="6" t="s">
        <v>1195</v>
      </c>
      <c r="AA121" s="2">
        <f>AA120</f>
        <v>43203917.945380859</v>
      </c>
      <c r="AB121" s="2">
        <v>0</v>
      </c>
    </row>
    <row r="122" spans="1:28">
      <c r="A122" s="2">
        <v>119</v>
      </c>
      <c r="B122" s="2" t="s">
        <v>601</v>
      </c>
      <c r="C122" s="2" t="s">
        <v>2318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43026826.524494626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43026826.524494626</v>
      </c>
      <c r="Y122" s="6" t="s">
        <v>1195</v>
      </c>
      <c r="Z122" s="6" t="s">
        <v>1195</v>
      </c>
      <c r="AA122" s="2">
        <f>AA121</f>
        <v>43203917.945380859</v>
      </c>
      <c r="AB122" s="2">
        <v>0</v>
      </c>
    </row>
    <row r="123" spans="1:28">
      <c r="A123" s="2">
        <v>120</v>
      </c>
      <c r="B123" s="2" t="s">
        <v>605</v>
      </c>
      <c r="C123" s="2" t="s">
        <v>2318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43026826.524494626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43026826.524494626</v>
      </c>
      <c r="Y123" s="6" t="s">
        <v>1195</v>
      </c>
      <c r="Z123" s="6" t="s">
        <v>1195</v>
      </c>
      <c r="AA123" s="2">
        <f>AA122</f>
        <v>43203917.945380859</v>
      </c>
      <c r="AB123" s="2">
        <v>0</v>
      </c>
    </row>
    <row r="124" spans="1:28">
      <c r="A124" s="2">
        <v>121</v>
      </c>
      <c r="B124" s="2" t="s">
        <v>609</v>
      </c>
      <c r="C124" s="2" t="s">
        <v>2318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2380</v>
      </c>
      <c r="J124" s="2" t="s">
        <v>2239</v>
      </c>
      <c r="K124" s="2">
        <f t="shared" si="18"/>
        <v>43026826.524494626</v>
      </c>
      <c r="L124" s="2" t="s">
        <v>1722</v>
      </c>
      <c r="M124" s="2" t="s">
        <v>1861</v>
      </c>
      <c r="N124" s="2" t="s">
        <v>1835</v>
      </c>
      <c r="O124" s="2">
        <v>350</v>
      </c>
      <c r="P124" s="2">
        <v>1604.555908203125</v>
      </c>
      <c r="Q124" s="2">
        <v>1788.898559570312</v>
      </c>
      <c r="R124" s="2">
        <f>O124*P124</f>
        <v>561594.56787109375</v>
      </c>
      <c r="S124" s="2">
        <f>O124*Q124</f>
        <v>626114.49584960926</v>
      </c>
      <c r="T124" s="2">
        <f>R124+S124</f>
        <v>1187709.0637207031</v>
      </c>
      <c r="U124" s="2">
        <f>ROUND(T124*0.0005, 2)</f>
        <v>593.85</v>
      </c>
      <c r="V124" s="2">
        <f>S124-R124</f>
        <v>64519.927978515509</v>
      </c>
      <c r="W124" s="2">
        <f>V124-U124</f>
        <v>63926.07797851551</v>
      </c>
      <c r="X124" s="2">
        <f>K124+W124</f>
        <v>43090752.60247314</v>
      </c>
      <c r="Y124" s="2">
        <f>ROUND(0.2*R124, 2)</f>
        <v>112318.91</v>
      </c>
      <c r="Z124" s="2">
        <f>ROUND((W124/Y124)*100, 2)</f>
        <v>56.91</v>
      </c>
      <c r="AA124" s="2">
        <f>MAX(AA123, X124)</f>
        <v>43203917.945380859</v>
      </c>
      <c r="AB124" s="2">
        <f>X124-AA124</f>
        <v>-113165.34290771931</v>
      </c>
    </row>
    <row r="125" spans="1:28">
      <c r="A125" s="2">
        <v>122</v>
      </c>
      <c r="B125" s="2" t="s">
        <v>613</v>
      </c>
      <c r="C125" s="2" t="s">
        <v>2318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43090752.60247314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43090752.60247314</v>
      </c>
      <c r="Y125" s="6" t="s">
        <v>1195</v>
      </c>
      <c r="Z125" s="6" t="s">
        <v>1195</v>
      </c>
      <c r="AA125" s="2">
        <f>AA124</f>
        <v>43203917.945380859</v>
      </c>
      <c r="AB125" s="2">
        <v>0</v>
      </c>
    </row>
    <row r="126" spans="1:28">
      <c r="A126" s="2">
        <v>123</v>
      </c>
      <c r="B126" s="2" t="s">
        <v>617</v>
      </c>
      <c r="C126" s="2" t="s">
        <v>2318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43090752.60247314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43090752.60247314</v>
      </c>
      <c r="Y126" s="6" t="s">
        <v>1195</v>
      </c>
      <c r="Z126" s="6" t="s">
        <v>1195</v>
      </c>
      <c r="AA126" s="2">
        <f>AA125</f>
        <v>43203917.945380859</v>
      </c>
      <c r="AB126" s="2">
        <v>0</v>
      </c>
    </row>
    <row r="127" spans="1:28">
      <c r="A127" s="2">
        <v>124</v>
      </c>
      <c r="B127" s="2" t="s">
        <v>621</v>
      </c>
      <c r="C127" s="2" t="s">
        <v>2318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43090752.60247314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43090752.60247314</v>
      </c>
      <c r="Y127" s="6" t="s">
        <v>1195</v>
      </c>
      <c r="Z127" s="6" t="s">
        <v>1195</v>
      </c>
      <c r="AA127" s="2">
        <f>AA126</f>
        <v>43203917.945380859</v>
      </c>
      <c r="AB127" s="2">
        <v>0</v>
      </c>
    </row>
    <row r="128" spans="1:28">
      <c r="A128" s="2">
        <v>125</v>
      </c>
      <c r="B128" s="2" t="s">
        <v>625</v>
      </c>
      <c r="C128" s="2" t="s">
        <v>2318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43090752.60247314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43090752.60247314</v>
      </c>
      <c r="Y128" s="6" t="s">
        <v>1195</v>
      </c>
      <c r="Z128" s="6" t="s">
        <v>1195</v>
      </c>
      <c r="AA128" s="2">
        <f>AA127</f>
        <v>43203917.945380859</v>
      </c>
      <c r="AB128" s="2">
        <v>0</v>
      </c>
    </row>
    <row r="129" spans="1:28">
      <c r="A129" s="2">
        <v>126</v>
      </c>
      <c r="B129" s="2" t="s">
        <v>629</v>
      </c>
      <c r="C129" s="2" t="s">
        <v>2318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2381</v>
      </c>
      <c r="J129" s="2" t="s">
        <v>2382</v>
      </c>
      <c r="K129" s="2">
        <f t="shared" si="18"/>
        <v>43090752.60247314</v>
      </c>
      <c r="L129" s="2" t="s">
        <v>1585</v>
      </c>
      <c r="M129" s="2" t="s">
        <v>1802</v>
      </c>
      <c r="N129" s="2" t="s">
        <v>1784</v>
      </c>
      <c r="O129" s="2">
        <v>100</v>
      </c>
      <c r="P129" s="2">
        <v>10442.72265625</v>
      </c>
      <c r="Q129" s="2">
        <v>9791.9296875</v>
      </c>
      <c r="R129" s="2">
        <f>O129*P129</f>
        <v>1044272.265625</v>
      </c>
      <c r="S129" s="2">
        <f>O129*Q129</f>
        <v>979192.96875</v>
      </c>
      <c r="T129" s="2">
        <f>R129+S129</f>
        <v>2023465.234375</v>
      </c>
      <c r="U129" s="2">
        <f>ROUND(T129*0.0005, 2)</f>
        <v>1011.73</v>
      </c>
      <c r="V129" s="2">
        <f>S129-R129</f>
        <v>-65079.296875</v>
      </c>
      <c r="W129" s="2">
        <f>V129-U129</f>
        <v>-66091.026874999996</v>
      </c>
      <c r="X129" s="2">
        <f>K129+W129</f>
        <v>43024661.575598143</v>
      </c>
      <c r="Y129" s="2">
        <f>ROUND(0.2*R129, 2)</f>
        <v>208854.45</v>
      </c>
      <c r="Z129" s="2">
        <f>ROUND((W129/Y129)*100, 2)</f>
        <v>-31.64</v>
      </c>
      <c r="AA129" s="2">
        <f>MAX(AA128, X129)</f>
        <v>43203917.945380859</v>
      </c>
      <c r="AB129" s="2">
        <f>X129-AA129</f>
        <v>-179256.36978271604</v>
      </c>
    </row>
    <row r="130" spans="1:28">
      <c r="A130" s="2">
        <v>127</v>
      </c>
      <c r="B130" s="2" t="s">
        <v>632</v>
      </c>
      <c r="C130" s="2" t="s">
        <v>2318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1171</v>
      </c>
      <c r="J130" s="2" t="s">
        <v>1087</v>
      </c>
      <c r="K130" s="2">
        <f t="shared" si="18"/>
        <v>43024661.575598143</v>
      </c>
      <c r="L130" s="2" t="s">
        <v>2370</v>
      </c>
      <c r="M130" s="2" t="s">
        <v>2383</v>
      </c>
      <c r="N130" s="2" t="s">
        <v>2384</v>
      </c>
      <c r="O130" s="2">
        <v>922</v>
      </c>
      <c r="P130" s="2">
        <v>347.2989501953125</v>
      </c>
      <c r="Q130" s="2">
        <v>360.31643676757812</v>
      </c>
      <c r="R130" s="2">
        <f>O130*P130</f>
        <v>320209.63208007812</v>
      </c>
      <c r="S130" s="2">
        <f>O130*Q130</f>
        <v>332211.75469970703</v>
      </c>
      <c r="T130" s="2">
        <f>R130+S130</f>
        <v>652421.38677978516</v>
      </c>
      <c r="U130" s="2">
        <f>ROUND(T130*0.0005, 2)</f>
        <v>326.20999999999998</v>
      </c>
      <c r="V130" s="2">
        <f>S130-R130</f>
        <v>12002.122619628906</v>
      </c>
      <c r="W130" s="2">
        <f>V130-U130</f>
        <v>11675.912619628907</v>
      </c>
      <c r="X130" s="2">
        <f>K130+W130</f>
        <v>43036337.488217771</v>
      </c>
      <c r="Y130" s="2">
        <f>ROUND(0.2*R130, 2)</f>
        <v>64041.93</v>
      </c>
      <c r="Z130" s="2">
        <f>ROUND((W130/Y130)*100, 2)</f>
        <v>18.23</v>
      </c>
      <c r="AA130" s="2">
        <f>MAX(AA129, X130)</f>
        <v>43203917.945380859</v>
      </c>
      <c r="AB130" s="2">
        <f>X130-AA130</f>
        <v>-167580.45716308802</v>
      </c>
    </row>
    <row r="131" spans="1:28">
      <c r="A131" s="2">
        <v>128</v>
      </c>
      <c r="B131" s="2" t="s">
        <v>637</v>
      </c>
      <c r="C131" s="2" t="s">
        <v>2318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43036337.488217771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43036337.488217771</v>
      </c>
      <c r="Y131" s="6" t="s">
        <v>1195</v>
      </c>
      <c r="Z131" s="6" t="s">
        <v>1195</v>
      </c>
      <c r="AA131" s="2">
        <f t="shared" ref="AA131:AA136" si="20">AA130</f>
        <v>43203917.945380859</v>
      </c>
      <c r="AB131" s="2">
        <v>0</v>
      </c>
    </row>
    <row r="132" spans="1:28">
      <c r="A132" s="2">
        <v>129</v>
      </c>
      <c r="B132" s="2" t="s">
        <v>640</v>
      </c>
      <c r="C132" s="2" t="s">
        <v>2318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43036337.488217771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43036337.488217771</v>
      </c>
      <c r="Y132" s="6" t="s">
        <v>1195</v>
      </c>
      <c r="Z132" s="6" t="s">
        <v>1195</v>
      </c>
      <c r="AA132" s="2">
        <f t="shared" si="20"/>
        <v>43203917.945380859</v>
      </c>
      <c r="AB132" s="2">
        <v>0</v>
      </c>
    </row>
    <row r="133" spans="1:28">
      <c r="A133" s="2">
        <v>130</v>
      </c>
      <c r="B133" s="2" t="s">
        <v>647</v>
      </c>
      <c r="C133" s="2" t="s">
        <v>2318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43036337.488217771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43036337.488217771</v>
      </c>
      <c r="Y133" s="6" t="s">
        <v>1195</v>
      </c>
      <c r="Z133" s="6" t="s">
        <v>1195</v>
      </c>
      <c r="AA133" s="2">
        <f t="shared" si="20"/>
        <v>43203917.945380859</v>
      </c>
      <c r="AB133" s="2">
        <v>0</v>
      </c>
    </row>
    <row r="134" spans="1:28">
      <c r="A134" s="2">
        <v>131</v>
      </c>
      <c r="B134" s="2" t="s">
        <v>651</v>
      </c>
      <c r="C134" s="2" t="s">
        <v>2318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43036337.488217771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43036337.488217771</v>
      </c>
      <c r="Y134" s="6" t="s">
        <v>1195</v>
      </c>
      <c r="Z134" s="6" t="s">
        <v>1195</v>
      </c>
      <c r="AA134" s="2">
        <f t="shared" si="20"/>
        <v>43203917.945380859</v>
      </c>
      <c r="AB134" s="2">
        <v>0</v>
      </c>
    </row>
    <row r="135" spans="1:28">
      <c r="A135" s="2">
        <v>132</v>
      </c>
      <c r="B135" s="2" t="s">
        <v>654</v>
      </c>
      <c r="C135" s="2" t="s">
        <v>2318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43036337.488217771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43036337.488217771</v>
      </c>
      <c r="Y135" s="6" t="s">
        <v>1195</v>
      </c>
      <c r="Z135" s="6" t="s">
        <v>1195</v>
      </c>
      <c r="AA135" s="2">
        <f t="shared" si="20"/>
        <v>43203917.945380859</v>
      </c>
      <c r="AB135" s="2">
        <v>0</v>
      </c>
    </row>
    <row r="136" spans="1:28">
      <c r="A136" s="2">
        <v>133</v>
      </c>
      <c r="B136" s="2" t="s">
        <v>656</v>
      </c>
      <c r="C136" s="2" t="s">
        <v>2318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43036337.488217771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43036337.488217771</v>
      </c>
      <c r="Y136" s="6" t="s">
        <v>1195</v>
      </c>
      <c r="Z136" s="6" t="s">
        <v>1195</v>
      </c>
      <c r="AA136" s="2">
        <f t="shared" si="20"/>
        <v>43203917.945380859</v>
      </c>
      <c r="AB136" s="2">
        <v>0</v>
      </c>
    </row>
    <row r="137" spans="1:28">
      <c r="A137" s="2">
        <v>134</v>
      </c>
      <c r="B137" s="2" t="s">
        <v>658</v>
      </c>
      <c r="C137" s="2" t="s">
        <v>2318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616</v>
      </c>
      <c r="J137" s="2" t="s">
        <v>1665</v>
      </c>
      <c r="K137" s="2">
        <f t="shared" si="21"/>
        <v>43036337.488217771</v>
      </c>
      <c r="L137" s="2" t="s">
        <v>2385</v>
      </c>
      <c r="M137" s="2" t="s">
        <v>2196</v>
      </c>
      <c r="N137" s="2" t="s">
        <v>2386</v>
      </c>
      <c r="O137" s="2">
        <v>332</v>
      </c>
      <c r="P137" s="2">
        <v>2639.87841796875</v>
      </c>
      <c r="Q137" s="2">
        <v>2643.448486328125</v>
      </c>
      <c r="R137" s="2">
        <f>O137*P137</f>
        <v>876439.634765625</v>
      </c>
      <c r="S137" s="2">
        <f>O137*Q137</f>
        <v>877624.8974609375</v>
      </c>
      <c r="T137" s="2">
        <f>R137+S137</f>
        <v>1754064.5322265625</v>
      </c>
      <c r="U137" s="2">
        <f>ROUND(T137*0.0005, 2)</f>
        <v>877.03</v>
      </c>
      <c r="V137" s="2">
        <f>S137-R137</f>
        <v>1185.2626953125</v>
      </c>
      <c r="W137" s="2">
        <f>V137-U137</f>
        <v>308.23269531250003</v>
      </c>
      <c r="X137" s="2">
        <f>K137+W137</f>
        <v>43036645.720913082</v>
      </c>
      <c r="Y137" s="2">
        <f>ROUND(0.2*R137, 2)</f>
        <v>175287.93</v>
      </c>
      <c r="Z137" s="2">
        <f>ROUND((W137/Y137)*100, 2)</f>
        <v>0.18</v>
      </c>
      <c r="AA137" s="2">
        <f>MAX(AA136, X137)</f>
        <v>43203917.945380859</v>
      </c>
      <c r="AB137" s="2">
        <f>X137-AA137</f>
        <v>-167272.22446777672</v>
      </c>
    </row>
    <row r="138" spans="1:28">
      <c r="A138" s="2">
        <v>135</v>
      </c>
      <c r="B138" s="2" t="s">
        <v>661</v>
      </c>
      <c r="C138" s="2" t="s">
        <v>2318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43036645.720913082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 t="shared" ref="X138:X144" si="22">K138</f>
        <v>43036645.720913082</v>
      </c>
      <c r="Y138" s="6" t="s">
        <v>1195</v>
      </c>
      <c r="Z138" s="6" t="s">
        <v>1195</v>
      </c>
      <c r="AA138" s="2">
        <f t="shared" ref="AA138:AA144" si="23">AA137</f>
        <v>43203917.945380859</v>
      </c>
      <c r="AB138" s="2">
        <v>0</v>
      </c>
    </row>
    <row r="139" spans="1:28">
      <c r="A139" s="2">
        <v>136</v>
      </c>
      <c r="B139" s="2" t="s">
        <v>664</v>
      </c>
      <c r="C139" s="2" t="s">
        <v>2318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43036645.720913082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 t="shared" si="22"/>
        <v>43036645.720913082</v>
      </c>
      <c r="Y139" s="6" t="s">
        <v>1195</v>
      </c>
      <c r="Z139" s="6" t="s">
        <v>1195</v>
      </c>
      <c r="AA139" s="2">
        <f t="shared" si="23"/>
        <v>43203917.945380859</v>
      </c>
      <c r="AB139" s="2">
        <v>0</v>
      </c>
    </row>
    <row r="140" spans="1:28">
      <c r="A140" s="2">
        <v>137</v>
      </c>
      <c r="B140" s="2" t="s">
        <v>667</v>
      </c>
      <c r="C140" s="2" t="s">
        <v>2318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43036645.720913082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 t="shared" si="22"/>
        <v>43036645.720913082</v>
      </c>
      <c r="Y140" s="6" t="s">
        <v>1195</v>
      </c>
      <c r="Z140" s="6" t="s">
        <v>1195</v>
      </c>
      <c r="AA140" s="2">
        <f t="shared" si="23"/>
        <v>43203917.945380859</v>
      </c>
      <c r="AB140" s="2">
        <v>0</v>
      </c>
    </row>
    <row r="141" spans="1:28">
      <c r="A141" s="2">
        <v>138</v>
      </c>
      <c r="B141" s="2" t="s">
        <v>670</v>
      </c>
      <c r="C141" s="2" t="s">
        <v>2318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43036645.720913082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 t="shared" si="22"/>
        <v>43036645.720913082</v>
      </c>
      <c r="Y141" s="6" t="s">
        <v>1195</v>
      </c>
      <c r="Z141" s="6" t="s">
        <v>1195</v>
      </c>
      <c r="AA141" s="2">
        <f t="shared" si="23"/>
        <v>43203917.945380859</v>
      </c>
      <c r="AB141" s="2">
        <v>0</v>
      </c>
    </row>
    <row r="142" spans="1:28">
      <c r="A142" s="2">
        <v>139</v>
      </c>
      <c r="B142" s="2" t="s">
        <v>674</v>
      </c>
      <c r="C142" s="2" t="s">
        <v>2318</v>
      </c>
      <c r="D142" s="3" t="s">
        <v>37</v>
      </c>
      <c r="E142" s="5" t="s">
        <v>134</v>
      </c>
      <c r="F142" s="2" t="s">
        <v>675</v>
      </c>
      <c r="G142" s="2" t="s">
        <v>63</v>
      </c>
      <c r="H142" s="6" t="s">
        <v>1195</v>
      </c>
      <c r="I142" s="6" t="s">
        <v>1195</v>
      </c>
      <c r="J142" s="6" t="s">
        <v>1195</v>
      </c>
      <c r="K142" s="2">
        <f t="shared" si="21"/>
        <v>43036645.720913082</v>
      </c>
      <c r="L142" s="6" t="s">
        <v>1195</v>
      </c>
      <c r="M142" s="6" t="s">
        <v>1195</v>
      </c>
      <c r="N142" s="6" t="s">
        <v>1195</v>
      </c>
      <c r="O142" s="2">
        <v>200</v>
      </c>
      <c r="P142" s="6" t="s">
        <v>1195</v>
      </c>
      <c r="Q142" s="6" t="s">
        <v>1195</v>
      </c>
      <c r="R142" s="6" t="s">
        <v>1195</v>
      </c>
      <c r="S142" s="6" t="s">
        <v>1195</v>
      </c>
      <c r="T142" s="6" t="s">
        <v>1195</v>
      </c>
      <c r="U142" s="6" t="s">
        <v>1195</v>
      </c>
      <c r="V142" s="6" t="s">
        <v>1195</v>
      </c>
      <c r="W142" s="6" t="s">
        <v>1195</v>
      </c>
      <c r="X142" s="2">
        <f t="shared" si="22"/>
        <v>43036645.720913082</v>
      </c>
      <c r="Y142" s="6" t="s">
        <v>1195</v>
      </c>
      <c r="Z142" s="6" t="s">
        <v>1195</v>
      </c>
      <c r="AA142" s="2">
        <f t="shared" si="23"/>
        <v>43203917.945380859</v>
      </c>
      <c r="AB142" s="2">
        <v>0</v>
      </c>
    </row>
    <row r="143" spans="1:28">
      <c r="A143" s="2">
        <v>140</v>
      </c>
      <c r="B143" s="2" t="s">
        <v>678</v>
      </c>
      <c r="C143" s="2" t="s">
        <v>2318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43036645.720913082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 t="shared" si="22"/>
        <v>43036645.720913082</v>
      </c>
      <c r="Y143" s="6" t="s">
        <v>1195</v>
      </c>
      <c r="Z143" s="6" t="s">
        <v>1195</v>
      </c>
      <c r="AA143" s="2">
        <f t="shared" si="23"/>
        <v>43203917.945380859</v>
      </c>
      <c r="AB143" s="2">
        <v>0</v>
      </c>
    </row>
    <row r="144" spans="1:28">
      <c r="A144" s="2">
        <v>141</v>
      </c>
      <c r="B144" s="2" t="s">
        <v>681</v>
      </c>
      <c r="C144" s="2" t="s">
        <v>2318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43036645.720913082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 t="shared" si="22"/>
        <v>43036645.720913082</v>
      </c>
      <c r="Y144" s="6" t="s">
        <v>1195</v>
      </c>
      <c r="Z144" s="6" t="s">
        <v>1195</v>
      </c>
      <c r="AA144" s="2">
        <f t="shared" si="23"/>
        <v>43203917.945380859</v>
      </c>
      <c r="AB144" s="2">
        <v>0</v>
      </c>
    </row>
    <row r="145" spans="1:28">
      <c r="A145" s="2">
        <v>142</v>
      </c>
      <c r="B145" s="2" t="s">
        <v>685</v>
      </c>
      <c r="C145" s="2" t="s">
        <v>2318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2387</v>
      </c>
      <c r="J145" s="2" t="s">
        <v>1483</v>
      </c>
      <c r="K145" s="2">
        <f t="shared" si="21"/>
        <v>43036645.720913082</v>
      </c>
      <c r="L145" s="2" t="s">
        <v>1783</v>
      </c>
      <c r="M145" s="2" t="s">
        <v>1778</v>
      </c>
      <c r="N145" s="2" t="s">
        <v>1585</v>
      </c>
      <c r="O145" s="2">
        <v>1500</v>
      </c>
      <c r="P145" s="2">
        <v>317.30776977539062</v>
      </c>
      <c r="Q145" s="2">
        <v>292.00619506835937</v>
      </c>
      <c r="R145" s="2">
        <f>O145*P145</f>
        <v>475961.65466308594</v>
      </c>
      <c r="S145" s="2">
        <f>O145*Q145</f>
        <v>438009.29260253906</v>
      </c>
      <c r="T145" s="2">
        <f>R145+S145</f>
        <v>913970.947265625</v>
      </c>
      <c r="U145" s="2">
        <f>ROUND(T145*0.0005, 2)</f>
        <v>456.99</v>
      </c>
      <c r="V145" s="2">
        <f>S145-R145</f>
        <v>-37952.362060546875</v>
      </c>
      <c r="W145" s="2">
        <f>V145-U145</f>
        <v>-38409.352060546873</v>
      </c>
      <c r="X145" s="2">
        <f>K145+W145</f>
        <v>42998236.368852533</v>
      </c>
      <c r="Y145" s="2">
        <f>ROUND(0.2*R145, 2)</f>
        <v>95192.33</v>
      </c>
      <c r="Z145" s="2">
        <f>ROUND((W145/Y145)*100, 2)</f>
        <v>-40.35</v>
      </c>
      <c r="AA145" s="2">
        <f>MAX(AA144, X145)</f>
        <v>43203917.945380859</v>
      </c>
      <c r="AB145" s="2">
        <f>X145-AA145</f>
        <v>-205681.57652832568</v>
      </c>
    </row>
    <row r="146" spans="1:28">
      <c r="A146" s="2">
        <v>143</v>
      </c>
      <c r="B146" s="2" t="s">
        <v>689</v>
      </c>
      <c r="C146" s="2" t="s">
        <v>2318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42998236.368852533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42998236.368852533</v>
      </c>
      <c r="Y146" s="6" t="s">
        <v>1195</v>
      </c>
      <c r="Z146" s="6" t="s">
        <v>1195</v>
      </c>
      <c r="AA146" s="2">
        <f>AA145</f>
        <v>43203917.945380859</v>
      </c>
      <c r="AB146" s="2">
        <v>0</v>
      </c>
    </row>
    <row r="147" spans="1:28">
      <c r="A147" s="2">
        <v>144</v>
      </c>
      <c r="B147" s="2" t="s">
        <v>692</v>
      </c>
      <c r="C147" s="2" t="s">
        <v>2318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42998236.368852533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42998236.368852533</v>
      </c>
      <c r="Y147" s="6" t="s">
        <v>1195</v>
      </c>
      <c r="Z147" s="6" t="s">
        <v>1195</v>
      </c>
      <c r="AA147" s="2">
        <f>AA146</f>
        <v>43203917.945380859</v>
      </c>
      <c r="AB147" s="2">
        <v>0</v>
      </c>
    </row>
    <row r="148" spans="1:28">
      <c r="A148" s="2">
        <v>145</v>
      </c>
      <c r="B148" s="2" t="s">
        <v>696</v>
      </c>
      <c r="C148" s="2" t="s">
        <v>2318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42998236.368852533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42998236.368852533</v>
      </c>
      <c r="Y148" s="6" t="s">
        <v>1195</v>
      </c>
      <c r="Z148" s="6" t="s">
        <v>1195</v>
      </c>
      <c r="AA148" s="2">
        <f>AA147</f>
        <v>43203917.945380859</v>
      </c>
      <c r="AB148" s="2">
        <v>0</v>
      </c>
    </row>
    <row r="149" spans="1:28">
      <c r="A149" s="2">
        <v>146</v>
      </c>
      <c r="B149" s="2" t="s">
        <v>701</v>
      </c>
      <c r="C149" s="2" t="s">
        <v>2318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42998236.368852533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42998236.368852533</v>
      </c>
      <c r="Y149" s="6" t="s">
        <v>1195</v>
      </c>
      <c r="Z149" s="6" t="s">
        <v>1195</v>
      </c>
      <c r="AA149" s="2">
        <f>AA148</f>
        <v>43203917.945380859</v>
      </c>
      <c r="AB149" s="2">
        <v>0</v>
      </c>
    </row>
    <row r="150" spans="1:28">
      <c r="A150" s="2">
        <v>147</v>
      </c>
      <c r="B150" s="2" t="s">
        <v>705</v>
      </c>
      <c r="C150" s="2" t="s">
        <v>2318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1112</v>
      </c>
      <c r="J150" s="2" t="s">
        <v>2388</v>
      </c>
      <c r="K150" s="2">
        <f t="shared" si="21"/>
        <v>42998236.368852533</v>
      </c>
      <c r="L150" s="2" t="s">
        <v>1802</v>
      </c>
      <c r="M150" s="2" t="s">
        <v>1813</v>
      </c>
      <c r="N150" s="2" t="s">
        <v>1789</v>
      </c>
      <c r="O150" s="2">
        <v>3750</v>
      </c>
      <c r="P150" s="2">
        <v>247.42498779296881</v>
      </c>
      <c r="Q150" s="2">
        <v>228.4068603515625</v>
      </c>
      <c r="R150" s="2">
        <f>O150*P150</f>
        <v>927843.70422363305</v>
      </c>
      <c r="S150" s="2">
        <f>O150*Q150</f>
        <v>856525.72631835937</v>
      </c>
      <c r="T150" s="2">
        <f>R150+S150</f>
        <v>1784369.4305419924</v>
      </c>
      <c r="U150" s="2">
        <f>ROUND(T150*0.0005, 2)</f>
        <v>892.18</v>
      </c>
      <c r="V150" s="2">
        <f>S150-R150</f>
        <v>-71317.97790527367</v>
      </c>
      <c r="W150" s="2">
        <f>V150-U150</f>
        <v>-72210.157905273663</v>
      </c>
      <c r="X150" s="2">
        <f>K150+W150</f>
        <v>42926026.21094726</v>
      </c>
      <c r="Y150" s="2">
        <f>ROUND(0.2*R150, 2)</f>
        <v>185568.74</v>
      </c>
      <c r="Z150" s="2">
        <f>ROUND((W150/Y150)*100, 2)</f>
        <v>-38.909999999999997</v>
      </c>
      <c r="AA150" s="2">
        <f>MAX(AA149, X150)</f>
        <v>43203917.945380859</v>
      </c>
      <c r="AB150" s="2">
        <f>X150-AA150</f>
        <v>-277891.73443359882</v>
      </c>
    </row>
    <row r="151" spans="1:28">
      <c r="A151" s="2">
        <v>148</v>
      </c>
      <c r="B151" s="2" t="s">
        <v>708</v>
      </c>
      <c r="C151" s="2" t="s">
        <v>2318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42926026.21094726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4">K151</f>
        <v>42926026.21094726</v>
      </c>
      <c r="Y151" s="6" t="s">
        <v>1195</v>
      </c>
      <c r="Z151" s="6" t="s">
        <v>1195</v>
      </c>
      <c r="AA151" s="2">
        <f t="shared" ref="AA151:AA164" si="25">AA150</f>
        <v>43203917.945380859</v>
      </c>
      <c r="AB151" s="2">
        <v>0</v>
      </c>
    </row>
    <row r="152" spans="1:28">
      <c r="A152" s="2">
        <v>149</v>
      </c>
      <c r="B152" s="2" t="s">
        <v>710</v>
      </c>
      <c r="C152" s="2" t="s">
        <v>2318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42926026.21094726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4"/>
        <v>42926026.21094726</v>
      </c>
      <c r="Y152" s="6" t="s">
        <v>1195</v>
      </c>
      <c r="Z152" s="6" t="s">
        <v>1195</v>
      </c>
      <c r="AA152" s="2">
        <f t="shared" si="25"/>
        <v>43203917.945380859</v>
      </c>
      <c r="AB152" s="2">
        <v>0</v>
      </c>
    </row>
    <row r="153" spans="1:28">
      <c r="A153" s="2">
        <v>150</v>
      </c>
      <c r="B153" s="2" t="s">
        <v>714</v>
      </c>
      <c r="C153" s="2" t="s">
        <v>2318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42926026.21094726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4"/>
        <v>42926026.21094726</v>
      </c>
      <c r="Y153" s="6" t="s">
        <v>1195</v>
      </c>
      <c r="Z153" s="6" t="s">
        <v>1195</v>
      </c>
      <c r="AA153" s="2">
        <f t="shared" si="25"/>
        <v>43203917.945380859</v>
      </c>
      <c r="AB153" s="2">
        <v>0</v>
      </c>
    </row>
    <row r="154" spans="1:28">
      <c r="A154" s="2">
        <v>151</v>
      </c>
      <c r="B154" s="2" t="s">
        <v>718</v>
      </c>
      <c r="C154" s="2" t="s">
        <v>2318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42926026.21094726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4"/>
        <v>42926026.21094726</v>
      </c>
      <c r="Y154" s="6" t="s">
        <v>1195</v>
      </c>
      <c r="Z154" s="6" t="s">
        <v>1195</v>
      </c>
      <c r="AA154" s="2">
        <f t="shared" si="25"/>
        <v>43203917.945380859</v>
      </c>
      <c r="AB154" s="2">
        <v>0</v>
      </c>
    </row>
    <row r="155" spans="1:28">
      <c r="A155" s="2">
        <v>152</v>
      </c>
      <c r="B155" s="2" t="s">
        <v>720</v>
      </c>
      <c r="C155" s="2" t="s">
        <v>2318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42926026.21094726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4"/>
        <v>42926026.21094726</v>
      </c>
      <c r="Y155" s="6" t="s">
        <v>1195</v>
      </c>
      <c r="Z155" s="6" t="s">
        <v>1195</v>
      </c>
      <c r="AA155" s="2">
        <f t="shared" si="25"/>
        <v>43203917.945380859</v>
      </c>
      <c r="AB155" s="2">
        <v>0</v>
      </c>
    </row>
    <row r="156" spans="1:28">
      <c r="A156" s="2">
        <v>153</v>
      </c>
      <c r="B156" s="2" t="s">
        <v>723</v>
      </c>
      <c r="C156" s="2" t="s">
        <v>2318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42926026.21094726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4"/>
        <v>42926026.21094726</v>
      </c>
      <c r="Y156" s="6" t="s">
        <v>1195</v>
      </c>
      <c r="Z156" s="6" t="s">
        <v>1195</v>
      </c>
      <c r="AA156" s="2">
        <f t="shared" si="25"/>
        <v>43203917.945380859</v>
      </c>
      <c r="AB156" s="2">
        <v>0</v>
      </c>
    </row>
    <row r="157" spans="1:28">
      <c r="A157" s="2">
        <v>154</v>
      </c>
      <c r="B157" s="2" t="s">
        <v>727</v>
      </c>
      <c r="C157" s="2" t="s">
        <v>2318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42926026.21094726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4"/>
        <v>42926026.21094726</v>
      </c>
      <c r="Y157" s="6" t="s">
        <v>1195</v>
      </c>
      <c r="Z157" s="6" t="s">
        <v>1195</v>
      </c>
      <c r="AA157" s="2">
        <f t="shared" si="25"/>
        <v>43203917.945380859</v>
      </c>
      <c r="AB157" s="2">
        <v>0</v>
      </c>
    </row>
    <row r="158" spans="1:28">
      <c r="A158" s="2">
        <v>155</v>
      </c>
      <c r="B158" s="2" t="s">
        <v>729</v>
      </c>
      <c r="C158" s="2" t="s">
        <v>2318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42926026.21094726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4"/>
        <v>42926026.21094726</v>
      </c>
      <c r="Y158" s="6" t="s">
        <v>1195</v>
      </c>
      <c r="Z158" s="6" t="s">
        <v>1195</v>
      </c>
      <c r="AA158" s="2">
        <f t="shared" si="25"/>
        <v>43203917.945380859</v>
      </c>
      <c r="AB158" s="2">
        <v>0</v>
      </c>
    </row>
    <row r="159" spans="1:28">
      <c r="A159" s="2">
        <v>156</v>
      </c>
      <c r="B159" s="2" t="s">
        <v>732</v>
      </c>
      <c r="C159" s="2" t="s">
        <v>2318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42926026.21094726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4"/>
        <v>42926026.21094726</v>
      </c>
      <c r="Y159" s="6" t="s">
        <v>1195</v>
      </c>
      <c r="Z159" s="6" t="s">
        <v>1195</v>
      </c>
      <c r="AA159" s="2">
        <f t="shared" si="25"/>
        <v>43203917.945380859</v>
      </c>
      <c r="AB159" s="2">
        <v>0</v>
      </c>
    </row>
    <row r="160" spans="1:28">
      <c r="A160" s="2">
        <v>157</v>
      </c>
      <c r="B160" s="2" t="s">
        <v>736</v>
      </c>
      <c r="C160" s="2" t="s">
        <v>2318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42926026.21094726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4"/>
        <v>42926026.21094726</v>
      </c>
      <c r="Y160" s="6" t="s">
        <v>1195</v>
      </c>
      <c r="Z160" s="6" t="s">
        <v>1195</v>
      </c>
      <c r="AA160" s="2">
        <f t="shared" si="25"/>
        <v>43203917.945380859</v>
      </c>
      <c r="AB160" s="2">
        <v>0</v>
      </c>
    </row>
    <row r="161" spans="1:28">
      <c r="A161" s="2">
        <v>158</v>
      </c>
      <c r="B161" s="2" t="s">
        <v>738</v>
      </c>
      <c r="C161" s="2" t="s">
        <v>2318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42926026.21094726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4"/>
        <v>42926026.21094726</v>
      </c>
      <c r="Y161" s="6" t="s">
        <v>1195</v>
      </c>
      <c r="Z161" s="6" t="s">
        <v>1195</v>
      </c>
      <c r="AA161" s="2">
        <f t="shared" si="25"/>
        <v>43203917.945380859</v>
      </c>
      <c r="AB161" s="2">
        <v>0</v>
      </c>
    </row>
    <row r="162" spans="1:28">
      <c r="A162" s="2">
        <v>159</v>
      </c>
      <c r="B162" s="2" t="s">
        <v>741</v>
      </c>
      <c r="C162" s="2" t="s">
        <v>2318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42926026.21094726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4"/>
        <v>42926026.21094726</v>
      </c>
      <c r="Y162" s="6" t="s">
        <v>1195</v>
      </c>
      <c r="Z162" s="6" t="s">
        <v>1195</v>
      </c>
      <c r="AA162" s="2">
        <f t="shared" si="25"/>
        <v>43203917.945380859</v>
      </c>
      <c r="AB162" s="2">
        <v>0</v>
      </c>
    </row>
    <row r="163" spans="1:28">
      <c r="A163" s="2">
        <v>160</v>
      </c>
      <c r="B163" s="2" t="s">
        <v>743</v>
      </c>
      <c r="C163" s="2" t="s">
        <v>2318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42926026.21094726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4"/>
        <v>42926026.21094726</v>
      </c>
      <c r="Y163" s="6" t="s">
        <v>1195</v>
      </c>
      <c r="Z163" s="6" t="s">
        <v>1195</v>
      </c>
      <c r="AA163" s="2">
        <f t="shared" si="25"/>
        <v>43203917.945380859</v>
      </c>
      <c r="AB163" s="2">
        <v>0</v>
      </c>
    </row>
    <row r="164" spans="1:28">
      <c r="A164" s="2">
        <v>161</v>
      </c>
      <c r="B164" s="2" t="s">
        <v>746</v>
      </c>
      <c r="C164" s="2" t="s">
        <v>2318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42926026.21094726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4"/>
        <v>42926026.21094726</v>
      </c>
      <c r="Y164" s="6" t="s">
        <v>1195</v>
      </c>
      <c r="Z164" s="6" t="s">
        <v>1195</v>
      </c>
      <c r="AA164" s="2">
        <f t="shared" si="25"/>
        <v>43203917.945380859</v>
      </c>
      <c r="AB164" s="2">
        <v>0</v>
      </c>
    </row>
    <row r="165" spans="1:28">
      <c r="A165" s="2">
        <v>162</v>
      </c>
      <c r="B165" s="2" t="s">
        <v>750</v>
      </c>
      <c r="C165" s="2" t="s">
        <v>2318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2389</v>
      </c>
      <c r="J165" s="2" t="s">
        <v>2390</v>
      </c>
      <c r="K165" s="2">
        <f t="shared" si="21"/>
        <v>42926026.21094726</v>
      </c>
      <c r="L165" s="2" t="s">
        <v>1779</v>
      </c>
      <c r="M165" s="2" t="s">
        <v>1721</v>
      </c>
      <c r="N165" s="2" t="s">
        <v>1801</v>
      </c>
      <c r="O165" s="2">
        <v>1800</v>
      </c>
      <c r="P165" s="2">
        <v>263.57699584960937</v>
      </c>
      <c r="Q165" s="2">
        <v>246.63255310058599</v>
      </c>
      <c r="R165" s="2">
        <f>O165*P165</f>
        <v>474438.59252929687</v>
      </c>
      <c r="S165" s="2">
        <f>O165*Q165</f>
        <v>443938.5955810548</v>
      </c>
      <c r="T165" s="2">
        <f>R165+S165</f>
        <v>918377.18811035168</v>
      </c>
      <c r="U165" s="2">
        <f>ROUND(T165*0.0005, 2)</f>
        <v>459.19</v>
      </c>
      <c r="V165" s="2">
        <f>S165-R165</f>
        <v>-30499.996948242071</v>
      </c>
      <c r="W165" s="2">
        <f>V165-U165</f>
        <v>-30959.18694824207</v>
      </c>
      <c r="X165" s="2">
        <f>K165+W165</f>
        <v>42895067.02399902</v>
      </c>
      <c r="Y165" s="2">
        <f>ROUND(0.2*R165, 2)</f>
        <v>94887.72</v>
      </c>
      <c r="Z165" s="2">
        <f>ROUND((W165/Y165)*100, 2)</f>
        <v>-32.630000000000003</v>
      </c>
      <c r="AA165" s="2">
        <f>MAX(AA164, X165)</f>
        <v>43203917.945380859</v>
      </c>
      <c r="AB165" s="2">
        <f>X165-AA165</f>
        <v>-308850.92138183862</v>
      </c>
    </row>
    <row r="166" spans="1:28">
      <c r="A166" s="2">
        <v>163</v>
      </c>
      <c r="B166" s="2" t="s">
        <v>754</v>
      </c>
      <c r="C166" s="2" t="s">
        <v>2318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42895067.02399902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42895067.02399902</v>
      </c>
      <c r="Y166" s="6" t="s">
        <v>1195</v>
      </c>
      <c r="Z166" s="6" t="s">
        <v>1195</v>
      </c>
      <c r="AA166" s="2">
        <f>AA165</f>
        <v>43203917.945380859</v>
      </c>
      <c r="AB166" s="2">
        <v>0</v>
      </c>
    </row>
    <row r="167" spans="1:28">
      <c r="A167" s="2">
        <v>164</v>
      </c>
      <c r="B167" s="2" t="s">
        <v>758</v>
      </c>
      <c r="C167" s="2" t="s">
        <v>2318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42895067.02399902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42895067.02399902</v>
      </c>
      <c r="Y167" s="6" t="s">
        <v>1195</v>
      </c>
      <c r="Z167" s="6" t="s">
        <v>1195</v>
      </c>
      <c r="AA167" s="2">
        <f>AA166</f>
        <v>43203917.945380859</v>
      </c>
      <c r="AB167" s="2">
        <v>0</v>
      </c>
    </row>
    <row r="168" spans="1:28">
      <c r="A168" s="2">
        <v>165</v>
      </c>
      <c r="B168" s="2" t="s">
        <v>760</v>
      </c>
      <c r="C168" s="2" t="s">
        <v>2318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42895067.02399902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42895067.02399902</v>
      </c>
      <c r="Y168" s="6" t="s">
        <v>1195</v>
      </c>
      <c r="Z168" s="6" t="s">
        <v>1195</v>
      </c>
      <c r="AA168" s="2">
        <f>AA167</f>
        <v>43203917.945380859</v>
      </c>
      <c r="AB168" s="2">
        <v>0</v>
      </c>
    </row>
    <row r="169" spans="1:28">
      <c r="A169" s="2">
        <v>166</v>
      </c>
      <c r="B169" s="2" t="s">
        <v>763</v>
      </c>
      <c r="C169" s="2" t="s">
        <v>2318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42895067.02399902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42895067.02399902</v>
      </c>
      <c r="Y169" s="6" t="s">
        <v>1195</v>
      </c>
      <c r="Z169" s="6" t="s">
        <v>1195</v>
      </c>
      <c r="AA169" s="2">
        <f>AA168</f>
        <v>43203917.945380859</v>
      </c>
      <c r="AB169" s="2">
        <v>0</v>
      </c>
    </row>
    <row r="170" spans="1:28">
      <c r="A170" s="2">
        <v>167</v>
      </c>
      <c r="B170" s="2" t="s">
        <v>764</v>
      </c>
      <c r="C170" s="2" t="s">
        <v>2318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42895067.02399902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42895067.02399902</v>
      </c>
      <c r="Y170" s="6" t="s">
        <v>1195</v>
      </c>
      <c r="Z170" s="6" t="s">
        <v>1195</v>
      </c>
      <c r="AA170" s="2">
        <f>AA169</f>
        <v>43203917.945380859</v>
      </c>
      <c r="AB170" s="2">
        <v>0</v>
      </c>
    </row>
    <row r="171" spans="1:28">
      <c r="A171" s="2">
        <v>168</v>
      </c>
      <c r="B171" s="2" t="s">
        <v>769</v>
      </c>
      <c r="C171" s="2" t="s">
        <v>2318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1811</v>
      </c>
      <c r="J171" s="2" t="s">
        <v>316</v>
      </c>
      <c r="K171" s="2">
        <f t="shared" si="21"/>
        <v>42895067.02399902</v>
      </c>
      <c r="L171" s="2" t="s">
        <v>2391</v>
      </c>
      <c r="M171" s="2" t="s">
        <v>2392</v>
      </c>
      <c r="N171" s="2" t="s">
        <v>2393</v>
      </c>
      <c r="O171" s="2">
        <v>2667</v>
      </c>
      <c r="P171" s="2">
        <v>363.17263793945312</v>
      </c>
      <c r="Q171" s="2">
        <v>362.10964965820312</v>
      </c>
      <c r="R171" s="2">
        <f>O171*P171</f>
        <v>968581.42538452148</v>
      </c>
      <c r="S171" s="2">
        <f>O171*Q171</f>
        <v>965746.43563842773</v>
      </c>
      <c r="T171" s="2">
        <f>R171+S171</f>
        <v>1934327.8610229492</v>
      </c>
      <c r="U171" s="2">
        <f>ROUND(T171*0.0005, 2)</f>
        <v>967.16</v>
      </c>
      <c r="V171" s="2">
        <f>S171-R171</f>
        <v>-2834.98974609375</v>
      </c>
      <c r="W171" s="2">
        <f>V171-U171</f>
        <v>-3802.1497460937499</v>
      </c>
      <c r="X171" s="2">
        <f>K171+W171</f>
        <v>42891264.87425293</v>
      </c>
      <c r="Y171" s="2">
        <f>ROUND(0.2*R171, 2)</f>
        <v>193716.29</v>
      </c>
      <c r="Z171" s="2">
        <f>ROUND((W171/Y171)*100, 2)</f>
        <v>-1.96</v>
      </c>
      <c r="AA171" s="2">
        <f>MAX(AA170, X171)</f>
        <v>43203917.945380859</v>
      </c>
      <c r="AB171" s="2">
        <f>X171-AA171</f>
        <v>-312653.07112792879</v>
      </c>
    </row>
    <row r="172" spans="1:28">
      <c r="A172" s="2">
        <v>169</v>
      </c>
      <c r="B172" s="2" t="s">
        <v>773</v>
      </c>
      <c r="C172" s="2" t="s">
        <v>2318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1839</v>
      </c>
      <c r="J172" s="2" t="s">
        <v>2286</v>
      </c>
      <c r="K172" s="2">
        <f t="shared" si="21"/>
        <v>42891264.87425293</v>
      </c>
      <c r="L172" s="2" t="s">
        <v>1783</v>
      </c>
      <c r="M172" s="2" t="s">
        <v>1585</v>
      </c>
      <c r="N172" s="2" t="s">
        <v>1823</v>
      </c>
      <c r="O172" s="2">
        <v>250</v>
      </c>
      <c r="P172" s="2">
        <v>1430.795776367188</v>
      </c>
      <c r="Q172" s="2">
        <v>1345.35107421875</v>
      </c>
      <c r="R172" s="2">
        <f>O172*P172</f>
        <v>357698.94409179699</v>
      </c>
      <c r="S172" s="2">
        <f>O172*Q172</f>
        <v>336337.7685546875</v>
      </c>
      <c r="T172" s="2">
        <f>R172+S172</f>
        <v>694036.71264648449</v>
      </c>
      <c r="U172" s="2">
        <f>ROUND(T172*0.0005, 2)</f>
        <v>347.02</v>
      </c>
      <c r="V172" s="2">
        <f>S172-R172</f>
        <v>-21361.175537109491</v>
      </c>
      <c r="W172" s="2">
        <f>V172-U172</f>
        <v>-21708.195537109492</v>
      </c>
      <c r="X172" s="2">
        <f>K172+W172</f>
        <v>42869556.678715818</v>
      </c>
      <c r="Y172" s="2">
        <f>ROUND(0.2*R172, 2)</f>
        <v>71539.789999999994</v>
      </c>
      <c r="Z172" s="2">
        <f>ROUND((W172/Y172)*100, 2)</f>
        <v>-30.34</v>
      </c>
      <c r="AA172" s="2">
        <f>MAX(AA171, X172)</f>
        <v>43203917.945380859</v>
      </c>
      <c r="AB172" s="2">
        <f>X172-AA172</f>
        <v>-334361.26666504145</v>
      </c>
    </row>
    <row r="173" spans="1:28">
      <c r="A173" s="2">
        <v>170</v>
      </c>
      <c r="B173" s="2" t="s">
        <v>778</v>
      </c>
      <c r="C173" s="2" t="s">
        <v>2318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42869556.678715818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42869556.678715818</v>
      </c>
      <c r="Y173" s="6" t="s">
        <v>1195</v>
      </c>
      <c r="Z173" s="6" t="s">
        <v>1195</v>
      </c>
      <c r="AA173" s="2">
        <f>AA172</f>
        <v>43203917.945380859</v>
      </c>
      <c r="AB173" s="2">
        <v>0</v>
      </c>
    </row>
    <row r="174" spans="1:28">
      <c r="A174" s="2">
        <v>171</v>
      </c>
      <c r="B174" s="2" t="s">
        <v>782</v>
      </c>
      <c r="C174" s="2" t="s">
        <v>2318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42869556.678715818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42869556.678715818</v>
      </c>
      <c r="Y174" s="6" t="s">
        <v>1195</v>
      </c>
      <c r="Z174" s="6" t="s">
        <v>1195</v>
      </c>
      <c r="AA174" s="2">
        <f>AA173</f>
        <v>43203917.945380859</v>
      </c>
      <c r="AB174" s="2">
        <v>0</v>
      </c>
    </row>
    <row r="175" spans="1:28">
      <c r="A175" s="2">
        <v>172</v>
      </c>
      <c r="B175" s="2" t="s">
        <v>784</v>
      </c>
      <c r="C175" s="2" t="s">
        <v>2318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42869556.678715818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42869556.678715818</v>
      </c>
      <c r="Y175" s="6" t="s">
        <v>1195</v>
      </c>
      <c r="Z175" s="6" t="s">
        <v>1195</v>
      </c>
      <c r="AA175" s="2">
        <f>AA174</f>
        <v>43203917.945380859</v>
      </c>
      <c r="AB175" s="2">
        <v>0</v>
      </c>
    </row>
    <row r="176" spans="1:28">
      <c r="A176" s="2">
        <v>173</v>
      </c>
      <c r="B176" s="2" t="s">
        <v>787</v>
      </c>
      <c r="C176" s="2" t="s">
        <v>2318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42869556.678715818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42869556.678715818</v>
      </c>
      <c r="Y176" s="6" t="s">
        <v>1195</v>
      </c>
      <c r="Z176" s="6" t="s">
        <v>1195</v>
      </c>
      <c r="AA176" s="2">
        <f>AA175</f>
        <v>43203917.945380859</v>
      </c>
      <c r="AB176" s="2">
        <v>0</v>
      </c>
    </row>
    <row r="177" spans="1:28">
      <c r="A177" s="2">
        <v>174</v>
      </c>
      <c r="B177" s="2" t="s">
        <v>790</v>
      </c>
      <c r="C177" s="2" t="s">
        <v>2318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2175</v>
      </c>
      <c r="J177" s="2" t="s">
        <v>636</v>
      </c>
      <c r="K177" s="2">
        <f t="shared" si="21"/>
        <v>42869556.678715818</v>
      </c>
      <c r="L177" s="2" t="s">
        <v>2394</v>
      </c>
      <c r="M177" s="2" t="s">
        <v>2395</v>
      </c>
      <c r="N177" s="2" t="s">
        <v>2363</v>
      </c>
      <c r="O177" s="2">
        <v>375</v>
      </c>
      <c r="P177" s="2">
        <v>1227.24609375</v>
      </c>
      <c r="Q177" s="2">
        <v>1213.672973632812</v>
      </c>
      <c r="R177" s="2">
        <f>O177*P177</f>
        <v>460217.28515625</v>
      </c>
      <c r="S177" s="2">
        <f>O177*Q177</f>
        <v>455127.36511230451</v>
      </c>
      <c r="T177" s="2">
        <f>R177+S177</f>
        <v>915344.65026855445</v>
      </c>
      <c r="U177" s="2">
        <f>ROUND(T177*0.0005, 2)</f>
        <v>457.67</v>
      </c>
      <c r="V177" s="2">
        <f>S177-R177</f>
        <v>-5089.9200439454871</v>
      </c>
      <c r="W177" s="2">
        <f>V177-U177</f>
        <v>-5547.5900439454872</v>
      </c>
      <c r="X177" s="2">
        <f>K177+W177</f>
        <v>42864009.088671871</v>
      </c>
      <c r="Y177" s="2">
        <f>ROUND(0.2*R177, 2)</f>
        <v>92043.46</v>
      </c>
      <c r="Z177" s="2">
        <f>ROUND((W177/Y177)*100, 2)</f>
        <v>-6.03</v>
      </c>
      <c r="AA177" s="2">
        <f>MAX(AA176, X177)</f>
        <v>43203917.945380859</v>
      </c>
      <c r="AB177" s="2">
        <f>X177-AA177</f>
        <v>-339908.85670898855</v>
      </c>
    </row>
    <row r="178" spans="1:28">
      <c r="A178" s="2">
        <v>175</v>
      </c>
      <c r="B178" s="2" t="s">
        <v>794</v>
      </c>
      <c r="C178" s="2" t="s">
        <v>2318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458</v>
      </c>
      <c r="J178" s="2" t="s">
        <v>2242</v>
      </c>
      <c r="K178" s="2">
        <f t="shared" si="21"/>
        <v>42864009.088671871</v>
      </c>
      <c r="L178" s="2" t="s">
        <v>1802</v>
      </c>
      <c r="M178" s="2" t="s">
        <v>1780</v>
      </c>
      <c r="N178" s="2" t="s">
        <v>1824</v>
      </c>
      <c r="O178" s="2">
        <v>1500</v>
      </c>
      <c r="P178" s="2">
        <v>615.26806640625</v>
      </c>
      <c r="Q178" s="2">
        <v>615.83624267578125</v>
      </c>
      <c r="R178" s="2">
        <f>O178*P178</f>
        <v>922902.099609375</v>
      </c>
      <c r="S178" s="2">
        <f>O178*Q178</f>
        <v>923754.36401367187</v>
      </c>
      <c r="T178" s="2">
        <f>R178+S178</f>
        <v>1846656.4636230469</v>
      </c>
      <c r="U178" s="2">
        <f>ROUND(T178*0.0005, 2)</f>
        <v>923.33</v>
      </c>
      <c r="V178" s="2">
        <f>S178-R178</f>
        <v>852.264404296875</v>
      </c>
      <c r="W178" s="2">
        <f>V178-U178</f>
        <v>-71.065595703125041</v>
      </c>
      <c r="X178" s="2">
        <f>K178+W178</f>
        <v>42863938.023076169</v>
      </c>
      <c r="Y178" s="2">
        <f>ROUND(0.2*R178, 2)</f>
        <v>184580.42</v>
      </c>
      <c r="Z178" s="2">
        <f>ROUND((W178/Y178)*100, 2)</f>
        <v>-0.04</v>
      </c>
      <c r="AA178" s="2">
        <f>MAX(AA177, X178)</f>
        <v>43203917.945380859</v>
      </c>
      <c r="AB178" s="2">
        <f>X178-AA178</f>
        <v>-339979.92230468988</v>
      </c>
    </row>
    <row r="179" spans="1:28">
      <c r="A179" s="2">
        <v>176</v>
      </c>
      <c r="B179" s="2" t="s">
        <v>798</v>
      </c>
      <c r="C179" s="2" t="s">
        <v>2318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42863938.023076169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42863938.023076169</v>
      </c>
      <c r="Y179" s="6" t="s">
        <v>1195</v>
      </c>
      <c r="Z179" s="6" t="s">
        <v>1195</v>
      </c>
      <c r="AA179" s="2">
        <f>AA178</f>
        <v>43203917.945380859</v>
      </c>
      <c r="AB179" s="2">
        <v>0</v>
      </c>
    </row>
    <row r="180" spans="1:28">
      <c r="A180" s="2">
        <v>177</v>
      </c>
      <c r="B180" s="2" t="s">
        <v>801</v>
      </c>
      <c r="C180" s="2" t="s">
        <v>2318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785</v>
      </c>
      <c r="J180" s="2" t="s">
        <v>1271</v>
      </c>
      <c r="K180" s="2">
        <f t="shared" si="21"/>
        <v>42863938.023076169</v>
      </c>
      <c r="L180" s="2" t="s">
        <v>1584</v>
      </c>
      <c r="M180" s="2" t="s">
        <v>1808</v>
      </c>
      <c r="N180" s="2" t="s">
        <v>1586</v>
      </c>
      <c r="O180" s="2">
        <v>957</v>
      </c>
      <c r="P180" s="2">
        <v>443.60992431640631</v>
      </c>
      <c r="Q180" s="2">
        <v>461.86532592773437</v>
      </c>
      <c r="R180" s="2">
        <f>O180*P180</f>
        <v>424534.69757080084</v>
      </c>
      <c r="S180" s="2">
        <f>O180*Q180</f>
        <v>442005.1169128418</v>
      </c>
      <c r="T180" s="2">
        <f>R180+S180</f>
        <v>866539.81448364258</v>
      </c>
      <c r="U180" s="2">
        <f>ROUND(T180*0.0005, 2)</f>
        <v>433.27</v>
      </c>
      <c r="V180" s="2">
        <f>S180-R180</f>
        <v>17470.419342040957</v>
      </c>
      <c r="W180" s="2">
        <f>V180-U180</f>
        <v>17037.149342040957</v>
      </c>
      <c r="X180" s="2">
        <f>K180+W180</f>
        <v>42880975.172418207</v>
      </c>
      <c r="Y180" s="2">
        <f>ROUND(0.2*R180, 2)</f>
        <v>84906.94</v>
      </c>
      <c r="Z180" s="2">
        <f>ROUND((W180/Y180)*100, 2)</f>
        <v>20.07</v>
      </c>
      <c r="AA180" s="2">
        <f>MAX(AA179, X180)</f>
        <v>43203917.945380859</v>
      </c>
      <c r="AB180" s="2">
        <f>X180-AA180</f>
        <v>-322942.77296265215</v>
      </c>
    </row>
    <row r="181" spans="1:28">
      <c r="A181" s="2">
        <v>178</v>
      </c>
      <c r="B181" s="2" t="s">
        <v>806</v>
      </c>
      <c r="C181" s="2" t="s">
        <v>2318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42880975.172418207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42880975.172418207</v>
      </c>
      <c r="Y181" s="6" t="s">
        <v>1195</v>
      </c>
      <c r="Z181" s="6" t="s">
        <v>1195</v>
      </c>
      <c r="AA181" s="2">
        <f>AA180</f>
        <v>43203917.945380859</v>
      </c>
      <c r="AB181" s="2">
        <v>0</v>
      </c>
    </row>
    <row r="182" spans="1:28">
      <c r="A182" s="2">
        <v>179</v>
      </c>
      <c r="B182" s="2" t="s">
        <v>809</v>
      </c>
      <c r="C182" s="2" t="s">
        <v>2318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42880975.172418207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42880975.172418207</v>
      </c>
      <c r="Y182" s="6" t="s">
        <v>1195</v>
      </c>
      <c r="Z182" s="6" t="s">
        <v>1195</v>
      </c>
      <c r="AA182" s="2">
        <f>AA181</f>
        <v>43203917.945380859</v>
      </c>
      <c r="AB182" s="2">
        <v>0</v>
      </c>
    </row>
    <row r="183" spans="1:28">
      <c r="A183" s="2">
        <v>180</v>
      </c>
      <c r="B183" s="2" t="s">
        <v>813</v>
      </c>
      <c r="C183" s="2" t="s">
        <v>2318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42880975.172418207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42880975.172418207</v>
      </c>
      <c r="Y183" s="6" t="s">
        <v>1195</v>
      </c>
      <c r="Z183" s="6" t="s">
        <v>1195</v>
      </c>
      <c r="AA183" s="2">
        <f>AA182</f>
        <v>43203917.945380859</v>
      </c>
      <c r="AB183" s="2">
        <v>0</v>
      </c>
    </row>
    <row r="184" spans="1:28">
      <c r="A184" s="2">
        <v>181</v>
      </c>
      <c r="B184" s="2" t="s">
        <v>817</v>
      </c>
      <c r="C184" s="2" t="s">
        <v>2318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42880975.172418207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42880975.172418207</v>
      </c>
      <c r="Y184" s="6" t="s">
        <v>1195</v>
      </c>
      <c r="Z184" s="6" t="s">
        <v>1195</v>
      </c>
      <c r="AA184" s="2">
        <f>AA183</f>
        <v>43203917.945380859</v>
      </c>
      <c r="AB184" s="2">
        <v>0</v>
      </c>
    </row>
    <row r="185" spans="1:28">
      <c r="A185" s="2">
        <v>182</v>
      </c>
      <c r="B185" s="2" t="s">
        <v>820</v>
      </c>
      <c r="C185" s="2" t="s">
        <v>2318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1152</v>
      </c>
      <c r="J185" s="2" t="s">
        <v>2218</v>
      </c>
      <c r="K185" s="2">
        <f t="shared" si="21"/>
        <v>42880975.172418207</v>
      </c>
      <c r="L185" s="2" t="s">
        <v>1572</v>
      </c>
      <c r="M185" s="2" t="s">
        <v>1609</v>
      </c>
      <c r="N185" s="2" t="s">
        <v>1613</v>
      </c>
      <c r="O185" s="2">
        <v>350</v>
      </c>
      <c r="P185" s="2">
        <v>1492.531982421875</v>
      </c>
      <c r="Q185" s="2">
        <v>1447.414794921875</v>
      </c>
      <c r="R185" s="2">
        <f>O185*P185</f>
        <v>522386.19384765625</v>
      </c>
      <c r="S185" s="2">
        <f>O185*Q185</f>
        <v>506595.17822265625</v>
      </c>
      <c r="T185" s="2">
        <f>R185+S185</f>
        <v>1028981.3720703125</v>
      </c>
      <c r="U185" s="2">
        <f>ROUND(T185*0.0005, 2)</f>
        <v>514.49</v>
      </c>
      <c r="V185" s="2">
        <f>S185-R185</f>
        <v>-15791.015625</v>
      </c>
      <c r="W185" s="2">
        <f>V185-U185</f>
        <v>-16305.505625</v>
      </c>
      <c r="X185" s="2">
        <f>K185+W185</f>
        <v>42864669.666793205</v>
      </c>
      <c r="Y185" s="2">
        <f>ROUND(0.2*R185, 2)</f>
        <v>104477.24</v>
      </c>
      <c r="Z185" s="2">
        <f>ROUND((W185/Y185)*100, 2)</f>
        <v>-15.61</v>
      </c>
      <c r="AA185" s="2">
        <f>MAX(AA184, X185)</f>
        <v>43203917.945380859</v>
      </c>
      <c r="AB185" s="2">
        <f>X185-AA185</f>
        <v>-339248.27858765423</v>
      </c>
    </row>
    <row r="186" spans="1:28">
      <c r="A186" s="2">
        <v>183</v>
      </c>
      <c r="B186" s="2" t="s">
        <v>823</v>
      </c>
      <c r="C186" s="2" t="s">
        <v>2318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42864669.666793205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42864669.666793205</v>
      </c>
      <c r="Y186" s="6" t="s">
        <v>1195</v>
      </c>
      <c r="Z186" s="6" t="s">
        <v>1195</v>
      </c>
      <c r="AA186" s="2">
        <f>AA185</f>
        <v>43203917.945380859</v>
      </c>
      <c r="AB186" s="2">
        <v>0</v>
      </c>
    </row>
    <row r="187" spans="1:28">
      <c r="A187" s="2">
        <v>184</v>
      </c>
      <c r="B187" s="2" t="s">
        <v>827</v>
      </c>
      <c r="C187" s="2" t="s">
        <v>2318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42864669.666793205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42864669.666793205</v>
      </c>
      <c r="Y187" s="6" t="s">
        <v>1195</v>
      </c>
      <c r="Z187" s="6" t="s">
        <v>1195</v>
      </c>
      <c r="AA187" s="2">
        <f>AA186</f>
        <v>43203917.945380859</v>
      </c>
      <c r="AB187" s="2">
        <v>0</v>
      </c>
    </row>
    <row r="188" spans="1:28">
      <c r="A188" s="2">
        <v>185</v>
      </c>
      <c r="B188" s="2" t="s">
        <v>831</v>
      </c>
      <c r="C188" s="2" t="s">
        <v>2318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42864669.666793205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42864669.666793205</v>
      </c>
      <c r="Y188" s="6" t="s">
        <v>1195</v>
      </c>
      <c r="Z188" s="6" t="s">
        <v>1195</v>
      </c>
      <c r="AA188" s="2">
        <f>AA187</f>
        <v>43203917.945380859</v>
      </c>
      <c r="AB188" s="2">
        <v>0</v>
      </c>
    </row>
    <row r="189" spans="1:28">
      <c r="A189" s="2">
        <v>186</v>
      </c>
      <c r="B189" s="2" t="s">
        <v>835</v>
      </c>
      <c r="C189" s="2" t="s">
        <v>2318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55</v>
      </c>
      <c r="J189" s="2" t="s">
        <v>2183</v>
      </c>
      <c r="K189" s="2">
        <f t="shared" si="21"/>
        <v>42864669.666793205</v>
      </c>
      <c r="L189" s="2" t="s">
        <v>1778</v>
      </c>
      <c r="M189" s="2" t="s">
        <v>1835</v>
      </c>
      <c r="N189" s="2" t="s">
        <v>1779</v>
      </c>
      <c r="O189" s="2">
        <v>450</v>
      </c>
      <c r="P189" s="2">
        <v>1110.133422851562</v>
      </c>
      <c r="Q189" s="2">
        <v>1124.943725585938</v>
      </c>
      <c r="R189" s="2">
        <f>O189*P189</f>
        <v>499560.04028320289</v>
      </c>
      <c r="S189" s="2">
        <f>O189*Q189</f>
        <v>506224.67651367211</v>
      </c>
      <c r="T189" s="2">
        <f>R189+S189</f>
        <v>1005784.716796875</v>
      </c>
      <c r="U189" s="2">
        <f>ROUND(T189*0.0005, 2)</f>
        <v>502.89</v>
      </c>
      <c r="V189" s="2">
        <f>S189-R189</f>
        <v>6664.6362304692157</v>
      </c>
      <c r="W189" s="2">
        <f>V189-U189</f>
        <v>6161.7462304692153</v>
      </c>
      <c r="X189" s="2">
        <f>K189+W189</f>
        <v>42870831.413023673</v>
      </c>
      <c r="Y189" s="2">
        <f>ROUND(0.2*R189, 2)</f>
        <v>99912.01</v>
      </c>
      <c r="Z189" s="2">
        <f>ROUND((W189/Y189)*100, 2)</f>
        <v>6.17</v>
      </c>
      <c r="AA189" s="2">
        <f>MAX(AA188, X189)</f>
        <v>43203917.945380859</v>
      </c>
      <c r="AB189" s="2">
        <f>X189-AA189</f>
        <v>-333086.53235718608</v>
      </c>
    </row>
    <row r="190" spans="1:28">
      <c r="A190" s="2">
        <v>187</v>
      </c>
      <c r="B190" s="2" t="s">
        <v>840</v>
      </c>
      <c r="C190" s="2" t="s">
        <v>2318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42870831.413023673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42870831.413023673</v>
      </c>
      <c r="Y190" s="6" t="s">
        <v>1195</v>
      </c>
      <c r="Z190" s="6" t="s">
        <v>1195</v>
      </c>
      <c r="AA190" s="2">
        <f>AA189</f>
        <v>43203917.945380859</v>
      </c>
      <c r="AB190" s="2">
        <v>0</v>
      </c>
    </row>
    <row r="191" spans="1:28">
      <c r="A191" s="2">
        <v>188</v>
      </c>
      <c r="B191" s="2" t="s">
        <v>845</v>
      </c>
      <c r="C191" s="2" t="s">
        <v>2318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42870831.413023673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42870831.413023673</v>
      </c>
      <c r="Y191" s="6" t="s">
        <v>1195</v>
      </c>
      <c r="Z191" s="6" t="s">
        <v>1195</v>
      </c>
      <c r="AA191" s="2">
        <f>AA190</f>
        <v>43203917.945380859</v>
      </c>
      <c r="AB191" s="2">
        <v>0</v>
      </c>
    </row>
    <row r="192" spans="1:28">
      <c r="A192" s="2">
        <v>189</v>
      </c>
      <c r="B192" s="2" t="s">
        <v>848</v>
      </c>
      <c r="C192" s="2" t="s">
        <v>2318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42870831.413023673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42870831.413023673</v>
      </c>
      <c r="Y192" s="6" t="s">
        <v>1195</v>
      </c>
      <c r="Z192" s="6" t="s">
        <v>1195</v>
      </c>
      <c r="AA192" s="2">
        <f>AA191</f>
        <v>43203917.945380859</v>
      </c>
      <c r="AB192" s="2">
        <v>0</v>
      </c>
    </row>
    <row r="193" spans="1:28">
      <c r="A193" s="2">
        <v>190</v>
      </c>
      <c r="B193" s="2" t="s">
        <v>851</v>
      </c>
      <c r="C193" s="2" t="s">
        <v>2318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421</v>
      </c>
      <c r="J193" s="2" t="s">
        <v>561</v>
      </c>
      <c r="K193" s="2">
        <f t="shared" si="21"/>
        <v>42870831.413023673</v>
      </c>
      <c r="L193" s="2" t="s">
        <v>1787</v>
      </c>
      <c r="M193" s="2" t="s">
        <v>1808</v>
      </c>
      <c r="N193" s="2" t="s">
        <v>1586</v>
      </c>
      <c r="O193" s="2">
        <v>5500</v>
      </c>
      <c r="P193" s="2">
        <v>126.5172805786133</v>
      </c>
      <c r="Q193" s="2">
        <v>126.98654937744141</v>
      </c>
      <c r="R193" s="2">
        <f>O193*P193</f>
        <v>695845.04318237316</v>
      </c>
      <c r="S193" s="2">
        <f>O193*Q193</f>
        <v>698426.02157592773</v>
      </c>
      <c r="T193" s="2">
        <f>R193+S193</f>
        <v>1394271.0647583008</v>
      </c>
      <c r="U193" s="2">
        <f>ROUND(T193*0.0005, 2)</f>
        <v>697.14</v>
      </c>
      <c r="V193" s="2">
        <f>S193-R193</f>
        <v>2580.9783935545711</v>
      </c>
      <c r="W193" s="2">
        <f>V193-U193</f>
        <v>1883.8383935545712</v>
      </c>
      <c r="X193" s="2">
        <f>K193+W193</f>
        <v>42872715.251417227</v>
      </c>
      <c r="Y193" s="2">
        <f>ROUND(0.2*R193, 2)</f>
        <v>139169.01</v>
      </c>
      <c r="Z193" s="2">
        <f>ROUND((W193/Y193)*100, 2)</f>
        <v>1.35</v>
      </c>
      <c r="AA193" s="2">
        <f>MAX(AA192, X193)</f>
        <v>43203917.945380859</v>
      </c>
      <c r="AB193" s="2">
        <f>X193-AA193</f>
        <v>-331202.69396363199</v>
      </c>
    </row>
    <row r="194" spans="1:28">
      <c r="A194" s="2">
        <v>191</v>
      </c>
      <c r="B194" s="2" t="s">
        <v>854</v>
      </c>
      <c r="C194" s="2" t="s">
        <v>2318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2396</v>
      </c>
      <c r="J194" s="2" t="s">
        <v>2397</v>
      </c>
      <c r="K194" s="2">
        <f t="shared" si="21"/>
        <v>42872715.251417227</v>
      </c>
      <c r="L194" s="2" t="s">
        <v>2356</v>
      </c>
      <c r="M194" s="2" t="s">
        <v>1740</v>
      </c>
      <c r="N194" s="2" t="s">
        <v>1848</v>
      </c>
      <c r="O194" s="2">
        <v>175</v>
      </c>
      <c r="P194" s="2">
        <v>3587.0595703125</v>
      </c>
      <c r="Q194" s="2">
        <v>3379.855712890625</v>
      </c>
      <c r="R194" s="2">
        <f>O194*P194</f>
        <v>627735.4248046875</v>
      </c>
      <c r="S194" s="2">
        <f>O194*Q194</f>
        <v>591474.74975585938</v>
      </c>
      <c r="T194" s="2">
        <f>R194+S194</f>
        <v>1219210.1745605469</v>
      </c>
      <c r="U194" s="2">
        <f>ROUND(T194*0.0005, 2)</f>
        <v>609.61</v>
      </c>
      <c r="V194" s="2">
        <f>S194-R194</f>
        <v>-36260.675048828125</v>
      </c>
      <c r="W194" s="2">
        <f>V194-U194</f>
        <v>-36870.285048828126</v>
      </c>
      <c r="X194" s="2">
        <f>K194+W194</f>
        <v>42835844.9663684</v>
      </c>
      <c r="Y194" s="2">
        <f>ROUND(0.2*R194, 2)</f>
        <v>125547.08</v>
      </c>
      <c r="Z194" s="2">
        <f>ROUND((W194/Y194)*100, 2)</f>
        <v>-29.37</v>
      </c>
      <c r="AA194" s="2">
        <f>MAX(AA193, X194)</f>
        <v>43203917.945380859</v>
      </c>
      <c r="AB194" s="2">
        <f>X194-AA194</f>
        <v>-368072.97901245952</v>
      </c>
    </row>
    <row r="195" spans="1:28">
      <c r="A195" s="2">
        <v>192</v>
      </c>
      <c r="B195" s="2" t="s">
        <v>860</v>
      </c>
      <c r="C195" s="2" t="s">
        <v>2318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158</v>
      </c>
      <c r="J195" s="2" t="s">
        <v>1432</v>
      </c>
      <c r="K195" s="2">
        <f t="shared" si="21"/>
        <v>42835844.9663684</v>
      </c>
      <c r="L195" s="2" t="s">
        <v>1799</v>
      </c>
      <c r="M195" s="2" t="s">
        <v>1808</v>
      </c>
      <c r="N195" s="2" t="s">
        <v>1584</v>
      </c>
      <c r="O195" s="2">
        <v>600</v>
      </c>
      <c r="P195" s="2">
        <v>1209.802001953125</v>
      </c>
      <c r="Q195" s="2">
        <v>1259.714965820312</v>
      </c>
      <c r="R195" s="2">
        <f>O195*P195</f>
        <v>725881.201171875</v>
      </c>
      <c r="S195" s="2">
        <f>O195*Q195</f>
        <v>755828.97949218727</v>
      </c>
      <c r="T195" s="2">
        <f>R195+S195</f>
        <v>1481710.1806640623</v>
      </c>
      <c r="U195" s="2">
        <f>ROUND(T195*0.0005, 2)</f>
        <v>740.86</v>
      </c>
      <c r="V195" s="2">
        <f>S195-R195</f>
        <v>29947.778320312267</v>
      </c>
      <c r="W195" s="2">
        <f>V195-U195</f>
        <v>29206.918320312267</v>
      </c>
      <c r="X195" s="2">
        <f>K195+W195</f>
        <v>42865051.884688713</v>
      </c>
      <c r="Y195" s="2">
        <f>ROUND(0.2*R195, 2)</f>
        <v>145176.24</v>
      </c>
      <c r="Z195" s="2">
        <f>ROUND((W195/Y195)*100, 2)</f>
        <v>20.12</v>
      </c>
      <c r="AA195" s="2">
        <f>MAX(AA194, X195)</f>
        <v>43203917.945380859</v>
      </c>
      <c r="AB195" s="2">
        <f>X195-AA195</f>
        <v>-338866.06069214642</v>
      </c>
    </row>
    <row r="196" spans="1:28">
      <c r="A196" s="2">
        <v>193</v>
      </c>
      <c r="B196" s="2" t="s">
        <v>865</v>
      </c>
      <c r="C196" s="2" t="s">
        <v>2318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42865051.884688713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42865051.884688713</v>
      </c>
      <c r="Y196" s="6" t="s">
        <v>1195</v>
      </c>
      <c r="Z196" s="6" t="s">
        <v>1195</v>
      </c>
      <c r="AA196" s="2">
        <f>AA195</f>
        <v>43203917.945380859</v>
      </c>
      <c r="AB196" s="2">
        <v>0</v>
      </c>
    </row>
    <row r="197" spans="1:28">
      <c r="A197" s="2">
        <v>194</v>
      </c>
      <c r="B197" s="2" t="s">
        <v>868</v>
      </c>
      <c r="C197" s="2" t="s">
        <v>2318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138</v>
      </c>
      <c r="J197" s="2" t="s">
        <v>1503</v>
      </c>
      <c r="K197" s="2">
        <f t="shared" ref="K197:K214" si="26">X196</f>
        <v>42865051.884688713</v>
      </c>
      <c r="L197" s="2" t="s">
        <v>1808</v>
      </c>
      <c r="M197" s="2" t="s">
        <v>1778</v>
      </c>
      <c r="N197" s="2" t="s">
        <v>1802</v>
      </c>
      <c r="O197" s="2">
        <v>175</v>
      </c>
      <c r="P197" s="2">
        <v>3518.2978515625</v>
      </c>
      <c r="Q197" s="2">
        <v>3592.98095703125</v>
      </c>
      <c r="R197" s="2">
        <f>O197*P197</f>
        <v>615702.1240234375</v>
      </c>
      <c r="S197" s="2">
        <f>O197*Q197</f>
        <v>628771.66748046875</v>
      </c>
      <c r="T197" s="2">
        <f>R197+S197</f>
        <v>1244473.7915039062</v>
      </c>
      <c r="U197" s="2">
        <f>ROUND(T197*0.0005, 2)</f>
        <v>622.24</v>
      </c>
      <c r="V197" s="2">
        <f>S197-R197</f>
        <v>13069.54345703125</v>
      </c>
      <c r="W197" s="2">
        <f>V197-U197</f>
        <v>12447.30345703125</v>
      </c>
      <c r="X197" s="2">
        <f>K197+W197</f>
        <v>42877499.188145742</v>
      </c>
      <c r="Y197" s="2">
        <f>ROUND(0.2*R197, 2)</f>
        <v>123140.42</v>
      </c>
      <c r="Z197" s="2">
        <f>ROUND((W197/Y197)*100, 2)</f>
        <v>10.11</v>
      </c>
      <c r="AA197" s="2">
        <f>MAX(AA196, X197)</f>
        <v>43203917.945380859</v>
      </c>
      <c r="AB197" s="2">
        <f>X197-AA197</f>
        <v>-326418.75723511726</v>
      </c>
    </row>
    <row r="198" spans="1:28">
      <c r="A198" s="2">
        <v>195</v>
      </c>
      <c r="B198" s="2" t="s">
        <v>873</v>
      </c>
      <c r="C198" s="2" t="s">
        <v>2318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6" t="s">
        <v>1195</v>
      </c>
      <c r="I198" s="6" t="s">
        <v>1195</v>
      </c>
      <c r="J198" s="6" t="s">
        <v>1195</v>
      </c>
      <c r="K198" s="2">
        <f t="shared" si="26"/>
        <v>42877499.188145742</v>
      </c>
      <c r="L198" s="6" t="s">
        <v>1195</v>
      </c>
      <c r="M198" s="6" t="s">
        <v>1195</v>
      </c>
      <c r="N198" s="6" t="s">
        <v>1195</v>
      </c>
      <c r="O198" s="2">
        <v>3054</v>
      </c>
      <c r="P198" s="6" t="s">
        <v>1195</v>
      </c>
      <c r="Q198" s="6" t="s">
        <v>1195</v>
      </c>
      <c r="R198" s="6" t="s">
        <v>1195</v>
      </c>
      <c r="S198" s="6" t="s">
        <v>1195</v>
      </c>
      <c r="T198" s="6" t="s">
        <v>1195</v>
      </c>
      <c r="U198" s="6" t="s">
        <v>1195</v>
      </c>
      <c r="V198" s="6" t="s">
        <v>1195</v>
      </c>
      <c r="W198" s="6" t="s">
        <v>1195</v>
      </c>
      <c r="X198" s="2">
        <f>K198</f>
        <v>42877499.188145742</v>
      </c>
      <c r="Y198" s="6" t="s">
        <v>1195</v>
      </c>
      <c r="Z198" s="6" t="s">
        <v>1195</v>
      </c>
      <c r="AA198" s="2">
        <f>AA197</f>
        <v>43203917.945380859</v>
      </c>
      <c r="AB198" s="2">
        <v>0</v>
      </c>
    </row>
    <row r="199" spans="1:28">
      <c r="A199" s="2">
        <v>196</v>
      </c>
      <c r="B199" s="2" t="s">
        <v>878</v>
      </c>
      <c r="C199" s="2" t="s">
        <v>2318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6"/>
        <v>42877499.188145742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42877499.188145742</v>
      </c>
      <c r="Y199" s="6" t="s">
        <v>1195</v>
      </c>
      <c r="Z199" s="6" t="s">
        <v>1195</v>
      </c>
      <c r="AA199" s="2">
        <f>AA198</f>
        <v>43203917.945380859</v>
      </c>
      <c r="AB199" s="2">
        <v>0</v>
      </c>
    </row>
    <row r="200" spans="1:28">
      <c r="A200" s="2">
        <v>197</v>
      </c>
      <c r="B200" s="2" t="s">
        <v>881</v>
      </c>
      <c r="C200" s="2" t="s">
        <v>2318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2398</v>
      </c>
      <c r="J200" s="2" t="s">
        <v>1624</v>
      </c>
      <c r="K200" s="2">
        <f t="shared" si="26"/>
        <v>42877499.188145742</v>
      </c>
      <c r="L200" s="2" t="s">
        <v>1780</v>
      </c>
      <c r="M200" s="2" t="s">
        <v>1835</v>
      </c>
      <c r="N200" s="2" t="s">
        <v>1779</v>
      </c>
      <c r="O200" s="2">
        <v>345</v>
      </c>
      <c r="P200" s="2">
        <v>3027.388671875</v>
      </c>
      <c r="Q200" s="2">
        <v>3911.166748046875</v>
      </c>
      <c r="R200" s="2">
        <f>O200*P200</f>
        <v>1044449.091796875</v>
      </c>
      <c r="S200" s="2">
        <f>O200*Q200</f>
        <v>1349352.5280761719</v>
      </c>
      <c r="T200" s="2">
        <f>R200+S200</f>
        <v>2393801.6198730469</v>
      </c>
      <c r="U200" s="2">
        <f>ROUND(T200*0.0005, 2)</f>
        <v>1196.9000000000001</v>
      </c>
      <c r="V200" s="2">
        <f>S200-R200</f>
        <v>304903.43627929687</v>
      </c>
      <c r="W200" s="2">
        <f>V200-U200</f>
        <v>303706.53627929685</v>
      </c>
      <c r="X200" s="2">
        <f>K200+W200</f>
        <v>43181205.72442504</v>
      </c>
      <c r="Y200" s="2">
        <f>ROUND(0.2*R200, 2)</f>
        <v>208889.82</v>
      </c>
      <c r="Z200" s="2">
        <f>ROUND((W200/Y200)*100, 2)</f>
        <v>145.38999999999999</v>
      </c>
      <c r="AA200" s="2">
        <f>MAX(AA199, X200)</f>
        <v>43203917.945380859</v>
      </c>
      <c r="AB200" s="2">
        <f>X200-AA200</f>
        <v>-22712.220955818892</v>
      </c>
    </row>
    <row r="201" spans="1:28">
      <c r="A201" s="2">
        <v>198</v>
      </c>
      <c r="B201" s="2" t="s">
        <v>886</v>
      </c>
      <c r="C201" s="2" t="s">
        <v>2318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6"/>
        <v>43181205.72442504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43181205.72442504</v>
      </c>
      <c r="Y201" s="6" t="s">
        <v>1195</v>
      </c>
      <c r="Z201" s="6" t="s">
        <v>1195</v>
      </c>
      <c r="AA201" s="2">
        <f>AA200</f>
        <v>43203917.945380859</v>
      </c>
      <c r="AB201" s="2">
        <v>0</v>
      </c>
    </row>
    <row r="202" spans="1:28">
      <c r="A202" s="2">
        <v>199</v>
      </c>
      <c r="B202" s="2" t="s">
        <v>890</v>
      </c>
      <c r="C202" s="2" t="s">
        <v>2318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1145</v>
      </c>
      <c r="J202" s="2" t="s">
        <v>2271</v>
      </c>
      <c r="K202" s="2">
        <f t="shared" si="26"/>
        <v>43181205.72442504</v>
      </c>
      <c r="L202" s="2" t="s">
        <v>1621</v>
      </c>
      <c r="M202" s="2" t="s">
        <v>1543</v>
      </c>
      <c r="N202" s="2" t="s">
        <v>1298</v>
      </c>
      <c r="O202" s="2">
        <v>100</v>
      </c>
      <c r="P202" s="2">
        <v>9564.69140625</v>
      </c>
      <c r="Q202" s="2">
        <v>9417.650390625</v>
      </c>
      <c r="R202" s="2">
        <f>O202*P202</f>
        <v>956469.140625</v>
      </c>
      <c r="S202" s="2">
        <f>O202*Q202</f>
        <v>941765.0390625</v>
      </c>
      <c r="T202" s="2">
        <f>R202+S202</f>
        <v>1898234.1796875</v>
      </c>
      <c r="U202" s="2">
        <f>ROUND(T202*0.0005, 2)</f>
        <v>949.12</v>
      </c>
      <c r="V202" s="2">
        <f>S202-R202</f>
        <v>-14704.1015625</v>
      </c>
      <c r="W202" s="2">
        <f>V202-U202</f>
        <v>-15653.221562500001</v>
      </c>
      <c r="X202" s="2">
        <f>K202+W202</f>
        <v>43165552.502862543</v>
      </c>
      <c r="Y202" s="2">
        <f>ROUND(0.2*R202, 2)</f>
        <v>191293.83</v>
      </c>
      <c r="Z202" s="2">
        <f>ROUND((W202/Y202)*100, 2)</f>
        <v>-8.18</v>
      </c>
      <c r="AA202" s="2">
        <f>MAX(AA201, X202)</f>
        <v>43203917.945380859</v>
      </c>
      <c r="AB202" s="2">
        <f>X202-AA202</f>
        <v>-38365.442518316209</v>
      </c>
    </row>
    <row r="203" spans="1:28">
      <c r="A203" s="2">
        <v>200</v>
      </c>
      <c r="B203" s="2" t="s">
        <v>894</v>
      </c>
      <c r="C203" s="2" t="s">
        <v>2318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6"/>
        <v>43165552.502862543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7">K203</f>
        <v>43165552.502862543</v>
      </c>
      <c r="Y203" s="6" t="s">
        <v>1195</v>
      </c>
      <c r="Z203" s="6" t="s">
        <v>1195</v>
      </c>
      <c r="AA203" s="2">
        <f t="shared" ref="AA203:AA211" si="28">AA202</f>
        <v>43203917.945380859</v>
      </c>
      <c r="AB203" s="2">
        <v>0</v>
      </c>
    </row>
    <row r="204" spans="1:28">
      <c r="A204" s="2">
        <v>201</v>
      </c>
      <c r="B204" s="2" t="s">
        <v>897</v>
      </c>
      <c r="C204" s="2" t="s">
        <v>2318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6"/>
        <v>43165552.502862543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7"/>
        <v>43165552.502862543</v>
      </c>
      <c r="Y204" s="6" t="s">
        <v>1195</v>
      </c>
      <c r="Z204" s="6" t="s">
        <v>1195</v>
      </c>
      <c r="AA204" s="2">
        <f t="shared" si="28"/>
        <v>43203917.945380859</v>
      </c>
      <c r="AB204" s="2">
        <v>0</v>
      </c>
    </row>
    <row r="205" spans="1:28">
      <c r="A205" s="2">
        <v>202</v>
      </c>
      <c r="B205" s="2" t="s">
        <v>899</v>
      </c>
      <c r="C205" s="2" t="s">
        <v>2318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6"/>
        <v>43165552.502862543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7"/>
        <v>43165552.502862543</v>
      </c>
      <c r="Y205" s="6" t="s">
        <v>1195</v>
      </c>
      <c r="Z205" s="6" t="s">
        <v>1195</v>
      </c>
      <c r="AA205" s="2">
        <f t="shared" si="28"/>
        <v>43203917.945380859</v>
      </c>
      <c r="AB205" s="2">
        <v>0</v>
      </c>
    </row>
    <row r="206" spans="1:28">
      <c r="A206" s="2">
        <v>203</v>
      </c>
      <c r="B206" s="2" t="s">
        <v>902</v>
      </c>
      <c r="C206" s="2" t="s">
        <v>2318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6"/>
        <v>43165552.502862543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7"/>
        <v>43165552.502862543</v>
      </c>
      <c r="Y206" s="6" t="s">
        <v>1195</v>
      </c>
      <c r="Z206" s="6" t="s">
        <v>1195</v>
      </c>
      <c r="AA206" s="2">
        <f t="shared" si="28"/>
        <v>43203917.945380859</v>
      </c>
      <c r="AB206" s="2">
        <v>0</v>
      </c>
    </row>
    <row r="207" spans="1:28">
      <c r="A207" s="2">
        <v>204</v>
      </c>
      <c r="B207" s="2" t="s">
        <v>906</v>
      </c>
      <c r="C207" s="2" t="s">
        <v>2318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6"/>
        <v>43165552.502862543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7"/>
        <v>43165552.502862543</v>
      </c>
      <c r="Y207" s="6" t="s">
        <v>1195</v>
      </c>
      <c r="Z207" s="6" t="s">
        <v>1195</v>
      </c>
      <c r="AA207" s="2">
        <f t="shared" si="28"/>
        <v>43203917.945380859</v>
      </c>
      <c r="AB207" s="2">
        <v>0</v>
      </c>
    </row>
    <row r="208" spans="1:28">
      <c r="A208" s="2">
        <v>205</v>
      </c>
      <c r="B208" s="2" t="s">
        <v>910</v>
      </c>
      <c r="C208" s="2" t="s">
        <v>2318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6"/>
        <v>43165552.502862543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7"/>
        <v>43165552.502862543</v>
      </c>
      <c r="Y208" s="6" t="s">
        <v>1195</v>
      </c>
      <c r="Z208" s="6" t="s">
        <v>1195</v>
      </c>
      <c r="AA208" s="2">
        <f t="shared" si="28"/>
        <v>43203917.945380859</v>
      </c>
      <c r="AB208" s="2">
        <v>0</v>
      </c>
    </row>
    <row r="209" spans="1:28">
      <c r="A209" s="2">
        <v>206</v>
      </c>
      <c r="B209" s="2" t="s">
        <v>913</v>
      </c>
      <c r="C209" s="2" t="s">
        <v>2318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6"/>
        <v>43165552.502862543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7"/>
        <v>43165552.502862543</v>
      </c>
      <c r="Y209" s="6" t="s">
        <v>1195</v>
      </c>
      <c r="Z209" s="6" t="s">
        <v>1195</v>
      </c>
      <c r="AA209" s="2">
        <f t="shared" si="28"/>
        <v>43203917.945380859</v>
      </c>
      <c r="AB209" s="2">
        <v>0</v>
      </c>
    </row>
    <row r="210" spans="1:28">
      <c r="A210" s="2">
        <v>207</v>
      </c>
      <c r="B210" s="2" t="s">
        <v>915</v>
      </c>
      <c r="C210" s="2" t="s">
        <v>2318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6"/>
        <v>43165552.502862543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7"/>
        <v>43165552.502862543</v>
      </c>
      <c r="Y210" s="6" t="s">
        <v>1195</v>
      </c>
      <c r="Z210" s="6" t="s">
        <v>1195</v>
      </c>
      <c r="AA210" s="2">
        <f t="shared" si="28"/>
        <v>43203917.945380859</v>
      </c>
      <c r="AB210" s="2">
        <v>0</v>
      </c>
    </row>
    <row r="211" spans="1:28">
      <c r="A211" s="2">
        <v>208</v>
      </c>
      <c r="B211" s="2" t="s">
        <v>918</v>
      </c>
      <c r="C211" s="2" t="s">
        <v>2318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6"/>
        <v>43165552.502862543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7"/>
        <v>43165552.502862543</v>
      </c>
      <c r="Y211" s="6" t="s">
        <v>1195</v>
      </c>
      <c r="Z211" s="6" t="s">
        <v>1195</v>
      </c>
      <c r="AA211" s="2">
        <f t="shared" si="28"/>
        <v>43203917.945380859</v>
      </c>
      <c r="AB211" s="2">
        <v>0</v>
      </c>
    </row>
    <row r="212" spans="1:28">
      <c r="A212" s="2">
        <v>209</v>
      </c>
      <c r="B212" s="2" t="s">
        <v>922</v>
      </c>
      <c r="C212" s="2" t="s">
        <v>2318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923</v>
      </c>
      <c r="J212" s="2" t="s">
        <v>924</v>
      </c>
      <c r="K212" s="2">
        <f t="shared" si="26"/>
        <v>43165552.502862543</v>
      </c>
      <c r="L212" s="2" t="s">
        <v>1867</v>
      </c>
      <c r="M212" s="2" t="s">
        <v>1842</v>
      </c>
      <c r="N212" s="2" t="s">
        <v>1787</v>
      </c>
      <c r="O212" s="2">
        <v>1500</v>
      </c>
      <c r="P212" s="2">
        <v>213.55311584472659</v>
      </c>
      <c r="Q212" s="2">
        <v>225.7367858886719</v>
      </c>
      <c r="R212" s="2">
        <f>O212*P212</f>
        <v>320329.6737670899</v>
      </c>
      <c r="S212" s="2">
        <f>O212*Q212</f>
        <v>338605.17883300787</v>
      </c>
      <c r="T212" s="2">
        <f>R212+S212</f>
        <v>658934.85260009777</v>
      </c>
      <c r="U212" s="2">
        <f>ROUND(T212*0.0005, 2)</f>
        <v>329.47</v>
      </c>
      <c r="V212" s="2">
        <f>S212-R212</f>
        <v>18275.505065917969</v>
      </c>
      <c r="W212" s="2">
        <f>V212-U212</f>
        <v>17946.035065917968</v>
      </c>
      <c r="X212" s="2">
        <f>K212+W212</f>
        <v>43183498.537928462</v>
      </c>
      <c r="Y212" s="2">
        <f>ROUND(0.2*R212, 2)</f>
        <v>64065.93</v>
      </c>
      <c r="Z212" s="2">
        <f>ROUND((W212/Y212)*100, 2)</f>
        <v>28.01</v>
      </c>
      <c r="AA212" s="2">
        <f>MAX(AA211, X212)</f>
        <v>43203917.945380859</v>
      </c>
      <c r="AB212" s="2">
        <f>X212-AA212</f>
        <v>-20419.407452397048</v>
      </c>
    </row>
    <row r="213" spans="1:28">
      <c r="A213" s="2">
        <v>210</v>
      </c>
      <c r="B213" s="2" t="s">
        <v>925</v>
      </c>
      <c r="C213" s="2" t="s">
        <v>2318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6"/>
        <v>43183498.537928462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43183498.537928462</v>
      </c>
      <c r="Y213" s="6" t="s">
        <v>1195</v>
      </c>
      <c r="Z213" s="6" t="s">
        <v>1195</v>
      </c>
      <c r="AA213" s="2">
        <f>AA212</f>
        <v>43203917.945380859</v>
      </c>
      <c r="AB213" s="2">
        <v>0</v>
      </c>
    </row>
    <row r="214" spans="1:28">
      <c r="A214" s="2">
        <v>211</v>
      </c>
      <c r="B214" s="2" t="s">
        <v>928</v>
      </c>
      <c r="C214" s="2" t="s">
        <v>2318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6"/>
        <v>43183498.537928462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43183498.537928462</v>
      </c>
      <c r="Y214" s="6" t="s">
        <v>1195</v>
      </c>
      <c r="Z214" s="6" t="s">
        <v>1195</v>
      </c>
      <c r="AA214" s="2">
        <f>AA213</f>
        <v>43203917.945380859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2399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2400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628</v>
      </c>
      <c r="J4" s="2" t="s">
        <v>2267</v>
      </c>
      <c r="K4" s="2">
        <v>42511150.109999999</v>
      </c>
      <c r="L4" s="2" t="s">
        <v>2401</v>
      </c>
      <c r="M4" s="2" t="s">
        <v>2402</v>
      </c>
      <c r="N4" s="2" t="s">
        <v>2403</v>
      </c>
      <c r="O4" s="2">
        <v>874</v>
      </c>
      <c r="P4" s="2">
        <v>1133.122192382812</v>
      </c>
      <c r="Q4" s="2">
        <v>1121.688598632812</v>
      </c>
      <c r="R4" s="2">
        <f t="shared" ref="R4:R17" si="0">O4*P4</f>
        <v>990348.79614257778</v>
      </c>
      <c r="S4" s="2">
        <f t="shared" ref="S4:S17" si="1">O4*Q4</f>
        <v>980355.83520507778</v>
      </c>
      <c r="T4" s="2">
        <f t="shared" ref="T4:T17" si="2">R4+S4</f>
        <v>1970704.6313476556</v>
      </c>
      <c r="U4" s="2">
        <f t="shared" ref="U4:U17" si="3">ROUND(T4*0.0005, 2)</f>
        <v>985.35</v>
      </c>
      <c r="V4" s="2">
        <f t="shared" ref="V4:V17" si="4">S4-R4</f>
        <v>-9992.9609375</v>
      </c>
      <c r="W4" s="2">
        <f t="shared" ref="W4:W17" si="5">V4-U4</f>
        <v>-10978.3109375</v>
      </c>
      <c r="X4" s="2">
        <f t="shared" ref="X4:X17" si="6">K4+W4</f>
        <v>42500171.799062498</v>
      </c>
      <c r="Y4" s="2">
        <f t="shared" ref="Y4:Y17" si="7">ROUND(0.2*R4, 2)</f>
        <v>198069.76000000001</v>
      </c>
      <c r="Z4" s="2">
        <f t="shared" ref="Z4:Z17" si="8">ROUND((W4/Y4)*100, 2)</f>
        <v>-5.54</v>
      </c>
      <c r="AA4" s="2">
        <f>MAX(42511150.11, X4)</f>
        <v>42511150.109999999</v>
      </c>
      <c r="AB4" s="2">
        <f t="shared" ref="AB4:AB17" si="9">X4-AA4</f>
        <v>-10978.31093750149</v>
      </c>
    </row>
    <row r="5" spans="1:29">
      <c r="A5" s="2">
        <v>2</v>
      </c>
      <c r="B5" s="2" t="s">
        <v>46</v>
      </c>
      <c r="C5" s="2" t="s">
        <v>2400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2404</v>
      </c>
      <c r="J5" s="2" t="s">
        <v>2405</v>
      </c>
      <c r="K5" s="2">
        <f t="shared" ref="K5:K68" si="10">X4</f>
        <v>42500171.799062498</v>
      </c>
      <c r="L5" s="2" t="s">
        <v>1635</v>
      </c>
      <c r="M5" s="2" t="s">
        <v>2054</v>
      </c>
      <c r="N5" s="2" t="s">
        <v>2041</v>
      </c>
      <c r="O5" s="2">
        <v>137</v>
      </c>
      <c r="P5" s="2">
        <v>4688.3251953125</v>
      </c>
      <c r="Q5" s="2">
        <v>5801.77099609375</v>
      </c>
      <c r="R5" s="2">
        <f t="shared" si="0"/>
        <v>642300.5517578125</v>
      </c>
      <c r="S5" s="2">
        <f t="shared" si="1"/>
        <v>794842.62646484375</v>
      </c>
      <c r="T5" s="2">
        <f t="shared" si="2"/>
        <v>1437143.1782226562</v>
      </c>
      <c r="U5" s="2">
        <f t="shared" si="3"/>
        <v>718.57</v>
      </c>
      <c r="V5" s="2">
        <f t="shared" si="4"/>
        <v>152542.07470703125</v>
      </c>
      <c r="W5" s="2">
        <f t="shared" si="5"/>
        <v>151823.50470703124</v>
      </c>
      <c r="X5" s="2">
        <f t="shared" si="6"/>
        <v>42651995.303769529</v>
      </c>
      <c r="Y5" s="2">
        <f t="shared" si="7"/>
        <v>128460.11</v>
      </c>
      <c r="Z5" s="2">
        <f t="shared" si="8"/>
        <v>118.19</v>
      </c>
      <c r="AA5" s="2">
        <f t="shared" ref="AA5:AA17" si="11">MAX(AA4, X5)</f>
        <v>42651995.303769529</v>
      </c>
      <c r="AB5" s="2">
        <f t="shared" si="9"/>
        <v>0</v>
      </c>
    </row>
    <row r="6" spans="1:29">
      <c r="A6" s="2">
        <v>3</v>
      </c>
      <c r="B6" s="2" t="s">
        <v>52</v>
      </c>
      <c r="C6" s="2" t="s">
        <v>2400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2320</v>
      </c>
      <c r="J6" s="2" t="s">
        <v>1976</v>
      </c>
      <c r="K6" s="2">
        <f t="shared" si="10"/>
        <v>42651995.303769529</v>
      </c>
      <c r="L6" s="2" t="s">
        <v>2073</v>
      </c>
      <c r="M6" s="2" t="s">
        <v>2087</v>
      </c>
      <c r="N6" s="2" t="s">
        <v>1062</v>
      </c>
      <c r="O6" s="2">
        <v>2537</v>
      </c>
      <c r="P6" s="2">
        <v>305.75</v>
      </c>
      <c r="Q6" s="2">
        <v>334.54998779296881</v>
      </c>
      <c r="R6" s="2">
        <f t="shared" si="0"/>
        <v>775687.75</v>
      </c>
      <c r="S6" s="2">
        <f t="shared" si="1"/>
        <v>848753.31903076184</v>
      </c>
      <c r="T6" s="2">
        <f t="shared" si="2"/>
        <v>1624441.0690307617</v>
      </c>
      <c r="U6" s="2">
        <f t="shared" si="3"/>
        <v>812.22</v>
      </c>
      <c r="V6" s="2">
        <f t="shared" si="4"/>
        <v>73065.569030761835</v>
      </c>
      <c r="W6" s="2">
        <f t="shared" si="5"/>
        <v>72253.349030761834</v>
      </c>
      <c r="X6" s="2">
        <f t="shared" si="6"/>
        <v>42724248.652800292</v>
      </c>
      <c r="Y6" s="2">
        <f t="shared" si="7"/>
        <v>155137.54999999999</v>
      </c>
      <c r="Z6" s="2">
        <f t="shared" si="8"/>
        <v>46.57</v>
      </c>
      <c r="AA6" s="2">
        <f t="shared" si="11"/>
        <v>42724248.652800292</v>
      </c>
      <c r="AB6" s="2">
        <f t="shared" si="9"/>
        <v>0</v>
      </c>
    </row>
    <row r="7" spans="1:29">
      <c r="A7" s="2">
        <v>4</v>
      </c>
      <c r="B7" s="2" t="s">
        <v>60</v>
      </c>
      <c r="C7" s="2" t="s">
        <v>2400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2406</v>
      </c>
      <c r="J7" s="2" t="s">
        <v>2407</v>
      </c>
      <c r="K7" s="2">
        <f t="shared" si="10"/>
        <v>42724248.652800292</v>
      </c>
      <c r="L7" s="2" t="s">
        <v>2103</v>
      </c>
      <c r="M7" s="2" t="s">
        <v>1635</v>
      </c>
      <c r="N7" s="2" t="s">
        <v>2091</v>
      </c>
      <c r="O7" s="2">
        <v>602</v>
      </c>
      <c r="P7" s="2">
        <v>849.0999755859375</v>
      </c>
      <c r="Q7" s="2">
        <v>924.79998779296875</v>
      </c>
      <c r="R7" s="2">
        <f t="shared" si="0"/>
        <v>511158.18530273437</v>
      </c>
      <c r="S7" s="2">
        <f t="shared" si="1"/>
        <v>556729.59265136719</v>
      </c>
      <c r="T7" s="2">
        <f t="shared" si="2"/>
        <v>1067887.7779541016</v>
      </c>
      <c r="U7" s="2">
        <f t="shared" si="3"/>
        <v>533.94000000000005</v>
      </c>
      <c r="V7" s="2">
        <f t="shared" si="4"/>
        <v>45571.407348632813</v>
      </c>
      <c r="W7" s="2">
        <f t="shared" si="5"/>
        <v>45037.46734863281</v>
      </c>
      <c r="X7" s="2">
        <f t="shared" si="6"/>
        <v>42769286.120148927</v>
      </c>
      <c r="Y7" s="2">
        <f t="shared" si="7"/>
        <v>102231.64</v>
      </c>
      <c r="Z7" s="2">
        <f t="shared" si="8"/>
        <v>44.05</v>
      </c>
      <c r="AA7" s="2">
        <f t="shared" si="11"/>
        <v>42769286.120148927</v>
      </c>
      <c r="AB7" s="2">
        <f t="shared" si="9"/>
        <v>0</v>
      </c>
    </row>
    <row r="8" spans="1:29">
      <c r="A8" s="2">
        <v>5</v>
      </c>
      <c r="B8" s="2" t="s">
        <v>68</v>
      </c>
      <c r="C8" s="2" t="s">
        <v>2400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990</v>
      </c>
      <c r="J8" s="2" t="s">
        <v>2322</v>
      </c>
      <c r="K8" s="2">
        <f t="shared" si="10"/>
        <v>42769286.120148927</v>
      </c>
      <c r="L8" s="2" t="s">
        <v>1808</v>
      </c>
      <c r="M8" s="2" t="s">
        <v>1778</v>
      </c>
      <c r="N8" s="2" t="s">
        <v>1802</v>
      </c>
      <c r="O8" s="2">
        <v>300</v>
      </c>
      <c r="P8" s="2">
        <v>3149.29736328125</v>
      </c>
      <c r="Q8" s="2">
        <v>3169.220947265625</v>
      </c>
      <c r="R8" s="2">
        <f t="shared" si="0"/>
        <v>944789.208984375</v>
      </c>
      <c r="S8" s="2">
        <f t="shared" si="1"/>
        <v>950766.2841796875</v>
      </c>
      <c r="T8" s="2">
        <f t="shared" si="2"/>
        <v>1895555.4931640625</v>
      </c>
      <c r="U8" s="2">
        <f t="shared" si="3"/>
        <v>947.78</v>
      </c>
      <c r="V8" s="2">
        <f t="shared" si="4"/>
        <v>5977.0751953125</v>
      </c>
      <c r="W8" s="2">
        <f t="shared" si="5"/>
        <v>5029.2951953125003</v>
      </c>
      <c r="X8" s="2">
        <f t="shared" si="6"/>
        <v>42774315.415344238</v>
      </c>
      <c r="Y8" s="2">
        <f t="shared" si="7"/>
        <v>188957.84</v>
      </c>
      <c r="Z8" s="2">
        <f t="shared" si="8"/>
        <v>2.66</v>
      </c>
      <c r="AA8" s="2">
        <f t="shared" si="11"/>
        <v>42774315.415344238</v>
      </c>
      <c r="AB8" s="2">
        <f t="shared" si="9"/>
        <v>0</v>
      </c>
    </row>
    <row r="9" spans="1:29">
      <c r="A9" s="2">
        <v>6</v>
      </c>
      <c r="B9" s="2" t="s">
        <v>75</v>
      </c>
      <c r="C9" s="2" t="s">
        <v>2400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1886</v>
      </c>
      <c r="J9" s="2" t="s">
        <v>2408</v>
      </c>
      <c r="K9" s="2">
        <f t="shared" si="10"/>
        <v>42774315.415344238</v>
      </c>
      <c r="L9" s="2" t="s">
        <v>2409</v>
      </c>
      <c r="M9" s="2" t="s">
        <v>2410</v>
      </c>
      <c r="N9" s="2" t="s">
        <v>2402</v>
      </c>
      <c r="O9" s="2">
        <v>500</v>
      </c>
      <c r="P9" s="2">
        <v>1013.400024414062</v>
      </c>
      <c r="Q9" s="2">
        <v>989.79998779296875</v>
      </c>
      <c r="R9" s="2">
        <f t="shared" si="0"/>
        <v>506700.01220703102</v>
      </c>
      <c r="S9" s="2">
        <f t="shared" si="1"/>
        <v>494899.99389648438</v>
      </c>
      <c r="T9" s="2">
        <f t="shared" si="2"/>
        <v>1001600.0061035154</v>
      </c>
      <c r="U9" s="2">
        <f t="shared" si="3"/>
        <v>500.8</v>
      </c>
      <c r="V9" s="2">
        <f t="shared" si="4"/>
        <v>-11800.018310546642</v>
      </c>
      <c r="W9" s="2">
        <f t="shared" si="5"/>
        <v>-12300.818310546641</v>
      </c>
      <c r="X9" s="2">
        <f t="shared" si="6"/>
        <v>42762014.597033694</v>
      </c>
      <c r="Y9" s="2">
        <f t="shared" si="7"/>
        <v>101340</v>
      </c>
      <c r="Z9" s="2">
        <f t="shared" si="8"/>
        <v>-12.14</v>
      </c>
      <c r="AA9" s="2">
        <f t="shared" si="11"/>
        <v>42774315.415344238</v>
      </c>
      <c r="AB9" s="2">
        <f t="shared" si="9"/>
        <v>-12300.818310543895</v>
      </c>
    </row>
    <row r="10" spans="1:29">
      <c r="A10" s="2">
        <v>7</v>
      </c>
      <c r="B10" s="2" t="s">
        <v>82</v>
      </c>
      <c r="C10" s="2" t="s">
        <v>2400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2323</v>
      </c>
      <c r="J10" s="2" t="s">
        <v>2324</v>
      </c>
      <c r="K10" s="2">
        <f t="shared" si="10"/>
        <v>42762014.597033694</v>
      </c>
      <c r="L10" s="2" t="s">
        <v>1799</v>
      </c>
      <c r="M10" s="2" t="s">
        <v>1801</v>
      </c>
      <c r="N10" s="2" t="s">
        <v>1808</v>
      </c>
      <c r="O10" s="2">
        <v>625</v>
      </c>
      <c r="P10" s="2">
        <v>1122.031372070312</v>
      </c>
      <c r="Q10" s="2">
        <v>1228.698852539062</v>
      </c>
      <c r="R10" s="2">
        <f t="shared" si="0"/>
        <v>701269.60754394508</v>
      </c>
      <c r="S10" s="2">
        <f t="shared" si="1"/>
        <v>767936.78283691383</v>
      </c>
      <c r="T10" s="2">
        <f t="shared" si="2"/>
        <v>1469206.3903808589</v>
      </c>
      <c r="U10" s="2">
        <f t="shared" si="3"/>
        <v>734.6</v>
      </c>
      <c r="V10" s="2">
        <f t="shared" si="4"/>
        <v>66667.17529296875</v>
      </c>
      <c r="W10" s="2">
        <f t="shared" si="5"/>
        <v>65932.575292968744</v>
      </c>
      <c r="X10" s="2">
        <f t="shared" si="6"/>
        <v>42827947.172326662</v>
      </c>
      <c r="Y10" s="2">
        <f t="shared" si="7"/>
        <v>140253.92000000001</v>
      </c>
      <c r="Z10" s="2">
        <f t="shared" si="8"/>
        <v>47.01</v>
      </c>
      <c r="AA10" s="2">
        <f t="shared" si="11"/>
        <v>42827947.172326662</v>
      </c>
      <c r="AB10" s="2">
        <f t="shared" si="9"/>
        <v>0</v>
      </c>
    </row>
    <row r="11" spans="1:29">
      <c r="A11" s="2">
        <v>8</v>
      </c>
      <c r="B11" s="2" t="s">
        <v>90</v>
      </c>
      <c r="C11" s="2" t="s">
        <v>2400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2411</v>
      </c>
      <c r="J11" s="2" t="s">
        <v>1162</v>
      </c>
      <c r="K11" s="2">
        <f t="shared" si="10"/>
        <v>42827947.172326662</v>
      </c>
      <c r="L11" s="2" t="s">
        <v>1635</v>
      </c>
      <c r="M11" s="2" t="s">
        <v>2042</v>
      </c>
      <c r="N11" s="2" t="s">
        <v>2040</v>
      </c>
      <c r="O11" s="2">
        <v>4785</v>
      </c>
      <c r="P11" s="2">
        <v>134.6000061035156</v>
      </c>
      <c r="Q11" s="2">
        <v>134.5</v>
      </c>
      <c r="R11" s="2">
        <f t="shared" si="0"/>
        <v>644061.02920532215</v>
      </c>
      <c r="S11" s="2">
        <f t="shared" si="1"/>
        <v>643582.5</v>
      </c>
      <c r="T11" s="2">
        <f t="shared" si="2"/>
        <v>1287643.5292053223</v>
      </c>
      <c r="U11" s="2">
        <f t="shared" si="3"/>
        <v>643.82000000000005</v>
      </c>
      <c r="V11" s="2">
        <f t="shared" si="4"/>
        <v>-478.52920532214921</v>
      </c>
      <c r="W11" s="2">
        <f t="shared" si="5"/>
        <v>-1122.3492053221494</v>
      </c>
      <c r="X11" s="2">
        <f t="shared" si="6"/>
        <v>42826824.823121339</v>
      </c>
      <c r="Y11" s="2">
        <f t="shared" si="7"/>
        <v>128812.21</v>
      </c>
      <c r="Z11" s="2">
        <f t="shared" si="8"/>
        <v>-0.87</v>
      </c>
      <c r="AA11" s="2">
        <f t="shared" si="11"/>
        <v>42827947.172326662</v>
      </c>
      <c r="AB11" s="2">
        <f t="shared" si="9"/>
        <v>-1122.3492053225636</v>
      </c>
    </row>
    <row r="12" spans="1:29">
      <c r="A12" s="2">
        <v>9</v>
      </c>
      <c r="B12" s="2" t="s">
        <v>95</v>
      </c>
      <c r="C12" s="2" t="s">
        <v>2400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1907</v>
      </c>
      <c r="J12" s="2" t="s">
        <v>2327</v>
      </c>
      <c r="K12" s="2">
        <f t="shared" si="10"/>
        <v>42826824.823121339</v>
      </c>
      <c r="L12" s="2" t="s">
        <v>2054</v>
      </c>
      <c r="M12" s="2" t="s">
        <v>2328</v>
      </c>
      <c r="N12" s="2" t="s">
        <v>2329</v>
      </c>
      <c r="O12" s="2">
        <v>171</v>
      </c>
      <c r="P12" s="2">
        <v>5842.8974609375</v>
      </c>
      <c r="Q12" s="2">
        <v>5436.67236328125</v>
      </c>
      <c r="R12" s="2">
        <f t="shared" si="0"/>
        <v>999135.4658203125</v>
      </c>
      <c r="S12" s="2">
        <f t="shared" si="1"/>
        <v>929670.97412109375</v>
      </c>
      <c r="T12" s="2">
        <f t="shared" si="2"/>
        <v>1928806.4399414062</v>
      </c>
      <c r="U12" s="2">
        <f t="shared" si="3"/>
        <v>964.4</v>
      </c>
      <c r="V12" s="2">
        <f t="shared" si="4"/>
        <v>-69464.49169921875</v>
      </c>
      <c r="W12" s="2">
        <f t="shared" si="5"/>
        <v>-70428.891699218744</v>
      </c>
      <c r="X12" s="2">
        <f t="shared" si="6"/>
        <v>42756395.931422122</v>
      </c>
      <c r="Y12" s="2">
        <f t="shared" si="7"/>
        <v>199827.09</v>
      </c>
      <c r="Z12" s="2">
        <f t="shared" si="8"/>
        <v>-35.24</v>
      </c>
      <c r="AA12" s="2">
        <f t="shared" si="11"/>
        <v>42827947.172326662</v>
      </c>
      <c r="AB12" s="2">
        <f t="shared" si="9"/>
        <v>-71551.240904539824</v>
      </c>
    </row>
    <row r="13" spans="1:29">
      <c r="A13" s="2">
        <v>10</v>
      </c>
      <c r="B13" s="2" t="s">
        <v>102</v>
      </c>
      <c r="C13" s="2" t="s">
        <v>2400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1571</v>
      </c>
      <c r="J13" s="2" t="s">
        <v>1918</v>
      </c>
      <c r="K13" s="2">
        <f t="shared" si="10"/>
        <v>42756395.931422122</v>
      </c>
      <c r="L13" s="2" t="s">
        <v>2039</v>
      </c>
      <c r="M13" s="2" t="s">
        <v>1529</v>
      </c>
      <c r="N13" s="2" t="s">
        <v>2412</v>
      </c>
      <c r="O13" s="2">
        <v>135</v>
      </c>
      <c r="P13" s="2">
        <v>7889</v>
      </c>
      <c r="Q13" s="2">
        <v>7750</v>
      </c>
      <c r="R13" s="2">
        <f t="shared" si="0"/>
        <v>1065015</v>
      </c>
      <c r="S13" s="2">
        <f t="shared" si="1"/>
        <v>1046250</v>
      </c>
      <c r="T13" s="2">
        <f t="shared" si="2"/>
        <v>2111265</v>
      </c>
      <c r="U13" s="2">
        <f t="shared" si="3"/>
        <v>1055.6300000000001</v>
      </c>
      <c r="V13" s="2">
        <f t="shared" si="4"/>
        <v>-18765</v>
      </c>
      <c r="W13" s="2">
        <f t="shared" si="5"/>
        <v>-19820.63</v>
      </c>
      <c r="X13" s="2">
        <f t="shared" si="6"/>
        <v>42736575.301422119</v>
      </c>
      <c r="Y13" s="2">
        <f t="shared" si="7"/>
        <v>213003</v>
      </c>
      <c r="Z13" s="2">
        <f t="shared" si="8"/>
        <v>-9.31</v>
      </c>
      <c r="AA13" s="2">
        <f t="shared" si="11"/>
        <v>42827947.172326662</v>
      </c>
      <c r="AB13" s="2">
        <f t="shared" si="9"/>
        <v>-91371.870904542506</v>
      </c>
    </row>
    <row r="14" spans="1:29">
      <c r="A14" s="2">
        <v>11</v>
      </c>
      <c r="B14" s="2" t="s">
        <v>108</v>
      </c>
      <c r="C14" s="2" t="s">
        <v>2400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2082</v>
      </c>
      <c r="J14" s="2" t="s">
        <v>2413</v>
      </c>
      <c r="K14" s="2">
        <f t="shared" si="10"/>
        <v>42736575.301422119</v>
      </c>
      <c r="L14" s="2" t="s">
        <v>2189</v>
      </c>
      <c r="M14" s="2" t="s">
        <v>2087</v>
      </c>
      <c r="N14" s="2" t="s">
        <v>1062</v>
      </c>
      <c r="O14" s="2">
        <v>2303</v>
      </c>
      <c r="P14" s="2">
        <v>431.91207885742187</v>
      </c>
      <c r="Q14" s="2">
        <v>418.47857666015619</v>
      </c>
      <c r="R14" s="2">
        <f t="shared" si="0"/>
        <v>994693.51760864258</v>
      </c>
      <c r="S14" s="2">
        <f t="shared" si="1"/>
        <v>963756.16204833973</v>
      </c>
      <c r="T14" s="2">
        <f t="shared" si="2"/>
        <v>1958449.6796569824</v>
      </c>
      <c r="U14" s="2">
        <f t="shared" si="3"/>
        <v>979.22</v>
      </c>
      <c r="V14" s="2">
        <f t="shared" si="4"/>
        <v>-30937.355560302851</v>
      </c>
      <c r="W14" s="2">
        <f t="shared" si="5"/>
        <v>-31916.575560302852</v>
      </c>
      <c r="X14" s="2">
        <f t="shared" si="6"/>
        <v>42704658.725861818</v>
      </c>
      <c r="Y14" s="2">
        <f t="shared" si="7"/>
        <v>198938.7</v>
      </c>
      <c r="Z14" s="2">
        <f t="shared" si="8"/>
        <v>-16.04</v>
      </c>
      <c r="AA14" s="2">
        <f t="shared" si="11"/>
        <v>42827947.172326662</v>
      </c>
      <c r="AB14" s="2">
        <f t="shared" si="9"/>
        <v>-123288.44646484405</v>
      </c>
    </row>
    <row r="15" spans="1:29">
      <c r="A15" s="2">
        <v>12</v>
      </c>
      <c r="B15" s="2" t="s">
        <v>113</v>
      </c>
      <c r="C15" s="2" t="s">
        <v>2400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1660</v>
      </c>
      <c r="J15" s="2" t="s">
        <v>759</v>
      </c>
      <c r="K15" s="2">
        <f t="shared" si="10"/>
        <v>42704658.725861818</v>
      </c>
      <c r="L15" s="2" t="s">
        <v>1395</v>
      </c>
      <c r="M15" s="2" t="s">
        <v>1934</v>
      </c>
      <c r="N15" s="2" t="s">
        <v>2053</v>
      </c>
      <c r="O15" s="2">
        <v>3428</v>
      </c>
      <c r="P15" s="2">
        <v>251.47233581542969</v>
      </c>
      <c r="Q15" s="2">
        <v>275.43292236328119</v>
      </c>
      <c r="R15" s="2">
        <f t="shared" si="0"/>
        <v>862047.16717529297</v>
      </c>
      <c r="S15" s="2">
        <f t="shared" si="1"/>
        <v>944184.05786132789</v>
      </c>
      <c r="T15" s="2">
        <f t="shared" si="2"/>
        <v>1806231.2250366209</v>
      </c>
      <c r="U15" s="2">
        <f t="shared" si="3"/>
        <v>903.12</v>
      </c>
      <c r="V15" s="2">
        <f t="shared" si="4"/>
        <v>82136.890686034923</v>
      </c>
      <c r="W15" s="2">
        <f t="shared" si="5"/>
        <v>81233.770686034928</v>
      </c>
      <c r="X15" s="2">
        <f t="shared" si="6"/>
        <v>42785892.496547855</v>
      </c>
      <c r="Y15" s="2">
        <f t="shared" si="7"/>
        <v>172409.43</v>
      </c>
      <c r="Z15" s="2">
        <f t="shared" si="8"/>
        <v>47.12</v>
      </c>
      <c r="AA15" s="2">
        <f t="shared" si="11"/>
        <v>42827947.172326662</v>
      </c>
      <c r="AB15" s="2">
        <f t="shared" si="9"/>
        <v>-42054.67577880621</v>
      </c>
    </row>
    <row r="16" spans="1:29">
      <c r="A16" s="2">
        <v>13</v>
      </c>
      <c r="B16" s="2" t="s">
        <v>120</v>
      </c>
      <c r="C16" s="2" t="s">
        <v>2400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2414</v>
      </c>
      <c r="J16" s="2" t="s">
        <v>2415</v>
      </c>
      <c r="K16" s="2">
        <f t="shared" si="10"/>
        <v>42785892.496547855</v>
      </c>
      <c r="L16" s="2" t="s">
        <v>2061</v>
      </c>
      <c r="M16" s="2" t="s">
        <v>2386</v>
      </c>
      <c r="N16" s="2" t="s">
        <v>2385</v>
      </c>
      <c r="O16" s="2">
        <v>528</v>
      </c>
      <c r="P16" s="2">
        <v>1654.625</v>
      </c>
      <c r="Q16" s="2">
        <v>1499.566162109375</v>
      </c>
      <c r="R16" s="2">
        <f t="shared" si="0"/>
        <v>873642</v>
      </c>
      <c r="S16" s="2">
        <f t="shared" si="1"/>
        <v>791770.93359375</v>
      </c>
      <c r="T16" s="2">
        <f t="shared" si="2"/>
        <v>1665412.93359375</v>
      </c>
      <c r="U16" s="2">
        <f t="shared" si="3"/>
        <v>832.71</v>
      </c>
      <c r="V16" s="2">
        <f t="shared" si="4"/>
        <v>-81871.06640625</v>
      </c>
      <c r="W16" s="2">
        <f t="shared" si="5"/>
        <v>-82703.776406250006</v>
      </c>
      <c r="X16" s="2">
        <f t="shared" si="6"/>
        <v>42703188.720141605</v>
      </c>
      <c r="Y16" s="2">
        <f t="shared" si="7"/>
        <v>174728.4</v>
      </c>
      <c r="Z16" s="2">
        <f t="shared" si="8"/>
        <v>-47.33</v>
      </c>
      <c r="AA16" s="2">
        <f t="shared" si="11"/>
        <v>42827947.172326662</v>
      </c>
      <c r="AB16" s="2">
        <f t="shared" si="9"/>
        <v>-124758.4521850571</v>
      </c>
    </row>
    <row r="17" spans="1:28">
      <c r="A17" s="2">
        <v>14</v>
      </c>
      <c r="B17" s="2" t="s">
        <v>126</v>
      </c>
      <c r="C17" s="2" t="s">
        <v>2400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1209</v>
      </c>
      <c r="J17" s="2" t="s">
        <v>2336</v>
      </c>
      <c r="K17" s="2">
        <f t="shared" si="10"/>
        <v>42703188.720141605</v>
      </c>
      <c r="L17" s="2" t="s">
        <v>1801</v>
      </c>
      <c r="M17" s="2" t="s">
        <v>1721</v>
      </c>
      <c r="N17" s="2" t="s">
        <v>1722</v>
      </c>
      <c r="O17" s="2">
        <v>125</v>
      </c>
      <c r="P17" s="2">
        <v>6190.89697265625</v>
      </c>
      <c r="Q17" s="2">
        <v>6584.9443359375</v>
      </c>
      <c r="R17" s="2">
        <f t="shared" si="0"/>
        <v>773862.12158203125</v>
      </c>
      <c r="S17" s="2">
        <f t="shared" si="1"/>
        <v>823118.0419921875</v>
      </c>
      <c r="T17" s="2">
        <f t="shared" si="2"/>
        <v>1596980.1635742188</v>
      </c>
      <c r="U17" s="2">
        <f t="shared" si="3"/>
        <v>798.49</v>
      </c>
      <c r="V17" s="2">
        <f t="shared" si="4"/>
        <v>49255.92041015625</v>
      </c>
      <c r="W17" s="2">
        <f t="shared" si="5"/>
        <v>48457.430410156252</v>
      </c>
      <c r="X17" s="2">
        <f t="shared" si="6"/>
        <v>42751646.150551759</v>
      </c>
      <c r="Y17" s="2">
        <f t="shared" si="7"/>
        <v>154772.42000000001</v>
      </c>
      <c r="Z17" s="2">
        <f t="shared" si="8"/>
        <v>31.31</v>
      </c>
      <c r="AA17" s="2">
        <f t="shared" si="11"/>
        <v>42827947.172326662</v>
      </c>
      <c r="AB17" s="2">
        <f t="shared" si="9"/>
        <v>-76301.02177490294</v>
      </c>
    </row>
    <row r="18" spans="1:28">
      <c r="A18" s="2">
        <v>15</v>
      </c>
      <c r="B18" s="2" t="s">
        <v>133</v>
      </c>
      <c r="C18" s="2" t="s">
        <v>2400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42751646.150551759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42751646.150551759</v>
      </c>
      <c r="Y18" s="6" t="s">
        <v>1195</v>
      </c>
      <c r="Z18" s="6" t="s">
        <v>1195</v>
      </c>
      <c r="AA18" s="2">
        <f>AA17</f>
        <v>42827947.172326662</v>
      </c>
      <c r="AB18" s="2">
        <v>0</v>
      </c>
    </row>
    <row r="19" spans="1:28">
      <c r="A19" s="2">
        <v>16</v>
      </c>
      <c r="B19" s="2" t="s">
        <v>141</v>
      </c>
      <c r="C19" s="2" t="s">
        <v>2400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268</v>
      </c>
      <c r="J19" s="2" t="s">
        <v>2172</v>
      </c>
      <c r="K19" s="2">
        <f t="shared" si="10"/>
        <v>42751646.150551759</v>
      </c>
      <c r="L19" s="2" t="s">
        <v>1848</v>
      </c>
      <c r="M19" s="2" t="s">
        <v>1823</v>
      </c>
      <c r="N19" s="2" t="s">
        <v>1783</v>
      </c>
      <c r="O19" s="2">
        <v>200</v>
      </c>
      <c r="P19" s="2">
        <v>3070.06298828125</v>
      </c>
      <c r="Q19" s="2">
        <v>3188.7109375</v>
      </c>
      <c r="R19" s="2">
        <f>O19*P19</f>
        <v>614012.59765625</v>
      </c>
      <c r="S19" s="2">
        <f>O19*Q19</f>
        <v>637742.1875</v>
      </c>
      <c r="T19" s="2">
        <f>R19+S19</f>
        <v>1251754.78515625</v>
      </c>
      <c r="U19" s="2">
        <f>ROUND(T19*0.0005, 2)</f>
        <v>625.88</v>
      </c>
      <c r="V19" s="2">
        <f>S19-R19</f>
        <v>23729.58984375</v>
      </c>
      <c r="W19" s="2">
        <f>V19-U19</f>
        <v>23103.709843749999</v>
      </c>
      <c r="X19" s="2">
        <f>K19+W19</f>
        <v>42774749.860395506</v>
      </c>
      <c r="Y19" s="2">
        <f>ROUND(0.2*R19, 2)</f>
        <v>122802.52</v>
      </c>
      <c r="Z19" s="2">
        <f>ROUND((W19/Y19)*100, 2)</f>
        <v>18.809999999999999</v>
      </c>
      <c r="AA19" s="2">
        <f>MAX(AA18, X19)</f>
        <v>42827947.172326662</v>
      </c>
      <c r="AB19" s="2">
        <f>X19-AA19</f>
        <v>-53197.311931155622</v>
      </c>
    </row>
    <row r="20" spans="1:28">
      <c r="A20" s="2">
        <v>17</v>
      </c>
      <c r="B20" s="2" t="s">
        <v>149</v>
      </c>
      <c r="C20" s="2" t="s">
        <v>2400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42774749.860395506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42774749.860395506</v>
      </c>
      <c r="Y20" s="6" t="s">
        <v>1195</v>
      </c>
      <c r="Z20" s="6" t="s">
        <v>1195</v>
      </c>
      <c r="AA20" s="2">
        <f>AA19</f>
        <v>42827947.172326662</v>
      </c>
      <c r="AB20" s="2">
        <v>0</v>
      </c>
    </row>
    <row r="21" spans="1:28">
      <c r="A21" s="2">
        <v>18</v>
      </c>
      <c r="B21" s="2" t="s">
        <v>154</v>
      </c>
      <c r="C21" s="2" t="s">
        <v>2400</v>
      </c>
      <c r="D21" s="3" t="s">
        <v>37</v>
      </c>
      <c r="E21" s="5" t="s">
        <v>134</v>
      </c>
      <c r="F21" s="2" t="s">
        <v>155</v>
      </c>
      <c r="G21" s="2" t="s">
        <v>127</v>
      </c>
      <c r="H21" s="6" t="s">
        <v>1195</v>
      </c>
      <c r="I21" s="6" t="s">
        <v>1195</v>
      </c>
      <c r="J21" s="6" t="s">
        <v>1195</v>
      </c>
      <c r="K21" s="2">
        <f t="shared" si="10"/>
        <v>42774749.860395506</v>
      </c>
      <c r="L21" s="6" t="s">
        <v>1195</v>
      </c>
      <c r="M21" s="6" t="s">
        <v>1195</v>
      </c>
      <c r="N21" s="6" t="s">
        <v>1195</v>
      </c>
      <c r="O21" s="2">
        <v>668</v>
      </c>
      <c r="P21" s="6" t="s">
        <v>1195</v>
      </c>
      <c r="Q21" s="6" t="s">
        <v>1195</v>
      </c>
      <c r="R21" s="6" t="s">
        <v>1195</v>
      </c>
      <c r="S21" s="6" t="s">
        <v>1195</v>
      </c>
      <c r="T21" s="6" t="s">
        <v>1195</v>
      </c>
      <c r="U21" s="6" t="s">
        <v>1195</v>
      </c>
      <c r="V21" s="6" t="s">
        <v>1195</v>
      </c>
      <c r="W21" s="6" t="s">
        <v>1195</v>
      </c>
      <c r="X21" s="2">
        <f>K21</f>
        <v>42774749.860395506</v>
      </c>
      <c r="Y21" s="6" t="s">
        <v>1195</v>
      </c>
      <c r="Z21" s="6" t="s">
        <v>1195</v>
      </c>
      <c r="AA21" s="2">
        <f>AA20</f>
        <v>42827947.172326662</v>
      </c>
      <c r="AB21" s="2">
        <v>0</v>
      </c>
    </row>
    <row r="22" spans="1:28">
      <c r="A22" s="2">
        <v>19</v>
      </c>
      <c r="B22" s="2" t="s">
        <v>160</v>
      </c>
      <c r="C22" s="2" t="s">
        <v>2400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42774749.860395506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42774749.860395506</v>
      </c>
      <c r="Y22" s="6" t="s">
        <v>1195</v>
      </c>
      <c r="Z22" s="6" t="s">
        <v>1195</v>
      </c>
      <c r="AA22" s="2">
        <f>AA21</f>
        <v>42827947.172326662</v>
      </c>
      <c r="AB22" s="2">
        <v>0</v>
      </c>
    </row>
    <row r="23" spans="1:28">
      <c r="A23" s="2">
        <v>20</v>
      </c>
      <c r="B23" s="2" t="s">
        <v>168</v>
      </c>
      <c r="C23" s="2" t="s">
        <v>2400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42774749.860395506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42774749.860395506</v>
      </c>
      <c r="Y23" s="6" t="s">
        <v>1195</v>
      </c>
      <c r="Z23" s="6" t="s">
        <v>1195</v>
      </c>
      <c r="AA23" s="2">
        <f>AA22</f>
        <v>42827947.172326662</v>
      </c>
      <c r="AB23" s="2">
        <v>0</v>
      </c>
    </row>
    <row r="24" spans="1:28">
      <c r="A24" s="2">
        <v>21</v>
      </c>
      <c r="B24" s="2" t="s">
        <v>175</v>
      </c>
      <c r="C24" s="2" t="s">
        <v>2400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2338</v>
      </c>
      <c r="J24" s="2" t="s">
        <v>1571</v>
      </c>
      <c r="K24" s="2">
        <f t="shared" si="10"/>
        <v>42774749.860395506</v>
      </c>
      <c r="L24" s="2" t="s">
        <v>1799</v>
      </c>
      <c r="M24" s="2" t="s">
        <v>1808</v>
      </c>
      <c r="N24" s="2" t="s">
        <v>1584</v>
      </c>
      <c r="O24" s="2">
        <v>625</v>
      </c>
      <c r="P24" s="2">
        <v>1086.642578125</v>
      </c>
      <c r="Q24" s="2">
        <v>1081.654418945312</v>
      </c>
      <c r="R24" s="2">
        <f>O24*P24</f>
        <v>679151.611328125</v>
      </c>
      <c r="S24" s="2">
        <f>O24*Q24</f>
        <v>676034.01184082008</v>
      </c>
      <c r="T24" s="2">
        <f>R24+S24</f>
        <v>1355185.6231689451</v>
      </c>
      <c r="U24" s="2">
        <f>ROUND(T24*0.0005, 2)</f>
        <v>677.59</v>
      </c>
      <c r="V24" s="2">
        <f>S24-R24</f>
        <v>-3117.5994873049203</v>
      </c>
      <c r="W24" s="2">
        <f>V24-U24</f>
        <v>-3795.1894873049205</v>
      </c>
      <c r="X24" s="2">
        <f>K24+W24</f>
        <v>42770954.670908198</v>
      </c>
      <c r="Y24" s="2">
        <f>ROUND(0.2*R24, 2)</f>
        <v>135830.32</v>
      </c>
      <c r="Z24" s="2">
        <f>ROUND((W24/Y24)*100, 2)</f>
        <v>-2.79</v>
      </c>
      <c r="AA24" s="2">
        <f>MAX(AA23, X24)</f>
        <v>42827947.172326662</v>
      </c>
      <c r="AB24" s="2">
        <f>X24-AA24</f>
        <v>-56992.501418463886</v>
      </c>
    </row>
    <row r="25" spans="1:28">
      <c r="A25" s="2">
        <v>22</v>
      </c>
      <c r="B25" s="2" t="s">
        <v>184</v>
      </c>
      <c r="C25" s="2" t="s">
        <v>2400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2219</v>
      </c>
      <c r="J25" s="2" t="s">
        <v>1710</v>
      </c>
      <c r="K25" s="2">
        <f t="shared" si="10"/>
        <v>42770954.670908198</v>
      </c>
      <c r="L25" s="2" t="s">
        <v>1783</v>
      </c>
      <c r="M25" s="2" t="s">
        <v>1585</v>
      </c>
      <c r="N25" s="2" t="s">
        <v>1584</v>
      </c>
      <c r="O25" s="2">
        <v>125</v>
      </c>
      <c r="P25" s="2">
        <v>6836.2744140625</v>
      </c>
      <c r="Q25" s="2">
        <v>7201.5107421875</v>
      </c>
      <c r="R25" s="2">
        <f>O25*P25</f>
        <v>854534.3017578125</v>
      </c>
      <c r="S25" s="2">
        <f>O25*Q25</f>
        <v>900188.8427734375</v>
      </c>
      <c r="T25" s="2">
        <f>R25+S25</f>
        <v>1754723.14453125</v>
      </c>
      <c r="U25" s="2">
        <f>ROUND(T25*0.0005, 2)</f>
        <v>877.36</v>
      </c>
      <c r="V25" s="2">
        <f>S25-R25</f>
        <v>45654.541015625</v>
      </c>
      <c r="W25" s="2">
        <f>V25-U25</f>
        <v>44777.181015624999</v>
      </c>
      <c r="X25" s="2">
        <f>K25+W25</f>
        <v>42815731.851923823</v>
      </c>
      <c r="Y25" s="2">
        <f>ROUND(0.2*R25, 2)</f>
        <v>170906.86</v>
      </c>
      <c r="Z25" s="2">
        <f>ROUND((W25/Y25)*100, 2)</f>
        <v>26.2</v>
      </c>
      <c r="AA25" s="2">
        <f>MAX(AA24, X25)</f>
        <v>42827947.172326662</v>
      </c>
      <c r="AB25" s="2">
        <f>X25-AA25</f>
        <v>-12215.32040283829</v>
      </c>
    </row>
    <row r="26" spans="1:28">
      <c r="A26" s="2">
        <v>23</v>
      </c>
      <c r="B26" s="2" t="s">
        <v>190</v>
      </c>
      <c r="C26" s="2" t="s">
        <v>2400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1382</v>
      </c>
      <c r="J26" s="2" t="s">
        <v>598</v>
      </c>
      <c r="K26" s="2">
        <f t="shared" si="10"/>
        <v>42815731.851923823</v>
      </c>
      <c r="L26" s="2" t="s">
        <v>1720</v>
      </c>
      <c r="M26" s="2" t="s">
        <v>1808</v>
      </c>
      <c r="N26" s="2" t="s">
        <v>1720</v>
      </c>
      <c r="O26" s="2">
        <v>500</v>
      </c>
      <c r="P26" s="2">
        <v>1587.418579101562</v>
      </c>
      <c r="Q26" s="2">
        <v>1619.056030273438</v>
      </c>
      <c r="R26" s="2">
        <f>O26*P26</f>
        <v>793709.28955078102</v>
      </c>
      <c r="S26" s="2">
        <f>O26*Q26</f>
        <v>809528.01513671898</v>
      </c>
      <c r="T26" s="2">
        <f>R26+S26</f>
        <v>1603237.3046875</v>
      </c>
      <c r="U26" s="2">
        <f>ROUND(T26*0.0005, 2)</f>
        <v>801.62</v>
      </c>
      <c r="V26" s="2">
        <f>S26-R26</f>
        <v>15818.725585937966</v>
      </c>
      <c r="W26" s="2">
        <f>V26-U26</f>
        <v>15017.105585937965</v>
      </c>
      <c r="X26" s="2">
        <f>K26+W26</f>
        <v>42830748.957509764</v>
      </c>
      <c r="Y26" s="2">
        <f>ROUND(0.2*R26, 2)</f>
        <v>158741.85999999999</v>
      </c>
      <c r="Z26" s="2">
        <f>ROUND((W26/Y26)*100, 2)</f>
        <v>9.4600000000000009</v>
      </c>
      <c r="AA26" s="2">
        <f>MAX(AA25, X26)</f>
        <v>42830748.957509764</v>
      </c>
      <c r="AB26" s="2">
        <f>X26-AA26</f>
        <v>0</v>
      </c>
    </row>
    <row r="27" spans="1:28">
      <c r="A27" s="2">
        <v>24</v>
      </c>
      <c r="B27" s="2" t="s">
        <v>195</v>
      </c>
      <c r="C27" s="2" t="s">
        <v>2400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42830748.957509764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42830748.957509764</v>
      </c>
      <c r="Y27" s="6" t="s">
        <v>1195</v>
      </c>
      <c r="Z27" s="6" t="s">
        <v>1195</v>
      </c>
      <c r="AA27" s="2">
        <f>AA26</f>
        <v>42830748.957509764</v>
      </c>
      <c r="AB27" s="2">
        <v>0</v>
      </c>
    </row>
    <row r="28" spans="1:28">
      <c r="A28" s="2">
        <v>25</v>
      </c>
      <c r="B28" s="2" t="s">
        <v>199</v>
      </c>
      <c r="C28" s="2" t="s">
        <v>2400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2339</v>
      </c>
      <c r="J28" s="2" t="s">
        <v>2340</v>
      </c>
      <c r="K28" s="2">
        <f t="shared" si="10"/>
        <v>42830748.957509764</v>
      </c>
      <c r="L28" s="2" t="s">
        <v>1586</v>
      </c>
      <c r="M28" s="2" t="s">
        <v>1778</v>
      </c>
      <c r="N28" s="2" t="s">
        <v>1585</v>
      </c>
      <c r="O28" s="2">
        <v>125</v>
      </c>
      <c r="P28" s="2">
        <v>696.40618896484375</v>
      </c>
      <c r="Q28" s="2">
        <v>649.49432373046875</v>
      </c>
      <c r="R28" s="2">
        <f>O28*P28</f>
        <v>87050.773620605469</v>
      </c>
      <c r="S28" s="2">
        <f>O28*Q28</f>
        <v>81186.790466308594</v>
      </c>
      <c r="T28" s="2">
        <f>R28+S28</f>
        <v>168237.56408691406</v>
      </c>
      <c r="U28" s="2">
        <f>ROUND(T28*0.0005, 2)</f>
        <v>84.12</v>
      </c>
      <c r="V28" s="2">
        <f>S28-R28</f>
        <v>-5863.983154296875</v>
      </c>
      <c r="W28" s="2">
        <f>V28-U28</f>
        <v>-5948.1031542968749</v>
      </c>
      <c r="X28" s="2">
        <f>K28+W28</f>
        <v>42824800.854355469</v>
      </c>
      <c r="Y28" s="2">
        <f>ROUND(0.2*R28, 2)</f>
        <v>17410.150000000001</v>
      </c>
      <c r="Z28" s="2">
        <f>ROUND((W28/Y28)*100, 2)</f>
        <v>-34.159999999999997</v>
      </c>
      <c r="AA28" s="2">
        <f>MAX(AA27, X28)</f>
        <v>42830748.957509764</v>
      </c>
      <c r="AB28" s="2">
        <f>X28-AA28</f>
        <v>-5948.1031542941928</v>
      </c>
    </row>
    <row r="29" spans="1:28">
      <c r="A29" s="2">
        <v>26</v>
      </c>
      <c r="B29" s="2" t="s">
        <v>205</v>
      </c>
      <c r="C29" s="2" t="s">
        <v>2400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42824800.854355469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42824800.854355469</v>
      </c>
      <c r="Y29" s="6" t="s">
        <v>1195</v>
      </c>
      <c r="Z29" s="6" t="s">
        <v>1195</v>
      </c>
      <c r="AA29" s="2">
        <f>AA28</f>
        <v>42830748.957509764</v>
      </c>
      <c r="AB29" s="2">
        <v>0</v>
      </c>
    </row>
    <row r="30" spans="1:28">
      <c r="A30" s="2">
        <v>27</v>
      </c>
      <c r="B30" s="2" t="s">
        <v>209</v>
      </c>
      <c r="C30" s="2" t="s">
        <v>2400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42824800.854355469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42824800.854355469</v>
      </c>
      <c r="Y30" s="6" t="s">
        <v>1195</v>
      </c>
      <c r="Z30" s="6" t="s">
        <v>1195</v>
      </c>
      <c r="AA30" s="2">
        <f>AA29</f>
        <v>42830748.957509764</v>
      </c>
      <c r="AB30" s="2">
        <v>0</v>
      </c>
    </row>
    <row r="31" spans="1:28">
      <c r="A31" s="2">
        <v>28</v>
      </c>
      <c r="B31" s="2" t="s">
        <v>213</v>
      </c>
      <c r="C31" s="2" t="s">
        <v>2400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42824800.854355469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42824800.854355469</v>
      </c>
      <c r="Y31" s="6" t="s">
        <v>1195</v>
      </c>
      <c r="Z31" s="6" t="s">
        <v>1195</v>
      </c>
      <c r="AA31" s="2">
        <f>AA30</f>
        <v>42830748.957509764</v>
      </c>
      <c r="AB31" s="2">
        <v>0</v>
      </c>
    </row>
    <row r="32" spans="1:28">
      <c r="A32" s="2">
        <v>29</v>
      </c>
      <c r="B32" s="2" t="s">
        <v>218</v>
      </c>
      <c r="C32" s="2" t="s">
        <v>2400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42824800.854355469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42824800.854355469</v>
      </c>
      <c r="Y32" s="6" t="s">
        <v>1195</v>
      </c>
      <c r="Z32" s="6" t="s">
        <v>1195</v>
      </c>
      <c r="AA32" s="2">
        <f>AA31</f>
        <v>42830748.957509764</v>
      </c>
      <c r="AB32" s="2">
        <v>0</v>
      </c>
    </row>
    <row r="33" spans="1:28">
      <c r="A33" s="2">
        <v>30</v>
      </c>
      <c r="B33" s="2" t="s">
        <v>225</v>
      </c>
      <c r="C33" s="2" t="s">
        <v>2400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2341</v>
      </c>
      <c r="J33" s="2" t="s">
        <v>1282</v>
      </c>
      <c r="K33" s="2">
        <f t="shared" si="10"/>
        <v>42824800.854355469</v>
      </c>
      <c r="L33" s="2" t="s">
        <v>1783</v>
      </c>
      <c r="M33" s="2" t="s">
        <v>1778</v>
      </c>
      <c r="N33" s="2" t="s">
        <v>1585</v>
      </c>
      <c r="O33" s="2">
        <v>2438</v>
      </c>
      <c r="P33" s="2">
        <v>177.57270812988281</v>
      </c>
      <c r="Q33" s="2">
        <v>181.5828857421875</v>
      </c>
      <c r="R33" s="2">
        <f>O33*P33</f>
        <v>432922.2624206543</v>
      </c>
      <c r="S33" s="2">
        <f>O33*Q33</f>
        <v>442699.07543945312</v>
      </c>
      <c r="T33" s="2">
        <f>R33+S33</f>
        <v>875621.33786010742</v>
      </c>
      <c r="U33" s="2">
        <f>ROUND(T33*0.0005, 2)</f>
        <v>437.81</v>
      </c>
      <c r="V33" s="2">
        <f>S33-R33</f>
        <v>9776.8130187988281</v>
      </c>
      <c r="W33" s="2">
        <f>V33-U33</f>
        <v>9339.0030187988286</v>
      </c>
      <c r="X33" s="2">
        <f>K33+W33</f>
        <v>42834139.857374266</v>
      </c>
      <c r="Y33" s="2">
        <f>ROUND(0.2*R33, 2)</f>
        <v>86584.45</v>
      </c>
      <c r="Z33" s="2">
        <f>ROUND((W33/Y33)*100, 2)</f>
        <v>10.79</v>
      </c>
      <c r="AA33" s="2">
        <f>MAX(AA32, X33)</f>
        <v>42834139.857374266</v>
      </c>
      <c r="AB33" s="2">
        <f>X33-AA33</f>
        <v>0</v>
      </c>
    </row>
    <row r="34" spans="1:28">
      <c r="A34" s="2">
        <v>31</v>
      </c>
      <c r="B34" s="2" t="s">
        <v>230</v>
      </c>
      <c r="C34" s="2" t="s">
        <v>2400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42834139.857374266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42834139.857374266</v>
      </c>
      <c r="Y34" s="6" t="s">
        <v>1195</v>
      </c>
      <c r="Z34" s="6" t="s">
        <v>1195</v>
      </c>
      <c r="AA34" s="2">
        <f>AA33</f>
        <v>42834139.857374266</v>
      </c>
      <c r="AB34" s="2">
        <v>0</v>
      </c>
    </row>
    <row r="35" spans="1:28">
      <c r="A35" s="2">
        <v>32</v>
      </c>
      <c r="B35" s="2" t="s">
        <v>236</v>
      </c>
      <c r="C35" s="2" t="s">
        <v>2400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2342</v>
      </c>
      <c r="J35" s="2" t="s">
        <v>396</v>
      </c>
      <c r="K35" s="2">
        <f t="shared" si="10"/>
        <v>42834139.857374266</v>
      </c>
      <c r="L35" s="2" t="s">
        <v>1584</v>
      </c>
      <c r="M35" s="2" t="s">
        <v>1789</v>
      </c>
      <c r="N35" s="2" t="s">
        <v>1778</v>
      </c>
      <c r="O35" s="2">
        <v>950</v>
      </c>
      <c r="P35" s="2">
        <v>1173.544677734375</v>
      </c>
      <c r="Q35" s="2">
        <v>1103.276977539062</v>
      </c>
      <c r="R35" s="2">
        <f>O35*P35</f>
        <v>1114867.4438476562</v>
      </c>
      <c r="S35" s="2">
        <f>O35*Q35</f>
        <v>1048113.1286621089</v>
      </c>
      <c r="T35" s="2">
        <f>R35+S35</f>
        <v>2162980.5725097652</v>
      </c>
      <c r="U35" s="2">
        <f>ROUND(T35*0.0005, 2)</f>
        <v>1081.49</v>
      </c>
      <c r="V35" s="2">
        <f>S35-R35</f>
        <v>-66754.315185547341</v>
      </c>
      <c r="W35" s="2">
        <f>V35-U35</f>
        <v>-67835.805185547346</v>
      </c>
      <c r="X35" s="2">
        <f>K35+W35</f>
        <v>42766304.052188717</v>
      </c>
      <c r="Y35" s="2">
        <f>ROUND(0.2*R35, 2)</f>
        <v>222973.49</v>
      </c>
      <c r="Z35" s="2">
        <f>ROUND((W35/Y35)*100, 2)</f>
        <v>-30.42</v>
      </c>
      <c r="AA35" s="2">
        <f>MAX(AA34, X35)</f>
        <v>42834139.857374266</v>
      </c>
      <c r="AB35" s="2">
        <f>X35-AA35</f>
        <v>-67835.805185548961</v>
      </c>
    </row>
    <row r="36" spans="1:28">
      <c r="A36" s="2">
        <v>33</v>
      </c>
      <c r="B36" s="2" t="s">
        <v>240</v>
      </c>
      <c r="C36" s="2" t="s">
        <v>2400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42766304.052188717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42766304.052188717</v>
      </c>
      <c r="Y36" s="6" t="s">
        <v>1195</v>
      </c>
      <c r="Z36" s="6" t="s">
        <v>1195</v>
      </c>
      <c r="AA36" s="2">
        <f>AA35</f>
        <v>42834139.857374266</v>
      </c>
      <c r="AB36" s="2">
        <v>0</v>
      </c>
    </row>
    <row r="37" spans="1:28">
      <c r="A37" s="2">
        <v>34</v>
      </c>
      <c r="B37" s="2" t="s">
        <v>245</v>
      </c>
      <c r="C37" s="2" t="s">
        <v>2400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42766304.052188717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42766304.052188717</v>
      </c>
      <c r="Y37" s="6" t="s">
        <v>1195</v>
      </c>
      <c r="Z37" s="6" t="s">
        <v>1195</v>
      </c>
      <c r="AA37" s="2">
        <f>AA36</f>
        <v>42834139.857374266</v>
      </c>
      <c r="AB37" s="2">
        <v>0</v>
      </c>
    </row>
    <row r="38" spans="1:28">
      <c r="A38" s="2">
        <v>35</v>
      </c>
      <c r="B38" s="2" t="s">
        <v>248</v>
      </c>
      <c r="C38" s="2" t="s">
        <v>2400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42766304.052188717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42766304.052188717</v>
      </c>
      <c r="Y38" s="6" t="s">
        <v>1195</v>
      </c>
      <c r="Z38" s="6" t="s">
        <v>1195</v>
      </c>
      <c r="AA38" s="2">
        <f>AA37</f>
        <v>42834139.857374266</v>
      </c>
      <c r="AB38" s="2">
        <v>0</v>
      </c>
    </row>
    <row r="39" spans="1:28">
      <c r="A39" s="2">
        <v>36</v>
      </c>
      <c r="B39" s="2" t="s">
        <v>252</v>
      </c>
      <c r="C39" s="2" t="s">
        <v>2400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42766304.052188717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42766304.052188717</v>
      </c>
      <c r="Y39" s="6" t="s">
        <v>1195</v>
      </c>
      <c r="Z39" s="6" t="s">
        <v>1195</v>
      </c>
      <c r="AA39" s="2">
        <f>AA38</f>
        <v>42834139.857374266</v>
      </c>
      <c r="AB39" s="2">
        <v>0</v>
      </c>
    </row>
    <row r="40" spans="1:28">
      <c r="A40" s="2">
        <v>37</v>
      </c>
      <c r="B40" s="2" t="s">
        <v>256</v>
      </c>
      <c r="C40" s="2" t="s">
        <v>2400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2343</v>
      </c>
      <c r="J40" s="2" t="s">
        <v>2344</v>
      </c>
      <c r="K40" s="2">
        <f t="shared" si="10"/>
        <v>42766304.052188717</v>
      </c>
      <c r="L40" s="2" t="s">
        <v>1799</v>
      </c>
      <c r="M40" s="2" t="s">
        <v>1780</v>
      </c>
      <c r="N40" s="2" t="s">
        <v>1720</v>
      </c>
      <c r="O40" s="2">
        <v>1800</v>
      </c>
      <c r="P40" s="2">
        <v>271.70318603515619</v>
      </c>
      <c r="Q40" s="2">
        <v>206.48638916015619</v>
      </c>
      <c r="R40" s="2">
        <f>O40*P40</f>
        <v>489065.73486328113</v>
      </c>
      <c r="S40" s="2">
        <f>O40*Q40</f>
        <v>371675.50048828113</v>
      </c>
      <c r="T40" s="2">
        <f>R40+S40</f>
        <v>860741.23535156227</v>
      </c>
      <c r="U40" s="2">
        <f>ROUND(T40*0.0005, 2)</f>
        <v>430.37</v>
      </c>
      <c r="V40" s="2">
        <f>S40-R40</f>
        <v>-117390.234375</v>
      </c>
      <c r="W40" s="2">
        <f>V40-U40</f>
        <v>-117820.604375</v>
      </c>
      <c r="X40" s="2">
        <f>K40+W40</f>
        <v>42648483.44781372</v>
      </c>
      <c r="Y40" s="2">
        <f>ROUND(0.2*R40, 2)</f>
        <v>97813.15</v>
      </c>
      <c r="Z40" s="2">
        <f>ROUND((W40/Y40)*100, 2)</f>
        <v>-120.45</v>
      </c>
      <c r="AA40" s="2">
        <f>MAX(AA39, X40)</f>
        <v>42834139.857374266</v>
      </c>
      <c r="AB40" s="2">
        <f>X40-AA40</f>
        <v>-185656.40956054628</v>
      </c>
    </row>
    <row r="41" spans="1:28">
      <c r="A41" s="2">
        <v>38</v>
      </c>
      <c r="B41" s="2" t="s">
        <v>259</v>
      </c>
      <c r="C41" s="2" t="s">
        <v>2400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636</v>
      </c>
      <c r="J41" s="2" t="s">
        <v>1906</v>
      </c>
      <c r="K41" s="2">
        <f t="shared" si="10"/>
        <v>42648483.44781372</v>
      </c>
      <c r="L41" s="2" t="s">
        <v>1779</v>
      </c>
      <c r="M41" s="2" t="s">
        <v>1722</v>
      </c>
      <c r="N41" s="2" t="s">
        <v>1779</v>
      </c>
      <c r="O41" s="2">
        <v>200</v>
      </c>
      <c r="P41" s="2">
        <v>4948.154296875</v>
      </c>
      <c r="Q41" s="2">
        <v>4844.13916015625</v>
      </c>
      <c r="R41" s="2">
        <f>O41*P41</f>
        <v>989630.859375</v>
      </c>
      <c r="S41" s="2">
        <f>O41*Q41</f>
        <v>968827.83203125</v>
      </c>
      <c r="T41" s="2">
        <f>R41+S41</f>
        <v>1958458.69140625</v>
      </c>
      <c r="U41" s="2">
        <f>ROUND(T41*0.0005, 2)</f>
        <v>979.23</v>
      </c>
      <c r="V41" s="2">
        <f>S41-R41</f>
        <v>-20803.02734375</v>
      </c>
      <c r="W41" s="2">
        <f>V41-U41</f>
        <v>-21782.25734375</v>
      </c>
      <c r="X41" s="2">
        <f>K41+W41</f>
        <v>42626701.190469973</v>
      </c>
      <c r="Y41" s="2">
        <f>ROUND(0.2*R41, 2)</f>
        <v>197926.17</v>
      </c>
      <c r="Z41" s="2">
        <f>ROUND((W41/Y41)*100, 2)</f>
        <v>-11.01</v>
      </c>
      <c r="AA41" s="2">
        <f>MAX(AA40, X41)</f>
        <v>42834139.857374266</v>
      </c>
      <c r="AB41" s="2">
        <f>X41-AA41</f>
        <v>-207438.666904293</v>
      </c>
    </row>
    <row r="42" spans="1:28">
      <c r="A42" s="2">
        <v>39</v>
      </c>
      <c r="B42" s="2" t="s">
        <v>265</v>
      </c>
      <c r="C42" s="2" t="s">
        <v>2400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42626701.190469973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42626701.190469973</v>
      </c>
      <c r="Y42" s="6" t="s">
        <v>1195</v>
      </c>
      <c r="Z42" s="6" t="s">
        <v>1195</v>
      </c>
      <c r="AA42" s="2">
        <f t="shared" ref="AA42:AA47" si="13">AA41</f>
        <v>42834139.857374266</v>
      </c>
      <c r="AB42" s="2">
        <v>0</v>
      </c>
    </row>
    <row r="43" spans="1:28">
      <c r="A43" s="2">
        <v>40</v>
      </c>
      <c r="B43" s="2" t="s">
        <v>269</v>
      </c>
      <c r="C43" s="2" t="s">
        <v>2400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42626701.190469973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42626701.190469973</v>
      </c>
      <c r="Y43" s="6" t="s">
        <v>1195</v>
      </c>
      <c r="Z43" s="6" t="s">
        <v>1195</v>
      </c>
      <c r="AA43" s="2">
        <f t="shared" si="13"/>
        <v>42834139.857374266</v>
      </c>
      <c r="AB43" s="2">
        <v>0</v>
      </c>
    </row>
    <row r="44" spans="1:28">
      <c r="A44" s="2">
        <v>41</v>
      </c>
      <c r="B44" s="2" t="s">
        <v>272</v>
      </c>
      <c r="C44" s="2" t="s">
        <v>2400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42626701.190469973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42626701.190469973</v>
      </c>
      <c r="Y44" s="6" t="s">
        <v>1195</v>
      </c>
      <c r="Z44" s="6" t="s">
        <v>1195</v>
      </c>
      <c r="AA44" s="2">
        <f t="shared" si="13"/>
        <v>42834139.857374266</v>
      </c>
      <c r="AB44" s="2">
        <v>0</v>
      </c>
    </row>
    <row r="45" spans="1:28">
      <c r="A45" s="2">
        <v>42</v>
      </c>
      <c r="B45" s="2" t="s">
        <v>275</v>
      </c>
      <c r="C45" s="2" t="s">
        <v>2400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42626701.190469973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42626701.190469973</v>
      </c>
      <c r="Y45" s="6" t="s">
        <v>1195</v>
      </c>
      <c r="Z45" s="6" t="s">
        <v>1195</v>
      </c>
      <c r="AA45" s="2">
        <f t="shared" si="13"/>
        <v>42834139.857374266</v>
      </c>
      <c r="AB45" s="2">
        <v>0</v>
      </c>
    </row>
    <row r="46" spans="1:28">
      <c r="A46" s="2">
        <v>43</v>
      </c>
      <c r="B46" s="2" t="s">
        <v>280</v>
      </c>
      <c r="C46" s="2" t="s">
        <v>2400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42626701.190469973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42626701.190469973</v>
      </c>
      <c r="Y46" s="6" t="s">
        <v>1195</v>
      </c>
      <c r="Z46" s="6" t="s">
        <v>1195</v>
      </c>
      <c r="AA46" s="2">
        <f t="shared" si="13"/>
        <v>42834139.857374266</v>
      </c>
      <c r="AB46" s="2">
        <v>0</v>
      </c>
    </row>
    <row r="47" spans="1:28">
      <c r="A47" s="2">
        <v>44</v>
      </c>
      <c r="B47" s="2" t="s">
        <v>284</v>
      </c>
      <c r="C47" s="2" t="s">
        <v>2400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42626701.190469973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42626701.190469973</v>
      </c>
      <c r="Y47" s="6" t="s">
        <v>1195</v>
      </c>
      <c r="Z47" s="6" t="s">
        <v>1195</v>
      </c>
      <c r="AA47" s="2">
        <f t="shared" si="13"/>
        <v>42834139.857374266</v>
      </c>
      <c r="AB47" s="2">
        <v>0</v>
      </c>
    </row>
    <row r="48" spans="1:28">
      <c r="A48" s="2">
        <v>45</v>
      </c>
      <c r="B48" s="2" t="s">
        <v>291</v>
      </c>
      <c r="C48" s="2" t="s">
        <v>2400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1571</v>
      </c>
      <c r="J48" s="2" t="s">
        <v>2345</v>
      </c>
      <c r="K48" s="2">
        <f t="shared" si="10"/>
        <v>42626701.190469973</v>
      </c>
      <c r="L48" s="2" t="s">
        <v>1783</v>
      </c>
      <c r="M48" s="2" t="s">
        <v>1720</v>
      </c>
      <c r="N48" s="2" t="s">
        <v>1833</v>
      </c>
      <c r="O48" s="2">
        <v>650</v>
      </c>
      <c r="P48" s="2">
        <v>1280.211791992188</v>
      </c>
      <c r="Q48" s="2">
        <v>1257.7587890625</v>
      </c>
      <c r="R48" s="2">
        <f>O48*P48</f>
        <v>832137.66479492222</v>
      </c>
      <c r="S48" s="2">
        <f>O48*Q48</f>
        <v>817543.212890625</v>
      </c>
      <c r="T48" s="2">
        <f>R48+S48</f>
        <v>1649680.8776855473</v>
      </c>
      <c r="U48" s="2">
        <f>ROUND(T48*0.0005, 2)</f>
        <v>824.84</v>
      </c>
      <c r="V48" s="2">
        <f>S48-R48</f>
        <v>-14594.451904297224</v>
      </c>
      <c r="W48" s="2">
        <f>V48-U48</f>
        <v>-15419.291904297224</v>
      </c>
      <c r="X48" s="2">
        <f>K48+W48</f>
        <v>42611281.898565672</v>
      </c>
      <c r="Y48" s="2">
        <f>ROUND(0.2*R48, 2)</f>
        <v>166427.53</v>
      </c>
      <c r="Z48" s="2">
        <f>ROUND((W48/Y48)*100, 2)</f>
        <v>-9.26</v>
      </c>
      <c r="AA48" s="2">
        <f>MAX(AA47, X48)</f>
        <v>42834139.857374266</v>
      </c>
      <c r="AB48" s="2">
        <f>X48-AA48</f>
        <v>-222857.95880859345</v>
      </c>
    </row>
    <row r="49" spans="1:28">
      <c r="A49" s="2">
        <v>46</v>
      </c>
      <c r="B49" s="2" t="s">
        <v>295</v>
      </c>
      <c r="C49" s="2" t="s">
        <v>2400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2346</v>
      </c>
      <c r="J49" s="2" t="s">
        <v>2347</v>
      </c>
      <c r="K49" s="2">
        <f t="shared" si="10"/>
        <v>42611281.898565672</v>
      </c>
      <c r="L49" s="2" t="s">
        <v>1808</v>
      </c>
      <c r="M49" s="2" t="s">
        <v>1835</v>
      </c>
      <c r="N49" s="2" t="s">
        <v>1789</v>
      </c>
      <c r="O49" s="2">
        <v>2100</v>
      </c>
      <c r="P49" s="2">
        <v>353.50457763671881</v>
      </c>
      <c r="Q49" s="2">
        <v>405.35247802734381</v>
      </c>
      <c r="R49" s="2">
        <f>O49*P49</f>
        <v>742359.61303710949</v>
      </c>
      <c r="S49" s="2">
        <f>O49*Q49</f>
        <v>851240.20385742199</v>
      </c>
      <c r="T49" s="2">
        <f>R49+S49</f>
        <v>1593599.8168945315</v>
      </c>
      <c r="U49" s="2">
        <f>ROUND(T49*0.0005, 2)</f>
        <v>796.8</v>
      </c>
      <c r="V49" s="2">
        <f>S49-R49</f>
        <v>108880.5908203125</v>
      </c>
      <c r="W49" s="2">
        <f>V49-U49</f>
        <v>108083.7908203125</v>
      </c>
      <c r="X49" s="2">
        <f>K49+W49</f>
        <v>42719365.689385988</v>
      </c>
      <c r="Y49" s="2">
        <f>ROUND(0.2*R49, 2)</f>
        <v>148471.92000000001</v>
      </c>
      <c r="Z49" s="2">
        <f>ROUND((W49/Y49)*100, 2)</f>
        <v>72.8</v>
      </c>
      <c r="AA49" s="2">
        <f>MAX(AA48, X49)</f>
        <v>42834139.857374266</v>
      </c>
      <c r="AB49" s="2">
        <f>X49-AA49</f>
        <v>-114774.16798827797</v>
      </c>
    </row>
    <row r="50" spans="1:28">
      <c r="A50" s="2">
        <v>47</v>
      </c>
      <c r="B50" s="2" t="s">
        <v>299</v>
      </c>
      <c r="C50" s="2" t="s">
        <v>2400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42719365.689385988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42719365.689385988</v>
      </c>
      <c r="Y50" s="6" t="s">
        <v>1195</v>
      </c>
      <c r="Z50" s="6" t="s">
        <v>1195</v>
      </c>
      <c r="AA50" s="2">
        <f t="shared" ref="AA50:AA61" si="15">AA49</f>
        <v>42834139.857374266</v>
      </c>
      <c r="AB50" s="2">
        <v>0</v>
      </c>
    </row>
    <row r="51" spans="1:28">
      <c r="A51" s="2">
        <v>48</v>
      </c>
      <c r="B51" s="2" t="s">
        <v>303</v>
      </c>
      <c r="C51" s="2" t="s">
        <v>2400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42719365.689385988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42719365.689385988</v>
      </c>
      <c r="Y51" s="6" t="s">
        <v>1195</v>
      </c>
      <c r="Z51" s="6" t="s">
        <v>1195</v>
      </c>
      <c r="AA51" s="2">
        <f t="shared" si="15"/>
        <v>42834139.857374266</v>
      </c>
      <c r="AB51" s="2">
        <v>0</v>
      </c>
    </row>
    <row r="52" spans="1:28">
      <c r="A52" s="2">
        <v>49</v>
      </c>
      <c r="B52" s="2" t="s">
        <v>307</v>
      </c>
      <c r="C52" s="2" t="s">
        <v>2400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42719365.689385988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42719365.689385988</v>
      </c>
      <c r="Y52" s="6" t="s">
        <v>1195</v>
      </c>
      <c r="Z52" s="6" t="s">
        <v>1195</v>
      </c>
      <c r="AA52" s="2">
        <f t="shared" si="15"/>
        <v>42834139.857374266</v>
      </c>
      <c r="AB52" s="2">
        <v>0</v>
      </c>
    </row>
    <row r="53" spans="1:28">
      <c r="A53" s="2">
        <v>50</v>
      </c>
      <c r="B53" s="2" t="s">
        <v>311</v>
      </c>
      <c r="C53" s="2" t="s">
        <v>2400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42719365.689385988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42719365.689385988</v>
      </c>
      <c r="Y53" s="6" t="s">
        <v>1195</v>
      </c>
      <c r="Z53" s="6" t="s">
        <v>1195</v>
      </c>
      <c r="AA53" s="2">
        <f t="shared" si="15"/>
        <v>42834139.857374266</v>
      </c>
      <c r="AB53" s="2">
        <v>0</v>
      </c>
    </row>
    <row r="54" spans="1:28">
      <c r="A54" s="2">
        <v>51</v>
      </c>
      <c r="B54" s="2" t="s">
        <v>315</v>
      </c>
      <c r="C54" s="2" t="s">
        <v>2400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42719365.689385988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42719365.689385988</v>
      </c>
      <c r="Y54" s="6" t="s">
        <v>1195</v>
      </c>
      <c r="Z54" s="6" t="s">
        <v>1195</v>
      </c>
      <c r="AA54" s="2">
        <f t="shared" si="15"/>
        <v>42834139.857374266</v>
      </c>
      <c r="AB54" s="2">
        <v>0</v>
      </c>
    </row>
    <row r="55" spans="1:28">
      <c r="A55" s="2">
        <v>52</v>
      </c>
      <c r="B55" s="2" t="s">
        <v>318</v>
      </c>
      <c r="C55" s="2" t="s">
        <v>2400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42719365.689385988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42719365.689385988</v>
      </c>
      <c r="Y55" s="6" t="s">
        <v>1195</v>
      </c>
      <c r="Z55" s="6" t="s">
        <v>1195</v>
      </c>
      <c r="AA55" s="2">
        <f t="shared" si="15"/>
        <v>42834139.857374266</v>
      </c>
      <c r="AB55" s="2">
        <v>0</v>
      </c>
    </row>
    <row r="56" spans="1:28">
      <c r="A56" s="2">
        <v>53</v>
      </c>
      <c r="B56" s="2" t="s">
        <v>322</v>
      </c>
      <c r="C56" s="2" t="s">
        <v>2400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42719365.689385988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42719365.689385988</v>
      </c>
      <c r="Y56" s="6" t="s">
        <v>1195</v>
      </c>
      <c r="Z56" s="6" t="s">
        <v>1195</v>
      </c>
      <c r="AA56" s="2">
        <f t="shared" si="15"/>
        <v>42834139.857374266</v>
      </c>
      <c r="AB56" s="2">
        <v>0</v>
      </c>
    </row>
    <row r="57" spans="1:28">
      <c r="A57" s="2">
        <v>54</v>
      </c>
      <c r="B57" s="2" t="s">
        <v>324</v>
      </c>
      <c r="C57" s="2" t="s">
        <v>2400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42719365.689385988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42719365.689385988</v>
      </c>
      <c r="Y57" s="6" t="s">
        <v>1195</v>
      </c>
      <c r="Z57" s="6" t="s">
        <v>1195</v>
      </c>
      <c r="AA57" s="2">
        <f t="shared" si="15"/>
        <v>42834139.857374266</v>
      </c>
      <c r="AB57" s="2">
        <v>0</v>
      </c>
    </row>
    <row r="58" spans="1:28">
      <c r="A58" s="2">
        <v>55</v>
      </c>
      <c r="B58" s="2" t="s">
        <v>328</v>
      </c>
      <c r="C58" s="2" t="s">
        <v>2400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42719365.689385988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42719365.689385988</v>
      </c>
      <c r="Y58" s="6" t="s">
        <v>1195</v>
      </c>
      <c r="Z58" s="6" t="s">
        <v>1195</v>
      </c>
      <c r="AA58" s="2">
        <f t="shared" si="15"/>
        <v>42834139.857374266</v>
      </c>
      <c r="AB58" s="2">
        <v>0</v>
      </c>
    </row>
    <row r="59" spans="1:28">
      <c r="A59" s="2">
        <v>56</v>
      </c>
      <c r="B59" s="2" t="s">
        <v>332</v>
      </c>
      <c r="C59" s="2" t="s">
        <v>2400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42719365.689385988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42719365.689385988</v>
      </c>
      <c r="Y59" s="6" t="s">
        <v>1195</v>
      </c>
      <c r="Z59" s="6" t="s">
        <v>1195</v>
      </c>
      <c r="AA59" s="2">
        <f t="shared" si="15"/>
        <v>42834139.857374266</v>
      </c>
      <c r="AB59" s="2">
        <v>0</v>
      </c>
    </row>
    <row r="60" spans="1:28">
      <c r="A60" s="2">
        <v>57</v>
      </c>
      <c r="B60" s="2" t="s">
        <v>337</v>
      </c>
      <c r="C60" s="2" t="s">
        <v>2400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42719365.689385988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42719365.689385988</v>
      </c>
      <c r="Y60" s="6" t="s">
        <v>1195</v>
      </c>
      <c r="Z60" s="6" t="s">
        <v>1195</v>
      </c>
      <c r="AA60" s="2">
        <f t="shared" si="15"/>
        <v>42834139.857374266</v>
      </c>
      <c r="AB60" s="2">
        <v>0</v>
      </c>
    </row>
    <row r="61" spans="1:28">
      <c r="A61" s="2">
        <v>58</v>
      </c>
      <c r="B61" s="2" t="s">
        <v>341</v>
      </c>
      <c r="C61" s="2" t="s">
        <v>2400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42719365.689385988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42719365.689385988</v>
      </c>
      <c r="Y61" s="6" t="s">
        <v>1195</v>
      </c>
      <c r="Z61" s="6" t="s">
        <v>1195</v>
      </c>
      <c r="AA61" s="2">
        <f t="shared" si="15"/>
        <v>42834139.857374266</v>
      </c>
      <c r="AB61" s="2">
        <v>0</v>
      </c>
    </row>
    <row r="62" spans="1:28">
      <c r="A62" s="2">
        <v>59</v>
      </c>
      <c r="B62" s="2" t="s">
        <v>347</v>
      </c>
      <c r="C62" s="2" t="s">
        <v>2400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2325</v>
      </c>
      <c r="J62" s="2" t="s">
        <v>2274</v>
      </c>
      <c r="K62" s="2">
        <f t="shared" si="10"/>
        <v>42719365.689385988</v>
      </c>
      <c r="L62" s="2" t="s">
        <v>1842</v>
      </c>
      <c r="M62" s="2" t="s">
        <v>1808</v>
      </c>
      <c r="N62" s="2" t="s">
        <v>1720</v>
      </c>
      <c r="O62" s="2">
        <v>125</v>
      </c>
      <c r="P62" s="2">
        <v>1176.6025390625</v>
      </c>
      <c r="Q62" s="2">
        <v>1109.22412109375</v>
      </c>
      <c r="R62" s="2">
        <f>O62*P62</f>
        <v>147075.3173828125</v>
      </c>
      <c r="S62" s="2">
        <f>O62*Q62</f>
        <v>138653.01513671875</v>
      </c>
      <c r="T62" s="2">
        <f>R62+S62</f>
        <v>285728.33251953125</v>
      </c>
      <c r="U62" s="2">
        <f>ROUND(T62*0.0005, 2)</f>
        <v>142.86000000000001</v>
      </c>
      <c r="V62" s="2">
        <f>S62-R62</f>
        <v>-8422.30224609375</v>
      </c>
      <c r="W62" s="2">
        <f>V62-U62</f>
        <v>-8565.1622460937506</v>
      </c>
      <c r="X62" s="2">
        <f>K62+W62</f>
        <v>42710800.527139895</v>
      </c>
      <c r="Y62" s="2">
        <f>ROUND(0.2*R62, 2)</f>
        <v>29415.06</v>
      </c>
      <c r="Z62" s="2">
        <f>ROUND((W62/Y62)*100, 2)</f>
        <v>-29.12</v>
      </c>
      <c r="AA62" s="2">
        <f>MAX(AA61, X62)</f>
        <v>42834139.857374266</v>
      </c>
      <c r="AB62" s="2">
        <f>X62-AA62</f>
        <v>-123339.33023437113</v>
      </c>
    </row>
    <row r="63" spans="1:28">
      <c r="A63" s="2">
        <v>60</v>
      </c>
      <c r="B63" s="2" t="s">
        <v>351</v>
      </c>
      <c r="C63" s="2" t="s">
        <v>2400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934</v>
      </c>
      <c r="J63" s="2" t="s">
        <v>1473</v>
      </c>
      <c r="K63" s="2">
        <f t="shared" si="10"/>
        <v>42710800.527139895</v>
      </c>
      <c r="L63" s="2" t="s">
        <v>1802</v>
      </c>
      <c r="M63" s="2" t="s">
        <v>1721</v>
      </c>
      <c r="N63" s="2" t="s">
        <v>1809</v>
      </c>
      <c r="O63" s="2">
        <v>175</v>
      </c>
      <c r="P63" s="2">
        <v>3735.195068359375</v>
      </c>
      <c r="Q63" s="2">
        <v>3824.045654296875</v>
      </c>
      <c r="R63" s="2">
        <f>O63*P63</f>
        <v>653659.13696289062</v>
      </c>
      <c r="S63" s="2">
        <f>O63*Q63</f>
        <v>669207.98950195312</v>
      </c>
      <c r="T63" s="2">
        <f>R63+S63</f>
        <v>1322867.1264648438</v>
      </c>
      <c r="U63" s="2">
        <f>ROUND(T63*0.0005, 2)</f>
        <v>661.43</v>
      </c>
      <c r="V63" s="2">
        <f>S63-R63</f>
        <v>15548.8525390625</v>
      </c>
      <c r="W63" s="2">
        <f>V63-U63</f>
        <v>14887.4225390625</v>
      </c>
      <c r="X63" s="2">
        <f>K63+W63</f>
        <v>42725687.949678957</v>
      </c>
      <c r="Y63" s="2">
        <f>ROUND(0.2*R63, 2)</f>
        <v>130731.83</v>
      </c>
      <c r="Z63" s="2">
        <f>ROUND((W63/Y63)*100, 2)</f>
        <v>11.39</v>
      </c>
      <c r="AA63" s="2">
        <f>MAX(AA62, X63)</f>
        <v>42834139.857374266</v>
      </c>
      <c r="AB63" s="2">
        <f>X63-AA63</f>
        <v>-108451.90769530833</v>
      </c>
    </row>
    <row r="64" spans="1:28">
      <c r="A64" s="2">
        <v>61</v>
      </c>
      <c r="B64" s="2" t="s">
        <v>355</v>
      </c>
      <c r="C64" s="2" t="s">
        <v>2400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2416</v>
      </c>
      <c r="J64" s="2" t="s">
        <v>2417</v>
      </c>
      <c r="K64" s="2">
        <f t="shared" si="10"/>
        <v>42725687.949678957</v>
      </c>
      <c r="L64" s="2" t="s">
        <v>2418</v>
      </c>
      <c r="M64" s="2" t="s">
        <v>2419</v>
      </c>
      <c r="N64" s="2" t="s">
        <v>2420</v>
      </c>
      <c r="O64" s="2">
        <v>3399</v>
      </c>
      <c r="P64" s="2">
        <v>131.1499938964844</v>
      </c>
      <c r="Q64" s="2">
        <v>157.6000061035156</v>
      </c>
      <c r="R64" s="2">
        <f>O64*P64</f>
        <v>445778.82925415051</v>
      </c>
      <c r="S64" s="2">
        <f>O64*Q64</f>
        <v>535682.42074584949</v>
      </c>
      <c r="T64" s="2">
        <f>R64+S64</f>
        <v>981461.25</v>
      </c>
      <c r="U64" s="2">
        <f>ROUND(T64*0.0005, 2)</f>
        <v>490.73</v>
      </c>
      <c r="V64" s="2">
        <f>S64-R64</f>
        <v>89903.591491698986</v>
      </c>
      <c r="W64" s="2">
        <f>V64-U64</f>
        <v>89412.86149169899</v>
      </c>
      <c r="X64" s="2">
        <f>K64+W64</f>
        <v>42815100.81117066</v>
      </c>
      <c r="Y64" s="2">
        <f>ROUND(0.2*R64, 2)</f>
        <v>89155.77</v>
      </c>
      <c r="Z64" s="2">
        <f>ROUND((W64/Y64)*100, 2)</f>
        <v>100.29</v>
      </c>
      <c r="AA64" s="2">
        <f>MAX(AA63, X64)</f>
        <v>42834139.857374266</v>
      </c>
      <c r="AB64" s="2">
        <f>X64-AA64</f>
        <v>-19039.046203605831</v>
      </c>
    </row>
    <row r="65" spans="1:28">
      <c r="A65" s="2">
        <v>62</v>
      </c>
      <c r="B65" s="2" t="s">
        <v>360</v>
      </c>
      <c r="C65" s="2" t="s">
        <v>2400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42815100.81117066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42815100.81117066</v>
      </c>
      <c r="Y65" s="6" t="s">
        <v>1195</v>
      </c>
      <c r="Z65" s="6" t="s">
        <v>1195</v>
      </c>
      <c r="AA65" s="2">
        <f>AA64</f>
        <v>42834139.857374266</v>
      </c>
      <c r="AB65" s="2">
        <v>0</v>
      </c>
    </row>
    <row r="66" spans="1:28">
      <c r="A66" s="2">
        <v>63</v>
      </c>
      <c r="B66" s="2" t="s">
        <v>364</v>
      </c>
      <c r="C66" s="2" t="s">
        <v>2400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2421</v>
      </c>
      <c r="J66" s="2" t="s">
        <v>2332</v>
      </c>
      <c r="K66" s="2">
        <f t="shared" si="10"/>
        <v>42815100.81117066</v>
      </c>
      <c r="L66" s="2" t="s">
        <v>1005</v>
      </c>
      <c r="M66" s="2" t="s">
        <v>1269</v>
      </c>
      <c r="N66" s="2" t="s">
        <v>1272</v>
      </c>
      <c r="O66" s="2">
        <v>100</v>
      </c>
      <c r="P66" s="2">
        <v>8723.7255859375</v>
      </c>
      <c r="Q66" s="2">
        <v>8224.5234375</v>
      </c>
      <c r="R66" s="2">
        <f>O66*P66</f>
        <v>872372.55859375</v>
      </c>
      <c r="S66" s="2">
        <f>O66*Q66</f>
        <v>822452.34375</v>
      </c>
      <c r="T66" s="2">
        <f>R66+S66</f>
        <v>1694824.90234375</v>
      </c>
      <c r="U66" s="2">
        <f>ROUND(T66*0.0005, 2)</f>
        <v>847.41</v>
      </c>
      <c r="V66" s="2">
        <f>S66-R66</f>
        <v>-49920.21484375</v>
      </c>
      <c r="W66" s="2">
        <f>V66-U66</f>
        <v>-50767.624843750003</v>
      </c>
      <c r="X66" s="2">
        <f>K66+W66</f>
        <v>42764333.186326914</v>
      </c>
      <c r="Y66" s="2">
        <f>ROUND(0.2*R66, 2)</f>
        <v>174474.51</v>
      </c>
      <c r="Z66" s="2">
        <f>ROUND((W66/Y66)*100, 2)</f>
        <v>-29.1</v>
      </c>
      <c r="AA66" s="2">
        <f>MAX(AA65, X66)</f>
        <v>42834139.857374266</v>
      </c>
      <c r="AB66" s="2">
        <f>X66-AA66</f>
        <v>-69806.671047352254</v>
      </c>
    </row>
    <row r="67" spans="1:28">
      <c r="A67" s="2">
        <v>64</v>
      </c>
      <c r="B67" s="2" t="s">
        <v>369</v>
      </c>
      <c r="C67" s="2" t="s">
        <v>2400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42764333.186326914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42764333.186326914</v>
      </c>
      <c r="Y67" s="6" t="s">
        <v>1195</v>
      </c>
      <c r="Z67" s="6" t="s">
        <v>1195</v>
      </c>
      <c r="AA67" s="2">
        <f t="shared" ref="AA67:AA73" si="17">AA66</f>
        <v>42834139.857374266</v>
      </c>
      <c r="AB67" s="2">
        <v>0</v>
      </c>
    </row>
    <row r="68" spans="1:28">
      <c r="A68" s="2">
        <v>65</v>
      </c>
      <c r="B68" s="2" t="s">
        <v>372</v>
      </c>
      <c r="C68" s="2" t="s">
        <v>2400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42764333.186326914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42764333.186326914</v>
      </c>
      <c r="Y68" s="6" t="s">
        <v>1195</v>
      </c>
      <c r="Z68" s="6" t="s">
        <v>1195</v>
      </c>
      <c r="AA68" s="2">
        <f t="shared" si="17"/>
        <v>42834139.857374266</v>
      </c>
      <c r="AB68" s="2">
        <v>0</v>
      </c>
    </row>
    <row r="69" spans="1:28">
      <c r="A69" s="2">
        <v>66</v>
      </c>
      <c r="B69" s="2" t="s">
        <v>376</v>
      </c>
      <c r="C69" s="2" t="s">
        <v>2400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42764333.186326914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42764333.186326914</v>
      </c>
      <c r="Y69" s="6" t="s">
        <v>1195</v>
      </c>
      <c r="Z69" s="6" t="s">
        <v>1195</v>
      </c>
      <c r="AA69" s="2">
        <f t="shared" si="17"/>
        <v>42834139.857374266</v>
      </c>
      <c r="AB69" s="2">
        <v>0</v>
      </c>
    </row>
    <row r="70" spans="1:28">
      <c r="A70" s="2">
        <v>67</v>
      </c>
      <c r="B70" s="2" t="s">
        <v>381</v>
      </c>
      <c r="C70" s="2" t="s">
        <v>2400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42764333.186326914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42764333.186326914</v>
      </c>
      <c r="Y70" s="6" t="s">
        <v>1195</v>
      </c>
      <c r="Z70" s="6" t="s">
        <v>1195</v>
      </c>
      <c r="AA70" s="2">
        <f t="shared" si="17"/>
        <v>42834139.857374266</v>
      </c>
      <c r="AB70" s="2">
        <v>0</v>
      </c>
    </row>
    <row r="71" spans="1:28">
      <c r="A71" s="2">
        <v>68</v>
      </c>
      <c r="B71" s="2" t="s">
        <v>385</v>
      </c>
      <c r="C71" s="2" t="s">
        <v>2400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42764333.186326914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42764333.186326914</v>
      </c>
      <c r="Y71" s="6" t="s">
        <v>1195</v>
      </c>
      <c r="Z71" s="6" t="s">
        <v>1195</v>
      </c>
      <c r="AA71" s="2">
        <f t="shared" si="17"/>
        <v>42834139.857374266</v>
      </c>
      <c r="AB71" s="2">
        <v>0</v>
      </c>
    </row>
    <row r="72" spans="1:28">
      <c r="A72" s="2">
        <v>69</v>
      </c>
      <c r="B72" s="2" t="s">
        <v>390</v>
      </c>
      <c r="C72" s="2" t="s">
        <v>2400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42764333.186326914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42764333.186326914</v>
      </c>
      <c r="Y72" s="6" t="s">
        <v>1195</v>
      </c>
      <c r="Z72" s="6" t="s">
        <v>1195</v>
      </c>
      <c r="AA72" s="2">
        <f t="shared" si="17"/>
        <v>42834139.857374266</v>
      </c>
      <c r="AB72" s="2">
        <v>0</v>
      </c>
    </row>
    <row r="73" spans="1:28">
      <c r="A73" s="2">
        <v>70</v>
      </c>
      <c r="B73" s="2" t="s">
        <v>393</v>
      </c>
      <c r="C73" s="2" t="s">
        <v>2400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42764333.186326914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42764333.186326914</v>
      </c>
      <c r="Y73" s="6" t="s">
        <v>1195</v>
      </c>
      <c r="Z73" s="6" t="s">
        <v>1195</v>
      </c>
      <c r="AA73" s="2">
        <f t="shared" si="17"/>
        <v>42834139.857374266</v>
      </c>
      <c r="AB73" s="2">
        <v>0</v>
      </c>
    </row>
    <row r="74" spans="1:28">
      <c r="A74" s="2">
        <v>71</v>
      </c>
      <c r="B74" s="2" t="s">
        <v>397</v>
      </c>
      <c r="C74" s="2" t="s">
        <v>2400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425</v>
      </c>
      <c r="J74" s="2" t="s">
        <v>887</v>
      </c>
      <c r="K74" s="2">
        <f t="shared" si="18"/>
        <v>42764333.186326914</v>
      </c>
      <c r="L74" s="2" t="s">
        <v>1778</v>
      </c>
      <c r="M74" s="2" t="s">
        <v>1721</v>
      </c>
      <c r="N74" s="2" t="s">
        <v>1722</v>
      </c>
      <c r="O74" s="2">
        <v>250</v>
      </c>
      <c r="P74" s="2">
        <v>2069.29150390625</v>
      </c>
      <c r="Q74" s="2">
        <v>2074.20458984375</v>
      </c>
      <c r="R74" s="2">
        <f>O74*P74</f>
        <v>517322.8759765625</v>
      </c>
      <c r="S74" s="2">
        <f>O74*Q74</f>
        <v>518551.1474609375</v>
      </c>
      <c r="T74" s="2">
        <f>R74+S74</f>
        <v>1035874.0234375</v>
      </c>
      <c r="U74" s="2">
        <f>ROUND(T74*0.0005, 2)</f>
        <v>517.94000000000005</v>
      </c>
      <c r="V74" s="2">
        <f>S74-R74</f>
        <v>1228.271484375</v>
      </c>
      <c r="W74" s="2">
        <f>V74-U74</f>
        <v>710.33148437499995</v>
      </c>
      <c r="X74" s="2">
        <f>K74+W74</f>
        <v>42765043.517811291</v>
      </c>
      <c r="Y74" s="2">
        <f>ROUND(0.2*R74, 2)</f>
        <v>103464.58</v>
      </c>
      <c r="Z74" s="2">
        <f>ROUND((W74/Y74)*100, 2)</f>
        <v>0.69</v>
      </c>
      <c r="AA74" s="2">
        <f>MAX(AA73, X74)</f>
        <v>42834139.857374266</v>
      </c>
      <c r="AB74" s="2">
        <f>X74-AA74</f>
        <v>-69096.33956297487</v>
      </c>
    </row>
    <row r="75" spans="1:28">
      <c r="A75" s="2">
        <v>72</v>
      </c>
      <c r="B75" s="2" t="s">
        <v>403</v>
      </c>
      <c r="C75" s="2" t="s">
        <v>2400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42765043.517811291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42765043.517811291</v>
      </c>
      <c r="Y75" s="6" t="s">
        <v>1195</v>
      </c>
      <c r="Z75" s="6" t="s">
        <v>1195</v>
      </c>
      <c r="AA75" s="2">
        <f>AA74</f>
        <v>42834139.857374266</v>
      </c>
      <c r="AB75" s="2">
        <v>0</v>
      </c>
    </row>
    <row r="76" spans="1:28">
      <c r="A76" s="2">
        <v>73</v>
      </c>
      <c r="B76" s="2" t="s">
        <v>406</v>
      </c>
      <c r="C76" s="2" t="s">
        <v>2400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42765043.517811291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42765043.517811291</v>
      </c>
      <c r="Y76" s="6" t="s">
        <v>1195</v>
      </c>
      <c r="Z76" s="6" t="s">
        <v>1195</v>
      </c>
      <c r="AA76" s="2">
        <f>AA75</f>
        <v>42834139.857374266</v>
      </c>
      <c r="AB76" s="2">
        <v>0</v>
      </c>
    </row>
    <row r="77" spans="1:28">
      <c r="A77" s="2">
        <v>74</v>
      </c>
      <c r="B77" s="2" t="s">
        <v>410</v>
      </c>
      <c r="C77" s="2" t="s">
        <v>2400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42765043.517811291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42765043.517811291</v>
      </c>
      <c r="Y77" s="6" t="s">
        <v>1195</v>
      </c>
      <c r="Z77" s="6" t="s">
        <v>1195</v>
      </c>
      <c r="AA77" s="2">
        <f>AA76</f>
        <v>42834139.857374266</v>
      </c>
      <c r="AB77" s="2">
        <v>0</v>
      </c>
    </row>
    <row r="78" spans="1:28">
      <c r="A78" s="2">
        <v>75</v>
      </c>
      <c r="B78" s="2" t="s">
        <v>414</v>
      </c>
      <c r="C78" s="2" t="s">
        <v>2400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1266</v>
      </c>
      <c r="J78" s="2" t="s">
        <v>2355</v>
      </c>
      <c r="K78" s="2">
        <f t="shared" si="18"/>
        <v>42765043.517811291</v>
      </c>
      <c r="L78" s="2" t="s">
        <v>2356</v>
      </c>
      <c r="M78" s="2" t="s">
        <v>1842</v>
      </c>
      <c r="N78" s="2" t="s">
        <v>1787</v>
      </c>
      <c r="O78" s="2">
        <v>350</v>
      </c>
      <c r="P78" s="2">
        <v>1311.830322265625</v>
      </c>
      <c r="Q78" s="2">
        <v>1420.236328125</v>
      </c>
      <c r="R78" s="2">
        <f>O78*P78</f>
        <v>459140.61279296875</v>
      </c>
      <c r="S78" s="2">
        <f>O78*Q78</f>
        <v>497082.71484375</v>
      </c>
      <c r="T78" s="2">
        <f>R78+S78</f>
        <v>956223.32763671875</v>
      </c>
      <c r="U78" s="2">
        <f>ROUND(T78*0.0005, 2)</f>
        <v>478.11</v>
      </c>
      <c r="V78" s="2">
        <f>S78-R78</f>
        <v>37942.10205078125</v>
      </c>
      <c r="W78" s="2">
        <f>V78-U78</f>
        <v>37463.992050781249</v>
      </c>
      <c r="X78" s="2">
        <f>K78+W78</f>
        <v>42802507.509862073</v>
      </c>
      <c r="Y78" s="2">
        <f>ROUND(0.2*R78, 2)</f>
        <v>91828.12</v>
      </c>
      <c r="Z78" s="2">
        <f>ROUND((W78/Y78)*100, 2)</f>
        <v>40.799999999999997</v>
      </c>
      <c r="AA78" s="2">
        <f>MAX(AA77, X78)</f>
        <v>42834139.857374266</v>
      </c>
      <c r="AB78" s="2">
        <f>X78-AA78</f>
        <v>-31632.347512193024</v>
      </c>
    </row>
    <row r="79" spans="1:28">
      <c r="A79" s="2">
        <v>76</v>
      </c>
      <c r="B79" s="2" t="s">
        <v>419</v>
      </c>
      <c r="C79" s="2" t="s">
        <v>2400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42802507.509862073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42802507.509862073</v>
      </c>
      <c r="Y79" s="6" t="s">
        <v>1195</v>
      </c>
      <c r="Z79" s="6" t="s">
        <v>1195</v>
      </c>
      <c r="AA79" s="2">
        <f>AA78</f>
        <v>42834139.857374266</v>
      </c>
      <c r="AB79" s="2">
        <v>0</v>
      </c>
    </row>
    <row r="80" spans="1:28">
      <c r="A80" s="2">
        <v>77</v>
      </c>
      <c r="B80" s="2" t="s">
        <v>423</v>
      </c>
      <c r="C80" s="2" t="s">
        <v>2400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2357</v>
      </c>
      <c r="J80" s="2" t="s">
        <v>2358</v>
      </c>
      <c r="K80" s="2">
        <f t="shared" si="18"/>
        <v>42802507.509862073</v>
      </c>
      <c r="L80" s="2" t="s">
        <v>2356</v>
      </c>
      <c r="M80" s="2" t="s">
        <v>1584</v>
      </c>
      <c r="N80" s="2" t="s">
        <v>1815</v>
      </c>
      <c r="O80" s="2">
        <v>550</v>
      </c>
      <c r="P80" s="2">
        <v>796.4052734375</v>
      </c>
      <c r="Q80" s="2">
        <v>697.03717041015625</v>
      </c>
      <c r="R80" s="2">
        <f>O80*P80</f>
        <v>438022.900390625</v>
      </c>
      <c r="S80" s="2">
        <f>O80*Q80</f>
        <v>383370.44372558594</v>
      </c>
      <c r="T80" s="2">
        <f>R80+S80</f>
        <v>821393.34411621094</v>
      </c>
      <c r="U80" s="2">
        <f>ROUND(T80*0.0005, 2)</f>
        <v>410.7</v>
      </c>
      <c r="V80" s="2">
        <f>S80-R80</f>
        <v>-54652.456665039063</v>
      </c>
      <c r="W80" s="2">
        <f>V80-U80</f>
        <v>-55063.15666503906</v>
      </c>
      <c r="X80" s="2">
        <f>K80+W80</f>
        <v>42747444.353197031</v>
      </c>
      <c r="Y80" s="2">
        <f>ROUND(0.2*R80, 2)</f>
        <v>87604.58</v>
      </c>
      <c r="Z80" s="2">
        <f>ROUND((W80/Y80)*100, 2)</f>
        <v>-62.85</v>
      </c>
      <c r="AA80" s="2">
        <f>MAX(AA79, X80)</f>
        <v>42834139.857374266</v>
      </c>
      <c r="AB80" s="2">
        <f>X80-AA80</f>
        <v>-86695.504177235067</v>
      </c>
    </row>
    <row r="81" spans="1:28">
      <c r="A81" s="2">
        <v>78</v>
      </c>
      <c r="B81" s="2" t="s">
        <v>428</v>
      </c>
      <c r="C81" s="2" t="s">
        <v>2400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152</v>
      </c>
      <c r="J81" s="2" t="s">
        <v>917</v>
      </c>
      <c r="K81" s="2">
        <f t="shared" si="18"/>
        <v>42747444.353197031</v>
      </c>
      <c r="L81" s="2" t="s">
        <v>2422</v>
      </c>
      <c r="M81" s="2" t="s">
        <v>2423</v>
      </c>
      <c r="N81" s="2" t="s">
        <v>2424</v>
      </c>
      <c r="O81" s="2">
        <v>1100</v>
      </c>
      <c r="P81" s="2">
        <v>672.391357421875</v>
      </c>
      <c r="Q81" s="2">
        <v>692.37310791015625</v>
      </c>
      <c r="R81" s="2">
        <f>O81*P81</f>
        <v>739630.4931640625</v>
      </c>
      <c r="S81" s="2">
        <f>O81*Q81</f>
        <v>761610.41870117187</v>
      </c>
      <c r="T81" s="2">
        <f>R81+S81</f>
        <v>1501240.9118652344</v>
      </c>
      <c r="U81" s="2">
        <f>ROUND(T81*0.0005, 2)</f>
        <v>750.62</v>
      </c>
      <c r="V81" s="2">
        <f>S81-R81</f>
        <v>21979.925537109375</v>
      </c>
      <c r="W81" s="2">
        <f>V81-U81</f>
        <v>21229.305537109376</v>
      </c>
      <c r="X81" s="2">
        <f>K81+W81</f>
        <v>42768673.658734143</v>
      </c>
      <c r="Y81" s="2">
        <f>ROUND(0.2*R81, 2)</f>
        <v>147926.1</v>
      </c>
      <c r="Z81" s="2">
        <f>ROUND((W81/Y81)*100, 2)</f>
        <v>14.35</v>
      </c>
      <c r="AA81" s="2">
        <f>MAX(AA80, X81)</f>
        <v>42834139.857374266</v>
      </c>
      <c r="AB81" s="2">
        <f>X81-AA81</f>
        <v>-65466.19864012301</v>
      </c>
    </row>
    <row r="82" spans="1:28">
      <c r="A82" s="2">
        <v>79</v>
      </c>
      <c r="B82" s="2" t="s">
        <v>433</v>
      </c>
      <c r="C82" s="2" t="s">
        <v>2400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779</v>
      </c>
      <c r="J82" s="2" t="s">
        <v>1196</v>
      </c>
      <c r="K82" s="2">
        <f t="shared" si="18"/>
        <v>42768673.658734143</v>
      </c>
      <c r="L82" s="2" t="s">
        <v>1779</v>
      </c>
      <c r="M82" s="2" t="s">
        <v>1861</v>
      </c>
      <c r="N82" s="2" t="s">
        <v>1790</v>
      </c>
      <c r="O82" s="2">
        <v>150</v>
      </c>
      <c r="P82" s="2">
        <v>4389.19189453125</v>
      </c>
      <c r="Q82" s="2">
        <v>4481.63037109375</v>
      </c>
      <c r="R82" s="2">
        <f>O82*P82</f>
        <v>658378.7841796875</v>
      </c>
      <c r="S82" s="2">
        <f>O82*Q82</f>
        <v>672244.5556640625</v>
      </c>
      <c r="T82" s="2">
        <f>R82+S82</f>
        <v>1330623.33984375</v>
      </c>
      <c r="U82" s="2">
        <f>ROUND(T82*0.0005, 2)</f>
        <v>665.31</v>
      </c>
      <c r="V82" s="2">
        <f>S82-R82</f>
        <v>13865.771484375</v>
      </c>
      <c r="W82" s="2">
        <f>V82-U82</f>
        <v>13200.461484375001</v>
      </c>
      <c r="X82" s="2">
        <f>K82+W82</f>
        <v>42781874.120218515</v>
      </c>
      <c r="Y82" s="2">
        <f>ROUND(0.2*R82, 2)</f>
        <v>131675.76</v>
      </c>
      <c r="Z82" s="2">
        <f>ROUND((W82/Y82)*100, 2)</f>
        <v>10.02</v>
      </c>
      <c r="AA82" s="2">
        <f>MAX(AA81, X82)</f>
        <v>42834139.857374266</v>
      </c>
      <c r="AB82" s="2">
        <f>X82-AA82</f>
        <v>-52265.737155750394</v>
      </c>
    </row>
    <row r="83" spans="1:28">
      <c r="A83" s="2">
        <v>80</v>
      </c>
      <c r="B83" s="2" t="s">
        <v>438</v>
      </c>
      <c r="C83" s="2" t="s">
        <v>2400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2364</v>
      </c>
      <c r="J83" s="2" t="s">
        <v>2365</v>
      </c>
      <c r="K83" s="2">
        <f t="shared" si="18"/>
        <v>42781874.120218515</v>
      </c>
      <c r="L83" s="2" t="s">
        <v>1722</v>
      </c>
      <c r="M83" s="2" t="s">
        <v>1721</v>
      </c>
      <c r="N83" s="2" t="s">
        <v>1809</v>
      </c>
      <c r="O83" s="2">
        <v>1400</v>
      </c>
      <c r="P83" s="2">
        <v>503.93112182617187</v>
      </c>
      <c r="Q83" s="2">
        <v>580.6204833984375</v>
      </c>
      <c r="R83" s="2">
        <f>O83*P83</f>
        <v>705503.57055664062</v>
      </c>
      <c r="S83" s="2">
        <f>O83*Q83</f>
        <v>812868.6767578125</v>
      </c>
      <c r="T83" s="2">
        <f>R83+S83</f>
        <v>1518372.2473144531</v>
      </c>
      <c r="U83" s="2">
        <f>ROUND(T83*0.0005, 2)</f>
        <v>759.19</v>
      </c>
      <c r="V83" s="2">
        <f>S83-R83</f>
        <v>107365.10620117188</v>
      </c>
      <c r="W83" s="2">
        <f>V83-U83</f>
        <v>106605.91620117187</v>
      </c>
      <c r="X83" s="2">
        <f>K83+W83</f>
        <v>42888480.03641969</v>
      </c>
      <c r="Y83" s="2">
        <f>ROUND(0.2*R83, 2)</f>
        <v>141100.71</v>
      </c>
      <c r="Z83" s="2">
        <f>ROUND((W83/Y83)*100, 2)</f>
        <v>75.55</v>
      </c>
      <c r="AA83" s="2">
        <f>MAX(AA82, X83)</f>
        <v>42888480.03641969</v>
      </c>
      <c r="AB83" s="2">
        <f>X83-AA83</f>
        <v>0</v>
      </c>
    </row>
    <row r="84" spans="1:28">
      <c r="A84" s="2">
        <v>81</v>
      </c>
      <c r="B84" s="2" t="s">
        <v>443</v>
      </c>
      <c r="C84" s="2" t="s">
        <v>2400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42888480.03641969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42888480.03641969</v>
      </c>
      <c r="Y84" s="6" t="s">
        <v>1195</v>
      </c>
      <c r="Z84" s="6" t="s">
        <v>1195</v>
      </c>
      <c r="AA84" s="2">
        <f>AA83</f>
        <v>42888480.03641969</v>
      </c>
      <c r="AB84" s="2">
        <v>0</v>
      </c>
    </row>
    <row r="85" spans="1:28">
      <c r="A85" s="2">
        <v>82</v>
      </c>
      <c r="B85" s="2" t="s">
        <v>447</v>
      </c>
      <c r="C85" s="2" t="s">
        <v>2400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1091</v>
      </c>
      <c r="J85" s="2" t="s">
        <v>1424</v>
      </c>
      <c r="K85" s="2">
        <f t="shared" si="18"/>
        <v>42888480.03641969</v>
      </c>
      <c r="L85" s="2" t="s">
        <v>1845</v>
      </c>
      <c r="M85" s="2" t="s">
        <v>1585</v>
      </c>
      <c r="N85" s="2" t="s">
        <v>1823</v>
      </c>
      <c r="O85" s="2">
        <v>300</v>
      </c>
      <c r="P85" s="2">
        <v>2325.939453125</v>
      </c>
      <c r="Q85" s="2">
        <v>2452.493896484375</v>
      </c>
      <c r="R85" s="2">
        <f>O85*P85</f>
        <v>697781.8359375</v>
      </c>
      <c r="S85" s="2">
        <f>O85*Q85</f>
        <v>735748.1689453125</v>
      </c>
      <c r="T85" s="2">
        <f>R85+S85</f>
        <v>1433530.0048828125</v>
      </c>
      <c r="U85" s="2">
        <f>ROUND(T85*0.0005, 2)</f>
        <v>716.77</v>
      </c>
      <c r="V85" s="2">
        <f>S85-R85</f>
        <v>37966.3330078125</v>
      </c>
      <c r="W85" s="2">
        <f>V85-U85</f>
        <v>37249.563007812503</v>
      </c>
      <c r="X85" s="2">
        <f>K85+W85</f>
        <v>42925729.599427499</v>
      </c>
      <c r="Y85" s="2">
        <f>ROUND(0.2*R85, 2)</f>
        <v>139556.37</v>
      </c>
      <c r="Z85" s="2">
        <f>ROUND((W85/Y85)*100, 2)</f>
        <v>26.69</v>
      </c>
      <c r="AA85" s="2">
        <f>MAX(AA84, X85)</f>
        <v>42925729.599427499</v>
      </c>
      <c r="AB85" s="2">
        <f>X85-AA85</f>
        <v>0</v>
      </c>
    </row>
    <row r="86" spans="1:28">
      <c r="A86" s="2">
        <v>83</v>
      </c>
      <c r="B86" s="2" t="s">
        <v>451</v>
      </c>
      <c r="C86" s="2" t="s">
        <v>2400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42925729.599427499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42925729.599427499</v>
      </c>
      <c r="Y86" s="6" t="s">
        <v>1195</v>
      </c>
      <c r="Z86" s="6" t="s">
        <v>1195</v>
      </c>
      <c r="AA86" s="2">
        <f>AA85</f>
        <v>42925729.599427499</v>
      </c>
      <c r="AB86" s="2">
        <v>0</v>
      </c>
    </row>
    <row r="87" spans="1:28">
      <c r="A87" s="2">
        <v>84</v>
      </c>
      <c r="B87" s="2" t="s">
        <v>455</v>
      </c>
      <c r="C87" s="2" t="s">
        <v>2400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42925729.599427499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42925729.599427499</v>
      </c>
      <c r="Y87" s="6" t="s">
        <v>1195</v>
      </c>
      <c r="Z87" s="6" t="s">
        <v>1195</v>
      </c>
      <c r="AA87" s="2">
        <f>AA86</f>
        <v>42925729.599427499</v>
      </c>
      <c r="AB87" s="2">
        <v>0</v>
      </c>
    </row>
    <row r="88" spans="1:28">
      <c r="A88" s="2">
        <v>85</v>
      </c>
      <c r="B88" s="2" t="s">
        <v>459</v>
      </c>
      <c r="C88" s="2" t="s">
        <v>2400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559</v>
      </c>
      <c r="J88" s="2" t="s">
        <v>716</v>
      </c>
      <c r="K88" s="2">
        <f t="shared" si="18"/>
        <v>42925729.599427499</v>
      </c>
      <c r="L88" s="2" t="s">
        <v>1649</v>
      </c>
      <c r="M88" s="2" t="s">
        <v>1585</v>
      </c>
      <c r="N88" s="2" t="s">
        <v>1650</v>
      </c>
      <c r="O88" s="2">
        <v>700</v>
      </c>
      <c r="P88" s="2">
        <v>963.94958496093761</v>
      </c>
      <c r="Q88" s="2">
        <v>1000.008544921875</v>
      </c>
      <c r="R88" s="2">
        <f>O88*P88</f>
        <v>674764.70947265637</v>
      </c>
      <c r="S88" s="2">
        <f>O88*Q88</f>
        <v>700005.9814453125</v>
      </c>
      <c r="T88" s="2">
        <f>R88+S88</f>
        <v>1374770.6909179688</v>
      </c>
      <c r="U88" s="2">
        <f>ROUND(T88*0.0005, 2)</f>
        <v>687.39</v>
      </c>
      <c r="V88" s="2">
        <f>S88-R88</f>
        <v>25241.271972656134</v>
      </c>
      <c r="W88" s="2">
        <f>V88-U88</f>
        <v>24553.881972656134</v>
      </c>
      <c r="X88" s="2">
        <f>K88+W88</f>
        <v>42950283.481400155</v>
      </c>
      <c r="Y88" s="2">
        <f>ROUND(0.2*R88, 2)</f>
        <v>134952.94</v>
      </c>
      <c r="Z88" s="2">
        <f>ROUND((W88/Y88)*100, 2)</f>
        <v>18.190000000000001</v>
      </c>
      <c r="AA88" s="2">
        <f>MAX(AA87, X88)</f>
        <v>42950283.481400155</v>
      </c>
      <c r="AB88" s="2">
        <f>X88-AA88</f>
        <v>0</v>
      </c>
    </row>
    <row r="89" spans="1:28">
      <c r="A89" s="2">
        <v>86</v>
      </c>
      <c r="B89" s="2" t="s">
        <v>463</v>
      </c>
      <c r="C89" s="2" t="s">
        <v>2400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2425</v>
      </c>
      <c r="J89" s="2" t="s">
        <v>2426</v>
      </c>
      <c r="K89" s="2">
        <f t="shared" si="18"/>
        <v>42950283.481400155</v>
      </c>
      <c r="L89" s="2" t="s">
        <v>1438</v>
      </c>
      <c r="M89" s="2" t="s">
        <v>1004</v>
      </c>
      <c r="N89" s="2" t="s">
        <v>1318</v>
      </c>
      <c r="O89" s="2">
        <v>629</v>
      </c>
      <c r="P89" s="2">
        <v>1964.9</v>
      </c>
      <c r="Q89" s="2">
        <v>1844.75</v>
      </c>
      <c r="R89" s="2">
        <f>O89*P89</f>
        <v>1235922.1000000001</v>
      </c>
      <c r="S89" s="2">
        <f>O89*Q89</f>
        <v>1160347.75</v>
      </c>
      <c r="T89" s="2">
        <f>R89+S89</f>
        <v>2396269.85</v>
      </c>
      <c r="U89" s="2">
        <f>ROUND(T89*0.0005, 2)</f>
        <v>1198.1300000000001</v>
      </c>
      <c r="V89" s="2">
        <f>S89-R89</f>
        <v>-75574.350000000093</v>
      </c>
      <c r="W89" s="2">
        <f>V89-U89</f>
        <v>-76772.480000000098</v>
      </c>
      <c r="X89" s="2">
        <f>K89+W89</f>
        <v>42873511.001400158</v>
      </c>
      <c r="Y89" s="2">
        <f>ROUND(0.2*R89, 2)</f>
        <v>247184.42</v>
      </c>
      <c r="Z89" s="2">
        <f>ROUND((W89/Y89)*100, 2)</f>
        <v>-31.06</v>
      </c>
      <c r="AA89" s="2">
        <f>MAX(AA88, X89)</f>
        <v>42950283.481400155</v>
      </c>
      <c r="AB89" s="2">
        <f>X89-AA89</f>
        <v>-76772.479999996722</v>
      </c>
    </row>
    <row r="90" spans="1:28">
      <c r="A90" s="2">
        <v>87</v>
      </c>
      <c r="B90" s="2" t="s">
        <v>471</v>
      </c>
      <c r="C90" s="2" t="s">
        <v>2400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2367</v>
      </c>
      <c r="J90" s="2" t="s">
        <v>1108</v>
      </c>
      <c r="K90" s="2">
        <f t="shared" si="18"/>
        <v>42873511.001400158</v>
      </c>
      <c r="L90" s="2" t="s">
        <v>2060</v>
      </c>
      <c r="M90" s="2" t="s">
        <v>2061</v>
      </c>
      <c r="N90" s="2" t="s">
        <v>2062</v>
      </c>
      <c r="O90" s="2">
        <v>1958</v>
      </c>
      <c r="P90" s="2">
        <v>622.93817138671875</v>
      </c>
      <c r="Q90" s="2">
        <v>648.69879150390625</v>
      </c>
      <c r="R90" s="2">
        <f>O90*P90</f>
        <v>1219712.9395751953</v>
      </c>
      <c r="S90" s="2">
        <f>O90*Q90</f>
        <v>1270152.2337646484</v>
      </c>
      <c r="T90" s="2">
        <f>R90+S90</f>
        <v>2489865.1733398438</v>
      </c>
      <c r="U90" s="2">
        <f>ROUND(T90*0.0005, 2)</f>
        <v>1244.93</v>
      </c>
      <c r="V90" s="2">
        <f>S90-R90</f>
        <v>50439.294189453125</v>
      </c>
      <c r="W90" s="2">
        <f>V90-U90</f>
        <v>49194.364189453125</v>
      </c>
      <c r="X90" s="2">
        <f>K90+W90</f>
        <v>42922705.365589611</v>
      </c>
      <c r="Y90" s="2">
        <f>ROUND(0.2*R90, 2)</f>
        <v>243942.59</v>
      </c>
      <c r="Z90" s="2">
        <f>ROUND((W90/Y90)*100, 2)</f>
        <v>20.170000000000002</v>
      </c>
      <c r="AA90" s="2">
        <f>MAX(AA89, X90)</f>
        <v>42950283.481400155</v>
      </c>
      <c r="AB90" s="2">
        <f>X90-AA90</f>
        <v>-27578.115810543299</v>
      </c>
    </row>
    <row r="91" spans="1:28">
      <c r="A91" s="2">
        <v>88</v>
      </c>
      <c r="B91" s="2" t="s">
        <v>476</v>
      </c>
      <c r="C91" s="2" t="s">
        <v>2400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42922705.365589611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42922705.365589611</v>
      </c>
      <c r="Y91" s="6" t="s">
        <v>1195</v>
      </c>
      <c r="Z91" s="6" t="s">
        <v>1195</v>
      </c>
      <c r="AA91" s="2">
        <f>AA90</f>
        <v>42950283.481400155</v>
      </c>
      <c r="AB91" s="2">
        <v>0</v>
      </c>
    </row>
    <row r="92" spans="1:28">
      <c r="A92" s="2">
        <v>89</v>
      </c>
      <c r="B92" s="2" t="s">
        <v>480</v>
      </c>
      <c r="C92" s="2" t="s">
        <v>2400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42922705.365589611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42922705.365589611</v>
      </c>
      <c r="Y92" s="6" t="s">
        <v>1195</v>
      </c>
      <c r="Z92" s="6" t="s">
        <v>1195</v>
      </c>
      <c r="AA92" s="2">
        <f>AA91</f>
        <v>42950283.481400155</v>
      </c>
      <c r="AB92" s="2">
        <v>0</v>
      </c>
    </row>
    <row r="93" spans="1:28">
      <c r="A93" s="2">
        <v>90</v>
      </c>
      <c r="B93" s="2" t="s">
        <v>483</v>
      </c>
      <c r="C93" s="2" t="s">
        <v>2400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42922705.365589611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42922705.365589611</v>
      </c>
      <c r="Y93" s="6" t="s">
        <v>1195</v>
      </c>
      <c r="Z93" s="6" t="s">
        <v>1195</v>
      </c>
      <c r="AA93" s="2">
        <f>AA92</f>
        <v>42950283.481400155</v>
      </c>
      <c r="AB93" s="2">
        <v>0</v>
      </c>
    </row>
    <row r="94" spans="1:28">
      <c r="A94" s="2">
        <v>91</v>
      </c>
      <c r="B94" s="2" t="s">
        <v>486</v>
      </c>
      <c r="C94" s="2" t="s">
        <v>2400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42922705.365589611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42922705.365589611</v>
      </c>
      <c r="Y94" s="6" t="s">
        <v>1195</v>
      </c>
      <c r="Z94" s="6" t="s">
        <v>1195</v>
      </c>
      <c r="AA94" s="2">
        <f>AA93</f>
        <v>42950283.481400155</v>
      </c>
      <c r="AB94" s="2">
        <v>0</v>
      </c>
    </row>
    <row r="95" spans="1:28">
      <c r="A95" s="2">
        <v>92</v>
      </c>
      <c r="B95" s="2" t="s">
        <v>490</v>
      </c>
      <c r="C95" s="2" t="s">
        <v>2400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42922705.365589611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42922705.365589611</v>
      </c>
      <c r="Y95" s="6" t="s">
        <v>1195</v>
      </c>
      <c r="Z95" s="6" t="s">
        <v>1195</v>
      </c>
      <c r="AA95" s="2">
        <f>AA94</f>
        <v>42950283.481400155</v>
      </c>
      <c r="AB95" s="2">
        <v>0</v>
      </c>
    </row>
    <row r="96" spans="1:28">
      <c r="A96" s="2">
        <v>93</v>
      </c>
      <c r="B96" s="2" t="s">
        <v>493</v>
      </c>
      <c r="C96" s="2" t="s">
        <v>2400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1291</v>
      </c>
      <c r="J96" s="2" t="s">
        <v>2427</v>
      </c>
      <c r="K96" s="2">
        <f t="shared" si="18"/>
        <v>42922705.365589611</v>
      </c>
      <c r="L96" s="2" t="s">
        <v>2428</v>
      </c>
      <c r="M96" s="2" t="s">
        <v>2429</v>
      </c>
      <c r="N96" s="2" t="s">
        <v>2423</v>
      </c>
      <c r="O96" s="2">
        <v>196</v>
      </c>
      <c r="P96" s="2">
        <v>2013.148071289062</v>
      </c>
      <c r="Q96" s="2">
        <v>2171.5302734375</v>
      </c>
      <c r="R96" s="2">
        <f>O96*P96</f>
        <v>394577.02197265613</v>
      </c>
      <c r="S96" s="2">
        <f>O96*Q96</f>
        <v>425619.93359375</v>
      </c>
      <c r="T96" s="2">
        <f>R96+S96</f>
        <v>820196.95556640613</v>
      </c>
      <c r="U96" s="2">
        <f>ROUND(T96*0.0005, 2)</f>
        <v>410.1</v>
      </c>
      <c r="V96" s="2">
        <f>S96-R96</f>
        <v>31042.911621093866</v>
      </c>
      <c r="W96" s="2">
        <f>V96-U96</f>
        <v>30632.811621093868</v>
      </c>
      <c r="X96" s="2">
        <f>K96+W96</f>
        <v>42953338.177210703</v>
      </c>
      <c r="Y96" s="2">
        <f>ROUND(0.2*R96, 2)</f>
        <v>78915.399999999994</v>
      </c>
      <c r="Z96" s="2">
        <f>ROUND((W96/Y96)*100, 2)</f>
        <v>38.82</v>
      </c>
      <c r="AA96" s="2">
        <f>MAX(AA95, X96)</f>
        <v>42953338.177210703</v>
      </c>
      <c r="AB96" s="2">
        <f>X96-AA96</f>
        <v>0</v>
      </c>
    </row>
    <row r="97" spans="1:28">
      <c r="A97" s="2">
        <v>94</v>
      </c>
      <c r="B97" s="2" t="s">
        <v>498</v>
      </c>
      <c r="C97" s="2" t="s">
        <v>2400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2372</v>
      </c>
      <c r="J97" s="2" t="s">
        <v>2373</v>
      </c>
      <c r="K97" s="2">
        <f t="shared" si="18"/>
        <v>42953338.177210703</v>
      </c>
      <c r="L97" s="2" t="s">
        <v>1783</v>
      </c>
      <c r="M97" s="2" t="s">
        <v>1585</v>
      </c>
      <c r="N97" s="2" t="s">
        <v>1842</v>
      </c>
      <c r="O97" s="2">
        <v>500</v>
      </c>
      <c r="P97" s="2">
        <v>1623.221069335938</v>
      </c>
      <c r="Q97" s="2">
        <v>1507.594116210938</v>
      </c>
      <c r="R97" s="2">
        <f>O97*P97</f>
        <v>811610.53466796898</v>
      </c>
      <c r="S97" s="2">
        <f>O97*Q97</f>
        <v>753797.05810546898</v>
      </c>
      <c r="T97" s="2">
        <f>R97+S97</f>
        <v>1565407.592773438</v>
      </c>
      <c r="U97" s="2">
        <f>ROUND(T97*0.0005, 2)</f>
        <v>782.7</v>
      </c>
      <c r="V97" s="2">
        <f>S97-R97</f>
        <v>-57813.4765625</v>
      </c>
      <c r="W97" s="2">
        <f>V97-U97</f>
        <v>-58596.176562499997</v>
      </c>
      <c r="X97" s="2">
        <f>K97+W97</f>
        <v>42894742.000648201</v>
      </c>
      <c r="Y97" s="2">
        <f>ROUND(0.2*R97, 2)</f>
        <v>162322.10999999999</v>
      </c>
      <c r="Z97" s="2">
        <f>ROUND((W97/Y97)*100, 2)</f>
        <v>-36.1</v>
      </c>
      <c r="AA97" s="2">
        <f>MAX(AA96, X97)</f>
        <v>42953338.177210703</v>
      </c>
      <c r="AB97" s="2">
        <f>X97-AA97</f>
        <v>-58596.17656250298</v>
      </c>
    </row>
    <row r="98" spans="1:28">
      <c r="A98" s="2">
        <v>95</v>
      </c>
      <c r="B98" s="2" t="s">
        <v>502</v>
      </c>
      <c r="C98" s="2" t="s">
        <v>2400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42894742.000648201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42894742.000648201</v>
      </c>
      <c r="Y98" s="6" t="s">
        <v>1195</v>
      </c>
      <c r="Z98" s="6" t="s">
        <v>1195</v>
      </c>
      <c r="AA98" s="2">
        <f>AA97</f>
        <v>42953338.177210703</v>
      </c>
      <c r="AB98" s="2">
        <v>0</v>
      </c>
    </row>
    <row r="99" spans="1:28">
      <c r="A99" s="2">
        <v>96</v>
      </c>
      <c r="B99" s="2" t="s">
        <v>506</v>
      </c>
      <c r="C99" s="2" t="s">
        <v>2400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595</v>
      </c>
      <c r="J99" s="2" t="s">
        <v>2374</v>
      </c>
      <c r="K99" s="2">
        <f t="shared" si="18"/>
        <v>42894742.000648201</v>
      </c>
      <c r="L99" s="2" t="s">
        <v>1867</v>
      </c>
      <c r="M99" s="2" t="s">
        <v>1740</v>
      </c>
      <c r="N99" s="2" t="s">
        <v>1848</v>
      </c>
      <c r="O99" s="2">
        <v>400</v>
      </c>
      <c r="P99" s="2">
        <v>1522.4814453125</v>
      </c>
      <c r="Q99" s="2">
        <v>1412.31103515625</v>
      </c>
      <c r="R99" s="2">
        <f>O99*P99</f>
        <v>608992.578125</v>
      </c>
      <c r="S99" s="2">
        <f>O99*Q99</f>
        <v>564924.4140625</v>
      </c>
      <c r="T99" s="2">
        <f>R99+S99</f>
        <v>1173916.9921875</v>
      </c>
      <c r="U99" s="2">
        <f>ROUND(T99*0.0005, 2)</f>
        <v>586.96</v>
      </c>
      <c r="V99" s="2">
        <f>S99-R99</f>
        <v>-44068.1640625</v>
      </c>
      <c r="W99" s="2">
        <f>V99-U99</f>
        <v>-44655.124062499999</v>
      </c>
      <c r="X99" s="2">
        <f>K99+W99</f>
        <v>42850086.8765857</v>
      </c>
      <c r="Y99" s="2">
        <f>ROUND(0.2*R99, 2)</f>
        <v>121798.52</v>
      </c>
      <c r="Z99" s="2">
        <f>ROUND((W99/Y99)*100, 2)</f>
        <v>-36.659999999999997</v>
      </c>
      <c r="AA99" s="2">
        <f>MAX(AA98, X99)</f>
        <v>42953338.177210703</v>
      </c>
      <c r="AB99" s="2">
        <f>X99-AA99</f>
        <v>-103251.30062500387</v>
      </c>
    </row>
    <row r="100" spans="1:28">
      <c r="A100" s="2">
        <v>97</v>
      </c>
      <c r="B100" s="2" t="s">
        <v>511</v>
      </c>
      <c r="C100" s="2" t="s">
        <v>2400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42850086.8765857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42850086.8765857</v>
      </c>
      <c r="Y100" s="6" t="s">
        <v>1195</v>
      </c>
      <c r="Z100" s="6" t="s">
        <v>1195</v>
      </c>
      <c r="AA100" s="2">
        <f>AA99</f>
        <v>42953338.177210703</v>
      </c>
      <c r="AB100" s="2">
        <v>0</v>
      </c>
    </row>
    <row r="101" spans="1:28">
      <c r="A101" s="2">
        <v>98</v>
      </c>
      <c r="B101" s="2" t="s">
        <v>516</v>
      </c>
      <c r="C101" s="2" t="s">
        <v>2400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42850086.8765857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42850086.8765857</v>
      </c>
      <c r="Y101" s="6" t="s">
        <v>1195</v>
      </c>
      <c r="Z101" s="6" t="s">
        <v>1195</v>
      </c>
      <c r="AA101" s="2">
        <f>AA100</f>
        <v>42953338.177210703</v>
      </c>
      <c r="AB101" s="2">
        <v>0</v>
      </c>
    </row>
    <row r="102" spans="1:28">
      <c r="A102" s="2">
        <v>99</v>
      </c>
      <c r="B102" s="2" t="s">
        <v>519</v>
      </c>
      <c r="C102" s="2" t="s">
        <v>2400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42850086.8765857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42850086.8765857</v>
      </c>
      <c r="Y102" s="6" t="s">
        <v>1195</v>
      </c>
      <c r="Z102" s="6" t="s">
        <v>1195</v>
      </c>
      <c r="AA102" s="2">
        <f>AA101</f>
        <v>42953338.177210703</v>
      </c>
      <c r="AB102" s="2">
        <v>0</v>
      </c>
    </row>
    <row r="103" spans="1:28">
      <c r="A103" s="2">
        <v>100</v>
      </c>
      <c r="B103" s="2" t="s">
        <v>525</v>
      </c>
      <c r="C103" s="2" t="s">
        <v>2400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42850086.8765857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42850086.8765857</v>
      </c>
      <c r="Y103" s="6" t="s">
        <v>1195</v>
      </c>
      <c r="Z103" s="6" t="s">
        <v>1195</v>
      </c>
      <c r="AA103" s="2">
        <f>AA102</f>
        <v>42953338.177210703</v>
      </c>
      <c r="AB103" s="2">
        <v>0</v>
      </c>
    </row>
    <row r="104" spans="1:28">
      <c r="A104" s="2">
        <v>101</v>
      </c>
      <c r="B104" s="2" t="s">
        <v>527</v>
      </c>
      <c r="C104" s="2" t="s">
        <v>2400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1015</v>
      </c>
      <c r="J104" s="2" t="s">
        <v>249</v>
      </c>
      <c r="K104" s="2">
        <f t="shared" si="18"/>
        <v>42850086.8765857</v>
      </c>
      <c r="L104" s="2" t="s">
        <v>1815</v>
      </c>
      <c r="M104" s="2" t="s">
        <v>1784</v>
      </c>
      <c r="N104" s="2" t="s">
        <v>1585</v>
      </c>
      <c r="O104" s="2">
        <v>1600</v>
      </c>
      <c r="P104" s="2">
        <v>379.00616455078131</v>
      </c>
      <c r="Q104" s="2">
        <v>405.40060424804687</v>
      </c>
      <c r="R104" s="2">
        <f>O104*P104</f>
        <v>606409.86328125012</v>
      </c>
      <c r="S104" s="2">
        <f>O104*Q104</f>
        <v>648640.966796875</v>
      </c>
      <c r="T104" s="2">
        <f>R104+S104</f>
        <v>1255050.830078125</v>
      </c>
      <c r="U104" s="2">
        <f>ROUND(T104*0.0005, 2)</f>
        <v>627.53</v>
      </c>
      <c r="V104" s="2">
        <f>S104-R104</f>
        <v>42231.103515624884</v>
      </c>
      <c r="W104" s="2">
        <f>V104-U104</f>
        <v>41603.573515624885</v>
      </c>
      <c r="X104" s="2">
        <f>K104+W104</f>
        <v>42891690.450101323</v>
      </c>
      <c r="Y104" s="2">
        <f>ROUND(0.2*R104, 2)</f>
        <v>121281.97</v>
      </c>
      <c r="Z104" s="2">
        <f>ROUND((W104/Y104)*100, 2)</f>
        <v>34.299999999999997</v>
      </c>
      <c r="AA104" s="2">
        <f>MAX(AA103, X104)</f>
        <v>42953338.177210703</v>
      </c>
      <c r="AB104" s="2">
        <f>X104-AA104</f>
        <v>-61647.727109380066</v>
      </c>
    </row>
    <row r="105" spans="1:28">
      <c r="A105" s="2">
        <v>102</v>
      </c>
      <c r="B105" s="2" t="s">
        <v>530</v>
      </c>
      <c r="C105" s="2" t="s">
        <v>2400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42891690.450101323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42891690.450101323</v>
      </c>
      <c r="Y105" s="6" t="s">
        <v>1195</v>
      </c>
      <c r="Z105" s="6" t="s">
        <v>1195</v>
      </c>
      <c r="AA105" s="2">
        <f>AA104</f>
        <v>42953338.177210703</v>
      </c>
      <c r="AB105" s="2">
        <v>0</v>
      </c>
    </row>
    <row r="106" spans="1:28">
      <c r="A106" s="2">
        <v>103</v>
      </c>
      <c r="B106" s="2" t="s">
        <v>534</v>
      </c>
      <c r="C106" s="2" t="s">
        <v>2400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1435</v>
      </c>
      <c r="J106" s="2" t="s">
        <v>2375</v>
      </c>
      <c r="K106" s="2">
        <f t="shared" si="18"/>
        <v>42891690.450101323</v>
      </c>
      <c r="L106" s="2" t="s">
        <v>1740</v>
      </c>
      <c r="M106" s="2" t="s">
        <v>1799</v>
      </c>
      <c r="N106" s="2" t="s">
        <v>1740</v>
      </c>
      <c r="O106" s="2">
        <v>4127</v>
      </c>
      <c r="P106" s="2">
        <v>240.02571105957031</v>
      </c>
      <c r="Q106" s="2">
        <v>254.65290832519531</v>
      </c>
      <c r="R106" s="2">
        <f>O106*P106</f>
        <v>990586.10954284668</v>
      </c>
      <c r="S106" s="2">
        <f>O106*Q106</f>
        <v>1050952.5526580811</v>
      </c>
      <c r="T106" s="2">
        <f>R106+S106</f>
        <v>2041538.6622009277</v>
      </c>
      <c r="U106" s="2">
        <f>ROUND(T106*0.0005, 2)</f>
        <v>1020.77</v>
      </c>
      <c r="V106" s="2">
        <f>S106-R106</f>
        <v>60366.443115234375</v>
      </c>
      <c r="W106" s="2">
        <f>V106-U106</f>
        <v>59345.673115234378</v>
      </c>
      <c r="X106" s="2">
        <f>K106+W106</f>
        <v>42951036.123216555</v>
      </c>
      <c r="Y106" s="2">
        <f>ROUND(0.2*R106, 2)</f>
        <v>198117.22</v>
      </c>
      <c r="Z106" s="2">
        <f>ROUND((W106/Y106)*100, 2)</f>
        <v>29.95</v>
      </c>
      <c r="AA106" s="2">
        <f>MAX(AA105, X106)</f>
        <v>42953338.177210703</v>
      </c>
      <c r="AB106" s="2">
        <f>X106-AA106</f>
        <v>-2302.0539941489697</v>
      </c>
    </row>
    <row r="107" spans="1:28">
      <c r="A107" s="2">
        <v>104</v>
      </c>
      <c r="B107" s="2" t="s">
        <v>539</v>
      </c>
      <c r="C107" s="2" t="s">
        <v>2400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42951036.123216555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42951036.123216555</v>
      </c>
      <c r="Y107" s="6" t="s">
        <v>1195</v>
      </c>
      <c r="Z107" s="6" t="s">
        <v>1195</v>
      </c>
      <c r="AA107" s="2">
        <f>AA106</f>
        <v>42953338.177210703</v>
      </c>
      <c r="AB107" s="2">
        <v>0</v>
      </c>
    </row>
    <row r="108" spans="1:28">
      <c r="A108" s="2">
        <v>105</v>
      </c>
      <c r="B108" s="2" t="s">
        <v>542</v>
      </c>
      <c r="C108" s="2" t="s">
        <v>2400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2376</v>
      </c>
      <c r="J108" s="2" t="s">
        <v>1152</v>
      </c>
      <c r="K108" s="2">
        <f t="shared" si="18"/>
        <v>42951036.123216555</v>
      </c>
      <c r="L108" s="2" t="s">
        <v>1783</v>
      </c>
      <c r="M108" s="2" t="s">
        <v>1808</v>
      </c>
      <c r="N108" s="2" t="s">
        <v>1586</v>
      </c>
      <c r="O108" s="2">
        <v>675</v>
      </c>
      <c r="P108" s="2">
        <v>799.57550048828125</v>
      </c>
      <c r="Q108" s="2">
        <v>788.8016357421875</v>
      </c>
      <c r="R108" s="2">
        <f>O108*P108</f>
        <v>539713.46282958984</v>
      </c>
      <c r="S108" s="2">
        <f>O108*Q108</f>
        <v>532441.10412597656</v>
      </c>
      <c r="T108" s="2">
        <f>R108+S108</f>
        <v>1072154.5669555664</v>
      </c>
      <c r="U108" s="2">
        <f>ROUND(T108*0.0005, 2)</f>
        <v>536.08000000000004</v>
      </c>
      <c r="V108" s="2">
        <f>S108-R108</f>
        <v>-7272.3587036132812</v>
      </c>
      <c r="W108" s="2">
        <f>V108-U108</f>
        <v>-7808.4387036132812</v>
      </c>
      <c r="X108" s="2">
        <f>K108+W108</f>
        <v>42943227.684512943</v>
      </c>
      <c r="Y108" s="2">
        <f>ROUND(0.2*R108, 2)</f>
        <v>107942.69</v>
      </c>
      <c r="Z108" s="2">
        <f>ROUND((W108/Y108)*100, 2)</f>
        <v>-7.23</v>
      </c>
      <c r="AA108" s="2">
        <f>MAX(AA107, X108)</f>
        <v>42953338.177210703</v>
      </c>
      <c r="AB108" s="2">
        <f>X108-AA108</f>
        <v>-10110.492697760463</v>
      </c>
    </row>
    <row r="109" spans="1:28">
      <c r="A109" s="2">
        <v>106</v>
      </c>
      <c r="B109" s="2" t="s">
        <v>547</v>
      </c>
      <c r="C109" s="2" t="s">
        <v>2400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42943227.684512943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42943227.684512943</v>
      </c>
      <c r="Y109" s="6" t="s">
        <v>1195</v>
      </c>
      <c r="Z109" s="6" t="s">
        <v>1195</v>
      </c>
      <c r="AA109" s="2">
        <f>AA108</f>
        <v>42953338.177210703</v>
      </c>
      <c r="AB109" s="2">
        <v>0</v>
      </c>
    </row>
    <row r="110" spans="1:28">
      <c r="A110" s="2">
        <v>107</v>
      </c>
      <c r="B110" s="2" t="s">
        <v>551</v>
      </c>
      <c r="C110" s="2" t="s">
        <v>2400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42943227.684512943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42943227.684512943</v>
      </c>
      <c r="Y110" s="6" t="s">
        <v>1195</v>
      </c>
      <c r="Z110" s="6" t="s">
        <v>1195</v>
      </c>
      <c r="AA110" s="2">
        <f>AA109</f>
        <v>42953338.177210703</v>
      </c>
      <c r="AB110" s="2">
        <v>0</v>
      </c>
    </row>
    <row r="111" spans="1:28">
      <c r="A111" s="2">
        <v>108</v>
      </c>
      <c r="B111" s="2" t="s">
        <v>554</v>
      </c>
      <c r="C111" s="2" t="s">
        <v>2400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42943227.684512943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42943227.684512943</v>
      </c>
      <c r="Y111" s="6" t="s">
        <v>1195</v>
      </c>
      <c r="Z111" s="6" t="s">
        <v>1195</v>
      </c>
      <c r="AA111" s="2">
        <f>AA110</f>
        <v>42953338.177210703</v>
      </c>
      <c r="AB111" s="2">
        <v>0</v>
      </c>
    </row>
    <row r="112" spans="1:28">
      <c r="A112" s="2">
        <v>109</v>
      </c>
      <c r="B112" s="2" t="s">
        <v>558</v>
      </c>
      <c r="C112" s="2" t="s">
        <v>2400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42943227.684512943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42943227.684512943</v>
      </c>
      <c r="Y112" s="6" t="s">
        <v>1195</v>
      </c>
      <c r="Z112" s="6" t="s">
        <v>1195</v>
      </c>
      <c r="AA112" s="2">
        <f>AA111</f>
        <v>42953338.177210703</v>
      </c>
      <c r="AB112" s="2">
        <v>0</v>
      </c>
    </row>
    <row r="113" spans="1:28">
      <c r="A113" s="2">
        <v>110</v>
      </c>
      <c r="B113" s="2" t="s">
        <v>562</v>
      </c>
      <c r="C113" s="2" t="s">
        <v>2400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42943227.684512943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42943227.684512943</v>
      </c>
      <c r="Y113" s="6" t="s">
        <v>1195</v>
      </c>
      <c r="Z113" s="6" t="s">
        <v>1195</v>
      </c>
      <c r="AA113" s="2">
        <f>AA112</f>
        <v>42953338.177210703</v>
      </c>
      <c r="AB113" s="2">
        <v>0</v>
      </c>
    </row>
    <row r="114" spans="1:28">
      <c r="A114" s="2">
        <v>111</v>
      </c>
      <c r="B114" s="2" t="s">
        <v>566</v>
      </c>
      <c r="C114" s="2" t="s">
        <v>2400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1016</v>
      </c>
      <c r="J114" s="2" t="s">
        <v>867</v>
      </c>
      <c r="K114" s="2">
        <f t="shared" si="18"/>
        <v>42943227.684512943</v>
      </c>
      <c r="L114" s="2" t="s">
        <v>1815</v>
      </c>
      <c r="M114" s="2" t="s">
        <v>1799</v>
      </c>
      <c r="N114" s="2" t="s">
        <v>1650</v>
      </c>
      <c r="O114" s="2">
        <v>400</v>
      </c>
      <c r="P114" s="2">
        <v>356.09869384765619</v>
      </c>
      <c r="Q114" s="2">
        <v>368.77020263671881</v>
      </c>
      <c r="R114" s="2">
        <f>O114*P114</f>
        <v>142439.47753906247</v>
      </c>
      <c r="S114" s="2">
        <f>O114*Q114</f>
        <v>147508.08105468753</v>
      </c>
      <c r="T114" s="2">
        <f>R114+S114</f>
        <v>289947.55859375</v>
      </c>
      <c r="U114" s="2">
        <f>ROUND(T114*0.0005, 2)</f>
        <v>144.97</v>
      </c>
      <c r="V114" s="2">
        <f>S114-R114</f>
        <v>5068.6035156250582</v>
      </c>
      <c r="W114" s="2">
        <f>V114-U114</f>
        <v>4923.633515625058</v>
      </c>
      <c r="X114" s="2">
        <f>K114+W114</f>
        <v>42948151.318028569</v>
      </c>
      <c r="Y114" s="2">
        <f>ROUND(0.2*R114, 2)</f>
        <v>28487.9</v>
      </c>
      <c r="Z114" s="2">
        <f>ROUND((W114/Y114)*100, 2)</f>
        <v>17.28</v>
      </c>
      <c r="AA114" s="2">
        <f>MAX(AA113, X114)</f>
        <v>42953338.177210703</v>
      </c>
      <c r="AB114" s="2">
        <f>X114-AA114</f>
        <v>-5186.8591821342707</v>
      </c>
    </row>
    <row r="115" spans="1:28">
      <c r="A115" s="2">
        <v>112</v>
      </c>
      <c r="B115" s="2" t="s">
        <v>570</v>
      </c>
      <c r="C115" s="2" t="s">
        <v>2400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42948151.318028569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42948151.318028569</v>
      </c>
      <c r="Y115" s="6" t="s">
        <v>1195</v>
      </c>
      <c r="Z115" s="6" t="s">
        <v>1195</v>
      </c>
      <c r="AA115" s="2">
        <f>AA114</f>
        <v>42953338.177210703</v>
      </c>
      <c r="AB115" s="2">
        <v>0</v>
      </c>
    </row>
    <row r="116" spans="1:28">
      <c r="A116" s="2">
        <v>113</v>
      </c>
      <c r="B116" s="2" t="s">
        <v>574</v>
      </c>
      <c r="C116" s="2" t="s">
        <v>2400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42948151.318028569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42948151.318028569</v>
      </c>
      <c r="Y116" s="6" t="s">
        <v>1195</v>
      </c>
      <c r="Z116" s="6" t="s">
        <v>1195</v>
      </c>
      <c r="AA116" s="2">
        <f>AA115</f>
        <v>42953338.177210703</v>
      </c>
      <c r="AB116" s="2">
        <v>0</v>
      </c>
    </row>
    <row r="117" spans="1:28">
      <c r="A117" s="2">
        <v>114</v>
      </c>
      <c r="B117" s="2" t="s">
        <v>578</v>
      </c>
      <c r="C117" s="2" t="s">
        <v>2400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42948151.318028569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42948151.318028569</v>
      </c>
      <c r="Y117" s="6" t="s">
        <v>1195</v>
      </c>
      <c r="Z117" s="6" t="s">
        <v>1195</v>
      </c>
      <c r="AA117" s="2">
        <f>AA116</f>
        <v>42953338.177210703</v>
      </c>
      <c r="AB117" s="2">
        <v>0</v>
      </c>
    </row>
    <row r="118" spans="1:28">
      <c r="A118" s="2">
        <v>115</v>
      </c>
      <c r="B118" s="2" t="s">
        <v>581</v>
      </c>
      <c r="C118" s="2" t="s">
        <v>2400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2377</v>
      </c>
      <c r="J118" s="2" t="s">
        <v>2378</v>
      </c>
      <c r="K118" s="2">
        <f t="shared" si="18"/>
        <v>42948151.318028569</v>
      </c>
      <c r="L118" s="2" t="s">
        <v>1292</v>
      </c>
      <c r="M118" s="2" t="s">
        <v>1379</v>
      </c>
      <c r="N118" s="2" t="s">
        <v>1251</v>
      </c>
      <c r="O118" s="2">
        <v>2364</v>
      </c>
      <c r="P118" s="2">
        <v>568.7255859375</v>
      </c>
      <c r="Q118" s="2">
        <v>509.78213500976562</v>
      </c>
      <c r="R118" s="2">
        <f>O118*P118</f>
        <v>1344467.28515625</v>
      </c>
      <c r="S118" s="2">
        <f>O118*Q118</f>
        <v>1205124.9671630859</v>
      </c>
      <c r="T118" s="2">
        <f>R118+S118</f>
        <v>2549592.2523193359</v>
      </c>
      <c r="U118" s="2">
        <f>ROUND(T118*0.0005, 2)</f>
        <v>1274.8</v>
      </c>
      <c r="V118" s="2">
        <f>S118-R118</f>
        <v>-139342.31799316406</v>
      </c>
      <c r="W118" s="2">
        <f>V118-U118</f>
        <v>-140617.11799316405</v>
      </c>
      <c r="X118" s="2">
        <f>K118+W118</f>
        <v>42807534.200035408</v>
      </c>
      <c r="Y118" s="2">
        <f>ROUND(0.2*R118, 2)</f>
        <v>268893.46000000002</v>
      </c>
      <c r="Z118" s="2">
        <f>ROUND((W118/Y118)*100, 2)</f>
        <v>-52.29</v>
      </c>
      <c r="AA118" s="2">
        <f>MAX(AA117, X118)</f>
        <v>42953338.177210703</v>
      </c>
      <c r="AB118" s="2">
        <f>X118-AA118</f>
        <v>-145803.97717529535</v>
      </c>
    </row>
    <row r="119" spans="1:28">
      <c r="A119" s="2">
        <v>116</v>
      </c>
      <c r="B119" s="2" t="s">
        <v>586</v>
      </c>
      <c r="C119" s="2" t="s">
        <v>2400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42807534.200035408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42807534.200035408</v>
      </c>
      <c r="Y119" s="6" t="s">
        <v>1195</v>
      </c>
      <c r="Z119" s="6" t="s">
        <v>1195</v>
      </c>
      <c r="AA119" s="2">
        <f>AA118</f>
        <v>42953338.177210703</v>
      </c>
      <c r="AB119" s="2">
        <v>0</v>
      </c>
    </row>
    <row r="120" spans="1:28">
      <c r="A120" s="2">
        <v>117</v>
      </c>
      <c r="B120" s="2" t="s">
        <v>592</v>
      </c>
      <c r="C120" s="2" t="s">
        <v>2400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384</v>
      </c>
      <c r="J120" s="2" t="s">
        <v>2379</v>
      </c>
      <c r="K120" s="2">
        <f t="shared" si="18"/>
        <v>42807534.200035408</v>
      </c>
      <c r="L120" s="2" t="s">
        <v>1784</v>
      </c>
      <c r="M120" s="2" t="s">
        <v>1802</v>
      </c>
      <c r="N120" s="2" t="s">
        <v>1784</v>
      </c>
      <c r="O120" s="2">
        <v>300</v>
      </c>
      <c r="P120" s="2">
        <v>3387.61865234375</v>
      </c>
      <c r="Q120" s="2">
        <v>3286.664306640625</v>
      </c>
      <c r="R120" s="2">
        <f>O120*P120</f>
        <v>1016285.595703125</v>
      </c>
      <c r="S120" s="2">
        <f>O120*Q120</f>
        <v>985999.2919921875</v>
      </c>
      <c r="T120" s="2">
        <f>R120+S120</f>
        <v>2002284.8876953125</v>
      </c>
      <c r="U120" s="2">
        <f>ROUND(T120*0.0005, 2)</f>
        <v>1001.14</v>
      </c>
      <c r="V120" s="2">
        <f>S120-R120</f>
        <v>-30286.3037109375</v>
      </c>
      <c r="W120" s="2">
        <f>V120-U120</f>
        <v>-31287.443710937499</v>
      </c>
      <c r="X120" s="2">
        <f>K120+W120</f>
        <v>42776246.75632447</v>
      </c>
      <c r="Y120" s="2">
        <f>ROUND(0.2*R120, 2)</f>
        <v>203257.12</v>
      </c>
      <c r="Z120" s="2">
        <f>ROUND((W120/Y120)*100, 2)</f>
        <v>-15.39</v>
      </c>
      <c r="AA120" s="2">
        <f>MAX(AA119, X120)</f>
        <v>42953338.177210703</v>
      </c>
      <c r="AB120" s="2">
        <f>X120-AA120</f>
        <v>-177091.42088623345</v>
      </c>
    </row>
    <row r="121" spans="1:28">
      <c r="A121" s="2">
        <v>118</v>
      </c>
      <c r="B121" s="2" t="s">
        <v>597</v>
      </c>
      <c r="C121" s="2" t="s">
        <v>2400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42776246.75632447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42776246.75632447</v>
      </c>
      <c r="Y121" s="6" t="s">
        <v>1195</v>
      </c>
      <c r="Z121" s="6" t="s">
        <v>1195</v>
      </c>
      <c r="AA121" s="2">
        <f>AA120</f>
        <v>42953338.177210703</v>
      </c>
      <c r="AB121" s="2">
        <v>0</v>
      </c>
    </row>
    <row r="122" spans="1:28">
      <c r="A122" s="2">
        <v>119</v>
      </c>
      <c r="B122" s="2" t="s">
        <v>601</v>
      </c>
      <c r="C122" s="2" t="s">
        <v>2400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42776246.75632447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42776246.75632447</v>
      </c>
      <c r="Y122" s="6" t="s">
        <v>1195</v>
      </c>
      <c r="Z122" s="6" t="s">
        <v>1195</v>
      </c>
      <c r="AA122" s="2">
        <f>AA121</f>
        <v>42953338.177210703</v>
      </c>
      <c r="AB122" s="2">
        <v>0</v>
      </c>
    </row>
    <row r="123" spans="1:28">
      <c r="A123" s="2">
        <v>120</v>
      </c>
      <c r="B123" s="2" t="s">
        <v>605</v>
      </c>
      <c r="C123" s="2" t="s">
        <v>2400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42776246.75632447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42776246.75632447</v>
      </c>
      <c r="Y123" s="6" t="s">
        <v>1195</v>
      </c>
      <c r="Z123" s="6" t="s">
        <v>1195</v>
      </c>
      <c r="AA123" s="2">
        <f>AA122</f>
        <v>42953338.177210703</v>
      </c>
      <c r="AB123" s="2">
        <v>0</v>
      </c>
    </row>
    <row r="124" spans="1:28">
      <c r="A124" s="2">
        <v>121</v>
      </c>
      <c r="B124" s="2" t="s">
        <v>609</v>
      </c>
      <c r="C124" s="2" t="s">
        <v>2400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2380</v>
      </c>
      <c r="J124" s="2" t="s">
        <v>2239</v>
      </c>
      <c r="K124" s="2">
        <f t="shared" si="18"/>
        <v>42776246.75632447</v>
      </c>
      <c r="L124" s="2" t="s">
        <v>1722</v>
      </c>
      <c r="M124" s="2" t="s">
        <v>1861</v>
      </c>
      <c r="N124" s="2" t="s">
        <v>1835</v>
      </c>
      <c r="O124" s="2">
        <v>350</v>
      </c>
      <c r="P124" s="2">
        <v>1604.555908203125</v>
      </c>
      <c r="Q124" s="2">
        <v>1788.898559570312</v>
      </c>
      <c r="R124" s="2">
        <f>O124*P124</f>
        <v>561594.56787109375</v>
      </c>
      <c r="S124" s="2">
        <f>O124*Q124</f>
        <v>626114.49584960926</v>
      </c>
      <c r="T124" s="2">
        <f>R124+S124</f>
        <v>1187709.0637207031</v>
      </c>
      <c r="U124" s="2">
        <f>ROUND(T124*0.0005, 2)</f>
        <v>593.85</v>
      </c>
      <c r="V124" s="2">
        <f>S124-R124</f>
        <v>64519.927978515509</v>
      </c>
      <c r="W124" s="2">
        <f>V124-U124</f>
        <v>63926.07797851551</v>
      </c>
      <c r="X124" s="2">
        <f>K124+W124</f>
        <v>42840172.834302984</v>
      </c>
      <c r="Y124" s="2">
        <f>ROUND(0.2*R124, 2)</f>
        <v>112318.91</v>
      </c>
      <c r="Z124" s="2">
        <f>ROUND((W124/Y124)*100, 2)</f>
        <v>56.91</v>
      </c>
      <c r="AA124" s="2">
        <f>MAX(AA123, X124)</f>
        <v>42953338.177210703</v>
      </c>
      <c r="AB124" s="2">
        <f>X124-AA124</f>
        <v>-113165.34290771931</v>
      </c>
    </row>
    <row r="125" spans="1:28">
      <c r="A125" s="2">
        <v>122</v>
      </c>
      <c r="B125" s="2" t="s">
        <v>613</v>
      </c>
      <c r="C125" s="2" t="s">
        <v>2400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42840172.834302984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42840172.834302984</v>
      </c>
      <c r="Y125" s="6" t="s">
        <v>1195</v>
      </c>
      <c r="Z125" s="6" t="s">
        <v>1195</v>
      </c>
      <c r="AA125" s="2">
        <f>AA124</f>
        <v>42953338.177210703</v>
      </c>
      <c r="AB125" s="2">
        <v>0</v>
      </c>
    </row>
    <row r="126" spans="1:28">
      <c r="A126" s="2">
        <v>123</v>
      </c>
      <c r="B126" s="2" t="s">
        <v>617</v>
      </c>
      <c r="C126" s="2" t="s">
        <v>2400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42840172.834302984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42840172.834302984</v>
      </c>
      <c r="Y126" s="6" t="s">
        <v>1195</v>
      </c>
      <c r="Z126" s="6" t="s">
        <v>1195</v>
      </c>
      <c r="AA126" s="2">
        <f>AA125</f>
        <v>42953338.177210703</v>
      </c>
      <c r="AB126" s="2">
        <v>0</v>
      </c>
    </row>
    <row r="127" spans="1:28">
      <c r="A127" s="2">
        <v>124</v>
      </c>
      <c r="B127" s="2" t="s">
        <v>621</v>
      </c>
      <c r="C127" s="2" t="s">
        <v>2400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42840172.834302984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42840172.834302984</v>
      </c>
      <c r="Y127" s="6" t="s">
        <v>1195</v>
      </c>
      <c r="Z127" s="6" t="s">
        <v>1195</v>
      </c>
      <c r="AA127" s="2">
        <f>AA126</f>
        <v>42953338.177210703</v>
      </c>
      <c r="AB127" s="2">
        <v>0</v>
      </c>
    </row>
    <row r="128" spans="1:28">
      <c r="A128" s="2">
        <v>125</v>
      </c>
      <c r="B128" s="2" t="s">
        <v>625</v>
      </c>
      <c r="C128" s="2" t="s">
        <v>2400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42840172.834302984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42840172.834302984</v>
      </c>
      <c r="Y128" s="6" t="s">
        <v>1195</v>
      </c>
      <c r="Z128" s="6" t="s">
        <v>1195</v>
      </c>
      <c r="AA128" s="2">
        <f>AA127</f>
        <v>42953338.177210703</v>
      </c>
      <c r="AB128" s="2">
        <v>0</v>
      </c>
    </row>
    <row r="129" spans="1:28">
      <c r="A129" s="2">
        <v>126</v>
      </c>
      <c r="B129" s="2" t="s">
        <v>629</v>
      </c>
      <c r="C129" s="2" t="s">
        <v>2400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2381</v>
      </c>
      <c r="J129" s="2" t="s">
        <v>2382</v>
      </c>
      <c r="K129" s="2">
        <f t="shared" si="18"/>
        <v>42840172.834302984</v>
      </c>
      <c r="L129" s="2" t="s">
        <v>1585</v>
      </c>
      <c r="M129" s="2" t="s">
        <v>1802</v>
      </c>
      <c r="N129" s="2" t="s">
        <v>1784</v>
      </c>
      <c r="O129" s="2">
        <v>100</v>
      </c>
      <c r="P129" s="2">
        <v>10442.72265625</v>
      </c>
      <c r="Q129" s="2">
        <v>9791.9296875</v>
      </c>
      <c r="R129" s="2">
        <f>O129*P129</f>
        <v>1044272.265625</v>
      </c>
      <c r="S129" s="2">
        <f>O129*Q129</f>
        <v>979192.96875</v>
      </c>
      <c r="T129" s="2">
        <f>R129+S129</f>
        <v>2023465.234375</v>
      </c>
      <c r="U129" s="2">
        <f>ROUND(T129*0.0005, 2)</f>
        <v>1011.73</v>
      </c>
      <c r="V129" s="2">
        <f>S129-R129</f>
        <v>-65079.296875</v>
      </c>
      <c r="W129" s="2">
        <f>V129-U129</f>
        <v>-66091.026874999996</v>
      </c>
      <c r="X129" s="2">
        <f>K129+W129</f>
        <v>42774081.807427987</v>
      </c>
      <c r="Y129" s="2">
        <f>ROUND(0.2*R129, 2)</f>
        <v>208854.45</v>
      </c>
      <c r="Z129" s="2">
        <f>ROUND((W129/Y129)*100, 2)</f>
        <v>-31.64</v>
      </c>
      <c r="AA129" s="2">
        <f>MAX(AA128, X129)</f>
        <v>42953338.177210703</v>
      </c>
      <c r="AB129" s="2">
        <f>X129-AA129</f>
        <v>-179256.36978271604</v>
      </c>
    </row>
    <row r="130" spans="1:28">
      <c r="A130" s="2">
        <v>127</v>
      </c>
      <c r="B130" s="2" t="s">
        <v>632</v>
      </c>
      <c r="C130" s="2" t="s">
        <v>2400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239</v>
      </c>
      <c r="J130" s="2" t="s">
        <v>2430</v>
      </c>
      <c r="K130" s="2">
        <f t="shared" si="18"/>
        <v>42774081.807427987</v>
      </c>
      <c r="L130" s="2" t="s">
        <v>2418</v>
      </c>
      <c r="M130" s="2" t="s">
        <v>2431</v>
      </c>
      <c r="N130" s="2" t="s">
        <v>2432</v>
      </c>
      <c r="O130" s="2">
        <v>922</v>
      </c>
      <c r="P130" s="2">
        <v>337.26254272460937</v>
      </c>
      <c r="Q130" s="2">
        <v>361.31015014648437</v>
      </c>
      <c r="R130" s="2">
        <f>O130*P130</f>
        <v>310956.06439208984</v>
      </c>
      <c r="S130" s="2">
        <f>O130*Q130</f>
        <v>333127.95843505859</v>
      </c>
      <c r="T130" s="2">
        <f>R130+S130</f>
        <v>644084.02282714844</v>
      </c>
      <c r="U130" s="2">
        <f>ROUND(T130*0.0005, 2)</f>
        <v>322.04000000000002</v>
      </c>
      <c r="V130" s="2">
        <f>S130-R130</f>
        <v>22171.89404296875</v>
      </c>
      <c r="W130" s="2">
        <f>V130-U130</f>
        <v>21849.854042968749</v>
      </c>
      <c r="X130" s="2">
        <f>K130+W130</f>
        <v>42795931.661470957</v>
      </c>
      <c r="Y130" s="2">
        <f>ROUND(0.2*R130, 2)</f>
        <v>62191.21</v>
      </c>
      <c r="Z130" s="2">
        <f>ROUND((W130/Y130)*100, 2)</f>
        <v>35.130000000000003</v>
      </c>
      <c r="AA130" s="2">
        <f>MAX(AA129, X130)</f>
        <v>42953338.177210703</v>
      </c>
      <c r="AB130" s="2">
        <f>X130-AA130</f>
        <v>-157406.51573974639</v>
      </c>
    </row>
    <row r="131" spans="1:28">
      <c r="A131" s="2">
        <v>128</v>
      </c>
      <c r="B131" s="2" t="s">
        <v>637</v>
      </c>
      <c r="C131" s="2" t="s">
        <v>2400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42795931.661470957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42795931.661470957</v>
      </c>
      <c r="Y131" s="6" t="s">
        <v>1195</v>
      </c>
      <c r="Z131" s="6" t="s">
        <v>1195</v>
      </c>
      <c r="AA131" s="2">
        <f t="shared" ref="AA131:AA136" si="20">AA130</f>
        <v>42953338.177210703</v>
      </c>
      <c r="AB131" s="2">
        <v>0</v>
      </c>
    </row>
    <row r="132" spans="1:28">
      <c r="A132" s="2">
        <v>129</v>
      </c>
      <c r="B132" s="2" t="s">
        <v>640</v>
      </c>
      <c r="C132" s="2" t="s">
        <v>2400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42795931.661470957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42795931.661470957</v>
      </c>
      <c r="Y132" s="6" t="s">
        <v>1195</v>
      </c>
      <c r="Z132" s="6" t="s">
        <v>1195</v>
      </c>
      <c r="AA132" s="2">
        <f t="shared" si="20"/>
        <v>42953338.177210703</v>
      </c>
      <c r="AB132" s="2">
        <v>0</v>
      </c>
    </row>
    <row r="133" spans="1:28">
      <c r="A133" s="2">
        <v>130</v>
      </c>
      <c r="B133" s="2" t="s">
        <v>647</v>
      </c>
      <c r="C133" s="2" t="s">
        <v>2400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42795931.661470957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42795931.661470957</v>
      </c>
      <c r="Y133" s="6" t="s">
        <v>1195</v>
      </c>
      <c r="Z133" s="6" t="s">
        <v>1195</v>
      </c>
      <c r="AA133" s="2">
        <f t="shared" si="20"/>
        <v>42953338.177210703</v>
      </c>
      <c r="AB133" s="2">
        <v>0</v>
      </c>
    </row>
    <row r="134" spans="1:28">
      <c r="A134" s="2">
        <v>131</v>
      </c>
      <c r="B134" s="2" t="s">
        <v>651</v>
      </c>
      <c r="C134" s="2" t="s">
        <v>2400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42795931.661470957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42795931.661470957</v>
      </c>
      <c r="Y134" s="6" t="s">
        <v>1195</v>
      </c>
      <c r="Z134" s="6" t="s">
        <v>1195</v>
      </c>
      <c r="AA134" s="2">
        <f t="shared" si="20"/>
        <v>42953338.177210703</v>
      </c>
      <c r="AB134" s="2">
        <v>0</v>
      </c>
    </row>
    <row r="135" spans="1:28">
      <c r="A135" s="2">
        <v>132</v>
      </c>
      <c r="B135" s="2" t="s">
        <v>654</v>
      </c>
      <c r="C135" s="2" t="s">
        <v>2400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42795931.661470957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42795931.661470957</v>
      </c>
      <c r="Y135" s="6" t="s">
        <v>1195</v>
      </c>
      <c r="Z135" s="6" t="s">
        <v>1195</v>
      </c>
      <c r="AA135" s="2">
        <f t="shared" si="20"/>
        <v>42953338.177210703</v>
      </c>
      <c r="AB135" s="2">
        <v>0</v>
      </c>
    </row>
    <row r="136" spans="1:28">
      <c r="A136" s="2">
        <v>133</v>
      </c>
      <c r="B136" s="2" t="s">
        <v>656</v>
      </c>
      <c r="C136" s="2" t="s">
        <v>2400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42795931.661470957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42795931.661470957</v>
      </c>
      <c r="Y136" s="6" t="s">
        <v>1195</v>
      </c>
      <c r="Z136" s="6" t="s">
        <v>1195</v>
      </c>
      <c r="AA136" s="2">
        <f t="shared" si="20"/>
        <v>42953338.177210703</v>
      </c>
      <c r="AB136" s="2">
        <v>0</v>
      </c>
    </row>
    <row r="137" spans="1:28">
      <c r="A137" s="2">
        <v>134</v>
      </c>
      <c r="B137" s="2" t="s">
        <v>658</v>
      </c>
      <c r="C137" s="2" t="s">
        <v>2400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2433</v>
      </c>
      <c r="J137" s="2" t="s">
        <v>2434</v>
      </c>
      <c r="K137" s="2">
        <f t="shared" si="21"/>
        <v>42795931.661470957</v>
      </c>
      <c r="L137" s="2" t="s">
        <v>2337</v>
      </c>
      <c r="M137" s="2" t="s">
        <v>2150</v>
      </c>
      <c r="N137" s="2" t="s">
        <v>2435</v>
      </c>
      <c r="O137" s="2">
        <v>332</v>
      </c>
      <c r="P137" s="2">
        <v>2237.48095703125</v>
      </c>
      <c r="Q137" s="2">
        <v>2072.07958984375</v>
      </c>
      <c r="R137" s="2">
        <f>O137*P137</f>
        <v>742843.677734375</v>
      </c>
      <c r="S137" s="2">
        <f>O137*Q137</f>
        <v>687930.423828125</v>
      </c>
      <c r="T137" s="2">
        <f>R137+S137</f>
        <v>1430774.1015625</v>
      </c>
      <c r="U137" s="2">
        <f>ROUND(T137*0.0005, 2)</f>
        <v>715.39</v>
      </c>
      <c r="V137" s="2">
        <f>S137-R137</f>
        <v>-54913.25390625</v>
      </c>
      <c r="W137" s="2">
        <f>V137-U137</f>
        <v>-55628.643906249999</v>
      </c>
      <c r="X137" s="2">
        <f>K137+W137</f>
        <v>42740303.017564707</v>
      </c>
      <c r="Y137" s="2">
        <f>ROUND(0.2*R137, 2)</f>
        <v>148568.74</v>
      </c>
      <c r="Z137" s="2">
        <f>ROUND((W137/Y137)*100, 2)</f>
        <v>-37.44</v>
      </c>
      <c r="AA137" s="2">
        <f>MAX(AA136, X137)</f>
        <v>42953338.177210703</v>
      </c>
      <c r="AB137" s="2">
        <f>X137-AA137</f>
        <v>-213035.15964599699</v>
      </c>
    </row>
    <row r="138" spans="1:28">
      <c r="A138" s="2">
        <v>135</v>
      </c>
      <c r="B138" s="2" t="s">
        <v>661</v>
      </c>
      <c r="C138" s="2" t="s">
        <v>2400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42740303.017564707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 t="shared" ref="X138:X144" si="22">K138</f>
        <v>42740303.017564707</v>
      </c>
      <c r="Y138" s="6" t="s">
        <v>1195</v>
      </c>
      <c r="Z138" s="6" t="s">
        <v>1195</v>
      </c>
      <c r="AA138" s="2">
        <f t="shared" ref="AA138:AA144" si="23">AA137</f>
        <v>42953338.177210703</v>
      </c>
      <c r="AB138" s="2">
        <v>0</v>
      </c>
    </row>
    <row r="139" spans="1:28">
      <c r="A139" s="2">
        <v>136</v>
      </c>
      <c r="B139" s="2" t="s">
        <v>664</v>
      </c>
      <c r="C139" s="2" t="s">
        <v>2400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42740303.017564707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 t="shared" si="22"/>
        <v>42740303.017564707</v>
      </c>
      <c r="Y139" s="6" t="s">
        <v>1195</v>
      </c>
      <c r="Z139" s="6" t="s">
        <v>1195</v>
      </c>
      <c r="AA139" s="2">
        <f t="shared" si="23"/>
        <v>42953338.177210703</v>
      </c>
      <c r="AB139" s="2">
        <v>0</v>
      </c>
    </row>
    <row r="140" spans="1:28">
      <c r="A140" s="2">
        <v>137</v>
      </c>
      <c r="B140" s="2" t="s">
        <v>667</v>
      </c>
      <c r="C140" s="2" t="s">
        <v>2400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42740303.017564707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 t="shared" si="22"/>
        <v>42740303.017564707</v>
      </c>
      <c r="Y140" s="6" t="s">
        <v>1195</v>
      </c>
      <c r="Z140" s="6" t="s">
        <v>1195</v>
      </c>
      <c r="AA140" s="2">
        <f t="shared" si="23"/>
        <v>42953338.177210703</v>
      </c>
      <c r="AB140" s="2">
        <v>0</v>
      </c>
    </row>
    <row r="141" spans="1:28">
      <c r="A141" s="2">
        <v>138</v>
      </c>
      <c r="B141" s="2" t="s">
        <v>670</v>
      </c>
      <c r="C141" s="2" t="s">
        <v>2400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42740303.017564707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 t="shared" si="22"/>
        <v>42740303.017564707</v>
      </c>
      <c r="Y141" s="6" t="s">
        <v>1195</v>
      </c>
      <c r="Z141" s="6" t="s">
        <v>1195</v>
      </c>
      <c r="AA141" s="2">
        <f t="shared" si="23"/>
        <v>42953338.177210703</v>
      </c>
      <c r="AB141" s="2">
        <v>0</v>
      </c>
    </row>
    <row r="142" spans="1:28">
      <c r="A142" s="2">
        <v>139</v>
      </c>
      <c r="B142" s="2" t="s">
        <v>674</v>
      </c>
      <c r="C142" s="2" t="s">
        <v>2400</v>
      </c>
      <c r="D142" s="3" t="s">
        <v>37</v>
      </c>
      <c r="E142" s="5" t="s">
        <v>134</v>
      </c>
      <c r="F142" s="2" t="s">
        <v>675</v>
      </c>
      <c r="G142" s="2" t="s">
        <v>63</v>
      </c>
      <c r="H142" s="6" t="s">
        <v>1195</v>
      </c>
      <c r="I142" s="6" t="s">
        <v>1195</v>
      </c>
      <c r="J142" s="6" t="s">
        <v>1195</v>
      </c>
      <c r="K142" s="2">
        <f t="shared" si="21"/>
        <v>42740303.017564707</v>
      </c>
      <c r="L142" s="6" t="s">
        <v>1195</v>
      </c>
      <c r="M142" s="6" t="s">
        <v>1195</v>
      </c>
      <c r="N142" s="6" t="s">
        <v>1195</v>
      </c>
      <c r="O142" s="2">
        <v>200</v>
      </c>
      <c r="P142" s="6" t="s">
        <v>1195</v>
      </c>
      <c r="Q142" s="6" t="s">
        <v>1195</v>
      </c>
      <c r="R142" s="6" t="s">
        <v>1195</v>
      </c>
      <c r="S142" s="6" t="s">
        <v>1195</v>
      </c>
      <c r="T142" s="6" t="s">
        <v>1195</v>
      </c>
      <c r="U142" s="6" t="s">
        <v>1195</v>
      </c>
      <c r="V142" s="6" t="s">
        <v>1195</v>
      </c>
      <c r="W142" s="6" t="s">
        <v>1195</v>
      </c>
      <c r="X142" s="2">
        <f t="shared" si="22"/>
        <v>42740303.017564707</v>
      </c>
      <c r="Y142" s="6" t="s">
        <v>1195</v>
      </c>
      <c r="Z142" s="6" t="s">
        <v>1195</v>
      </c>
      <c r="AA142" s="2">
        <f t="shared" si="23"/>
        <v>42953338.177210703</v>
      </c>
      <c r="AB142" s="2">
        <v>0</v>
      </c>
    </row>
    <row r="143" spans="1:28">
      <c r="A143" s="2">
        <v>140</v>
      </c>
      <c r="B143" s="2" t="s">
        <v>678</v>
      </c>
      <c r="C143" s="2" t="s">
        <v>2400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42740303.017564707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 t="shared" si="22"/>
        <v>42740303.017564707</v>
      </c>
      <c r="Y143" s="6" t="s">
        <v>1195</v>
      </c>
      <c r="Z143" s="6" t="s">
        <v>1195</v>
      </c>
      <c r="AA143" s="2">
        <f t="shared" si="23"/>
        <v>42953338.177210703</v>
      </c>
      <c r="AB143" s="2">
        <v>0</v>
      </c>
    </row>
    <row r="144" spans="1:28">
      <c r="A144" s="2">
        <v>141</v>
      </c>
      <c r="B144" s="2" t="s">
        <v>681</v>
      </c>
      <c r="C144" s="2" t="s">
        <v>2400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42740303.017564707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 t="shared" si="22"/>
        <v>42740303.017564707</v>
      </c>
      <c r="Y144" s="6" t="s">
        <v>1195</v>
      </c>
      <c r="Z144" s="6" t="s">
        <v>1195</v>
      </c>
      <c r="AA144" s="2">
        <f t="shared" si="23"/>
        <v>42953338.177210703</v>
      </c>
      <c r="AB144" s="2">
        <v>0</v>
      </c>
    </row>
    <row r="145" spans="1:28">
      <c r="A145" s="2">
        <v>142</v>
      </c>
      <c r="B145" s="2" t="s">
        <v>685</v>
      </c>
      <c r="C145" s="2" t="s">
        <v>2400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2387</v>
      </c>
      <c r="J145" s="2" t="s">
        <v>1483</v>
      </c>
      <c r="K145" s="2">
        <f t="shared" si="21"/>
        <v>42740303.017564707</v>
      </c>
      <c r="L145" s="2" t="s">
        <v>1783</v>
      </c>
      <c r="M145" s="2" t="s">
        <v>1778</v>
      </c>
      <c r="N145" s="2" t="s">
        <v>1585</v>
      </c>
      <c r="O145" s="2">
        <v>1500</v>
      </c>
      <c r="P145" s="2">
        <v>317.30776977539062</v>
      </c>
      <c r="Q145" s="2">
        <v>292.00619506835937</v>
      </c>
      <c r="R145" s="2">
        <f>O145*P145</f>
        <v>475961.65466308594</v>
      </c>
      <c r="S145" s="2">
        <f>O145*Q145</f>
        <v>438009.29260253906</v>
      </c>
      <c r="T145" s="2">
        <f>R145+S145</f>
        <v>913970.947265625</v>
      </c>
      <c r="U145" s="2">
        <f>ROUND(T145*0.0005, 2)</f>
        <v>456.99</v>
      </c>
      <c r="V145" s="2">
        <f>S145-R145</f>
        <v>-37952.362060546875</v>
      </c>
      <c r="W145" s="2">
        <f>V145-U145</f>
        <v>-38409.352060546873</v>
      </c>
      <c r="X145" s="2">
        <f>K145+W145</f>
        <v>42701893.665504158</v>
      </c>
      <c r="Y145" s="2">
        <f>ROUND(0.2*R145, 2)</f>
        <v>95192.33</v>
      </c>
      <c r="Z145" s="2">
        <f>ROUND((W145/Y145)*100, 2)</f>
        <v>-40.35</v>
      </c>
      <c r="AA145" s="2">
        <f>MAX(AA144, X145)</f>
        <v>42953338.177210703</v>
      </c>
      <c r="AB145" s="2">
        <f>X145-AA145</f>
        <v>-251444.51170654595</v>
      </c>
    </row>
    <row r="146" spans="1:28">
      <c r="A146" s="2">
        <v>143</v>
      </c>
      <c r="B146" s="2" t="s">
        <v>689</v>
      </c>
      <c r="C146" s="2" t="s">
        <v>2400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42701893.665504158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42701893.665504158</v>
      </c>
      <c r="Y146" s="6" t="s">
        <v>1195</v>
      </c>
      <c r="Z146" s="6" t="s">
        <v>1195</v>
      </c>
      <c r="AA146" s="2">
        <f>AA145</f>
        <v>42953338.177210703</v>
      </c>
      <c r="AB146" s="2">
        <v>0</v>
      </c>
    </row>
    <row r="147" spans="1:28">
      <c r="A147" s="2">
        <v>144</v>
      </c>
      <c r="B147" s="2" t="s">
        <v>692</v>
      </c>
      <c r="C147" s="2" t="s">
        <v>2400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42701893.665504158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42701893.665504158</v>
      </c>
      <c r="Y147" s="6" t="s">
        <v>1195</v>
      </c>
      <c r="Z147" s="6" t="s">
        <v>1195</v>
      </c>
      <c r="AA147" s="2">
        <f>AA146</f>
        <v>42953338.177210703</v>
      </c>
      <c r="AB147" s="2">
        <v>0</v>
      </c>
    </row>
    <row r="148" spans="1:28">
      <c r="A148" s="2">
        <v>145</v>
      </c>
      <c r="B148" s="2" t="s">
        <v>696</v>
      </c>
      <c r="C148" s="2" t="s">
        <v>2400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42701893.665504158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42701893.665504158</v>
      </c>
      <c r="Y148" s="6" t="s">
        <v>1195</v>
      </c>
      <c r="Z148" s="6" t="s">
        <v>1195</v>
      </c>
      <c r="AA148" s="2">
        <f>AA147</f>
        <v>42953338.177210703</v>
      </c>
      <c r="AB148" s="2">
        <v>0</v>
      </c>
    </row>
    <row r="149" spans="1:28">
      <c r="A149" s="2">
        <v>146</v>
      </c>
      <c r="B149" s="2" t="s">
        <v>701</v>
      </c>
      <c r="C149" s="2" t="s">
        <v>2400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42701893.665504158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42701893.665504158</v>
      </c>
      <c r="Y149" s="6" t="s">
        <v>1195</v>
      </c>
      <c r="Z149" s="6" t="s">
        <v>1195</v>
      </c>
      <c r="AA149" s="2">
        <f>AA148</f>
        <v>42953338.177210703</v>
      </c>
      <c r="AB149" s="2">
        <v>0</v>
      </c>
    </row>
    <row r="150" spans="1:28">
      <c r="A150" s="2">
        <v>147</v>
      </c>
      <c r="B150" s="2" t="s">
        <v>705</v>
      </c>
      <c r="C150" s="2" t="s">
        <v>2400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1112</v>
      </c>
      <c r="J150" s="2" t="s">
        <v>2388</v>
      </c>
      <c r="K150" s="2">
        <f t="shared" si="21"/>
        <v>42701893.665504158</v>
      </c>
      <c r="L150" s="2" t="s">
        <v>1802</v>
      </c>
      <c r="M150" s="2" t="s">
        <v>1813</v>
      </c>
      <c r="N150" s="2" t="s">
        <v>1789</v>
      </c>
      <c r="O150" s="2">
        <v>3750</v>
      </c>
      <c r="P150" s="2">
        <v>247.42498779296881</v>
      </c>
      <c r="Q150" s="2">
        <v>228.4068603515625</v>
      </c>
      <c r="R150" s="2">
        <f>O150*P150</f>
        <v>927843.70422363305</v>
      </c>
      <c r="S150" s="2">
        <f>O150*Q150</f>
        <v>856525.72631835937</v>
      </c>
      <c r="T150" s="2">
        <f>R150+S150</f>
        <v>1784369.4305419924</v>
      </c>
      <c r="U150" s="2">
        <f>ROUND(T150*0.0005, 2)</f>
        <v>892.18</v>
      </c>
      <c r="V150" s="2">
        <f>S150-R150</f>
        <v>-71317.97790527367</v>
      </c>
      <c r="W150" s="2">
        <f>V150-U150</f>
        <v>-72210.157905273663</v>
      </c>
      <c r="X150" s="2">
        <f>K150+W150</f>
        <v>42629683.507598884</v>
      </c>
      <c r="Y150" s="2">
        <f>ROUND(0.2*R150, 2)</f>
        <v>185568.74</v>
      </c>
      <c r="Z150" s="2">
        <f>ROUND((W150/Y150)*100, 2)</f>
        <v>-38.909999999999997</v>
      </c>
      <c r="AA150" s="2">
        <f>MAX(AA149, X150)</f>
        <v>42953338.177210703</v>
      </c>
      <c r="AB150" s="2">
        <f>X150-AA150</f>
        <v>-323654.66961181909</v>
      </c>
    </row>
    <row r="151" spans="1:28">
      <c r="A151" s="2">
        <v>148</v>
      </c>
      <c r="B151" s="2" t="s">
        <v>708</v>
      </c>
      <c r="C151" s="2" t="s">
        <v>2400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42629683.507598884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4">K151</f>
        <v>42629683.507598884</v>
      </c>
      <c r="Y151" s="6" t="s">
        <v>1195</v>
      </c>
      <c r="Z151" s="6" t="s">
        <v>1195</v>
      </c>
      <c r="AA151" s="2">
        <f t="shared" ref="AA151:AA164" si="25">AA150</f>
        <v>42953338.177210703</v>
      </c>
      <c r="AB151" s="2">
        <v>0</v>
      </c>
    </row>
    <row r="152" spans="1:28">
      <c r="A152" s="2">
        <v>149</v>
      </c>
      <c r="B152" s="2" t="s">
        <v>710</v>
      </c>
      <c r="C152" s="2" t="s">
        <v>2400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42629683.507598884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4"/>
        <v>42629683.507598884</v>
      </c>
      <c r="Y152" s="6" t="s">
        <v>1195</v>
      </c>
      <c r="Z152" s="6" t="s">
        <v>1195</v>
      </c>
      <c r="AA152" s="2">
        <f t="shared" si="25"/>
        <v>42953338.177210703</v>
      </c>
      <c r="AB152" s="2">
        <v>0</v>
      </c>
    </row>
    <row r="153" spans="1:28">
      <c r="A153" s="2">
        <v>150</v>
      </c>
      <c r="B153" s="2" t="s">
        <v>714</v>
      </c>
      <c r="C153" s="2" t="s">
        <v>2400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42629683.507598884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4"/>
        <v>42629683.507598884</v>
      </c>
      <c r="Y153" s="6" t="s">
        <v>1195</v>
      </c>
      <c r="Z153" s="6" t="s">
        <v>1195</v>
      </c>
      <c r="AA153" s="2">
        <f t="shared" si="25"/>
        <v>42953338.177210703</v>
      </c>
      <c r="AB153" s="2">
        <v>0</v>
      </c>
    </row>
    <row r="154" spans="1:28">
      <c r="A154" s="2">
        <v>151</v>
      </c>
      <c r="B154" s="2" t="s">
        <v>718</v>
      </c>
      <c r="C154" s="2" t="s">
        <v>2400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42629683.507598884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4"/>
        <v>42629683.507598884</v>
      </c>
      <c r="Y154" s="6" t="s">
        <v>1195</v>
      </c>
      <c r="Z154" s="6" t="s">
        <v>1195</v>
      </c>
      <c r="AA154" s="2">
        <f t="shared" si="25"/>
        <v>42953338.177210703</v>
      </c>
      <c r="AB154" s="2">
        <v>0</v>
      </c>
    </row>
    <row r="155" spans="1:28">
      <c r="A155" s="2">
        <v>152</v>
      </c>
      <c r="B155" s="2" t="s">
        <v>720</v>
      </c>
      <c r="C155" s="2" t="s">
        <v>2400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42629683.507598884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4"/>
        <v>42629683.507598884</v>
      </c>
      <c r="Y155" s="6" t="s">
        <v>1195</v>
      </c>
      <c r="Z155" s="6" t="s">
        <v>1195</v>
      </c>
      <c r="AA155" s="2">
        <f t="shared" si="25"/>
        <v>42953338.177210703</v>
      </c>
      <c r="AB155" s="2">
        <v>0</v>
      </c>
    </row>
    <row r="156" spans="1:28">
      <c r="A156" s="2">
        <v>153</v>
      </c>
      <c r="B156" s="2" t="s">
        <v>723</v>
      </c>
      <c r="C156" s="2" t="s">
        <v>2400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42629683.507598884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4"/>
        <v>42629683.507598884</v>
      </c>
      <c r="Y156" s="6" t="s">
        <v>1195</v>
      </c>
      <c r="Z156" s="6" t="s">
        <v>1195</v>
      </c>
      <c r="AA156" s="2">
        <f t="shared" si="25"/>
        <v>42953338.177210703</v>
      </c>
      <c r="AB156" s="2">
        <v>0</v>
      </c>
    </row>
    <row r="157" spans="1:28">
      <c r="A157" s="2">
        <v>154</v>
      </c>
      <c r="B157" s="2" t="s">
        <v>727</v>
      </c>
      <c r="C157" s="2" t="s">
        <v>2400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42629683.507598884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4"/>
        <v>42629683.507598884</v>
      </c>
      <c r="Y157" s="6" t="s">
        <v>1195</v>
      </c>
      <c r="Z157" s="6" t="s">
        <v>1195</v>
      </c>
      <c r="AA157" s="2">
        <f t="shared" si="25"/>
        <v>42953338.177210703</v>
      </c>
      <c r="AB157" s="2">
        <v>0</v>
      </c>
    </row>
    <row r="158" spans="1:28">
      <c r="A158" s="2">
        <v>155</v>
      </c>
      <c r="B158" s="2" t="s">
        <v>729</v>
      </c>
      <c r="C158" s="2" t="s">
        <v>2400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42629683.507598884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4"/>
        <v>42629683.507598884</v>
      </c>
      <c r="Y158" s="6" t="s">
        <v>1195</v>
      </c>
      <c r="Z158" s="6" t="s">
        <v>1195</v>
      </c>
      <c r="AA158" s="2">
        <f t="shared" si="25"/>
        <v>42953338.177210703</v>
      </c>
      <c r="AB158" s="2">
        <v>0</v>
      </c>
    </row>
    <row r="159" spans="1:28">
      <c r="A159" s="2">
        <v>156</v>
      </c>
      <c r="B159" s="2" t="s">
        <v>732</v>
      </c>
      <c r="C159" s="2" t="s">
        <v>2400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42629683.507598884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4"/>
        <v>42629683.507598884</v>
      </c>
      <c r="Y159" s="6" t="s">
        <v>1195</v>
      </c>
      <c r="Z159" s="6" t="s">
        <v>1195</v>
      </c>
      <c r="AA159" s="2">
        <f t="shared" si="25"/>
        <v>42953338.177210703</v>
      </c>
      <c r="AB159" s="2">
        <v>0</v>
      </c>
    </row>
    <row r="160" spans="1:28">
      <c r="A160" s="2">
        <v>157</v>
      </c>
      <c r="B160" s="2" t="s">
        <v>736</v>
      </c>
      <c r="C160" s="2" t="s">
        <v>2400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42629683.507598884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4"/>
        <v>42629683.507598884</v>
      </c>
      <c r="Y160" s="6" t="s">
        <v>1195</v>
      </c>
      <c r="Z160" s="6" t="s">
        <v>1195</v>
      </c>
      <c r="AA160" s="2">
        <f t="shared" si="25"/>
        <v>42953338.177210703</v>
      </c>
      <c r="AB160" s="2">
        <v>0</v>
      </c>
    </row>
    <row r="161" spans="1:28">
      <c r="A161" s="2">
        <v>158</v>
      </c>
      <c r="B161" s="2" t="s">
        <v>738</v>
      </c>
      <c r="C161" s="2" t="s">
        <v>2400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42629683.507598884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4"/>
        <v>42629683.507598884</v>
      </c>
      <c r="Y161" s="6" t="s">
        <v>1195</v>
      </c>
      <c r="Z161" s="6" t="s">
        <v>1195</v>
      </c>
      <c r="AA161" s="2">
        <f t="shared" si="25"/>
        <v>42953338.177210703</v>
      </c>
      <c r="AB161" s="2">
        <v>0</v>
      </c>
    </row>
    <row r="162" spans="1:28">
      <c r="A162" s="2">
        <v>159</v>
      </c>
      <c r="B162" s="2" t="s">
        <v>741</v>
      </c>
      <c r="C162" s="2" t="s">
        <v>2400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42629683.507598884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4"/>
        <v>42629683.507598884</v>
      </c>
      <c r="Y162" s="6" t="s">
        <v>1195</v>
      </c>
      <c r="Z162" s="6" t="s">
        <v>1195</v>
      </c>
      <c r="AA162" s="2">
        <f t="shared" si="25"/>
        <v>42953338.177210703</v>
      </c>
      <c r="AB162" s="2">
        <v>0</v>
      </c>
    </row>
    <row r="163" spans="1:28">
      <c r="A163" s="2">
        <v>160</v>
      </c>
      <c r="B163" s="2" t="s">
        <v>743</v>
      </c>
      <c r="C163" s="2" t="s">
        <v>2400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42629683.507598884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4"/>
        <v>42629683.507598884</v>
      </c>
      <c r="Y163" s="6" t="s">
        <v>1195</v>
      </c>
      <c r="Z163" s="6" t="s">
        <v>1195</v>
      </c>
      <c r="AA163" s="2">
        <f t="shared" si="25"/>
        <v>42953338.177210703</v>
      </c>
      <c r="AB163" s="2">
        <v>0</v>
      </c>
    </row>
    <row r="164" spans="1:28">
      <c r="A164" s="2">
        <v>161</v>
      </c>
      <c r="B164" s="2" t="s">
        <v>746</v>
      </c>
      <c r="C164" s="2" t="s">
        <v>2400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42629683.507598884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4"/>
        <v>42629683.507598884</v>
      </c>
      <c r="Y164" s="6" t="s">
        <v>1195</v>
      </c>
      <c r="Z164" s="6" t="s">
        <v>1195</v>
      </c>
      <c r="AA164" s="2">
        <f t="shared" si="25"/>
        <v>42953338.177210703</v>
      </c>
      <c r="AB164" s="2">
        <v>0</v>
      </c>
    </row>
    <row r="165" spans="1:28">
      <c r="A165" s="2">
        <v>162</v>
      </c>
      <c r="B165" s="2" t="s">
        <v>750</v>
      </c>
      <c r="C165" s="2" t="s">
        <v>2400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2389</v>
      </c>
      <c r="J165" s="2" t="s">
        <v>2390</v>
      </c>
      <c r="K165" s="2">
        <f t="shared" si="21"/>
        <v>42629683.507598884</v>
      </c>
      <c r="L165" s="2" t="s">
        <v>1779</v>
      </c>
      <c r="M165" s="2" t="s">
        <v>1721</v>
      </c>
      <c r="N165" s="2" t="s">
        <v>1801</v>
      </c>
      <c r="O165" s="2">
        <v>1800</v>
      </c>
      <c r="P165" s="2">
        <v>263.57699584960937</v>
      </c>
      <c r="Q165" s="2">
        <v>246.63255310058599</v>
      </c>
      <c r="R165" s="2">
        <f>O165*P165</f>
        <v>474438.59252929687</v>
      </c>
      <c r="S165" s="2">
        <f>O165*Q165</f>
        <v>443938.5955810548</v>
      </c>
      <c r="T165" s="2">
        <f>R165+S165</f>
        <v>918377.18811035168</v>
      </c>
      <c r="U165" s="2">
        <f>ROUND(T165*0.0005, 2)</f>
        <v>459.19</v>
      </c>
      <c r="V165" s="2">
        <f>S165-R165</f>
        <v>-30499.996948242071</v>
      </c>
      <c r="W165" s="2">
        <f>V165-U165</f>
        <v>-30959.18694824207</v>
      </c>
      <c r="X165" s="2">
        <f>K165+W165</f>
        <v>42598724.320650645</v>
      </c>
      <c r="Y165" s="2">
        <f>ROUND(0.2*R165, 2)</f>
        <v>94887.72</v>
      </c>
      <c r="Z165" s="2">
        <f>ROUND((W165/Y165)*100, 2)</f>
        <v>-32.630000000000003</v>
      </c>
      <c r="AA165" s="2">
        <f>MAX(AA164, X165)</f>
        <v>42953338.177210703</v>
      </c>
      <c r="AB165" s="2">
        <f>X165-AA165</f>
        <v>-354613.85656005889</v>
      </c>
    </row>
    <row r="166" spans="1:28">
      <c r="A166" s="2">
        <v>163</v>
      </c>
      <c r="B166" s="2" t="s">
        <v>754</v>
      </c>
      <c r="C166" s="2" t="s">
        <v>2400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42598724.320650645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42598724.320650645</v>
      </c>
      <c r="Y166" s="6" t="s">
        <v>1195</v>
      </c>
      <c r="Z166" s="6" t="s">
        <v>1195</v>
      </c>
      <c r="AA166" s="2">
        <f>AA165</f>
        <v>42953338.177210703</v>
      </c>
      <c r="AB166" s="2">
        <v>0</v>
      </c>
    </row>
    <row r="167" spans="1:28">
      <c r="A167" s="2">
        <v>164</v>
      </c>
      <c r="B167" s="2" t="s">
        <v>758</v>
      </c>
      <c r="C167" s="2" t="s">
        <v>2400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42598724.320650645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42598724.320650645</v>
      </c>
      <c r="Y167" s="6" t="s">
        <v>1195</v>
      </c>
      <c r="Z167" s="6" t="s">
        <v>1195</v>
      </c>
      <c r="AA167" s="2">
        <f>AA166</f>
        <v>42953338.177210703</v>
      </c>
      <c r="AB167" s="2">
        <v>0</v>
      </c>
    </row>
    <row r="168" spans="1:28">
      <c r="A168" s="2">
        <v>165</v>
      </c>
      <c r="B168" s="2" t="s">
        <v>760</v>
      </c>
      <c r="C168" s="2" t="s">
        <v>2400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42598724.320650645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42598724.320650645</v>
      </c>
      <c r="Y168" s="6" t="s">
        <v>1195</v>
      </c>
      <c r="Z168" s="6" t="s">
        <v>1195</v>
      </c>
      <c r="AA168" s="2">
        <f>AA167</f>
        <v>42953338.177210703</v>
      </c>
      <c r="AB168" s="2">
        <v>0</v>
      </c>
    </row>
    <row r="169" spans="1:28">
      <c r="A169" s="2">
        <v>166</v>
      </c>
      <c r="B169" s="2" t="s">
        <v>763</v>
      </c>
      <c r="C169" s="2" t="s">
        <v>2400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42598724.320650645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42598724.320650645</v>
      </c>
      <c r="Y169" s="6" t="s">
        <v>1195</v>
      </c>
      <c r="Z169" s="6" t="s">
        <v>1195</v>
      </c>
      <c r="AA169" s="2">
        <f>AA168</f>
        <v>42953338.177210703</v>
      </c>
      <c r="AB169" s="2">
        <v>0</v>
      </c>
    </row>
    <row r="170" spans="1:28">
      <c r="A170" s="2">
        <v>167</v>
      </c>
      <c r="B170" s="2" t="s">
        <v>764</v>
      </c>
      <c r="C170" s="2" t="s">
        <v>2400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42598724.320650645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42598724.320650645</v>
      </c>
      <c r="Y170" s="6" t="s">
        <v>1195</v>
      </c>
      <c r="Z170" s="6" t="s">
        <v>1195</v>
      </c>
      <c r="AA170" s="2">
        <f>AA169</f>
        <v>42953338.177210703</v>
      </c>
      <c r="AB170" s="2">
        <v>0</v>
      </c>
    </row>
    <row r="171" spans="1:28">
      <c r="A171" s="2">
        <v>168</v>
      </c>
      <c r="B171" s="2" t="s">
        <v>769</v>
      </c>
      <c r="C171" s="2" t="s">
        <v>2400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1811</v>
      </c>
      <c r="J171" s="2" t="s">
        <v>316</v>
      </c>
      <c r="K171" s="2">
        <f t="shared" si="21"/>
        <v>42598724.320650645</v>
      </c>
      <c r="L171" s="2" t="s">
        <v>2391</v>
      </c>
      <c r="M171" s="2" t="s">
        <v>2392</v>
      </c>
      <c r="N171" s="2" t="s">
        <v>2393</v>
      </c>
      <c r="O171" s="2">
        <v>2667</v>
      </c>
      <c r="P171" s="2">
        <v>363.17263793945312</v>
      </c>
      <c r="Q171" s="2">
        <v>362.10964965820312</v>
      </c>
      <c r="R171" s="2">
        <f>O171*P171</f>
        <v>968581.42538452148</v>
      </c>
      <c r="S171" s="2">
        <f>O171*Q171</f>
        <v>965746.43563842773</v>
      </c>
      <c r="T171" s="2">
        <f>R171+S171</f>
        <v>1934327.8610229492</v>
      </c>
      <c r="U171" s="2">
        <f>ROUND(T171*0.0005, 2)</f>
        <v>967.16</v>
      </c>
      <c r="V171" s="2">
        <f>S171-R171</f>
        <v>-2834.98974609375</v>
      </c>
      <c r="W171" s="2">
        <f>V171-U171</f>
        <v>-3802.1497460937499</v>
      </c>
      <c r="X171" s="2">
        <f>K171+W171</f>
        <v>42594922.170904554</v>
      </c>
      <c r="Y171" s="2">
        <f>ROUND(0.2*R171, 2)</f>
        <v>193716.29</v>
      </c>
      <c r="Z171" s="2">
        <f>ROUND((W171/Y171)*100, 2)</f>
        <v>-1.96</v>
      </c>
      <c r="AA171" s="2">
        <f>MAX(AA170, X171)</f>
        <v>42953338.177210703</v>
      </c>
      <c r="AB171" s="2">
        <f>X171-AA171</f>
        <v>-358416.00630614907</v>
      </c>
    </row>
    <row r="172" spans="1:28">
      <c r="A172" s="2">
        <v>169</v>
      </c>
      <c r="B172" s="2" t="s">
        <v>773</v>
      </c>
      <c r="C172" s="2" t="s">
        <v>2400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1839</v>
      </c>
      <c r="J172" s="2" t="s">
        <v>2286</v>
      </c>
      <c r="K172" s="2">
        <f t="shared" si="21"/>
        <v>42594922.170904554</v>
      </c>
      <c r="L172" s="2" t="s">
        <v>1783</v>
      </c>
      <c r="M172" s="2" t="s">
        <v>1585</v>
      </c>
      <c r="N172" s="2" t="s">
        <v>1823</v>
      </c>
      <c r="O172" s="2">
        <v>250</v>
      </c>
      <c r="P172" s="2">
        <v>1430.795776367188</v>
      </c>
      <c r="Q172" s="2">
        <v>1345.35107421875</v>
      </c>
      <c r="R172" s="2">
        <f>O172*P172</f>
        <v>357698.94409179699</v>
      </c>
      <c r="S172" s="2">
        <f>O172*Q172</f>
        <v>336337.7685546875</v>
      </c>
      <c r="T172" s="2">
        <f>R172+S172</f>
        <v>694036.71264648449</v>
      </c>
      <c r="U172" s="2">
        <f>ROUND(T172*0.0005, 2)</f>
        <v>347.02</v>
      </c>
      <c r="V172" s="2">
        <f>S172-R172</f>
        <v>-21361.175537109491</v>
      </c>
      <c r="W172" s="2">
        <f>V172-U172</f>
        <v>-21708.195537109492</v>
      </c>
      <c r="X172" s="2">
        <f>K172+W172</f>
        <v>42573213.975367442</v>
      </c>
      <c r="Y172" s="2">
        <f>ROUND(0.2*R172, 2)</f>
        <v>71539.789999999994</v>
      </c>
      <c r="Z172" s="2">
        <f>ROUND((W172/Y172)*100, 2)</f>
        <v>-30.34</v>
      </c>
      <c r="AA172" s="2">
        <f>MAX(AA171, X172)</f>
        <v>42953338.177210703</v>
      </c>
      <c r="AB172" s="2">
        <f>X172-AA172</f>
        <v>-380124.20184326172</v>
      </c>
    </row>
    <row r="173" spans="1:28">
      <c r="A173" s="2">
        <v>170</v>
      </c>
      <c r="B173" s="2" t="s">
        <v>778</v>
      </c>
      <c r="C173" s="2" t="s">
        <v>2400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42573213.975367442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42573213.975367442</v>
      </c>
      <c r="Y173" s="6" t="s">
        <v>1195</v>
      </c>
      <c r="Z173" s="6" t="s">
        <v>1195</v>
      </c>
      <c r="AA173" s="2">
        <f>AA172</f>
        <v>42953338.177210703</v>
      </c>
      <c r="AB173" s="2">
        <v>0</v>
      </c>
    </row>
    <row r="174" spans="1:28">
      <c r="A174" s="2">
        <v>171</v>
      </c>
      <c r="B174" s="2" t="s">
        <v>782</v>
      </c>
      <c r="C174" s="2" t="s">
        <v>2400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42573213.975367442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42573213.975367442</v>
      </c>
      <c r="Y174" s="6" t="s">
        <v>1195</v>
      </c>
      <c r="Z174" s="6" t="s">
        <v>1195</v>
      </c>
      <c r="AA174" s="2">
        <f>AA173</f>
        <v>42953338.177210703</v>
      </c>
      <c r="AB174" s="2">
        <v>0</v>
      </c>
    </row>
    <row r="175" spans="1:28">
      <c r="A175" s="2">
        <v>172</v>
      </c>
      <c r="B175" s="2" t="s">
        <v>784</v>
      </c>
      <c r="C175" s="2" t="s">
        <v>2400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42573213.975367442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42573213.975367442</v>
      </c>
      <c r="Y175" s="6" t="s">
        <v>1195</v>
      </c>
      <c r="Z175" s="6" t="s">
        <v>1195</v>
      </c>
      <c r="AA175" s="2">
        <f>AA174</f>
        <v>42953338.177210703</v>
      </c>
      <c r="AB175" s="2">
        <v>0</v>
      </c>
    </row>
    <row r="176" spans="1:28">
      <c r="A176" s="2">
        <v>173</v>
      </c>
      <c r="B176" s="2" t="s">
        <v>787</v>
      </c>
      <c r="C176" s="2" t="s">
        <v>2400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42573213.975367442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42573213.975367442</v>
      </c>
      <c r="Y176" s="6" t="s">
        <v>1195</v>
      </c>
      <c r="Z176" s="6" t="s">
        <v>1195</v>
      </c>
      <c r="AA176" s="2">
        <f>AA175</f>
        <v>42953338.177210703</v>
      </c>
      <c r="AB176" s="2">
        <v>0</v>
      </c>
    </row>
    <row r="177" spans="1:28">
      <c r="A177" s="2">
        <v>174</v>
      </c>
      <c r="B177" s="2" t="s">
        <v>790</v>
      </c>
      <c r="C177" s="2" t="s">
        <v>2400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612</v>
      </c>
      <c r="J177" s="2" t="s">
        <v>1411</v>
      </c>
      <c r="K177" s="2">
        <f t="shared" si="21"/>
        <v>42573213.975367442</v>
      </c>
      <c r="L177" s="2" t="s">
        <v>2436</v>
      </c>
      <c r="M177" s="2" t="s">
        <v>2429</v>
      </c>
      <c r="N177" s="2" t="s">
        <v>2423</v>
      </c>
      <c r="O177" s="2">
        <v>375</v>
      </c>
      <c r="P177" s="2">
        <v>1175.033569335938</v>
      </c>
      <c r="Q177" s="2">
        <v>1134.957641601562</v>
      </c>
      <c r="R177" s="2">
        <f>O177*P177</f>
        <v>440637.58850097674</v>
      </c>
      <c r="S177" s="2">
        <f>O177*Q177</f>
        <v>425609.11560058576</v>
      </c>
      <c r="T177" s="2">
        <f>R177+S177</f>
        <v>866246.7041015625</v>
      </c>
      <c r="U177" s="2">
        <f>ROUND(T177*0.0005, 2)</f>
        <v>433.12</v>
      </c>
      <c r="V177" s="2">
        <f>S177-R177</f>
        <v>-15028.472900390974</v>
      </c>
      <c r="W177" s="2">
        <f>V177-U177</f>
        <v>-15461.592900390975</v>
      </c>
      <c r="X177" s="2">
        <f>K177+W177</f>
        <v>42557752.382467054</v>
      </c>
      <c r="Y177" s="2">
        <f>ROUND(0.2*R177, 2)</f>
        <v>88127.52</v>
      </c>
      <c r="Z177" s="2">
        <f>ROUND((W177/Y177)*100, 2)</f>
        <v>-17.54</v>
      </c>
      <c r="AA177" s="2">
        <f>MAX(AA176, X177)</f>
        <v>42953338.177210703</v>
      </c>
      <c r="AB177" s="2">
        <f>X177-AA177</f>
        <v>-395585.79474364966</v>
      </c>
    </row>
    <row r="178" spans="1:28">
      <c r="A178" s="2">
        <v>175</v>
      </c>
      <c r="B178" s="2" t="s">
        <v>794</v>
      </c>
      <c r="C178" s="2" t="s">
        <v>2400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458</v>
      </c>
      <c r="J178" s="2" t="s">
        <v>2242</v>
      </c>
      <c r="K178" s="2">
        <f t="shared" si="21"/>
        <v>42557752.382467054</v>
      </c>
      <c r="L178" s="2" t="s">
        <v>1802</v>
      </c>
      <c r="M178" s="2" t="s">
        <v>1780</v>
      </c>
      <c r="N178" s="2" t="s">
        <v>1824</v>
      </c>
      <c r="O178" s="2">
        <v>1500</v>
      </c>
      <c r="P178" s="2">
        <v>615.26806640625</v>
      </c>
      <c r="Q178" s="2">
        <v>615.83624267578125</v>
      </c>
      <c r="R178" s="2">
        <f>O178*P178</f>
        <v>922902.099609375</v>
      </c>
      <c r="S178" s="2">
        <f>O178*Q178</f>
        <v>923754.36401367187</v>
      </c>
      <c r="T178" s="2">
        <f>R178+S178</f>
        <v>1846656.4636230469</v>
      </c>
      <c r="U178" s="2">
        <f>ROUND(T178*0.0005, 2)</f>
        <v>923.33</v>
      </c>
      <c r="V178" s="2">
        <f>S178-R178</f>
        <v>852.264404296875</v>
      </c>
      <c r="W178" s="2">
        <f>V178-U178</f>
        <v>-71.065595703125041</v>
      </c>
      <c r="X178" s="2">
        <f>K178+W178</f>
        <v>42557681.316871352</v>
      </c>
      <c r="Y178" s="2">
        <f>ROUND(0.2*R178, 2)</f>
        <v>184580.42</v>
      </c>
      <c r="Z178" s="2">
        <f>ROUND((W178/Y178)*100, 2)</f>
        <v>-0.04</v>
      </c>
      <c r="AA178" s="2">
        <f>MAX(AA177, X178)</f>
        <v>42953338.177210703</v>
      </c>
      <c r="AB178" s="2">
        <f>X178-AA178</f>
        <v>-395656.860339351</v>
      </c>
    </row>
    <row r="179" spans="1:28">
      <c r="A179" s="2">
        <v>176</v>
      </c>
      <c r="B179" s="2" t="s">
        <v>798</v>
      </c>
      <c r="C179" s="2" t="s">
        <v>2400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42557681.316871352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42557681.316871352</v>
      </c>
      <c r="Y179" s="6" t="s">
        <v>1195</v>
      </c>
      <c r="Z179" s="6" t="s">
        <v>1195</v>
      </c>
      <c r="AA179" s="2">
        <f>AA178</f>
        <v>42953338.177210703</v>
      </c>
      <c r="AB179" s="2">
        <v>0</v>
      </c>
    </row>
    <row r="180" spans="1:28">
      <c r="A180" s="2">
        <v>177</v>
      </c>
      <c r="B180" s="2" t="s">
        <v>801</v>
      </c>
      <c r="C180" s="2" t="s">
        <v>2400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785</v>
      </c>
      <c r="J180" s="2" t="s">
        <v>1271</v>
      </c>
      <c r="K180" s="2">
        <f t="shared" si="21"/>
        <v>42557681.316871352</v>
      </c>
      <c r="L180" s="2" t="s">
        <v>1584</v>
      </c>
      <c r="M180" s="2" t="s">
        <v>1808</v>
      </c>
      <c r="N180" s="2" t="s">
        <v>1586</v>
      </c>
      <c r="O180" s="2">
        <v>957</v>
      </c>
      <c r="P180" s="2">
        <v>443.60992431640631</v>
      </c>
      <c r="Q180" s="2">
        <v>461.86532592773437</v>
      </c>
      <c r="R180" s="2">
        <f>O180*P180</f>
        <v>424534.69757080084</v>
      </c>
      <c r="S180" s="2">
        <f>O180*Q180</f>
        <v>442005.1169128418</v>
      </c>
      <c r="T180" s="2">
        <f>R180+S180</f>
        <v>866539.81448364258</v>
      </c>
      <c r="U180" s="2">
        <f>ROUND(T180*0.0005, 2)</f>
        <v>433.27</v>
      </c>
      <c r="V180" s="2">
        <f>S180-R180</f>
        <v>17470.419342040957</v>
      </c>
      <c r="W180" s="2">
        <f>V180-U180</f>
        <v>17037.149342040957</v>
      </c>
      <c r="X180" s="2">
        <f>K180+W180</f>
        <v>42574718.46621339</v>
      </c>
      <c r="Y180" s="2">
        <f>ROUND(0.2*R180, 2)</f>
        <v>84906.94</v>
      </c>
      <c r="Z180" s="2">
        <f>ROUND((W180/Y180)*100, 2)</f>
        <v>20.07</v>
      </c>
      <c r="AA180" s="2">
        <f>MAX(AA179, X180)</f>
        <v>42953338.177210703</v>
      </c>
      <c r="AB180" s="2">
        <f>X180-AA180</f>
        <v>-378619.71099731326</v>
      </c>
    </row>
    <row r="181" spans="1:28">
      <c r="A181" s="2">
        <v>178</v>
      </c>
      <c r="B181" s="2" t="s">
        <v>806</v>
      </c>
      <c r="C181" s="2" t="s">
        <v>2400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42574718.46621339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42574718.46621339</v>
      </c>
      <c r="Y181" s="6" t="s">
        <v>1195</v>
      </c>
      <c r="Z181" s="6" t="s">
        <v>1195</v>
      </c>
      <c r="AA181" s="2">
        <f>AA180</f>
        <v>42953338.177210703</v>
      </c>
      <c r="AB181" s="2">
        <v>0</v>
      </c>
    </row>
    <row r="182" spans="1:28">
      <c r="A182" s="2">
        <v>179</v>
      </c>
      <c r="B182" s="2" t="s">
        <v>809</v>
      </c>
      <c r="C182" s="2" t="s">
        <v>2400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42574718.46621339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42574718.46621339</v>
      </c>
      <c r="Y182" s="6" t="s">
        <v>1195</v>
      </c>
      <c r="Z182" s="6" t="s">
        <v>1195</v>
      </c>
      <c r="AA182" s="2">
        <f>AA181</f>
        <v>42953338.177210703</v>
      </c>
      <c r="AB182" s="2">
        <v>0</v>
      </c>
    </row>
    <row r="183" spans="1:28">
      <c r="A183" s="2">
        <v>180</v>
      </c>
      <c r="B183" s="2" t="s">
        <v>813</v>
      </c>
      <c r="C183" s="2" t="s">
        <v>2400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42574718.46621339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42574718.46621339</v>
      </c>
      <c r="Y183" s="6" t="s">
        <v>1195</v>
      </c>
      <c r="Z183" s="6" t="s">
        <v>1195</v>
      </c>
      <c r="AA183" s="2">
        <f>AA182</f>
        <v>42953338.177210703</v>
      </c>
      <c r="AB183" s="2">
        <v>0</v>
      </c>
    </row>
    <row r="184" spans="1:28">
      <c r="A184" s="2">
        <v>181</v>
      </c>
      <c r="B184" s="2" t="s">
        <v>817</v>
      </c>
      <c r="C184" s="2" t="s">
        <v>2400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42574718.46621339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42574718.46621339</v>
      </c>
      <c r="Y184" s="6" t="s">
        <v>1195</v>
      </c>
      <c r="Z184" s="6" t="s">
        <v>1195</v>
      </c>
      <c r="AA184" s="2">
        <f>AA183</f>
        <v>42953338.177210703</v>
      </c>
      <c r="AB184" s="2">
        <v>0</v>
      </c>
    </row>
    <row r="185" spans="1:28">
      <c r="A185" s="2">
        <v>182</v>
      </c>
      <c r="B185" s="2" t="s">
        <v>820</v>
      </c>
      <c r="C185" s="2" t="s">
        <v>2400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478</v>
      </c>
      <c r="J185" s="2" t="s">
        <v>2437</v>
      </c>
      <c r="K185" s="2">
        <f t="shared" si="21"/>
        <v>42574718.46621339</v>
      </c>
      <c r="L185" s="2" t="s">
        <v>1823</v>
      </c>
      <c r="M185" s="2" t="s">
        <v>1779</v>
      </c>
      <c r="N185" s="2" t="s">
        <v>1784</v>
      </c>
      <c r="O185" s="2">
        <v>350</v>
      </c>
      <c r="P185" s="2">
        <v>1299.712524414062</v>
      </c>
      <c r="Q185" s="2">
        <v>1455.9970703125</v>
      </c>
      <c r="R185" s="2">
        <f>O185*P185</f>
        <v>454899.3835449217</v>
      </c>
      <c r="S185" s="2">
        <f>O185*Q185</f>
        <v>509598.974609375</v>
      </c>
      <c r="T185" s="2">
        <f>R185+S185</f>
        <v>964498.35815429664</v>
      </c>
      <c r="U185" s="2">
        <f>ROUND(T185*0.0005, 2)</f>
        <v>482.25</v>
      </c>
      <c r="V185" s="2">
        <f>S185-R185</f>
        <v>54699.5910644533</v>
      </c>
      <c r="W185" s="2">
        <f>V185-U185</f>
        <v>54217.3410644533</v>
      </c>
      <c r="X185" s="2">
        <f>K185+W185</f>
        <v>42628935.807277843</v>
      </c>
      <c r="Y185" s="2">
        <f>ROUND(0.2*R185, 2)</f>
        <v>90979.88</v>
      </c>
      <c r="Z185" s="2">
        <f>ROUND((W185/Y185)*100, 2)</f>
        <v>59.59</v>
      </c>
      <c r="AA185" s="2">
        <f>MAX(AA184, X185)</f>
        <v>42953338.177210703</v>
      </c>
      <c r="AB185" s="2">
        <f>X185-AA185</f>
        <v>-324402.36993286014</v>
      </c>
    </row>
    <row r="186" spans="1:28">
      <c r="A186" s="2">
        <v>183</v>
      </c>
      <c r="B186" s="2" t="s">
        <v>823</v>
      </c>
      <c r="C186" s="2" t="s">
        <v>2400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42628935.807277843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42628935.807277843</v>
      </c>
      <c r="Y186" s="6" t="s">
        <v>1195</v>
      </c>
      <c r="Z186" s="6" t="s">
        <v>1195</v>
      </c>
      <c r="AA186" s="2">
        <f>AA185</f>
        <v>42953338.177210703</v>
      </c>
      <c r="AB186" s="2">
        <v>0</v>
      </c>
    </row>
    <row r="187" spans="1:28">
      <c r="A187" s="2">
        <v>184</v>
      </c>
      <c r="B187" s="2" t="s">
        <v>827</v>
      </c>
      <c r="C187" s="2" t="s">
        <v>2400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42628935.807277843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42628935.807277843</v>
      </c>
      <c r="Y187" s="6" t="s">
        <v>1195</v>
      </c>
      <c r="Z187" s="6" t="s">
        <v>1195</v>
      </c>
      <c r="AA187" s="2">
        <f>AA186</f>
        <v>42953338.177210703</v>
      </c>
      <c r="AB187" s="2">
        <v>0</v>
      </c>
    </row>
    <row r="188" spans="1:28">
      <c r="A188" s="2">
        <v>185</v>
      </c>
      <c r="B188" s="2" t="s">
        <v>831</v>
      </c>
      <c r="C188" s="2" t="s">
        <v>2400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42628935.807277843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42628935.807277843</v>
      </c>
      <c r="Y188" s="6" t="s">
        <v>1195</v>
      </c>
      <c r="Z188" s="6" t="s">
        <v>1195</v>
      </c>
      <c r="AA188" s="2">
        <f>AA187</f>
        <v>42953338.177210703</v>
      </c>
      <c r="AB188" s="2">
        <v>0</v>
      </c>
    </row>
    <row r="189" spans="1:28">
      <c r="A189" s="2">
        <v>186</v>
      </c>
      <c r="B189" s="2" t="s">
        <v>835</v>
      </c>
      <c r="C189" s="2" t="s">
        <v>2400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55</v>
      </c>
      <c r="J189" s="2" t="s">
        <v>2183</v>
      </c>
      <c r="K189" s="2">
        <f t="shared" si="21"/>
        <v>42628935.807277843</v>
      </c>
      <c r="L189" s="2" t="s">
        <v>1778</v>
      </c>
      <c r="M189" s="2" t="s">
        <v>1835</v>
      </c>
      <c r="N189" s="2" t="s">
        <v>1779</v>
      </c>
      <c r="O189" s="2">
        <v>450</v>
      </c>
      <c r="P189" s="2">
        <v>1110.133422851562</v>
      </c>
      <c r="Q189" s="2">
        <v>1124.943725585938</v>
      </c>
      <c r="R189" s="2">
        <f>O189*P189</f>
        <v>499560.04028320289</v>
      </c>
      <c r="S189" s="2">
        <f>O189*Q189</f>
        <v>506224.67651367211</v>
      </c>
      <c r="T189" s="2">
        <f>R189+S189</f>
        <v>1005784.716796875</v>
      </c>
      <c r="U189" s="2">
        <f>ROUND(T189*0.0005, 2)</f>
        <v>502.89</v>
      </c>
      <c r="V189" s="2">
        <f>S189-R189</f>
        <v>6664.6362304692157</v>
      </c>
      <c r="W189" s="2">
        <f>V189-U189</f>
        <v>6161.7462304692153</v>
      </c>
      <c r="X189" s="2">
        <f>K189+W189</f>
        <v>42635097.553508312</v>
      </c>
      <c r="Y189" s="2">
        <f>ROUND(0.2*R189, 2)</f>
        <v>99912.01</v>
      </c>
      <c r="Z189" s="2">
        <f>ROUND((W189/Y189)*100, 2)</f>
        <v>6.17</v>
      </c>
      <c r="AA189" s="2">
        <f>MAX(AA188, X189)</f>
        <v>42953338.177210703</v>
      </c>
      <c r="AB189" s="2">
        <f>X189-AA189</f>
        <v>-318240.62370239198</v>
      </c>
    </row>
    <row r="190" spans="1:28">
      <c r="A190" s="2">
        <v>187</v>
      </c>
      <c r="B190" s="2" t="s">
        <v>840</v>
      </c>
      <c r="C190" s="2" t="s">
        <v>2400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42635097.553508312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42635097.553508312</v>
      </c>
      <c r="Y190" s="6" t="s">
        <v>1195</v>
      </c>
      <c r="Z190" s="6" t="s">
        <v>1195</v>
      </c>
      <c r="AA190" s="2">
        <f>AA189</f>
        <v>42953338.177210703</v>
      </c>
      <c r="AB190" s="2">
        <v>0</v>
      </c>
    </row>
    <row r="191" spans="1:28">
      <c r="A191" s="2">
        <v>188</v>
      </c>
      <c r="B191" s="2" t="s">
        <v>845</v>
      </c>
      <c r="C191" s="2" t="s">
        <v>2400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42635097.553508312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42635097.553508312</v>
      </c>
      <c r="Y191" s="6" t="s">
        <v>1195</v>
      </c>
      <c r="Z191" s="6" t="s">
        <v>1195</v>
      </c>
      <c r="AA191" s="2">
        <f>AA190</f>
        <v>42953338.177210703</v>
      </c>
      <c r="AB191" s="2">
        <v>0</v>
      </c>
    </row>
    <row r="192" spans="1:28">
      <c r="A192" s="2">
        <v>189</v>
      </c>
      <c r="B192" s="2" t="s">
        <v>848</v>
      </c>
      <c r="C192" s="2" t="s">
        <v>2400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42635097.553508312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42635097.553508312</v>
      </c>
      <c r="Y192" s="6" t="s">
        <v>1195</v>
      </c>
      <c r="Z192" s="6" t="s">
        <v>1195</v>
      </c>
      <c r="AA192" s="2">
        <f>AA191</f>
        <v>42953338.177210703</v>
      </c>
      <c r="AB192" s="2">
        <v>0</v>
      </c>
    </row>
    <row r="193" spans="1:28">
      <c r="A193" s="2">
        <v>190</v>
      </c>
      <c r="B193" s="2" t="s">
        <v>851</v>
      </c>
      <c r="C193" s="2" t="s">
        <v>2400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421</v>
      </c>
      <c r="J193" s="2" t="s">
        <v>561</v>
      </c>
      <c r="K193" s="2">
        <f t="shared" si="21"/>
        <v>42635097.553508312</v>
      </c>
      <c r="L193" s="2" t="s">
        <v>1787</v>
      </c>
      <c r="M193" s="2" t="s">
        <v>1808</v>
      </c>
      <c r="N193" s="2" t="s">
        <v>1584</v>
      </c>
      <c r="O193" s="2">
        <v>5500</v>
      </c>
      <c r="P193" s="2">
        <v>126.5172805786133</v>
      </c>
      <c r="Q193" s="2">
        <v>126.98654937744141</v>
      </c>
      <c r="R193" s="2">
        <f>O193*P193</f>
        <v>695845.04318237316</v>
      </c>
      <c r="S193" s="2">
        <f>O193*Q193</f>
        <v>698426.02157592773</v>
      </c>
      <c r="T193" s="2">
        <f>R193+S193</f>
        <v>1394271.0647583008</v>
      </c>
      <c r="U193" s="2">
        <f>ROUND(T193*0.0005, 2)</f>
        <v>697.14</v>
      </c>
      <c r="V193" s="2">
        <f>S193-R193</f>
        <v>2580.9783935545711</v>
      </c>
      <c r="W193" s="2">
        <f>V193-U193</f>
        <v>1883.8383935545712</v>
      </c>
      <c r="X193" s="2">
        <f>K193+W193</f>
        <v>42636981.391901866</v>
      </c>
      <c r="Y193" s="2">
        <f>ROUND(0.2*R193, 2)</f>
        <v>139169.01</v>
      </c>
      <c r="Z193" s="2">
        <f>ROUND((W193/Y193)*100, 2)</f>
        <v>1.35</v>
      </c>
      <c r="AA193" s="2">
        <f>MAX(AA192, X193)</f>
        <v>42953338.177210703</v>
      </c>
      <c r="AB193" s="2">
        <f>X193-AA193</f>
        <v>-316356.78530883789</v>
      </c>
    </row>
    <row r="194" spans="1:28">
      <c r="A194" s="2">
        <v>191</v>
      </c>
      <c r="B194" s="2" t="s">
        <v>854</v>
      </c>
      <c r="C194" s="2" t="s">
        <v>2400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2396</v>
      </c>
      <c r="J194" s="2" t="s">
        <v>2397</v>
      </c>
      <c r="K194" s="2">
        <f t="shared" si="21"/>
        <v>42636981.391901866</v>
      </c>
      <c r="L194" s="2" t="s">
        <v>2356</v>
      </c>
      <c r="M194" s="2" t="s">
        <v>1740</v>
      </c>
      <c r="N194" s="2" t="s">
        <v>1848</v>
      </c>
      <c r="O194" s="2">
        <v>175</v>
      </c>
      <c r="P194" s="2">
        <v>3587.0595703125</v>
      </c>
      <c r="Q194" s="2">
        <v>3379.855712890625</v>
      </c>
      <c r="R194" s="2">
        <f>O194*P194</f>
        <v>627735.4248046875</v>
      </c>
      <c r="S194" s="2">
        <f>O194*Q194</f>
        <v>591474.74975585938</v>
      </c>
      <c r="T194" s="2">
        <f>R194+S194</f>
        <v>1219210.1745605469</v>
      </c>
      <c r="U194" s="2">
        <f>ROUND(T194*0.0005, 2)</f>
        <v>609.61</v>
      </c>
      <c r="V194" s="2">
        <f>S194-R194</f>
        <v>-36260.675048828125</v>
      </c>
      <c r="W194" s="2">
        <f>V194-U194</f>
        <v>-36870.285048828126</v>
      </c>
      <c r="X194" s="2">
        <f>K194+W194</f>
        <v>42600111.106853038</v>
      </c>
      <c r="Y194" s="2">
        <f>ROUND(0.2*R194, 2)</f>
        <v>125547.08</v>
      </c>
      <c r="Z194" s="2">
        <f>ROUND((W194/Y194)*100, 2)</f>
        <v>-29.37</v>
      </c>
      <c r="AA194" s="2">
        <f>MAX(AA193, X194)</f>
        <v>42953338.177210703</v>
      </c>
      <c r="AB194" s="2">
        <f>X194-AA194</f>
        <v>-353227.07035766542</v>
      </c>
    </row>
    <row r="195" spans="1:28">
      <c r="A195" s="2">
        <v>192</v>
      </c>
      <c r="B195" s="2" t="s">
        <v>860</v>
      </c>
      <c r="C195" s="2" t="s">
        <v>2400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158</v>
      </c>
      <c r="J195" s="2" t="s">
        <v>1432</v>
      </c>
      <c r="K195" s="2">
        <f t="shared" si="21"/>
        <v>42600111.106853038</v>
      </c>
      <c r="L195" s="2" t="s">
        <v>1799</v>
      </c>
      <c r="M195" s="2" t="s">
        <v>1808</v>
      </c>
      <c r="N195" s="2" t="s">
        <v>1584</v>
      </c>
      <c r="O195" s="2">
        <v>600</v>
      </c>
      <c r="P195" s="2">
        <v>1209.802001953125</v>
      </c>
      <c r="Q195" s="2">
        <v>1259.714965820312</v>
      </c>
      <c r="R195" s="2">
        <f>O195*P195</f>
        <v>725881.201171875</v>
      </c>
      <c r="S195" s="2">
        <f>O195*Q195</f>
        <v>755828.97949218727</v>
      </c>
      <c r="T195" s="2">
        <f>R195+S195</f>
        <v>1481710.1806640623</v>
      </c>
      <c r="U195" s="2">
        <f>ROUND(T195*0.0005, 2)</f>
        <v>740.86</v>
      </c>
      <c r="V195" s="2">
        <f>S195-R195</f>
        <v>29947.778320312267</v>
      </c>
      <c r="W195" s="2">
        <f>V195-U195</f>
        <v>29206.918320312267</v>
      </c>
      <c r="X195" s="2">
        <f>K195+W195</f>
        <v>42629318.025173351</v>
      </c>
      <c r="Y195" s="2">
        <f>ROUND(0.2*R195, 2)</f>
        <v>145176.24</v>
      </c>
      <c r="Z195" s="2">
        <f>ROUND((W195/Y195)*100, 2)</f>
        <v>20.12</v>
      </c>
      <c r="AA195" s="2">
        <f>MAX(AA194, X195)</f>
        <v>42953338.177210703</v>
      </c>
      <c r="AB195" s="2">
        <f>X195-AA195</f>
        <v>-324020.15203735232</v>
      </c>
    </row>
    <row r="196" spans="1:28">
      <c r="A196" s="2">
        <v>193</v>
      </c>
      <c r="B196" s="2" t="s">
        <v>865</v>
      </c>
      <c r="C196" s="2" t="s">
        <v>2400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42629318.025173351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42629318.025173351</v>
      </c>
      <c r="Y196" s="6" t="s">
        <v>1195</v>
      </c>
      <c r="Z196" s="6" t="s">
        <v>1195</v>
      </c>
      <c r="AA196" s="2">
        <f>AA195</f>
        <v>42953338.177210703</v>
      </c>
      <c r="AB196" s="2">
        <v>0</v>
      </c>
    </row>
    <row r="197" spans="1:28">
      <c r="A197" s="2">
        <v>194</v>
      </c>
      <c r="B197" s="2" t="s">
        <v>868</v>
      </c>
      <c r="C197" s="2" t="s">
        <v>2400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138</v>
      </c>
      <c r="J197" s="2" t="s">
        <v>1503</v>
      </c>
      <c r="K197" s="2">
        <f t="shared" ref="K197:K214" si="26">X196</f>
        <v>42629318.025173351</v>
      </c>
      <c r="L197" s="2" t="s">
        <v>1808</v>
      </c>
      <c r="M197" s="2" t="s">
        <v>1778</v>
      </c>
      <c r="N197" s="2" t="s">
        <v>1802</v>
      </c>
      <c r="O197" s="2">
        <v>175</v>
      </c>
      <c r="P197" s="2">
        <v>3518.2978515625</v>
      </c>
      <c r="Q197" s="2">
        <v>3592.98095703125</v>
      </c>
      <c r="R197" s="2">
        <f>O197*P197</f>
        <v>615702.1240234375</v>
      </c>
      <c r="S197" s="2">
        <f>O197*Q197</f>
        <v>628771.66748046875</v>
      </c>
      <c r="T197" s="2">
        <f>R197+S197</f>
        <v>1244473.7915039062</v>
      </c>
      <c r="U197" s="2">
        <f>ROUND(T197*0.0005, 2)</f>
        <v>622.24</v>
      </c>
      <c r="V197" s="2">
        <f>S197-R197</f>
        <v>13069.54345703125</v>
      </c>
      <c r="W197" s="2">
        <f>V197-U197</f>
        <v>12447.30345703125</v>
      </c>
      <c r="X197" s="2">
        <f>K197+W197</f>
        <v>42641765.32863038</v>
      </c>
      <c r="Y197" s="2">
        <f>ROUND(0.2*R197, 2)</f>
        <v>123140.42</v>
      </c>
      <c r="Z197" s="2">
        <f>ROUND((W197/Y197)*100, 2)</f>
        <v>10.11</v>
      </c>
      <c r="AA197" s="2">
        <f>MAX(AA196, X197)</f>
        <v>42953338.177210703</v>
      </c>
      <c r="AB197" s="2">
        <f>X197-AA197</f>
        <v>-311572.84858032316</v>
      </c>
    </row>
    <row r="198" spans="1:28">
      <c r="A198" s="2">
        <v>195</v>
      </c>
      <c r="B198" s="2" t="s">
        <v>873</v>
      </c>
      <c r="C198" s="2" t="s">
        <v>2400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6" t="s">
        <v>1195</v>
      </c>
      <c r="I198" s="6" t="s">
        <v>1195</v>
      </c>
      <c r="J198" s="6" t="s">
        <v>1195</v>
      </c>
      <c r="K198" s="2">
        <f t="shared" si="26"/>
        <v>42641765.32863038</v>
      </c>
      <c r="L198" s="6" t="s">
        <v>1195</v>
      </c>
      <c r="M198" s="6" t="s">
        <v>1195</v>
      </c>
      <c r="N198" s="6" t="s">
        <v>1195</v>
      </c>
      <c r="O198" s="2">
        <v>3054</v>
      </c>
      <c r="P198" s="6" t="s">
        <v>1195</v>
      </c>
      <c r="Q198" s="6" t="s">
        <v>1195</v>
      </c>
      <c r="R198" s="6" t="s">
        <v>1195</v>
      </c>
      <c r="S198" s="6" t="s">
        <v>1195</v>
      </c>
      <c r="T198" s="6" t="s">
        <v>1195</v>
      </c>
      <c r="U198" s="6" t="s">
        <v>1195</v>
      </c>
      <c r="V198" s="6" t="s">
        <v>1195</v>
      </c>
      <c r="W198" s="6" t="s">
        <v>1195</v>
      </c>
      <c r="X198" s="2">
        <f>K198</f>
        <v>42641765.32863038</v>
      </c>
      <c r="Y198" s="6" t="s">
        <v>1195</v>
      </c>
      <c r="Z198" s="6" t="s">
        <v>1195</v>
      </c>
      <c r="AA198" s="2">
        <f>AA197</f>
        <v>42953338.177210703</v>
      </c>
      <c r="AB198" s="2">
        <v>0</v>
      </c>
    </row>
    <row r="199" spans="1:28">
      <c r="A199" s="2">
        <v>196</v>
      </c>
      <c r="B199" s="2" t="s">
        <v>878</v>
      </c>
      <c r="C199" s="2" t="s">
        <v>2400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6"/>
        <v>42641765.32863038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42641765.32863038</v>
      </c>
      <c r="Y199" s="6" t="s">
        <v>1195</v>
      </c>
      <c r="Z199" s="6" t="s">
        <v>1195</v>
      </c>
      <c r="AA199" s="2">
        <f>AA198</f>
        <v>42953338.177210703</v>
      </c>
      <c r="AB199" s="2">
        <v>0</v>
      </c>
    </row>
    <row r="200" spans="1:28">
      <c r="A200" s="2">
        <v>197</v>
      </c>
      <c r="B200" s="2" t="s">
        <v>881</v>
      </c>
      <c r="C200" s="2" t="s">
        <v>2400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2398</v>
      </c>
      <c r="J200" s="2" t="s">
        <v>1624</v>
      </c>
      <c r="K200" s="2">
        <f t="shared" si="26"/>
        <v>42641765.32863038</v>
      </c>
      <c r="L200" s="2" t="s">
        <v>1780</v>
      </c>
      <c r="M200" s="2" t="s">
        <v>1835</v>
      </c>
      <c r="N200" s="2" t="s">
        <v>1779</v>
      </c>
      <c r="O200" s="2">
        <v>345</v>
      </c>
      <c r="P200" s="2">
        <v>3027.388671875</v>
      </c>
      <c r="Q200" s="2">
        <v>3911.166748046875</v>
      </c>
      <c r="R200" s="2">
        <f>O200*P200</f>
        <v>1044449.091796875</v>
      </c>
      <c r="S200" s="2">
        <f>O200*Q200</f>
        <v>1349352.5280761719</v>
      </c>
      <c r="T200" s="2">
        <f>R200+S200</f>
        <v>2393801.6198730469</v>
      </c>
      <c r="U200" s="2">
        <f>ROUND(T200*0.0005, 2)</f>
        <v>1196.9000000000001</v>
      </c>
      <c r="V200" s="2">
        <f>S200-R200</f>
        <v>304903.43627929687</v>
      </c>
      <c r="W200" s="2">
        <f>V200-U200</f>
        <v>303706.53627929685</v>
      </c>
      <c r="X200" s="2">
        <f>K200+W200</f>
        <v>42945471.864909679</v>
      </c>
      <c r="Y200" s="2">
        <f>ROUND(0.2*R200, 2)</f>
        <v>208889.82</v>
      </c>
      <c r="Z200" s="2">
        <f>ROUND((W200/Y200)*100, 2)</f>
        <v>145.38999999999999</v>
      </c>
      <c r="AA200" s="2">
        <f>MAX(AA199, X200)</f>
        <v>42953338.177210703</v>
      </c>
      <c r="AB200" s="2">
        <f>X200-AA200</f>
        <v>-7866.3123010247946</v>
      </c>
    </row>
    <row r="201" spans="1:28">
      <c r="A201" s="2">
        <v>198</v>
      </c>
      <c r="B201" s="2" t="s">
        <v>886</v>
      </c>
      <c r="C201" s="2" t="s">
        <v>2400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6"/>
        <v>42945471.864909679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42945471.864909679</v>
      </c>
      <c r="Y201" s="6" t="s">
        <v>1195</v>
      </c>
      <c r="Z201" s="6" t="s">
        <v>1195</v>
      </c>
      <c r="AA201" s="2">
        <f>AA200</f>
        <v>42953338.177210703</v>
      </c>
      <c r="AB201" s="2">
        <v>0</v>
      </c>
    </row>
    <row r="202" spans="1:28">
      <c r="A202" s="2">
        <v>199</v>
      </c>
      <c r="B202" s="2" t="s">
        <v>890</v>
      </c>
      <c r="C202" s="2" t="s">
        <v>2400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1145</v>
      </c>
      <c r="J202" s="2" t="s">
        <v>2271</v>
      </c>
      <c r="K202" s="2">
        <f t="shared" si="26"/>
        <v>42945471.864909679</v>
      </c>
      <c r="L202" s="2" t="s">
        <v>1621</v>
      </c>
      <c r="M202" s="2" t="s">
        <v>1543</v>
      </c>
      <c r="N202" s="2" t="s">
        <v>1298</v>
      </c>
      <c r="O202" s="2">
        <v>100</v>
      </c>
      <c r="P202" s="2">
        <v>9564.69140625</v>
      </c>
      <c r="Q202" s="2">
        <v>9417.650390625</v>
      </c>
      <c r="R202" s="2">
        <f>O202*P202</f>
        <v>956469.140625</v>
      </c>
      <c r="S202" s="2">
        <f>O202*Q202</f>
        <v>941765.0390625</v>
      </c>
      <c r="T202" s="2">
        <f>R202+S202</f>
        <v>1898234.1796875</v>
      </c>
      <c r="U202" s="2">
        <f>ROUND(T202*0.0005, 2)</f>
        <v>949.12</v>
      </c>
      <c r="V202" s="2">
        <f>S202-R202</f>
        <v>-14704.1015625</v>
      </c>
      <c r="W202" s="2">
        <f>V202-U202</f>
        <v>-15653.221562500001</v>
      </c>
      <c r="X202" s="2">
        <f>K202+W202</f>
        <v>42929818.643347181</v>
      </c>
      <c r="Y202" s="2">
        <f>ROUND(0.2*R202, 2)</f>
        <v>191293.83</v>
      </c>
      <c r="Z202" s="2">
        <f>ROUND((W202/Y202)*100, 2)</f>
        <v>-8.18</v>
      </c>
      <c r="AA202" s="2">
        <f>MAX(AA201, X202)</f>
        <v>42953338.177210703</v>
      </c>
      <c r="AB202" s="2">
        <f>X202-AA202</f>
        <v>-23519.533863522112</v>
      </c>
    </row>
    <row r="203" spans="1:28">
      <c r="A203" s="2">
        <v>200</v>
      </c>
      <c r="B203" s="2" t="s">
        <v>894</v>
      </c>
      <c r="C203" s="2" t="s">
        <v>2400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6"/>
        <v>42929818.643347181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7">K203</f>
        <v>42929818.643347181</v>
      </c>
      <c r="Y203" s="6" t="s">
        <v>1195</v>
      </c>
      <c r="Z203" s="6" t="s">
        <v>1195</v>
      </c>
      <c r="AA203" s="2">
        <f t="shared" ref="AA203:AA211" si="28">AA202</f>
        <v>42953338.177210703</v>
      </c>
      <c r="AB203" s="2">
        <v>0</v>
      </c>
    </row>
    <row r="204" spans="1:28">
      <c r="A204" s="2">
        <v>201</v>
      </c>
      <c r="B204" s="2" t="s">
        <v>897</v>
      </c>
      <c r="C204" s="2" t="s">
        <v>2400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6"/>
        <v>42929818.643347181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7"/>
        <v>42929818.643347181</v>
      </c>
      <c r="Y204" s="6" t="s">
        <v>1195</v>
      </c>
      <c r="Z204" s="6" t="s">
        <v>1195</v>
      </c>
      <c r="AA204" s="2">
        <f t="shared" si="28"/>
        <v>42953338.177210703</v>
      </c>
      <c r="AB204" s="2">
        <v>0</v>
      </c>
    </row>
    <row r="205" spans="1:28">
      <c r="A205" s="2">
        <v>202</v>
      </c>
      <c r="B205" s="2" t="s">
        <v>899</v>
      </c>
      <c r="C205" s="2" t="s">
        <v>2400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6"/>
        <v>42929818.643347181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7"/>
        <v>42929818.643347181</v>
      </c>
      <c r="Y205" s="6" t="s">
        <v>1195</v>
      </c>
      <c r="Z205" s="6" t="s">
        <v>1195</v>
      </c>
      <c r="AA205" s="2">
        <f t="shared" si="28"/>
        <v>42953338.177210703</v>
      </c>
      <c r="AB205" s="2">
        <v>0</v>
      </c>
    </row>
    <row r="206" spans="1:28">
      <c r="A206" s="2">
        <v>203</v>
      </c>
      <c r="B206" s="2" t="s">
        <v>902</v>
      </c>
      <c r="C206" s="2" t="s">
        <v>2400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6"/>
        <v>42929818.643347181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7"/>
        <v>42929818.643347181</v>
      </c>
      <c r="Y206" s="6" t="s">
        <v>1195</v>
      </c>
      <c r="Z206" s="6" t="s">
        <v>1195</v>
      </c>
      <c r="AA206" s="2">
        <f t="shared" si="28"/>
        <v>42953338.177210703</v>
      </c>
      <c r="AB206" s="2">
        <v>0</v>
      </c>
    </row>
    <row r="207" spans="1:28">
      <c r="A207" s="2">
        <v>204</v>
      </c>
      <c r="B207" s="2" t="s">
        <v>906</v>
      </c>
      <c r="C207" s="2" t="s">
        <v>2400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6"/>
        <v>42929818.643347181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7"/>
        <v>42929818.643347181</v>
      </c>
      <c r="Y207" s="6" t="s">
        <v>1195</v>
      </c>
      <c r="Z207" s="6" t="s">
        <v>1195</v>
      </c>
      <c r="AA207" s="2">
        <f t="shared" si="28"/>
        <v>42953338.177210703</v>
      </c>
      <c r="AB207" s="2">
        <v>0</v>
      </c>
    </row>
    <row r="208" spans="1:28">
      <c r="A208" s="2">
        <v>205</v>
      </c>
      <c r="B208" s="2" t="s">
        <v>910</v>
      </c>
      <c r="C208" s="2" t="s">
        <v>2400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6"/>
        <v>42929818.643347181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7"/>
        <v>42929818.643347181</v>
      </c>
      <c r="Y208" s="6" t="s">
        <v>1195</v>
      </c>
      <c r="Z208" s="6" t="s">
        <v>1195</v>
      </c>
      <c r="AA208" s="2">
        <f t="shared" si="28"/>
        <v>42953338.177210703</v>
      </c>
      <c r="AB208" s="2">
        <v>0</v>
      </c>
    </row>
    <row r="209" spans="1:28">
      <c r="A209" s="2">
        <v>206</v>
      </c>
      <c r="B209" s="2" t="s">
        <v>913</v>
      </c>
      <c r="C209" s="2" t="s">
        <v>2400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6"/>
        <v>42929818.643347181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7"/>
        <v>42929818.643347181</v>
      </c>
      <c r="Y209" s="6" t="s">
        <v>1195</v>
      </c>
      <c r="Z209" s="6" t="s">
        <v>1195</v>
      </c>
      <c r="AA209" s="2">
        <f t="shared" si="28"/>
        <v>42953338.177210703</v>
      </c>
      <c r="AB209" s="2">
        <v>0</v>
      </c>
    </row>
    <row r="210" spans="1:28">
      <c r="A210" s="2">
        <v>207</v>
      </c>
      <c r="B210" s="2" t="s">
        <v>915</v>
      </c>
      <c r="C210" s="2" t="s">
        <v>2400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6"/>
        <v>42929818.643347181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7"/>
        <v>42929818.643347181</v>
      </c>
      <c r="Y210" s="6" t="s">
        <v>1195</v>
      </c>
      <c r="Z210" s="6" t="s">
        <v>1195</v>
      </c>
      <c r="AA210" s="2">
        <f t="shared" si="28"/>
        <v>42953338.177210703</v>
      </c>
      <c r="AB210" s="2">
        <v>0</v>
      </c>
    </row>
    <row r="211" spans="1:28">
      <c r="A211" s="2">
        <v>208</v>
      </c>
      <c r="B211" s="2" t="s">
        <v>918</v>
      </c>
      <c r="C211" s="2" t="s">
        <v>2400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6"/>
        <v>42929818.643347181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7"/>
        <v>42929818.643347181</v>
      </c>
      <c r="Y211" s="6" t="s">
        <v>1195</v>
      </c>
      <c r="Z211" s="6" t="s">
        <v>1195</v>
      </c>
      <c r="AA211" s="2">
        <f t="shared" si="28"/>
        <v>42953338.177210703</v>
      </c>
      <c r="AB211" s="2">
        <v>0</v>
      </c>
    </row>
    <row r="212" spans="1:28">
      <c r="A212" s="2">
        <v>209</v>
      </c>
      <c r="B212" s="2" t="s">
        <v>922</v>
      </c>
      <c r="C212" s="2" t="s">
        <v>2400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923</v>
      </c>
      <c r="J212" s="2" t="s">
        <v>924</v>
      </c>
      <c r="K212" s="2">
        <f t="shared" si="26"/>
        <v>42929818.643347181</v>
      </c>
      <c r="L212" s="2" t="s">
        <v>1867</v>
      </c>
      <c r="M212" s="2" t="s">
        <v>1842</v>
      </c>
      <c r="N212" s="2" t="s">
        <v>1787</v>
      </c>
      <c r="O212" s="2">
        <v>1500</v>
      </c>
      <c r="P212" s="2">
        <v>213.55311584472659</v>
      </c>
      <c r="Q212" s="2">
        <v>225.7367858886719</v>
      </c>
      <c r="R212" s="2">
        <f>O212*P212</f>
        <v>320329.6737670899</v>
      </c>
      <c r="S212" s="2">
        <f>O212*Q212</f>
        <v>338605.17883300787</v>
      </c>
      <c r="T212" s="2">
        <f>R212+S212</f>
        <v>658934.85260009777</v>
      </c>
      <c r="U212" s="2">
        <f>ROUND(T212*0.0005, 2)</f>
        <v>329.47</v>
      </c>
      <c r="V212" s="2">
        <f>S212-R212</f>
        <v>18275.505065917969</v>
      </c>
      <c r="W212" s="2">
        <f>V212-U212</f>
        <v>17946.035065917968</v>
      </c>
      <c r="X212" s="2">
        <f>K212+W212</f>
        <v>42947764.678413101</v>
      </c>
      <c r="Y212" s="2">
        <f>ROUND(0.2*R212, 2)</f>
        <v>64065.93</v>
      </c>
      <c r="Z212" s="2">
        <f>ROUND((W212/Y212)*100, 2)</f>
        <v>28.01</v>
      </c>
      <c r="AA212" s="2">
        <f>MAX(AA211, X212)</f>
        <v>42953338.177210703</v>
      </c>
      <c r="AB212" s="2">
        <f>X212-AA212</f>
        <v>-5573.4987976029515</v>
      </c>
    </row>
    <row r="213" spans="1:28">
      <c r="A213" s="2">
        <v>210</v>
      </c>
      <c r="B213" s="2" t="s">
        <v>925</v>
      </c>
      <c r="C213" s="2" t="s">
        <v>2400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6"/>
        <v>42947764.678413101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42947764.678413101</v>
      </c>
      <c r="Y213" s="6" t="s">
        <v>1195</v>
      </c>
      <c r="Z213" s="6" t="s">
        <v>1195</v>
      </c>
      <c r="AA213" s="2">
        <f>AA212</f>
        <v>42953338.177210703</v>
      </c>
      <c r="AB213" s="2">
        <v>0</v>
      </c>
    </row>
    <row r="214" spans="1:28">
      <c r="A214" s="2">
        <v>211</v>
      </c>
      <c r="B214" s="2" t="s">
        <v>928</v>
      </c>
      <c r="C214" s="2" t="s">
        <v>2400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6"/>
        <v>42947764.678413101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42947764.678413101</v>
      </c>
      <c r="Y214" s="6" t="s">
        <v>1195</v>
      </c>
      <c r="Z214" s="6" t="s">
        <v>1195</v>
      </c>
      <c r="AA214" s="2">
        <f>AA213</f>
        <v>42953338.177210703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2438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2439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239</v>
      </c>
      <c r="J4" s="2" t="s">
        <v>1653</v>
      </c>
      <c r="K4" s="2">
        <v>42511150.109999999</v>
      </c>
      <c r="L4" s="2" t="s">
        <v>2440</v>
      </c>
      <c r="M4" s="2" t="s">
        <v>2441</v>
      </c>
      <c r="N4" s="2" t="s">
        <v>2161</v>
      </c>
      <c r="O4" s="2">
        <v>874</v>
      </c>
      <c r="P4" s="2">
        <v>1082.71484375</v>
      </c>
      <c r="Q4" s="2">
        <v>1159.866943359375</v>
      </c>
      <c r="R4" s="2">
        <f t="shared" ref="R4:R17" si="0">O4*P4</f>
        <v>946292.7734375</v>
      </c>
      <c r="S4" s="2">
        <f t="shared" ref="S4:S17" si="1">O4*Q4</f>
        <v>1013723.7084960938</v>
      </c>
      <c r="T4" s="2">
        <f t="shared" ref="T4:T17" si="2">R4+S4</f>
        <v>1960016.4819335938</v>
      </c>
      <c r="U4" s="2">
        <f t="shared" ref="U4:U17" si="3">ROUND(T4*0.0005, 2)</f>
        <v>980.01</v>
      </c>
      <c r="V4" s="2">
        <f t="shared" ref="V4:V17" si="4">S4-R4</f>
        <v>67430.93505859375</v>
      </c>
      <c r="W4" s="2">
        <f t="shared" ref="W4:W17" si="5">V4-U4</f>
        <v>66450.925058593755</v>
      </c>
      <c r="X4" s="2">
        <f t="shared" ref="X4:X17" si="6">K4+W4</f>
        <v>42577601.035058595</v>
      </c>
      <c r="Y4" s="2">
        <f t="shared" ref="Y4:Y17" si="7">ROUND(0.2*R4, 2)</f>
        <v>189258.55</v>
      </c>
      <c r="Z4" s="2">
        <f t="shared" ref="Z4:Z17" si="8">ROUND((W4/Y4)*100, 2)</f>
        <v>35.11</v>
      </c>
      <c r="AA4" s="2">
        <f>MAX(42511150.11, X4)</f>
        <v>42577601.035058595</v>
      </c>
      <c r="AB4" s="2">
        <f t="shared" ref="AB4:AB17" si="9">X4-AA4</f>
        <v>0</v>
      </c>
    </row>
    <row r="5" spans="1:29">
      <c r="A5" s="2">
        <v>2</v>
      </c>
      <c r="B5" s="2" t="s">
        <v>46</v>
      </c>
      <c r="C5" s="2" t="s">
        <v>2439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2442</v>
      </c>
      <c r="J5" s="2" t="s">
        <v>2443</v>
      </c>
      <c r="K5" s="2">
        <f t="shared" ref="K5:K68" si="10">X4</f>
        <v>42577601.035058595</v>
      </c>
      <c r="L5" s="2" t="s">
        <v>2444</v>
      </c>
      <c r="M5" s="2" t="s">
        <v>2041</v>
      </c>
      <c r="N5" s="2" t="s">
        <v>2215</v>
      </c>
      <c r="O5" s="2">
        <v>137</v>
      </c>
      <c r="P5" s="2">
        <v>4845.681640625</v>
      </c>
      <c r="Q5" s="2">
        <v>5731.55859375</v>
      </c>
      <c r="R5" s="2">
        <f t="shared" si="0"/>
        <v>663858.384765625</v>
      </c>
      <c r="S5" s="2">
        <f t="shared" si="1"/>
        <v>785223.52734375</v>
      </c>
      <c r="T5" s="2">
        <f t="shared" si="2"/>
        <v>1449081.912109375</v>
      </c>
      <c r="U5" s="2">
        <f t="shared" si="3"/>
        <v>724.54</v>
      </c>
      <c r="V5" s="2">
        <f t="shared" si="4"/>
        <v>121365.142578125</v>
      </c>
      <c r="W5" s="2">
        <f t="shared" si="5"/>
        <v>120640.60257812501</v>
      </c>
      <c r="X5" s="2">
        <f t="shared" si="6"/>
        <v>42698241.637636721</v>
      </c>
      <c r="Y5" s="2">
        <f t="shared" si="7"/>
        <v>132771.68</v>
      </c>
      <c r="Z5" s="2">
        <f t="shared" si="8"/>
        <v>90.86</v>
      </c>
      <c r="AA5" s="2">
        <f t="shared" ref="AA5:AA17" si="11">MAX(AA4, X5)</f>
        <v>42698241.637636721</v>
      </c>
      <c r="AB5" s="2">
        <f t="shared" si="9"/>
        <v>0</v>
      </c>
    </row>
    <row r="6" spans="1:29">
      <c r="A6" s="2">
        <v>3</v>
      </c>
      <c r="B6" s="2" t="s">
        <v>52</v>
      </c>
      <c r="C6" s="2" t="s">
        <v>2439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2445</v>
      </c>
      <c r="J6" s="2" t="s">
        <v>454</v>
      </c>
      <c r="K6" s="2">
        <f t="shared" si="10"/>
        <v>42698241.637636721</v>
      </c>
      <c r="L6" s="2" t="s">
        <v>2072</v>
      </c>
      <c r="M6" s="2" t="s">
        <v>2287</v>
      </c>
      <c r="N6" s="2" t="s">
        <v>2446</v>
      </c>
      <c r="O6" s="2">
        <v>2537</v>
      </c>
      <c r="P6" s="2">
        <v>294.95001220703119</v>
      </c>
      <c r="Q6" s="2">
        <v>311.29998779296881</v>
      </c>
      <c r="R6" s="2">
        <f t="shared" si="0"/>
        <v>748288.18096923816</v>
      </c>
      <c r="S6" s="2">
        <f t="shared" si="1"/>
        <v>789768.06903076184</v>
      </c>
      <c r="T6" s="2">
        <f t="shared" si="2"/>
        <v>1538056.25</v>
      </c>
      <c r="U6" s="2">
        <f t="shared" si="3"/>
        <v>769.03</v>
      </c>
      <c r="V6" s="2">
        <f t="shared" si="4"/>
        <v>41479.88806152367</v>
      </c>
      <c r="W6" s="2">
        <f t="shared" si="5"/>
        <v>40710.858061523671</v>
      </c>
      <c r="X6" s="2">
        <f t="shared" si="6"/>
        <v>42738952.495698243</v>
      </c>
      <c r="Y6" s="2">
        <f t="shared" si="7"/>
        <v>149657.64000000001</v>
      </c>
      <c r="Z6" s="2">
        <f t="shared" si="8"/>
        <v>27.2</v>
      </c>
      <c r="AA6" s="2">
        <f t="shared" si="11"/>
        <v>42738952.495698243</v>
      </c>
      <c r="AB6" s="2">
        <f t="shared" si="9"/>
        <v>0</v>
      </c>
    </row>
    <row r="7" spans="1:29">
      <c r="A7" s="2">
        <v>4</v>
      </c>
      <c r="B7" s="2" t="s">
        <v>60</v>
      </c>
      <c r="C7" s="2" t="s">
        <v>2439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2406</v>
      </c>
      <c r="J7" s="2" t="s">
        <v>2407</v>
      </c>
      <c r="K7" s="2">
        <f t="shared" si="10"/>
        <v>42738952.495698243</v>
      </c>
      <c r="L7" s="2" t="s">
        <v>2103</v>
      </c>
      <c r="M7" s="2" t="s">
        <v>1635</v>
      </c>
      <c r="N7" s="2" t="s">
        <v>2103</v>
      </c>
      <c r="O7" s="2">
        <v>602</v>
      </c>
      <c r="P7" s="2">
        <v>849.0999755859375</v>
      </c>
      <c r="Q7" s="2">
        <v>924.79998779296875</v>
      </c>
      <c r="R7" s="2">
        <f t="shared" si="0"/>
        <v>511158.18530273437</v>
      </c>
      <c r="S7" s="2">
        <f t="shared" si="1"/>
        <v>556729.59265136719</v>
      </c>
      <c r="T7" s="2">
        <f t="shared" si="2"/>
        <v>1067887.7779541016</v>
      </c>
      <c r="U7" s="2">
        <f t="shared" si="3"/>
        <v>533.94000000000005</v>
      </c>
      <c r="V7" s="2">
        <f t="shared" si="4"/>
        <v>45571.407348632813</v>
      </c>
      <c r="W7" s="2">
        <f t="shared" si="5"/>
        <v>45037.46734863281</v>
      </c>
      <c r="X7" s="2">
        <f t="shared" si="6"/>
        <v>42783989.963046879</v>
      </c>
      <c r="Y7" s="2">
        <f t="shared" si="7"/>
        <v>102231.64</v>
      </c>
      <c r="Z7" s="2">
        <f t="shared" si="8"/>
        <v>44.05</v>
      </c>
      <c r="AA7" s="2">
        <f t="shared" si="11"/>
        <v>42783989.963046879</v>
      </c>
      <c r="AB7" s="2">
        <f t="shared" si="9"/>
        <v>0</v>
      </c>
    </row>
    <row r="8" spans="1:29">
      <c r="A8" s="2">
        <v>5</v>
      </c>
      <c r="B8" s="2" t="s">
        <v>68</v>
      </c>
      <c r="C8" s="2" t="s">
        <v>2439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626</v>
      </c>
      <c r="J8" s="2" t="s">
        <v>1347</v>
      </c>
      <c r="K8" s="2">
        <f t="shared" si="10"/>
        <v>42783989.963046879</v>
      </c>
      <c r="L8" s="2" t="s">
        <v>1826</v>
      </c>
      <c r="M8" s="2" t="s">
        <v>1827</v>
      </c>
      <c r="N8" s="2" t="s">
        <v>1828</v>
      </c>
      <c r="O8" s="2">
        <v>300</v>
      </c>
      <c r="P8" s="2">
        <v>2212.347900390625</v>
      </c>
      <c r="Q8" s="2">
        <v>2243.0068359375</v>
      </c>
      <c r="R8" s="2">
        <f t="shared" si="0"/>
        <v>663704.3701171875</v>
      </c>
      <c r="S8" s="2">
        <f t="shared" si="1"/>
        <v>672902.05078125</v>
      </c>
      <c r="T8" s="2">
        <f t="shared" si="2"/>
        <v>1336606.4208984375</v>
      </c>
      <c r="U8" s="2">
        <f t="shared" si="3"/>
        <v>668.3</v>
      </c>
      <c r="V8" s="2">
        <f t="shared" si="4"/>
        <v>9197.6806640625</v>
      </c>
      <c r="W8" s="2">
        <f t="shared" si="5"/>
        <v>8529.3806640625007</v>
      </c>
      <c r="X8" s="2">
        <f t="shared" si="6"/>
        <v>42792519.343710944</v>
      </c>
      <c r="Y8" s="2">
        <f t="shared" si="7"/>
        <v>132740.87</v>
      </c>
      <c r="Z8" s="2">
        <f t="shared" si="8"/>
        <v>6.43</v>
      </c>
      <c r="AA8" s="2">
        <f t="shared" si="11"/>
        <v>42792519.343710944</v>
      </c>
      <c r="AB8" s="2">
        <f t="shared" si="9"/>
        <v>0</v>
      </c>
    </row>
    <row r="9" spans="1:29">
      <c r="A9" s="2">
        <v>6</v>
      </c>
      <c r="B9" s="2" t="s">
        <v>75</v>
      </c>
      <c r="C9" s="2" t="s">
        <v>2439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2447</v>
      </c>
      <c r="J9" s="2" t="s">
        <v>2448</v>
      </c>
      <c r="K9" s="2">
        <f t="shared" si="10"/>
        <v>42792519.343710944</v>
      </c>
      <c r="L9" s="2" t="s">
        <v>2449</v>
      </c>
      <c r="M9" s="2" t="s">
        <v>1666</v>
      </c>
      <c r="N9" s="2" t="s">
        <v>2450</v>
      </c>
      <c r="O9" s="2">
        <v>500</v>
      </c>
      <c r="P9" s="2">
        <v>1031.099975585938</v>
      </c>
      <c r="Q9" s="2">
        <v>1140.099975585938</v>
      </c>
      <c r="R9" s="2">
        <f t="shared" si="0"/>
        <v>515549.98779296898</v>
      </c>
      <c r="S9" s="2">
        <f t="shared" si="1"/>
        <v>570049.98779296898</v>
      </c>
      <c r="T9" s="2">
        <f t="shared" si="2"/>
        <v>1085599.975585938</v>
      </c>
      <c r="U9" s="2">
        <f t="shared" si="3"/>
        <v>542.79999999999995</v>
      </c>
      <c r="V9" s="2">
        <f t="shared" si="4"/>
        <v>54500</v>
      </c>
      <c r="W9" s="2">
        <f t="shared" si="5"/>
        <v>53957.2</v>
      </c>
      <c r="X9" s="2">
        <f t="shared" si="6"/>
        <v>42846476.543710947</v>
      </c>
      <c r="Y9" s="2">
        <f t="shared" si="7"/>
        <v>103110</v>
      </c>
      <c r="Z9" s="2">
        <f t="shared" si="8"/>
        <v>52.33</v>
      </c>
      <c r="AA9" s="2">
        <f t="shared" si="11"/>
        <v>42846476.543710947</v>
      </c>
      <c r="AB9" s="2">
        <f t="shared" si="9"/>
        <v>0</v>
      </c>
    </row>
    <row r="10" spans="1:29">
      <c r="A10" s="2">
        <v>7</v>
      </c>
      <c r="B10" s="2" t="s">
        <v>82</v>
      </c>
      <c r="C10" s="2" t="s">
        <v>2439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1981</v>
      </c>
      <c r="J10" s="2" t="s">
        <v>1341</v>
      </c>
      <c r="K10" s="2">
        <f t="shared" si="10"/>
        <v>42846476.543710947</v>
      </c>
      <c r="L10" s="2" t="s">
        <v>2050</v>
      </c>
      <c r="M10" s="2" t="s">
        <v>2451</v>
      </c>
      <c r="N10" s="2" t="s">
        <v>1963</v>
      </c>
      <c r="O10" s="2">
        <v>625</v>
      </c>
      <c r="P10" s="2">
        <v>758.90814208984375</v>
      </c>
      <c r="Q10" s="2">
        <v>799.3154296875</v>
      </c>
      <c r="R10" s="2">
        <f t="shared" si="0"/>
        <v>474317.58880615234</v>
      </c>
      <c r="S10" s="2">
        <f t="shared" si="1"/>
        <v>499572.1435546875</v>
      </c>
      <c r="T10" s="2">
        <f t="shared" si="2"/>
        <v>973889.73236083984</v>
      </c>
      <c r="U10" s="2">
        <f t="shared" si="3"/>
        <v>486.94</v>
      </c>
      <c r="V10" s="2">
        <f t="shared" si="4"/>
        <v>25254.554748535156</v>
      </c>
      <c r="W10" s="2">
        <f t="shared" si="5"/>
        <v>24767.614748535158</v>
      </c>
      <c r="X10" s="2">
        <f t="shared" si="6"/>
        <v>42871244.158459485</v>
      </c>
      <c r="Y10" s="2">
        <f t="shared" si="7"/>
        <v>94863.52</v>
      </c>
      <c r="Z10" s="2">
        <f t="shared" si="8"/>
        <v>26.11</v>
      </c>
      <c r="AA10" s="2">
        <f t="shared" si="11"/>
        <v>42871244.158459485</v>
      </c>
      <c r="AB10" s="2">
        <f t="shared" si="9"/>
        <v>0</v>
      </c>
    </row>
    <row r="11" spans="1:29">
      <c r="A11" s="2">
        <v>8</v>
      </c>
      <c r="B11" s="2" t="s">
        <v>90</v>
      </c>
      <c r="C11" s="2" t="s">
        <v>2439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2452</v>
      </c>
      <c r="J11" s="2" t="s">
        <v>1913</v>
      </c>
      <c r="K11" s="2">
        <f t="shared" si="10"/>
        <v>42871244.158459485</v>
      </c>
      <c r="L11" s="2" t="s">
        <v>2453</v>
      </c>
      <c r="M11" s="2" t="s">
        <v>2454</v>
      </c>
      <c r="N11" s="2" t="s">
        <v>2284</v>
      </c>
      <c r="O11" s="2">
        <v>4785</v>
      </c>
      <c r="P11" s="2">
        <v>148.75999450683591</v>
      </c>
      <c r="Q11" s="2">
        <v>142.19000244140619</v>
      </c>
      <c r="R11" s="2">
        <f t="shared" si="0"/>
        <v>711816.57371520984</v>
      </c>
      <c r="S11" s="2">
        <f t="shared" si="1"/>
        <v>680379.16168212867</v>
      </c>
      <c r="T11" s="2">
        <f t="shared" si="2"/>
        <v>1392195.7353973384</v>
      </c>
      <c r="U11" s="2">
        <f t="shared" si="3"/>
        <v>696.1</v>
      </c>
      <c r="V11" s="2">
        <f t="shared" si="4"/>
        <v>-31437.412033081171</v>
      </c>
      <c r="W11" s="2">
        <f t="shared" si="5"/>
        <v>-32133.51203308117</v>
      </c>
      <c r="X11" s="2">
        <f t="shared" si="6"/>
        <v>42839110.646426402</v>
      </c>
      <c r="Y11" s="2">
        <f t="shared" si="7"/>
        <v>142363.31</v>
      </c>
      <c r="Z11" s="2">
        <f t="shared" si="8"/>
        <v>-22.57</v>
      </c>
      <c r="AA11" s="2">
        <f t="shared" si="11"/>
        <v>42871244.158459485</v>
      </c>
      <c r="AB11" s="2">
        <f t="shared" si="9"/>
        <v>-32133.512033082545</v>
      </c>
    </row>
    <row r="12" spans="1:29">
      <c r="A12" s="2">
        <v>9</v>
      </c>
      <c r="B12" s="2" t="s">
        <v>95</v>
      </c>
      <c r="C12" s="2" t="s">
        <v>2439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1907</v>
      </c>
      <c r="J12" s="2" t="s">
        <v>2327</v>
      </c>
      <c r="K12" s="2">
        <f t="shared" si="10"/>
        <v>42839110.646426402</v>
      </c>
      <c r="L12" s="2" t="s">
        <v>2054</v>
      </c>
      <c r="M12" s="2" t="s">
        <v>2328</v>
      </c>
      <c r="N12" s="2" t="s">
        <v>2329</v>
      </c>
      <c r="O12" s="2">
        <v>171</v>
      </c>
      <c r="P12" s="2">
        <v>5842.8974609375</v>
      </c>
      <c r="Q12" s="2">
        <v>5436.67236328125</v>
      </c>
      <c r="R12" s="2">
        <f t="shared" si="0"/>
        <v>999135.4658203125</v>
      </c>
      <c r="S12" s="2">
        <f t="shared" si="1"/>
        <v>929670.97412109375</v>
      </c>
      <c r="T12" s="2">
        <f t="shared" si="2"/>
        <v>1928806.4399414062</v>
      </c>
      <c r="U12" s="2">
        <f t="shared" si="3"/>
        <v>964.4</v>
      </c>
      <c r="V12" s="2">
        <f t="shared" si="4"/>
        <v>-69464.49169921875</v>
      </c>
      <c r="W12" s="2">
        <f t="shared" si="5"/>
        <v>-70428.891699218744</v>
      </c>
      <c r="X12" s="2">
        <f t="shared" si="6"/>
        <v>42768681.754727185</v>
      </c>
      <c r="Y12" s="2">
        <f t="shared" si="7"/>
        <v>199827.09</v>
      </c>
      <c r="Z12" s="2">
        <f t="shared" si="8"/>
        <v>-35.24</v>
      </c>
      <c r="AA12" s="2">
        <f t="shared" si="11"/>
        <v>42871244.158459485</v>
      </c>
      <c r="AB12" s="2">
        <f t="shared" si="9"/>
        <v>-102562.4037322998</v>
      </c>
    </row>
    <row r="13" spans="1:29">
      <c r="A13" s="2">
        <v>10</v>
      </c>
      <c r="B13" s="2" t="s">
        <v>102</v>
      </c>
      <c r="C13" s="2" t="s">
        <v>2439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2455</v>
      </c>
      <c r="J13" s="2" t="s">
        <v>2456</v>
      </c>
      <c r="K13" s="2">
        <f t="shared" si="10"/>
        <v>42768681.754727185</v>
      </c>
      <c r="L13" s="2" t="s">
        <v>2033</v>
      </c>
      <c r="M13" s="2" t="s">
        <v>1769</v>
      </c>
      <c r="N13" s="2" t="s">
        <v>2032</v>
      </c>
      <c r="O13" s="2">
        <v>135</v>
      </c>
      <c r="P13" s="2">
        <v>7965.5</v>
      </c>
      <c r="Q13" s="2">
        <v>7822</v>
      </c>
      <c r="R13" s="2">
        <f t="shared" si="0"/>
        <v>1075342.5</v>
      </c>
      <c r="S13" s="2">
        <f t="shared" si="1"/>
        <v>1055970</v>
      </c>
      <c r="T13" s="2">
        <f t="shared" si="2"/>
        <v>2131312.5</v>
      </c>
      <c r="U13" s="2">
        <f t="shared" si="3"/>
        <v>1065.6600000000001</v>
      </c>
      <c r="V13" s="2">
        <f t="shared" si="4"/>
        <v>-19372.5</v>
      </c>
      <c r="W13" s="2">
        <f t="shared" si="5"/>
        <v>-20438.16</v>
      </c>
      <c r="X13" s="2">
        <f t="shared" si="6"/>
        <v>42748243.594727188</v>
      </c>
      <c r="Y13" s="2">
        <f t="shared" si="7"/>
        <v>215068.5</v>
      </c>
      <c r="Z13" s="2">
        <f t="shared" si="8"/>
        <v>-9.5</v>
      </c>
      <c r="AA13" s="2">
        <f t="shared" si="11"/>
        <v>42871244.158459485</v>
      </c>
      <c r="AB13" s="2">
        <f t="shared" si="9"/>
        <v>-123000.56373229623</v>
      </c>
    </row>
    <row r="14" spans="1:29">
      <c r="A14" s="2">
        <v>11</v>
      </c>
      <c r="B14" s="2" t="s">
        <v>108</v>
      </c>
      <c r="C14" s="2" t="s">
        <v>2439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1970</v>
      </c>
      <c r="J14" s="2" t="s">
        <v>2457</v>
      </c>
      <c r="K14" s="2">
        <f t="shared" si="10"/>
        <v>42748243.594727188</v>
      </c>
      <c r="L14" s="2" t="s">
        <v>1935</v>
      </c>
      <c r="M14" s="2" t="s">
        <v>2458</v>
      </c>
      <c r="N14" s="2" t="s">
        <v>2459</v>
      </c>
      <c r="O14" s="2">
        <v>2303</v>
      </c>
      <c r="P14" s="2">
        <v>449.72393798828131</v>
      </c>
      <c r="Q14" s="2">
        <v>509.62744140625</v>
      </c>
      <c r="R14" s="2">
        <f t="shared" si="0"/>
        <v>1035714.2291870118</v>
      </c>
      <c r="S14" s="2">
        <f t="shared" si="1"/>
        <v>1173671.9975585938</v>
      </c>
      <c r="T14" s="2">
        <f t="shared" si="2"/>
        <v>2209386.2267456055</v>
      </c>
      <c r="U14" s="2">
        <f t="shared" si="3"/>
        <v>1104.69</v>
      </c>
      <c r="V14" s="2">
        <f t="shared" si="4"/>
        <v>137957.76837158191</v>
      </c>
      <c r="W14" s="2">
        <f t="shared" si="5"/>
        <v>136853.07837158191</v>
      </c>
      <c r="X14" s="2">
        <f t="shared" si="6"/>
        <v>42885096.673098773</v>
      </c>
      <c r="Y14" s="2">
        <f t="shared" si="7"/>
        <v>207142.85</v>
      </c>
      <c r="Z14" s="2">
        <f t="shared" si="8"/>
        <v>66.069999999999993</v>
      </c>
      <c r="AA14" s="2">
        <f t="shared" si="11"/>
        <v>42885096.673098773</v>
      </c>
      <c r="AB14" s="2">
        <f t="shared" si="9"/>
        <v>0</v>
      </c>
    </row>
    <row r="15" spans="1:29">
      <c r="A15" s="2">
        <v>12</v>
      </c>
      <c r="B15" s="2" t="s">
        <v>113</v>
      </c>
      <c r="C15" s="2" t="s">
        <v>2439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304</v>
      </c>
      <c r="J15" s="2" t="s">
        <v>1439</v>
      </c>
      <c r="K15" s="2">
        <f t="shared" si="10"/>
        <v>42885096.673098773</v>
      </c>
      <c r="L15" s="2" t="s">
        <v>2277</v>
      </c>
      <c r="M15" s="2" t="s">
        <v>1635</v>
      </c>
      <c r="N15" s="2" t="s">
        <v>2444</v>
      </c>
      <c r="O15" s="2">
        <v>3428</v>
      </c>
      <c r="P15" s="2">
        <v>247.75733947753901</v>
      </c>
      <c r="Q15" s="2">
        <v>251.69007873535159</v>
      </c>
      <c r="R15" s="2">
        <f t="shared" si="0"/>
        <v>849312.15972900367</v>
      </c>
      <c r="S15" s="2">
        <f t="shared" si="1"/>
        <v>862793.58990478527</v>
      </c>
      <c r="T15" s="2">
        <f t="shared" si="2"/>
        <v>1712105.7496337891</v>
      </c>
      <c r="U15" s="2">
        <f t="shared" si="3"/>
        <v>856.05</v>
      </c>
      <c r="V15" s="2">
        <f t="shared" si="4"/>
        <v>13481.430175781599</v>
      </c>
      <c r="W15" s="2">
        <f t="shared" si="5"/>
        <v>12625.3801757816</v>
      </c>
      <c r="X15" s="2">
        <f t="shared" si="6"/>
        <v>42897722.053274557</v>
      </c>
      <c r="Y15" s="2">
        <f t="shared" si="7"/>
        <v>169862.43</v>
      </c>
      <c r="Z15" s="2">
        <f t="shared" si="8"/>
        <v>7.43</v>
      </c>
      <c r="AA15" s="2">
        <f t="shared" si="11"/>
        <v>42897722.053274557</v>
      </c>
      <c r="AB15" s="2">
        <f t="shared" si="9"/>
        <v>0</v>
      </c>
    </row>
    <row r="16" spans="1:29">
      <c r="A16" s="2">
        <v>13</v>
      </c>
      <c r="B16" s="2" t="s">
        <v>120</v>
      </c>
      <c r="C16" s="2" t="s">
        <v>2439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1380</v>
      </c>
      <c r="J16" s="2" t="s">
        <v>2460</v>
      </c>
      <c r="K16" s="2">
        <f t="shared" si="10"/>
        <v>42897722.053274557</v>
      </c>
      <c r="L16" s="2" t="s">
        <v>2461</v>
      </c>
      <c r="M16" s="2" t="s">
        <v>2435</v>
      </c>
      <c r="N16" s="2" t="s">
        <v>2337</v>
      </c>
      <c r="O16" s="2">
        <v>528</v>
      </c>
      <c r="P16" s="2">
        <v>1657.514892578125</v>
      </c>
      <c r="Q16" s="2">
        <v>1739.0302734375</v>
      </c>
      <c r="R16" s="2">
        <f t="shared" si="0"/>
        <v>875167.86328125</v>
      </c>
      <c r="S16" s="2">
        <f t="shared" si="1"/>
        <v>918207.984375</v>
      </c>
      <c r="T16" s="2">
        <f t="shared" si="2"/>
        <v>1793375.84765625</v>
      </c>
      <c r="U16" s="2">
        <f t="shared" si="3"/>
        <v>896.69</v>
      </c>
      <c r="V16" s="2">
        <f t="shared" si="4"/>
        <v>43040.12109375</v>
      </c>
      <c r="W16" s="2">
        <f t="shared" si="5"/>
        <v>42143.431093749998</v>
      </c>
      <c r="X16" s="2">
        <f t="shared" si="6"/>
        <v>42939865.484368309</v>
      </c>
      <c r="Y16" s="2">
        <f t="shared" si="7"/>
        <v>175033.57</v>
      </c>
      <c r="Z16" s="2">
        <f t="shared" si="8"/>
        <v>24.08</v>
      </c>
      <c r="AA16" s="2">
        <f t="shared" si="11"/>
        <v>42939865.484368309</v>
      </c>
      <c r="AB16" s="2">
        <f t="shared" si="9"/>
        <v>0</v>
      </c>
    </row>
    <row r="17" spans="1:28">
      <c r="A17" s="2">
        <v>14</v>
      </c>
      <c r="B17" s="2" t="s">
        <v>126</v>
      </c>
      <c r="C17" s="2" t="s">
        <v>2439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1367</v>
      </c>
      <c r="J17" s="2" t="s">
        <v>319</v>
      </c>
      <c r="K17" s="2">
        <f t="shared" si="10"/>
        <v>42939865.484368309</v>
      </c>
      <c r="L17" s="2" t="s">
        <v>1963</v>
      </c>
      <c r="M17" s="2" t="s">
        <v>2451</v>
      </c>
      <c r="N17" s="2" t="s">
        <v>2462</v>
      </c>
      <c r="O17" s="2">
        <v>125</v>
      </c>
      <c r="P17" s="2">
        <v>5263.50439453125</v>
      </c>
      <c r="Q17" s="2">
        <v>5443.68701171875</v>
      </c>
      <c r="R17" s="2">
        <f t="shared" si="0"/>
        <v>657938.04931640625</v>
      </c>
      <c r="S17" s="2">
        <f t="shared" si="1"/>
        <v>680460.87646484375</v>
      </c>
      <c r="T17" s="2">
        <f t="shared" si="2"/>
        <v>1338398.92578125</v>
      </c>
      <c r="U17" s="2">
        <f t="shared" si="3"/>
        <v>669.2</v>
      </c>
      <c r="V17" s="2">
        <f t="shared" si="4"/>
        <v>22522.8271484375</v>
      </c>
      <c r="W17" s="2">
        <f t="shared" si="5"/>
        <v>21853.627148437499</v>
      </c>
      <c r="X17" s="2">
        <f t="shared" si="6"/>
        <v>42961719.111516744</v>
      </c>
      <c r="Y17" s="2">
        <f t="shared" si="7"/>
        <v>131587.60999999999</v>
      </c>
      <c r="Z17" s="2">
        <f t="shared" si="8"/>
        <v>16.61</v>
      </c>
      <c r="AA17" s="2">
        <f t="shared" si="11"/>
        <v>42961719.111516744</v>
      </c>
      <c r="AB17" s="2">
        <f t="shared" si="9"/>
        <v>0</v>
      </c>
    </row>
    <row r="18" spans="1:28">
      <c r="A18" s="2">
        <v>15</v>
      </c>
      <c r="B18" s="2" t="s">
        <v>133</v>
      </c>
      <c r="C18" s="2" t="s">
        <v>2439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42961719.111516744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42961719.111516744</v>
      </c>
      <c r="Y18" s="6" t="s">
        <v>1195</v>
      </c>
      <c r="Z18" s="6" t="s">
        <v>1195</v>
      </c>
      <c r="AA18" s="2">
        <f>AA17</f>
        <v>42961719.111516744</v>
      </c>
      <c r="AB18" s="2">
        <v>0</v>
      </c>
    </row>
    <row r="19" spans="1:28">
      <c r="A19" s="2">
        <v>16</v>
      </c>
      <c r="B19" s="2" t="s">
        <v>141</v>
      </c>
      <c r="C19" s="2" t="s">
        <v>2439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1608</v>
      </c>
      <c r="J19" s="2" t="s">
        <v>271</v>
      </c>
      <c r="K19" s="2">
        <f t="shared" si="10"/>
        <v>42961719.111516744</v>
      </c>
      <c r="L19" s="2" t="s">
        <v>2058</v>
      </c>
      <c r="M19" s="2" t="s">
        <v>1961</v>
      </c>
      <c r="N19" s="2" t="s">
        <v>2075</v>
      </c>
      <c r="O19" s="2">
        <v>200</v>
      </c>
      <c r="P19" s="2">
        <v>2872.3125</v>
      </c>
      <c r="Q19" s="2">
        <v>3002.709228515625</v>
      </c>
      <c r="R19" s="2">
        <f>O19*P19</f>
        <v>574462.5</v>
      </c>
      <c r="S19" s="2">
        <f>O19*Q19</f>
        <v>600541.845703125</v>
      </c>
      <c r="T19" s="2">
        <f>R19+S19</f>
        <v>1175004.345703125</v>
      </c>
      <c r="U19" s="2">
        <f>ROUND(T19*0.0005, 2)</f>
        <v>587.5</v>
      </c>
      <c r="V19" s="2">
        <f>S19-R19</f>
        <v>26079.345703125</v>
      </c>
      <c r="W19" s="2">
        <f>V19-U19</f>
        <v>25491.845703125</v>
      </c>
      <c r="X19" s="2">
        <f>K19+W19</f>
        <v>42987210.957219869</v>
      </c>
      <c r="Y19" s="2">
        <f>ROUND(0.2*R19, 2)</f>
        <v>114892.5</v>
      </c>
      <c r="Z19" s="2">
        <f>ROUND((W19/Y19)*100, 2)</f>
        <v>22.19</v>
      </c>
      <c r="AA19" s="2">
        <f>MAX(AA18, X19)</f>
        <v>42987210.957219869</v>
      </c>
      <c r="AB19" s="2">
        <f>X19-AA19</f>
        <v>0</v>
      </c>
    </row>
    <row r="20" spans="1:28">
      <c r="A20" s="2">
        <v>17</v>
      </c>
      <c r="B20" s="2" t="s">
        <v>149</v>
      </c>
      <c r="C20" s="2" t="s">
        <v>2439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42987210.957219869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42987210.957219869</v>
      </c>
      <c r="Y20" s="6" t="s">
        <v>1195</v>
      </c>
      <c r="Z20" s="6" t="s">
        <v>1195</v>
      </c>
      <c r="AA20" s="2">
        <f>AA19</f>
        <v>42987210.957219869</v>
      </c>
      <c r="AB20" s="2">
        <v>0</v>
      </c>
    </row>
    <row r="21" spans="1:28">
      <c r="A21" s="2">
        <v>18</v>
      </c>
      <c r="B21" s="2" t="s">
        <v>154</v>
      </c>
      <c r="C21" s="2" t="s">
        <v>2439</v>
      </c>
      <c r="D21" s="3" t="s">
        <v>37</v>
      </c>
      <c r="E21" s="5" t="s">
        <v>134</v>
      </c>
      <c r="F21" s="2" t="s">
        <v>155</v>
      </c>
      <c r="G21" s="2" t="s">
        <v>127</v>
      </c>
      <c r="H21" s="6" t="s">
        <v>1195</v>
      </c>
      <c r="I21" s="6" t="s">
        <v>1195</v>
      </c>
      <c r="J21" s="6" t="s">
        <v>1195</v>
      </c>
      <c r="K21" s="2">
        <f t="shared" si="10"/>
        <v>42987210.957219869</v>
      </c>
      <c r="L21" s="6" t="s">
        <v>1195</v>
      </c>
      <c r="M21" s="6" t="s">
        <v>1195</v>
      </c>
      <c r="N21" s="6" t="s">
        <v>1195</v>
      </c>
      <c r="O21" s="2">
        <v>668</v>
      </c>
      <c r="P21" s="6" t="s">
        <v>1195</v>
      </c>
      <c r="Q21" s="6" t="s">
        <v>1195</v>
      </c>
      <c r="R21" s="6" t="s">
        <v>1195</v>
      </c>
      <c r="S21" s="6" t="s">
        <v>1195</v>
      </c>
      <c r="T21" s="6" t="s">
        <v>1195</v>
      </c>
      <c r="U21" s="6" t="s">
        <v>1195</v>
      </c>
      <c r="V21" s="6" t="s">
        <v>1195</v>
      </c>
      <c r="W21" s="6" t="s">
        <v>1195</v>
      </c>
      <c r="X21" s="2">
        <f>K21</f>
        <v>42987210.957219869</v>
      </c>
      <c r="Y21" s="6" t="s">
        <v>1195</v>
      </c>
      <c r="Z21" s="6" t="s">
        <v>1195</v>
      </c>
      <c r="AA21" s="2">
        <f>AA20</f>
        <v>42987210.957219869</v>
      </c>
      <c r="AB21" s="2">
        <v>0</v>
      </c>
    </row>
    <row r="22" spans="1:28">
      <c r="A22" s="2">
        <v>19</v>
      </c>
      <c r="B22" s="2" t="s">
        <v>160</v>
      </c>
      <c r="C22" s="2" t="s">
        <v>2439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42987210.957219869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42987210.957219869</v>
      </c>
      <c r="Y22" s="6" t="s">
        <v>1195</v>
      </c>
      <c r="Z22" s="6" t="s">
        <v>1195</v>
      </c>
      <c r="AA22" s="2">
        <f>AA21</f>
        <v>42987210.957219869</v>
      </c>
      <c r="AB22" s="2">
        <v>0</v>
      </c>
    </row>
    <row r="23" spans="1:28">
      <c r="A23" s="2">
        <v>20</v>
      </c>
      <c r="B23" s="2" t="s">
        <v>168</v>
      </c>
      <c r="C23" s="2" t="s">
        <v>2439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42987210.957219869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42987210.957219869</v>
      </c>
      <c r="Y23" s="6" t="s">
        <v>1195</v>
      </c>
      <c r="Z23" s="6" t="s">
        <v>1195</v>
      </c>
      <c r="AA23" s="2">
        <f>AA22</f>
        <v>42987210.957219869</v>
      </c>
      <c r="AB23" s="2">
        <v>0</v>
      </c>
    </row>
    <row r="24" spans="1:28">
      <c r="A24" s="2">
        <v>21</v>
      </c>
      <c r="B24" s="2" t="s">
        <v>175</v>
      </c>
      <c r="C24" s="2" t="s">
        <v>2439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1311</v>
      </c>
      <c r="J24" s="2" t="s">
        <v>895</v>
      </c>
      <c r="K24" s="2">
        <f t="shared" si="10"/>
        <v>42987210.957219869</v>
      </c>
      <c r="L24" s="2" t="s">
        <v>2063</v>
      </c>
      <c r="M24" s="2" t="s">
        <v>1826</v>
      </c>
      <c r="N24" s="2" t="s">
        <v>2075</v>
      </c>
      <c r="O24" s="2">
        <v>625</v>
      </c>
      <c r="P24" s="2">
        <v>953.162841796875</v>
      </c>
      <c r="Q24" s="2">
        <v>980.59704589843761</v>
      </c>
      <c r="R24" s="2">
        <f>O24*P24</f>
        <v>595726.77612304687</v>
      </c>
      <c r="S24" s="2">
        <f>O24*Q24</f>
        <v>612873.15368652355</v>
      </c>
      <c r="T24" s="2">
        <f>R24+S24</f>
        <v>1208599.9298095703</v>
      </c>
      <c r="U24" s="2">
        <f>ROUND(T24*0.0005, 2)</f>
        <v>604.29999999999995</v>
      </c>
      <c r="V24" s="2">
        <f>S24-R24</f>
        <v>17146.377563476679</v>
      </c>
      <c r="W24" s="2">
        <f>V24-U24</f>
        <v>16542.07756347668</v>
      </c>
      <c r="X24" s="2">
        <f>K24+W24</f>
        <v>43003753.034783348</v>
      </c>
      <c r="Y24" s="2">
        <f>ROUND(0.2*R24, 2)</f>
        <v>119145.36</v>
      </c>
      <c r="Z24" s="2">
        <f>ROUND((W24/Y24)*100, 2)</f>
        <v>13.88</v>
      </c>
      <c r="AA24" s="2">
        <f>MAX(AA23, X24)</f>
        <v>43003753.034783348</v>
      </c>
      <c r="AB24" s="2">
        <f>X24-AA24</f>
        <v>0</v>
      </c>
    </row>
    <row r="25" spans="1:28">
      <c r="A25" s="2">
        <v>22</v>
      </c>
      <c r="B25" s="2" t="s">
        <v>184</v>
      </c>
      <c r="C25" s="2" t="s">
        <v>2439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1488</v>
      </c>
      <c r="J25" s="2" t="s">
        <v>1485</v>
      </c>
      <c r="K25" s="2">
        <f t="shared" si="10"/>
        <v>43003753.034783348</v>
      </c>
      <c r="L25" s="2" t="s">
        <v>2463</v>
      </c>
      <c r="M25" s="2" t="s">
        <v>2464</v>
      </c>
      <c r="N25" s="2" t="s">
        <v>2465</v>
      </c>
      <c r="O25" s="2">
        <v>125</v>
      </c>
      <c r="P25" s="2">
        <v>4871.66650390625</v>
      </c>
      <c r="Q25" s="2">
        <v>5236.76025390625</v>
      </c>
      <c r="R25" s="2">
        <f>O25*P25</f>
        <v>608958.31298828125</v>
      </c>
      <c r="S25" s="2">
        <f>O25*Q25</f>
        <v>654595.03173828125</v>
      </c>
      <c r="T25" s="2">
        <f>R25+S25</f>
        <v>1263553.3447265625</v>
      </c>
      <c r="U25" s="2">
        <f>ROUND(T25*0.0005, 2)</f>
        <v>631.78</v>
      </c>
      <c r="V25" s="2">
        <f>S25-R25</f>
        <v>45636.71875</v>
      </c>
      <c r="W25" s="2">
        <f>V25-U25</f>
        <v>45004.938750000001</v>
      </c>
      <c r="X25" s="2">
        <f>K25+W25</f>
        <v>43048757.973533347</v>
      </c>
      <c r="Y25" s="2">
        <f>ROUND(0.2*R25, 2)</f>
        <v>121791.66</v>
      </c>
      <c r="Z25" s="2">
        <f>ROUND((W25/Y25)*100, 2)</f>
        <v>36.950000000000003</v>
      </c>
      <c r="AA25" s="2">
        <f>MAX(AA24, X25)</f>
        <v>43048757.973533347</v>
      </c>
      <c r="AB25" s="2">
        <f>X25-AA25</f>
        <v>0</v>
      </c>
    </row>
    <row r="26" spans="1:28">
      <c r="A26" s="2">
        <v>23</v>
      </c>
      <c r="B26" s="2" t="s">
        <v>190</v>
      </c>
      <c r="C26" s="2" t="s">
        <v>2439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1850</v>
      </c>
      <c r="J26" s="2" t="s">
        <v>2466</v>
      </c>
      <c r="K26" s="2">
        <f t="shared" si="10"/>
        <v>43048757.973533347</v>
      </c>
      <c r="L26" s="2" t="s">
        <v>1987</v>
      </c>
      <c r="M26" s="2" t="s">
        <v>2067</v>
      </c>
      <c r="N26" s="2" t="s">
        <v>2467</v>
      </c>
      <c r="O26" s="2">
        <v>500</v>
      </c>
      <c r="P26" s="2">
        <v>1563.316040039062</v>
      </c>
      <c r="Q26" s="2">
        <v>1566.4599609375</v>
      </c>
      <c r="R26" s="2">
        <f>O26*P26</f>
        <v>781658.02001953102</v>
      </c>
      <c r="S26" s="2">
        <f>O26*Q26</f>
        <v>783229.98046875</v>
      </c>
      <c r="T26" s="2">
        <f>R26+S26</f>
        <v>1564888.000488281</v>
      </c>
      <c r="U26" s="2">
        <f>ROUND(T26*0.0005, 2)</f>
        <v>782.44</v>
      </c>
      <c r="V26" s="2">
        <f>S26-R26</f>
        <v>1571.9604492189828</v>
      </c>
      <c r="W26" s="2">
        <f>V26-U26</f>
        <v>789.52044921898278</v>
      </c>
      <c r="X26" s="2">
        <f>K26+W26</f>
        <v>43049547.493982568</v>
      </c>
      <c r="Y26" s="2">
        <f>ROUND(0.2*R26, 2)</f>
        <v>156331.6</v>
      </c>
      <c r="Z26" s="2">
        <f>ROUND((W26/Y26)*100, 2)</f>
        <v>0.51</v>
      </c>
      <c r="AA26" s="2">
        <f>MAX(AA25, X26)</f>
        <v>43049547.493982568</v>
      </c>
      <c r="AB26" s="2">
        <f>X26-AA26</f>
        <v>0</v>
      </c>
    </row>
    <row r="27" spans="1:28">
      <c r="A27" s="2">
        <v>24</v>
      </c>
      <c r="B27" s="2" t="s">
        <v>195</v>
      </c>
      <c r="C27" s="2" t="s">
        <v>2439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43049547.493982568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43049547.493982568</v>
      </c>
      <c r="Y27" s="6" t="s">
        <v>1195</v>
      </c>
      <c r="Z27" s="6" t="s">
        <v>1195</v>
      </c>
      <c r="AA27" s="2">
        <f>AA26</f>
        <v>43049547.493982568</v>
      </c>
      <c r="AB27" s="2">
        <v>0</v>
      </c>
    </row>
    <row r="28" spans="1:28">
      <c r="A28" s="2">
        <v>25</v>
      </c>
      <c r="B28" s="2" t="s">
        <v>199</v>
      </c>
      <c r="C28" s="2" t="s">
        <v>2439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1135</v>
      </c>
      <c r="J28" s="2" t="s">
        <v>2468</v>
      </c>
      <c r="K28" s="2">
        <f t="shared" si="10"/>
        <v>43049547.493982568</v>
      </c>
      <c r="L28" s="2" t="s">
        <v>1986</v>
      </c>
      <c r="M28" s="2" t="s">
        <v>2063</v>
      </c>
      <c r="N28" s="2" t="s">
        <v>2469</v>
      </c>
      <c r="O28" s="2">
        <v>125</v>
      </c>
      <c r="P28" s="2">
        <v>789.82720947265625</v>
      </c>
      <c r="Q28" s="2">
        <v>756.25750732421875</v>
      </c>
      <c r="R28" s="2">
        <f>O28*P28</f>
        <v>98728.401184082031</v>
      </c>
      <c r="S28" s="2">
        <f>O28*Q28</f>
        <v>94532.188415527344</v>
      </c>
      <c r="T28" s="2">
        <f>R28+S28</f>
        <v>193260.58959960937</v>
      </c>
      <c r="U28" s="2">
        <f>ROUND(T28*0.0005, 2)</f>
        <v>96.63</v>
      </c>
      <c r="V28" s="2">
        <f>S28-R28</f>
        <v>-4196.2127685546875</v>
      </c>
      <c r="W28" s="2">
        <f>V28-U28</f>
        <v>-4292.8427685546876</v>
      </c>
      <c r="X28" s="2">
        <f>K28+W28</f>
        <v>43045254.651214011</v>
      </c>
      <c r="Y28" s="2">
        <f>ROUND(0.2*R28, 2)</f>
        <v>19745.68</v>
      </c>
      <c r="Z28" s="2">
        <f>ROUND((W28/Y28)*100, 2)</f>
        <v>-21.74</v>
      </c>
      <c r="AA28" s="2">
        <f>MAX(AA27, X28)</f>
        <v>43049547.493982568</v>
      </c>
      <c r="AB28" s="2">
        <f>X28-AA28</f>
        <v>-4292.8427685573697</v>
      </c>
    </row>
    <row r="29" spans="1:28">
      <c r="A29" s="2">
        <v>26</v>
      </c>
      <c r="B29" s="2" t="s">
        <v>205</v>
      </c>
      <c r="C29" s="2" t="s">
        <v>2439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43045254.651214011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43045254.651214011</v>
      </c>
      <c r="Y29" s="6" t="s">
        <v>1195</v>
      </c>
      <c r="Z29" s="6" t="s">
        <v>1195</v>
      </c>
      <c r="AA29" s="2">
        <f>AA28</f>
        <v>43049547.493982568</v>
      </c>
      <c r="AB29" s="2">
        <v>0</v>
      </c>
    </row>
    <row r="30" spans="1:28">
      <c r="A30" s="2">
        <v>27</v>
      </c>
      <c r="B30" s="2" t="s">
        <v>209</v>
      </c>
      <c r="C30" s="2" t="s">
        <v>2439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43045254.651214011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43045254.651214011</v>
      </c>
      <c r="Y30" s="6" t="s">
        <v>1195</v>
      </c>
      <c r="Z30" s="6" t="s">
        <v>1195</v>
      </c>
      <c r="AA30" s="2">
        <f>AA29</f>
        <v>43049547.493982568</v>
      </c>
      <c r="AB30" s="2">
        <v>0</v>
      </c>
    </row>
    <row r="31" spans="1:28">
      <c r="A31" s="2">
        <v>28</v>
      </c>
      <c r="B31" s="2" t="s">
        <v>213</v>
      </c>
      <c r="C31" s="2" t="s">
        <v>2439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43045254.651214011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43045254.651214011</v>
      </c>
      <c r="Y31" s="6" t="s">
        <v>1195</v>
      </c>
      <c r="Z31" s="6" t="s">
        <v>1195</v>
      </c>
      <c r="AA31" s="2">
        <f>AA30</f>
        <v>43049547.493982568</v>
      </c>
      <c r="AB31" s="2">
        <v>0</v>
      </c>
    </row>
    <row r="32" spans="1:28">
      <c r="A32" s="2">
        <v>29</v>
      </c>
      <c r="B32" s="2" t="s">
        <v>218</v>
      </c>
      <c r="C32" s="2" t="s">
        <v>2439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43045254.651214011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43045254.651214011</v>
      </c>
      <c r="Y32" s="6" t="s">
        <v>1195</v>
      </c>
      <c r="Z32" s="6" t="s">
        <v>1195</v>
      </c>
      <c r="AA32" s="2">
        <f>AA31</f>
        <v>43049547.493982568</v>
      </c>
      <c r="AB32" s="2">
        <v>0</v>
      </c>
    </row>
    <row r="33" spans="1:28">
      <c r="A33" s="2">
        <v>30</v>
      </c>
      <c r="B33" s="2" t="s">
        <v>225</v>
      </c>
      <c r="C33" s="2" t="s">
        <v>2439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2470</v>
      </c>
      <c r="J33" s="2" t="s">
        <v>2471</v>
      </c>
      <c r="K33" s="2">
        <f t="shared" si="10"/>
        <v>43045254.651214011</v>
      </c>
      <c r="L33" s="2" t="s">
        <v>2465</v>
      </c>
      <c r="M33" s="2" t="s">
        <v>1828</v>
      </c>
      <c r="N33" s="2" t="s">
        <v>2467</v>
      </c>
      <c r="O33" s="2">
        <v>2438</v>
      </c>
      <c r="P33" s="2">
        <v>132.9717102050781</v>
      </c>
      <c r="Q33" s="2">
        <v>134.04759216308591</v>
      </c>
      <c r="R33" s="2">
        <f>O33*P33</f>
        <v>324185.02947998041</v>
      </c>
      <c r="S33" s="2">
        <f>O33*Q33</f>
        <v>326808.02969360346</v>
      </c>
      <c r="T33" s="2">
        <f>R33+S33</f>
        <v>650993.05917358387</v>
      </c>
      <c r="U33" s="2">
        <f>ROUND(T33*0.0005, 2)</f>
        <v>325.5</v>
      </c>
      <c r="V33" s="2">
        <f>S33-R33</f>
        <v>2623.0002136230469</v>
      </c>
      <c r="W33" s="2">
        <f>V33-U33</f>
        <v>2297.5002136230469</v>
      </c>
      <c r="X33" s="2">
        <f>K33+W33</f>
        <v>43047552.151427634</v>
      </c>
      <c r="Y33" s="2">
        <f>ROUND(0.2*R33, 2)</f>
        <v>64837.01</v>
      </c>
      <c r="Z33" s="2">
        <f>ROUND((W33/Y33)*100, 2)</f>
        <v>3.54</v>
      </c>
      <c r="AA33" s="2">
        <f>MAX(AA32, X33)</f>
        <v>43049547.493982568</v>
      </c>
      <c r="AB33" s="2">
        <f>X33-AA33</f>
        <v>-1995.3425549343228</v>
      </c>
    </row>
    <row r="34" spans="1:28">
      <c r="A34" s="2">
        <v>31</v>
      </c>
      <c r="B34" s="2" t="s">
        <v>230</v>
      </c>
      <c r="C34" s="2" t="s">
        <v>2439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43047552.151427634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43047552.151427634</v>
      </c>
      <c r="Y34" s="6" t="s">
        <v>1195</v>
      </c>
      <c r="Z34" s="6" t="s">
        <v>1195</v>
      </c>
      <c r="AA34" s="2">
        <f>AA33</f>
        <v>43049547.493982568</v>
      </c>
      <c r="AB34" s="2">
        <v>0</v>
      </c>
    </row>
    <row r="35" spans="1:28">
      <c r="A35" s="2">
        <v>32</v>
      </c>
      <c r="B35" s="2" t="s">
        <v>236</v>
      </c>
      <c r="C35" s="2" t="s">
        <v>2439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1902</v>
      </c>
      <c r="J35" s="2" t="s">
        <v>2472</v>
      </c>
      <c r="K35" s="2">
        <f t="shared" si="10"/>
        <v>43047552.151427634</v>
      </c>
      <c r="L35" s="2" t="s">
        <v>2058</v>
      </c>
      <c r="M35" s="2" t="s">
        <v>2068</v>
      </c>
      <c r="N35" s="2" t="s">
        <v>2067</v>
      </c>
      <c r="O35" s="2">
        <v>950</v>
      </c>
      <c r="P35" s="2">
        <v>929.949951171875</v>
      </c>
      <c r="Q35" s="2">
        <v>924.22998046875</v>
      </c>
      <c r="R35" s="2">
        <f>O35*P35</f>
        <v>883452.45361328125</v>
      </c>
      <c r="S35" s="2">
        <f>O35*Q35</f>
        <v>878018.4814453125</v>
      </c>
      <c r="T35" s="2">
        <f>R35+S35</f>
        <v>1761470.9350585937</v>
      </c>
      <c r="U35" s="2">
        <f>ROUND(T35*0.0005, 2)</f>
        <v>880.74</v>
      </c>
      <c r="V35" s="2">
        <f>S35-R35</f>
        <v>-5433.97216796875</v>
      </c>
      <c r="W35" s="2">
        <f>V35-U35</f>
        <v>-6314.7121679687498</v>
      </c>
      <c r="X35" s="2">
        <f>K35+W35</f>
        <v>43041237.439259663</v>
      </c>
      <c r="Y35" s="2">
        <f>ROUND(0.2*R35, 2)</f>
        <v>176690.49</v>
      </c>
      <c r="Z35" s="2">
        <f>ROUND((W35/Y35)*100, 2)</f>
        <v>-3.57</v>
      </c>
      <c r="AA35" s="2">
        <f>MAX(AA34, X35)</f>
        <v>43049547.493982568</v>
      </c>
      <c r="AB35" s="2">
        <f>X35-AA35</f>
        <v>-8310.054722905159</v>
      </c>
    </row>
    <row r="36" spans="1:28">
      <c r="A36" s="2">
        <v>33</v>
      </c>
      <c r="B36" s="2" t="s">
        <v>240</v>
      </c>
      <c r="C36" s="2" t="s">
        <v>2439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43041237.439259663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43041237.439259663</v>
      </c>
      <c r="Y36" s="6" t="s">
        <v>1195</v>
      </c>
      <c r="Z36" s="6" t="s">
        <v>1195</v>
      </c>
      <c r="AA36" s="2">
        <f>AA35</f>
        <v>43049547.493982568</v>
      </c>
      <c r="AB36" s="2">
        <v>0</v>
      </c>
    </row>
    <row r="37" spans="1:28">
      <c r="A37" s="2">
        <v>34</v>
      </c>
      <c r="B37" s="2" t="s">
        <v>245</v>
      </c>
      <c r="C37" s="2" t="s">
        <v>2439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43041237.439259663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43041237.439259663</v>
      </c>
      <c r="Y37" s="6" t="s">
        <v>1195</v>
      </c>
      <c r="Z37" s="6" t="s">
        <v>1195</v>
      </c>
      <c r="AA37" s="2">
        <f>AA36</f>
        <v>43049547.493982568</v>
      </c>
      <c r="AB37" s="2">
        <v>0</v>
      </c>
    </row>
    <row r="38" spans="1:28">
      <c r="A38" s="2">
        <v>35</v>
      </c>
      <c r="B38" s="2" t="s">
        <v>248</v>
      </c>
      <c r="C38" s="2" t="s">
        <v>2439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43041237.439259663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43041237.439259663</v>
      </c>
      <c r="Y38" s="6" t="s">
        <v>1195</v>
      </c>
      <c r="Z38" s="6" t="s">
        <v>1195</v>
      </c>
      <c r="AA38" s="2">
        <f>AA37</f>
        <v>43049547.493982568</v>
      </c>
      <c r="AB38" s="2">
        <v>0</v>
      </c>
    </row>
    <row r="39" spans="1:28">
      <c r="A39" s="2">
        <v>36</v>
      </c>
      <c r="B39" s="2" t="s">
        <v>252</v>
      </c>
      <c r="C39" s="2" t="s">
        <v>2439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43041237.439259663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43041237.439259663</v>
      </c>
      <c r="Y39" s="6" t="s">
        <v>1195</v>
      </c>
      <c r="Z39" s="6" t="s">
        <v>1195</v>
      </c>
      <c r="AA39" s="2">
        <f>AA38</f>
        <v>43049547.493982568</v>
      </c>
      <c r="AB39" s="2">
        <v>0</v>
      </c>
    </row>
    <row r="40" spans="1:28">
      <c r="A40" s="2">
        <v>37</v>
      </c>
      <c r="B40" s="2" t="s">
        <v>256</v>
      </c>
      <c r="C40" s="2" t="s">
        <v>2439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2231</v>
      </c>
      <c r="J40" s="2" t="s">
        <v>2473</v>
      </c>
      <c r="K40" s="2">
        <f t="shared" si="10"/>
        <v>43041237.439259663</v>
      </c>
      <c r="L40" s="2" t="s">
        <v>2474</v>
      </c>
      <c r="M40" s="2" t="s">
        <v>1827</v>
      </c>
      <c r="N40" s="2" t="s">
        <v>1961</v>
      </c>
      <c r="O40" s="2">
        <v>1800</v>
      </c>
      <c r="P40" s="2">
        <v>155.95283508300781</v>
      </c>
      <c r="Q40" s="2">
        <v>145.96757507324219</v>
      </c>
      <c r="R40" s="2">
        <f>O40*P40</f>
        <v>280715.10314941406</v>
      </c>
      <c r="S40" s="2">
        <f>O40*Q40</f>
        <v>262741.63513183594</v>
      </c>
      <c r="T40" s="2">
        <f>R40+S40</f>
        <v>543456.73828125</v>
      </c>
      <c r="U40" s="2">
        <f>ROUND(T40*0.0005, 2)</f>
        <v>271.73</v>
      </c>
      <c r="V40" s="2">
        <f>S40-R40</f>
        <v>-17973.468017578125</v>
      </c>
      <c r="W40" s="2">
        <f>V40-U40</f>
        <v>-18245.198017578125</v>
      </c>
      <c r="X40" s="2">
        <f>K40+W40</f>
        <v>43022992.241242088</v>
      </c>
      <c r="Y40" s="2">
        <f>ROUND(0.2*R40, 2)</f>
        <v>56143.02</v>
      </c>
      <c r="Z40" s="2">
        <f>ROUND((W40/Y40)*100, 2)</f>
        <v>-32.5</v>
      </c>
      <c r="AA40" s="2">
        <f>MAX(AA39, X40)</f>
        <v>43049547.493982568</v>
      </c>
      <c r="AB40" s="2">
        <f>X40-AA40</f>
        <v>-26555.252740480006</v>
      </c>
    </row>
    <row r="41" spans="1:28">
      <c r="A41" s="2">
        <v>38</v>
      </c>
      <c r="B41" s="2" t="s">
        <v>259</v>
      </c>
      <c r="C41" s="2" t="s">
        <v>2439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1825</v>
      </c>
      <c r="J41" s="2" t="s">
        <v>338</v>
      </c>
      <c r="K41" s="2">
        <f t="shared" si="10"/>
        <v>43022992.241242088</v>
      </c>
      <c r="L41" s="2" t="s">
        <v>1826</v>
      </c>
      <c r="M41" s="2" t="s">
        <v>1827</v>
      </c>
      <c r="N41" s="2" t="s">
        <v>1826</v>
      </c>
      <c r="O41" s="2">
        <v>200</v>
      </c>
      <c r="P41" s="2">
        <v>4411.27001953125</v>
      </c>
      <c r="Q41" s="2">
        <v>4505.15185546875</v>
      </c>
      <c r="R41" s="2">
        <f>O41*P41</f>
        <v>882254.00390625</v>
      </c>
      <c r="S41" s="2">
        <f>O41*Q41</f>
        <v>901030.37109375</v>
      </c>
      <c r="T41" s="2">
        <f>R41+S41</f>
        <v>1783284.375</v>
      </c>
      <c r="U41" s="2">
        <f>ROUND(T41*0.0005, 2)</f>
        <v>891.64</v>
      </c>
      <c r="V41" s="2">
        <f>S41-R41</f>
        <v>18776.3671875</v>
      </c>
      <c r="W41" s="2">
        <f>V41-U41</f>
        <v>17884.727187500001</v>
      </c>
      <c r="X41" s="2">
        <f>K41+W41</f>
        <v>43040876.968429588</v>
      </c>
      <c r="Y41" s="2">
        <f>ROUND(0.2*R41, 2)</f>
        <v>176450.8</v>
      </c>
      <c r="Z41" s="2">
        <f>ROUND((W41/Y41)*100, 2)</f>
        <v>10.14</v>
      </c>
      <c r="AA41" s="2">
        <f>MAX(AA40, X41)</f>
        <v>43049547.493982568</v>
      </c>
      <c r="AB41" s="2">
        <f>X41-AA41</f>
        <v>-8670.5255529806018</v>
      </c>
    </row>
    <row r="42" spans="1:28">
      <c r="A42" s="2">
        <v>39</v>
      </c>
      <c r="B42" s="2" t="s">
        <v>265</v>
      </c>
      <c r="C42" s="2" t="s">
        <v>2439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43040876.968429588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43040876.968429588</v>
      </c>
      <c r="Y42" s="6" t="s">
        <v>1195</v>
      </c>
      <c r="Z42" s="6" t="s">
        <v>1195</v>
      </c>
      <c r="AA42" s="2">
        <f t="shared" ref="AA42:AA47" si="13">AA41</f>
        <v>43049547.493982568</v>
      </c>
      <c r="AB42" s="2">
        <v>0</v>
      </c>
    </row>
    <row r="43" spans="1:28">
      <c r="A43" s="2">
        <v>40</v>
      </c>
      <c r="B43" s="2" t="s">
        <v>269</v>
      </c>
      <c r="C43" s="2" t="s">
        <v>2439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43040876.968429588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43040876.968429588</v>
      </c>
      <c r="Y43" s="6" t="s">
        <v>1195</v>
      </c>
      <c r="Z43" s="6" t="s">
        <v>1195</v>
      </c>
      <c r="AA43" s="2">
        <f t="shared" si="13"/>
        <v>43049547.493982568</v>
      </c>
      <c r="AB43" s="2">
        <v>0</v>
      </c>
    </row>
    <row r="44" spans="1:28">
      <c r="A44" s="2">
        <v>41</v>
      </c>
      <c r="B44" s="2" t="s">
        <v>272</v>
      </c>
      <c r="C44" s="2" t="s">
        <v>2439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43040876.968429588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43040876.968429588</v>
      </c>
      <c r="Y44" s="6" t="s">
        <v>1195</v>
      </c>
      <c r="Z44" s="6" t="s">
        <v>1195</v>
      </c>
      <c r="AA44" s="2">
        <f t="shared" si="13"/>
        <v>43049547.493982568</v>
      </c>
      <c r="AB44" s="2">
        <v>0</v>
      </c>
    </row>
    <row r="45" spans="1:28">
      <c r="A45" s="2">
        <v>42</v>
      </c>
      <c r="B45" s="2" t="s">
        <v>275</v>
      </c>
      <c r="C45" s="2" t="s">
        <v>2439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43040876.968429588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43040876.968429588</v>
      </c>
      <c r="Y45" s="6" t="s">
        <v>1195</v>
      </c>
      <c r="Z45" s="6" t="s">
        <v>1195</v>
      </c>
      <c r="AA45" s="2">
        <f t="shared" si="13"/>
        <v>43049547.493982568</v>
      </c>
      <c r="AB45" s="2">
        <v>0</v>
      </c>
    </row>
    <row r="46" spans="1:28">
      <c r="A46" s="2">
        <v>43</v>
      </c>
      <c r="B46" s="2" t="s">
        <v>280</v>
      </c>
      <c r="C46" s="2" t="s">
        <v>2439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43040876.968429588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43040876.968429588</v>
      </c>
      <c r="Y46" s="6" t="s">
        <v>1195</v>
      </c>
      <c r="Z46" s="6" t="s">
        <v>1195</v>
      </c>
      <c r="AA46" s="2">
        <f t="shared" si="13"/>
        <v>43049547.493982568</v>
      </c>
      <c r="AB46" s="2">
        <v>0</v>
      </c>
    </row>
    <row r="47" spans="1:28">
      <c r="A47" s="2">
        <v>44</v>
      </c>
      <c r="B47" s="2" t="s">
        <v>284</v>
      </c>
      <c r="C47" s="2" t="s">
        <v>2439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43040876.968429588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43040876.968429588</v>
      </c>
      <c r="Y47" s="6" t="s">
        <v>1195</v>
      </c>
      <c r="Z47" s="6" t="s">
        <v>1195</v>
      </c>
      <c r="AA47" s="2">
        <f t="shared" si="13"/>
        <v>43049547.493982568</v>
      </c>
      <c r="AB47" s="2">
        <v>0</v>
      </c>
    </row>
    <row r="48" spans="1:28">
      <c r="A48" s="2">
        <v>45</v>
      </c>
      <c r="B48" s="2" t="s">
        <v>291</v>
      </c>
      <c r="C48" s="2" t="s">
        <v>2439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789</v>
      </c>
      <c r="J48" s="2" t="s">
        <v>436</v>
      </c>
      <c r="K48" s="2">
        <f t="shared" si="10"/>
        <v>43040876.968429588</v>
      </c>
      <c r="L48" s="2" t="s">
        <v>2063</v>
      </c>
      <c r="M48" s="2" t="s">
        <v>1828</v>
      </c>
      <c r="N48" s="2" t="s">
        <v>2467</v>
      </c>
      <c r="O48" s="2">
        <v>650</v>
      </c>
      <c r="P48" s="2">
        <v>1172.563598632812</v>
      </c>
      <c r="Q48" s="2">
        <v>1125.033081054688</v>
      </c>
      <c r="R48" s="2">
        <f>O48*P48</f>
        <v>762166.33911132778</v>
      </c>
      <c r="S48" s="2">
        <f>O48*Q48</f>
        <v>731271.50268554722</v>
      </c>
      <c r="T48" s="2">
        <f>R48+S48</f>
        <v>1493437.841796875</v>
      </c>
      <c r="U48" s="2">
        <f>ROUND(T48*0.0005, 2)</f>
        <v>746.72</v>
      </c>
      <c r="V48" s="2">
        <f>S48-R48</f>
        <v>-30894.836425780552</v>
      </c>
      <c r="W48" s="2">
        <f>V48-U48</f>
        <v>-31641.556425780553</v>
      </c>
      <c r="X48" s="2">
        <f>K48+W48</f>
        <v>43009235.412003808</v>
      </c>
      <c r="Y48" s="2">
        <f>ROUND(0.2*R48, 2)</f>
        <v>152433.26999999999</v>
      </c>
      <c r="Z48" s="2">
        <f>ROUND((W48/Y48)*100, 2)</f>
        <v>-20.76</v>
      </c>
      <c r="AA48" s="2">
        <f>MAX(AA47, X48)</f>
        <v>43049547.493982568</v>
      </c>
      <c r="AB48" s="2">
        <f>X48-AA48</f>
        <v>-40312.08197876066</v>
      </c>
    </row>
    <row r="49" spans="1:28">
      <c r="A49" s="2">
        <v>46</v>
      </c>
      <c r="B49" s="2" t="s">
        <v>295</v>
      </c>
      <c r="C49" s="2" t="s">
        <v>2439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2475</v>
      </c>
      <c r="J49" s="2" t="s">
        <v>2476</v>
      </c>
      <c r="K49" s="2">
        <f t="shared" si="10"/>
        <v>43009235.412003808</v>
      </c>
      <c r="L49" s="2" t="s">
        <v>2067</v>
      </c>
      <c r="M49" s="2" t="s">
        <v>2477</v>
      </c>
      <c r="N49" s="2" t="s">
        <v>2462</v>
      </c>
      <c r="O49" s="2">
        <v>2100</v>
      </c>
      <c r="P49" s="2">
        <v>261.16842651367187</v>
      </c>
      <c r="Q49" s="2">
        <v>290.3394775390625</v>
      </c>
      <c r="R49" s="2">
        <f>O49*P49</f>
        <v>548453.69567871094</v>
      </c>
      <c r="S49" s="2">
        <f>O49*Q49</f>
        <v>609712.90283203125</v>
      </c>
      <c r="T49" s="2">
        <f>R49+S49</f>
        <v>1158166.5985107422</v>
      </c>
      <c r="U49" s="2">
        <f>ROUND(T49*0.0005, 2)</f>
        <v>579.08000000000004</v>
      </c>
      <c r="V49" s="2">
        <f>S49-R49</f>
        <v>61259.207153320313</v>
      </c>
      <c r="W49" s="2">
        <f>V49-U49</f>
        <v>60680.127153320311</v>
      </c>
      <c r="X49" s="2">
        <f>K49+W49</f>
        <v>43069915.53915713</v>
      </c>
      <c r="Y49" s="2">
        <f>ROUND(0.2*R49, 2)</f>
        <v>109690.74</v>
      </c>
      <c r="Z49" s="2">
        <f>ROUND((W49/Y49)*100, 2)</f>
        <v>55.32</v>
      </c>
      <c r="AA49" s="2">
        <f>MAX(AA48, X49)</f>
        <v>43069915.53915713</v>
      </c>
      <c r="AB49" s="2">
        <f>X49-AA49</f>
        <v>0</v>
      </c>
    </row>
    <row r="50" spans="1:28">
      <c r="A50" s="2">
        <v>47</v>
      </c>
      <c r="B50" s="2" t="s">
        <v>299</v>
      </c>
      <c r="C50" s="2" t="s">
        <v>2439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43069915.53915713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43069915.53915713</v>
      </c>
      <c r="Y50" s="6" t="s">
        <v>1195</v>
      </c>
      <c r="Z50" s="6" t="s">
        <v>1195</v>
      </c>
      <c r="AA50" s="2">
        <f t="shared" ref="AA50:AA61" si="15">AA49</f>
        <v>43069915.53915713</v>
      </c>
      <c r="AB50" s="2">
        <v>0</v>
      </c>
    </row>
    <row r="51" spans="1:28">
      <c r="A51" s="2">
        <v>48</v>
      </c>
      <c r="B51" s="2" t="s">
        <v>303</v>
      </c>
      <c r="C51" s="2" t="s">
        <v>2439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43069915.53915713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43069915.53915713</v>
      </c>
      <c r="Y51" s="6" t="s">
        <v>1195</v>
      </c>
      <c r="Z51" s="6" t="s">
        <v>1195</v>
      </c>
      <c r="AA51" s="2">
        <f t="shared" si="15"/>
        <v>43069915.53915713</v>
      </c>
      <c r="AB51" s="2">
        <v>0</v>
      </c>
    </row>
    <row r="52" spans="1:28">
      <c r="A52" s="2">
        <v>49</v>
      </c>
      <c r="B52" s="2" t="s">
        <v>307</v>
      </c>
      <c r="C52" s="2" t="s">
        <v>2439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43069915.53915713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43069915.53915713</v>
      </c>
      <c r="Y52" s="6" t="s">
        <v>1195</v>
      </c>
      <c r="Z52" s="6" t="s">
        <v>1195</v>
      </c>
      <c r="AA52" s="2">
        <f t="shared" si="15"/>
        <v>43069915.53915713</v>
      </c>
      <c r="AB52" s="2">
        <v>0</v>
      </c>
    </row>
    <row r="53" spans="1:28">
      <c r="A53" s="2">
        <v>50</v>
      </c>
      <c r="B53" s="2" t="s">
        <v>311</v>
      </c>
      <c r="C53" s="2" t="s">
        <v>2439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43069915.53915713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43069915.53915713</v>
      </c>
      <c r="Y53" s="6" t="s">
        <v>1195</v>
      </c>
      <c r="Z53" s="6" t="s">
        <v>1195</v>
      </c>
      <c r="AA53" s="2">
        <f t="shared" si="15"/>
        <v>43069915.53915713</v>
      </c>
      <c r="AB53" s="2">
        <v>0</v>
      </c>
    </row>
    <row r="54" spans="1:28">
      <c r="A54" s="2">
        <v>51</v>
      </c>
      <c r="B54" s="2" t="s">
        <v>315</v>
      </c>
      <c r="C54" s="2" t="s">
        <v>2439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43069915.53915713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43069915.53915713</v>
      </c>
      <c r="Y54" s="6" t="s">
        <v>1195</v>
      </c>
      <c r="Z54" s="6" t="s">
        <v>1195</v>
      </c>
      <c r="AA54" s="2">
        <f t="shared" si="15"/>
        <v>43069915.53915713</v>
      </c>
      <c r="AB54" s="2">
        <v>0</v>
      </c>
    </row>
    <row r="55" spans="1:28">
      <c r="A55" s="2">
        <v>52</v>
      </c>
      <c r="B55" s="2" t="s">
        <v>318</v>
      </c>
      <c r="C55" s="2" t="s">
        <v>2439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43069915.53915713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43069915.53915713</v>
      </c>
      <c r="Y55" s="6" t="s">
        <v>1195</v>
      </c>
      <c r="Z55" s="6" t="s">
        <v>1195</v>
      </c>
      <c r="AA55" s="2">
        <f t="shared" si="15"/>
        <v>43069915.53915713</v>
      </c>
      <c r="AB55" s="2">
        <v>0</v>
      </c>
    </row>
    <row r="56" spans="1:28">
      <c r="A56" s="2">
        <v>53</v>
      </c>
      <c r="B56" s="2" t="s">
        <v>322</v>
      </c>
      <c r="C56" s="2" t="s">
        <v>2439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43069915.53915713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43069915.53915713</v>
      </c>
      <c r="Y56" s="6" t="s">
        <v>1195</v>
      </c>
      <c r="Z56" s="6" t="s">
        <v>1195</v>
      </c>
      <c r="AA56" s="2">
        <f t="shared" si="15"/>
        <v>43069915.53915713</v>
      </c>
      <c r="AB56" s="2">
        <v>0</v>
      </c>
    </row>
    <row r="57" spans="1:28">
      <c r="A57" s="2">
        <v>54</v>
      </c>
      <c r="B57" s="2" t="s">
        <v>324</v>
      </c>
      <c r="C57" s="2" t="s">
        <v>2439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43069915.53915713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43069915.53915713</v>
      </c>
      <c r="Y57" s="6" t="s">
        <v>1195</v>
      </c>
      <c r="Z57" s="6" t="s">
        <v>1195</v>
      </c>
      <c r="AA57" s="2">
        <f t="shared" si="15"/>
        <v>43069915.53915713</v>
      </c>
      <c r="AB57" s="2">
        <v>0</v>
      </c>
    </row>
    <row r="58" spans="1:28">
      <c r="A58" s="2">
        <v>55</v>
      </c>
      <c r="B58" s="2" t="s">
        <v>328</v>
      </c>
      <c r="C58" s="2" t="s">
        <v>2439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43069915.53915713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43069915.53915713</v>
      </c>
      <c r="Y58" s="6" t="s">
        <v>1195</v>
      </c>
      <c r="Z58" s="6" t="s">
        <v>1195</v>
      </c>
      <c r="AA58" s="2">
        <f t="shared" si="15"/>
        <v>43069915.53915713</v>
      </c>
      <c r="AB58" s="2">
        <v>0</v>
      </c>
    </row>
    <row r="59" spans="1:28">
      <c r="A59" s="2">
        <v>56</v>
      </c>
      <c r="B59" s="2" t="s">
        <v>332</v>
      </c>
      <c r="C59" s="2" t="s">
        <v>2439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43069915.53915713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43069915.53915713</v>
      </c>
      <c r="Y59" s="6" t="s">
        <v>1195</v>
      </c>
      <c r="Z59" s="6" t="s">
        <v>1195</v>
      </c>
      <c r="AA59" s="2">
        <f t="shared" si="15"/>
        <v>43069915.53915713</v>
      </c>
      <c r="AB59" s="2">
        <v>0</v>
      </c>
    </row>
    <row r="60" spans="1:28">
      <c r="A60" s="2">
        <v>57</v>
      </c>
      <c r="B60" s="2" t="s">
        <v>337</v>
      </c>
      <c r="C60" s="2" t="s">
        <v>2439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43069915.53915713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43069915.53915713</v>
      </c>
      <c r="Y60" s="6" t="s">
        <v>1195</v>
      </c>
      <c r="Z60" s="6" t="s">
        <v>1195</v>
      </c>
      <c r="AA60" s="2">
        <f t="shared" si="15"/>
        <v>43069915.53915713</v>
      </c>
      <c r="AB60" s="2">
        <v>0</v>
      </c>
    </row>
    <row r="61" spans="1:28">
      <c r="A61" s="2">
        <v>58</v>
      </c>
      <c r="B61" s="2" t="s">
        <v>341</v>
      </c>
      <c r="C61" s="2" t="s">
        <v>2439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43069915.53915713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43069915.53915713</v>
      </c>
      <c r="Y61" s="6" t="s">
        <v>1195</v>
      </c>
      <c r="Z61" s="6" t="s">
        <v>1195</v>
      </c>
      <c r="AA61" s="2">
        <f t="shared" si="15"/>
        <v>43069915.53915713</v>
      </c>
      <c r="AB61" s="2">
        <v>0</v>
      </c>
    </row>
    <row r="62" spans="1:28">
      <c r="A62" s="2">
        <v>59</v>
      </c>
      <c r="B62" s="2" t="s">
        <v>347</v>
      </c>
      <c r="C62" s="2" t="s">
        <v>2439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998</v>
      </c>
      <c r="J62" s="2" t="s">
        <v>673</v>
      </c>
      <c r="K62" s="2">
        <f t="shared" si="10"/>
        <v>43069915.53915713</v>
      </c>
      <c r="L62" s="2" t="s">
        <v>2469</v>
      </c>
      <c r="M62" s="2" t="s">
        <v>1961</v>
      </c>
      <c r="N62" s="2" t="s">
        <v>1987</v>
      </c>
      <c r="O62" s="2">
        <v>125</v>
      </c>
      <c r="P62" s="2">
        <v>1049.423461914062</v>
      </c>
      <c r="Q62" s="2">
        <v>1088.442993164062</v>
      </c>
      <c r="R62" s="2">
        <f>O62*P62</f>
        <v>131177.93273925775</v>
      </c>
      <c r="S62" s="2">
        <f>O62*Q62</f>
        <v>136055.37414550775</v>
      </c>
      <c r="T62" s="2">
        <f>R62+S62</f>
        <v>267233.30688476551</v>
      </c>
      <c r="U62" s="2">
        <f>ROUND(T62*0.0005, 2)</f>
        <v>133.62</v>
      </c>
      <c r="V62" s="2">
        <f>S62-R62</f>
        <v>4877.44140625</v>
      </c>
      <c r="W62" s="2">
        <f>V62-U62</f>
        <v>4743.8214062500001</v>
      </c>
      <c r="X62" s="2">
        <f>K62+W62</f>
        <v>43074659.360563383</v>
      </c>
      <c r="Y62" s="2">
        <f>ROUND(0.2*R62, 2)</f>
        <v>26235.59</v>
      </c>
      <c r="Z62" s="2">
        <f>ROUND((W62/Y62)*100, 2)</f>
        <v>18.079999999999998</v>
      </c>
      <c r="AA62" s="2">
        <f>MAX(AA61, X62)</f>
        <v>43074659.360563383</v>
      </c>
      <c r="AB62" s="2">
        <f>X62-AA62</f>
        <v>0</v>
      </c>
    </row>
    <row r="63" spans="1:28">
      <c r="A63" s="2">
        <v>60</v>
      </c>
      <c r="B63" s="2" t="s">
        <v>351</v>
      </c>
      <c r="C63" s="2" t="s">
        <v>2439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2478</v>
      </c>
      <c r="J63" s="2" t="s">
        <v>2479</v>
      </c>
      <c r="K63" s="2">
        <f t="shared" si="10"/>
        <v>43074659.360563383</v>
      </c>
      <c r="L63" s="2" t="s">
        <v>2050</v>
      </c>
      <c r="M63" s="2" t="s">
        <v>2480</v>
      </c>
      <c r="N63" s="2" t="s">
        <v>2481</v>
      </c>
      <c r="O63" s="2">
        <v>175</v>
      </c>
      <c r="P63" s="2">
        <v>3204.72705078125</v>
      </c>
      <c r="Q63" s="2">
        <v>3757.407470703125</v>
      </c>
      <c r="R63" s="2">
        <f>O63*P63</f>
        <v>560827.23388671875</v>
      </c>
      <c r="S63" s="2">
        <f>O63*Q63</f>
        <v>657546.30737304688</v>
      </c>
      <c r="T63" s="2">
        <f>R63+S63</f>
        <v>1218373.5412597656</v>
      </c>
      <c r="U63" s="2">
        <f>ROUND(T63*0.0005, 2)</f>
        <v>609.19000000000005</v>
      </c>
      <c r="V63" s="2">
        <f>S63-R63</f>
        <v>96719.073486328125</v>
      </c>
      <c r="W63" s="2">
        <f>V63-U63</f>
        <v>96109.883486328123</v>
      </c>
      <c r="X63" s="2">
        <f>K63+W63</f>
        <v>43170769.244049713</v>
      </c>
      <c r="Y63" s="2">
        <f>ROUND(0.2*R63, 2)</f>
        <v>112165.45</v>
      </c>
      <c r="Z63" s="2">
        <f>ROUND((W63/Y63)*100, 2)</f>
        <v>85.69</v>
      </c>
      <c r="AA63" s="2">
        <f>MAX(AA62, X63)</f>
        <v>43170769.244049713</v>
      </c>
      <c r="AB63" s="2">
        <f>X63-AA63</f>
        <v>0</v>
      </c>
    </row>
    <row r="64" spans="1:28">
      <c r="A64" s="2">
        <v>61</v>
      </c>
      <c r="B64" s="2" t="s">
        <v>355</v>
      </c>
      <c r="C64" s="2" t="s">
        <v>2439</v>
      </c>
      <c r="D64" s="3" t="s">
        <v>37</v>
      </c>
      <c r="E64" s="3" t="s">
        <v>38</v>
      </c>
      <c r="F64" s="2" t="s">
        <v>356</v>
      </c>
      <c r="G64" s="2" t="s">
        <v>177</v>
      </c>
      <c r="H64" s="2" t="s">
        <v>357</v>
      </c>
      <c r="I64" s="2" t="s">
        <v>1898</v>
      </c>
      <c r="J64" s="2" t="s">
        <v>2482</v>
      </c>
      <c r="K64" s="2">
        <f t="shared" si="10"/>
        <v>43170769.244049713</v>
      </c>
      <c r="L64" s="2" t="s">
        <v>2483</v>
      </c>
      <c r="M64" s="2" t="s">
        <v>2484</v>
      </c>
      <c r="N64" s="2" t="s">
        <v>2485</v>
      </c>
      <c r="O64" s="2">
        <v>3399</v>
      </c>
      <c r="P64" s="2">
        <v>131.3500061035156</v>
      </c>
      <c r="Q64" s="2">
        <v>134.94999694824219</v>
      </c>
      <c r="R64" s="2">
        <f>O64*P64</f>
        <v>446458.67074584949</v>
      </c>
      <c r="S64" s="2">
        <f>O64*Q64</f>
        <v>458695.0396270752</v>
      </c>
      <c r="T64" s="2">
        <f>R64+S64</f>
        <v>905153.71037292469</v>
      </c>
      <c r="U64" s="2">
        <f>ROUND(T64*0.0005, 2)</f>
        <v>452.58</v>
      </c>
      <c r="V64" s="2">
        <f>S64-R64</f>
        <v>12236.368881225702</v>
      </c>
      <c r="W64" s="2">
        <f>V64-U64</f>
        <v>11783.788881225702</v>
      </c>
      <c r="X64" s="2">
        <f>K64+W64</f>
        <v>43182553.03293094</v>
      </c>
      <c r="Y64" s="2">
        <f>ROUND(0.2*R64, 2)</f>
        <v>89291.73</v>
      </c>
      <c r="Z64" s="2">
        <f>ROUND((W64/Y64)*100, 2)</f>
        <v>13.2</v>
      </c>
      <c r="AA64" s="2">
        <f>MAX(AA63, X64)</f>
        <v>43182553.03293094</v>
      </c>
      <c r="AB64" s="2">
        <f>X64-AA64</f>
        <v>0</v>
      </c>
    </row>
    <row r="65" spans="1:28">
      <c r="A65" s="2">
        <v>62</v>
      </c>
      <c r="B65" s="2" t="s">
        <v>360</v>
      </c>
      <c r="C65" s="2" t="s">
        <v>2439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43182553.03293094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43182553.03293094</v>
      </c>
      <c r="Y65" s="6" t="s">
        <v>1195</v>
      </c>
      <c r="Z65" s="6" t="s">
        <v>1195</v>
      </c>
      <c r="AA65" s="2">
        <f>AA64</f>
        <v>43182553.03293094</v>
      </c>
      <c r="AB65" s="2">
        <v>0</v>
      </c>
    </row>
    <row r="66" spans="1:28">
      <c r="A66" s="2">
        <v>63</v>
      </c>
      <c r="B66" s="2" t="s">
        <v>364</v>
      </c>
      <c r="C66" s="2" t="s">
        <v>2439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2421</v>
      </c>
      <c r="J66" s="2" t="s">
        <v>2332</v>
      </c>
      <c r="K66" s="2">
        <f t="shared" si="10"/>
        <v>43182553.03293094</v>
      </c>
      <c r="L66" s="2" t="s">
        <v>1005</v>
      </c>
      <c r="M66" s="2" t="s">
        <v>1269</v>
      </c>
      <c r="N66" s="2" t="s">
        <v>1272</v>
      </c>
      <c r="O66" s="2">
        <v>100</v>
      </c>
      <c r="P66" s="2">
        <v>8723.7255859375</v>
      </c>
      <c r="Q66" s="2">
        <v>8224.5234375</v>
      </c>
      <c r="R66" s="2">
        <f>O66*P66</f>
        <v>872372.55859375</v>
      </c>
      <c r="S66" s="2">
        <f>O66*Q66</f>
        <v>822452.34375</v>
      </c>
      <c r="T66" s="2">
        <f>R66+S66</f>
        <v>1694824.90234375</v>
      </c>
      <c r="U66" s="2">
        <f>ROUND(T66*0.0005, 2)</f>
        <v>847.41</v>
      </c>
      <c r="V66" s="2">
        <f>S66-R66</f>
        <v>-49920.21484375</v>
      </c>
      <c r="W66" s="2">
        <f>V66-U66</f>
        <v>-50767.624843750003</v>
      </c>
      <c r="X66" s="2">
        <f>K66+W66</f>
        <v>43131785.408087194</v>
      </c>
      <c r="Y66" s="2">
        <f>ROUND(0.2*R66, 2)</f>
        <v>174474.51</v>
      </c>
      <c r="Z66" s="2">
        <f>ROUND((W66/Y66)*100, 2)</f>
        <v>-29.1</v>
      </c>
      <c r="AA66" s="2">
        <f>MAX(AA65, X66)</f>
        <v>43182553.03293094</v>
      </c>
      <c r="AB66" s="2">
        <f>X66-AA66</f>
        <v>-50767.624843746424</v>
      </c>
    </row>
    <row r="67" spans="1:28">
      <c r="A67" s="2">
        <v>64</v>
      </c>
      <c r="B67" s="2" t="s">
        <v>369</v>
      </c>
      <c r="C67" s="2" t="s">
        <v>2439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43131785.408087194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43131785.408087194</v>
      </c>
      <c r="Y67" s="6" t="s">
        <v>1195</v>
      </c>
      <c r="Z67" s="6" t="s">
        <v>1195</v>
      </c>
      <c r="AA67" s="2">
        <f t="shared" ref="AA67:AA73" si="17">AA66</f>
        <v>43182553.03293094</v>
      </c>
      <c r="AB67" s="2">
        <v>0</v>
      </c>
    </row>
    <row r="68" spans="1:28">
      <c r="A68" s="2">
        <v>65</v>
      </c>
      <c r="B68" s="2" t="s">
        <v>372</v>
      </c>
      <c r="C68" s="2" t="s">
        <v>2439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43131785.408087194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43131785.408087194</v>
      </c>
      <c r="Y68" s="6" t="s">
        <v>1195</v>
      </c>
      <c r="Z68" s="6" t="s">
        <v>1195</v>
      </c>
      <c r="AA68" s="2">
        <f t="shared" si="17"/>
        <v>43182553.03293094</v>
      </c>
      <c r="AB68" s="2">
        <v>0</v>
      </c>
    </row>
    <row r="69" spans="1:28">
      <c r="A69" s="2">
        <v>66</v>
      </c>
      <c r="B69" s="2" t="s">
        <v>376</v>
      </c>
      <c r="C69" s="2" t="s">
        <v>2439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43131785.408087194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43131785.408087194</v>
      </c>
      <c r="Y69" s="6" t="s">
        <v>1195</v>
      </c>
      <c r="Z69" s="6" t="s">
        <v>1195</v>
      </c>
      <c r="AA69" s="2">
        <f t="shared" si="17"/>
        <v>43182553.03293094</v>
      </c>
      <c r="AB69" s="2">
        <v>0</v>
      </c>
    </row>
    <row r="70" spans="1:28">
      <c r="A70" s="2">
        <v>67</v>
      </c>
      <c r="B70" s="2" t="s">
        <v>381</v>
      </c>
      <c r="C70" s="2" t="s">
        <v>2439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43131785.408087194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43131785.408087194</v>
      </c>
      <c r="Y70" s="6" t="s">
        <v>1195</v>
      </c>
      <c r="Z70" s="6" t="s">
        <v>1195</v>
      </c>
      <c r="AA70" s="2">
        <f t="shared" si="17"/>
        <v>43182553.03293094</v>
      </c>
      <c r="AB70" s="2">
        <v>0</v>
      </c>
    </row>
    <row r="71" spans="1:28">
      <c r="A71" s="2">
        <v>68</v>
      </c>
      <c r="B71" s="2" t="s">
        <v>385</v>
      </c>
      <c r="C71" s="2" t="s">
        <v>2439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43131785.408087194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43131785.408087194</v>
      </c>
      <c r="Y71" s="6" t="s">
        <v>1195</v>
      </c>
      <c r="Z71" s="6" t="s">
        <v>1195</v>
      </c>
      <c r="AA71" s="2">
        <f t="shared" si="17"/>
        <v>43182553.03293094</v>
      </c>
      <c r="AB71" s="2">
        <v>0</v>
      </c>
    </row>
    <row r="72" spans="1:28">
      <c r="A72" s="2">
        <v>69</v>
      </c>
      <c r="B72" s="2" t="s">
        <v>390</v>
      </c>
      <c r="C72" s="2" t="s">
        <v>2439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43131785.408087194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43131785.408087194</v>
      </c>
      <c r="Y72" s="6" t="s">
        <v>1195</v>
      </c>
      <c r="Z72" s="6" t="s">
        <v>1195</v>
      </c>
      <c r="AA72" s="2">
        <f t="shared" si="17"/>
        <v>43182553.03293094</v>
      </c>
      <c r="AB72" s="2">
        <v>0</v>
      </c>
    </row>
    <row r="73" spans="1:28">
      <c r="A73" s="2">
        <v>70</v>
      </c>
      <c r="B73" s="2" t="s">
        <v>393</v>
      </c>
      <c r="C73" s="2" t="s">
        <v>2439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43131785.408087194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43131785.408087194</v>
      </c>
      <c r="Y73" s="6" t="s">
        <v>1195</v>
      </c>
      <c r="Z73" s="6" t="s">
        <v>1195</v>
      </c>
      <c r="AA73" s="2">
        <f t="shared" si="17"/>
        <v>43182553.03293094</v>
      </c>
      <c r="AB73" s="2">
        <v>0</v>
      </c>
    </row>
    <row r="74" spans="1:28">
      <c r="A74" s="2">
        <v>71</v>
      </c>
      <c r="B74" s="2" t="s">
        <v>397</v>
      </c>
      <c r="C74" s="2" t="s">
        <v>2439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630</v>
      </c>
      <c r="J74" s="2" t="s">
        <v>929</v>
      </c>
      <c r="K74" s="2">
        <f t="shared" si="18"/>
        <v>43131785.408087194</v>
      </c>
      <c r="L74" s="2" t="s">
        <v>2068</v>
      </c>
      <c r="M74" s="2" t="s">
        <v>2486</v>
      </c>
      <c r="N74" s="2" t="s">
        <v>2477</v>
      </c>
      <c r="O74" s="2">
        <v>250</v>
      </c>
      <c r="P74" s="2">
        <v>1949.875244140625</v>
      </c>
      <c r="Q74" s="2">
        <v>1899.702270507812</v>
      </c>
      <c r="R74" s="2">
        <f>O74*P74</f>
        <v>487468.81103515625</v>
      </c>
      <c r="S74" s="2">
        <f>O74*Q74</f>
        <v>474925.56762695301</v>
      </c>
      <c r="T74" s="2">
        <f>R74+S74</f>
        <v>962394.37866210926</v>
      </c>
      <c r="U74" s="2">
        <f>ROUND(T74*0.0005, 2)</f>
        <v>481.2</v>
      </c>
      <c r="V74" s="2">
        <f>S74-R74</f>
        <v>-12543.243408203241</v>
      </c>
      <c r="W74" s="2">
        <f>V74-U74</f>
        <v>-13024.443408203242</v>
      </c>
      <c r="X74" s="2">
        <f>K74+W74</f>
        <v>43118760.964678988</v>
      </c>
      <c r="Y74" s="2">
        <f>ROUND(0.2*R74, 2)</f>
        <v>97493.759999999995</v>
      </c>
      <c r="Z74" s="2">
        <f>ROUND((W74/Y74)*100, 2)</f>
        <v>-13.36</v>
      </c>
      <c r="AA74" s="2">
        <f>MAX(AA73, X74)</f>
        <v>43182553.03293094</v>
      </c>
      <c r="AB74" s="2">
        <f>X74-AA74</f>
        <v>-63792.068251952529</v>
      </c>
    </row>
    <row r="75" spans="1:28">
      <c r="A75" s="2">
        <v>72</v>
      </c>
      <c r="B75" s="2" t="s">
        <v>403</v>
      </c>
      <c r="C75" s="2" t="s">
        <v>2439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43118760.964678988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43118760.964678988</v>
      </c>
      <c r="Y75" s="6" t="s">
        <v>1195</v>
      </c>
      <c r="Z75" s="6" t="s">
        <v>1195</v>
      </c>
      <c r="AA75" s="2">
        <f>AA74</f>
        <v>43182553.03293094</v>
      </c>
      <c r="AB75" s="2">
        <v>0</v>
      </c>
    </row>
    <row r="76" spans="1:28">
      <c r="A76" s="2">
        <v>73</v>
      </c>
      <c r="B76" s="2" t="s">
        <v>406</v>
      </c>
      <c r="C76" s="2" t="s">
        <v>2439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43118760.964678988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43118760.964678988</v>
      </c>
      <c r="Y76" s="6" t="s">
        <v>1195</v>
      </c>
      <c r="Z76" s="6" t="s">
        <v>1195</v>
      </c>
      <c r="AA76" s="2">
        <f>AA75</f>
        <v>43182553.03293094</v>
      </c>
      <c r="AB76" s="2">
        <v>0</v>
      </c>
    </row>
    <row r="77" spans="1:28">
      <c r="A77" s="2">
        <v>74</v>
      </c>
      <c r="B77" s="2" t="s">
        <v>410</v>
      </c>
      <c r="C77" s="2" t="s">
        <v>2439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43118760.964678988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43118760.964678988</v>
      </c>
      <c r="Y77" s="6" t="s">
        <v>1195</v>
      </c>
      <c r="Z77" s="6" t="s">
        <v>1195</v>
      </c>
      <c r="AA77" s="2">
        <f>AA76</f>
        <v>43182553.03293094</v>
      </c>
      <c r="AB77" s="2">
        <v>0</v>
      </c>
    </row>
    <row r="78" spans="1:28">
      <c r="A78" s="2">
        <v>75</v>
      </c>
      <c r="B78" s="2" t="s">
        <v>414</v>
      </c>
      <c r="C78" s="2" t="s">
        <v>2439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529</v>
      </c>
      <c r="J78" s="2" t="s">
        <v>129</v>
      </c>
      <c r="K78" s="2">
        <f t="shared" si="18"/>
        <v>43118760.964678988</v>
      </c>
      <c r="L78" s="2" t="s">
        <v>2487</v>
      </c>
      <c r="M78" s="2" t="s">
        <v>2058</v>
      </c>
      <c r="N78" s="2" t="s">
        <v>2463</v>
      </c>
      <c r="O78" s="2">
        <v>350</v>
      </c>
      <c r="P78" s="2">
        <v>1121.4462890625</v>
      </c>
      <c r="Q78" s="2">
        <v>1137.375732421875</v>
      </c>
      <c r="R78" s="2">
        <f>O78*P78</f>
        <v>392506.201171875</v>
      </c>
      <c r="S78" s="2">
        <f>O78*Q78</f>
        <v>398081.50634765625</v>
      </c>
      <c r="T78" s="2">
        <f>R78+S78</f>
        <v>790587.70751953125</v>
      </c>
      <c r="U78" s="2">
        <f>ROUND(T78*0.0005, 2)</f>
        <v>395.29</v>
      </c>
      <c r="V78" s="2">
        <f>S78-R78</f>
        <v>5575.30517578125</v>
      </c>
      <c r="W78" s="2">
        <f>V78-U78</f>
        <v>5180.01517578125</v>
      </c>
      <c r="X78" s="2">
        <f>K78+W78</f>
        <v>43123940.97985477</v>
      </c>
      <c r="Y78" s="2">
        <f>ROUND(0.2*R78, 2)</f>
        <v>78501.240000000005</v>
      </c>
      <c r="Z78" s="2">
        <f>ROUND((W78/Y78)*100, 2)</f>
        <v>6.6</v>
      </c>
      <c r="AA78" s="2">
        <f>MAX(AA77, X78)</f>
        <v>43182553.03293094</v>
      </c>
      <c r="AB78" s="2">
        <f>X78-AA78</f>
        <v>-58612.053076170385</v>
      </c>
    </row>
    <row r="79" spans="1:28">
      <c r="A79" s="2">
        <v>76</v>
      </c>
      <c r="B79" s="2" t="s">
        <v>419</v>
      </c>
      <c r="C79" s="2" t="s">
        <v>2439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43123940.97985477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43123940.97985477</v>
      </c>
      <c r="Y79" s="6" t="s">
        <v>1195</v>
      </c>
      <c r="Z79" s="6" t="s">
        <v>1195</v>
      </c>
      <c r="AA79" s="2">
        <f>AA78</f>
        <v>43182553.03293094</v>
      </c>
      <c r="AB79" s="2">
        <v>0</v>
      </c>
    </row>
    <row r="80" spans="1:28">
      <c r="A80" s="2">
        <v>77</v>
      </c>
      <c r="B80" s="2" t="s">
        <v>423</v>
      </c>
      <c r="C80" s="2" t="s">
        <v>2439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66</v>
      </c>
      <c r="J80" s="2" t="s">
        <v>263</v>
      </c>
      <c r="K80" s="2">
        <f t="shared" si="18"/>
        <v>43123940.97985477</v>
      </c>
      <c r="L80" s="2" t="s">
        <v>2487</v>
      </c>
      <c r="M80" s="2" t="s">
        <v>2063</v>
      </c>
      <c r="N80" s="2" t="s">
        <v>2469</v>
      </c>
      <c r="O80" s="2">
        <v>550</v>
      </c>
      <c r="P80" s="2">
        <v>725.9307861328125</v>
      </c>
      <c r="Q80" s="2">
        <v>716.47515869140625</v>
      </c>
      <c r="R80" s="2">
        <f>O80*P80</f>
        <v>399261.93237304688</v>
      </c>
      <c r="S80" s="2">
        <f>O80*Q80</f>
        <v>394061.33728027344</v>
      </c>
      <c r="T80" s="2">
        <f>R80+S80</f>
        <v>793323.26965332031</v>
      </c>
      <c r="U80" s="2">
        <f>ROUND(T80*0.0005, 2)</f>
        <v>396.66</v>
      </c>
      <c r="V80" s="2">
        <f>S80-R80</f>
        <v>-5200.5950927734375</v>
      </c>
      <c r="W80" s="2">
        <f>V80-U80</f>
        <v>-5597.2550927734374</v>
      </c>
      <c r="X80" s="2">
        <f>K80+W80</f>
        <v>43118343.724762</v>
      </c>
      <c r="Y80" s="2">
        <f>ROUND(0.2*R80, 2)</f>
        <v>79852.39</v>
      </c>
      <c r="Z80" s="2">
        <f>ROUND((W80/Y80)*100, 2)</f>
        <v>-7.01</v>
      </c>
      <c r="AA80" s="2">
        <f>MAX(AA79, X80)</f>
        <v>43182553.03293094</v>
      </c>
      <c r="AB80" s="2">
        <f>X80-AA80</f>
        <v>-64209.308168940246</v>
      </c>
    </row>
    <row r="81" spans="1:28">
      <c r="A81" s="2">
        <v>78</v>
      </c>
      <c r="B81" s="2" t="s">
        <v>428</v>
      </c>
      <c r="C81" s="2" t="s">
        <v>2439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1878</v>
      </c>
      <c r="J81" s="2" t="s">
        <v>1710</v>
      </c>
      <c r="K81" s="2">
        <f t="shared" si="18"/>
        <v>43118343.724762</v>
      </c>
      <c r="L81" s="2" t="s">
        <v>2488</v>
      </c>
      <c r="M81" s="2" t="s">
        <v>2489</v>
      </c>
      <c r="N81" s="2" t="s">
        <v>2490</v>
      </c>
      <c r="O81" s="2">
        <v>1100</v>
      </c>
      <c r="P81" s="2">
        <v>652.704833984375</v>
      </c>
      <c r="Q81" s="2">
        <v>682.7760009765625</v>
      </c>
      <c r="R81" s="2">
        <f>O81*P81</f>
        <v>717975.3173828125</v>
      </c>
      <c r="S81" s="2">
        <f>O81*Q81</f>
        <v>751053.60107421875</v>
      </c>
      <c r="T81" s="2">
        <f>R81+S81</f>
        <v>1469028.9184570312</v>
      </c>
      <c r="U81" s="2">
        <f>ROUND(T81*0.0005, 2)</f>
        <v>734.51</v>
      </c>
      <c r="V81" s="2">
        <f>S81-R81</f>
        <v>33078.28369140625</v>
      </c>
      <c r="W81" s="2">
        <f>V81-U81</f>
        <v>32343.773691406252</v>
      </c>
      <c r="X81" s="2">
        <f>K81+W81</f>
        <v>43150687.498453408</v>
      </c>
      <c r="Y81" s="2">
        <f>ROUND(0.2*R81, 2)</f>
        <v>143595.06</v>
      </c>
      <c r="Z81" s="2">
        <f>ROUND((W81/Y81)*100, 2)</f>
        <v>22.52</v>
      </c>
      <c r="AA81" s="2">
        <f>MAX(AA80, X81)</f>
        <v>43182553.03293094</v>
      </c>
      <c r="AB81" s="2">
        <f>X81-AA81</f>
        <v>-31865.53447753191</v>
      </c>
    </row>
    <row r="82" spans="1:28">
      <c r="A82" s="2">
        <v>79</v>
      </c>
      <c r="B82" s="2" t="s">
        <v>433</v>
      </c>
      <c r="C82" s="2" t="s">
        <v>2439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2491</v>
      </c>
      <c r="J82" s="2" t="s">
        <v>1384</v>
      </c>
      <c r="K82" s="2">
        <f t="shared" si="18"/>
        <v>43150687.498453408</v>
      </c>
      <c r="L82" s="2" t="s">
        <v>2067</v>
      </c>
      <c r="M82" s="2" t="s">
        <v>1963</v>
      </c>
      <c r="N82" s="2" t="s">
        <v>1826</v>
      </c>
      <c r="O82" s="2">
        <v>150</v>
      </c>
      <c r="P82" s="2">
        <v>2827.951416015625</v>
      </c>
      <c r="Q82" s="2">
        <v>2906.287841796875</v>
      </c>
      <c r="R82" s="2">
        <f>O82*P82</f>
        <v>424192.71240234375</v>
      </c>
      <c r="S82" s="2">
        <f>O82*Q82</f>
        <v>435943.17626953125</v>
      </c>
      <c r="T82" s="2">
        <f>R82+S82</f>
        <v>860135.888671875</v>
      </c>
      <c r="U82" s="2">
        <f>ROUND(T82*0.0005, 2)</f>
        <v>430.07</v>
      </c>
      <c r="V82" s="2">
        <f>S82-R82</f>
        <v>11750.4638671875</v>
      </c>
      <c r="W82" s="2">
        <f>V82-U82</f>
        <v>11320.3938671875</v>
      </c>
      <c r="X82" s="2">
        <f>K82+W82</f>
        <v>43162007.892320596</v>
      </c>
      <c r="Y82" s="2">
        <f>ROUND(0.2*R82, 2)</f>
        <v>84838.54</v>
      </c>
      <c r="Z82" s="2">
        <f>ROUND((W82/Y82)*100, 2)</f>
        <v>13.34</v>
      </c>
      <c r="AA82" s="2">
        <f>MAX(AA81, X82)</f>
        <v>43182553.03293094</v>
      </c>
      <c r="AB82" s="2">
        <f>X82-AA82</f>
        <v>-20545.140610344708</v>
      </c>
    </row>
    <row r="83" spans="1:28">
      <c r="A83" s="2">
        <v>80</v>
      </c>
      <c r="B83" s="2" t="s">
        <v>438</v>
      </c>
      <c r="C83" s="2" t="s">
        <v>2439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584</v>
      </c>
      <c r="J83" s="2" t="s">
        <v>2492</v>
      </c>
      <c r="K83" s="2">
        <f t="shared" si="18"/>
        <v>43162007.892320596</v>
      </c>
      <c r="L83" s="2" t="s">
        <v>2068</v>
      </c>
      <c r="M83" s="2" t="s">
        <v>2477</v>
      </c>
      <c r="N83" s="2" t="s">
        <v>2462</v>
      </c>
      <c r="O83" s="2">
        <v>1400</v>
      </c>
      <c r="P83" s="2">
        <v>478.69528198242187</v>
      </c>
      <c r="Q83" s="2">
        <v>475.79852294921881</v>
      </c>
      <c r="R83" s="2">
        <f>O83*P83</f>
        <v>670173.39477539062</v>
      </c>
      <c r="S83" s="2">
        <f>O83*Q83</f>
        <v>666117.93212890637</v>
      </c>
      <c r="T83" s="2">
        <f>R83+S83</f>
        <v>1336291.3269042969</v>
      </c>
      <c r="U83" s="2">
        <f>ROUND(T83*0.0005, 2)</f>
        <v>668.15</v>
      </c>
      <c r="V83" s="2">
        <f>S83-R83</f>
        <v>-4055.4626464842586</v>
      </c>
      <c r="W83" s="2">
        <f>V83-U83</f>
        <v>-4723.6126464842582</v>
      </c>
      <c r="X83" s="2">
        <f>K83+W83</f>
        <v>43157284.279674113</v>
      </c>
      <c r="Y83" s="2">
        <f>ROUND(0.2*R83, 2)</f>
        <v>134034.68</v>
      </c>
      <c r="Z83" s="2">
        <f>ROUND((W83/Y83)*100, 2)</f>
        <v>-3.52</v>
      </c>
      <c r="AA83" s="2">
        <f>MAX(AA82, X83)</f>
        <v>43182553.03293094</v>
      </c>
      <c r="AB83" s="2">
        <f>X83-AA83</f>
        <v>-25268.753256827593</v>
      </c>
    </row>
    <row r="84" spans="1:28">
      <c r="A84" s="2">
        <v>81</v>
      </c>
      <c r="B84" s="2" t="s">
        <v>443</v>
      </c>
      <c r="C84" s="2" t="s">
        <v>2439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43157284.279674113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43157284.279674113</v>
      </c>
      <c r="Y84" s="6" t="s">
        <v>1195</v>
      </c>
      <c r="Z84" s="6" t="s">
        <v>1195</v>
      </c>
      <c r="AA84" s="2">
        <f>AA83</f>
        <v>43182553.03293094</v>
      </c>
      <c r="AB84" s="2">
        <v>0</v>
      </c>
    </row>
    <row r="85" spans="1:28">
      <c r="A85" s="2">
        <v>82</v>
      </c>
      <c r="B85" s="2" t="s">
        <v>447</v>
      </c>
      <c r="C85" s="2" t="s">
        <v>2439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657</v>
      </c>
      <c r="J85" s="2" t="s">
        <v>2115</v>
      </c>
      <c r="K85" s="2">
        <f t="shared" si="18"/>
        <v>43157284.279674113</v>
      </c>
      <c r="L85" s="2" t="s">
        <v>2057</v>
      </c>
      <c r="M85" s="2" t="s">
        <v>1987</v>
      </c>
      <c r="N85" s="2" t="s">
        <v>2058</v>
      </c>
      <c r="O85" s="2">
        <v>300</v>
      </c>
      <c r="P85" s="2">
        <v>2344.5693359375</v>
      </c>
      <c r="Q85" s="2">
        <v>2414.801025390625</v>
      </c>
      <c r="R85" s="2">
        <f>O85*P85</f>
        <v>703370.80078125</v>
      </c>
      <c r="S85" s="2">
        <f>O85*Q85</f>
        <v>724440.3076171875</v>
      </c>
      <c r="T85" s="2">
        <f>R85+S85</f>
        <v>1427811.1083984375</v>
      </c>
      <c r="U85" s="2">
        <f>ROUND(T85*0.0005, 2)</f>
        <v>713.91</v>
      </c>
      <c r="V85" s="2">
        <f>S85-R85</f>
        <v>21069.5068359375</v>
      </c>
      <c r="W85" s="2">
        <f>V85-U85</f>
        <v>20355.5968359375</v>
      </c>
      <c r="X85" s="2">
        <f>K85+W85</f>
        <v>43177639.876510054</v>
      </c>
      <c r="Y85" s="2">
        <f>ROUND(0.2*R85, 2)</f>
        <v>140674.16</v>
      </c>
      <c r="Z85" s="2">
        <f>ROUND((W85/Y85)*100, 2)</f>
        <v>14.47</v>
      </c>
      <c r="AA85" s="2">
        <f>MAX(AA84, X85)</f>
        <v>43182553.03293094</v>
      </c>
      <c r="AB85" s="2">
        <f>X85-AA85</f>
        <v>-4913.1564208865166</v>
      </c>
    </row>
    <row r="86" spans="1:28">
      <c r="A86" s="2">
        <v>83</v>
      </c>
      <c r="B86" s="2" t="s">
        <v>451</v>
      </c>
      <c r="C86" s="2" t="s">
        <v>2439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43177639.876510054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43177639.876510054</v>
      </c>
      <c r="Y86" s="6" t="s">
        <v>1195</v>
      </c>
      <c r="Z86" s="6" t="s">
        <v>1195</v>
      </c>
      <c r="AA86" s="2">
        <f>AA85</f>
        <v>43182553.03293094</v>
      </c>
      <c r="AB86" s="2">
        <v>0</v>
      </c>
    </row>
    <row r="87" spans="1:28">
      <c r="A87" s="2">
        <v>84</v>
      </c>
      <c r="B87" s="2" t="s">
        <v>455</v>
      </c>
      <c r="C87" s="2" t="s">
        <v>2439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43177639.876510054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43177639.876510054</v>
      </c>
      <c r="Y87" s="6" t="s">
        <v>1195</v>
      </c>
      <c r="Z87" s="6" t="s">
        <v>1195</v>
      </c>
      <c r="AA87" s="2">
        <f>AA86</f>
        <v>43182553.03293094</v>
      </c>
      <c r="AB87" s="2">
        <v>0</v>
      </c>
    </row>
    <row r="88" spans="1:28">
      <c r="A88" s="2">
        <v>85</v>
      </c>
      <c r="B88" s="2" t="s">
        <v>459</v>
      </c>
      <c r="C88" s="2" t="s">
        <v>2439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1504</v>
      </c>
      <c r="J88" s="2" t="s">
        <v>2493</v>
      </c>
      <c r="K88" s="2">
        <f t="shared" si="18"/>
        <v>43177639.876510054</v>
      </c>
      <c r="L88" s="2" t="s">
        <v>2057</v>
      </c>
      <c r="M88" s="2" t="s">
        <v>1961</v>
      </c>
      <c r="N88" s="2" t="s">
        <v>2494</v>
      </c>
      <c r="O88" s="2">
        <v>700</v>
      </c>
      <c r="P88" s="2">
        <v>937.72937011718761</v>
      </c>
      <c r="Q88" s="2">
        <v>909.98419189453125</v>
      </c>
      <c r="R88" s="2">
        <f>O88*P88</f>
        <v>656410.55908203137</v>
      </c>
      <c r="S88" s="2">
        <f>O88*Q88</f>
        <v>636988.93432617187</v>
      </c>
      <c r="T88" s="2">
        <f>R88+S88</f>
        <v>1293399.4934082031</v>
      </c>
      <c r="U88" s="2">
        <f>ROUND(T88*0.0005, 2)</f>
        <v>646.70000000000005</v>
      </c>
      <c r="V88" s="2">
        <f>S88-R88</f>
        <v>-19421.624755859491</v>
      </c>
      <c r="W88" s="2">
        <f>V88-U88</f>
        <v>-20068.324755859492</v>
      </c>
      <c r="X88" s="2">
        <f>K88+W88</f>
        <v>43157571.551754192</v>
      </c>
      <c r="Y88" s="2">
        <f>ROUND(0.2*R88, 2)</f>
        <v>131282.10999999999</v>
      </c>
      <c r="Z88" s="2">
        <f>ROUND((W88/Y88)*100, 2)</f>
        <v>-15.29</v>
      </c>
      <c r="AA88" s="2">
        <f>MAX(AA87, X88)</f>
        <v>43182553.03293094</v>
      </c>
      <c r="AB88" s="2">
        <f>X88-AA88</f>
        <v>-24981.481176748872</v>
      </c>
    </row>
    <row r="89" spans="1:28">
      <c r="A89" s="2">
        <v>86</v>
      </c>
      <c r="B89" s="2" t="s">
        <v>463</v>
      </c>
      <c r="C89" s="2" t="s">
        <v>2439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2425</v>
      </c>
      <c r="J89" s="2" t="s">
        <v>2426</v>
      </c>
      <c r="K89" s="2">
        <f t="shared" si="18"/>
        <v>43157571.551754192</v>
      </c>
      <c r="L89" s="2" t="s">
        <v>1438</v>
      </c>
      <c r="M89" s="2" t="s">
        <v>1004</v>
      </c>
      <c r="N89" s="2" t="s">
        <v>1318</v>
      </c>
      <c r="O89" s="2">
        <v>629</v>
      </c>
      <c r="P89" s="2">
        <v>1964.9</v>
      </c>
      <c r="Q89" s="2">
        <v>1844.75</v>
      </c>
      <c r="R89" s="2">
        <f>O89*P89</f>
        <v>1235922.1000000001</v>
      </c>
      <c r="S89" s="2">
        <f>O89*Q89</f>
        <v>1160347.75</v>
      </c>
      <c r="T89" s="2">
        <f>R89+S89</f>
        <v>2396269.85</v>
      </c>
      <c r="U89" s="2">
        <f>ROUND(T89*0.0005, 2)</f>
        <v>1198.1300000000001</v>
      </c>
      <c r="V89" s="2">
        <f>S89-R89</f>
        <v>-75574.350000000093</v>
      </c>
      <c r="W89" s="2">
        <f>V89-U89</f>
        <v>-76772.480000000098</v>
      </c>
      <c r="X89" s="2">
        <f>K89+W89</f>
        <v>43080799.071754195</v>
      </c>
      <c r="Y89" s="2">
        <f>ROUND(0.2*R89, 2)</f>
        <v>247184.42</v>
      </c>
      <c r="Z89" s="2">
        <f>ROUND((W89/Y89)*100, 2)</f>
        <v>-31.06</v>
      </c>
      <c r="AA89" s="2">
        <f>MAX(AA88, X89)</f>
        <v>43182553.03293094</v>
      </c>
      <c r="AB89" s="2">
        <f>X89-AA89</f>
        <v>-101753.96117674559</v>
      </c>
    </row>
    <row r="90" spans="1:28">
      <c r="A90" s="2">
        <v>87</v>
      </c>
      <c r="B90" s="2" t="s">
        <v>471</v>
      </c>
      <c r="C90" s="2" t="s">
        <v>2439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2495</v>
      </c>
      <c r="J90" s="2" t="s">
        <v>2327</v>
      </c>
      <c r="K90" s="2">
        <f t="shared" si="18"/>
        <v>43080799.071754195</v>
      </c>
      <c r="L90" s="2" t="s">
        <v>2139</v>
      </c>
      <c r="M90" s="2" t="s">
        <v>2140</v>
      </c>
      <c r="N90" s="2" t="s">
        <v>2141</v>
      </c>
      <c r="O90" s="2">
        <v>1958</v>
      </c>
      <c r="P90" s="2">
        <v>604.10015869140625</v>
      </c>
      <c r="Q90" s="2">
        <v>560.65863037109375</v>
      </c>
      <c r="R90" s="2">
        <f>O90*P90</f>
        <v>1182828.1107177734</v>
      </c>
      <c r="S90" s="2">
        <f>O90*Q90</f>
        <v>1097769.5982666016</v>
      </c>
      <c r="T90" s="2">
        <f>R90+S90</f>
        <v>2280597.708984375</v>
      </c>
      <c r="U90" s="2">
        <f>ROUND(T90*0.0005, 2)</f>
        <v>1140.3</v>
      </c>
      <c r="V90" s="2">
        <f>S90-R90</f>
        <v>-85058.512451171875</v>
      </c>
      <c r="W90" s="2">
        <f>V90-U90</f>
        <v>-86198.812451171878</v>
      </c>
      <c r="X90" s="2">
        <f>K90+W90</f>
        <v>42994600.259303026</v>
      </c>
      <c r="Y90" s="2">
        <f>ROUND(0.2*R90, 2)</f>
        <v>236565.62</v>
      </c>
      <c r="Z90" s="2">
        <f>ROUND((W90/Y90)*100, 2)</f>
        <v>-36.44</v>
      </c>
      <c r="AA90" s="2">
        <f>MAX(AA89, X90)</f>
        <v>43182553.03293094</v>
      </c>
      <c r="AB90" s="2">
        <f>X90-AA90</f>
        <v>-187952.77362791449</v>
      </c>
    </row>
    <row r="91" spans="1:28">
      <c r="A91" s="2">
        <v>88</v>
      </c>
      <c r="B91" s="2" t="s">
        <v>476</v>
      </c>
      <c r="C91" s="2" t="s">
        <v>2439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42994600.259303026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42994600.259303026</v>
      </c>
      <c r="Y91" s="6" t="s">
        <v>1195</v>
      </c>
      <c r="Z91" s="6" t="s">
        <v>1195</v>
      </c>
      <c r="AA91" s="2">
        <f>AA90</f>
        <v>43182553.03293094</v>
      </c>
      <c r="AB91" s="2">
        <v>0</v>
      </c>
    </row>
    <row r="92" spans="1:28">
      <c r="A92" s="2">
        <v>89</v>
      </c>
      <c r="B92" s="2" t="s">
        <v>480</v>
      </c>
      <c r="C92" s="2" t="s">
        <v>2439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42994600.259303026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42994600.259303026</v>
      </c>
      <c r="Y92" s="6" t="s">
        <v>1195</v>
      </c>
      <c r="Z92" s="6" t="s">
        <v>1195</v>
      </c>
      <c r="AA92" s="2">
        <f>AA91</f>
        <v>43182553.03293094</v>
      </c>
      <c r="AB92" s="2">
        <v>0</v>
      </c>
    </row>
    <row r="93" spans="1:28">
      <c r="A93" s="2">
        <v>90</v>
      </c>
      <c r="B93" s="2" t="s">
        <v>483</v>
      </c>
      <c r="C93" s="2" t="s">
        <v>2439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42994600.259303026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42994600.259303026</v>
      </c>
      <c r="Y93" s="6" t="s">
        <v>1195</v>
      </c>
      <c r="Z93" s="6" t="s">
        <v>1195</v>
      </c>
      <c r="AA93" s="2">
        <f>AA92</f>
        <v>43182553.03293094</v>
      </c>
      <c r="AB93" s="2">
        <v>0</v>
      </c>
    </row>
    <row r="94" spans="1:28">
      <c r="A94" s="2">
        <v>91</v>
      </c>
      <c r="B94" s="2" t="s">
        <v>486</v>
      </c>
      <c r="C94" s="2" t="s">
        <v>2439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42994600.259303026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42994600.259303026</v>
      </c>
      <c r="Y94" s="6" t="s">
        <v>1195</v>
      </c>
      <c r="Z94" s="6" t="s">
        <v>1195</v>
      </c>
      <c r="AA94" s="2">
        <f>AA93</f>
        <v>43182553.03293094</v>
      </c>
      <c r="AB94" s="2">
        <v>0</v>
      </c>
    </row>
    <row r="95" spans="1:28">
      <c r="A95" s="2">
        <v>92</v>
      </c>
      <c r="B95" s="2" t="s">
        <v>490</v>
      </c>
      <c r="C95" s="2" t="s">
        <v>2439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42994600.259303026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42994600.259303026</v>
      </c>
      <c r="Y95" s="6" t="s">
        <v>1195</v>
      </c>
      <c r="Z95" s="6" t="s">
        <v>1195</v>
      </c>
      <c r="AA95" s="2">
        <f>AA94</f>
        <v>43182553.03293094</v>
      </c>
      <c r="AB95" s="2">
        <v>0</v>
      </c>
    </row>
    <row r="96" spans="1:28">
      <c r="A96" s="2">
        <v>93</v>
      </c>
      <c r="B96" s="2" t="s">
        <v>493</v>
      </c>
      <c r="C96" s="2" t="s">
        <v>2439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2496</v>
      </c>
      <c r="J96" s="2" t="s">
        <v>2497</v>
      </c>
      <c r="K96" s="2">
        <f t="shared" si="18"/>
        <v>42994600.259303026</v>
      </c>
      <c r="L96" s="2" t="s">
        <v>2488</v>
      </c>
      <c r="M96" s="2" t="s">
        <v>2498</v>
      </c>
      <c r="N96" s="2" t="s">
        <v>2499</v>
      </c>
      <c r="O96" s="2">
        <v>196</v>
      </c>
      <c r="P96" s="2">
        <v>1821.57177734375</v>
      </c>
      <c r="Q96" s="2">
        <v>1664.636840820312</v>
      </c>
      <c r="R96" s="2">
        <f>O96*P96</f>
        <v>357028.068359375</v>
      </c>
      <c r="S96" s="2">
        <f>O96*Q96</f>
        <v>326268.82080078113</v>
      </c>
      <c r="T96" s="2">
        <f>R96+S96</f>
        <v>683296.88916015613</v>
      </c>
      <c r="U96" s="2">
        <f>ROUND(T96*0.0005, 2)</f>
        <v>341.65</v>
      </c>
      <c r="V96" s="2">
        <f>S96-R96</f>
        <v>-30759.247558593866</v>
      </c>
      <c r="W96" s="2">
        <f>V96-U96</f>
        <v>-31100.897558593868</v>
      </c>
      <c r="X96" s="2">
        <f>K96+W96</f>
        <v>42963499.361744434</v>
      </c>
      <c r="Y96" s="2">
        <f>ROUND(0.2*R96, 2)</f>
        <v>71405.61</v>
      </c>
      <c r="Z96" s="2">
        <f>ROUND((W96/Y96)*100, 2)</f>
        <v>-43.56</v>
      </c>
      <c r="AA96" s="2">
        <f>MAX(AA95, X96)</f>
        <v>43182553.03293094</v>
      </c>
      <c r="AB96" s="2">
        <f>X96-AA96</f>
        <v>-219053.67118650675</v>
      </c>
    </row>
    <row r="97" spans="1:28">
      <c r="A97" s="2">
        <v>94</v>
      </c>
      <c r="B97" s="2" t="s">
        <v>498</v>
      </c>
      <c r="C97" s="2" t="s">
        <v>2439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686</v>
      </c>
      <c r="J97" s="2" t="s">
        <v>1655</v>
      </c>
      <c r="K97" s="2">
        <f t="shared" si="18"/>
        <v>42963499.361744434</v>
      </c>
      <c r="L97" s="2" t="s">
        <v>2469</v>
      </c>
      <c r="M97" s="2" t="s">
        <v>2075</v>
      </c>
      <c r="N97" s="2" t="s">
        <v>2465</v>
      </c>
      <c r="O97" s="2">
        <v>500</v>
      </c>
      <c r="P97" s="2">
        <v>1417.936279296875</v>
      </c>
      <c r="Q97" s="2">
        <v>1396.854858398438</v>
      </c>
      <c r="R97" s="2">
        <f>O97*P97</f>
        <v>708968.1396484375</v>
      </c>
      <c r="S97" s="2">
        <f>O97*Q97</f>
        <v>698427.42919921898</v>
      </c>
      <c r="T97" s="2">
        <f>R97+S97</f>
        <v>1407395.5688476565</v>
      </c>
      <c r="U97" s="2">
        <f>ROUND(T97*0.0005, 2)</f>
        <v>703.7</v>
      </c>
      <c r="V97" s="2">
        <f>S97-R97</f>
        <v>-10540.710449218517</v>
      </c>
      <c r="W97" s="2">
        <f>V97-U97</f>
        <v>-11244.410449218518</v>
      </c>
      <c r="X97" s="2">
        <f>K97+W97</f>
        <v>42952254.951295212</v>
      </c>
      <c r="Y97" s="2">
        <f>ROUND(0.2*R97, 2)</f>
        <v>141793.63</v>
      </c>
      <c r="Z97" s="2">
        <f>ROUND((W97/Y97)*100, 2)</f>
        <v>-7.93</v>
      </c>
      <c r="AA97" s="2">
        <f>MAX(AA96, X97)</f>
        <v>43182553.03293094</v>
      </c>
      <c r="AB97" s="2">
        <f>X97-AA97</f>
        <v>-230298.08163572848</v>
      </c>
    </row>
    <row r="98" spans="1:28">
      <c r="A98" s="2">
        <v>95</v>
      </c>
      <c r="B98" s="2" t="s">
        <v>502</v>
      </c>
      <c r="C98" s="2" t="s">
        <v>2439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42952254.951295212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42952254.951295212</v>
      </c>
      <c r="Y98" s="6" t="s">
        <v>1195</v>
      </c>
      <c r="Z98" s="6" t="s">
        <v>1195</v>
      </c>
      <c r="AA98" s="2">
        <f>AA97</f>
        <v>43182553.03293094</v>
      </c>
      <c r="AB98" s="2">
        <v>0</v>
      </c>
    </row>
    <row r="99" spans="1:28">
      <c r="A99" s="2">
        <v>96</v>
      </c>
      <c r="B99" s="2" t="s">
        <v>506</v>
      </c>
      <c r="C99" s="2" t="s">
        <v>2439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1926</v>
      </c>
      <c r="J99" s="2" t="s">
        <v>94</v>
      </c>
      <c r="K99" s="2">
        <f t="shared" si="18"/>
        <v>42952254.951295212</v>
      </c>
      <c r="L99" s="2" t="s">
        <v>2500</v>
      </c>
      <c r="M99" s="2" t="s">
        <v>1986</v>
      </c>
      <c r="N99" s="2" t="s">
        <v>2463</v>
      </c>
      <c r="O99" s="2">
        <v>400</v>
      </c>
      <c r="P99" s="2">
        <v>1304.7431640625</v>
      </c>
      <c r="Q99" s="2">
        <v>1345.273315429688</v>
      </c>
      <c r="R99" s="2">
        <f>O99*P99</f>
        <v>521897.265625</v>
      </c>
      <c r="S99" s="2">
        <f>O99*Q99</f>
        <v>538109.32617187523</v>
      </c>
      <c r="T99" s="2">
        <f>R99+S99</f>
        <v>1060006.5917968752</v>
      </c>
      <c r="U99" s="2">
        <f>ROUND(T99*0.0005, 2)</f>
        <v>530</v>
      </c>
      <c r="V99" s="2">
        <f>S99-R99</f>
        <v>16212.060546875233</v>
      </c>
      <c r="W99" s="2">
        <f>V99-U99</f>
        <v>15682.060546875233</v>
      </c>
      <c r="X99" s="2">
        <f>K99+W99</f>
        <v>42967937.011842087</v>
      </c>
      <c r="Y99" s="2">
        <f>ROUND(0.2*R99, 2)</f>
        <v>104379.45</v>
      </c>
      <c r="Z99" s="2">
        <f>ROUND((W99/Y99)*100, 2)</f>
        <v>15.02</v>
      </c>
      <c r="AA99" s="2">
        <f>MAX(AA98, X99)</f>
        <v>43182553.03293094</v>
      </c>
      <c r="AB99" s="2">
        <f>X99-AA99</f>
        <v>-214616.02108885348</v>
      </c>
    </row>
    <row r="100" spans="1:28">
      <c r="A100" s="2">
        <v>97</v>
      </c>
      <c r="B100" s="2" t="s">
        <v>511</v>
      </c>
      <c r="C100" s="2" t="s">
        <v>2439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42967937.011842087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42967937.011842087</v>
      </c>
      <c r="Y100" s="6" t="s">
        <v>1195</v>
      </c>
      <c r="Z100" s="6" t="s">
        <v>1195</v>
      </c>
      <c r="AA100" s="2">
        <f>AA99</f>
        <v>43182553.03293094</v>
      </c>
      <c r="AB100" s="2">
        <v>0</v>
      </c>
    </row>
    <row r="101" spans="1:28">
      <c r="A101" s="2">
        <v>98</v>
      </c>
      <c r="B101" s="2" t="s">
        <v>516</v>
      </c>
      <c r="C101" s="2" t="s">
        <v>2439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42967937.011842087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42967937.011842087</v>
      </c>
      <c r="Y101" s="6" t="s">
        <v>1195</v>
      </c>
      <c r="Z101" s="6" t="s">
        <v>1195</v>
      </c>
      <c r="AA101" s="2">
        <f>AA100</f>
        <v>43182553.03293094</v>
      </c>
      <c r="AB101" s="2">
        <v>0</v>
      </c>
    </row>
    <row r="102" spans="1:28">
      <c r="A102" s="2">
        <v>99</v>
      </c>
      <c r="B102" s="2" t="s">
        <v>519</v>
      </c>
      <c r="C102" s="2" t="s">
        <v>2439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42967937.011842087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42967937.011842087</v>
      </c>
      <c r="Y102" s="6" t="s">
        <v>1195</v>
      </c>
      <c r="Z102" s="6" t="s">
        <v>1195</v>
      </c>
      <c r="AA102" s="2">
        <f>AA101</f>
        <v>43182553.03293094</v>
      </c>
      <c r="AB102" s="2">
        <v>0</v>
      </c>
    </row>
    <row r="103" spans="1:28">
      <c r="A103" s="2">
        <v>100</v>
      </c>
      <c r="B103" s="2" t="s">
        <v>525</v>
      </c>
      <c r="C103" s="2" t="s">
        <v>2439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42967937.011842087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42967937.011842087</v>
      </c>
      <c r="Y103" s="6" t="s">
        <v>1195</v>
      </c>
      <c r="Z103" s="6" t="s">
        <v>1195</v>
      </c>
      <c r="AA103" s="2">
        <f>AA102</f>
        <v>43182553.03293094</v>
      </c>
      <c r="AB103" s="2">
        <v>0</v>
      </c>
    </row>
    <row r="104" spans="1:28">
      <c r="A104" s="2">
        <v>101</v>
      </c>
      <c r="B104" s="2" t="s">
        <v>527</v>
      </c>
      <c r="C104" s="2" t="s">
        <v>2439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1276</v>
      </c>
      <c r="J104" s="2" t="s">
        <v>2313</v>
      </c>
      <c r="K104" s="2">
        <f t="shared" si="18"/>
        <v>42967937.011842087</v>
      </c>
      <c r="L104" s="2" t="s">
        <v>2501</v>
      </c>
      <c r="M104" s="2" t="s">
        <v>2474</v>
      </c>
      <c r="N104" s="2" t="s">
        <v>2058</v>
      </c>
      <c r="O104" s="2">
        <v>1600</v>
      </c>
      <c r="P104" s="2">
        <v>374.15643310546881</v>
      </c>
      <c r="Q104" s="2">
        <v>381.45248413085937</v>
      </c>
      <c r="R104" s="2">
        <f>O104*P104</f>
        <v>598650.29296875012</v>
      </c>
      <c r="S104" s="2">
        <f>O104*Q104</f>
        <v>610323.974609375</v>
      </c>
      <c r="T104" s="2">
        <f>R104+S104</f>
        <v>1208974.267578125</v>
      </c>
      <c r="U104" s="2">
        <f>ROUND(T104*0.0005, 2)</f>
        <v>604.49</v>
      </c>
      <c r="V104" s="2">
        <f>S104-R104</f>
        <v>11673.681640624884</v>
      </c>
      <c r="W104" s="2">
        <f>V104-U104</f>
        <v>11069.191640624884</v>
      </c>
      <c r="X104" s="2">
        <f>K104+W104</f>
        <v>42979006.20348271</v>
      </c>
      <c r="Y104" s="2">
        <f>ROUND(0.2*R104, 2)</f>
        <v>119730.06</v>
      </c>
      <c r="Z104" s="2">
        <f>ROUND((W104/Y104)*100, 2)</f>
        <v>9.25</v>
      </c>
      <c r="AA104" s="2">
        <f>MAX(AA103, X104)</f>
        <v>43182553.03293094</v>
      </c>
      <c r="AB104" s="2">
        <f>X104-AA104</f>
        <v>-203546.82944823056</v>
      </c>
    </row>
    <row r="105" spans="1:28">
      <c r="A105" s="2">
        <v>102</v>
      </c>
      <c r="B105" s="2" t="s">
        <v>530</v>
      </c>
      <c r="C105" s="2" t="s">
        <v>2439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42979006.20348271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42979006.20348271</v>
      </c>
      <c r="Y105" s="6" t="s">
        <v>1195</v>
      </c>
      <c r="Z105" s="6" t="s">
        <v>1195</v>
      </c>
      <c r="AA105" s="2">
        <f>AA104</f>
        <v>43182553.03293094</v>
      </c>
      <c r="AB105" s="2">
        <v>0</v>
      </c>
    </row>
    <row r="106" spans="1:28">
      <c r="A106" s="2">
        <v>103</v>
      </c>
      <c r="B106" s="2" t="s">
        <v>534</v>
      </c>
      <c r="C106" s="2" t="s">
        <v>2439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325</v>
      </c>
      <c r="J106" s="2" t="s">
        <v>2502</v>
      </c>
      <c r="K106" s="2">
        <f t="shared" si="18"/>
        <v>42979006.20348271</v>
      </c>
      <c r="L106" s="2" t="s">
        <v>2469</v>
      </c>
      <c r="M106" s="2" t="s">
        <v>2063</v>
      </c>
      <c r="N106" s="2" t="s">
        <v>2469</v>
      </c>
      <c r="O106" s="2">
        <v>4127</v>
      </c>
      <c r="P106" s="2">
        <v>209.82279968261719</v>
      </c>
      <c r="Q106" s="2">
        <v>220.6059875488281</v>
      </c>
      <c r="R106" s="2">
        <f>O106*P106</f>
        <v>865938.69429016113</v>
      </c>
      <c r="S106" s="2">
        <f>O106*Q106</f>
        <v>910440.91061401356</v>
      </c>
      <c r="T106" s="2">
        <f>R106+S106</f>
        <v>1776379.6049041748</v>
      </c>
      <c r="U106" s="2">
        <f>ROUND(T106*0.0005, 2)</f>
        <v>888.19</v>
      </c>
      <c r="V106" s="2">
        <f>S106-R106</f>
        <v>44502.216323852423</v>
      </c>
      <c r="W106" s="2">
        <f>V106-U106</f>
        <v>43614.02632385242</v>
      </c>
      <c r="X106" s="2">
        <f>K106+W106</f>
        <v>43022620.229806565</v>
      </c>
      <c r="Y106" s="2">
        <f>ROUND(0.2*R106, 2)</f>
        <v>173187.74</v>
      </c>
      <c r="Z106" s="2">
        <f>ROUND((W106/Y106)*100, 2)</f>
        <v>25.18</v>
      </c>
      <c r="AA106" s="2">
        <f>MAX(AA105, X106)</f>
        <v>43182553.03293094</v>
      </c>
      <c r="AB106" s="2">
        <f>X106-AA106</f>
        <v>-159932.80312437564</v>
      </c>
    </row>
    <row r="107" spans="1:28">
      <c r="A107" s="2">
        <v>104</v>
      </c>
      <c r="B107" s="2" t="s">
        <v>539</v>
      </c>
      <c r="C107" s="2" t="s">
        <v>2439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43022620.229806565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43022620.229806565</v>
      </c>
      <c r="Y107" s="6" t="s">
        <v>1195</v>
      </c>
      <c r="Z107" s="6" t="s">
        <v>1195</v>
      </c>
      <c r="AA107" s="2">
        <f>AA106</f>
        <v>43182553.03293094</v>
      </c>
      <c r="AB107" s="2">
        <v>0</v>
      </c>
    </row>
    <row r="108" spans="1:28">
      <c r="A108" s="2">
        <v>105</v>
      </c>
      <c r="B108" s="2" t="s">
        <v>542</v>
      </c>
      <c r="C108" s="2" t="s">
        <v>2439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2503</v>
      </c>
      <c r="J108" s="2" t="s">
        <v>396</v>
      </c>
      <c r="K108" s="2">
        <f t="shared" si="18"/>
        <v>43022620.229806565</v>
      </c>
      <c r="L108" s="2" t="s">
        <v>2059</v>
      </c>
      <c r="M108" s="2" t="s">
        <v>1987</v>
      </c>
      <c r="N108" s="2" t="s">
        <v>2464</v>
      </c>
      <c r="O108" s="2">
        <v>675</v>
      </c>
      <c r="P108" s="2">
        <v>764.7449951171875</v>
      </c>
      <c r="Q108" s="2">
        <v>720.22296142578125</v>
      </c>
      <c r="R108" s="2">
        <f>O108*P108</f>
        <v>516202.87170410156</v>
      </c>
      <c r="S108" s="2">
        <f>O108*Q108</f>
        <v>486150.49896240234</v>
      </c>
      <c r="T108" s="2">
        <f>R108+S108</f>
        <v>1002353.3706665039</v>
      </c>
      <c r="U108" s="2">
        <f>ROUND(T108*0.0005, 2)</f>
        <v>501.18</v>
      </c>
      <c r="V108" s="2">
        <f>S108-R108</f>
        <v>-30052.372741699219</v>
      </c>
      <c r="W108" s="2">
        <f>V108-U108</f>
        <v>-30553.552741699219</v>
      </c>
      <c r="X108" s="2">
        <f>K108+W108</f>
        <v>42992066.677064866</v>
      </c>
      <c r="Y108" s="2">
        <f>ROUND(0.2*R108, 2)</f>
        <v>103240.57</v>
      </c>
      <c r="Z108" s="2">
        <f>ROUND((W108/Y108)*100, 2)</f>
        <v>-29.59</v>
      </c>
      <c r="AA108" s="2">
        <f>MAX(AA107, X108)</f>
        <v>43182553.03293094</v>
      </c>
      <c r="AB108" s="2">
        <f>X108-AA108</f>
        <v>-190486.35586607456</v>
      </c>
    </row>
    <row r="109" spans="1:28">
      <c r="A109" s="2">
        <v>106</v>
      </c>
      <c r="B109" s="2" t="s">
        <v>547</v>
      </c>
      <c r="C109" s="2" t="s">
        <v>2439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42992066.677064866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42992066.677064866</v>
      </c>
      <c r="Y109" s="6" t="s">
        <v>1195</v>
      </c>
      <c r="Z109" s="6" t="s">
        <v>1195</v>
      </c>
      <c r="AA109" s="2">
        <f>AA108</f>
        <v>43182553.03293094</v>
      </c>
      <c r="AB109" s="2">
        <v>0</v>
      </c>
    </row>
    <row r="110" spans="1:28">
      <c r="A110" s="2">
        <v>107</v>
      </c>
      <c r="B110" s="2" t="s">
        <v>551</v>
      </c>
      <c r="C110" s="2" t="s">
        <v>2439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42992066.677064866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42992066.677064866</v>
      </c>
      <c r="Y110" s="6" t="s">
        <v>1195</v>
      </c>
      <c r="Z110" s="6" t="s">
        <v>1195</v>
      </c>
      <c r="AA110" s="2">
        <f>AA109</f>
        <v>43182553.03293094</v>
      </c>
      <c r="AB110" s="2">
        <v>0</v>
      </c>
    </row>
    <row r="111" spans="1:28">
      <c r="A111" s="2">
        <v>108</v>
      </c>
      <c r="B111" s="2" t="s">
        <v>554</v>
      </c>
      <c r="C111" s="2" t="s">
        <v>2439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42992066.677064866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42992066.677064866</v>
      </c>
      <c r="Y111" s="6" t="s">
        <v>1195</v>
      </c>
      <c r="Z111" s="6" t="s">
        <v>1195</v>
      </c>
      <c r="AA111" s="2">
        <f>AA110</f>
        <v>43182553.03293094</v>
      </c>
      <c r="AB111" s="2">
        <v>0</v>
      </c>
    </row>
    <row r="112" spans="1:28">
      <c r="A112" s="2">
        <v>109</v>
      </c>
      <c r="B112" s="2" t="s">
        <v>558</v>
      </c>
      <c r="C112" s="2" t="s">
        <v>2439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42992066.677064866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42992066.677064866</v>
      </c>
      <c r="Y112" s="6" t="s">
        <v>1195</v>
      </c>
      <c r="Z112" s="6" t="s">
        <v>1195</v>
      </c>
      <c r="AA112" s="2">
        <f>AA111</f>
        <v>43182553.03293094</v>
      </c>
      <c r="AB112" s="2">
        <v>0</v>
      </c>
    </row>
    <row r="113" spans="1:28">
      <c r="A113" s="2">
        <v>110</v>
      </c>
      <c r="B113" s="2" t="s">
        <v>562</v>
      </c>
      <c r="C113" s="2" t="s">
        <v>2439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42992066.677064866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42992066.677064866</v>
      </c>
      <c r="Y113" s="6" t="s">
        <v>1195</v>
      </c>
      <c r="Z113" s="6" t="s">
        <v>1195</v>
      </c>
      <c r="AA113" s="2">
        <f>AA112</f>
        <v>43182553.03293094</v>
      </c>
      <c r="AB113" s="2">
        <v>0</v>
      </c>
    </row>
    <row r="114" spans="1:28">
      <c r="A114" s="2">
        <v>111</v>
      </c>
      <c r="B114" s="2" t="s">
        <v>566</v>
      </c>
      <c r="C114" s="2" t="s">
        <v>2439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1353</v>
      </c>
      <c r="J114" s="2" t="s">
        <v>444</v>
      </c>
      <c r="K114" s="2">
        <f t="shared" si="18"/>
        <v>42992066.677064866</v>
      </c>
      <c r="L114" s="2" t="s">
        <v>2465</v>
      </c>
      <c r="M114" s="2" t="s">
        <v>2063</v>
      </c>
      <c r="N114" s="2" t="s">
        <v>2494</v>
      </c>
      <c r="O114" s="2">
        <v>400</v>
      </c>
      <c r="P114" s="2">
        <v>344.83404541015619</v>
      </c>
      <c r="Q114" s="2">
        <v>349.89266967773437</v>
      </c>
      <c r="R114" s="2">
        <f>O114*P114</f>
        <v>137933.61816406247</v>
      </c>
      <c r="S114" s="2">
        <f>O114*Q114</f>
        <v>139957.06787109375</v>
      </c>
      <c r="T114" s="2">
        <f>R114+S114</f>
        <v>277890.68603515625</v>
      </c>
      <c r="U114" s="2">
        <f>ROUND(T114*0.0005, 2)</f>
        <v>138.94999999999999</v>
      </c>
      <c r="V114" s="2">
        <f>S114-R114</f>
        <v>2023.4497070312791</v>
      </c>
      <c r="W114" s="2">
        <f>V114-U114</f>
        <v>1884.4997070312791</v>
      </c>
      <c r="X114" s="2">
        <f>K114+W114</f>
        <v>42993951.176771894</v>
      </c>
      <c r="Y114" s="2">
        <f>ROUND(0.2*R114, 2)</f>
        <v>27586.720000000001</v>
      </c>
      <c r="Z114" s="2">
        <f>ROUND((W114/Y114)*100, 2)</f>
        <v>6.83</v>
      </c>
      <c r="AA114" s="2">
        <f>MAX(AA113, X114)</f>
        <v>43182553.03293094</v>
      </c>
      <c r="AB114" s="2">
        <f>X114-AA114</f>
        <v>-188601.85615904629</v>
      </c>
    </row>
    <row r="115" spans="1:28">
      <c r="A115" s="2">
        <v>112</v>
      </c>
      <c r="B115" s="2" t="s">
        <v>570</v>
      </c>
      <c r="C115" s="2" t="s">
        <v>2439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42993951.176771894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42993951.176771894</v>
      </c>
      <c r="Y115" s="6" t="s">
        <v>1195</v>
      </c>
      <c r="Z115" s="6" t="s">
        <v>1195</v>
      </c>
      <c r="AA115" s="2">
        <f>AA114</f>
        <v>43182553.03293094</v>
      </c>
      <c r="AB115" s="2">
        <v>0</v>
      </c>
    </row>
    <row r="116" spans="1:28">
      <c r="A116" s="2">
        <v>113</v>
      </c>
      <c r="B116" s="2" t="s">
        <v>574</v>
      </c>
      <c r="C116" s="2" t="s">
        <v>2439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42993951.176771894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42993951.176771894</v>
      </c>
      <c r="Y116" s="6" t="s">
        <v>1195</v>
      </c>
      <c r="Z116" s="6" t="s">
        <v>1195</v>
      </c>
      <c r="AA116" s="2">
        <f>AA115</f>
        <v>43182553.03293094</v>
      </c>
      <c r="AB116" s="2">
        <v>0</v>
      </c>
    </row>
    <row r="117" spans="1:28">
      <c r="A117" s="2">
        <v>114</v>
      </c>
      <c r="B117" s="2" t="s">
        <v>578</v>
      </c>
      <c r="C117" s="2" t="s">
        <v>2439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42993951.176771894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42993951.176771894</v>
      </c>
      <c r="Y117" s="6" t="s">
        <v>1195</v>
      </c>
      <c r="Z117" s="6" t="s">
        <v>1195</v>
      </c>
      <c r="AA117" s="2">
        <f>AA116</f>
        <v>43182553.03293094</v>
      </c>
      <c r="AB117" s="2">
        <v>0</v>
      </c>
    </row>
    <row r="118" spans="1:28">
      <c r="A118" s="2">
        <v>115</v>
      </c>
      <c r="B118" s="2" t="s">
        <v>581</v>
      </c>
      <c r="C118" s="2" t="s">
        <v>2439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2504</v>
      </c>
      <c r="J118" s="2" t="s">
        <v>867</v>
      </c>
      <c r="K118" s="2">
        <f t="shared" si="18"/>
        <v>42993951.176771894</v>
      </c>
      <c r="L118" s="2" t="s">
        <v>1568</v>
      </c>
      <c r="M118" s="2" t="s">
        <v>2505</v>
      </c>
      <c r="N118" s="2" t="s">
        <v>1540</v>
      </c>
      <c r="O118" s="2">
        <v>2364</v>
      </c>
      <c r="P118" s="2">
        <v>490.91287231445312</v>
      </c>
      <c r="Q118" s="2">
        <v>511.98904418945312</v>
      </c>
      <c r="R118" s="2">
        <f>O118*P118</f>
        <v>1160518.0301513672</v>
      </c>
      <c r="S118" s="2">
        <f>O118*Q118</f>
        <v>1210342.1004638672</v>
      </c>
      <c r="T118" s="2">
        <f>R118+S118</f>
        <v>2370860.1306152344</v>
      </c>
      <c r="U118" s="2">
        <f>ROUND(T118*0.0005, 2)</f>
        <v>1185.43</v>
      </c>
      <c r="V118" s="2">
        <f>S118-R118</f>
        <v>49824.0703125</v>
      </c>
      <c r="W118" s="2">
        <f>V118-U118</f>
        <v>48638.6403125</v>
      </c>
      <c r="X118" s="2">
        <f>K118+W118</f>
        <v>43042589.817084394</v>
      </c>
      <c r="Y118" s="2">
        <f>ROUND(0.2*R118, 2)</f>
        <v>232103.61</v>
      </c>
      <c r="Z118" s="2">
        <f>ROUND((W118/Y118)*100, 2)</f>
        <v>20.96</v>
      </c>
      <c r="AA118" s="2">
        <f>MAX(AA117, X118)</f>
        <v>43182553.03293094</v>
      </c>
      <c r="AB118" s="2">
        <f>X118-AA118</f>
        <v>-139963.21584654599</v>
      </c>
    </row>
    <row r="119" spans="1:28">
      <c r="A119" s="2">
        <v>116</v>
      </c>
      <c r="B119" s="2" t="s">
        <v>586</v>
      </c>
      <c r="C119" s="2" t="s">
        <v>2439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43042589.817084394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43042589.817084394</v>
      </c>
      <c r="Y119" s="6" t="s">
        <v>1195</v>
      </c>
      <c r="Z119" s="6" t="s">
        <v>1195</v>
      </c>
      <c r="AA119" s="2">
        <f>AA118</f>
        <v>43182553.03293094</v>
      </c>
      <c r="AB119" s="2">
        <v>0</v>
      </c>
    </row>
    <row r="120" spans="1:28">
      <c r="A120" s="2">
        <v>117</v>
      </c>
      <c r="B120" s="2" t="s">
        <v>592</v>
      </c>
      <c r="C120" s="2" t="s">
        <v>2439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370</v>
      </c>
      <c r="J120" s="2" t="s">
        <v>308</v>
      </c>
      <c r="K120" s="2">
        <f t="shared" si="18"/>
        <v>43042589.817084394</v>
      </c>
      <c r="L120" s="2" t="s">
        <v>2050</v>
      </c>
      <c r="M120" s="2" t="s">
        <v>1828</v>
      </c>
      <c r="N120" s="2" t="s">
        <v>2050</v>
      </c>
      <c r="O120" s="2">
        <v>300</v>
      </c>
      <c r="P120" s="2">
        <v>2818.64306640625</v>
      </c>
      <c r="Q120" s="2">
        <v>2834.170654296875</v>
      </c>
      <c r="R120" s="2">
        <f>O120*P120</f>
        <v>845592.919921875</v>
      </c>
      <c r="S120" s="2">
        <f>O120*Q120</f>
        <v>850251.1962890625</v>
      </c>
      <c r="T120" s="2">
        <f>R120+S120</f>
        <v>1695844.1162109375</v>
      </c>
      <c r="U120" s="2">
        <f>ROUND(T120*0.0005, 2)</f>
        <v>847.92</v>
      </c>
      <c r="V120" s="2">
        <f>S120-R120</f>
        <v>4658.2763671875</v>
      </c>
      <c r="W120" s="2">
        <f>V120-U120</f>
        <v>3810.3563671874999</v>
      </c>
      <c r="X120" s="2">
        <f>K120+W120</f>
        <v>43046400.17345158</v>
      </c>
      <c r="Y120" s="2">
        <f>ROUND(0.2*R120, 2)</f>
        <v>169118.58</v>
      </c>
      <c r="Z120" s="2">
        <f>ROUND((W120/Y120)*100, 2)</f>
        <v>2.25</v>
      </c>
      <c r="AA120" s="2">
        <f>MAX(AA119, X120)</f>
        <v>43182553.03293094</v>
      </c>
      <c r="AB120" s="2">
        <f>X120-AA120</f>
        <v>-136152.85947936028</v>
      </c>
    </row>
    <row r="121" spans="1:28">
      <c r="A121" s="2">
        <v>118</v>
      </c>
      <c r="B121" s="2" t="s">
        <v>597</v>
      </c>
      <c r="C121" s="2" t="s">
        <v>2439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43046400.17345158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43046400.17345158</v>
      </c>
      <c r="Y121" s="6" t="s">
        <v>1195</v>
      </c>
      <c r="Z121" s="6" t="s">
        <v>1195</v>
      </c>
      <c r="AA121" s="2">
        <f>AA120</f>
        <v>43182553.03293094</v>
      </c>
      <c r="AB121" s="2">
        <v>0</v>
      </c>
    </row>
    <row r="122" spans="1:28">
      <c r="A122" s="2">
        <v>119</v>
      </c>
      <c r="B122" s="2" t="s">
        <v>601</v>
      </c>
      <c r="C122" s="2" t="s">
        <v>2439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43046400.17345158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43046400.17345158</v>
      </c>
      <c r="Y122" s="6" t="s">
        <v>1195</v>
      </c>
      <c r="Z122" s="6" t="s">
        <v>1195</v>
      </c>
      <c r="AA122" s="2">
        <f>AA121</f>
        <v>43182553.03293094</v>
      </c>
      <c r="AB122" s="2">
        <v>0</v>
      </c>
    </row>
    <row r="123" spans="1:28">
      <c r="A123" s="2">
        <v>120</v>
      </c>
      <c r="B123" s="2" t="s">
        <v>605</v>
      </c>
      <c r="C123" s="2" t="s">
        <v>2439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43046400.17345158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43046400.17345158</v>
      </c>
      <c r="Y123" s="6" t="s">
        <v>1195</v>
      </c>
      <c r="Z123" s="6" t="s">
        <v>1195</v>
      </c>
      <c r="AA123" s="2">
        <f>AA122</f>
        <v>43182553.03293094</v>
      </c>
      <c r="AB123" s="2">
        <v>0</v>
      </c>
    </row>
    <row r="124" spans="1:28">
      <c r="A124" s="2">
        <v>121</v>
      </c>
      <c r="B124" s="2" t="s">
        <v>609</v>
      </c>
      <c r="C124" s="2" t="s">
        <v>2439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1454</v>
      </c>
      <c r="J124" s="2" t="s">
        <v>2506</v>
      </c>
      <c r="K124" s="2">
        <f t="shared" si="18"/>
        <v>43046400.17345158</v>
      </c>
      <c r="L124" s="2" t="s">
        <v>1827</v>
      </c>
      <c r="M124" s="2" t="s">
        <v>2477</v>
      </c>
      <c r="N124" s="2" t="s">
        <v>2462</v>
      </c>
      <c r="O124" s="2">
        <v>350</v>
      </c>
      <c r="P124" s="2">
        <v>1450.473999023438</v>
      </c>
      <c r="Q124" s="2">
        <v>1501.103759765625</v>
      </c>
      <c r="R124" s="2">
        <f>O124*P124</f>
        <v>507665.8996582033</v>
      </c>
      <c r="S124" s="2">
        <f>O124*Q124</f>
        <v>525386.31591796875</v>
      </c>
      <c r="T124" s="2">
        <f>R124+S124</f>
        <v>1033052.2155761721</v>
      </c>
      <c r="U124" s="2">
        <f>ROUND(T124*0.0005, 2)</f>
        <v>516.53</v>
      </c>
      <c r="V124" s="2">
        <f>S124-R124</f>
        <v>17720.41625976545</v>
      </c>
      <c r="W124" s="2">
        <f>V124-U124</f>
        <v>17203.886259765452</v>
      </c>
      <c r="X124" s="2">
        <f>K124+W124</f>
        <v>43063604.059711345</v>
      </c>
      <c r="Y124" s="2">
        <f>ROUND(0.2*R124, 2)</f>
        <v>101533.18</v>
      </c>
      <c r="Z124" s="2">
        <f>ROUND((W124/Y124)*100, 2)</f>
        <v>16.940000000000001</v>
      </c>
      <c r="AA124" s="2">
        <f>MAX(AA123, X124)</f>
        <v>43182553.03293094</v>
      </c>
      <c r="AB124" s="2">
        <f>X124-AA124</f>
        <v>-118948.97321959585</v>
      </c>
    </row>
    <row r="125" spans="1:28">
      <c r="A125" s="2">
        <v>122</v>
      </c>
      <c r="B125" s="2" t="s">
        <v>613</v>
      </c>
      <c r="C125" s="2" t="s">
        <v>2439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43063604.059711345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43063604.059711345</v>
      </c>
      <c r="Y125" s="6" t="s">
        <v>1195</v>
      </c>
      <c r="Z125" s="6" t="s">
        <v>1195</v>
      </c>
      <c r="AA125" s="2">
        <f>AA124</f>
        <v>43182553.03293094</v>
      </c>
      <c r="AB125" s="2">
        <v>0</v>
      </c>
    </row>
    <row r="126" spans="1:28">
      <c r="A126" s="2">
        <v>123</v>
      </c>
      <c r="B126" s="2" t="s">
        <v>617</v>
      </c>
      <c r="C126" s="2" t="s">
        <v>2439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43063604.059711345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43063604.059711345</v>
      </c>
      <c r="Y126" s="6" t="s">
        <v>1195</v>
      </c>
      <c r="Z126" s="6" t="s">
        <v>1195</v>
      </c>
      <c r="AA126" s="2">
        <f>AA125</f>
        <v>43182553.03293094</v>
      </c>
      <c r="AB126" s="2">
        <v>0</v>
      </c>
    </row>
    <row r="127" spans="1:28">
      <c r="A127" s="2">
        <v>124</v>
      </c>
      <c r="B127" s="2" t="s">
        <v>621</v>
      </c>
      <c r="C127" s="2" t="s">
        <v>2439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43063604.059711345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43063604.059711345</v>
      </c>
      <c r="Y127" s="6" t="s">
        <v>1195</v>
      </c>
      <c r="Z127" s="6" t="s">
        <v>1195</v>
      </c>
      <c r="AA127" s="2">
        <f>AA126</f>
        <v>43182553.03293094</v>
      </c>
      <c r="AB127" s="2">
        <v>0</v>
      </c>
    </row>
    <row r="128" spans="1:28">
      <c r="A128" s="2">
        <v>125</v>
      </c>
      <c r="B128" s="2" t="s">
        <v>625</v>
      </c>
      <c r="C128" s="2" t="s">
        <v>2439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43063604.059711345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43063604.059711345</v>
      </c>
      <c r="Y128" s="6" t="s">
        <v>1195</v>
      </c>
      <c r="Z128" s="6" t="s">
        <v>1195</v>
      </c>
      <c r="AA128" s="2">
        <f>AA127</f>
        <v>43182553.03293094</v>
      </c>
      <c r="AB128" s="2">
        <v>0</v>
      </c>
    </row>
    <row r="129" spans="1:28">
      <c r="A129" s="2">
        <v>126</v>
      </c>
      <c r="B129" s="2" t="s">
        <v>629</v>
      </c>
      <c r="C129" s="2" t="s">
        <v>2439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1503</v>
      </c>
      <c r="J129" s="2" t="s">
        <v>1755</v>
      </c>
      <c r="K129" s="2">
        <f t="shared" si="18"/>
        <v>43063604.059711345</v>
      </c>
      <c r="L129" s="2" t="s">
        <v>2063</v>
      </c>
      <c r="M129" s="2" t="s">
        <v>2067</v>
      </c>
      <c r="N129" s="2" t="s">
        <v>2467</v>
      </c>
      <c r="O129" s="2">
        <v>100</v>
      </c>
      <c r="P129" s="2">
        <v>10184.8251953125</v>
      </c>
      <c r="Q129" s="2">
        <v>10377.451171875</v>
      </c>
      <c r="R129" s="2">
        <f>O129*P129</f>
        <v>1018482.51953125</v>
      </c>
      <c r="S129" s="2">
        <f>O129*Q129</f>
        <v>1037745.1171875</v>
      </c>
      <c r="T129" s="2">
        <f>R129+S129</f>
        <v>2056227.63671875</v>
      </c>
      <c r="U129" s="2">
        <f>ROUND(T129*0.0005, 2)</f>
        <v>1028.1099999999999</v>
      </c>
      <c r="V129" s="2">
        <f>S129-R129</f>
        <v>19262.59765625</v>
      </c>
      <c r="W129" s="2">
        <f>V129-U129</f>
        <v>18234.487656249999</v>
      </c>
      <c r="X129" s="2">
        <f>K129+W129</f>
        <v>43081838.547367595</v>
      </c>
      <c r="Y129" s="2">
        <f>ROUND(0.2*R129, 2)</f>
        <v>203696.5</v>
      </c>
      <c r="Z129" s="2">
        <f>ROUND((W129/Y129)*100, 2)</f>
        <v>8.9499999999999993</v>
      </c>
      <c r="AA129" s="2">
        <f>MAX(AA128, X129)</f>
        <v>43182553.03293094</v>
      </c>
      <c r="AB129" s="2">
        <f>X129-AA129</f>
        <v>-100714.48556334525</v>
      </c>
    </row>
    <row r="130" spans="1:28">
      <c r="A130" s="2">
        <v>127</v>
      </c>
      <c r="B130" s="2" t="s">
        <v>632</v>
      </c>
      <c r="C130" s="2" t="s">
        <v>2439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725</v>
      </c>
      <c r="J130" s="2" t="s">
        <v>412</v>
      </c>
      <c r="K130" s="2">
        <f t="shared" si="18"/>
        <v>43081838.547367595</v>
      </c>
      <c r="L130" s="2" t="s">
        <v>2507</v>
      </c>
      <c r="M130" s="2" t="s">
        <v>2508</v>
      </c>
      <c r="N130" s="2" t="s">
        <v>2485</v>
      </c>
      <c r="O130" s="2">
        <v>922</v>
      </c>
      <c r="P130" s="2">
        <v>278.98193359375</v>
      </c>
      <c r="Q130" s="2">
        <v>298.7069091796875</v>
      </c>
      <c r="R130" s="2">
        <f>O130*P130</f>
        <v>257221.3427734375</v>
      </c>
      <c r="S130" s="2">
        <f>O130*Q130</f>
        <v>275407.77026367187</v>
      </c>
      <c r="T130" s="2">
        <f>R130+S130</f>
        <v>532629.11303710937</v>
      </c>
      <c r="U130" s="2">
        <f>ROUND(T130*0.0005, 2)</f>
        <v>266.31</v>
      </c>
      <c r="V130" s="2">
        <f>S130-R130</f>
        <v>18186.427490234375</v>
      </c>
      <c r="W130" s="2">
        <f>V130-U130</f>
        <v>17920.117490234374</v>
      </c>
      <c r="X130" s="2">
        <f>K130+W130</f>
        <v>43099758.664857827</v>
      </c>
      <c r="Y130" s="2">
        <f>ROUND(0.2*R130, 2)</f>
        <v>51444.27</v>
      </c>
      <c r="Z130" s="2">
        <f>ROUND((W130/Y130)*100, 2)</f>
        <v>34.83</v>
      </c>
      <c r="AA130" s="2">
        <f>MAX(AA129, X130)</f>
        <v>43182553.03293094</v>
      </c>
      <c r="AB130" s="2">
        <f>X130-AA130</f>
        <v>-82794.368073113263</v>
      </c>
    </row>
    <row r="131" spans="1:28">
      <c r="A131" s="2">
        <v>128</v>
      </c>
      <c r="B131" s="2" t="s">
        <v>637</v>
      </c>
      <c r="C131" s="2" t="s">
        <v>2439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43099758.664857827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43099758.664857827</v>
      </c>
      <c r="Y131" s="6" t="s">
        <v>1195</v>
      </c>
      <c r="Z131" s="6" t="s">
        <v>1195</v>
      </c>
      <c r="AA131" s="2">
        <f t="shared" ref="AA131:AA136" si="20">AA130</f>
        <v>43182553.03293094</v>
      </c>
      <c r="AB131" s="2">
        <v>0</v>
      </c>
    </row>
    <row r="132" spans="1:28">
      <c r="A132" s="2">
        <v>129</v>
      </c>
      <c r="B132" s="2" t="s">
        <v>640</v>
      </c>
      <c r="C132" s="2" t="s">
        <v>2439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43099758.664857827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43099758.664857827</v>
      </c>
      <c r="Y132" s="6" t="s">
        <v>1195</v>
      </c>
      <c r="Z132" s="6" t="s">
        <v>1195</v>
      </c>
      <c r="AA132" s="2">
        <f t="shared" si="20"/>
        <v>43182553.03293094</v>
      </c>
      <c r="AB132" s="2">
        <v>0</v>
      </c>
    </row>
    <row r="133" spans="1:28">
      <c r="A133" s="2">
        <v>130</v>
      </c>
      <c r="B133" s="2" t="s">
        <v>647</v>
      </c>
      <c r="C133" s="2" t="s">
        <v>2439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43099758.664857827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43099758.664857827</v>
      </c>
      <c r="Y133" s="6" t="s">
        <v>1195</v>
      </c>
      <c r="Z133" s="6" t="s">
        <v>1195</v>
      </c>
      <c r="AA133" s="2">
        <f t="shared" si="20"/>
        <v>43182553.03293094</v>
      </c>
      <c r="AB133" s="2">
        <v>0</v>
      </c>
    </row>
    <row r="134" spans="1:28">
      <c r="A134" s="2">
        <v>131</v>
      </c>
      <c r="B134" s="2" t="s">
        <v>651</v>
      </c>
      <c r="C134" s="2" t="s">
        <v>2439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43099758.664857827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43099758.664857827</v>
      </c>
      <c r="Y134" s="6" t="s">
        <v>1195</v>
      </c>
      <c r="Z134" s="6" t="s">
        <v>1195</v>
      </c>
      <c r="AA134" s="2">
        <f t="shared" si="20"/>
        <v>43182553.03293094</v>
      </c>
      <c r="AB134" s="2">
        <v>0</v>
      </c>
    </row>
    <row r="135" spans="1:28">
      <c r="A135" s="2">
        <v>132</v>
      </c>
      <c r="B135" s="2" t="s">
        <v>654</v>
      </c>
      <c r="C135" s="2" t="s">
        <v>2439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43099758.664857827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43099758.664857827</v>
      </c>
      <c r="Y135" s="6" t="s">
        <v>1195</v>
      </c>
      <c r="Z135" s="6" t="s">
        <v>1195</v>
      </c>
      <c r="AA135" s="2">
        <f t="shared" si="20"/>
        <v>43182553.03293094</v>
      </c>
      <c r="AB135" s="2">
        <v>0</v>
      </c>
    </row>
    <row r="136" spans="1:28">
      <c r="A136" s="2">
        <v>133</v>
      </c>
      <c r="B136" s="2" t="s">
        <v>656</v>
      </c>
      <c r="C136" s="2" t="s">
        <v>2439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43099758.664857827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43099758.664857827</v>
      </c>
      <c r="Y136" s="6" t="s">
        <v>1195</v>
      </c>
      <c r="Z136" s="6" t="s">
        <v>1195</v>
      </c>
      <c r="AA136" s="2">
        <f t="shared" si="20"/>
        <v>43182553.03293094</v>
      </c>
      <c r="AB136" s="2">
        <v>0</v>
      </c>
    </row>
    <row r="137" spans="1:28">
      <c r="A137" s="2">
        <v>134</v>
      </c>
      <c r="B137" s="2" t="s">
        <v>658</v>
      </c>
      <c r="C137" s="2" t="s">
        <v>2439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2433</v>
      </c>
      <c r="J137" s="2" t="s">
        <v>2434</v>
      </c>
      <c r="K137" s="2">
        <f t="shared" si="21"/>
        <v>43099758.664857827</v>
      </c>
      <c r="L137" s="2" t="s">
        <v>2337</v>
      </c>
      <c r="M137" s="2" t="s">
        <v>2150</v>
      </c>
      <c r="N137" s="2" t="s">
        <v>2435</v>
      </c>
      <c r="O137" s="2">
        <v>332</v>
      </c>
      <c r="P137" s="2">
        <v>2237.48095703125</v>
      </c>
      <c r="Q137" s="2">
        <v>2072.07958984375</v>
      </c>
      <c r="R137" s="2">
        <f>O137*P137</f>
        <v>742843.677734375</v>
      </c>
      <c r="S137" s="2">
        <f>O137*Q137</f>
        <v>687930.423828125</v>
      </c>
      <c r="T137" s="2">
        <f>R137+S137</f>
        <v>1430774.1015625</v>
      </c>
      <c r="U137" s="2">
        <f>ROUND(T137*0.0005, 2)</f>
        <v>715.39</v>
      </c>
      <c r="V137" s="2">
        <f>S137-R137</f>
        <v>-54913.25390625</v>
      </c>
      <c r="W137" s="2">
        <f>V137-U137</f>
        <v>-55628.643906249999</v>
      </c>
      <c r="X137" s="2">
        <f>K137+W137</f>
        <v>43044130.020951577</v>
      </c>
      <c r="Y137" s="2">
        <f>ROUND(0.2*R137, 2)</f>
        <v>148568.74</v>
      </c>
      <c r="Z137" s="2">
        <f>ROUND((W137/Y137)*100, 2)</f>
        <v>-37.44</v>
      </c>
      <c r="AA137" s="2">
        <f>MAX(AA136, X137)</f>
        <v>43182553.03293094</v>
      </c>
      <c r="AB137" s="2">
        <f>X137-AA137</f>
        <v>-138423.01197936386</v>
      </c>
    </row>
    <row r="138" spans="1:28">
      <c r="A138" s="2">
        <v>135</v>
      </c>
      <c r="B138" s="2" t="s">
        <v>661</v>
      </c>
      <c r="C138" s="2" t="s">
        <v>2439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43044130.020951577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 t="shared" ref="X138:X144" si="22">K138</f>
        <v>43044130.020951577</v>
      </c>
      <c r="Y138" s="6" t="s">
        <v>1195</v>
      </c>
      <c r="Z138" s="6" t="s">
        <v>1195</v>
      </c>
      <c r="AA138" s="2">
        <f t="shared" ref="AA138:AA144" si="23">AA137</f>
        <v>43182553.03293094</v>
      </c>
      <c r="AB138" s="2">
        <v>0</v>
      </c>
    </row>
    <row r="139" spans="1:28">
      <c r="A139" s="2">
        <v>136</v>
      </c>
      <c r="B139" s="2" t="s">
        <v>664</v>
      </c>
      <c r="C139" s="2" t="s">
        <v>2439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43044130.020951577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 t="shared" si="22"/>
        <v>43044130.020951577</v>
      </c>
      <c r="Y139" s="6" t="s">
        <v>1195</v>
      </c>
      <c r="Z139" s="6" t="s">
        <v>1195</v>
      </c>
      <c r="AA139" s="2">
        <f t="shared" si="23"/>
        <v>43182553.03293094</v>
      </c>
      <c r="AB139" s="2">
        <v>0</v>
      </c>
    </row>
    <row r="140" spans="1:28">
      <c r="A140" s="2">
        <v>137</v>
      </c>
      <c r="B140" s="2" t="s">
        <v>667</v>
      </c>
      <c r="C140" s="2" t="s">
        <v>2439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43044130.020951577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 t="shared" si="22"/>
        <v>43044130.020951577</v>
      </c>
      <c r="Y140" s="6" t="s">
        <v>1195</v>
      </c>
      <c r="Z140" s="6" t="s">
        <v>1195</v>
      </c>
      <c r="AA140" s="2">
        <f t="shared" si="23"/>
        <v>43182553.03293094</v>
      </c>
      <c r="AB140" s="2">
        <v>0</v>
      </c>
    </row>
    <row r="141" spans="1:28">
      <c r="A141" s="2">
        <v>138</v>
      </c>
      <c r="B141" s="2" t="s">
        <v>670</v>
      </c>
      <c r="C141" s="2" t="s">
        <v>2439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43044130.020951577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 t="shared" si="22"/>
        <v>43044130.020951577</v>
      </c>
      <c r="Y141" s="6" t="s">
        <v>1195</v>
      </c>
      <c r="Z141" s="6" t="s">
        <v>1195</v>
      </c>
      <c r="AA141" s="2">
        <f t="shared" si="23"/>
        <v>43182553.03293094</v>
      </c>
      <c r="AB141" s="2">
        <v>0</v>
      </c>
    </row>
    <row r="142" spans="1:28">
      <c r="A142" s="2">
        <v>139</v>
      </c>
      <c r="B142" s="2" t="s">
        <v>674</v>
      </c>
      <c r="C142" s="2" t="s">
        <v>2439</v>
      </c>
      <c r="D142" s="3" t="s">
        <v>37</v>
      </c>
      <c r="E142" s="5" t="s">
        <v>134</v>
      </c>
      <c r="F142" s="2" t="s">
        <v>675</v>
      </c>
      <c r="G142" s="2" t="s">
        <v>63</v>
      </c>
      <c r="H142" s="6" t="s">
        <v>1195</v>
      </c>
      <c r="I142" s="6" t="s">
        <v>1195</v>
      </c>
      <c r="J142" s="6" t="s">
        <v>1195</v>
      </c>
      <c r="K142" s="2">
        <f t="shared" si="21"/>
        <v>43044130.020951577</v>
      </c>
      <c r="L142" s="6" t="s">
        <v>1195</v>
      </c>
      <c r="M142" s="6" t="s">
        <v>1195</v>
      </c>
      <c r="N142" s="6" t="s">
        <v>1195</v>
      </c>
      <c r="O142" s="2">
        <v>200</v>
      </c>
      <c r="P142" s="6" t="s">
        <v>1195</v>
      </c>
      <c r="Q142" s="6" t="s">
        <v>1195</v>
      </c>
      <c r="R142" s="6" t="s">
        <v>1195</v>
      </c>
      <c r="S142" s="6" t="s">
        <v>1195</v>
      </c>
      <c r="T142" s="6" t="s">
        <v>1195</v>
      </c>
      <c r="U142" s="6" t="s">
        <v>1195</v>
      </c>
      <c r="V142" s="6" t="s">
        <v>1195</v>
      </c>
      <c r="W142" s="6" t="s">
        <v>1195</v>
      </c>
      <c r="X142" s="2">
        <f t="shared" si="22"/>
        <v>43044130.020951577</v>
      </c>
      <c r="Y142" s="6" t="s">
        <v>1195</v>
      </c>
      <c r="Z142" s="6" t="s">
        <v>1195</v>
      </c>
      <c r="AA142" s="2">
        <f t="shared" si="23"/>
        <v>43182553.03293094</v>
      </c>
      <c r="AB142" s="2">
        <v>0</v>
      </c>
    </row>
    <row r="143" spans="1:28">
      <c r="A143" s="2">
        <v>140</v>
      </c>
      <c r="B143" s="2" t="s">
        <v>678</v>
      </c>
      <c r="C143" s="2" t="s">
        <v>2439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43044130.020951577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 t="shared" si="22"/>
        <v>43044130.020951577</v>
      </c>
      <c r="Y143" s="6" t="s">
        <v>1195</v>
      </c>
      <c r="Z143" s="6" t="s">
        <v>1195</v>
      </c>
      <c r="AA143" s="2">
        <f t="shared" si="23"/>
        <v>43182553.03293094</v>
      </c>
      <c r="AB143" s="2">
        <v>0</v>
      </c>
    </row>
    <row r="144" spans="1:28">
      <c r="A144" s="2">
        <v>141</v>
      </c>
      <c r="B144" s="2" t="s">
        <v>681</v>
      </c>
      <c r="C144" s="2" t="s">
        <v>2439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43044130.020951577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 t="shared" si="22"/>
        <v>43044130.020951577</v>
      </c>
      <c r="Y144" s="6" t="s">
        <v>1195</v>
      </c>
      <c r="Z144" s="6" t="s">
        <v>1195</v>
      </c>
      <c r="AA144" s="2">
        <f t="shared" si="23"/>
        <v>43182553.03293094</v>
      </c>
      <c r="AB144" s="2">
        <v>0</v>
      </c>
    </row>
    <row r="145" spans="1:28">
      <c r="A145" s="2">
        <v>142</v>
      </c>
      <c r="B145" s="2" t="s">
        <v>685</v>
      </c>
      <c r="C145" s="2" t="s">
        <v>2439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2509</v>
      </c>
      <c r="J145" s="2" t="s">
        <v>268</v>
      </c>
      <c r="K145" s="2">
        <f t="shared" si="21"/>
        <v>43044130.020951577</v>
      </c>
      <c r="L145" s="2" t="s">
        <v>2465</v>
      </c>
      <c r="M145" s="2" t="s">
        <v>1828</v>
      </c>
      <c r="N145" s="2" t="s">
        <v>2467</v>
      </c>
      <c r="O145" s="2">
        <v>1500</v>
      </c>
      <c r="P145" s="2">
        <v>221.2468566894531</v>
      </c>
      <c r="Q145" s="2">
        <v>226.28399658203119</v>
      </c>
      <c r="R145" s="2">
        <f>O145*P145</f>
        <v>331870.28503417963</v>
      </c>
      <c r="S145" s="2">
        <f>O145*Q145</f>
        <v>339425.99487304682</v>
      </c>
      <c r="T145" s="2">
        <f>R145+S145</f>
        <v>671296.27990722645</v>
      </c>
      <c r="U145" s="2">
        <f>ROUND(T145*0.0005, 2)</f>
        <v>335.65</v>
      </c>
      <c r="V145" s="2">
        <f>S145-R145</f>
        <v>7555.7098388671875</v>
      </c>
      <c r="W145" s="2">
        <f>V145-U145</f>
        <v>7220.0598388671879</v>
      </c>
      <c r="X145" s="2">
        <f>K145+W145</f>
        <v>43051350.080790445</v>
      </c>
      <c r="Y145" s="2">
        <f>ROUND(0.2*R145, 2)</f>
        <v>66374.06</v>
      </c>
      <c r="Z145" s="2">
        <f>ROUND((W145/Y145)*100, 2)</f>
        <v>10.88</v>
      </c>
      <c r="AA145" s="2">
        <f>MAX(AA144, X145)</f>
        <v>43182553.03293094</v>
      </c>
      <c r="AB145" s="2">
        <f>X145-AA145</f>
        <v>-131202.95214049518</v>
      </c>
    </row>
    <row r="146" spans="1:28">
      <c r="A146" s="2">
        <v>143</v>
      </c>
      <c r="B146" s="2" t="s">
        <v>689</v>
      </c>
      <c r="C146" s="2" t="s">
        <v>2439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43051350.080790445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43051350.080790445</v>
      </c>
      <c r="Y146" s="6" t="s">
        <v>1195</v>
      </c>
      <c r="Z146" s="6" t="s">
        <v>1195</v>
      </c>
      <c r="AA146" s="2">
        <f>AA145</f>
        <v>43182553.03293094</v>
      </c>
      <c r="AB146" s="2">
        <v>0</v>
      </c>
    </row>
    <row r="147" spans="1:28">
      <c r="A147" s="2">
        <v>144</v>
      </c>
      <c r="B147" s="2" t="s">
        <v>692</v>
      </c>
      <c r="C147" s="2" t="s">
        <v>2439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43051350.080790445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43051350.080790445</v>
      </c>
      <c r="Y147" s="6" t="s">
        <v>1195</v>
      </c>
      <c r="Z147" s="6" t="s">
        <v>1195</v>
      </c>
      <c r="AA147" s="2">
        <f>AA146</f>
        <v>43182553.03293094</v>
      </c>
      <c r="AB147" s="2">
        <v>0</v>
      </c>
    </row>
    <row r="148" spans="1:28">
      <c r="A148" s="2">
        <v>145</v>
      </c>
      <c r="B148" s="2" t="s">
        <v>696</v>
      </c>
      <c r="C148" s="2" t="s">
        <v>2439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43051350.080790445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43051350.080790445</v>
      </c>
      <c r="Y148" s="6" t="s">
        <v>1195</v>
      </c>
      <c r="Z148" s="6" t="s">
        <v>1195</v>
      </c>
      <c r="AA148" s="2">
        <f>AA147</f>
        <v>43182553.03293094</v>
      </c>
      <c r="AB148" s="2">
        <v>0</v>
      </c>
    </row>
    <row r="149" spans="1:28">
      <c r="A149" s="2">
        <v>146</v>
      </c>
      <c r="B149" s="2" t="s">
        <v>701</v>
      </c>
      <c r="C149" s="2" t="s">
        <v>2439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43051350.080790445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43051350.080790445</v>
      </c>
      <c r="Y149" s="6" t="s">
        <v>1195</v>
      </c>
      <c r="Z149" s="6" t="s">
        <v>1195</v>
      </c>
      <c r="AA149" s="2">
        <f>AA148</f>
        <v>43182553.03293094</v>
      </c>
      <c r="AB149" s="2">
        <v>0</v>
      </c>
    </row>
    <row r="150" spans="1:28">
      <c r="A150" s="2">
        <v>147</v>
      </c>
      <c r="B150" s="2" t="s">
        <v>705</v>
      </c>
      <c r="C150" s="2" t="s">
        <v>2439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2510</v>
      </c>
      <c r="J150" s="2" t="s">
        <v>2511</v>
      </c>
      <c r="K150" s="2">
        <f t="shared" si="21"/>
        <v>43051350.080790445</v>
      </c>
      <c r="L150" s="2" t="s">
        <v>2050</v>
      </c>
      <c r="M150" s="2" t="s">
        <v>2451</v>
      </c>
      <c r="N150" s="2" t="s">
        <v>2462</v>
      </c>
      <c r="O150" s="2">
        <v>3750</v>
      </c>
      <c r="P150" s="2">
        <v>169.26844787597659</v>
      </c>
      <c r="Q150" s="2">
        <v>160.94940185546881</v>
      </c>
      <c r="R150" s="2">
        <f>O150*P150</f>
        <v>634756.67953491223</v>
      </c>
      <c r="S150" s="2">
        <f>O150*Q150</f>
        <v>603560.25695800805</v>
      </c>
      <c r="T150" s="2">
        <f>R150+S150</f>
        <v>1238316.9364929204</v>
      </c>
      <c r="U150" s="2">
        <f>ROUND(T150*0.0005, 2)</f>
        <v>619.16</v>
      </c>
      <c r="V150" s="2">
        <f>S150-R150</f>
        <v>-31196.42257690418</v>
      </c>
      <c r="W150" s="2">
        <f>V150-U150</f>
        <v>-31815.58257690418</v>
      </c>
      <c r="X150" s="2">
        <f>K150+W150</f>
        <v>43019534.498213544</v>
      </c>
      <c r="Y150" s="2">
        <f>ROUND(0.2*R150, 2)</f>
        <v>126951.34</v>
      </c>
      <c r="Z150" s="2">
        <f>ROUND((W150/Y150)*100, 2)</f>
        <v>-25.06</v>
      </c>
      <c r="AA150" s="2">
        <f>MAX(AA149, X150)</f>
        <v>43182553.03293094</v>
      </c>
      <c r="AB150" s="2">
        <f>X150-AA150</f>
        <v>-163018.5347173959</v>
      </c>
    </row>
    <row r="151" spans="1:28">
      <c r="A151" s="2">
        <v>148</v>
      </c>
      <c r="B151" s="2" t="s">
        <v>708</v>
      </c>
      <c r="C151" s="2" t="s">
        <v>2439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43019534.498213544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4">K151</f>
        <v>43019534.498213544</v>
      </c>
      <c r="Y151" s="6" t="s">
        <v>1195</v>
      </c>
      <c r="Z151" s="6" t="s">
        <v>1195</v>
      </c>
      <c r="AA151" s="2">
        <f t="shared" ref="AA151:AA164" si="25">AA150</f>
        <v>43182553.03293094</v>
      </c>
      <c r="AB151" s="2">
        <v>0</v>
      </c>
    </row>
    <row r="152" spans="1:28">
      <c r="A152" s="2">
        <v>149</v>
      </c>
      <c r="B152" s="2" t="s">
        <v>710</v>
      </c>
      <c r="C152" s="2" t="s">
        <v>2439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43019534.498213544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4"/>
        <v>43019534.498213544</v>
      </c>
      <c r="Y152" s="6" t="s">
        <v>1195</v>
      </c>
      <c r="Z152" s="6" t="s">
        <v>1195</v>
      </c>
      <c r="AA152" s="2">
        <f t="shared" si="25"/>
        <v>43182553.03293094</v>
      </c>
      <c r="AB152" s="2">
        <v>0</v>
      </c>
    </row>
    <row r="153" spans="1:28">
      <c r="A153" s="2">
        <v>150</v>
      </c>
      <c r="B153" s="2" t="s">
        <v>714</v>
      </c>
      <c r="C153" s="2" t="s">
        <v>2439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43019534.498213544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4"/>
        <v>43019534.498213544</v>
      </c>
      <c r="Y153" s="6" t="s">
        <v>1195</v>
      </c>
      <c r="Z153" s="6" t="s">
        <v>1195</v>
      </c>
      <c r="AA153" s="2">
        <f t="shared" si="25"/>
        <v>43182553.03293094</v>
      </c>
      <c r="AB153" s="2">
        <v>0</v>
      </c>
    </row>
    <row r="154" spans="1:28">
      <c r="A154" s="2">
        <v>151</v>
      </c>
      <c r="B154" s="2" t="s">
        <v>718</v>
      </c>
      <c r="C154" s="2" t="s">
        <v>2439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43019534.498213544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4"/>
        <v>43019534.498213544</v>
      </c>
      <c r="Y154" s="6" t="s">
        <v>1195</v>
      </c>
      <c r="Z154" s="6" t="s">
        <v>1195</v>
      </c>
      <c r="AA154" s="2">
        <f t="shared" si="25"/>
        <v>43182553.03293094</v>
      </c>
      <c r="AB154" s="2">
        <v>0</v>
      </c>
    </row>
    <row r="155" spans="1:28">
      <c r="A155" s="2">
        <v>152</v>
      </c>
      <c r="B155" s="2" t="s">
        <v>720</v>
      </c>
      <c r="C155" s="2" t="s">
        <v>2439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43019534.498213544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4"/>
        <v>43019534.498213544</v>
      </c>
      <c r="Y155" s="6" t="s">
        <v>1195</v>
      </c>
      <c r="Z155" s="6" t="s">
        <v>1195</v>
      </c>
      <c r="AA155" s="2">
        <f t="shared" si="25"/>
        <v>43182553.03293094</v>
      </c>
      <c r="AB155" s="2">
        <v>0</v>
      </c>
    </row>
    <row r="156" spans="1:28">
      <c r="A156" s="2">
        <v>153</v>
      </c>
      <c r="B156" s="2" t="s">
        <v>723</v>
      </c>
      <c r="C156" s="2" t="s">
        <v>2439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43019534.498213544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4"/>
        <v>43019534.498213544</v>
      </c>
      <c r="Y156" s="6" t="s">
        <v>1195</v>
      </c>
      <c r="Z156" s="6" t="s">
        <v>1195</v>
      </c>
      <c r="AA156" s="2">
        <f t="shared" si="25"/>
        <v>43182553.03293094</v>
      </c>
      <c r="AB156" s="2">
        <v>0</v>
      </c>
    </row>
    <row r="157" spans="1:28">
      <c r="A157" s="2">
        <v>154</v>
      </c>
      <c r="B157" s="2" t="s">
        <v>727</v>
      </c>
      <c r="C157" s="2" t="s">
        <v>2439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43019534.498213544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4"/>
        <v>43019534.498213544</v>
      </c>
      <c r="Y157" s="6" t="s">
        <v>1195</v>
      </c>
      <c r="Z157" s="6" t="s">
        <v>1195</v>
      </c>
      <c r="AA157" s="2">
        <f t="shared" si="25"/>
        <v>43182553.03293094</v>
      </c>
      <c r="AB157" s="2">
        <v>0</v>
      </c>
    </row>
    <row r="158" spans="1:28">
      <c r="A158" s="2">
        <v>155</v>
      </c>
      <c r="B158" s="2" t="s">
        <v>729</v>
      </c>
      <c r="C158" s="2" t="s">
        <v>2439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43019534.498213544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4"/>
        <v>43019534.498213544</v>
      </c>
      <c r="Y158" s="6" t="s">
        <v>1195</v>
      </c>
      <c r="Z158" s="6" t="s">
        <v>1195</v>
      </c>
      <c r="AA158" s="2">
        <f t="shared" si="25"/>
        <v>43182553.03293094</v>
      </c>
      <c r="AB158" s="2">
        <v>0</v>
      </c>
    </row>
    <row r="159" spans="1:28">
      <c r="A159" s="2">
        <v>156</v>
      </c>
      <c r="B159" s="2" t="s">
        <v>732</v>
      </c>
      <c r="C159" s="2" t="s">
        <v>2439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43019534.498213544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4"/>
        <v>43019534.498213544</v>
      </c>
      <c r="Y159" s="6" t="s">
        <v>1195</v>
      </c>
      <c r="Z159" s="6" t="s">
        <v>1195</v>
      </c>
      <c r="AA159" s="2">
        <f t="shared" si="25"/>
        <v>43182553.03293094</v>
      </c>
      <c r="AB159" s="2">
        <v>0</v>
      </c>
    </row>
    <row r="160" spans="1:28">
      <c r="A160" s="2">
        <v>157</v>
      </c>
      <c r="B160" s="2" t="s">
        <v>736</v>
      </c>
      <c r="C160" s="2" t="s">
        <v>2439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43019534.498213544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4"/>
        <v>43019534.498213544</v>
      </c>
      <c r="Y160" s="6" t="s">
        <v>1195</v>
      </c>
      <c r="Z160" s="6" t="s">
        <v>1195</v>
      </c>
      <c r="AA160" s="2">
        <f t="shared" si="25"/>
        <v>43182553.03293094</v>
      </c>
      <c r="AB160" s="2">
        <v>0</v>
      </c>
    </row>
    <row r="161" spans="1:28">
      <c r="A161" s="2">
        <v>158</v>
      </c>
      <c r="B161" s="2" t="s">
        <v>738</v>
      </c>
      <c r="C161" s="2" t="s">
        <v>2439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43019534.498213544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4"/>
        <v>43019534.498213544</v>
      </c>
      <c r="Y161" s="6" t="s">
        <v>1195</v>
      </c>
      <c r="Z161" s="6" t="s">
        <v>1195</v>
      </c>
      <c r="AA161" s="2">
        <f t="shared" si="25"/>
        <v>43182553.03293094</v>
      </c>
      <c r="AB161" s="2">
        <v>0</v>
      </c>
    </row>
    <row r="162" spans="1:28">
      <c r="A162" s="2">
        <v>159</v>
      </c>
      <c r="B162" s="2" t="s">
        <v>741</v>
      </c>
      <c r="C162" s="2" t="s">
        <v>2439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43019534.498213544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4"/>
        <v>43019534.498213544</v>
      </c>
      <c r="Y162" s="6" t="s">
        <v>1195</v>
      </c>
      <c r="Z162" s="6" t="s">
        <v>1195</v>
      </c>
      <c r="AA162" s="2">
        <f t="shared" si="25"/>
        <v>43182553.03293094</v>
      </c>
      <c r="AB162" s="2">
        <v>0</v>
      </c>
    </row>
    <row r="163" spans="1:28">
      <c r="A163" s="2">
        <v>160</v>
      </c>
      <c r="B163" s="2" t="s">
        <v>743</v>
      </c>
      <c r="C163" s="2" t="s">
        <v>2439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43019534.498213544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4"/>
        <v>43019534.498213544</v>
      </c>
      <c r="Y163" s="6" t="s">
        <v>1195</v>
      </c>
      <c r="Z163" s="6" t="s">
        <v>1195</v>
      </c>
      <c r="AA163" s="2">
        <f t="shared" si="25"/>
        <v>43182553.03293094</v>
      </c>
      <c r="AB163" s="2">
        <v>0</v>
      </c>
    </row>
    <row r="164" spans="1:28">
      <c r="A164" s="2">
        <v>161</v>
      </c>
      <c r="B164" s="2" t="s">
        <v>746</v>
      </c>
      <c r="C164" s="2" t="s">
        <v>2439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43019534.498213544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4"/>
        <v>43019534.498213544</v>
      </c>
      <c r="Y164" s="6" t="s">
        <v>1195</v>
      </c>
      <c r="Z164" s="6" t="s">
        <v>1195</v>
      </c>
      <c r="AA164" s="2">
        <f t="shared" si="25"/>
        <v>43182553.03293094</v>
      </c>
      <c r="AB164" s="2">
        <v>0</v>
      </c>
    </row>
    <row r="165" spans="1:28">
      <c r="A165" s="2">
        <v>162</v>
      </c>
      <c r="B165" s="2" t="s">
        <v>750</v>
      </c>
      <c r="C165" s="2" t="s">
        <v>2439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130</v>
      </c>
      <c r="J165" s="2" t="s">
        <v>1463</v>
      </c>
      <c r="K165" s="2">
        <f t="shared" si="21"/>
        <v>43019534.498213544</v>
      </c>
      <c r="L165" s="2" t="s">
        <v>2068</v>
      </c>
      <c r="M165" s="2" t="s">
        <v>1962</v>
      </c>
      <c r="N165" s="2" t="s">
        <v>2512</v>
      </c>
      <c r="O165" s="2">
        <v>1800</v>
      </c>
      <c r="P165" s="2">
        <v>190.7156982421875</v>
      </c>
      <c r="Q165" s="2">
        <v>187.80792236328119</v>
      </c>
      <c r="R165" s="2">
        <f>O165*P165</f>
        <v>343288.2568359375</v>
      </c>
      <c r="S165" s="2">
        <f>O165*Q165</f>
        <v>338054.26025390613</v>
      </c>
      <c r="T165" s="2">
        <f>R165+S165</f>
        <v>681342.51708984363</v>
      </c>
      <c r="U165" s="2">
        <f>ROUND(T165*0.0005, 2)</f>
        <v>340.67</v>
      </c>
      <c r="V165" s="2">
        <f>S165-R165</f>
        <v>-5233.9965820313664</v>
      </c>
      <c r="W165" s="2">
        <f>V165-U165</f>
        <v>-5574.6665820313665</v>
      </c>
      <c r="X165" s="2">
        <f>K165+W165</f>
        <v>43013959.831631511</v>
      </c>
      <c r="Y165" s="2">
        <f>ROUND(0.2*R165, 2)</f>
        <v>68657.649999999994</v>
      </c>
      <c r="Z165" s="2">
        <f>ROUND((W165/Y165)*100, 2)</f>
        <v>-8.1199999999999992</v>
      </c>
      <c r="AA165" s="2">
        <f>MAX(AA164, X165)</f>
        <v>43182553.03293094</v>
      </c>
      <c r="AB165" s="2">
        <f>X165-AA165</f>
        <v>-168593.20129942894</v>
      </c>
    </row>
    <row r="166" spans="1:28">
      <c r="A166" s="2">
        <v>163</v>
      </c>
      <c r="B166" s="2" t="s">
        <v>754</v>
      </c>
      <c r="C166" s="2" t="s">
        <v>2439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43013959.831631511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43013959.831631511</v>
      </c>
      <c r="Y166" s="6" t="s">
        <v>1195</v>
      </c>
      <c r="Z166" s="6" t="s">
        <v>1195</v>
      </c>
      <c r="AA166" s="2">
        <f>AA165</f>
        <v>43182553.03293094</v>
      </c>
      <c r="AB166" s="2">
        <v>0</v>
      </c>
    </row>
    <row r="167" spans="1:28">
      <c r="A167" s="2">
        <v>164</v>
      </c>
      <c r="B167" s="2" t="s">
        <v>758</v>
      </c>
      <c r="C167" s="2" t="s">
        <v>2439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43013959.831631511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43013959.831631511</v>
      </c>
      <c r="Y167" s="6" t="s">
        <v>1195</v>
      </c>
      <c r="Z167" s="6" t="s">
        <v>1195</v>
      </c>
      <c r="AA167" s="2">
        <f>AA166</f>
        <v>43182553.03293094</v>
      </c>
      <c r="AB167" s="2">
        <v>0</v>
      </c>
    </row>
    <row r="168" spans="1:28">
      <c r="A168" s="2">
        <v>165</v>
      </c>
      <c r="B168" s="2" t="s">
        <v>760</v>
      </c>
      <c r="C168" s="2" t="s">
        <v>2439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43013959.831631511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43013959.831631511</v>
      </c>
      <c r="Y168" s="6" t="s">
        <v>1195</v>
      </c>
      <c r="Z168" s="6" t="s">
        <v>1195</v>
      </c>
      <c r="AA168" s="2">
        <f>AA167</f>
        <v>43182553.03293094</v>
      </c>
      <c r="AB168" s="2">
        <v>0</v>
      </c>
    </row>
    <row r="169" spans="1:28">
      <c r="A169" s="2">
        <v>166</v>
      </c>
      <c r="B169" s="2" t="s">
        <v>763</v>
      </c>
      <c r="C169" s="2" t="s">
        <v>2439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43013959.831631511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43013959.831631511</v>
      </c>
      <c r="Y169" s="6" t="s">
        <v>1195</v>
      </c>
      <c r="Z169" s="6" t="s">
        <v>1195</v>
      </c>
      <c r="AA169" s="2">
        <f>AA168</f>
        <v>43182553.03293094</v>
      </c>
      <c r="AB169" s="2">
        <v>0</v>
      </c>
    </row>
    <row r="170" spans="1:28">
      <c r="A170" s="2">
        <v>167</v>
      </c>
      <c r="B170" s="2" t="s">
        <v>764</v>
      </c>
      <c r="C170" s="2" t="s">
        <v>2439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43013959.831631511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43013959.831631511</v>
      </c>
      <c r="Y170" s="6" t="s">
        <v>1195</v>
      </c>
      <c r="Z170" s="6" t="s">
        <v>1195</v>
      </c>
      <c r="AA170" s="2">
        <f>AA169</f>
        <v>43182553.03293094</v>
      </c>
      <c r="AB170" s="2">
        <v>0</v>
      </c>
    </row>
    <row r="171" spans="1:28">
      <c r="A171" s="2">
        <v>168</v>
      </c>
      <c r="B171" s="2" t="s">
        <v>769</v>
      </c>
      <c r="C171" s="2" t="s">
        <v>2439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1811</v>
      </c>
      <c r="J171" s="2" t="s">
        <v>316</v>
      </c>
      <c r="K171" s="2">
        <f t="shared" si="21"/>
        <v>43013959.831631511</v>
      </c>
      <c r="L171" s="2" t="s">
        <v>2391</v>
      </c>
      <c r="M171" s="2" t="s">
        <v>2392</v>
      </c>
      <c r="N171" s="2" t="s">
        <v>2393</v>
      </c>
      <c r="O171" s="2">
        <v>2667</v>
      </c>
      <c r="P171" s="2">
        <v>363.17263793945312</v>
      </c>
      <c r="Q171" s="2">
        <v>362.10964965820312</v>
      </c>
      <c r="R171" s="2">
        <f>O171*P171</f>
        <v>968581.42538452148</v>
      </c>
      <c r="S171" s="2">
        <f>O171*Q171</f>
        <v>965746.43563842773</v>
      </c>
      <c r="T171" s="2">
        <f>R171+S171</f>
        <v>1934327.8610229492</v>
      </c>
      <c r="U171" s="2">
        <f>ROUND(T171*0.0005, 2)</f>
        <v>967.16</v>
      </c>
      <c r="V171" s="2">
        <f>S171-R171</f>
        <v>-2834.98974609375</v>
      </c>
      <c r="W171" s="2">
        <f>V171-U171</f>
        <v>-3802.1497460937499</v>
      </c>
      <c r="X171" s="2">
        <f>K171+W171</f>
        <v>43010157.681885421</v>
      </c>
      <c r="Y171" s="2">
        <f>ROUND(0.2*R171, 2)</f>
        <v>193716.29</v>
      </c>
      <c r="Z171" s="2">
        <f>ROUND((W171/Y171)*100, 2)</f>
        <v>-1.96</v>
      </c>
      <c r="AA171" s="2">
        <f>MAX(AA170, X171)</f>
        <v>43182553.03293094</v>
      </c>
      <c r="AB171" s="2">
        <f>X171-AA171</f>
        <v>-172395.35104551911</v>
      </c>
    </row>
    <row r="172" spans="1:28">
      <c r="A172" s="2">
        <v>169</v>
      </c>
      <c r="B172" s="2" t="s">
        <v>773</v>
      </c>
      <c r="C172" s="2" t="s">
        <v>2439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2513</v>
      </c>
      <c r="J172" s="2" t="s">
        <v>2514</v>
      </c>
      <c r="K172" s="2">
        <f t="shared" si="21"/>
        <v>43010157.681885421</v>
      </c>
      <c r="L172" s="2" t="s">
        <v>2063</v>
      </c>
      <c r="M172" s="2" t="s">
        <v>1826</v>
      </c>
      <c r="N172" s="2" t="s">
        <v>1987</v>
      </c>
      <c r="O172" s="2">
        <v>250</v>
      </c>
      <c r="P172" s="2">
        <v>1146.276733398438</v>
      </c>
      <c r="Q172" s="2">
        <v>1115.522705078125</v>
      </c>
      <c r="R172" s="2">
        <f>O172*P172</f>
        <v>286569.18334960949</v>
      </c>
      <c r="S172" s="2">
        <f>O172*Q172</f>
        <v>278880.67626953125</v>
      </c>
      <c r="T172" s="2">
        <f>R172+S172</f>
        <v>565449.85961914074</v>
      </c>
      <c r="U172" s="2">
        <f>ROUND(T172*0.0005, 2)</f>
        <v>282.72000000000003</v>
      </c>
      <c r="V172" s="2">
        <f>S172-R172</f>
        <v>-7688.5070800782414</v>
      </c>
      <c r="W172" s="2">
        <f>V172-U172</f>
        <v>-7971.2270800782417</v>
      </c>
      <c r="X172" s="2">
        <f>K172+W172</f>
        <v>43002186.454805344</v>
      </c>
      <c r="Y172" s="2">
        <f>ROUND(0.2*R172, 2)</f>
        <v>57313.84</v>
      </c>
      <c r="Z172" s="2">
        <f>ROUND((W172/Y172)*100, 2)</f>
        <v>-13.91</v>
      </c>
      <c r="AA172" s="2">
        <f>MAX(AA171, X172)</f>
        <v>43182553.03293094</v>
      </c>
      <c r="AB172" s="2">
        <f>X172-AA172</f>
        <v>-180366.57812559605</v>
      </c>
    </row>
    <row r="173" spans="1:28">
      <c r="A173" s="2">
        <v>170</v>
      </c>
      <c r="B173" s="2" t="s">
        <v>778</v>
      </c>
      <c r="C173" s="2" t="s">
        <v>2439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43002186.454805344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43002186.454805344</v>
      </c>
      <c r="Y173" s="6" t="s">
        <v>1195</v>
      </c>
      <c r="Z173" s="6" t="s">
        <v>1195</v>
      </c>
      <c r="AA173" s="2">
        <f>AA172</f>
        <v>43182553.03293094</v>
      </c>
      <c r="AB173" s="2">
        <v>0</v>
      </c>
    </row>
    <row r="174" spans="1:28">
      <c r="A174" s="2">
        <v>171</v>
      </c>
      <c r="B174" s="2" t="s">
        <v>782</v>
      </c>
      <c r="C174" s="2" t="s">
        <v>2439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43002186.454805344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43002186.454805344</v>
      </c>
      <c r="Y174" s="6" t="s">
        <v>1195</v>
      </c>
      <c r="Z174" s="6" t="s">
        <v>1195</v>
      </c>
      <c r="AA174" s="2">
        <f>AA173</f>
        <v>43182553.03293094</v>
      </c>
      <c r="AB174" s="2">
        <v>0</v>
      </c>
    </row>
    <row r="175" spans="1:28">
      <c r="A175" s="2">
        <v>172</v>
      </c>
      <c r="B175" s="2" t="s">
        <v>784</v>
      </c>
      <c r="C175" s="2" t="s">
        <v>2439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43002186.454805344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43002186.454805344</v>
      </c>
      <c r="Y175" s="6" t="s">
        <v>1195</v>
      </c>
      <c r="Z175" s="6" t="s">
        <v>1195</v>
      </c>
      <c r="AA175" s="2">
        <f>AA174</f>
        <v>43182553.03293094</v>
      </c>
      <c r="AB175" s="2">
        <v>0</v>
      </c>
    </row>
    <row r="176" spans="1:28">
      <c r="A176" s="2">
        <v>173</v>
      </c>
      <c r="B176" s="2" t="s">
        <v>787</v>
      </c>
      <c r="C176" s="2" t="s">
        <v>2439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43002186.454805344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43002186.454805344</v>
      </c>
      <c r="Y176" s="6" t="s">
        <v>1195</v>
      </c>
      <c r="Z176" s="6" t="s">
        <v>1195</v>
      </c>
      <c r="AA176" s="2">
        <f>AA175</f>
        <v>43182553.03293094</v>
      </c>
      <c r="AB176" s="2">
        <v>0</v>
      </c>
    </row>
    <row r="177" spans="1:28">
      <c r="A177" s="2">
        <v>174</v>
      </c>
      <c r="B177" s="2" t="s">
        <v>790</v>
      </c>
      <c r="C177" s="2" t="s">
        <v>2439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709</v>
      </c>
      <c r="J177" s="2" t="s">
        <v>454</v>
      </c>
      <c r="K177" s="2">
        <f t="shared" si="21"/>
        <v>43002186.454805344</v>
      </c>
      <c r="L177" s="2" t="s">
        <v>2515</v>
      </c>
      <c r="M177" s="2" t="s">
        <v>2499</v>
      </c>
      <c r="N177" s="2" t="s">
        <v>2489</v>
      </c>
      <c r="O177" s="2">
        <v>375</v>
      </c>
      <c r="P177" s="2">
        <v>1040.73681640625</v>
      </c>
      <c r="Q177" s="2">
        <v>1094.93115234375</v>
      </c>
      <c r="R177" s="2">
        <f>O177*P177</f>
        <v>390276.30615234375</v>
      </c>
      <c r="S177" s="2">
        <f>O177*Q177</f>
        <v>410599.18212890625</v>
      </c>
      <c r="T177" s="2">
        <f>R177+S177</f>
        <v>800875.48828125</v>
      </c>
      <c r="U177" s="2">
        <f>ROUND(T177*0.0005, 2)</f>
        <v>400.44</v>
      </c>
      <c r="V177" s="2">
        <f>S177-R177</f>
        <v>20322.8759765625</v>
      </c>
      <c r="W177" s="2">
        <f>V177-U177</f>
        <v>19922.435976562501</v>
      </c>
      <c r="X177" s="2">
        <f>K177+W177</f>
        <v>43022108.890781909</v>
      </c>
      <c r="Y177" s="2">
        <f>ROUND(0.2*R177, 2)</f>
        <v>78055.259999999995</v>
      </c>
      <c r="Z177" s="2">
        <f>ROUND((W177/Y177)*100, 2)</f>
        <v>25.52</v>
      </c>
      <c r="AA177" s="2">
        <f>MAX(AA176, X177)</f>
        <v>43182553.03293094</v>
      </c>
      <c r="AB177" s="2">
        <f>X177-AA177</f>
        <v>-160444.14214903116</v>
      </c>
    </row>
    <row r="178" spans="1:28">
      <c r="A178" s="2">
        <v>175</v>
      </c>
      <c r="B178" s="2" t="s">
        <v>794</v>
      </c>
      <c r="C178" s="2" t="s">
        <v>2439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887</v>
      </c>
      <c r="J178" s="2" t="s">
        <v>2516</v>
      </c>
      <c r="K178" s="2">
        <f t="shared" si="21"/>
        <v>43022108.890781909</v>
      </c>
      <c r="L178" s="2" t="s">
        <v>1828</v>
      </c>
      <c r="M178" s="2" t="s">
        <v>2068</v>
      </c>
      <c r="N178" s="2" t="s">
        <v>2517</v>
      </c>
      <c r="O178" s="2">
        <v>1500</v>
      </c>
      <c r="P178" s="2">
        <v>547.5521240234375</v>
      </c>
      <c r="Q178" s="2">
        <v>549.0673828125</v>
      </c>
      <c r="R178" s="2">
        <f>O178*P178</f>
        <v>821328.18603515625</v>
      </c>
      <c r="S178" s="2">
        <f>O178*Q178</f>
        <v>823601.07421875</v>
      </c>
      <c r="T178" s="2">
        <f>R178+S178</f>
        <v>1644929.2602539062</v>
      </c>
      <c r="U178" s="2">
        <f>ROUND(T178*0.0005, 2)</f>
        <v>822.46</v>
      </c>
      <c r="V178" s="2">
        <f>S178-R178</f>
        <v>2272.88818359375</v>
      </c>
      <c r="W178" s="2">
        <f>V178-U178</f>
        <v>1450.42818359375</v>
      </c>
      <c r="X178" s="2">
        <f>K178+W178</f>
        <v>43023559.318965502</v>
      </c>
      <c r="Y178" s="2">
        <f>ROUND(0.2*R178, 2)</f>
        <v>164265.64000000001</v>
      </c>
      <c r="Z178" s="2">
        <f>ROUND((W178/Y178)*100, 2)</f>
        <v>0.88</v>
      </c>
      <c r="AA178" s="2">
        <f>MAX(AA177, X178)</f>
        <v>43182553.03293094</v>
      </c>
      <c r="AB178" s="2">
        <f>X178-AA178</f>
        <v>-158993.71396543831</v>
      </c>
    </row>
    <row r="179" spans="1:28">
      <c r="A179" s="2">
        <v>176</v>
      </c>
      <c r="B179" s="2" t="s">
        <v>798</v>
      </c>
      <c r="C179" s="2" t="s">
        <v>2439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43023559.318965502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43023559.318965502</v>
      </c>
      <c r="Y179" s="6" t="s">
        <v>1195</v>
      </c>
      <c r="Z179" s="6" t="s">
        <v>1195</v>
      </c>
      <c r="AA179" s="2">
        <f>AA178</f>
        <v>43182553.03293094</v>
      </c>
      <c r="AB179" s="2">
        <v>0</v>
      </c>
    </row>
    <row r="180" spans="1:28">
      <c r="A180" s="2">
        <v>177</v>
      </c>
      <c r="B180" s="2" t="s">
        <v>801</v>
      </c>
      <c r="C180" s="2" t="s">
        <v>2439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2518</v>
      </c>
      <c r="J180" s="2" t="s">
        <v>267</v>
      </c>
      <c r="K180" s="2">
        <f t="shared" si="21"/>
        <v>43023559.318965502</v>
      </c>
      <c r="L180" s="2" t="s">
        <v>2075</v>
      </c>
      <c r="M180" s="2" t="s">
        <v>1826</v>
      </c>
      <c r="N180" s="2" t="s">
        <v>2075</v>
      </c>
      <c r="O180" s="2">
        <v>957</v>
      </c>
      <c r="P180" s="2">
        <v>342.90109252929687</v>
      </c>
      <c r="Q180" s="2">
        <v>372.89727783203131</v>
      </c>
      <c r="R180" s="2">
        <f>O180*P180</f>
        <v>328156.34555053711</v>
      </c>
      <c r="S180" s="2">
        <f>O180*Q180</f>
        <v>356862.69488525396</v>
      </c>
      <c r="T180" s="2">
        <f>R180+S180</f>
        <v>685019.04043579102</v>
      </c>
      <c r="U180" s="2">
        <f>ROUND(T180*0.0005, 2)</f>
        <v>342.51</v>
      </c>
      <c r="V180" s="2">
        <f>S180-R180</f>
        <v>28706.349334716855</v>
      </c>
      <c r="W180" s="2">
        <f>V180-U180</f>
        <v>28363.839334716857</v>
      </c>
      <c r="X180" s="2">
        <f>K180+W180</f>
        <v>43051923.158300221</v>
      </c>
      <c r="Y180" s="2">
        <f>ROUND(0.2*R180, 2)</f>
        <v>65631.27</v>
      </c>
      <c r="Z180" s="2">
        <f>ROUND((W180/Y180)*100, 2)</f>
        <v>43.22</v>
      </c>
      <c r="AA180" s="2">
        <f>MAX(AA179, X180)</f>
        <v>43182553.03293094</v>
      </c>
      <c r="AB180" s="2">
        <f>X180-AA180</f>
        <v>-130629.87463071942</v>
      </c>
    </row>
    <row r="181" spans="1:28">
      <c r="A181" s="2">
        <v>178</v>
      </c>
      <c r="B181" s="2" t="s">
        <v>806</v>
      </c>
      <c r="C181" s="2" t="s">
        <v>2439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43051923.158300221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43051923.158300221</v>
      </c>
      <c r="Y181" s="6" t="s">
        <v>1195</v>
      </c>
      <c r="Z181" s="6" t="s">
        <v>1195</v>
      </c>
      <c r="AA181" s="2">
        <f>AA180</f>
        <v>43182553.03293094</v>
      </c>
      <c r="AB181" s="2">
        <v>0</v>
      </c>
    </row>
    <row r="182" spans="1:28">
      <c r="A182" s="2">
        <v>179</v>
      </c>
      <c r="B182" s="2" t="s">
        <v>809</v>
      </c>
      <c r="C182" s="2" t="s">
        <v>2439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43051923.158300221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43051923.158300221</v>
      </c>
      <c r="Y182" s="6" t="s">
        <v>1195</v>
      </c>
      <c r="Z182" s="6" t="s">
        <v>1195</v>
      </c>
      <c r="AA182" s="2">
        <f>AA181</f>
        <v>43182553.03293094</v>
      </c>
      <c r="AB182" s="2">
        <v>0</v>
      </c>
    </row>
    <row r="183" spans="1:28">
      <c r="A183" s="2">
        <v>180</v>
      </c>
      <c r="B183" s="2" t="s">
        <v>813</v>
      </c>
      <c r="C183" s="2" t="s">
        <v>2439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43051923.158300221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43051923.158300221</v>
      </c>
      <c r="Y183" s="6" t="s">
        <v>1195</v>
      </c>
      <c r="Z183" s="6" t="s">
        <v>1195</v>
      </c>
      <c r="AA183" s="2">
        <f>AA182</f>
        <v>43182553.03293094</v>
      </c>
      <c r="AB183" s="2">
        <v>0</v>
      </c>
    </row>
    <row r="184" spans="1:28">
      <c r="A184" s="2">
        <v>181</v>
      </c>
      <c r="B184" s="2" t="s">
        <v>817</v>
      </c>
      <c r="C184" s="2" t="s">
        <v>2439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43051923.158300221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43051923.158300221</v>
      </c>
      <c r="Y184" s="6" t="s">
        <v>1195</v>
      </c>
      <c r="Z184" s="6" t="s">
        <v>1195</v>
      </c>
      <c r="AA184" s="2">
        <f>AA183</f>
        <v>43182553.03293094</v>
      </c>
      <c r="AB184" s="2">
        <v>0</v>
      </c>
    </row>
    <row r="185" spans="1:28">
      <c r="A185" s="2">
        <v>182</v>
      </c>
      <c r="B185" s="2" t="s">
        <v>820</v>
      </c>
      <c r="C185" s="2" t="s">
        <v>2439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478</v>
      </c>
      <c r="J185" s="2" t="s">
        <v>2437</v>
      </c>
      <c r="K185" s="2">
        <f t="shared" si="21"/>
        <v>43051923.158300221</v>
      </c>
      <c r="L185" s="2" t="s">
        <v>1823</v>
      </c>
      <c r="M185" s="2" t="s">
        <v>1779</v>
      </c>
      <c r="N185" s="2" t="s">
        <v>1784</v>
      </c>
      <c r="O185" s="2">
        <v>350</v>
      </c>
      <c r="P185" s="2">
        <v>1299.712524414062</v>
      </c>
      <c r="Q185" s="2">
        <v>1455.9970703125</v>
      </c>
      <c r="R185" s="2">
        <f>O185*P185</f>
        <v>454899.3835449217</v>
      </c>
      <c r="S185" s="2">
        <f>O185*Q185</f>
        <v>509598.974609375</v>
      </c>
      <c r="T185" s="2">
        <f>R185+S185</f>
        <v>964498.35815429664</v>
      </c>
      <c r="U185" s="2">
        <f>ROUND(T185*0.0005, 2)</f>
        <v>482.25</v>
      </c>
      <c r="V185" s="2">
        <f>S185-R185</f>
        <v>54699.5910644533</v>
      </c>
      <c r="W185" s="2">
        <f>V185-U185</f>
        <v>54217.3410644533</v>
      </c>
      <c r="X185" s="2">
        <f>K185+W185</f>
        <v>43106140.499364674</v>
      </c>
      <c r="Y185" s="2">
        <f>ROUND(0.2*R185, 2)</f>
        <v>90979.88</v>
      </c>
      <c r="Z185" s="2">
        <f>ROUND((W185/Y185)*100, 2)</f>
        <v>59.59</v>
      </c>
      <c r="AA185" s="2">
        <f>MAX(AA184, X185)</f>
        <v>43182553.03293094</v>
      </c>
      <c r="AB185" s="2">
        <f>X185-AA185</f>
        <v>-76412.533566266298</v>
      </c>
    </row>
    <row r="186" spans="1:28">
      <c r="A186" s="2">
        <v>183</v>
      </c>
      <c r="B186" s="2" t="s">
        <v>823</v>
      </c>
      <c r="C186" s="2" t="s">
        <v>2439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43106140.499364674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43106140.499364674</v>
      </c>
      <c r="Y186" s="6" t="s">
        <v>1195</v>
      </c>
      <c r="Z186" s="6" t="s">
        <v>1195</v>
      </c>
      <c r="AA186" s="2">
        <f>AA185</f>
        <v>43182553.03293094</v>
      </c>
      <c r="AB186" s="2">
        <v>0</v>
      </c>
    </row>
    <row r="187" spans="1:28">
      <c r="A187" s="2">
        <v>184</v>
      </c>
      <c r="B187" s="2" t="s">
        <v>827</v>
      </c>
      <c r="C187" s="2" t="s">
        <v>2439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43106140.499364674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43106140.499364674</v>
      </c>
      <c r="Y187" s="6" t="s">
        <v>1195</v>
      </c>
      <c r="Z187" s="6" t="s">
        <v>1195</v>
      </c>
      <c r="AA187" s="2">
        <f>AA186</f>
        <v>43182553.03293094</v>
      </c>
      <c r="AB187" s="2">
        <v>0</v>
      </c>
    </row>
    <row r="188" spans="1:28">
      <c r="A188" s="2">
        <v>185</v>
      </c>
      <c r="B188" s="2" t="s">
        <v>831</v>
      </c>
      <c r="C188" s="2" t="s">
        <v>2439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43106140.499364674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43106140.499364674</v>
      </c>
      <c r="Y188" s="6" t="s">
        <v>1195</v>
      </c>
      <c r="Z188" s="6" t="s">
        <v>1195</v>
      </c>
      <c r="AA188" s="2">
        <f>AA187</f>
        <v>43182553.03293094</v>
      </c>
      <c r="AB188" s="2">
        <v>0</v>
      </c>
    </row>
    <row r="189" spans="1:28">
      <c r="A189" s="2">
        <v>186</v>
      </c>
      <c r="B189" s="2" t="s">
        <v>835</v>
      </c>
      <c r="C189" s="2" t="s">
        <v>2439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2519</v>
      </c>
      <c r="J189" s="2" t="s">
        <v>1439</v>
      </c>
      <c r="K189" s="2">
        <f t="shared" si="21"/>
        <v>43106140.499364674</v>
      </c>
      <c r="L189" s="2" t="s">
        <v>1987</v>
      </c>
      <c r="M189" s="2" t="s">
        <v>2068</v>
      </c>
      <c r="N189" s="2" t="s">
        <v>2067</v>
      </c>
      <c r="O189" s="2">
        <v>450</v>
      </c>
      <c r="P189" s="2">
        <v>901.37243652343761</v>
      </c>
      <c r="Q189" s="2">
        <v>871.116455078125</v>
      </c>
      <c r="R189" s="2">
        <f>O189*P189</f>
        <v>405617.59643554693</v>
      </c>
      <c r="S189" s="2">
        <f>O189*Q189</f>
        <v>392002.40478515625</v>
      </c>
      <c r="T189" s="2">
        <f>R189+S189</f>
        <v>797620.00122070313</v>
      </c>
      <c r="U189" s="2">
        <f>ROUND(T189*0.0005, 2)</f>
        <v>398.81</v>
      </c>
      <c r="V189" s="2">
        <f>S189-R189</f>
        <v>-13615.191650390683</v>
      </c>
      <c r="W189" s="2">
        <f>V189-U189</f>
        <v>-14014.001650390683</v>
      </c>
      <c r="X189" s="2">
        <f>K189+W189</f>
        <v>43092126.497714281</v>
      </c>
      <c r="Y189" s="2">
        <f>ROUND(0.2*R189, 2)</f>
        <v>81123.520000000004</v>
      </c>
      <c r="Z189" s="2">
        <f>ROUND((W189/Y189)*100, 2)</f>
        <v>-17.27</v>
      </c>
      <c r="AA189" s="2">
        <f>MAX(AA188, X189)</f>
        <v>43182553.03293094</v>
      </c>
      <c r="AB189" s="2">
        <f>X189-AA189</f>
        <v>-90426.535216659307</v>
      </c>
    </row>
    <row r="190" spans="1:28">
      <c r="A190" s="2">
        <v>187</v>
      </c>
      <c r="B190" s="2" t="s">
        <v>840</v>
      </c>
      <c r="C190" s="2" t="s">
        <v>2439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43092126.497714281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43092126.497714281</v>
      </c>
      <c r="Y190" s="6" t="s">
        <v>1195</v>
      </c>
      <c r="Z190" s="6" t="s">
        <v>1195</v>
      </c>
      <c r="AA190" s="2">
        <f>AA189</f>
        <v>43182553.03293094</v>
      </c>
      <c r="AB190" s="2">
        <v>0</v>
      </c>
    </row>
    <row r="191" spans="1:28">
      <c r="A191" s="2">
        <v>188</v>
      </c>
      <c r="B191" s="2" t="s">
        <v>845</v>
      </c>
      <c r="C191" s="2" t="s">
        <v>2439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43092126.497714281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43092126.497714281</v>
      </c>
      <c r="Y191" s="6" t="s">
        <v>1195</v>
      </c>
      <c r="Z191" s="6" t="s">
        <v>1195</v>
      </c>
      <c r="AA191" s="2">
        <f>AA190</f>
        <v>43182553.03293094</v>
      </c>
      <c r="AB191" s="2">
        <v>0</v>
      </c>
    </row>
    <row r="192" spans="1:28">
      <c r="A192" s="2">
        <v>189</v>
      </c>
      <c r="B192" s="2" t="s">
        <v>848</v>
      </c>
      <c r="C192" s="2" t="s">
        <v>2439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43092126.497714281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43092126.497714281</v>
      </c>
      <c r="Y192" s="6" t="s">
        <v>1195</v>
      </c>
      <c r="Z192" s="6" t="s">
        <v>1195</v>
      </c>
      <c r="AA192" s="2">
        <f>AA191</f>
        <v>43182553.03293094</v>
      </c>
      <c r="AB192" s="2">
        <v>0</v>
      </c>
    </row>
    <row r="193" spans="1:28">
      <c r="A193" s="2">
        <v>190</v>
      </c>
      <c r="B193" s="2" t="s">
        <v>851</v>
      </c>
      <c r="C193" s="2" t="s">
        <v>2439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987</v>
      </c>
      <c r="J193" s="2" t="s">
        <v>2520</v>
      </c>
      <c r="K193" s="2">
        <f t="shared" si="21"/>
        <v>43092126.497714281</v>
      </c>
      <c r="L193" s="2" t="s">
        <v>2464</v>
      </c>
      <c r="M193" s="2" t="s">
        <v>2512</v>
      </c>
      <c r="N193" s="2" t="s">
        <v>2050</v>
      </c>
      <c r="O193" s="2">
        <v>5500</v>
      </c>
      <c r="P193" s="2">
        <v>111.7350387573242</v>
      </c>
      <c r="Q193" s="2">
        <v>115.5361785888672</v>
      </c>
      <c r="R193" s="2">
        <f>O193*P193</f>
        <v>614542.71316528309</v>
      </c>
      <c r="S193" s="2">
        <f>O193*Q193</f>
        <v>635448.98223876965</v>
      </c>
      <c r="T193" s="2">
        <f>R193+S193</f>
        <v>1249991.6954040527</v>
      </c>
      <c r="U193" s="2">
        <f>ROUND(T193*0.0005, 2)</f>
        <v>625</v>
      </c>
      <c r="V193" s="2">
        <f>S193-R193</f>
        <v>20906.269073486561</v>
      </c>
      <c r="W193" s="2">
        <f>V193-U193</f>
        <v>20281.269073486561</v>
      </c>
      <c r="X193" s="2">
        <f>K193+W193</f>
        <v>43112407.766787767</v>
      </c>
      <c r="Y193" s="2">
        <f>ROUND(0.2*R193, 2)</f>
        <v>122908.54</v>
      </c>
      <c r="Z193" s="2">
        <f>ROUND((W193/Y193)*100, 2)</f>
        <v>16.5</v>
      </c>
      <c r="AA193" s="2">
        <f>MAX(AA192, X193)</f>
        <v>43182553.03293094</v>
      </c>
      <c r="AB193" s="2">
        <f>X193-AA193</f>
        <v>-70145.266143172979</v>
      </c>
    </row>
    <row r="194" spans="1:28">
      <c r="A194" s="2">
        <v>191</v>
      </c>
      <c r="B194" s="2" t="s">
        <v>854</v>
      </c>
      <c r="C194" s="2" t="s">
        <v>2439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1997</v>
      </c>
      <c r="J194" s="2" t="s">
        <v>1781</v>
      </c>
      <c r="K194" s="2">
        <f t="shared" si="21"/>
        <v>43112407.766787767</v>
      </c>
      <c r="L194" s="2" t="s">
        <v>2500</v>
      </c>
      <c r="M194" s="2" t="s">
        <v>2059</v>
      </c>
      <c r="N194" s="2" t="s">
        <v>2057</v>
      </c>
      <c r="O194" s="2">
        <v>175</v>
      </c>
      <c r="P194" s="2">
        <v>3272.656005859375</v>
      </c>
      <c r="Q194" s="2">
        <v>3318.984619140625</v>
      </c>
      <c r="R194" s="2">
        <f>O194*P194</f>
        <v>572714.80102539062</v>
      </c>
      <c r="S194" s="2">
        <f>O194*Q194</f>
        <v>580822.30834960938</v>
      </c>
      <c r="T194" s="2">
        <f>R194+S194</f>
        <v>1153537.109375</v>
      </c>
      <c r="U194" s="2">
        <f>ROUND(T194*0.0005, 2)</f>
        <v>576.77</v>
      </c>
      <c r="V194" s="2">
        <f>S194-R194</f>
        <v>8107.50732421875</v>
      </c>
      <c r="W194" s="2">
        <f>V194-U194</f>
        <v>7530.7373242187496</v>
      </c>
      <c r="X194" s="2">
        <f>K194+W194</f>
        <v>43119938.504111983</v>
      </c>
      <c r="Y194" s="2">
        <f>ROUND(0.2*R194, 2)</f>
        <v>114542.96</v>
      </c>
      <c r="Z194" s="2">
        <f>ROUND((W194/Y194)*100, 2)</f>
        <v>6.57</v>
      </c>
      <c r="AA194" s="2">
        <f>MAX(AA193, X194)</f>
        <v>43182553.03293094</v>
      </c>
      <c r="AB194" s="2">
        <f>X194-AA194</f>
        <v>-62614.528818957508</v>
      </c>
    </row>
    <row r="195" spans="1:28">
      <c r="A195" s="2">
        <v>192</v>
      </c>
      <c r="B195" s="2" t="s">
        <v>860</v>
      </c>
      <c r="C195" s="2" t="s">
        <v>2439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716</v>
      </c>
      <c r="J195" s="2" t="s">
        <v>1086</v>
      </c>
      <c r="K195" s="2">
        <f t="shared" si="21"/>
        <v>43119938.504111983</v>
      </c>
      <c r="L195" s="2" t="s">
        <v>2063</v>
      </c>
      <c r="M195" s="2" t="s">
        <v>1826</v>
      </c>
      <c r="N195" s="2" t="s">
        <v>2075</v>
      </c>
      <c r="O195" s="2">
        <v>600</v>
      </c>
      <c r="P195" s="2">
        <v>1028.216430664062</v>
      </c>
      <c r="Q195" s="2">
        <v>1041.552490234375</v>
      </c>
      <c r="R195" s="2">
        <f>O195*P195</f>
        <v>616929.85839843727</v>
      </c>
      <c r="S195" s="2">
        <f>O195*Q195</f>
        <v>624931.494140625</v>
      </c>
      <c r="T195" s="2">
        <f>R195+S195</f>
        <v>1241861.3525390623</v>
      </c>
      <c r="U195" s="2">
        <f>ROUND(T195*0.0005, 2)</f>
        <v>620.92999999999995</v>
      </c>
      <c r="V195" s="2">
        <f>S195-R195</f>
        <v>8001.6357421877328</v>
      </c>
      <c r="W195" s="2">
        <f>V195-U195</f>
        <v>7380.7057421877325</v>
      </c>
      <c r="X195" s="2">
        <f>K195+W195</f>
        <v>43127319.209854171</v>
      </c>
      <c r="Y195" s="2">
        <f>ROUND(0.2*R195, 2)</f>
        <v>123385.97</v>
      </c>
      <c r="Z195" s="2">
        <f>ROUND((W195/Y195)*100, 2)</f>
        <v>5.98</v>
      </c>
      <c r="AA195" s="2">
        <f>MAX(AA194, X195)</f>
        <v>43182553.03293094</v>
      </c>
      <c r="AB195" s="2">
        <f>X195-AA195</f>
        <v>-55233.82307676971</v>
      </c>
    </row>
    <row r="196" spans="1:28">
      <c r="A196" s="2">
        <v>193</v>
      </c>
      <c r="B196" s="2" t="s">
        <v>865</v>
      </c>
      <c r="C196" s="2" t="s">
        <v>2439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43127319.209854171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43127319.209854171</v>
      </c>
      <c r="Y196" s="6" t="s">
        <v>1195</v>
      </c>
      <c r="Z196" s="6" t="s">
        <v>1195</v>
      </c>
      <c r="AA196" s="2">
        <f>AA195</f>
        <v>43182553.03293094</v>
      </c>
      <c r="AB196" s="2">
        <v>0</v>
      </c>
    </row>
    <row r="197" spans="1:28">
      <c r="A197" s="2">
        <v>194</v>
      </c>
      <c r="B197" s="2" t="s">
        <v>868</v>
      </c>
      <c r="C197" s="2" t="s">
        <v>2439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579</v>
      </c>
      <c r="J197" s="2" t="s">
        <v>2521</v>
      </c>
      <c r="K197" s="2">
        <f t="shared" ref="K197:K214" si="26">X196</f>
        <v>43127319.209854171</v>
      </c>
      <c r="L197" s="2" t="s">
        <v>2120</v>
      </c>
      <c r="M197" s="2" t="s">
        <v>2159</v>
      </c>
      <c r="N197" s="2" t="s">
        <v>2120</v>
      </c>
      <c r="O197" s="2">
        <v>175</v>
      </c>
      <c r="P197" s="2">
        <v>2877</v>
      </c>
      <c r="Q197" s="2">
        <v>2874.523681640625</v>
      </c>
      <c r="R197" s="2">
        <f>O197*P197</f>
        <v>503475</v>
      </c>
      <c r="S197" s="2">
        <f>O197*Q197</f>
        <v>503041.64428710938</v>
      </c>
      <c r="T197" s="2">
        <f>R197+S197</f>
        <v>1006516.6442871094</v>
      </c>
      <c r="U197" s="2">
        <f>ROUND(T197*0.0005, 2)</f>
        <v>503.26</v>
      </c>
      <c r="V197" s="2">
        <f>S197-R197</f>
        <v>-433.355712890625</v>
      </c>
      <c r="W197" s="2">
        <f>V197-U197</f>
        <v>-936.61571289062499</v>
      </c>
      <c r="X197" s="2">
        <f>K197+W197</f>
        <v>43126382.594141282</v>
      </c>
      <c r="Y197" s="2">
        <f>ROUND(0.2*R197, 2)</f>
        <v>100695</v>
      </c>
      <c r="Z197" s="2">
        <f>ROUND((W197/Y197)*100, 2)</f>
        <v>-0.93</v>
      </c>
      <c r="AA197" s="2">
        <f>MAX(AA196, X197)</f>
        <v>43182553.03293094</v>
      </c>
      <c r="AB197" s="2">
        <f>X197-AA197</f>
        <v>-56170.438789658248</v>
      </c>
    </row>
    <row r="198" spans="1:28">
      <c r="A198" s="2">
        <v>195</v>
      </c>
      <c r="B198" s="2" t="s">
        <v>873</v>
      </c>
      <c r="C198" s="2" t="s">
        <v>2439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6" t="s">
        <v>1195</v>
      </c>
      <c r="I198" s="6" t="s">
        <v>1195</v>
      </c>
      <c r="J198" s="6" t="s">
        <v>1195</v>
      </c>
      <c r="K198" s="2">
        <f t="shared" si="26"/>
        <v>43126382.594141282</v>
      </c>
      <c r="L198" s="6" t="s">
        <v>1195</v>
      </c>
      <c r="M198" s="6" t="s">
        <v>1195</v>
      </c>
      <c r="N198" s="6" t="s">
        <v>1195</v>
      </c>
      <c r="O198" s="2">
        <v>3054</v>
      </c>
      <c r="P198" s="6" t="s">
        <v>1195</v>
      </c>
      <c r="Q198" s="6" t="s">
        <v>1195</v>
      </c>
      <c r="R198" s="6" t="s">
        <v>1195</v>
      </c>
      <c r="S198" s="6" t="s">
        <v>1195</v>
      </c>
      <c r="T198" s="6" t="s">
        <v>1195</v>
      </c>
      <c r="U198" s="6" t="s">
        <v>1195</v>
      </c>
      <c r="V198" s="6" t="s">
        <v>1195</v>
      </c>
      <c r="W198" s="6" t="s">
        <v>1195</v>
      </c>
      <c r="X198" s="2">
        <f>K198</f>
        <v>43126382.594141282</v>
      </c>
      <c r="Y198" s="6" t="s">
        <v>1195</v>
      </c>
      <c r="Z198" s="6" t="s">
        <v>1195</v>
      </c>
      <c r="AA198" s="2">
        <f>AA197</f>
        <v>43182553.03293094</v>
      </c>
      <c r="AB198" s="2">
        <v>0</v>
      </c>
    </row>
    <row r="199" spans="1:28">
      <c r="A199" s="2">
        <v>196</v>
      </c>
      <c r="B199" s="2" t="s">
        <v>878</v>
      </c>
      <c r="C199" s="2" t="s">
        <v>2439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6"/>
        <v>43126382.594141282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43126382.594141282</v>
      </c>
      <c r="Y199" s="6" t="s">
        <v>1195</v>
      </c>
      <c r="Z199" s="6" t="s">
        <v>1195</v>
      </c>
      <c r="AA199" s="2">
        <f>AA198</f>
        <v>43182553.03293094</v>
      </c>
      <c r="AB199" s="2">
        <v>0</v>
      </c>
    </row>
    <row r="200" spans="1:28">
      <c r="A200" s="2">
        <v>197</v>
      </c>
      <c r="B200" s="2" t="s">
        <v>881</v>
      </c>
      <c r="C200" s="2" t="s">
        <v>2439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2522</v>
      </c>
      <c r="J200" s="2" t="s">
        <v>2523</v>
      </c>
      <c r="K200" s="2">
        <f t="shared" si="26"/>
        <v>43126382.594141282</v>
      </c>
      <c r="L200" s="2" t="s">
        <v>1827</v>
      </c>
      <c r="M200" s="2" t="s">
        <v>2480</v>
      </c>
      <c r="N200" s="2" t="s">
        <v>2068</v>
      </c>
      <c r="O200" s="2">
        <v>345</v>
      </c>
      <c r="P200" s="2">
        <v>2227.599365234375</v>
      </c>
      <c r="Q200" s="2">
        <v>2546.746826171875</v>
      </c>
      <c r="R200" s="2">
        <f>O200*P200</f>
        <v>768521.78100585938</v>
      </c>
      <c r="S200" s="2">
        <f>O200*Q200</f>
        <v>878627.65502929687</v>
      </c>
      <c r="T200" s="2">
        <f>R200+S200</f>
        <v>1647149.4360351562</v>
      </c>
      <c r="U200" s="2">
        <f>ROUND(T200*0.0005, 2)</f>
        <v>823.57</v>
      </c>
      <c r="V200" s="2">
        <f>S200-R200</f>
        <v>110105.8740234375</v>
      </c>
      <c r="W200" s="2">
        <f>V200-U200</f>
        <v>109282.30402343749</v>
      </c>
      <c r="X200" s="2">
        <f>K200+W200</f>
        <v>43235664.898164719</v>
      </c>
      <c r="Y200" s="2">
        <f>ROUND(0.2*R200, 2)</f>
        <v>153704.35999999999</v>
      </c>
      <c r="Z200" s="2">
        <f>ROUND((W200/Y200)*100, 2)</f>
        <v>71.099999999999994</v>
      </c>
      <c r="AA200" s="2">
        <f>MAX(AA199, X200)</f>
        <v>43235664.898164719</v>
      </c>
      <c r="AB200" s="2">
        <f>X200-AA200</f>
        <v>0</v>
      </c>
    </row>
    <row r="201" spans="1:28">
      <c r="A201" s="2">
        <v>198</v>
      </c>
      <c r="B201" s="2" t="s">
        <v>886</v>
      </c>
      <c r="C201" s="2" t="s">
        <v>2439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6"/>
        <v>43235664.898164719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43235664.898164719</v>
      </c>
      <c r="Y201" s="6" t="s">
        <v>1195</v>
      </c>
      <c r="Z201" s="6" t="s">
        <v>1195</v>
      </c>
      <c r="AA201" s="2">
        <f>AA200</f>
        <v>43235664.898164719</v>
      </c>
      <c r="AB201" s="2">
        <v>0</v>
      </c>
    </row>
    <row r="202" spans="1:28">
      <c r="A202" s="2">
        <v>199</v>
      </c>
      <c r="B202" s="2" t="s">
        <v>890</v>
      </c>
      <c r="C202" s="2" t="s">
        <v>2439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432</v>
      </c>
      <c r="J202" s="2" t="s">
        <v>1166</v>
      </c>
      <c r="K202" s="2">
        <f t="shared" si="26"/>
        <v>43235664.898164719</v>
      </c>
      <c r="L202" s="2" t="s">
        <v>1787</v>
      </c>
      <c r="M202" s="2" t="s">
        <v>1585</v>
      </c>
      <c r="N202" s="2" t="s">
        <v>1823</v>
      </c>
      <c r="O202" s="2">
        <v>100</v>
      </c>
      <c r="P202" s="2">
        <v>10149.1484375</v>
      </c>
      <c r="Q202" s="2">
        <v>9689.208984375</v>
      </c>
      <c r="R202" s="2">
        <f>O202*P202</f>
        <v>1014914.84375</v>
      </c>
      <c r="S202" s="2">
        <f>O202*Q202</f>
        <v>968920.8984375</v>
      </c>
      <c r="T202" s="2">
        <f>R202+S202</f>
        <v>1983835.7421875</v>
      </c>
      <c r="U202" s="2">
        <f>ROUND(T202*0.0005, 2)</f>
        <v>991.92</v>
      </c>
      <c r="V202" s="2">
        <f>S202-R202</f>
        <v>-45993.9453125</v>
      </c>
      <c r="W202" s="2">
        <f>V202-U202</f>
        <v>-46985.865312499998</v>
      </c>
      <c r="X202" s="2">
        <f>K202+W202</f>
        <v>43188679.032852218</v>
      </c>
      <c r="Y202" s="2">
        <f>ROUND(0.2*R202, 2)</f>
        <v>202982.97</v>
      </c>
      <c r="Z202" s="2">
        <f>ROUND((W202/Y202)*100, 2)</f>
        <v>-23.15</v>
      </c>
      <c r="AA202" s="2">
        <f>MAX(AA201, X202)</f>
        <v>43235664.898164719</v>
      </c>
      <c r="AB202" s="2">
        <f>X202-AA202</f>
        <v>-46985.865312501788</v>
      </c>
    </row>
    <row r="203" spans="1:28">
      <c r="A203" s="2">
        <v>200</v>
      </c>
      <c r="B203" s="2" t="s">
        <v>894</v>
      </c>
      <c r="C203" s="2" t="s">
        <v>2439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6"/>
        <v>43188679.032852218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7">K203</f>
        <v>43188679.032852218</v>
      </c>
      <c r="Y203" s="6" t="s">
        <v>1195</v>
      </c>
      <c r="Z203" s="6" t="s">
        <v>1195</v>
      </c>
      <c r="AA203" s="2">
        <f t="shared" ref="AA203:AA211" si="28">AA202</f>
        <v>43235664.898164719</v>
      </c>
      <c r="AB203" s="2">
        <v>0</v>
      </c>
    </row>
    <row r="204" spans="1:28">
      <c r="A204" s="2">
        <v>201</v>
      </c>
      <c r="B204" s="2" t="s">
        <v>897</v>
      </c>
      <c r="C204" s="2" t="s">
        <v>2439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6"/>
        <v>43188679.032852218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7"/>
        <v>43188679.032852218</v>
      </c>
      <c r="Y204" s="6" t="s">
        <v>1195</v>
      </c>
      <c r="Z204" s="6" t="s">
        <v>1195</v>
      </c>
      <c r="AA204" s="2">
        <f t="shared" si="28"/>
        <v>43235664.898164719</v>
      </c>
      <c r="AB204" s="2">
        <v>0</v>
      </c>
    </row>
    <row r="205" spans="1:28">
      <c r="A205" s="2">
        <v>202</v>
      </c>
      <c r="B205" s="2" t="s">
        <v>899</v>
      </c>
      <c r="C205" s="2" t="s">
        <v>2439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6"/>
        <v>43188679.032852218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7"/>
        <v>43188679.032852218</v>
      </c>
      <c r="Y205" s="6" t="s">
        <v>1195</v>
      </c>
      <c r="Z205" s="6" t="s">
        <v>1195</v>
      </c>
      <c r="AA205" s="2">
        <f t="shared" si="28"/>
        <v>43235664.898164719</v>
      </c>
      <c r="AB205" s="2">
        <v>0</v>
      </c>
    </row>
    <row r="206" spans="1:28">
      <c r="A206" s="2">
        <v>203</v>
      </c>
      <c r="B206" s="2" t="s">
        <v>902</v>
      </c>
      <c r="C206" s="2" t="s">
        <v>2439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6"/>
        <v>43188679.032852218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7"/>
        <v>43188679.032852218</v>
      </c>
      <c r="Y206" s="6" t="s">
        <v>1195</v>
      </c>
      <c r="Z206" s="6" t="s">
        <v>1195</v>
      </c>
      <c r="AA206" s="2">
        <f t="shared" si="28"/>
        <v>43235664.898164719</v>
      </c>
      <c r="AB206" s="2">
        <v>0</v>
      </c>
    </row>
    <row r="207" spans="1:28">
      <c r="A207" s="2">
        <v>204</v>
      </c>
      <c r="B207" s="2" t="s">
        <v>906</v>
      </c>
      <c r="C207" s="2" t="s">
        <v>2439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6"/>
        <v>43188679.032852218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7"/>
        <v>43188679.032852218</v>
      </c>
      <c r="Y207" s="6" t="s">
        <v>1195</v>
      </c>
      <c r="Z207" s="6" t="s">
        <v>1195</v>
      </c>
      <c r="AA207" s="2">
        <f t="shared" si="28"/>
        <v>43235664.898164719</v>
      </c>
      <c r="AB207" s="2">
        <v>0</v>
      </c>
    </row>
    <row r="208" spans="1:28">
      <c r="A208" s="2">
        <v>205</v>
      </c>
      <c r="B208" s="2" t="s">
        <v>910</v>
      </c>
      <c r="C208" s="2" t="s">
        <v>2439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6"/>
        <v>43188679.032852218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7"/>
        <v>43188679.032852218</v>
      </c>
      <c r="Y208" s="6" t="s">
        <v>1195</v>
      </c>
      <c r="Z208" s="6" t="s">
        <v>1195</v>
      </c>
      <c r="AA208" s="2">
        <f t="shared" si="28"/>
        <v>43235664.898164719</v>
      </c>
      <c r="AB208" s="2">
        <v>0</v>
      </c>
    </row>
    <row r="209" spans="1:28">
      <c r="A209" s="2">
        <v>206</v>
      </c>
      <c r="B209" s="2" t="s">
        <v>913</v>
      </c>
      <c r="C209" s="2" t="s">
        <v>2439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6"/>
        <v>43188679.032852218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7"/>
        <v>43188679.032852218</v>
      </c>
      <c r="Y209" s="6" t="s">
        <v>1195</v>
      </c>
      <c r="Z209" s="6" t="s">
        <v>1195</v>
      </c>
      <c r="AA209" s="2">
        <f t="shared" si="28"/>
        <v>43235664.898164719</v>
      </c>
      <c r="AB209" s="2">
        <v>0</v>
      </c>
    </row>
    <row r="210" spans="1:28">
      <c r="A210" s="2">
        <v>207</v>
      </c>
      <c r="B210" s="2" t="s">
        <v>915</v>
      </c>
      <c r="C210" s="2" t="s">
        <v>2439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6"/>
        <v>43188679.032852218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7"/>
        <v>43188679.032852218</v>
      </c>
      <c r="Y210" s="6" t="s">
        <v>1195</v>
      </c>
      <c r="Z210" s="6" t="s">
        <v>1195</v>
      </c>
      <c r="AA210" s="2">
        <f t="shared" si="28"/>
        <v>43235664.898164719</v>
      </c>
      <c r="AB210" s="2">
        <v>0</v>
      </c>
    </row>
    <row r="211" spans="1:28">
      <c r="A211" s="2">
        <v>208</v>
      </c>
      <c r="B211" s="2" t="s">
        <v>918</v>
      </c>
      <c r="C211" s="2" t="s">
        <v>2439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6"/>
        <v>43188679.032852218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7"/>
        <v>43188679.032852218</v>
      </c>
      <c r="Y211" s="6" t="s">
        <v>1195</v>
      </c>
      <c r="Z211" s="6" t="s">
        <v>1195</v>
      </c>
      <c r="AA211" s="2">
        <f t="shared" si="28"/>
        <v>43235664.898164719</v>
      </c>
      <c r="AB211" s="2">
        <v>0</v>
      </c>
    </row>
    <row r="212" spans="1:28">
      <c r="A212" s="2">
        <v>209</v>
      </c>
      <c r="B212" s="2" t="s">
        <v>922</v>
      </c>
      <c r="C212" s="2" t="s">
        <v>2439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2524</v>
      </c>
      <c r="J212" s="2" t="s">
        <v>2525</v>
      </c>
      <c r="K212" s="2">
        <f t="shared" si="26"/>
        <v>43188679.032852218</v>
      </c>
      <c r="L212" s="2" t="s">
        <v>2463</v>
      </c>
      <c r="M212" s="2" t="s">
        <v>2075</v>
      </c>
      <c r="N212" s="2" t="s">
        <v>2465</v>
      </c>
      <c r="O212" s="2">
        <v>1500</v>
      </c>
      <c r="P212" s="2">
        <v>195.07887268066409</v>
      </c>
      <c r="Q212" s="2">
        <v>176.9085998535156</v>
      </c>
      <c r="R212" s="2">
        <f>O212*P212</f>
        <v>292618.30902099615</v>
      </c>
      <c r="S212" s="2">
        <f>O212*Q212</f>
        <v>265362.89978027338</v>
      </c>
      <c r="T212" s="2">
        <f>R212+S212</f>
        <v>557981.20880126953</v>
      </c>
      <c r="U212" s="2">
        <f>ROUND(T212*0.0005, 2)</f>
        <v>278.99</v>
      </c>
      <c r="V212" s="2">
        <f>S212-R212</f>
        <v>-27255.409240722773</v>
      </c>
      <c r="W212" s="2">
        <f>V212-U212</f>
        <v>-27534.399240722774</v>
      </c>
      <c r="X212" s="2">
        <f>K212+W212</f>
        <v>43161144.633611493</v>
      </c>
      <c r="Y212" s="2">
        <f>ROUND(0.2*R212, 2)</f>
        <v>58523.66</v>
      </c>
      <c r="Z212" s="2">
        <f>ROUND((W212/Y212)*100, 2)</f>
        <v>-47.05</v>
      </c>
      <c r="AA212" s="2">
        <f>MAX(AA211, X212)</f>
        <v>43235664.898164719</v>
      </c>
      <c r="AB212" s="2">
        <f>X212-AA212</f>
        <v>-74520.264553226531</v>
      </c>
    </row>
    <row r="213" spans="1:28">
      <c r="A213" s="2">
        <v>210</v>
      </c>
      <c r="B213" s="2" t="s">
        <v>925</v>
      </c>
      <c r="C213" s="2" t="s">
        <v>2439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6"/>
        <v>43161144.633611493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43161144.633611493</v>
      </c>
      <c r="Y213" s="6" t="s">
        <v>1195</v>
      </c>
      <c r="Z213" s="6" t="s">
        <v>1195</v>
      </c>
      <c r="AA213" s="2">
        <f>AA212</f>
        <v>43235664.898164719</v>
      </c>
      <c r="AB213" s="2">
        <v>0</v>
      </c>
    </row>
    <row r="214" spans="1:28">
      <c r="A214" s="2">
        <v>211</v>
      </c>
      <c r="B214" s="2" t="s">
        <v>928</v>
      </c>
      <c r="C214" s="2" t="s">
        <v>2439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6"/>
        <v>43161144.633611493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43161144.633611493</v>
      </c>
      <c r="Y214" s="6" t="s">
        <v>1195</v>
      </c>
      <c r="Z214" s="6" t="s">
        <v>1195</v>
      </c>
      <c r="AA214" s="2">
        <f>AA213</f>
        <v>43235664.898164719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2526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2527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2122</v>
      </c>
      <c r="J4" s="2" t="s">
        <v>2528</v>
      </c>
      <c r="K4" s="2">
        <v>42511150.109999999</v>
      </c>
      <c r="L4" s="2" t="s">
        <v>1876</v>
      </c>
      <c r="M4" s="2" t="s">
        <v>2124</v>
      </c>
      <c r="N4" s="2" t="s">
        <v>1666</v>
      </c>
      <c r="O4" s="2">
        <v>874</v>
      </c>
      <c r="P4" s="2">
        <v>1162.70263671875</v>
      </c>
      <c r="Q4" s="2">
        <v>1059.84765625</v>
      </c>
      <c r="R4" s="2">
        <f t="shared" ref="R4:R17" si="0">O4*P4</f>
        <v>1016202.1044921875</v>
      </c>
      <c r="S4" s="2">
        <f t="shared" ref="S4:S17" si="1">O4*Q4</f>
        <v>926306.8515625</v>
      </c>
      <c r="T4" s="2">
        <f t="shared" ref="T4:T17" si="2">R4+S4</f>
        <v>1942508.9560546875</v>
      </c>
      <c r="U4" s="2">
        <f t="shared" ref="U4:U17" si="3">ROUND(T4*0.0005, 2)</f>
        <v>971.25</v>
      </c>
      <c r="V4" s="2">
        <f t="shared" ref="V4:V17" si="4">S4-R4</f>
        <v>-89895.2529296875</v>
      </c>
      <c r="W4" s="2">
        <f t="shared" ref="W4:W17" si="5">V4-U4</f>
        <v>-90866.5029296875</v>
      </c>
      <c r="X4" s="2">
        <f t="shared" ref="X4:X17" si="6">K4+W4</f>
        <v>42420283.607070312</v>
      </c>
      <c r="Y4" s="2">
        <f t="shared" ref="Y4:Y17" si="7">ROUND(0.2*R4, 2)</f>
        <v>203240.42</v>
      </c>
      <c r="Z4" s="2">
        <f t="shared" ref="Z4:Z17" si="8">ROUND((W4/Y4)*100, 2)</f>
        <v>-44.71</v>
      </c>
      <c r="AA4" s="2">
        <f>MAX(42511150.11, X4)</f>
        <v>42511150.109999999</v>
      </c>
      <c r="AB4" s="2">
        <f t="shared" ref="AB4:AB17" si="9">X4-AA4</f>
        <v>-90866.5029296875</v>
      </c>
    </row>
    <row r="5" spans="1:29">
      <c r="A5" s="2">
        <v>2</v>
      </c>
      <c r="B5" s="2" t="s">
        <v>46</v>
      </c>
      <c r="C5" s="2" t="s">
        <v>2527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1388</v>
      </c>
      <c r="J5" s="2" t="s">
        <v>927</v>
      </c>
      <c r="K5" s="2">
        <f t="shared" ref="K5:K68" si="10">X4</f>
        <v>42420283.607070312</v>
      </c>
      <c r="L5" s="2" t="s">
        <v>2450</v>
      </c>
      <c r="M5" s="2" t="s">
        <v>1667</v>
      </c>
      <c r="N5" s="2" t="s">
        <v>1668</v>
      </c>
      <c r="O5" s="2">
        <v>137</v>
      </c>
      <c r="P5" s="2">
        <v>5154.4189453125</v>
      </c>
      <c r="Q5" s="2">
        <v>4892.98828125</v>
      </c>
      <c r="R5" s="2">
        <f t="shared" si="0"/>
        <v>706155.3955078125</v>
      </c>
      <c r="S5" s="2">
        <f t="shared" si="1"/>
        <v>670339.39453125</v>
      </c>
      <c r="T5" s="2">
        <f t="shared" si="2"/>
        <v>1376494.7900390625</v>
      </c>
      <c r="U5" s="2">
        <f t="shared" si="3"/>
        <v>688.25</v>
      </c>
      <c r="V5" s="2">
        <f t="shared" si="4"/>
        <v>-35816.0009765625</v>
      </c>
      <c r="W5" s="2">
        <f t="shared" si="5"/>
        <v>-36504.2509765625</v>
      </c>
      <c r="X5" s="2">
        <f t="shared" si="6"/>
        <v>42383779.356093749</v>
      </c>
      <c r="Y5" s="2">
        <f t="shared" si="7"/>
        <v>141231.07999999999</v>
      </c>
      <c r="Z5" s="2">
        <f t="shared" si="8"/>
        <v>-25.85</v>
      </c>
      <c r="AA5" s="2">
        <f t="shared" ref="AA5:AA17" si="11">MAX(AA4, X5)</f>
        <v>42511150.109999999</v>
      </c>
      <c r="AB5" s="2">
        <f t="shared" si="9"/>
        <v>-127370.75390625</v>
      </c>
    </row>
    <row r="6" spans="1:29">
      <c r="A6" s="2">
        <v>3</v>
      </c>
      <c r="B6" s="2" t="s">
        <v>52</v>
      </c>
      <c r="C6" s="2" t="s">
        <v>2527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2529</v>
      </c>
      <c r="J6" s="2" t="s">
        <v>1626</v>
      </c>
      <c r="K6" s="2">
        <f t="shared" si="10"/>
        <v>42383779.356093749</v>
      </c>
      <c r="L6" s="2" t="s">
        <v>2530</v>
      </c>
      <c r="M6" s="2" t="s">
        <v>2531</v>
      </c>
      <c r="N6" s="2" t="s">
        <v>2532</v>
      </c>
      <c r="O6" s="2">
        <v>2537</v>
      </c>
      <c r="P6" s="2">
        <v>344.85000610351562</v>
      </c>
      <c r="Q6" s="2">
        <v>321.54998779296881</v>
      </c>
      <c r="R6" s="2">
        <f t="shared" si="0"/>
        <v>874884.46548461914</v>
      </c>
      <c r="S6" s="2">
        <f t="shared" si="1"/>
        <v>815772.31903076184</v>
      </c>
      <c r="T6" s="2">
        <f t="shared" si="2"/>
        <v>1690656.7845153809</v>
      </c>
      <c r="U6" s="2">
        <f t="shared" si="3"/>
        <v>845.33</v>
      </c>
      <c r="V6" s="2">
        <f t="shared" si="4"/>
        <v>-59112.146453857305</v>
      </c>
      <c r="W6" s="2">
        <f t="shared" si="5"/>
        <v>-59957.476453857307</v>
      </c>
      <c r="X6" s="2">
        <f t="shared" si="6"/>
        <v>42323821.879639894</v>
      </c>
      <c r="Y6" s="2">
        <f t="shared" si="7"/>
        <v>174976.89</v>
      </c>
      <c r="Z6" s="2">
        <f t="shared" si="8"/>
        <v>-34.270000000000003</v>
      </c>
      <c r="AA6" s="2">
        <f t="shared" si="11"/>
        <v>42511150.109999999</v>
      </c>
      <c r="AB6" s="2">
        <f t="shared" si="9"/>
        <v>-187328.23036010563</v>
      </c>
    </row>
    <row r="7" spans="1:29">
      <c r="A7" s="2">
        <v>4</v>
      </c>
      <c r="B7" s="2" t="s">
        <v>60</v>
      </c>
      <c r="C7" s="2" t="s">
        <v>2527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2406</v>
      </c>
      <c r="J7" s="2" t="s">
        <v>2407</v>
      </c>
      <c r="K7" s="2">
        <f t="shared" si="10"/>
        <v>42323821.879639894</v>
      </c>
      <c r="L7" s="2" t="s">
        <v>2103</v>
      </c>
      <c r="M7" s="2" t="s">
        <v>1635</v>
      </c>
      <c r="N7" s="2" t="s">
        <v>2103</v>
      </c>
      <c r="O7" s="2">
        <v>602</v>
      </c>
      <c r="P7" s="2">
        <v>849.0999755859375</v>
      </c>
      <c r="Q7" s="2">
        <v>924.79998779296875</v>
      </c>
      <c r="R7" s="2">
        <f t="shared" si="0"/>
        <v>511158.18530273437</v>
      </c>
      <c r="S7" s="2">
        <f t="shared" si="1"/>
        <v>556729.59265136719</v>
      </c>
      <c r="T7" s="2">
        <f t="shared" si="2"/>
        <v>1067887.7779541016</v>
      </c>
      <c r="U7" s="2">
        <f t="shared" si="3"/>
        <v>533.94000000000005</v>
      </c>
      <c r="V7" s="2">
        <f t="shared" si="4"/>
        <v>45571.407348632813</v>
      </c>
      <c r="W7" s="2">
        <f t="shared" si="5"/>
        <v>45037.46734863281</v>
      </c>
      <c r="X7" s="2">
        <f t="shared" si="6"/>
        <v>42368859.346988529</v>
      </c>
      <c r="Y7" s="2">
        <f t="shared" si="7"/>
        <v>102231.64</v>
      </c>
      <c r="Z7" s="2">
        <f t="shared" si="8"/>
        <v>44.05</v>
      </c>
      <c r="AA7" s="2">
        <f t="shared" si="11"/>
        <v>42511150.109999999</v>
      </c>
      <c r="AB7" s="2">
        <f t="shared" si="9"/>
        <v>-142290.76301147044</v>
      </c>
    </row>
    <row r="8" spans="1:29">
      <c r="A8" s="2">
        <v>5</v>
      </c>
      <c r="B8" s="2" t="s">
        <v>68</v>
      </c>
      <c r="C8" s="2" t="s">
        <v>2527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626</v>
      </c>
      <c r="J8" s="2" t="s">
        <v>1347</v>
      </c>
      <c r="K8" s="2">
        <f t="shared" si="10"/>
        <v>42368859.346988529</v>
      </c>
      <c r="L8" s="2" t="s">
        <v>1826</v>
      </c>
      <c r="M8" s="2" t="s">
        <v>1827</v>
      </c>
      <c r="N8" s="2" t="s">
        <v>1828</v>
      </c>
      <c r="O8" s="2">
        <v>300</v>
      </c>
      <c r="P8" s="2">
        <v>2212.347900390625</v>
      </c>
      <c r="Q8" s="2">
        <v>2243.0068359375</v>
      </c>
      <c r="R8" s="2">
        <f t="shared" si="0"/>
        <v>663704.3701171875</v>
      </c>
      <c r="S8" s="2">
        <f t="shared" si="1"/>
        <v>672902.05078125</v>
      </c>
      <c r="T8" s="2">
        <f t="shared" si="2"/>
        <v>1336606.4208984375</v>
      </c>
      <c r="U8" s="2">
        <f t="shared" si="3"/>
        <v>668.3</v>
      </c>
      <c r="V8" s="2">
        <f t="shared" si="4"/>
        <v>9197.6806640625</v>
      </c>
      <c r="W8" s="2">
        <f t="shared" si="5"/>
        <v>8529.3806640625007</v>
      </c>
      <c r="X8" s="2">
        <f t="shared" si="6"/>
        <v>42377388.727652594</v>
      </c>
      <c r="Y8" s="2">
        <f t="shared" si="7"/>
        <v>132740.87</v>
      </c>
      <c r="Z8" s="2">
        <f t="shared" si="8"/>
        <v>6.43</v>
      </c>
      <c r="AA8" s="2">
        <f t="shared" si="11"/>
        <v>42511150.109999999</v>
      </c>
      <c r="AB8" s="2">
        <f t="shared" si="9"/>
        <v>-133761.38234740496</v>
      </c>
    </row>
    <row r="9" spans="1:29">
      <c r="A9" s="2">
        <v>6</v>
      </c>
      <c r="B9" s="2" t="s">
        <v>75</v>
      </c>
      <c r="C9" s="2" t="s">
        <v>2527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2447</v>
      </c>
      <c r="J9" s="2" t="s">
        <v>2448</v>
      </c>
      <c r="K9" s="2">
        <f t="shared" si="10"/>
        <v>42377388.727652594</v>
      </c>
      <c r="L9" s="2" t="s">
        <v>2449</v>
      </c>
      <c r="M9" s="2" t="s">
        <v>1666</v>
      </c>
      <c r="N9" s="2" t="s">
        <v>2450</v>
      </c>
      <c r="O9" s="2">
        <v>500</v>
      </c>
      <c r="P9" s="2">
        <v>1031.099975585938</v>
      </c>
      <c r="Q9" s="2">
        <v>1140.099975585938</v>
      </c>
      <c r="R9" s="2">
        <f t="shared" si="0"/>
        <v>515549.98779296898</v>
      </c>
      <c r="S9" s="2">
        <f t="shared" si="1"/>
        <v>570049.98779296898</v>
      </c>
      <c r="T9" s="2">
        <f t="shared" si="2"/>
        <v>1085599.975585938</v>
      </c>
      <c r="U9" s="2">
        <f t="shared" si="3"/>
        <v>542.79999999999995</v>
      </c>
      <c r="V9" s="2">
        <f t="shared" si="4"/>
        <v>54500</v>
      </c>
      <c r="W9" s="2">
        <f t="shared" si="5"/>
        <v>53957.2</v>
      </c>
      <c r="X9" s="2">
        <f t="shared" si="6"/>
        <v>42431345.927652597</v>
      </c>
      <c r="Y9" s="2">
        <f t="shared" si="7"/>
        <v>103110</v>
      </c>
      <c r="Z9" s="2">
        <f t="shared" si="8"/>
        <v>52.33</v>
      </c>
      <c r="AA9" s="2">
        <f t="shared" si="11"/>
        <v>42511150.109999999</v>
      </c>
      <c r="AB9" s="2">
        <f t="shared" si="9"/>
        <v>-79804.182347401977</v>
      </c>
    </row>
    <row r="10" spans="1:29">
      <c r="A10" s="2">
        <v>7</v>
      </c>
      <c r="B10" s="2" t="s">
        <v>82</v>
      </c>
      <c r="C10" s="2" t="s">
        <v>2527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1981</v>
      </c>
      <c r="J10" s="2" t="s">
        <v>1341</v>
      </c>
      <c r="K10" s="2">
        <f t="shared" si="10"/>
        <v>42431345.927652597</v>
      </c>
      <c r="L10" s="2" t="s">
        <v>2050</v>
      </c>
      <c r="M10" s="2" t="s">
        <v>2451</v>
      </c>
      <c r="N10" s="2" t="s">
        <v>1963</v>
      </c>
      <c r="O10" s="2">
        <v>625</v>
      </c>
      <c r="P10" s="2">
        <v>758.90814208984375</v>
      </c>
      <c r="Q10" s="2">
        <v>799.3154296875</v>
      </c>
      <c r="R10" s="2">
        <f t="shared" si="0"/>
        <v>474317.58880615234</v>
      </c>
      <c r="S10" s="2">
        <f t="shared" si="1"/>
        <v>499572.1435546875</v>
      </c>
      <c r="T10" s="2">
        <f t="shared" si="2"/>
        <v>973889.73236083984</v>
      </c>
      <c r="U10" s="2">
        <f t="shared" si="3"/>
        <v>486.94</v>
      </c>
      <c r="V10" s="2">
        <f t="shared" si="4"/>
        <v>25254.554748535156</v>
      </c>
      <c r="W10" s="2">
        <f t="shared" si="5"/>
        <v>24767.614748535158</v>
      </c>
      <c r="X10" s="2">
        <f t="shared" si="6"/>
        <v>42456113.542401135</v>
      </c>
      <c r="Y10" s="2">
        <f t="shared" si="7"/>
        <v>94863.52</v>
      </c>
      <c r="Z10" s="2">
        <f t="shared" si="8"/>
        <v>26.11</v>
      </c>
      <c r="AA10" s="2">
        <f t="shared" si="11"/>
        <v>42511150.109999999</v>
      </c>
      <c r="AB10" s="2">
        <f t="shared" si="9"/>
        <v>-55036.567598864436</v>
      </c>
    </row>
    <row r="11" spans="1:29">
      <c r="A11" s="2">
        <v>8</v>
      </c>
      <c r="B11" s="2" t="s">
        <v>90</v>
      </c>
      <c r="C11" s="2" t="s">
        <v>2527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993</v>
      </c>
      <c r="J11" s="2" t="s">
        <v>323</v>
      </c>
      <c r="K11" s="2">
        <f t="shared" si="10"/>
        <v>42456113.542401135</v>
      </c>
      <c r="L11" s="2" t="s">
        <v>2533</v>
      </c>
      <c r="M11" s="2" t="s">
        <v>2403</v>
      </c>
      <c r="N11" s="2" t="s">
        <v>2441</v>
      </c>
      <c r="O11" s="2">
        <v>4785</v>
      </c>
      <c r="P11" s="2">
        <v>147.3399963378906</v>
      </c>
      <c r="Q11" s="2">
        <v>146.8399963378906</v>
      </c>
      <c r="R11" s="2">
        <f t="shared" si="0"/>
        <v>705021.88247680652</v>
      </c>
      <c r="S11" s="2">
        <f t="shared" si="1"/>
        <v>702629.38247680652</v>
      </c>
      <c r="T11" s="2">
        <f t="shared" si="2"/>
        <v>1407651.264953613</v>
      </c>
      <c r="U11" s="2">
        <f t="shared" si="3"/>
        <v>703.83</v>
      </c>
      <c r="V11" s="2">
        <f t="shared" si="4"/>
        <v>-2392.5</v>
      </c>
      <c r="W11" s="2">
        <f t="shared" si="5"/>
        <v>-3096.33</v>
      </c>
      <c r="X11" s="2">
        <f t="shared" si="6"/>
        <v>42453017.212401137</v>
      </c>
      <c r="Y11" s="2">
        <f t="shared" si="7"/>
        <v>141004.38</v>
      </c>
      <c r="Z11" s="2">
        <f t="shared" si="8"/>
        <v>-2.2000000000000002</v>
      </c>
      <c r="AA11" s="2">
        <f t="shared" si="11"/>
        <v>42511150.109999999</v>
      </c>
      <c r="AB11" s="2">
        <f t="shared" si="9"/>
        <v>-58132.897598862648</v>
      </c>
    </row>
    <row r="12" spans="1:29">
      <c r="A12" s="2">
        <v>9</v>
      </c>
      <c r="B12" s="2" t="s">
        <v>95</v>
      </c>
      <c r="C12" s="2" t="s">
        <v>2527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1918</v>
      </c>
      <c r="J12" s="2" t="s">
        <v>285</v>
      </c>
      <c r="K12" s="2">
        <f t="shared" si="10"/>
        <v>42453017.212401137</v>
      </c>
      <c r="L12" s="2" t="s">
        <v>2319</v>
      </c>
      <c r="M12" s="2" t="s">
        <v>2454</v>
      </c>
      <c r="N12" s="2" t="s">
        <v>2284</v>
      </c>
      <c r="O12" s="2">
        <v>171</v>
      </c>
      <c r="P12" s="2">
        <v>5460.97607421875</v>
      </c>
      <c r="Q12" s="2">
        <v>5419.80810546875</v>
      </c>
      <c r="R12" s="2">
        <f t="shared" si="0"/>
        <v>933826.90869140625</v>
      </c>
      <c r="S12" s="2">
        <f t="shared" si="1"/>
        <v>926787.18603515625</v>
      </c>
      <c r="T12" s="2">
        <f t="shared" si="2"/>
        <v>1860614.0947265625</v>
      </c>
      <c r="U12" s="2">
        <f t="shared" si="3"/>
        <v>930.31</v>
      </c>
      <c r="V12" s="2">
        <f t="shared" si="4"/>
        <v>-7039.72265625</v>
      </c>
      <c r="W12" s="2">
        <f t="shared" si="5"/>
        <v>-7970.0326562499995</v>
      </c>
      <c r="X12" s="2">
        <f t="shared" si="6"/>
        <v>42445047.179744884</v>
      </c>
      <c r="Y12" s="2">
        <f t="shared" si="7"/>
        <v>186765.38</v>
      </c>
      <c r="Z12" s="2">
        <f t="shared" si="8"/>
        <v>-4.2699999999999996</v>
      </c>
      <c r="AA12" s="2">
        <f t="shared" si="11"/>
        <v>42511150.109999999</v>
      </c>
      <c r="AB12" s="2">
        <f t="shared" si="9"/>
        <v>-66102.930255115032</v>
      </c>
    </row>
    <row r="13" spans="1:29">
      <c r="A13" s="2">
        <v>10</v>
      </c>
      <c r="B13" s="2" t="s">
        <v>102</v>
      </c>
      <c r="C13" s="2" t="s">
        <v>2527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2534</v>
      </c>
      <c r="J13" s="2" t="s">
        <v>2535</v>
      </c>
      <c r="K13" s="2">
        <f t="shared" si="10"/>
        <v>42445047.179744884</v>
      </c>
      <c r="L13" s="2" t="s">
        <v>1104</v>
      </c>
      <c r="M13" s="2" t="s">
        <v>1105</v>
      </c>
      <c r="N13" s="2" t="s">
        <v>2536</v>
      </c>
      <c r="O13" s="2">
        <v>135</v>
      </c>
      <c r="P13" s="2">
        <v>7516</v>
      </c>
      <c r="Q13" s="2">
        <v>8476.5</v>
      </c>
      <c r="R13" s="2">
        <f t="shared" si="0"/>
        <v>1014660</v>
      </c>
      <c r="S13" s="2">
        <f t="shared" si="1"/>
        <v>1144327.5</v>
      </c>
      <c r="T13" s="2">
        <f t="shared" si="2"/>
        <v>2158987.5</v>
      </c>
      <c r="U13" s="2">
        <f t="shared" si="3"/>
        <v>1079.49</v>
      </c>
      <c r="V13" s="2">
        <f t="shared" si="4"/>
        <v>129667.5</v>
      </c>
      <c r="W13" s="2">
        <f t="shared" si="5"/>
        <v>128588.01</v>
      </c>
      <c r="X13" s="2">
        <f t="shared" si="6"/>
        <v>42573635.189744882</v>
      </c>
      <c r="Y13" s="2">
        <f t="shared" si="7"/>
        <v>202932</v>
      </c>
      <c r="Z13" s="2">
        <f t="shared" si="8"/>
        <v>63.37</v>
      </c>
      <c r="AA13" s="2">
        <f t="shared" si="11"/>
        <v>42573635.189744882</v>
      </c>
      <c r="AB13" s="2">
        <f t="shared" si="9"/>
        <v>0</v>
      </c>
    </row>
    <row r="14" spans="1:29">
      <c r="A14" s="2">
        <v>11</v>
      </c>
      <c r="B14" s="2" t="s">
        <v>108</v>
      </c>
      <c r="C14" s="2" t="s">
        <v>2527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48</v>
      </c>
      <c r="J14" s="2" t="s">
        <v>210</v>
      </c>
      <c r="K14" s="2">
        <f t="shared" si="10"/>
        <v>42573635.189744882</v>
      </c>
      <c r="L14" s="2" t="s">
        <v>1879</v>
      </c>
      <c r="M14" s="2" t="s">
        <v>1397</v>
      </c>
      <c r="N14" s="2" t="s">
        <v>1395</v>
      </c>
      <c r="O14" s="2">
        <v>2303</v>
      </c>
      <c r="P14" s="2">
        <v>530.4244384765625</v>
      </c>
      <c r="Q14" s="2">
        <v>533.658447265625</v>
      </c>
      <c r="R14" s="2">
        <f t="shared" si="0"/>
        <v>1221567.4818115234</v>
      </c>
      <c r="S14" s="2">
        <f t="shared" si="1"/>
        <v>1229015.4040527344</v>
      </c>
      <c r="T14" s="2">
        <f t="shared" si="2"/>
        <v>2450582.8858642578</v>
      </c>
      <c r="U14" s="2">
        <f t="shared" si="3"/>
        <v>1225.29</v>
      </c>
      <c r="V14" s="2">
        <f t="shared" si="4"/>
        <v>7447.9222412109375</v>
      </c>
      <c r="W14" s="2">
        <f t="shared" si="5"/>
        <v>6222.6322412109375</v>
      </c>
      <c r="X14" s="2">
        <f t="shared" si="6"/>
        <v>42579857.821986094</v>
      </c>
      <c r="Y14" s="2">
        <f t="shared" si="7"/>
        <v>244313.5</v>
      </c>
      <c r="Z14" s="2">
        <f t="shared" si="8"/>
        <v>2.5499999999999998</v>
      </c>
      <c r="AA14" s="2">
        <f t="shared" si="11"/>
        <v>42579857.821986094</v>
      </c>
      <c r="AB14" s="2">
        <f t="shared" si="9"/>
        <v>0</v>
      </c>
    </row>
    <row r="15" spans="1:29">
      <c r="A15" s="2">
        <v>12</v>
      </c>
      <c r="B15" s="2" t="s">
        <v>113</v>
      </c>
      <c r="C15" s="2" t="s">
        <v>2527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588</v>
      </c>
      <c r="J15" s="2" t="s">
        <v>775</v>
      </c>
      <c r="K15" s="2">
        <f t="shared" si="10"/>
        <v>42579857.821986094</v>
      </c>
      <c r="L15" s="2" t="s">
        <v>1634</v>
      </c>
      <c r="M15" s="2" t="s">
        <v>2103</v>
      </c>
      <c r="N15" s="2" t="s">
        <v>2277</v>
      </c>
      <c r="O15" s="2">
        <v>3428</v>
      </c>
      <c r="P15" s="2">
        <v>239.31040954589841</v>
      </c>
      <c r="Q15" s="2">
        <v>254.015869140625</v>
      </c>
      <c r="R15" s="2">
        <f t="shared" si="0"/>
        <v>820356.08392333973</v>
      </c>
      <c r="S15" s="2">
        <f t="shared" si="1"/>
        <v>870766.3994140625</v>
      </c>
      <c r="T15" s="2">
        <f t="shared" si="2"/>
        <v>1691122.4833374023</v>
      </c>
      <c r="U15" s="2">
        <f t="shared" si="3"/>
        <v>845.56</v>
      </c>
      <c r="V15" s="2">
        <f t="shared" si="4"/>
        <v>50410.315490722773</v>
      </c>
      <c r="W15" s="2">
        <f t="shared" si="5"/>
        <v>49564.755490722775</v>
      </c>
      <c r="X15" s="2">
        <f t="shared" si="6"/>
        <v>42629422.577476814</v>
      </c>
      <c r="Y15" s="2">
        <f t="shared" si="7"/>
        <v>164071.22</v>
      </c>
      <c r="Z15" s="2">
        <f t="shared" si="8"/>
        <v>30.21</v>
      </c>
      <c r="AA15" s="2">
        <f t="shared" si="11"/>
        <v>42629422.577476814</v>
      </c>
      <c r="AB15" s="2">
        <f t="shared" si="9"/>
        <v>0</v>
      </c>
    </row>
    <row r="16" spans="1:29">
      <c r="A16" s="2">
        <v>13</v>
      </c>
      <c r="B16" s="2" t="s">
        <v>120</v>
      </c>
      <c r="C16" s="2" t="s">
        <v>2527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1305</v>
      </c>
      <c r="J16" s="2" t="s">
        <v>2537</v>
      </c>
      <c r="K16" s="2">
        <f t="shared" si="10"/>
        <v>42629422.577476814</v>
      </c>
      <c r="L16" s="2" t="s">
        <v>2538</v>
      </c>
      <c r="M16" s="2" t="s">
        <v>2539</v>
      </c>
      <c r="N16" s="2" t="s">
        <v>2540</v>
      </c>
      <c r="O16" s="2">
        <v>528</v>
      </c>
      <c r="P16" s="2">
        <v>1612.67138671875</v>
      </c>
      <c r="Q16" s="2">
        <v>1649.941284179688</v>
      </c>
      <c r="R16" s="2">
        <f t="shared" si="0"/>
        <v>851490.4921875</v>
      </c>
      <c r="S16" s="2">
        <f t="shared" si="1"/>
        <v>871168.99804687523</v>
      </c>
      <c r="T16" s="2">
        <f t="shared" si="2"/>
        <v>1722659.4902343752</v>
      </c>
      <c r="U16" s="2">
        <f t="shared" si="3"/>
        <v>861.33</v>
      </c>
      <c r="V16" s="2">
        <f t="shared" si="4"/>
        <v>19678.505859375233</v>
      </c>
      <c r="W16" s="2">
        <f t="shared" si="5"/>
        <v>18817.175859375231</v>
      </c>
      <c r="X16" s="2">
        <f t="shared" si="6"/>
        <v>42648239.753336191</v>
      </c>
      <c r="Y16" s="2">
        <f t="shared" si="7"/>
        <v>170298.1</v>
      </c>
      <c r="Z16" s="2">
        <f t="shared" si="8"/>
        <v>11.05</v>
      </c>
      <c r="AA16" s="2">
        <f t="shared" si="11"/>
        <v>42648239.753336191</v>
      </c>
      <c r="AB16" s="2">
        <f t="shared" si="9"/>
        <v>0</v>
      </c>
    </row>
    <row r="17" spans="1:28">
      <c r="A17" s="2">
        <v>14</v>
      </c>
      <c r="B17" s="2" t="s">
        <v>126</v>
      </c>
      <c r="C17" s="2" t="s">
        <v>2527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1367</v>
      </c>
      <c r="J17" s="2" t="s">
        <v>319</v>
      </c>
      <c r="K17" s="2">
        <f t="shared" si="10"/>
        <v>42648239.753336191</v>
      </c>
      <c r="L17" s="2" t="s">
        <v>1963</v>
      </c>
      <c r="M17" s="2" t="s">
        <v>2451</v>
      </c>
      <c r="N17" s="2" t="s">
        <v>2462</v>
      </c>
      <c r="O17" s="2">
        <v>125</v>
      </c>
      <c r="P17" s="2">
        <v>5263.50439453125</v>
      </c>
      <c r="Q17" s="2">
        <v>5443.68701171875</v>
      </c>
      <c r="R17" s="2">
        <f t="shared" si="0"/>
        <v>657938.04931640625</v>
      </c>
      <c r="S17" s="2">
        <f t="shared" si="1"/>
        <v>680460.87646484375</v>
      </c>
      <c r="T17" s="2">
        <f t="shared" si="2"/>
        <v>1338398.92578125</v>
      </c>
      <c r="U17" s="2">
        <f t="shared" si="3"/>
        <v>669.2</v>
      </c>
      <c r="V17" s="2">
        <f t="shared" si="4"/>
        <v>22522.8271484375</v>
      </c>
      <c r="W17" s="2">
        <f t="shared" si="5"/>
        <v>21853.627148437499</v>
      </c>
      <c r="X17" s="2">
        <f t="shared" si="6"/>
        <v>42670093.380484626</v>
      </c>
      <c r="Y17" s="2">
        <f t="shared" si="7"/>
        <v>131587.60999999999</v>
      </c>
      <c r="Z17" s="2">
        <f t="shared" si="8"/>
        <v>16.61</v>
      </c>
      <c r="AA17" s="2">
        <f t="shared" si="11"/>
        <v>42670093.380484626</v>
      </c>
      <c r="AB17" s="2">
        <f t="shared" si="9"/>
        <v>0</v>
      </c>
    </row>
    <row r="18" spans="1:28">
      <c r="A18" s="2">
        <v>15</v>
      </c>
      <c r="B18" s="2" t="s">
        <v>133</v>
      </c>
      <c r="C18" s="2" t="s">
        <v>2527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42670093.380484626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42670093.380484626</v>
      </c>
      <c r="Y18" s="6" t="s">
        <v>1195</v>
      </c>
      <c r="Z18" s="6" t="s">
        <v>1195</v>
      </c>
      <c r="AA18" s="2">
        <f>AA17</f>
        <v>42670093.380484626</v>
      </c>
      <c r="AB18" s="2">
        <v>0</v>
      </c>
    </row>
    <row r="19" spans="1:28">
      <c r="A19" s="2">
        <v>16</v>
      </c>
      <c r="B19" s="2" t="s">
        <v>141</v>
      </c>
      <c r="C19" s="2" t="s">
        <v>2527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1608</v>
      </c>
      <c r="J19" s="2" t="s">
        <v>271</v>
      </c>
      <c r="K19" s="2">
        <f t="shared" si="10"/>
        <v>42670093.380484626</v>
      </c>
      <c r="L19" s="2" t="s">
        <v>2058</v>
      </c>
      <c r="M19" s="2" t="s">
        <v>1961</v>
      </c>
      <c r="N19" s="2" t="s">
        <v>2075</v>
      </c>
      <c r="O19" s="2">
        <v>200</v>
      </c>
      <c r="P19" s="2">
        <v>2872.3125</v>
      </c>
      <c r="Q19" s="2">
        <v>3002.709228515625</v>
      </c>
      <c r="R19" s="2">
        <f>O19*P19</f>
        <v>574462.5</v>
      </c>
      <c r="S19" s="2">
        <f>O19*Q19</f>
        <v>600541.845703125</v>
      </c>
      <c r="T19" s="2">
        <f>R19+S19</f>
        <v>1175004.345703125</v>
      </c>
      <c r="U19" s="2">
        <f>ROUND(T19*0.0005, 2)</f>
        <v>587.5</v>
      </c>
      <c r="V19" s="2">
        <f>S19-R19</f>
        <v>26079.345703125</v>
      </c>
      <c r="W19" s="2">
        <f>V19-U19</f>
        <v>25491.845703125</v>
      </c>
      <c r="X19" s="2">
        <f>K19+W19</f>
        <v>42695585.226187751</v>
      </c>
      <c r="Y19" s="2">
        <f>ROUND(0.2*R19, 2)</f>
        <v>114892.5</v>
      </c>
      <c r="Z19" s="2">
        <f>ROUND((W19/Y19)*100, 2)</f>
        <v>22.19</v>
      </c>
      <c r="AA19" s="2">
        <f>MAX(AA18, X19)</f>
        <v>42695585.226187751</v>
      </c>
      <c r="AB19" s="2">
        <f>X19-AA19</f>
        <v>0</v>
      </c>
    </row>
    <row r="20" spans="1:28">
      <c r="A20" s="2">
        <v>17</v>
      </c>
      <c r="B20" s="2" t="s">
        <v>149</v>
      </c>
      <c r="C20" s="2" t="s">
        <v>2527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42695585.226187751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42695585.226187751</v>
      </c>
      <c r="Y20" s="6" t="s">
        <v>1195</v>
      </c>
      <c r="Z20" s="6" t="s">
        <v>1195</v>
      </c>
      <c r="AA20" s="2">
        <f>AA19</f>
        <v>42695585.226187751</v>
      </c>
      <c r="AB20" s="2">
        <v>0</v>
      </c>
    </row>
    <row r="21" spans="1:28">
      <c r="A21" s="2">
        <v>18</v>
      </c>
      <c r="B21" s="2" t="s">
        <v>154</v>
      </c>
      <c r="C21" s="2" t="s">
        <v>2527</v>
      </c>
      <c r="D21" s="3" t="s">
        <v>37</v>
      </c>
      <c r="E21" s="5" t="s">
        <v>134</v>
      </c>
      <c r="F21" s="2" t="s">
        <v>155</v>
      </c>
      <c r="G21" s="2" t="s">
        <v>127</v>
      </c>
      <c r="H21" s="6" t="s">
        <v>1195</v>
      </c>
      <c r="I21" s="6" t="s">
        <v>1195</v>
      </c>
      <c r="J21" s="6" t="s">
        <v>1195</v>
      </c>
      <c r="K21" s="2">
        <f t="shared" si="10"/>
        <v>42695585.226187751</v>
      </c>
      <c r="L21" s="6" t="s">
        <v>1195</v>
      </c>
      <c r="M21" s="6" t="s">
        <v>1195</v>
      </c>
      <c r="N21" s="6" t="s">
        <v>1195</v>
      </c>
      <c r="O21" s="2">
        <v>668</v>
      </c>
      <c r="P21" s="6" t="s">
        <v>1195</v>
      </c>
      <c r="Q21" s="6" t="s">
        <v>1195</v>
      </c>
      <c r="R21" s="6" t="s">
        <v>1195</v>
      </c>
      <c r="S21" s="6" t="s">
        <v>1195</v>
      </c>
      <c r="T21" s="6" t="s">
        <v>1195</v>
      </c>
      <c r="U21" s="6" t="s">
        <v>1195</v>
      </c>
      <c r="V21" s="6" t="s">
        <v>1195</v>
      </c>
      <c r="W21" s="6" t="s">
        <v>1195</v>
      </c>
      <c r="X21" s="2">
        <f>K21</f>
        <v>42695585.226187751</v>
      </c>
      <c r="Y21" s="6" t="s">
        <v>1195</v>
      </c>
      <c r="Z21" s="6" t="s">
        <v>1195</v>
      </c>
      <c r="AA21" s="2">
        <f>AA20</f>
        <v>42695585.226187751</v>
      </c>
      <c r="AB21" s="2">
        <v>0</v>
      </c>
    </row>
    <row r="22" spans="1:28">
      <c r="A22" s="2">
        <v>19</v>
      </c>
      <c r="B22" s="2" t="s">
        <v>160</v>
      </c>
      <c r="C22" s="2" t="s">
        <v>2527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42695585.226187751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42695585.226187751</v>
      </c>
      <c r="Y22" s="6" t="s">
        <v>1195</v>
      </c>
      <c r="Z22" s="6" t="s">
        <v>1195</v>
      </c>
      <c r="AA22" s="2">
        <f>AA21</f>
        <v>42695585.226187751</v>
      </c>
      <c r="AB22" s="2">
        <v>0</v>
      </c>
    </row>
    <row r="23" spans="1:28">
      <c r="A23" s="2">
        <v>20</v>
      </c>
      <c r="B23" s="2" t="s">
        <v>168</v>
      </c>
      <c r="C23" s="2" t="s">
        <v>2527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42695585.226187751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42695585.226187751</v>
      </c>
      <c r="Y23" s="6" t="s">
        <v>1195</v>
      </c>
      <c r="Z23" s="6" t="s">
        <v>1195</v>
      </c>
      <c r="AA23" s="2">
        <f>AA22</f>
        <v>42695585.226187751</v>
      </c>
      <c r="AB23" s="2">
        <v>0</v>
      </c>
    </row>
    <row r="24" spans="1:28">
      <c r="A24" s="2">
        <v>21</v>
      </c>
      <c r="B24" s="2" t="s">
        <v>175</v>
      </c>
      <c r="C24" s="2" t="s">
        <v>2527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1311</v>
      </c>
      <c r="J24" s="2" t="s">
        <v>895</v>
      </c>
      <c r="K24" s="2">
        <f t="shared" si="10"/>
        <v>42695585.226187751</v>
      </c>
      <c r="L24" s="2" t="s">
        <v>2063</v>
      </c>
      <c r="M24" s="2" t="s">
        <v>1826</v>
      </c>
      <c r="N24" s="2" t="s">
        <v>2075</v>
      </c>
      <c r="O24" s="2">
        <v>625</v>
      </c>
      <c r="P24" s="2">
        <v>953.162841796875</v>
      </c>
      <c r="Q24" s="2">
        <v>980.59704589843761</v>
      </c>
      <c r="R24" s="2">
        <f>O24*P24</f>
        <v>595726.77612304687</v>
      </c>
      <c r="S24" s="2">
        <f>O24*Q24</f>
        <v>612873.15368652355</v>
      </c>
      <c r="T24" s="2">
        <f>R24+S24</f>
        <v>1208599.9298095703</v>
      </c>
      <c r="U24" s="2">
        <f>ROUND(T24*0.0005, 2)</f>
        <v>604.29999999999995</v>
      </c>
      <c r="V24" s="2">
        <f>S24-R24</f>
        <v>17146.377563476679</v>
      </c>
      <c r="W24" s="2">
        <f>V24-U24</f>
        <v>16542.07756347668</v>
      </c>
      <c r="X24" s="2">
        <f>K24+W24</f>
        <v>42712127.30375123</v>
      </c>
      <c r="Y24" s="2">
        <f>ROUND(0.2*R24, 2)</f>
        <v>119145.36</v>
      </c>
      <c r="Z24" s="2">
        <f>ROUND((W24/Y24)*100, 2)</f>
        <v>13.88</v>
      </c>
      <c r="AA24" s="2">
        <f>MAX(AA23, X24)</f>
        <v>42712127.30375123</v>
      </c>
      <c r="AB24" s="2">
        <f>X24-AA24</f>
        <v>0</v>
      </c>
    </row>
    <row r="25" spans="1:28">
      <c r="A25" s="2">
        <v>22</v>
      </c>
      <c r="B25" s="2" t="s">
        <v>184</v>
      </c>
      <c r="C25" s="2" t="s">
        <v>2527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1488</v>
      </c>
      <c r="J25" s="2" t="s">
        <v>1485</v>
      </c>
      <c r="K25" s="2">
        <f t="shared" si="10"/>
        <v>42712127.30375123</v>
      </c>
      <c r="L25" s="2" t="s">
        <v>2463</v>
      </c>
      <c r="M25" s="2" t="s">
        <v>2464</v>
      </c>
      <c r="N25" s="2" t="s">
        <v>2465</v>
      </c>
      <c r="O25" s="2">
        <v>125</v>
      </c>
      <c r="P25" s="2">
        <v>4871.66650390625</v>
      </c>
      <c r="Q25" s="2">
        <v>5236.76025390625</v>
      </c>
      <c r="R25" s="2">
        <f>O25*P25</f>
        <v>608958.31298828125</v>
      </c>
      <c r="S25" s="2">
        <f>O25*Q25</f>
        <v>654595.03173828125</v>
      </c>
      <c r="T25" s="2">
        <f>R25+S25</f>
        <v>1263553.3447265625</v>
      </c>
      <c r="U25" s="2">
        <f>ROUND(T25*0.0005, 2)</f>
        <v>631.78</v>
      </c>
      <c r="V25" s="2">
        <f>S25-R25</f>
        <v>45636.71875</v>
      </c>
      <c r="W25" s="2">
        <f>V25-U25</f>
        <v>45004.938750000001</v>
      </c>
      <c r="X25" s="2">
        <f>K25+W25</f>
        <v>42757132.242501229</v>
      </c>
      <c r="Y25" s="2">
        <f>ROUND(0.2*R25, 2)</f>
        <v>121791.66</v>
      </c>
      <c r="Z25" s="2">
        <f>ROUND((W25/Y25)*100, 2)</f>
        <v>36.950000000000003</v>
      </c>
      <c r="AA25" s="2">
        <f>MAX(AA24, X25)</f>
        <v>42757132.242501229</v>
      </c>
      <c r="AB25" s="2">
        <f>X25-AA25</f>
        <v>0</v>
      </c>
    </row>
    <row r="26" spans="1:28">
      <c r="A26" s="2">
        <v>23</v>
      </c>
      <c r="B26" s="2" t="s">
        <v>190</v>
      </c>
      <c r="C26" s="2" t="s">
        <v>2527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1850</v>
      </c>
      <c r="J26" s="2" t="s">
        <v>2466</v>
      </c>
      <c r="K26" s="2">
        <f t="shared" si="10"/>
        <v>42757132.242501229</v>
      </c>
      <c r="L26" s="2" t="s">
        <v>1987</v>
      </c>
      <c r="M26" s="2" t="s">
        <v>2067</v>
      </c>
      <c r="N26" s="2" t="s">
        <v>2467</v>
      </c>
      <c r="O26" s="2">
        <v>500</v>
      </c>
      <c r="P26" s="2">
        <v>1563.316040039062</v>
      </c>
      <c r="Q26" s="2">
        <v>1566.4599609375</v>
      </c>
      <c r="R26" s="2">
        <f>O26*P26</f>
        <v>781658.02001953102</v>
      </c>
      <c r="S26" s="2">
        <f>O26*Q26</f>
        <v>783229.98046875</v>
      </c>
      <c r="T26" s="2">
        <f>R26+S26</f>
        <v>1564888.000488281</v>
      </c>
      <c r="U26" s="2">
        <f>ROUND(T26*0.0005, 2)</f>
        <v>782.44</v>
      </c>
      <c r="V26" s="2">
        <f>S26-R26</f>
        <v>1571.9604492189828</v>
      </c>
      <c r="W26" s="2">
        <f>V26-U26</f>
        <v>789.52044921898278</v>
      </c>
      <c r="X26" s="2">
        <f>K26+W26</f>
        <v>42757921.76295045</v>
      </c>
      <c r="Y26" s="2">
        <f>ROUND(0.2*R26, 2)</f>
        <v>156331.6</v>
      </c>
      <c r="Z26" s="2">
        <f>ROUND((W26/Y26)*100, 2)</f>
        <v>0.51</v>
      </c>
      <c r="AA26" s="2">
        <f>MAX(AA25, X26)</f>
        <v>42757921.76295045</v>
      </c>
      <c r="AB26" s="2">
        <f>X26-AA26</f>
        <v>0</v>
      </c>
    </row>
    <row r="27" spans="1:28">
      <c r="A27" s="2">
        <v>24</v>
      </c>
      <c r="B27" s="2" t="s">
        <v>195</v>
      </c>
      <c r="C27" s="2" t="s">
        <v>2527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42757921.76295045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42757921.76295045</v>
      </c>
      <c r="Y27" s="6" t="s">
        <v>1195</v>
      </c>
      <c r="Z27" s="6" t="s">
        <v>1195</v>
      </c>
      <c r="AA27" s="2">
        <f>AA26</f>
        <v>42757921.76295045</v>
      </c>
      <c r="AB27" s="2">
        <v>0</v>
      </c>
    </row>
    <row r="28" spans="1:28">
      <c r="A28" s="2">
        <v>25</v>
      </c>
      <c r="B28" s="2" t="s">
        <v>199</v>
      </c>
      <c r="C28" s="2" t="s">
        <v>2527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1135</v>
      </c>
      <c r="J28" s="2" t="s">
        <v>2468</v>
      </c>
      <c r="K28" s="2">
        <f t="shared" si="10"/>
        <v>42757921.76295045</v>
      </c>
      <c r="L28" s="2" t="s">
        <v>1986</v>
      </c>
      <c r="M28" s="2" t="s">
        <v>2063</v>
      </c>
      <c r="N28" s="2" t="s">
        <v>2469</v>
      </c>
      <c r="O28" s="2">
        <v>125</v>
      </c>
      <c r="P28" s="2">
        <v>789.82720947265625</v>
      </c>
      <c r="Q28" s="2">
        <v>756.25750732421875</v>
      </c>
      <c r="R28" s="2">
        <f>O28*P28</f>
        <v>98728.401184082031</v>
      </c>
      <c r="S28" s="2">
        <f>O28*Q28</f>
        <v>94532.188415527344</v>
      </c>
      <c r="T28" s="2">
        <f>R28+S28</f>
        <v>193260.58959960937</v>
      </c>
      <c r="U28" s="2">
        <f>ROUND(T28*0.0005, 2)</f>
        <v>96.63</v>
      </c>
      <c r="V28" s="2">
        <f>S28-R28</f>
        <v>-4196.2127685546875</v>
      </c>
      <c r="W28" s="2">
        <f>V28-U28</f>
        <v>-4292.8427685546876</v>
      </c>
      <c r="X28" s="2">
        <f>K28+W28</f>
        <v>42753628.920181893</v>
      </c>
      <c r="Y28" s="2">
        <f>ROUND(0.2*R28, 2)</f>
        <v>19745.68</v>
      </c>
      <c r="Z28" s="2">
        <f>ROUND((W28/Y28)*100, 2)</f>
        <v>-21.74</v>
      </c>
      <c r="AA28" s="2">
        <f>MAX(AA27, X28)</f>
        <v>42757921.76295045</v>
      </c>
      <c r="AB28" s="2">
        <f>X28-AA28</f>
        <v>-4292.8427685573697</v>
      </c>
    </row>
    <row r="29" spans="1:28">
      <c r="A29" s="2">
        <v>26</v>
      </c>
      <c r="B29" s="2" t="s">
        <v>205</v>
      </c>
      <c r="C29" s="2" t="s">
        <v>2527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42753628.920181893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42753628.920181893</v>
      </c>
      <c r="Y29" s="6" t="s">
        <v>1195</v>
      </c>
      <c r="Z29" s="6" t="s">
        <v>1195</v>
      </c>
      <c r="AA29" s="2">
        <f>AA28</f>
        <v>42757921.76295045</v>
      </c>
      <c r="AB29" s="2">
        <v>0</v>
      </c>
    </row>
    <row r="30" spans="1:28">
      <c r="A30" s="2">
        <v>27</v>
      </c>
      <c r="B30" s="2" t="s">
        <v>209</v>
      </c>
      <c r="C30" s="2" t="s">
        <v>2527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42753628.920181893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42753628.920181893</v>
      </c>
      <c r="Y30" s="6" t="s">
        <v>1195</v>
      </c>
      <c r="Z30" s="6" t="s">
        <v>1195</v>
      </c>
      <c r="AA30" s="2">
        <f>AA29</f>
        <v>42757921.76295045</v>
      </c>
      <c r="AB30" s="2">
        <v>0</v>
      </c>
    </row>
    <row r="31" spans="1:28">
      <c r="A31" s="2">
        <v>28</v>
      </c>
      <c r="B31" s="2" t="s">
        <v>213</v>
      </c>
      <c r="C31" s="2" t="s">
        <v>2527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42753628.920181893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42753628.920181893</v>
      </c>
      <c r="Y31" s="6" t="s">
        <v>1195</v>
      </c>
      <c r="Z31" s="6" t="s">
        <v>1195</v>
      </c>
      <c r="AA31" s="2">
        <f>AA30</f>
        <v>42757921.76295045</v>
      </c>
      <c r="AB31" s="2">
        <v>0</v>
      </c>
    </row>
    <row r="32" spans="1:28">
      <c r="A32" s="2">
        <v>29</v>
      </c>
      <c r="B32" s="2" t="s">
        <v>218</v>
      </c>
      <c r="C32" s="2" t="s">
        <v>2527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42753628.920181893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42753628.920181893</v>
      </c>
      <c r="Y32" s="6" t="s">
        <v>1195</v>
      </c>
      <c r="Z32" s="6" t="s">
        <v>1195</v>
      </c>
      <c r="AA32" s="2">
        <f>AA31</f>
        <v>42757921.76295045</v>
      </c>
      <c r="AB32" s="2">
        <v>0</v>
      </c>
    </row>
    <row r="33" spans="1:28">
      <c r="A33" s="2">
        <v>30</v>
      </c>
      <c r="B33" s="2" t="s">
        <v>225</v>
      </c>
      <c r="C33" s="2" t="s">
        <v>2527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2470</v>
      </c>
      <c r="J33" s="2" t="s">
        <v>2471</v>
      </c>
      <c r="K33" s="2">
        <f t="shared" si="10"/>
        <v>42753628.920181893</v>
      </c>
      <c r="L33" s="2" t="s">
        <v>2465</v>
      </c>
      <c r="M33" s="2" t="s">
        <v>1828</v>
      </c>
      <c r="N33" s="2" t="s">
        <v>2467</v>
      </c>
      <c r="O33" s="2">
        <v>2438</v>
      </c>
      <c r="P33" s="2">
        <v>132.9717102050781</v>
      </c>
      <c r="Q33" s="2">
        <v>134.04759216308591</v>
      </c>
      <c r="R33" s="2">
        <f>O33*P33</f>
        <v>324185.02947998041</v>
      </c>
      <c r="S33" s="2">
        <f>O33*Q33</f>
        <v>326808.02969360346</v>
      </c>
      <c r="T33" s="2">
        <f>R33+S33</f>
        <v>650993.05917358387</v>
      </c>
      <c r="U33" s="2">
        <f>ROUND(T33*0.0005, 2)</f>
        <v>325.5</v>
      </c>
      <c r="V33" s="2">
        <f>S33-R33</f>
        <v>2623.0002136230469</v>
      </c>
      <c r="W33" s="2">
        <f>V33-U33</f>
        <v>2297.5002136230469</v>
      </c>
      <c r="X33" s="2">
        <f>K33+W33</f>
        <v>42755926.420395516</v>
      </c>
      <c r="Y33" s="2">
        <f>ROUND(0.2*R33, 2)</f>
        <v>64837.01</v>
      </c>
      <c r="Z33" s="2">
        <f>ROUND((W33/Y33)*100, 2)</f>
        <v>3.54</v>
      </c>
      <c r="AA33" s="2">
        <f>MAX(AA32, X33)</f>
        <v>42757921.76295045</v>
      </c>
      <c r="AB33" s="2">
        <f>X33-AA33</f>
        <v>-1995.3425549343228</v>
      </c>
    </row>
    <row r="34" spans="1:28">
      <c r="A34" s="2">
        <v>31</v>
      </c>
      <c r="B34" s="2" t="s">
        <v>230</v>
      </c>
      <c r="C34" s="2" t="s">
        <v>2527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42755926.420395516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42755926.420395516</v>
      </c>
      <c r="Y34" s="6" t="s">
        <v>1195</v>
      </c>
      <c r="Z34" s="6" t="s">
        <v>1195</v>
      </c>
      <c r="AA34" s="2">
        <f>AA33</f>
        <v>42757921.76295045</v>
      </c>
      <c r="AB34" s="2">
        <v>0</v>
      </c>
    </row>
    <row r="35" spans="1:28">
      <c r="A35" s="2">
        <v>32</v>
      </c>
      <c r="B35" s="2" t="s">
        <v>236</v>
      </c>
      <c r="C35" s="2" t="s">
        <v>2527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1902</v>
      </c>
      <c r="J35" s="2" t="s">
        <v>2472</v>
      </c>
      <c r="K35" s="2">
        <f t="shared" si="10"/>
        <v>42755926.420395516</v>
      </c>
      <c r="L35" s="2" t="s">
        <v>2058</v>
      </c>
      <c r="M35" s="2" t="s">
        <v>2068</v>
      </c>
      <c r="N35" s="2" t="s">
        <v>2067</v>
      </c>
      <c r="O35" s="2">
        <v>950</v>
      </c>
      <c r="P35" s="2">
        <v>929.949951171875</v>
      </c>
      <c r="Q35" s="2">
        <v>924.22998046875</v>
      </c>
      <c r="R35" s="2">
        <f>O35*P35</f>
        <v>883452.45361328125</v>
      </c>
      <c r="S35" s="2">
        <f>O35*Q35</f>
        <v>878018.4814453125</v>
      </c>
      <c r="T35" s="2">
        <f>R35+S35</f>
        <v>1761470.9350585937</v>
      </c>
      <c r="U35" s="2">
        <f>ROUND(T35*0.0005, 2)</f>
        <v>880.74</v>
      </c>
      <c r="V35" s="2">
        <f>S35-R35</f>
        <v>-5433.97216796875</v>
      </c>
      <c r="W35" s="2">
        <f>V35-U35</f>
        <v>-6314.7121679687498</v>
      </c>
      <c r="X35" s="2">
        <f>K35+W35</f>
        <v>42749611.708227545</v>
      </c>
      <c r="Y35" s="2">
        <f>ROUND(0.2*R35, 2)</f>
        <v>176690.49</v>
      </c>
      <c r="Z35" s="2">
        <f>ROUND((W35/Y35)*100, 2)</f>
        <v>-3.57</v>
      </c>
      <c r="AA35" s="2">
        <f>MAX(AA34, X35)</f>
        <v>42757921.76295045</v>
      </c>
      <c r="AB35" s="2">
        <f>X35-AA35</f>
        <v>-8310.054722905159</v>
      </c>
    </row>
    <row r="36" spans="1:28">
      <c r="A36" s="2">
        <v>33</v>
      </c>
      <c r="B36" s="2" t="s">
        <v>240</v>
      </c>
      <c r="C36" s="2" t="s">
        <v>2527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42749611.708227545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42749611.708227545</v>
      </c>
      <c r="Y36" s="6" t="s">
        <v>1195</v>
      </c>
      <c r="Z36" s="6" t="s">
        <v>1195</v>
      </c>
      <c r="AA36" s="2">
        <f>AA35</f>
        <v>42757921.76295045</v>
      </c>
      <c r="AB36" s="2">
        <v>0</v>
      </c>
    </row>
    <row r="37" spans="1:28">
      <c r="A37" s="2">
        <v>34</v>
      </c>
      <c r="B37" s="2" t="s">
        <v>245</v>
      </c>
      <c r="C37" s="2" t="s">
        <v>2527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42749611.708227545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42749611.708227545</v>
      </c>
      <c r="Y37" s="6" t="s">
        <v>1195</v>
      </c>
      <c r="Z37" s="6" t="s">
        <v>1195</v>
      </c>
      <c r="AA37" s="2">
        <f>AA36</f>
        <v>42757921.76295045</v>
      </c>
      <c r="AB37" s="2">
        <v>0</v>
      </c>
    </row>
    <row r="38" spans="1:28">
      <c r="A38" s="2">
        <v>35</v>
      </c>
      <c r="B38" s="2" t="s">
        <v>248</v>
      </c>
      <c r="C38" s="2" t="s">
        <v>2527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42749611.708227545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42749611.708227545</v>
      </c>
      <c r="Y38" s="6" t="s">
        <v>1195</v>
      </c>
      <c r="Z38" s="6" t="s">
        <v>1195</v>
      </c>
      <c r="AA38" s="2">
        <f>AA37</f>
        <v>42757921.76295045</v>
      </c>
      <c r="AB38" s="2">
        <v>0</v>
      </c>
    </row>
    <row r="39" spans="1:28">
      <c r="A39" s="2">
        <v>36</v>
      </c>
      <c r="B39" s="2" t="s">
        <v>252</v>
      </c>
      <c r="C39" s="2" t="s">
        <v>2527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42749611.708227545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42749611.708227545</v>
      </c>
      <c r="Y39" s="6" t="s">
        <v>1195</v>
      </c>
      <c r="Z39" s="6" t="s">
        <v>1195</v>
      </c>
      <c r="AA39" s="2">
        <f>AA38</f>
        <v>42757921.76295045</v>
      </c>
      <c r="AB39" s="2">
        <v>0</v>
      </c>
    </row>
    <row r="40" spans="1:28">
      <c r="A40" s="2">
        <v>37</v>
      </c>
      <c r="B40" s="2" t="s">
        <v>256</v>
      </c>
      <c r="C40" s="2" t="s">
        <v>2527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2231</v>
      </c>
      <c r="J40" s="2" t="s">
        <v>2473</v>
      </c>
      <c r="K40" s="2">
        <f t="shared" si="10"/>
        <v>42749611.708227545</v>
      </c>
      <c r="L40" s="2" t="s">
        <v>2474</v>
      </c>
      <c r="M40" s="2" t="s">
        <v>1827</v>
      </c>
      <c r="N40" s="2" t="s">
        <v>1961</v>
      </c>
      <c r="O40" s="2">
        <v>1800</v>
      </c>
      <c r="P40" s="2">
        <v>155.95283508300781</v>
      </c>
      <c r="Q40" s="2">
        <v>145.96757507324219</v>
      </c>
      <c r="R40" s="2">
        <f>O40*P40</f>
        <v>280715.10314941406</v>
      </c>
      <c r="S40" s="2">
        <f>O40*Q40</f>
        <v>262741.63513183594</v>
      </c>
      <c r="T40" s="2">
        <f>R40+S40</f>
        <v>543456.73828125</v>
      </c>
      <c r="U40" s="2">
        <f>ROUND(T40*0.0005, 2)</f>
        <v>271.73</v>
      </c>
      <c r="V40" s="2">
        <f>S40-R40</f>
        <v>-17973.468017578125</v>
      </c>
      <c r="W40" s="2">
        <f>V40-U40</f>
        <v>-18245.198017578125</v>
      </c>
      <c r="X40" s="2">
        <f>K40+W40</f>
        <v>42731366.51020997</v>
      </c>
      <c r="Y40" s="2">
        <f>ROUND(0.2*R40, 2)</f>
        <v>56143.02</v>
      </c>
      <c r="Z40" s="2">
        <f>ROUND((W40/Y40)*100, 2)</f>
        <v>-32.5</v>
      </c>
      <c r="AA40" s="2">
        <f>MAX(AA39, X40)</f>
        <v>42757921.76295045</v>
      </c>
      <c r="AB40" s="2">
        <f>X40-AA40</f>
        <v>-26555.252740480006</v>
      </c>
    </row>
    <row r="41" spans="1:28">
      <c r="A41" s="2">
        <v>38</v>
      </c>
      <c r="B41" s="2" t="s">
        <v>259</v>
      </c>
      <c r="C41" s="2" t="s">
        <v>2527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1825</v>
      </c>
      <c r="J41" s="2" t="s">
        <v>338</v>
      </c>
      <c r="K41" s="2">
        <f t="shared" si="10"/>
        <v>42731366.51020997</v>
      </c>
      <c r="L41" s="2" t="s">
        <v>1826</v>
      </c>
      <c r="M41" s="2" t="s">
        <v>1827</v>
      </c>
      <c r="N41" s="2" t="s">
        <v>1826</v>
      </c>
      <c r="O41" s="2">
        <v>200</v>
      </c>
      <c r="P41" s="2">
        <v>4411.27001953125</v>
      </c>
      <c r="Q41" s="2">
        <v>4505.15185546875</v>
      </c>
      <c r="R41" s="2">
        <f>O41*P41</f>
        <v>882254.00390625</v>
      </c>
      <c r="S41" s="2">
        <f>O41*Q41</f>
        <v>901030.37109375</v>
      </c>
      <c r="T41" s="2">
        <f>R41+S41</f>
        <v>1783284.375</v>
      </c>
      <c r="U41" s="2">
        <f>ROUND(T41*0.0005, 2)</f>
        <v>891.64</v>
      </c>
      <c r="V41" s="2">
        <f>S41-R41</f>
        <v>18776.3671875</v>
      </c>
      <c r="W41" s="2">
        <f>V41-U41</f>
        <v>17884.727187500001</v>
      </c>
      <c r="X41" s="2">
        <f>K41+W41</f>
        <v>42749251.23739747</v>
      </c>
      <c r="Y41" s="2">
        <f>ROUND(0.2*R41, 2)</f>
        <v>176450.8</v>
      </c>
      <c r="Z41" s="2">
        <f>ROUND((W41/Y41)*100, 2)</f>
        <v>10.14</v>
      </c>
      <c r="AA41" s="2">
        <f>MAX(AA40, X41)</f>
        <v>42757921.76295045</v>
      </c>
      <c r="AB41" s="2">
        <f>X41-AA41</f>
        <v>-8670.5255529806018</v>
      </c>
    </row>
    <row r="42" spans="1:28">
      <c r="A42" s="2">
        <v>39</v>
      </c>
      <c r="B42" s="2" t="s">
        <v>265</v>
      </c>
      <c r="C42" s="2" t="s">
        <v>2527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42749251.23739747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42749251.23739747</v>
      </c>
      <c r="Y42" s="6" t="s">
        <v>1195</v>
      </c>
      <c r="Z42" s="6" t="s">
        <v>1195</v>
      </c>
      <c r="AA42" s="2">
        <f t="shared" ref="AA42:AA47" si="13">AA41</f>
        <v>42757921.76295045</v>
      </c>
      <c r="AB42" s="2">
        <v>0</v>
      </c>
    </row>
    <row r="43" spans="1:28">
      <c r="A43" s="2">
        <v>40</v>
      </c>
      <c r="B43" s="2" t="s">
        <v>269</v>
      </c>
      <c r="C43" s="2" t="s">
        <v>2527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42749251.23739747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42749251.23739747</v>
      </c>
      <c r="Y43" s="6" t="s">
        <v>1195</v>
      </c>
      <c r="Z43" s="6" t="s">
        <v>1195</v>
      </c>
      <c r="AA43" s="2">
        <f t="shared" si="13"/>
        <v>42757921.76295045</v>
      </c>
      <c r="AB43" s="2">
        <v>0</v>
      </c>
    </row>
    <row r="44" spans="1:28">
      <c r="A44" s="2">
        <v>41</v>
      </c>
      <c r="B44" s="2" t="s">
        <v>272</v>
      </c>
      <c r="C44" s="2" t="s">
        <v>2527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42749251.23739747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42749251.23739747</v>
      </c>
      <c r="Y44" s="6" t="s">
        <v>1195</v>
      </c>
      <c r="Z44" s="6" t="s">
        <v>1195</v>
      </c>
      <c r="AA44" s="2">
        <f t="shared" si="13"/>
        <v>42757921.76295045</v>
      </c>
      <c r="AB44" s="2">
        <v>0</v>
      </c>
    </row>
    <row r="45" spans="1:28">
      <c r="A45" s="2">
        <v>42</v>
      </c>
      <c r="B45" s="2" t="s">
        <v>275</v>
      </c>
      <c r="C45" s="2" t="s">
        <v>2527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42749251.23739747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42749251.23739747</v>
      </c>
      <c r="Y45" s="6" t="s">
        <v>1195</v>
      </c>
      <c r="Z45" s="6" t="s">
        <v>1195</v>
      </c>
      <c r="AA45" s="2">
        <f t="shared" si="13"/>
        <v>42757921.76295045</v>
      </c>
      <c r="AB45" s="2">
        <v>0</v>
      </c>
    </row>
    <row r="46" spans="1:28">
      <c r="A46" s="2">
        <v>43</v>
      </c>
      <c r="B46" s="2" t="s">
        <v>280</v>
      </c>
      <c r="C46" s="2" t="s">
        <v>2527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42749251.23739747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42749251.23739747</v>
      </c>
      <c r="Y46" s="6" t="s">
        <v>1195</v>
      </c>
      <c r="Z46" s="6" t="s">
        <v>1195</v>
      </c>
      <c r="AA46" s="2">
        <f t="shared" si="13"/>
        <v>42757921.76295045</v>
      </c>
      <c r="AB46" s="2">
        <v>0</v>
      </c>
    </row>
    <row r="47" spans="1:28">
      <c r="A47" s="2">
        <v>44</v>
      </c>
      <c r="B47" s="2" t="s">
        <v>284</v>
      </c>
      <c r="C47" s="2" t="s">
        <v>2527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42749251.23739747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42749251.23739747</v>
      </c>
      <c r="Y47" s="6" t="s">
        <v>1195</v>
      </c>
      <c r="Z47" s="6" t="s">
        <v>1195</v>
      </c>
      <c r="AA47" s="2">
        <f t="shared" si="13"/>
        <v>42757921.76295045</v>
      </c>
      <c r="AB47" s="2">
        <v>0</v>
      </c>
    </row>
    <row r="48" spans="1:28">
      <c r="A48" s="2">
        <v>45</v>
      </c>
      <c r="B48" s="2" t="s">
        <v>291</v>
      </c>
      <c r="C48" s="2" t="s">
        <v>2527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789</v>
      </c>
      <c r="J48" s="2" t="s">
        <v>436</v>
      </c>
      <c r="K48" s="2">
        <f t="shared" si="10"/>
        <v>42749251.23739747</v>
      </c>
      <c r="L48" s="2" t="s">
        <v>2063</v>
      </c>
      <c r="M48" s="2" t="s">
        <v>1828</v>
      </c>
      <c r="N48" s="2" t="s">
        <v>2467</v>
      </c>
      <c r="O48" s="2">
        <v>650</v>
      </c>
      <c r="P48" s="2">
        <v>1172.563598632812</v>
      </c>
      <c r="Q48" s="2">
        <v>1125.033081054688</v>
      </c>
      <c r="R48" s="2">
        <f>O48*P48</f>
        <v>762166.33911132778</v>
      </c>
      <c r="S48" s="2">
        <f>O48*Q48</f>
        <v>731271.50268554722</v>
      </c>
      <c r="T48" s="2">
        <f>R48+S48</f>
        <v>1493437.841796875</v>
      </c>
      <c r="U48" s="2">
        <f>ROUND(T48*0.0005, 2)</f>
        <v>746.72</v>
      </c>
      <c r="V48" s="2">
        <f>S48-R48</f>
        <v>-30894.836425780552</v>
      </c>
      <c r="W48" s="2">
        <f>V48-U48</f>
        <v>-31641.556425780553</v>
      </c>
      <c r="X48" s="2">
        <f>K48+W48</f>
        <v>42717609.68097169</v>
      </c>
      <c r="Y48" s="2">
        <f>ROUND(0.2*R48, 2)</f>
        <v>152433.26999999999</v>
      </c>
      <c r="Z48" s="2">
        <f>ROUND((W48/Y48)*100, 2)</f>
        <v>-20.76</v>
      </c>
      <c r="AA48" s="2">
        <f>MAX(AA47, X48)</f>
        <v>42757921.76295045</v>
      </c>
      <c r="AB48" s="2">
        <f>X48-AA48</f>
        <v>-40312.08197876066</v>
      </c>
    </row>
    <row r="49" spans="1:28">
      <c r="A49" s="2">
        <v>46</v>
      </c>
      <c r="B49" s="2" t="s">
        <v>295</v>
      </c>
      <c r="C49" s="2" t="s">
        <v>2527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2475</v>
      </c>
      <c r="J49" s="2" t="s">
        <v>2476</v>
      </c>
      <c r="K49" s="2">
        <f t="shared" si="10"/>
        <v>42717609.68097169</v>
      </c>
      <c r="L49" s="2" t="s">
        <v>2067</v>
      </c>
      <c r="M49" s="2" t="s">
        <v>2477</v>
      </c>
      <c r="N49" s="2" t="s">
        <v>2462</v>
      </c>
      <c r="O49" s="2">
        <v>2100</v>
      </c>
      <c r="P49" s="2">
        <v>261.16842651367187</v>
      </c>
      <c r="Q49" s="2">
        <v>290.3394775390625</v>
      </c>
      <c r="R49" s="2">
        <f>O49*P49</f>
        <v>548453.69567871094</v>
      </c>
      <c r="S49" s="2">
        <f>O49*Q49</f>
        <v>609712.90283203125</v>
      </c>
      <c r="T49" s="2">
        <f>R49+S49</f>
        <v>1158166.5985107422</v>
      </c>
      <c r="U49" s="2">
        <f>ROUND(T49*0.0005, 2)</f>
        <v>579.08000000000004</v>
      </c>
      <c r="V49" s="2">
        <f>S49-R49</f>
        <v>61259.207153320313</v>
      </c>
      <c r="W49" s="2">
        <f>V49-U49</f>
        <v>60680.127153320311</v>
      </c>
      <c r="X49" s="2">
        <f>K49+W49</f>
        <v>42778289.808125012</v>
      </c>
      <c r="Y49" s="2">
        <f>ROUND(0.2*R49, 2)</f>
        <v>109690.74</v>
      </c>
      <c r="Z49" s="2">
        <f>ROUND((W49/Y49)*100, 2)</f>
        <v>55.32</v>
      </c>
      <c r="AA49" s="2">
        <f>MAX(AA48, X49)</f>
        <v>42778289.808125012</v>
      </c>
      <c r="AB49" s="2">
        <f>X49-AA49</f>
        <v>0</v>
      </c>
    </row>
    <row r="50" spans="1:28">
      <c r="A50" s="2">
        <v>47</v>
      </c>
      <c r="B50" s="2" t="s">
        <v>299</v>
      </c>
      <c r="C50" s="2" t="s">
        <v>2527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42778289.808125012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42778289.808125012</v>
      </c>
      <c r="Y50" s="6" t="s">
        <v>1195</v>
      </c>
      <c r="Z50" s="6" t="s">
        <v>1195</v>
      </c>
      <c r="AA50" s="2">
        <f t="shared" ref="AA50:AA61" si="15">AA49</f>
        <v>42778289.808125012</v>
      </c>
      <c r="AB50" s="2">
        <v>0</v>
      </c>
    </row>
    <row r="51" spans="1:28">
      <c r="A51" s="2">
        <v>48</v>
      </c>
      <c r="B51" s="2" t="s">
        <v>303</v>
      </c>
      <c r="C51" s="2" t="s">
        <v>2527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42778289.808125012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42778289.808125012</v>
      </c>
      <c r="Y51" s="6" t="s">
        <v>1195</v>
      </c>
      <c r="Z51" s="6" t="s">
        <v>1195</v>
      </c>
      <c r="AA51" s="2">
        <f t="shared" si="15"/>
        <v>42778289.808125012</v>
      </c>
      <c r="AB51" s="2">
        <v>0</v>
      </c>
    </row>
    <row r="52" spans="1:28">
      <c r="A52" s="2">
        <v>49</v>
      </c>
      <c r="B52" s="2" t="s">
        <v>307</v>
      </c>
      <c r="C52" s="2" t="s">
        <v>2527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42778289.808125012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42778289.808125012</v>
      </c>
      <c r="Y52" s="6" t="s">
        <v>1195</v>
      </c>
      <c r="Z52" s="6" t="s">
        <v>1195</v>
      </c>
      <c r="AA52" s="2">
        <f t="shared" si="15"/>
        <v>42778289.808125012</v>
      </c>
      <c r="AB52" s="2">
        <v>0</v>
      </c>
    </row>
    <row r="53" spans="1:28">
      <c r="A53" s="2">
        <v>50</v>
      </c>
      <c r="B53" s="2" t="s">
        <v>311</v>
      </c>
      <c r="C53" s="2" t="s">
        <v>2527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42778289.808125012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42778289.808125012</v>
      </c>
      <c r="Y53" s="6" t="s">
        <v>1195</v>
      </c>
      <c r="Z53" s="6" t="s">
        <v>1195</v>
      </c>
      <c r="AA53" s="2">
        <f t="shared" si="15"/>
        <v>42778289.808125012</v>
      </c>
      <c r="AB53" s="2">
        <v>0</v>
      </c>
    </row>
    <row r="54" spans="1:28">
      <c r="A54" s="2">
        <v>51</v>
      </c>
      <c r="B54" s="2" t="s">
        <v>315</v>
      </c>
      <c r="C54" s="2" t="s">
        <v>2527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42778289.808125012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42778289.808125012</v>
      </c>
      <c r="Y54" s="6" t="s">
        <v>1195</v>
      </c>
      <c r="Z54" s="6" t="s">
        <v>1195</v>
      </c>
      <c r="AA54" s="2">
        <f t="shared" si="15"/>
        <v>42778289.808125012</v>
      </c>
      <c r="AB54" s="2">
        <v>0</v>
      </c>
    </row>
    <row r="55" spans="1:28">
      <c r="A55" s="2">
        <v>52</v>
      </c>
      <c r="B55" s="2" t="s">
        <v>318</v>
      </c>
      <c r="C55" s="2" t="s">
        <v>2527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42778289.808125012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42778289.808125012</v>
      </c>
      <c r="Y55" s="6" t="s">
        <v>1195</v>
      </c>
      <c r="Z55" s="6" t="s">
        <v>1195</v>
      </c>
      <c r="AA55" s="2">
        <f t="shared" si="15"/>
        <v>42778289.808125012</v>
      </c>
      <c r="AB55" s="2">
        <v>0</v>
      </c>
    </row>
    <row r="56" spans="1:28">
      <c r="A56" s="2">
        <v>53</v>
      </c>
      <c r="B56" s="2" t="s">
        <v>322</v>
      </c>
      <c r="C56" s="2" t="s">
        <v>2527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42778289.808125012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42778289.808125012</v>
      </c>
      <c r="Y56" s="6" t="s">
        <v>1195</v>
      </c>
      <c r="Z56" s="6" t="s">
        <v>1195</v>
      </c>
      <c r="AA56" s="2">
        <f t="shared" si="15"/>
        <v>42778289.808125012</v>
      </c>
      <c r="AB56" s="2">
        <v>0</v>
      </c>
    </row>
    <row r="57" spans="1:28">
      <c r="A57" s="2">
        <v>54</v>
      </c>
      <c r="B57" s="2" t="s">
        <v>324</v>
      </c>
      <c r="C57" s="2" t="s">
        <v>2527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42778289.808125012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42778289.808125012</v>
      </c>
      <c r="Y57" s="6" t="s">
        <v>1195</v>
      </c>
      <c r="Z57" s="6" t="s">
        <v>1195</v>
      </c>
      <c r="AA57" s="2">
        <f t="shared" si="15"/>
        <v>42778289.808125012</v>
      </c>
      <c r="AB57" s="2">
        <v>0</v>
      </c>
    </row>
    <row r="58" spans="1:28">
      <c r="A58" s="2">
        <v>55</v>
      </c>
      <c r="B58" s="2" t="s">
        <v>328</v>
      </c>
      <c r="C58" s="2" t="s">
        <v>2527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42778289.808125012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42778289.808125012</v>
      </c>
      <c r="Y58" s="6" t="s">
        <v>1195</v>
      </c>
      <c r="Z58" s="6" t="s">
        <v>1195</v>
      </c>
      <c r="AA58" s="2">
        <f t="shared" si="15"/>
        <v>42778289.808125012</v>
      </c>
      <c r="AB58" s="2">
        <v>0</v>
      </c>
    </row>
    <row r="59" spans="1:28">
      <c r="A59" s="2">
        <v>56</v>
      </c>
      <c r="B59" s="2" t="s">
        <v>332</v>
      </c>
      <c r="C59" s="2" t="s">
        <v>2527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42778289.808125012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42778289.808125012</v>
      </c>
      <c r="Y59" s="6" t="s">
        <v>1195</v>
      </c>
      <c r="Z59" s="6" t="s">
        <v>1195</v>
      </c>
      <c r="AA59" s="2">
        <f t="shared" si="15"/>
        <v>42778289.808125012</v>
      </c>
      <c r="AB59" s="2">
        <v>0</v>
      </c>
    </row>
    <row r="60" spans="1:28">
      <c r="A60" s="2">
        <v>57</v>
      </c>
      <c r="B60" s="2" t="s">
        <v>337</v>
      </c>
      <c r="C60" s="2" t="s">
        <v>2527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42778289.808125012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42778289.808125012</v>
      </c>
      <c r="Y60" s="6" t="s">
        <v>1195</v>
      </c>
      <c r="Z60" s="6" t="s">
        <v>1195</v>
      </c>
      <c r="AA60" s="2">
        <f t="shared" si="15"/>
        <v>42778289.808125012</v>
      </c>
      <c r="AB60" s="2">
        <v>0</v>
      </c>
    </row>
    <row r="61" spans="1:28">
      <c r="A61" s="2">
        <v>58</v>
      </c>
      <c r="B61" s="2" t="s">
        <v>341</v>
      </c>
      <c r="C61" s="2" t="s">
        <v>2527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42778289.808125012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42778289.808125012</v>
      </c>
      <c r="Y61" s="6" t="s">
        <v>1195</v>
      </c>
      <c r="Z61" s="6" t="s">
        <v>1195</v>
      </c>
      <c r="AA61" s="2">
        <f t="shared" si="15"/>
        <v>42778289.808125012</v>
      </c>
      <c r="AB61" s="2">
        <v>0</v>
      </c>
    </row>
    <row r="62" spans="1:28">
      <c r="A62" s="2">
        <v>59</v>
      </c>
      <c r="B62" s="2" t="s">
        <v>347</v>
      </c>
      <c r="C62" s="2" t="s">
        <v>2527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998</v>
      </c>
      <c r="J62" s="2" t="s">
        <v>673</v>
      </c>
      <c r="K62" s="2">
        <f t="shared" si="10"/>
        <v>42778289.808125012</v>
      </c>
      <c r="L62" s="2" t="s">
        <v>2469</v>
      </c>
      <c r="M62" s="2" t="s">
        <v>1961</v>
      </c>
      <c r="N62" s="2" t="s">
        <v>1987</v>
      </c>
      <c r="O62" s="2">
        <v>125</v>
      </c>
      <c r="P62" s="2">
        <v>1049.423461914062</v>
      </c>
      <c r="Q62" s="2">
        <v>1088.442993164062</v>
      </c>
      <c r="R62" s="2">
        <f>O62*P62</f>
        <v>131177.93273925775</v>
      </c>
      <c r="S62" s="2">
        <f>O62*Q62</f>
        <v>136055.37414550775</v>
      </c>
      <c r="T62" s="2">
        <f>R62+S62</f>
        <v>267233.30688476551</v>
      </c>
      <c r="U62" s="2">
        <f>ROUND(T62*0.0005, 2)</f>
        <v>133.62</v>
      </c>
      <c r="V62" s="2">
        <f>S62-R62</f>
        <v>4877.44140625</v>
      </c>
      <c r="W62" s="2">
        <f>V62-U62</f>
        <v>4743.8214062500001</v>
      </c>
      <c r="X62" s="2">
        <f>K62+W62</f>
        <v>42783033.629531264</v>
      </c>
      <c r="Y62" s="2">
        <f>ROUND(0.2*R62, 2)</f>
        <v>26235.59</v>
      </c>
      <c r="Z62" s="2">
        <f>ROUND((W62/Y62)*100, 2)</f>
        <v>18.079999999999998</v>
      </c>
      <c r="AA62" s="2">
        <f>MAX(AA61, X62)</f>
        <v>42783033.629531264</v>
      </c>
      <c r="AB62" s="2">
        <f>X62-AA62</f>
        <v>0</v>
      </c>
    </row>
    <row r="63" spans="1:28">
      <c r="A63" s="2">
        <v>60</v>
      </c>
      <c r="B63" s="2" t="s">
        <v>351</v>
      </c>
      <c r="C63" s="2" t="s">
        <v>2527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2478</v>
      </c>
      <c r="J63" s="2" t="s">
        <v>2479</v>
      </c>
      <c r="K63" s="2">
        <f t="shared" si="10"/>
        <v>42783033.629531264</v>
      </c>
      <c r="L63" s="2" t="s">
        <v>2050</v>
      </c>
      <c r="M63" s="2" t="s">
        <v>2480</v>
      </c>
      <c r="N63" s="2" t="s">
        <v>2481</v>
      </c>
      <c r="O63" s="2">
        <v>175</v>
      </c>
      <c r="P63" s="2">
        <v>3204.72705078125</v>
      </c>
      <c r="Q63" s="2">
        <v>3757.407470703125</v>
      </c>
      <c r="R63" s="2">
        <f>O63*P63</f>
        <v>560827.23388671875</v>
      </c>
      <c r="S63" s="2">
        <f>O63*Q63</f>
        <v>657546.30737304688</v>
      </c>
      <c r="T63" s="2">
        <f>R63+S63</f>
        <v>1218373.5412597656</v>
      </c>
      <c r="U63" s="2">
        <f>ROUND(T63*0.0005, 2)</f>
        <v>609.19000000000005</v>
      </c>
      <c r="V63" s="2">
        <f>S63-R63</f>
        <v>96719.073486328125</v>
      </c>
      <c r="W63" s="2">
        <f>V63-U63</f>
        <v>96109.883486328123</v>
      </c>
      <c r="X63" s="2">
        <f>K63+W63</f>
        <v>42879143.513017595</v>
      </c>
      <c r="Y63" s="2">
        <f>ROUND(0.2*R63, 2)</f>
        <v>112165.45</v>
      </c>
      <c r="Z63" s="2">
        <f>ROUND((W63/Y63)*100, 2)</f>
        <v>85.69</v>
      </c>
      <c r="AA63" s="2">
        <f>MAX(AA62, X63)</f>
        <v>42879143.513017595</v>
      </c>
      <c r="AB63" s="2">
        <f>X63-AA63</f>
        <v>0</v>
      </c>
    </row>
    <row r="64" spans="1:28">
      <c r="A64" s="2">
        <v>61</v>
      </c>
      <c r="B64" s="2" t="s">
        <v>355</v>
      </c>
      <c r="C64" s="2" t="s">
        <v>2527</v>
      </c>
      <c r="D64" s="3" t="s">
        <v>37</v>
      </c>
      <c r="E64" s="3" t="s">
        <v>38</v>
      </c>
      <c r="F64" s="2" t="s">
        <v>356</v>
      </c>
      <c r="G64" s="2" t="s">
        <v>177</v>
      </c>
      <c r="H64" s="6" t="s">
        <v>1195</v>
      </c>
      <c r="I64" s="6" t="s">
        <v>1195</v>
      </c>
      <c r="J64" s="6" t="s">
        <v>1195</v>
      </c>
      <c r="K64" s="2">
        <f t="shared" si="10"/>
        <v>42879143.513017595</v>
      </c>
      <c r="L64" s="6" t="s">
        <v>1195</v>
      </c>
      <c r="M64" s="6" t="s">
        <v>1195</v>
      </c>
      <c r="N64" s="6" t="s">
        <v>1195</v>
      </c>
      <c r="O64" s="2">
        <v>3399</v>
      </c>
      <c r="P64" s="6" t="s">
        <v>1195</v>
      </c>
      <c r="Q64" s="6" t="s">
        <v>1195</v>
      </c>
      <c r="R64" s="6" t="s">
        <v>1195</v>
      </c>
      <c r="S64" s="6" t="s">
        <v>1195</v>
      </c>
      <c r="T64" s="6" t="s">
        <v>1195</v>
      </c>
      <c r="U64" s="6" t="s">
        <v>1195</v>
      </c>
      <c r="V64" s="6" t="s">
        <v>1195</v>
      </c>
      <c r="W64" s="6" t="s">
        <v>1195</v>
      </c>
      <c r="X64" s="2">
        <f>K64</f>
        <v>42879143.513017595</v>
      </c>
      <c r="Y64" s="6" t="s">
        <v>1195</v>
      </c>
      <c r="Z64" s="6" t="s">
        <v>1195</v>
      </c>
      <c r="AA64" s="2">
        <f>AA63</f>
        <v>42879143.513017595</v>
      </c>
      <c r="AB64" s="2">
        <v>0</v>
      </c>
    </row>
    <row r="65" spans="1:28">
      <c r="A65" s="2">
        <v>62</v>
      </c>
      <c r="B65" s="2" t="s">
        <v>360</v>
      </c>
      <c r="C65" s="2" t="s">
        <v>2527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42879143.513017595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42879143.513017595</v>
      </c>
      <c r="Y65" s="6" t="s">
        <v>1195</v>
      </c>
      <c r="Z65" s="6" t="s">
        <v>1195</v>
      </c>
      <c r="AA65" s="2">
        <f>AA64</f>
        <v>42879143.513017595</v>
      </c>
      <c r="AB65" s="2">
        <v>0</v>
      </c>
    </row>
    <row r="66" spans="1:28">
      <c r="A66" s="2">
        <v>63</v>
      </c>
      <c r="B66" s="2" t="s">
        <v>364</v>
      </c>
      <c r="C66" s="2" t="s">
        <v>2527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2541</v>
      </c>
      <c r="J66" s="2" t="s">
        <v>2542</v>
      </c>
      <c r="K66" s="2">
        <f t="shared" si="10"/>
        <v>42879143.513017595</v>
      </c>
      <c r="L66" s="2" t="s">
        <v>1629</v>
      </c>
      <c r="M66" s="2" t="s">
        <v>1557</v>
      </c>
      <c r="N66" s="2" t="s">
        <v>1467</v>
      </c>
      <c r="O66" s="2">
        <v>100</v>
      </c>
      <c r="P66" s="2">
        <v>9903.6904296875</v>
      </c>
      <c r="Q66" s="2">
        <v>9458.4912109375</v>
      </c>
      <c r="R66" s="2">
        <f>O66*P66</f>
        <v>990369.04296875</v>
      </c>
      <c r="S66" s="2">
        <f>O66*Q66</f>
        <v>945849.12109375</v>
      </c>
      <c r="T66" s="2">
        <f>R66+S66</f>
        <v>1936218.1640625</v>
      </c>
      <c r="U66" s="2">
        <f>ROUND(T66*0.0005, 2)</f>
        <v>968.11</v>
      </c>
      <c r="V66" s="2">
        <f>S66-R66</f>
        <v>-44519.921875</v>
      </c>
      <c r="W66" s="2">
        <f>V66-U66</f>
        <v>-45488.031875000001</v>
      </c>
      <c r="X66" s="2">
        <f>K66+W66</f>
        <v>42833655.481142595</v>
      </c>
      <c r="Y66" s="2">
        <f>ROUND(0.2*R66, 2)</f>
        <v>198073.81</v>
      </c>
      <c r="Z66" s="2">
        <f>ROUND((W66/Y66)*100, 2)</f>
        <v>-22.97</v>
      </c>
      <c r="AA66" s="2">
        <f>MAX(AA65, X66)</f>
        <v>42879143.513017595</v>
      </c>
      <c r="AB66" s="2">
        <f>X66-AA66</f>
        <v>-45488.031874999404</v>
      </c>
    </row>
    <row r="67" spans="1:28">
      <c r="A67" s="2">
        <v>64</v>
      </c>
      <c r="B67" s="2" t="s">
        <v>369</v>
      </c>
      <c r="C67" s="2" t="s">
        <v>2527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42833655.481142595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42833655.481142595</v>
      </c>
      <c r="Y67" s="6" t="s">
        <v>1195</v>
      </c>
      <c r="Z67" s="6" t="s">
        <v>1195</v>
      </c>
      <c r="AA67" s="2">
        <f t="shared" ref="AA67:AA73" si="17">AA66</f>
        <v>42879143.513017595</v>
      </c>
      <c r="AB67" s="2">
        <v>0</v>
      </c>
    </row>
    <row r="68" spans="1:28">
      <c r="A68" s="2">
        <v>65</v>
      </c>
      <c r="B68" s="2" t="s">
        <v>372</v>
      </c>
      <c r="C68" s="2" t="s">
        <v>2527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42833655.481142595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42833655.481142595</v>
      </c>
      <c r="Y68" s="6" t="s">
        <v>1195</v>
      </c>
      <c r="Z68" s="6" t="s">
        <v>1195</v>
      </c>
      <c r="AA68" s="2">
        <f t="shared" si="17"/>
        <v>42879143.513017595</v>
      </c>
      <c r="AB68" s="2">
        <v>0</v>
      </c>
    </row>
    <row r="69" spans="1:28">
      <c r="A69" s="2">
        <v>66</v>
      </c>
      <c r="B69" s="2" t="s">
        <v>376</v>
      </c>
      <c r="C69" s="2" t="s">
        <v>2527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42833655.481142595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42833655.481142595</v>
      </c>
      <c r="Y69" s="6" t="s">
        <v>1195</v>
      </c>
      <c r="Z69" s="6" t="s">
        <v>1195</v>
      </c>
      <c r="AA69" s="2">
        <f t="shared" si="17"/>
        <v>42879143.513017595</v>
      </c>
      <c r="AB69" s="2">
        <v>0</v>
      </c>
    </row>
    <row r="70" spans="1:28">
      <c r="A70" s="2">
        <v>67</v>
      </c>
      <c r="B70" s="2" t="s">
        <v>381</v>
      </c>
      <c r="C70" s="2" t="s">
        <v>2527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42833655.481142595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42833655.481142595</v>
      </c>
      <c r="Y70" s="6" t="s">
        <v>1195</v>
      </c>
      <c r="Z70" s="6" t="s">
        <v>1195</v>
      </c>
      <c r="AA70" s="2">
        <f t="shared" si="17"/>
        <v>42879143.513017595</v>
      </c>
      <c r="AB70" s="2">
        <v>0</v>
      </c>
    </row>
    <row r="71" spans="1:28">
      <c r="A71" s="2">
        <v>68</v>
      </c>
      <c r="B71" s="2" t="s">
        <v>385</v>
      </c>
      <c r="C71" s="2" t="s">
        <v>2527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42833655.481142595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42833655.481142595</v>
      </c>
      <c r="Y71" s="6" t="s">
        <v>1195</v>
      </c>
      <c r="Z71" s="6" t="s">
        <v>1195</v>
      </c>
      <c r="AA71" s="2">
        <f t="shared" si="17"/>
        <v>42879143.513017595</v>
      </c>
      <c r="AB71" s="2">
        <v>0</v>
      </c>
    </row>
    <row r="72" spans="1:28">
      <c r="A72" s="2">
        <v>69</v>
      </c>
      <c r="B72" s="2" t="s">
        <v>390</v>
      </c>
      <c r="C72" s="2" t="s">
        <v>2527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42833655.481142595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42833655.481142595</v>
      </c>
      <c r="Y72" s="6" t="s">
        <v>1195</v>
      </c>
      <c r="Z72" s="6" t="s">
        <v>1195</v>
      </c>
      <c r="AA72" s="2">
        <f t="shared" si="17"/>
        <v>42879143.513017595</v>
      </c>
      <c r="AB72" s="2">
        <v>0</v>
      </c>
    </row>
    <row r="73" spans="1:28">
      <c r="A73" s="2">
        <v>70</v>
      </c>
      <c r="B73" s="2" t="s">
        <v>393</v>
      </c>
      <c r="C73" s="2" t="s">
        <v>2527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42833655.481142595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42833655.481142595</v>
      </c>
      <c r="Y73" s="6" t="s">
        <v>1195</v>
      </c>
      <c r="Z73" s="6" t="s">
        <v>1195</v>
      </c>
      <c r="AA73" s="2">
        <f t="shared" si="17"/>
        <v>42879143.513017595</v>
      </c>
      <c r="AB73" s="2">
        <v>0</v>
      </c>
    </row>
    <row r="74" spans="1:28">
      <c r="A74" s="2">
        <v>71</v>
      </c>
      <c r="B74" s="2" t="s">
        <v>397</v>
      </c>
      <c r="C74" s="2" t="s">
        <v>2527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630</v>
      </c>
      <c r="J74" s="2" t="s">
        <v>929</v>
      </c>
      <c r="K74" s="2">
        <f t="shared" si="18"/>
        <v>42833655.481142595</v>
      </c>
      <c r="L74" s="2" t="s">
        <v>2068</v>
      </c>
      <c r="M74" s="2" t="s">
        <v>2486</v>
      </c>
      <c r="N74" s="2" t="s">
        <v>2477</v>
      </c>
      <c r="O74" s="2">
        <v>250</v>
      </c>
      <c r="P74" s="2">
        <v>1949.875244140625</v>
      </c>
      <c r="Q74" s="2">
        <v>1899.702270507812</v>
      </c>
      <c r="R74" s="2">
        <f>O74*P74</f>
        <v>487468.81103515625</v>
      </c>
      <c r="S74" s="2">
        <f>O74*Q74</f>
        <v>474925.56762695301</v>
      </c>
      <c r="T74" s="2">
        <f>R74+S74</f>
        <v>962394.37866210926</v>
      </c>
      <c r="U74" s="2">
        <f>ROUND(T74*0.0005, 2)</f>
        <v>481.2</v>
      </c>
      <c r="V74" s="2">
        <f>S74-R74</f>
        <v>-12543.243408203241</v>
      </c>
      <c r="W74" s="2">
        <f>V74-U74</f>
        <v>-13024.443408203242</v>
      </c>
      <c r="X74" s="2">
        <f>K74+W74</f>
        <v>42820631.037734389</v>
      </c>
      <c r="Y74" s="2">
        <f>ROUND(0.2*R74, 2)</f>
        <v>97493.759999999995</v>
      </c>
      <c r="Z74" s="2">
        <f>ROUND((W74/Y74)*100, 2)</f>
        <v>-13.36</v>
      </c>
      <c r="AA74" s="2">
        <f>MAX(AA73, X74)</f>
        <v>42879143.513017595</v>
      </c>
      <c r="AB74" s="2">
        <f>X74-AA74</f>
        <v>-58512.475283205509</v>
      </c>
    </row>
    <row r="75" spans="1:28">
      <c r="A75" s="2">
        <v>72</v>
      </c>
      <c r="B75" s="2" t="s">
        <v>403</v>
      </c>
      <c r="C75" s="2" t="s">
        <v>2527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42820631.037734389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42820631.037734389</v>
      </c>
      <c r="Y75" s="6" t="s">
        <v>1195</v>
      </c>
      <c r="Z75" s="6" t="s">
        <v>1195</v>
      </c>
      <c r="AA75" s="2">
        <f>AA74</f>
        <v>42879143.513017595</v>
      </c>
      <c r="AB75" s="2">
        <v>0</v>
      </c>
    </row>
    <row r="76" spans="1:28">
      <c r="A76" s="2">
        <v>73</v>
      </c>
      <c r="B76" s="2" t="s">
        <v>406</v>
      </c>
      <c r="C76" s="2" t="s">
        <v>2527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42820631.037734389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42820631.037734389</v>
      </c>
      <c r="Y76" s="6" t="s">
        <v>1195</v>
      </c>
      <c r="Z76" s="6" t="s">
        <v>1195</v>
      </c>
      <c r="AA76" s="2">
        <f>AA75</f>
        <v>42879143.513017595</v>
      </c>
      <c r="AB76" s="2">
        <v>0</v>
      </c>
    </row>
    <row r="77" spans="1:28">
      <c r="A77" s="2">
        <v>74</v>
      </c>
      <c r="B77" s="2" t="s">
        <v>410</v>
      </c>
      <c r="C77" s="2" t="s">
        <v>2527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42820631.037734389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42820631.037734389</v>
      </c>
      <c r="Y77" s="6" t="s">
        <v>1195</v>
      </c>
      <c r="Z77" s="6" t="s">
        <v>1195</v>
      </c>
      <c r="AA77" s="2">
        <f>AA76</f>
        <v>42879143.513017595</v>
      </c>
      <c r="AB77" s="2">
        <v>0</v>
      </c>
    </row>
    <row r="78" spans="1:28">
      <c r="A78" s="2">
        <v>75</v>
      </c>
      <c r="B78" s="2" t="s">
        <v>414</v>
      </c>
      <c r="C78" s="2" t="s">
        <v>2527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529</v>
      </c>
      <c r="J78" s="2" t="s">
        <v>129</v>
      </c>
      <c r="K78" s="2">
        <f t="shared" si="18"/>
        <v>42820631.037734389</v>
      </c>
      <c r="L78" s="2" t="s">
        <v>2487</v>
      </c>
      <c r="M78" s="2" t="s">
        <v>2058</v>
      </c>
      <c r="N78" s="2" t="s">
        <v>2463</v>
      </c>
      <c r="O78" s="2">
        <v>350</v>
      </c>
      <c r="P78" s="2">
        <v>1121.4462890625</v>
      </c>
      <c r="Q78" s="2">
        <v>1137.375732421875</v>
      </c>
      <c r="R78" s="2">
        <f>O78*P78</f>
        <v>392506.201171875</v>
      </c>
      <c r="S78" s="2">
        <f>O78*Q78</f>
        <v>398081.50634765625</v>
      </c>
      <c r="T78" s="2">
        <f>R78+S78</f>
        <v>790587.70751953125</v>
      </c>
      <c r="U78" s="2">
        <f>ROUND(T78*0.0005, 2)</f>
        <v>395.29</v>
      </c>
      <c r="V78" s="2">
        <f>S78-R78</f>
        <v>5575.30517578125</v>
      </c>
      <c r="W78" s="2">
        <f>V78-U78</f>
        <v>5180.01517578125</v>
      </c>
      <c r="X78" s="2">
        <f>K78+W78</f>
        <v>42825811.052910171</v>
      </c>
      <c r="Y78" s="2">
        <f>ROUND(0.2*R78, 2)</f>
        <v>78501.240000000005</v>
      </c>
      <c r="Z78" s="2">
        <f>ROUND((W78/Y78)*100, 2)</f>
        <v>6.6</v>
      </c>
      <c r="AA78" s="2">
        <f>MAX(AA77, X78)</f>
        <v>42879143.513017595</v>
      </c>
      <c r="AB78" s="2">
        <f>X78-AA78</f>
        <v>-53332.460107423365</v>
      </c>
    </row>
    <row r="79" spans="1:28">
      <c r="A79" s="2">
        <v>76</v>
      </c>
      <c r="B79" s="2" t="s">
        <v>419</v>
      </c>
      <c r="C79" s="2" t="s">
        <v>2527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42825811.052910171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42825811.052910171</v>
      </c>
      <c r="Y79" s="6" t="s">
        <v>1195</v>
      </c>
      <c r="Z79" s="6" t="s">
        <v>1195</v>
      </c>
      <c r="AA79" s="2">
        <f>AA78</f>
        <v>42879143.513017595</v>
      </c>
      <c r="AB79" s="2">
        <v>0</v>
      </c>
    </row>
    <row r="80" spans="1:28">
      <c r="A80" s="2">
        <v>77</v>
      </c>
      <c r="B80" s="2" t="s">
        <v>423</v>
      </c>
      <c r="C80" s="2" t="s">
        <v>2527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66</v>
      </c>
      <c r="J80" s="2" t="s">
        <v>263</v>
      </c>
      <c r="K80" s="2">
        <f t="shared" si="18"/>
        <v>42825811.052910171</v>
      </c>
      <c r="L80" s="2" t="s">
        <v>2487</v>
      </c>
      <c r="M80" s="2" t="s">
        <v>2063</v>
      </c>
      <c r="N80" s="2" t="s">
        <v>2469</v>
      </c>
      <c r="O80" s="2">
        <v>550</v>
      </c>
      <c r="P80" s="2">
        <v>725.9307861328125</v>
      </c>
      <c r="Q80" s="2">
        <v>716.47515869140625</v>
      </c>
      <c r="R80" s="2">
        <f>O80*P80</f>
        <v>399261.93237304688</v>
      </c>
      <c r="S80" s="2">
        <f>O80*Q80</f>
        <v>394061.33728027344</v>
      </c>
      <c r="T80" s="2">
        <f>R80+S80</f>
        <v>793323.26965332031</v>
      </c>
      <c r="U80" s="2">
        <f>ROUND(T80*0.0005, 2)</f>
        <v>396.66</v>
      </c>
      <c r="V80" s="2">
        <f>S80-R80</f>
        <v>-5200.5950927734375</v>
      </c>
      <c r="W80" s="2">
        <f>V80-U80</f>
        <v>-5597.2550927734374</v>
      </c>
      <c r="X80" s="2">
        <f>K80+W80</f>
        <v>42820213.797817402</v>
      </c>
      <c r="Y80" s="2">
        <f>ROUND(0.2*R80, 2)</f>
        <v>79852.39</v>
      </c>
      <c r="Z80" s="2">
        <f>ROUND((W80/Y80)*100, 2)</f>
        <v>-7.01</v>
      </c>
      <c r="AA80" s="2">
        <f>MAX(AA79, X80)</f>
        <v>42879143.513017595</v>
      </c>
      <c r="AB80" s="2">
        <f>X80-AA80</f>
        <v>-58929.715200193226</v>
      </c>
    </row>
    <row r="81" spans="1:28">
      <c r="A81" s="2">
        <v>78</v>
      </c>
      <c r="B81" s="2" t="s">
        <v>428</v>
      </c>
      <c r="C81" s="2" t="s">
        <v>2527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691</v>
      </c>
      <c r="J81" s="2" t="s">
        <v>124</v>
      </c>
      <c r="K81" s="2">
        <f t="shared" si="18"/>
        <v>42820213.797817402</v>
      </c>
      <c r="L81" s="2" t="s">
        <v>2543</v>
      </c>
      <c r="M81" s="2" t="s">
        <v>2544</v>
      </c>
      <c r="N81" s="2" t="s">
        <v>2545</v>
      </c>
      <c r="O81" s="2">
        <v>1100</v>
      </c>
      <c r="P81" s="2">
        <v>652.74713134765625</v>
      </c>
      <c r="Q81" s="2">
        <v>666.43804931640625</v>
      </c>
      <c r="R81" s="2">
        <f>O81*P81</f>
        <v>718021.84448242188</v>
      </c>
      <c r="S81" s="2">
        <f>O81*Q81</f>
        <v>733081.85424804688</v>
      </c>
      <c r="T81" s="2">
        <f>R81+S81</f>
        <v>1451103.6987304688</v>
      </c>
      <c r="U81" s="2">
        <f>ROUND(T81*0.0005, 2)</f>
        <v>725.55</v>
      </c>
      <c r="V81" s="2">
        <f>S81-R81</f>
        <v>15060.009765625</v>
      </c>
      <c r="W81" s="2">
        <f>V81-U81</f>
        <v>14334.459765625001</v>
      </c>
      <c r="X81" s="2">
        <f>K81+W81</f>
        <v>42834548.25758303</v>
      </c>
      <c r="Y81" s="2">
        <f>ROUND(0.2*R81, 2)</f>
        <v>143604.37</v>
      </c>
      <c r="Z81" s="2">
        <f>ROUND((W81/Y81)*100, 2)</f>
        <v>9.98</v>
      </c>
      <c r="AA81" s="2">
        <f>MAX(AA80, X81)</f>
        <v>42879143.513017595</v>
      </c>
      <c r="AB81" s="2">
        <f>X81-AA81</f>
        <v>-44595.255434565246</v>
      </c>
    </row>
    <row r="82" spans="1:28">
      <c r="A82" s="2">
        <v>79</v>
      </c>
      <c r="B82" s="2" t="s">
        <v>433</v>
      </c>
      <c r="C82" s="2" t="s">
        <v>2527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2491</v>
      </c>
      <c r="J82" s="2" t="s">
        <v>1384</v>
      </c>
      <c r="K82" s="2">
        <f t="shared" si="18"/>
        <v>42834548.25758303</v>
      </c>
      <c r="L82" s="2" t="s">
        <v>2067</v>
      </c>
      <c r="M82" s="2" t="s">
        <v>1963</v>
      </c>
      <c r="N82" s="2" t="s">
        <v>1826</v>
      </c>
      <c r="O82" s="2">
        <v>150</v>
      </c>
      <c r="P82" s="2">
        <v>2827.951416015625</v>
      </c>
      <c r="Q82" s="2">
        <v>2906.287841796875</v>
      </c>
      <c r="R82" s="2">
        <f>O82*P82</f>
        <v>424192.71240234375</v>
      </c>
      <c r="S82" s="2">
        <f>O82*Q82</f>
        <v>435943.17626953125</v>
      </c>
      <c r="T82" s="2">
        <f>R82+S82</f>
        <v>860135.888671875</v>
      </c>
      <c r="U82" s="2">
        <f>ROUND(T82*0.0005, 2)</f>
        <v>430.07</v>
      </c>
      <c r="V82" s="2">
        <f>S82-R82</f>
        <v>11750.4638671875</v>
      </c>
      <c r="W82" s="2">
        <f>V82-U82</f>
        <v>11320.3938671875</v>
      </c>
      <c r="X82" s="2">
        <f>K82+W82</f>
        <v>42845868.651450217</v>
      </c>
      <c r="Y82" s="2">
        <f>ROUND(0.2*R82, 2)</f>
        <v>84838.54</v>
      </c>
      <c r="Z82" s="2">
        <f>ROUND((W82/Y82)*100, 2)</f>
        <v>13.34</v>
      </c>
      <c r="AA82" s="2">
        <f>MAX(AA81, X82)</f>
        <v>42879143.513017595</v>
      </c>
      <c r="AB82" s="2">
        <f>X82-AA82</f>
        <v>-33274.861567378044</v>
      </c>
    </row>
    <row r="83" spans="1:28">
      <c r="A83" s="2">
        <v>80</v>
      </c>
      <c r="B83" s="2" t="s">
        <v>438</v>
      </c>
      <c r="C83" s="2" t="s">
        <v>2527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584</v>
      </c>
      <c r="J83" s="2" t="s">
        <v>2492</v>
      </c>
      <c r="K83" s="2">
        <f t="shared" si="18"/>
        <v>42845868.651450217</v>
      </c>
      <c r="L83" s="2" t="s">
        <v>2068</v>
      </c>
      <c r="M83" s="2" t="s">
        <v>2477</v>
      </c>
      <c r="N83" s="2" t="s">
        <v>2462</v>
      </c>
      <c r="O83" s="2">
        <v>1400</v>
      </c>
      <c r="P83" s="2">
        <v>478.69528198242187</v>
      </c>
      <c r="Q83" s="2">
        <v>475.79852294921881</v>
      </c>
      <c r="R83" s="2">
        <f>O83*P83</f>
        <v>670173.39477539062</v>
      </c>
      <c r="S83" s="2">
        <f>O83*Q83</f>
        <v>666117.93212890637</v>
      </c>
      <c r="T83" s="2">
        <f>R83+S83</f>
        <v>1336291.3269042969</v>
      </c>
      <c r="U83" s="2">
        <f>ROUND(T83*0.0005, 2)</f>
        <v>668.15</v>
      </c>
      <c r="V83" s="2">
        <f>S83-R83</f>
        <v>-4055.4626464842586</v>
      </c>
      <c r="W83" s="2">
        <f>V83-U83</f>
        <v>-4723.6126464842582</v>
      </c>
      <c r="X83" s="2">
        <f>K83+W83</f>
        <v>42841145.038803734</v>
      </c>
      <c r="Y83" s="2">
        <f>ROUND(0.2*R83, 2)</f>
        <v>134034.68</v>
      </c>
      <c r="Z83" s="2">
        <f>ROUND((W83/Y83)*100, 2)</f>
        <v>-3.52</v>
      </c>
      <c r="AA83" s="2">
        <f>MAX(AA82, X83)</f>
        <v>42879143.513017595</v>
      </c>
      <c r="AB83" s="2">
        <f>X83-AA83</f>
        <v>-37998.474213860929</v>
      </c>
    </row>
    <row r="84" spans="1:28">
      <c r="A84" s="2">
        <v>81</v>
      </c>
      <c r="B84" s="2" t="s">
        <v>443</v>
      </c>
      <c r="C84" s="2" t="s">
        <v>2527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42841145.038803734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42841145.038803734</v>
      </c>
      <c r="Y84" s="6" t="s">
        <v>1195</v>
      </c>
      <c r="Z84" s="6" t="s">
        <v>1195</v>
      </c>
      <c r="AA84" s="2">
        <f>AA83</f>
        <v>42879143.513017595</v>
      </c>
      <c r="AB84" s="2">
        <v>0</v>
      </c>
    </row>
    <row r="85" spans="1:28">
      <c r="A85" s="2">
        <v>82</v>
      </c>
      <c r="B85" s="2" t="s">
        <v>447</v>
      </c>
      <c r="C85" s="2" t="s">
        <v>2527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657</v>
      </c>
      <c r="J85" s="2" t="s">
        <v>2115</v>
      </c>
      <c r="K85" s="2">
        <f t="shared" si="18"/>
        <v>42841145.038803734</v>
      </c>
      <c r="L85" s="2" t="s">
        <v>2057</v>
      </c>
      <c r="M85" s="2" t="s">
        <v>1987</v>
      </c>
      <c r="N85" s="2" t="s">
        <v>2058</v>
      </c>
      <c r="O85" s="2">
        <v>300</v>
      </c>
      <c r="P85" s="2">
        <v>2344.5693359375</v>
      </c>
      <c r="Q85" s="2">
        <v>2414.801025390625</v>
      </c>
      <c r="R85" s="2">
        <f>O85*P85</f>
        <v>703370.80078125</v>
      </c>
      <c r="S85" s="2">
        <f>O85*Q85</f>
        <v>724440.3076171875</v>
      </c>
      <c r="T85" s="2">
        <f>R85+S85</f>
        <v>1427811.1083984375</v>
      </c>
      <c r="U85" s="2">
        <f>ROUND(T85*0.0005, 2)</f>
        <v>713.91</v>
      </c>
      <c r="V85" s="2">
        <f>S85-R85</f>
        <v>21069.5068359375</v>
      </c>
      <c r="W85" s="2">
        <f>V85-U85</f>
        <v>20355.5968359375</v>
      </c>
      <c r="X85" s="2">
        <f>K85+W85</f>
        <v>42861500.635639675</v>
      </c>
      <c r="Y85" s="2">
        <f>ROUND(0.2*R85, 2)</f>
        <v>140674.16</v>
      </c>
      <c r="Z85" s="2">
        <f>ROUND((W85/Y85)*100, 2)</f>
        <v>14.47</v>
      </c>
      <c r="AA85" s="2">
        <f>MAX(AA84, X85)</f>
        <v>42879143.513017595</v>
      </c>
      <c r="AB85" s="2">
        <f>X85-AA85</f>
        <v>-17642.877377919853</v>
      </c>
    </row>
    <row r="86" spans="1:28">
      <c r="A86" s="2">
        <v>83</v>
      </c>
      <c r="B86" s="2" t="s">
        <v>451</v>
      </c>
      <c r="C86" s="2" t="s">
        <v>2527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42861500.635639675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42861500.635639675</v>
      </c>
      <c r="Y86" s="6" t="s">
        <v>1195</v>
      </c>
      <c r="Z86" s="6" t="s">
        <v>1195</v>
      </c>
      <c r="AA86" s="2">
        <f>AA85</f>
        <v>42879143.513017595</v>
      </c>
      <c r="AB86" s="2">
        <v>0</v>
      </c>
    </row>
    <row r="87" spans="1:28">
      <c r="A87" s="2">
        <v>84</v>
      </c>
      <c r="B87" s="2" t="s">
        <v>455</v>
      </c>
      <c r="C87" s="2" t="s">
        <v>2527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42861500.635639675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42861500.635639675</v>
      </c>
      <c r="Y87" s="6" t="s">
        <v>1195</v>
      </c>
      <c r="Z87" s="6" t="s">
        <v>1195</v>
      </c>
      <c r="AA87" s="2">
        <f>AA86</f>
        <v>42879143.513017595</v>
      </c>
      <c r="AB87" s="2">
        <v>0</v>
      </c>
    </row>
    <row r="88" spans="1:28">
      <c r="A88" s="2">
        <v>85</v>
      </c>
      <c r="B88" s="2" t="s">
        <v>459</v>
      </c>
      <c r="C88" s="2" t="s">
        <v>2527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1504</v>
      </c>
      <c r="J88" s="2" t="s">
        <v>2493</v>
      </c>
      <c r="K88" s="2">
        <f t="shared" si="18"/>
        <v>42861500.635639675</v>
      </c>
      <c r="L88" s="2" t="s">
        <v>2057</v>
      </c>
      <c r="M88" s="2" t="s">
        <v>1961</v>
      </c>
      <c r="N88" s="2" t="s">
        <v>2494</v>
      </c>
      <c r="O88" s="2">
        <v>700</v>
      </c>
      <c r="P88" s="2">
        <v>937.72937011718761</v>
      </c>
      <c r="Q88" s="2">
        <v>909.98419189453125</v>
      </c>
      <c r="R88" s="2">
        <f>O88*P88</f>
        <v>656410.55908203137</v>
      </c>
      <c r="S88" s="2">
        <f>O88*Q88</f>
        <v>636988.93432617187</v>
      </c>
      <c r="T88" s="2">
        <f>R88+S88</f>
        <v>1293399.4934082031</v>
      </c>
      <c r="U88" s="2">
        <f>ROUND(T88*0.0005, 2)</f>
        <v>646.70000000000005</v>
      </c>
      <c r="V88" s="2">
        <f>S88-R88</f>
        <v>-19421.624755859491</v>
      </c>
      <c r="W88" s="2">
        <f>V88-U88</f>
        <v>-20068.324755859492</v>
      </c>
      <c r="X88" s="2">
        <f>K88+W88</f>
        <v>42841432.310883813</v>
      </c>
      <c r="Y88" s="2">
        <f>ROUND(0.2*R88, 2)</f>
        <v>131282.10999999999</v>
      </c>
      <c r="Z88" s="2">
        <f>ROUND((W88/Y88)*100, 2)</f>
        <v>-15.29</v>
      </c>
      <c r="AA88" s="2">
        <f>MAX(AA87, X88)</f>
        <v>42879143.513017595</v>
      </c>
      <c r="AB88" s="2">
        <f>X88-AA88</f>
        <v>-37711.202133782208</v>
      </c>
    </row>
    <row r="89" spans="1:28">
      <c r="A89" s="2">
        <v>86</v>
      </c>
      <c r="B89" s="2" t="s">
        <v>463</v>
      </c>
      <c r="C89" s="2" t="s">
        <v>2527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2408</v>
      </c>
      <c r="J89" s="2" t="s">
        <v>2546</v>
      </c>
      <c r="K89" s="2">
        <f t="shared" si="18"/>
        <v>42841432.310883813</v>
      </c>
      <c r="L89" s="2" t="s">
        <v>2547</v>
      </c>
      <c r="M89" s="2" t="s">
        <v>1629</v>
      </c>
      <c r="N89" s="2" t="s">
        <v>2548</v>
      </c>
      <c r="O89" s="2">
        <v>629</v>
      </c>
      <c r="P89" s="2">
        <v>1706.8</v>
      </c>
      <c r="Q89" s="2">
        <v>1644.95</v>
      </c>
      <c r="R89" s="2">
        <f>O89*P89</f>
        <v>1073577.2</v>
      </c>
      <c r="S89" s="2">
        <f>O89*Q89</f>
        <v>1034673.55</v>
      </c>
      <c r="T89" s="2">
        <f>R89+S89</f>
        <v>2108250.75</v>
      </c>
      <c r="U89" s="2">
        <f>ROUND(T89*0.0005, 2)</f>
        <v>1054.1300000000001</v>
      </c>
      <c r="V89" s="2">
        <f>S89-R89</f>
        <v>-38903.649999999907</v>
      </c>
      <c r="W89" s="2">
        <f>V89-U89</f>
        <v>-39957.779999999904</v>
      </c>
      <c r="X89" s="2">
        <f>K89+W89</f>
        <v>42801474.530883811</v>
      </c>
      <c r="Y89" s="2">
        <f>ROUND(0.2*R89, 2)</f>
        <v>214715.44</v>
      </c>
      <c r="Z89" s="2">
        <f>ROUND((W89/Y89)*100, 2)</f>
        <v>-18.61</v>
      </c>
      <c r="AA89" s="2">
        <f>MAX(AA88, X89)</f>
        <v>42879143.513017595</v>
      </c>
      <c r="AB89" s="2">
        <f>X89-AA89</f>
        <v>-77668.9821337834</v>
      </c>
    </row>
    <row r="90" spans="1:28">
      <c r="A90" s="2">
        <v>87</v>
      </c>
      <c r="B90" s="2" t="s">
        <v>471</v>
      </c>
      <c r="C90" s="2" t="s">
        <v>2527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2495</v>
      </c>
      <c r="J90" s="2" t="s">
        <v>2327</v>
      </c>
      <c r="K90" s="2">
        <f t="shared" si="18"/>
        <v>42801474.530883811</v>
      </c>
      <c r="L90" s="2" t="s">
        <v>2139</v>
      </c>
      <c r="M90" s="2" t="s">
        <v>2140</v>
      </c>
      <c r="N90" s="2" t="s">
        <v>2141</v>
      </c>
      <c r="O90" s="2">
        <v>1958</v>
      </c>
      <c r="P90" s="2">
        <v>604.10015869140625</v>
      </c>
      <c r="Q90" s="2">
        <v>560.65863037109375</v>
      </c>
      <c r="R90" s="2">
        <f>O90*P90</f>
        <v>1182828.1107177734</v>
      </c>
      <c r="S90" s="2">
        <f>O90*Q90</f>
        <v>1097769.5982666016</v>
      </c>
      <c r="T90" s="2">
        <f>R90+S90</f>
        <v>2280597.708984375</v>
      </c>
      <c r="U90" s="2">
        <f>ROUND(T90*0.0005, 2)</f>
        <v>1140.3</v>
      </c>
      <c r="V90" s="2">
        <f>S90-R90</f>
        <v>-85058.512451171875</v>
      </c>
      <c r="W90" s="2">
        <f>V90-U90</f>
        <v>-86198.812451171878</v>
      </c>
      <c r="X90" s="2">
        <f>K90+W90</f>
        <v>42715275.718432643</v>
      </c>
      <c r="Y90" s="2">
        <f>ROUND(0.2*R90, 2)</f>
        <v>236565.62</v>
      </c>
      <c r="Z90" s="2">
        <f>ROUND((W90/Y90)*100, 2)</f>
        <v>-36.44</v>
      </c>
      <c r="AA90" s="2">
        <f>MAX(AA89, X90)</f>
        <v>42879143.513017595</v>
      </c>
      <c r="AB90" s="2">
        <f>X90-AA90</f>
        <v>-163867.79458495229</v>
      </c>
    </row>
    <row r="91" spans="1:28">
      <c r="A91" s="2">
        <v>88</v>
      </c>
      <c r="B91" s="2" t="s">
        <v>476</v>
      </c>
      <c r="C91" s="2" t="s">
        <v>2527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42715275.718432643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42715275.718432643</v>
      </c>
      <c r="Y91" s="6" t="s">
        <v>1195</v>
      </c>
      <c r="Z91" s="6" t="s">
        <v>1195</v>
      </c>
      <c r="AA91" s="2">
        <f>AA90</f>
        <v>42879143.513017595</v>
      </c>
      <c r="AB91" s="2">
        <v>0</v>
      </c>
    </row>
    <row r="92" spans="1:28">
      <c r="A92" s="2">
        <v>89</v>
      </c>
      <c r="B92" s="2" t="s">
        <v>480</v>
      </c>
      <c r="C92" s="2" t="s">
        <v>2527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42715275.718432643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42715275.718432643</v>
      </c>
      <c r="Y92" s="6" t="s">
        <v>1195</v>
      </c>
      <c r="Z92" s="6" t="s">
        <v>1195</v>
      </c>
      <c r="AA92" s="2">
        <f>AA91</f>
        <v>42879143.513017595</v>
      </c>
      <c r="AB92" s="2">
        <v>0</v>
      </c>
    </row>
    <row r="93" spans="1:28">
      <c r="A93" s="2">
        <v>90</v>
      </c>
      <c r="B93" s="2" t="s">
        <v>483</v>
      </c>
      <c r="C93" s="2" t="s">
        <v>2527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42715275.718432643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42715275.718432643</v>
      </c>
      <c r="Y93" s="6" t="s">
        <v>1195</v>
      </c>
      <c r="Z93" s="6" t="s">
        <v>1195</v>
      </c>
      <c r="AA93" s="2">
        <f>AA92</f>
        <v>42879143.513017595</v>
      </c>
      <c r="AB93" s="2">
        <v>0</v>
      </c>
    </row>
    <row r="94" spans="1:28">
      <c r="A94" s="2">
        <v>91</v>
      </c>
      <c r="B94" s="2" t="s">
        <v>486</v>
      </c>
      <c r="C94" s="2" t="s">
        <v>2527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42715275.718432643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42715275.718432643</v>
      </c>
      <c r="Y94" s="6" t="s">
        <v>1195</v>
      </c>
      <c r="Z94" s="6" t="s">
        <v>1195</v>
      </c>
      <c r="AA94" s="2">
        <f>AA93</f>
        <v>42879143.513017595</v>
      </c>
      <c r="AB94" s="2">
        <v>0</v>
      </c>
    </row>
    <row r="95" spans="1:28">
      <c r="A95" s="2">
        <v>92</v>
      </c>
      <c r="B95" s="2" t="s">
        <v>490</v>
      </c>
      <c r="C95" s="2" t="s">
        <v>2527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42715275.718432643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42715275.718432643</v>
      </c>
      <c r="Y95" s="6" t="s">
        <v>1195</v>
      </c>
      <c r="Z95" s="6" t="s">
        <v>1195</v>
      </c>
      <c r="AA95" s="2">
        <f>AA94</f>
        <v>42879143.513017595</v>
      </c>
      <c r="AB95" s="2">
        <v>0</v>
      </c>
    </row>
    <row r="96" spans="1:28">
      <c r="A96" s="2">
        <v>93</v>
      </c>
      <c r="B96" s="2" t="s">
        <v>493</v>
      </c>
      <c r="C96" s="2" t="s">
        <v>2527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563</v>
      </c>
      <c r="J96" s="2" t="s">
        <v>266</v>
      </c>
      <c r="K96" s="2">
        <f t="shared" si="18"/>
        <v>42715275.718432643</v>
      </c>
      <c r="L96" s="2" t="s">
        <v>2549</v>
      </c>
      <c r="M96" s="2" t="s">
        <v>2550</v>
      </c>
      <c r="N96" s="2" t="s">
        <v>2551</v>
      </c>
      <c r="O96" s="2">
        <v>196</v>
      </c>
      <c r="P96" s="2">
        <v>1737.763305664062</v>
      </c>
      <c r="Q96" s="2">
        <v>1781.289794921875</v>
      </c>
      <c r="R96" s="2">
        <f>O96*P96</f>
        <v>340601.60791015613</v>
      </c>
      <c r="S96" s="2">
        <f>O96*Q96</f>
        <v>349132.7998046875</v>
      </c>
      <c r="T96" s="2">
        <f>R96+S96</f>
        <v>689734.40771484363</v>
      </c>
      <c r="U96" s="2">
        <f>ROUND(T96*0.0005, 2)</f>
        <v>344.87</v>
      </c>
      <c r="V96" s="2">
        <f>S96-R96</f>
        <v>8531.1918945313664</v>
      </c>
      <c r="W96" s="2">
        <f>V96-U96</f>
        <v>8186.3218945313665</v>
      </c>
      <c r="X96" s="2">
        <f>K96+W96</f>
        <v>42723462.040327176</v>
      </c>
      <c r="Y96" s="2">
        <f>ROUND(0.2*R96, 2)</f>
        <v>68120.320000000007</v>
      </c>
      <c r="Z96" s="2">
        <f>ROUND((W96/Y96)*100, 2)</f>
        <v>12.02</v>
      </c>
      <c r="AA96" s="2">
        <f>MAX(AA95, X96)</f>
        <v>42879143.513017595</v>
      </c>
      <c r="AB96" s="2">
        <f>X96-AA96</f>
        <v>-155681.47269041836</v>
      </c>
    </row>
    <row r="97" spans="1:28">
      <c r="A97" s="2">
        <v>94</v>
      </c>
      <c r="B97" s="2" t="s">
        <v>498</v>
      </c>
      <c r="C97" s="2" t="s">
        <v>2527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686</v>
      </c>
      <c r="J97" s="2" t="s">
        <v>1655</v>
      </c>
      <c r="K97" s="2">
        <f t="shared" si="18"/>
        <v>42723462.040327176</v>
      </c>
      <c r="L97" s="2" t="s">
        <v>2469</v>
      </c>
      <c r="M97" s="2" t="s">
        <v>2075</v>
      </c>
      <c r="N97" s="2" t="s">
        <v>2465</v>
      </c>
      <c r="O97" s="2">
        <v>500</v>
      </c>
      <c r="P97" s="2">
        <v>1417.936279296875</v>
      </c>
      <c r="Q97" s="2">
        <v>1396.854858398438</v>
      </c>
      <c r="R97" s="2">
        <f>O97*P97</f>
        <v>708968.1396484375</v>
      </c>
      <c r="S97" s="2">
        <f>O97*Q97</f>
        <v>698427.42919921898</v>
      </c>
      <c r="T97" s="2">
        <f>R97+S97</f>
        <v>1407395.5688476565</v>
      </c>
      <c r="U97" s="2">
        <f>ROUND(T97*0.0005, 2)</f>
        <v>703.7</v>
      </c>
      <c r="V97" s="2">
        <f>S97-R97</f>
        <v>-10540.710449218517</v>
      </c>
      <c r="W97" s="2">
        <f>V97-U97</f>
        <v>-11244.410449218518</v>
      </c>
      <c r="X97" s="2">
        <f>K97+W97</f>
        <v>42712217.629877955</v>
      </c>
      <c r="Y97" s="2">
        <f>ROUND(0.2*R97, 2)</f>
        <v>141793.63</v>
      </c>
      <c r="Z97" s="2">
        <f>ROUND((W97/Y97)*100, 2)</f>
        <v>-7.93</v>
      </c>
      <c r="AA97" s="2">
        <f>MAX(AA96, X97)</f>
        <v>42879143.513017595</v>
      </c>
      <c r="AB97" s="2">
        <f>X97-AA97</f>
        <v>-166925.88313964009</v>
      </c>
    </row>
    <row r="98" spans="1:28">
      <c r="A98" s="2">
        <v>95</v>
      </c>
      <c r="B98" s="2" t="s">
        <v>502</v>
      </c>
      <c r="C98" s="2" t="s">
        <v>2527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42712217.629877955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42712217.629877955</v>
      </c>
      <c r="Y98" s="6" t="s">
        <v>1195</v>
      </c>
      <c r="Z98" s="6" t="s">
        <v>1195</v>
      </c>
      <c r="AA98" s="2">
        <f>AA97</f>
        <v>42879143.513017595</v>
      </c>
      <c r="AB98" s="2">
        <v>0</v>
      </c>
    </row>
    <row r="99" spans="1:28">
      <c r="A99" s="2">
        <v>96</v>
      </c>
      <c r="B99" s="2" t="s">
        <v>506</v>
      </c>
      <c r="C99" s="2" t="s">
        <v>2527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1926</v>
      </c>
      <c r="J99" s="2" t="s">
        <v>94</v>
      </c>
      <c r="K99" s="2">
        <f t="shared" si="18"/>
        <v>42712217.629877955</v>
      </c>
      <c r="L99" s="2" t="s">
        <v>2500</v>
      </c>
      <c r="M99" s="2" t="s">
        <v>1986</v>
      </c>
      <c r="N99" s="2" t="s">
        <v>2463</v>
      </c>
      <c r="O99" s="2">
        <v>400</v>
      </c>
      <c r="P99" s="2">
        <v>1304.7431640625</v>
      </c>
      <c r="Q99" s="2">
        <v>1345.273315429688</v>
      </c>
      <c r="R99" s="2">
        <f>O99*P99</f>
        <v>521897.265625</v>
      </c>
      <c r="S99" s="2">
        <f>O99*Q99</f>
        <v>538109.32617187523</v>
      </c>
      <c r="T99" s="2">
        <f>R99+S99</f>
        <v>1060006.5917968752</v>
      </c>
      <c r="U99" s="2">
        <f>ROUND(T99*0.0005, 2)</f>
        <v>530</v>
      </c>
      <c r="V99" s="2">
        <f>S99-R99</f>
        <v>16212.060546875233</v>
      </c>
      <c r="W99" s="2">
        <f>V99-U99</f>
        <v>15682.060546875233</v>
      </c>
      <c r="X99" s="2">
        <f>K99+W99</f>
        <v>42727899.69042483</v>
      </c>
      <c r="Y99" s="2">
        <f>ROUND(0.2*R99, 2)</f>
        <v>104379.45</v>
      </c>
      <c r="Z99" s="2">
        <f>ROUND((W99/Y99)*100, 2)</f>
        <v>15.02</v>
      </c>
      <c r="AA99" s="2">
        <f>MAX(AA98, X99)</f>
        <v>42879143.513017595</v>
      </c>
      <c r="AB99" s="2">
        <f>X99-AA99</f>
        <v>-151243.82259276509</v>
      </c>
    </row>
    <row r="100" spans="1:28">
      <c r="A100" s="2">
        <v>97</v>
      </c>
      <c r="B100" s="2" t="s">
        <v>511</v>
      </c>
      <c r="C100" s="2" t="s">
        <v>2527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42727899.69042483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42727899.69042483</v>
      </c>
      <c r="Y100" s="6" t="s">
        <v>1195</v>
      </c>
      <c r="Z100" s="6" t="s">
        <v>1195</v>
      </c>
      <c r="AA100" s="2">
        <f>AA99</f>
        <v>42879143.513017595</v>
      </c>
      <c r="AB100" s="2">
        <v>0</v>
      </c>
    </row>
    <row r="101" spans="1:28">
      <c r="A101" s="2">
        <v>98</v>
      </c>
      <c r="B101" s="2" t="s">
        <v>516</v>
      </c>
      <c r="C101" s="2" t="s">
        <v>2527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42727899.69042483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42727899.69042483</v>
      </c>
      <c r="Y101" s="6" t="s">
        <v>1195</v>
      </c>
      <c r="Z101" s="6" t="s">
        <v>1195</v>
      </c>
      <c r="AA101" s="2">
        <f>AA100</f>
        <v>42879143.513017595</v>
      </c>
      <c r="AB101" s="2">
        <v>0</v>
      </c>
    </row>
    <row r="102" spans="1:28">
      <c r="A102" s="2">
        <v>99</v>
      </c>
      <c r="B102" s="2" t="s">
        <v>519</v>
      </c>
      <c r="C102" s="2" t="s">
        <v>2527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42727899.69042483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42727899.69042483</v>
      </c>
      <c r="Y102" s="6" t="s">
        <v>1195</v>
      </c>
      <c r="Z102" s="6" t="s">
        <v>1195</v>
      </c>
      <c r="AA102" s="2">
        <f>AA101</f>
        <v>42879143.513017595</v>
      </c>
      <c r="AB102" s="2">
        <v>0</v>
      </c>
    </row>
    <row r="103" spans="1:28">
      <c r="A103" s="2">
        <v>100</v>
      </c>
      <c r="B103" s="2" t="s">
        <v>525</v>
      </c>
      <c r="C103" s="2" t="s">
        <v>2527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42727899.69042483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42727899.69042483</v>
      </c>
      <c r="Y103" s="6" t="s">
        <v>1195</v>
      </c>
      <c r="Z103" s="6" t="s">
        <v>1195</v>
      </c>
      <c r="AA103" s="2">
        <f>AA102</f>
        <v>42879143.513017595</v>
      </c>
      <c r="AB103" s="2">
        <v>0</v>
      </c>
    </row>
    <row r="104" spans="1:28">
      <c r="A104" s="2">
        <v>101</v>
      </c>
      <c r="B104" s="2" t="s">
        <v>527</v>
      </c>
      <c r="C104" s="2" t="s">
        <v>2527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1276</v>
      </c>
      <c r="J104" s="2" t="s">
        <v>2313</v>
      </c>
      <c r="K104" s="2">
        <f t="shared" si="18"/>
        <v>42727899.69042483</v>
      </c>
      <c r="L104" s="2" t="s">
        <v>2501</v>
      </c>
      <c r="M104" s="2" t="s">
        <v>2474</v>
      </c>
      <c r="N104" s="2" t="s">
        <v>2058</v>
      </c>
      <c r="O104" s="2">
        <v>1600</v>
      </c>
      <c r="P104" s="2">
        <v>374.15643310546881</v>
      </c>
      <c r="Q104" s="2">
        <v>381.45248413085937</v>
      </c>
      <c r="R104" s="2">
        <f>O104*P104</f>
        <v>598650.29296875012</v>
      </c>
      <c r="S104" s="2">
        <f>O104*Q104</f>
        <v>610323.974609375</v>
      </c>
      <c r="T104" s="2">
        <f>R104+S104</f>
        <v>1208974.267578125</v>
      </c>
      <c r="U104" s="2">
        <f>ROUND(T104*0.0005, 2)</f>
        <v>604.49</v>
      </c>
      <c r="V104" s="2">
        <f>S104-R104</f>
        <v>11673.681640624884</v>
      </c>
      <c r="W104" s="2">
        <f>V104-U104</f>
        <v>11069.191640624884</v>
      </c>
      <c r="X104" s="2">
        <f>K104+W104</f>
        <v>42738968.882065453</v>
      </c>
      <c r="Y104" s="2">
        <f>ROUND(0.2*R104, 2)</f>
        <v>119730.06</v>
      </c>
      <c r="Z104" s="2">
        <f>ROUND((W104/Y104)*100, 2)</f>
        <v>9.25</v>
      </c>
      <c r="AA104" s="2">
        <f>MAX(AA103, X104)</f>
        <v>42879143.513017595</v>
      </c>
      <c r="AB104" s="2">
        <f>X104-AA104</f>
        <v>-140174.63095214218</v>
      </c>
    </row>
    <row r="105" spans="1:28">
      <c r="A105" s="2">
        <v>102</v>
      </c>
      <c r="B105" s="2" t="s">
        <v>530</v>
      </c>
      <c r="C105" s="2" t="s">
        <v>2527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42738968.882065453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42738968.882065453</v>
      </c>
      <c r="Y105" s="6" t="s">
        <v>1195</v>
      </c>
      <c r="Z105" s="6" t="s">
        <v>1195</v>
      </c>
      <c r="AA105" s="2">
        <f>AA104</f>
        <v>42879143.513017595</v>
      </c>
      <c r="AB105" s="2">
        <v>0</v>
      </c>
    </row>
    <row r="106" spans="1:28">
      <c r="A106" s="2">
        <v>103</v>
      </c>
      <c r="B106" s="2" t="s">
        <v>534</v>
      </c>
      <c r="C106" s="2" t="s">
        <v>2527</v>
      </c>
      <c r="D106" s="4" t="s">
        <v>61</v>
      </c>
      <c r="E106" s="3" t="s">
        <v>38</v>
      </c>
      <c r="F106" s="2" t="s">
        <v>535</v>
      </c>
      <c r="G106" s="2" t="s">
        <v>127</v>
      </c>
      <c r="H106" s="2" t="s">
        <v>536</v>
      </c>
      <c r="I106" s="2" t="s">
        <v>325</v>
      </c>
      <c r="J106" s="2" t="s">
        <v>2502</v>
      </c>
      <c r="K106" s="2">
        <f t="shared" si="18"/>
        <v>42738968.882065453</v>
      </c>
      <c r="L106" s="2" t="s">
        <v>2469</v>
      </c>
      <c r="M106" s="2" t="s">
        <v>2063</v>
      </c>
      <c r="N106" s="2" t="s">
        <v>2469</v>
      </c>
      <c r="O106" s="2">
        <v>4127</v>
      </c>
      <c r="P106" s="2">
        <v>209.82279968261719</v>
      </c>
      <c r="Q106" s="2">
        <v>220.6059875488281</v>
      </c>
      <c r="R106" s="2">
        <f>O106*P106</f>
        <v>865938.69429016113</v>
      </c>
      <c r="S106" s="2">
        <f>O106*Q106</f>
        <v>910440.91061401356</v>
      </c>
      <c r="T106" s="2">
        <f>R106+S106</f>
        <v>1776379.6049041748</v>
      </c>
      <c r="U106" s="2">
        <f>ROUND(T106*0.0005, 2)</f>
        <v>888.19</v>
      </c>
      <c r="V106" s="2">
        <f>S106-R106</f>
        <v>44502.216323852423</v>
      </c>
      <c r="W106" s="2">
        <f>V106-U106</f>
        <v>43614.02632385242</v>
      </c>
      <c r="X106" s="2">
        <f>K106+W106</f>
        <v>42782582.908389308</v>
      </c>
      <c r="Y106" s="2">
        <f>ROUND(0.2*R106, 2)</f>
        <v>173187.74</v>
      </c>
      <c r="Z106" s="2">
        <f>ROUND((W106/Y106)*100, 2)</f>
        <v>25.18</v>
      </c>
      <c r="AA106" s="2">
        <f>MAX(AA105, X106)</f>
        <v>42879143.513017595</v>
      </c>
      <c r="AB106" s="2">
        <f>X106-AA106</f>
        <v>-96560.604628287256</v>
      </c>
    </row>
    <row r="107" spans="1:28">
      <c r="A107" s="2">
        <v>104</v>
      </c>
      <c r="B107" s="2" t="s">
        <v>539</v>
      </c>
      <c r="C107" s="2" t="s">
        <v>2527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42782582.908389308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42782582.908389308</v>
      </c>
      <c r="Y107" s="6" t="s">
        <v>1195</v>
      </c>
      <c r="Z107" s="6" t="s">
        <v>1195</v>
      </c>
      <c r="AA107" s="2">
        <f>AA106</f>
        <v>42879143.513017595</v>
      </c>
      <c r="AB107" s="2">
        <v>0</v>
      </c>
    </row>
    <row r="108" spans="1:28">
      <c r="A108" s="2">
        <v>105</v>
      </c>
      <c r="B108" s="2" t="s">
        <v>542</v>
      </c>
      <c r="C108" s="2" t="s">
        <v>2527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2503</v>
      </c>
      <c r="J108" s="2" t="s">
        <v>396</v>
      </c>
      <c r="K108" s="2">
        <f t="shared" si="18"/>
        <v>42782582.908389308</v>
      </c>
      <c r="L108" s="2" t="s">
        <v>2059</v>
      </c>
      <c r="M108" s="2" t="s">
        <v>1987</v>
      </c>
      <c r="N108" s="2" t="s">
        <v>2464</v>
      </c>
      <c r="O108" s="2">
        <v>675</v>
      </c>
      <c r="P108" s="2">
        <v>764.7449951171875</v>
      </c>
      <c r="Q108" s="2">
        <v>720.22296142578125</v>
      </c>
      <c r="R108" s="2">
        <f>O108*P108</f>
        <v>516202.87170410156</v>
      </c>
      <c r="S108" s="2">
        <f>O108*Q108</f>
        <v>486150.49896240234</v>
      </c>
      <c r="T108" s="2">
        <f>R108+S108</f>
        <v>1002353.3706665039</v>
      </c>
      <c r="U108" s="2">
        <f>ROUND(T108*0.0005, 2)</f>
        <v>501.18</v>
      </c>
      <c r="V108" s="2">
        <f>S108-R108</f>
        <v>-30052.372741699219</v>
      </c>
      <c r="W108" s="2">
        <f>V108-U108</f>
        <v>-30553.552741699219</v>
      </c>
      <c r="X108" s="2">
        <f>K108+W108</f>
        <v>42752029.355647609</v>
      </c>
      <c r="Y108" s="2">
        <f>ROUND(0.2*R108, 2)</f>
        <v>103240.57</v>
      </c>
      <c r="Z108" s="2">
        <f>ROUND((W108/Y108)*100, 2)</f>
        <v>-29.59</v>
      </c>
      <c r="AA108" s="2">
        <f>MAX(AA107, X108)</f>
        <v>42879143.513017595</v>
      </c>
      <c r="AB108" s="2">
        <f>X108-AA108</f>
        <v>-127114.15736998618</v>
      </c>
    </row>
    <row r="109" spans="1:28">
      <c r="A109" s="2">
        <v>106</v>
      </c>
      <c r="B109" s="2" t="s">
        <v>547</v>
      </c>
      <c r="C109" s="2" t="s">
        <v>2527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42752029.355647609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42752029.355647609</v>
      </c>
      <c r="Y109" s="6" t="s">
        <v>1195</v>
      </c>
      <c r="Z109" s="6" t="s">
        <v>1195</v>
      </c>
      <c r="AA109" s="2">
        <f>AA108</f>
        <v>42879143.513017595</v>
      </c>
      <c r="AB109" s="2">
        <v>0</v>
      </c>
    </row>
    <row r="110" spans="1:28">
      <c r="A110" s="2">
        <v>107</v>
      </c>
      <c r="B110" s="2" t="s">
        <v>551</v>
      </c>
      <c r="C110" s="2" t="s">
        <v>2527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42752029.355647609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42752029.355647609</v>
      </c>
      <c r="Y110" s="6" t="s">
        <v>1195</v>
      </c>
      <c r="Z110" s="6" t="s">
        <v>1195</v>
      </c>
      <c r="AA110" s="2">
        <f>AA109</f>
        <v>42879143.513017595</v>
      </c>
      <c r="AB110" s="2">
        <v>0</v>
      </c>
    </row>
    <row r="111" spans="1:28">
      <c r="A111" s="2">
        <v>108</v>
      </c>
      <c r="B111" s="2" t="s">
        <v>554</v>
      </c>
      <c r="C111" s="2" t="s">
        <v>2527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42752029.355647609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42752029.355647609</v>
      </c>
      <c r="Y111" s="6" t="s">
        <v>1195</v>
      </c>
      <c r="Z111" s="6" t="s">
        <v>1195</v>
      </c>
      <c r="AA111" s="2">
        <f>AA110</f>
        <v>42879143.513017595</v>
      </c>
      <c r="AB111" s="2">
        <v>0</v>
      </c>
    </row>
    <row r="112" spans="1:28">
      <c r="A112" s="2">
        <v>109</v>
      </c>
      <c r="B112" s="2" t="s">
        <v>558</v>
      </c>
      <c r="C112" s="2" t="s">
        <v>2527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42752029.355647609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42752029.355647609</v>
      </c>
      <c r="Y112" s="6" t="s">
        <v>1195</v>
      </c>
      <c r="Z112" s="6" t="s">
        <v>1195</v>
      </c>
      <c r="AA112" s="2">
        <f>AA111</f>
        <v>42879143.513017595</v>
      </c>
      <c r="AB112" s="2">
        <v>0</v>
      </c>
    </row>
    <row r="113" spans="1:28">
      <c r="A113" s="2">
        <v>110</v>
      </c>
      <c r="B113" s="2" t="s">
        <v>562</v>
      </c>
      <c r="C113" s="2" t="s">
        <v>2527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42752029.355647609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42752029.355647609</v>
      </c>
      <c r="Y113" s="6" t="s">
        <v>1195</v>
      </c>
      <c r="Z113" s="6" t="s">
        <v>1195</v>
      </c>
      <c r="AA113" s="2">
        <f>AA112</f>
        <v>42879143.513017595</v>
      </c>
      <c r="AB113" s="2">
        <v>0</v>
      </c>
    </row>
    <row r="114" spans="1:28">
      <c r="A114" s="2">
        <v>111</v>
      </c>
      <c r="B114" s="2" t="s">
        <v>566</v>
      </c>
      <c r="C114" s="2" t="s">
        <v>2527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1353</v>
      </c>
      <c r="J114" s="2" t="s">
        <v>444</v>
      </c>
      <c r="K114" s="2">
        <f t="shared" si="18"/>
        <v>42752029.355647609</v>
      </c>
      <c r="L114" s="2" t="s">
        <v>2465</v>
      </c>
      <c r="M114" s="2" t="s">
        <v>2063</v>
      </c>
      <c r="N114" s="2" t="s">
        <v>2494</v>
      </c>
      <c r="O114" s="2">
        <v>400</v>
      </c>
      <c r="P114" s="2">
        <v>344.83404541015619</v>
      </c>
      <c r="Q114" s="2">
        <v>349.89266967773437</v>
      </c>
      <c r="R114" s="2">
        <f>O114*P114</f>
        <v>137933.61816406247</v>
      </c>
      <c r="S114" s="2">
        <f>O114*Q114</f>
        <v>139957.06787109375</v>
      </c>
      <c r="T114" s="2">
        <f>R114+S114</f>
        <v>277890.68603515625</v>
      </c>
      <c r="U114" s="2">
        <f>ROUND(T114*0.0005, 2)</f>
        <v>138.94999999999999</v>
      </c>
      <c r="V114" s="2">
        <f>S114-R114</f>
        <v>2023.4497070312791</v>
      </c>
      <c r="W114" s="2">
        <f>V114-U114</f>
        <v>1884.4997070312791</v>
      </c>
      <c r="X114" s="2">
        <f>K114+W114</f>
        <v>42753913.855354637</v>
      </c>
      <c r="Y114" s="2">
        <f>ROUND(0.2*R114, 2)</f>
        <v>27586.720000000001</v>
      </c>
      <c r="Z114" s="2">
        <f>ROUND((W114/Y114)*100, 2)</f>
        <v>6.83</v>
      </c>
      <c r="AA114" s="2">
        <f>MAX(AA113, X114)</f>
        <v>42879143.513017595</v>
      </c>
      <c r="AB114" s="2">
        <f>X114-AA114</f>
        <v>-125229.65766295791</v>
      </c>
    </row>
    <row r="115" spans="1:28">
      <c r="A115" s="2">
        <v>112</v>
      </c>
      <c r="B115" s="2" t="s">
        <v>570</v>
      </c>
      <c r="C115" s="2" t="s">
        <v>2527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42753913.855354637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42753913.855354637</v>
      </c>
      <c r="Y115" s="6" t="s">
        <v>1195</v>
      </c>
      <c r="Z115" s="6" t="s">
        <v>1195</v>
      </c>
      <c r="AA115" s="2">
        <f>AA114</f>
        <v>42879143.513017595</v>
      </c>
      <c r="AB115" s="2">
        <v>0</v>
      </c>
    </row>
    <row r="116" spans="1:28">
      <c r="A116" s="2">
        <v>113</v>
      </c>
      <c r="B116" s="2" t="s">
        <v>574</v>
      </c>
      <c r="C116" s="2" t="s">
        <v>2527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42753913.855354637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42753913.855354637</v>
      </c>
      <c r="Y116" s="6" t="s">
        <v>1195</v>
      </c>
      <c r="Z116" s="6" t="s">
        <v>1195</v>
      </c>
      <c r="AA116" s="2">
        <f>AA115</f>
        <v>42879143.513017595</v>
      </c>
      <c r="AB116" s="2">
        <v>0</v>
      </c>
    </row>
    <row r="117" spans="1:28">
      <c r="A117" s="2">
        <v>114</v>
      </c>
      <c r="B117" s="2" t="s">
        <v>578</v>
      </c>
      <c r="C117" s="2" t="s">
        <v>2527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42753913.855354637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42753913.855354637</v>
      </c>
      <c r="Y117" s="6" t="s">
        <v>1195</v>
      </c>
      <c r="Z117" s="6" t="s">
        <v>1195</v>
      </c>
      <c r="AA117" s="2">
        <f>AA116</f>
        <v>42879143.513017595</v>
      </c>
      <c r="AB117" s="2">
        <v>0</v>
      </c>
    </row>
    <row r="118" spans="1:28">
      <c r="A118" s="2">
        <v>115</v>
      </c>
      <c r="B118" s="2" t="s">
        <v>581</v>
      </c>
      <c r="C118" s="2" t="s">
        <v>2527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261</v>
      </c>
      <c r="J118" s="2" t="s">
        <v>1436</v>
      </c>
      <c r="K118" s="2">
        <f t="shared" si="18"/>
        <v>42753913.855354637</v>
      </c>
      <c r="L118" s="2" t="s">
        <v>1375</v>
      </c>
      <c r="M118" s="2" t="s">
        <v>1557</v>
      </c>
      <c r="N118" s="2" t="s">
        <v>1374</v>
      </c>
      <c r="O118" s="2">
        <v>2364</v>
      </c>
      <c r="P118" s="2">
        <v>466.74368286132812</v>
      </c>
      <c r="Q118" s="2">
        <v>469.54904174804687</v>
      </c>
      <c r="R118" s="2">
        <f>O118*P118</f>
        <v>1103382.0662841797</v>
      </c>
      <c r="S118" s="2">
        <f>O118*Q118</f>
        <v>1110013.9346923828</v>
      </c>
      <c r="T118" s="2">
        <f>R118+S118</f>
        <v>2213396.0009765625</v>
      </c>
      <c r="U118" s="2">
        <f>ROUND(T118*0.0005, 2)</f>
        <v>1106.7</v>
      </c>
      <c r="V118" s="2">
        <f>S118-R118</f>
        <v>6631.868408203125</v>
      </c>
      <c r="W118" s="2">
        <f>V118-U118</f>
        <v>5525.1684082031252</v>
      </c>
      <c r="X118" s="2">
        <f>K118+W118</f>
        <v>42759439.023762837</v>
      </c>
      <c r="Y118" s="2">
        <f>ROUND(0.2*R118, 2)</f>
        <v>220676.41</v>
      </c>
      <c r="Z118" s="2">
        <f>ROUND((W118/Y118)*100, 2)</f>
        <v>2.5</v>
      </c>
      <c r="AA118" s="2">
        <f>MAX(AA117, X118)</f>
        <v>42879143.513017595</v>
      </c>
      <c r="AB118" s="2">
        <f>X118-AA118</f>
        <v>-119704.48925475776</v>
      </c>
    </row>
    <row r="119" spans="1:28">
      <c r="A119" s="2">
        <v>116</v>
      </c>
      <c r="B119" s="2" t="s">
        <v>586</v>
      </c>
      <c r="C119" s="2" t="s">
        <v>2527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42759439.023762837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42759439.023762837</v>
      </c>
      <c r="Y119" s="6" t="s">
        <v>1195</v>
      </c>
      <c r="Z119" s="6" t="s">
        <v>1195</v>
      </c>
      <c r="AA119" s="2">
        <f>AA118</f>
        <v>42879143.513017595</v>
      </c>
      <c r="AB119" s="2">
        <v>0</v>
      </c>
    </row>
    <row r="120" spans="1:28">
      <c r="A120" s="2">
        <v>117</v>
      </c>
      <c r="B120" s="2" t="s">
        <v>592</v>
      </c>
      <c r="C120" s="2" t="s">
        <v>2527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370</v>
      </c>
      <c r="J120" s="2" t="s">
        <v>308</v>
      </c>
      <c r="K120" s="2">
        <f t="shared" si="18"/>
        <v>42759439.023762837</v>
      </c>
      <c r="L120" s="2" t="s">
        <v>2050</v>
      </c>
      <c r="M120" s="2" t="s">
        <v>1828</v>
      </c>
      <c r="N120" s="2" t="s">
        <v>2050</v>
      </c>
      <c r="O120" s="2">
        <v>300</v>
      </c>
      <c r="P120" s="2">
        <v>2818.64306640625</v>
      </c>
      <c r="Q120" s="2">
        <v>2834.170654296875</v>
      </c>
      <c r="R120" s="2">
        <f>O120*P120</f>
        <v>845592.919921875</v>
      </c>
      <c r="S120" s="2">
        <f>O120*Q120</f>
        <v>850251.1962890625</v>
      </c>
      <c r="T120" s="2">
        <f>R120+S120</f>
        <v>1695844.1162109375</v>
      </c>
      <c r="U120" s="2">
        <f>ROUND(T120*0.0005, 2)</f>
        <v>847.92</v>
      </c>
      <c r="V120" s="2">
        <f>S120-R120</f>
        <v>4658.2763671875</v>
      </c>
      <c r="W120" s="2">
        <f>V120-U120</f>
        <v>3810.3563671874999</v>
      </c>
      <c r="X120" s="2">
        <f>K120+W120</f>
        <v>42763249.380130023</v>
      </c>
      <c r="Y120" s="2">
        <f>ROUND(0.2*R120, 2)</f>
        <v>169118.58</v>
      </c>
      <c r="Z120" s="2">
        <f>ROUND((W120/Y120)*100, 2)</f>
        <v>2.25</v>
      </c>
      <c r="AA120" s="2">
        <f>MAX(AA119, X120)</f>
        <v>42879143.513017595</v>
      </c>
      <c r="AB120" s="2">
        <f>X120-AA120</f>
        <v>-115894.13288757205</v>
      </c>
    </row>
    <row r="121" spans="1:28">
      <c r="A121" s="2">
        <v>118</v>
      </c>
      <c r="B121" s="2" t="s">
        <v>597</v>
      </c>
      <c r="C121" s="2" t="s">
        <v>2527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42763249.380130023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42763249.380130023</v>
      </c>
      <c r="Y121" s="6" t="s">
        <v>1195</v>
      </c>
      <c r="Z121" s="6" t="s">
        <v>1195</v>
      </c>
      <c r="AA121" s="2">
        <f>AA120</f>
        <v>42879143.513017595</v>
      </c>
      <c r="AB121" s="2">
        <v>0</v>
      </c>
    </row>
    <row r="122" spans="1:28">
      <c r="A122" s="2">
        <v>119</v>
      </c>
      <c r="B122" s="2" t="s">
        <v>601</v>
      </c>
      <c r="C122" s="2" t="s">
        <v>2527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42763249.380130023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42763249.380130023</v>
      </c>
      <c r="Y122" s="6" t="s">
        <v>1195</v>
      </c>
      <c r="Z122" s="6" t="s">
        <v>1195</v>
      </c>
      <c r="AA122" s="2">
        <f>AA121</f>
        <v>42879143.513017595</v>
      </c>
      <c r="AB122" s="2">
        <v>0</v>
      </c>
    </row>
    <row r="123" spans="1:28">
      <c r="A123" s="2">
        <v>120</v>
      </c>
      <c r="B123" s="2" t="s">
        <v>605</v>
      </c>
      <c r="C123" s="2" t="s">
        <v>2527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42763249.380130023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42763249.380130023</v>
      </c>
      <c r="Y123" s="6" t="s">
        <v>1195</v>
      </c>
      <c r="Z123" s="6" t="s">
        <v>1195</v>
      </c>
      <c r="AA123" s="2">
        <f>AA122</f>
        <v>42879143.513017595</v>
      </c>
      <c r="AB123" s="2">
        <v>0</v>
      </c>
    </row>
    <row r="124" spans="1:28">
      <c r="A124" s="2">
        <v>121</v>
      </c>
      <c r="B124" s="2" t="s">
        <v>609</v>
      </c>
      <c r="C124" s="2" t="s">
        <v>2527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1454</v>
      </c>
      <c r="J124" s="2" t="s">
        <v>2506</v>
      </c>
      <c r="K124" s="2">
        <f t="shared" si="18"/>
        <v>42763249.380130023</v>
      </c>
      <c r="L124" s="2" t="s">
        <v>1827</v>
      </c>
      <c r="M124" s="2" t="s">
        <v>2477</v>
      </c>
      <c r="N124" s="2" t="s">
        <v>2462</v>
      </c>
      <c r="O124" s="2">
        <v>350</v>
      </c>
      <c r="P124" s="2">
        <v>1450.473999023438</v>
      </c>
      <c r="Q124" s="2">
        <v>1501.103759765625</v>
      </c>
      <c r="R124" s="2">
        <f>O124*P124</f>
        <v>507665.8996582033</v>
      </c>
      <c r="S124" s="2">
        <f>O124*Q124</f>
        <v>525386.31591796875</v>
      </c>
      <c r="T124" s="2">
        <f>R124+S124</f>
        <v>1033052.2155761721</v>
      </c>
      <c r="U124" s="2">
        <f>ROUND(T124*0.0005, 2)</f>
        <v>516.53</v>
      </c>
      <c r="V124" s="2">
        <f>S124-R124</f>
        <v>17720.41625976545</v>
      </c>
      <c r="W124" s="2">
        <f>V124-U124</f>
        <v>17203.886259765452</v>
      </c>
      <c r="X124" s="2">
        <f>K124+W124</f>
        <v>42780453.266389787</v>
      </c>
      <c r="Y124" s="2">
        <f>ROUND(0.2*R124, 2)</f>
        <v>101533.18</v>
      </c>
      <c r="Z124" s="2">
        <f>ROUND((W124/Y124)*100, 2)</f>
        <v>16.940000000000001</v>
      </c>
      <c r="AA124" s="2">
        <f>MAX(AA123, X124)</f>
        <v>42879143.513017595</v>
      </c>
      <c r="AB124" s="2">
        <f>X124-AA124</f>
        <v>-98690.246627807617</v>
      </c>
    </row>
    <row r="125" spans="1:28">
      <c r="A125" s="2">
        <v>122</v>
      </c>
      <c r="B125" s="2" t="s">
        <v>613</v>
      </c>
      <c r="C125" s="2" t="s">
        <v>2527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42780453.266389787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42780453.266389787</v>
      </c>
      <c r="Y125" s="6" t="s">
        <v>1195</v>
      </c>
      <c r="Z125" s="6" t="s">
        <v>1195</v>
      </c>
      <c r="AA125" s="2">
        <f>AA124</f>
        <v>42879143.513017595</v>
      </c>
      <c r="AB125" s="2">
        <v>0</v>
      </c>
    </row>
    <row r="126" spans="1:28">
      <c r="A126" s="2">
        <v>123</v>
      </c>
      <c r="B126" s="2" t="s">
        <v>617</v>
      </c>
      <c r="C126" s="2" t="s">
        <v>2527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42780453.266389787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42780453.266389787</v>
      </c>
      <c r="Y126" s="6" t="s">
        <v>1195</v>
      </c>
      <c r="Z126" s="6" t="s">
        <v>1195</v>
      </c>
      <c r="AA126" s="2">
        <f>AA125</f>
        <v>42879143.513017595</v>
      </c>
      <c r="AB126" s="2">
        <v>0</v>
      </c>
    </row>
    <row r="127" spans="1:28">
      <c r="A127" s="2">
        <v>124</v>
      </c>
      <c r="B127" s="2" t="s">
        <v>621</v>
      </c>
      <c r="C127" s="2" t="s">
        <v>2527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42780453.266389787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42780453.266389787</v>
      </c>
      <c r="Y127" s="6" t="s">
        <v>1195</v>
      </c>
      <c r="Z127" s="6" t="s">
        <v>1195</v>
      </c>
      <c r="AA127" s="2">
        <f>AA126</f>
        <v>42879143.513017595</v>
      </c>
      <c r="AB127" s="2">
        <v>0</v>
      </c>
    </row>
    <row r="128" spans="1:28">
      <c r="A128" s="2">
        <v>125</v>
      </c>
      <c r="B128" s="2" t="s">
        <v>625</v>
      </c>
      <c r="C128" s="2" t="s">
        <v>2527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42780453.266389787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42780453.266389787</v>
      </c>
      <c r="Y128" s="6" t="s">
        <v>1195</v>
      </c>
      <c r="Z128" s="6" t="s">
        <v>1195</v>
      </c>
      <c r="AA128" s="2">
        <f>AA127</f>
        <v>42879143.513017595</v>
      </c>
      <c r="AB128" s="2">
        <v>0</v>
      </c>
    </row>
    <row r="129" spans="1:28">
      <c r="A129" s="2">
        <v>126</v>
      </c>
      <c r="B129" s="2" t="s">
        <v>629</v>
      </c>
      <c r="C129" s="2" t="s">
        <v>2527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1503</v>
      </c>
      <c r="J129" s="2" t="s">
        <v>1755</v>
      </c>
      <c r="K129" s="2">
        <f t="shared" si="18"/>
        <v>42780453.266389787</v>
      </c>
      <c r="L129" s="2" t="s">
        <v>2063</v>
      </c>
      <c r="M129" s="2" t="s">
        <v>2067</v>
      </c>
      <c r="N129" s="2" t="s">
        <v>2467</v>
      </c>
      <c r="O129" s="2">
        <v>100</v>
      </c>
      <c r="P129" s="2">
        <v>10184.8251953125</v>
      </c>
      <c r="Q129" s="2">
        <v>10377.451171875</v>
      </c>
      <c r="R129" s="2">
        <f>O129*P129</f>
        <v>1018482.51953125</v>
      </c>
      <c r="S129" s="2">
        <f>O129*Q129</f>
        <v>1037745.1171875</v>
      </c>
      <c r="T129" s="2">
        <f>R129+S129</f>
        <v>2056227.63671875</v>
      </c>
      <c r="U129" s="2">
        <f>ROUND(T129*0.0005, 2)</f>
        <v>1028.1099999999999</v>
      </c>
      <c r="V129" s="2">
        <f>S129-R129</f>
        <v>19262.59765625</v>
      </c>
      <c r="W129" s="2">
        <f>V129-U129</f>
        <v>18234.487656249999</v>
      </c>
      <c r="X129" s="2">
        <f>K129+W129</f>
        <v>42798687.754046038</v>
      </c>
      <c r="Y129" s="2">
        <f>ROUND(0.2*R129, 2)</f>
        <v>203696.5</v>
      </c>
      <c r="Z129" s="2">
        <f>ROUND((W129/Y129)*100, 2)</f>
        <v>8.9499999999999993</v>
      </c>
      <c r="AA129" s="2">
        <f>MAX(AA128, X129)</f>
        <v>42879143.513017595</v>
      </c>
      <c r="AB129" s="2">
        <f>X129-AA129</f>
        <v>-80455.758971557021</v>
      </c>
    </row>
    <row r="130" spans="1:28">
      <c r="A130" s="2">
        <v>127</v>
      </c>
      <c r="B130" s="2" t="s">
        <v>632</v>
      </c>
      <c r="C130" s="2" t="s">
        <v>2527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2552</v>
      </c>
      <c r="J130" s="2" t="s">
        <v>595</v>
      </c>
      <c r="K130" s="2">
        <f t="shared" si="18"/>
        <v>42798687.754046038</v>
      </c>
      <c r="L130" s="2" t="s">
        <v>2553</v>
      </c>
      <c r="M130" s="2" t="s">
        <v>2554</v>
      </c>
      <c r="N130" s="2" t="s">
        <v>2555</v>
      </c>
      <c r="O130" s="2">
        <v>922</v>
      </c>
      <c r="P130" s="2">
        <v>233.0728759765625</v>
      </c>
      <c r="Q130" s="2">
        <v>220.99937438964841</v>
      </c>
      <c r="R130" s="2">
        <f>O130*P130</f>
        <v>214893.19165039063</v>
      </c>
      <c r="S130" s="2">
        <f>O130*Q130</f>
        <v>203761.42318725583</v>
      </c>
      <c r="T130" s="2">
        <f>R130+S130</f>
        <v>418654.61483764648</v>
      </c>
      <c r="U130" s="2">
        <f>ROUND(T130*0.0005, 2)</f>
        <v>209.33</v>
      </c>
      <c r="V130" s="2">
        <f>S130-R130</f>
        <v>-11131.768463134795</v>
      </c>
      <c r="W130" s="2">
        <f>V130-U130</f>
        <v>-11341.098463134795</v>
      </c>
      <c r="X130" s="2">
        <f>K130+W130</f>
        <v>42787346.655582905</v>
      </c>
      <c r="Y130" s="2">
        <f>ROUND(0.2*R130, 2)</f>
        <v>42978.64</v>
      </c>
      <c r="Z130" s="2">
        <f>ROUND((W130/Y130)*100, 2)</f>
        <v>-26.39</v>
      </c>
      <c r="AA130" s="2">
        <f>MAX(AA129, X130)</f>
        <v>42879143.513017595</v>
      </c>
      <c r="AB130" s="2">
        <f>X130-AA130</f>
        <v>-91796.857434689999</v>
      </c>
    </row>
    <row r="131" spans="1:28">
      <c r="A131" s="2">
        <v>128</v>
      </c>
      <c r="B131" s="2" t="s">
        <v>637</v>
      </c>
      <c r="C131" s="2" t="s">
        <v>2527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42787346.655582905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42787346.655582905</v>
      </c>
      <c r="Y131" s="6" t="s">
        <v>1195</v>
      </c>
      <c r="Z131" s="6" t="s">
        <v>1195</v>
      </c>
      <c r="AA131" s="2">
        <f t="shared" ref="AA131:AA136" si="20">AA130</f>
        <v>42879143.513017595</v>
      </c>
      <c r="AB131" s="2">
        <v>0</v>
      </c>
    </row>
    <row r="132" spans="1:28">
      <c r="A132" s="2">
        <v>129</v>
      </c>
      <c r="B132" s="2" t="s">
        <v>640</v>
      </c>
      <c r="C132" s="2" t="s">
        <v>2527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42787346.655582905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42787346.655582905</v>
      </c>
      <c r="Y132" s="6" t="s">
        <v>1195</v>
      </c>
      <c r="Z132" s="6" t="s">
        <v>1195</v>
      </c>
      <c r="AA132" s="2">
        <f t="shared" si="20"/>
        <v>42879143.513017595</v>
      </c>
      <c r="AB132" s="2">
        <v>0</v>
      </c>
    </row>
    <row r="133" spans="1:28">
      <c r="A133" s="2">
        <v>130</v>
      </c>
      <c r="B133" s="2" t="s">
        <v>647</v>
      </c>
      <c r="C133" s="2" t="s">
        <v>2527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42787346.655582905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42787346.655582905</v>
      </c>
      <c r="Y133" s="6" t="s">
        <v>1195</v>
      </c>
      <c r="Z133" s="6" t="s">
        <v>1195</v>
      </c>
      <c r="AA133" s="2">
        <f t="shared" si="20"/>
        <v>42879143.513017595</v>
      </c>
      <c r="AB133" s="2">
        <v>0</v>
      </c>
    </row>
    <row r="134" spans="1:28">
      <c r="A134" s="2">
        <v>131</v>
      </c>
      <c r="B134" s="2" t="s">
        <v>651</v>
      </c>
      <c r="C134" s="2" t="s">
        <v>2527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42787346.655582905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42787346.655582905</v>
      </c>
      <c r="Y134" s="6" t="s">
        <v>1195</v>
      </c>
      <c r="Z134" s="6" t="s">
        <v>1195</v>
      </c>
      <c r="AA134" s="2">
        <f t="shared" si="20"/>
        <v>42879143.513017595</v>
      </c>
      <c r="AB134" s="2">
        <v>0</v>
      </c>
    </row>
    <row r="135" spans="1:28">
      <c r="A135" s="2">
        <v>132</v>
      </c>
      <c r="B135" s="2" t="s">
        <v>654</v>
      </c>
      <c r="C135" s="2" t="s">
        <v>2527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42787346.655582905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42787346.655582905</v>
      </c>
      <c r="Y135" s="6" t="s">
        <v>1195</v>
      </c>
      <c r="Z135" s="6" t="s">
        <v>1195</v>
      </c>
      <c r="AA135" s="2">
        <f t="shared" si="20"/>
        <v>42879143.513017595</v>
      </c>
      <c r="AB135" s="2">
        <v>0</v>
      </c>
    </row>
    <row r="136" spans="1:28">
      <c r="A136" s="2">
        <v>133</v>
      </c>
      <c r="B136" s="2" t="s">
        <v>656</v>
      </c>
      <c r="C136" s="2" t="s">
        <v>2527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42787346.655582905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42787346.655582905</v>
      </c>
      <c r="Y136" s="6" t="s">
        <v>1195</v>
      </c>
      <c r="Z136" s="6" t="s">
        <v>1195</v>
      </c>
      <c r="AA136" s="2">
        <f t="shared" si="20"/>
        <v>42879143.513017595</v>
      </c>
      <c r="AB136" s="2">
        <v>0</v>
      </c>
    </row>
    <row r="137" spans="1:28">
      <c r="A137" s="2">
        <v>134</v>
      </c>
      <c r="B137" s="2" t="s">
        <v>658</v>
      </c>
      <c r="C137" s="2" t="s">
        <v>2527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2556</v>
      </c>
      <c r="J137" s="2" t="s">
        <v>2557</v>
      </c>
      <c r="K137" s="2">
        <f t="shared" si="21"/>
        <v>42787346.655582905</v>
      </c>
      <c r="L137" s="2" t="s">
        <v>2558</v>
      </c>
      <c r="M137" s="2" t="s">
        <v>2559</v>
      </c>
      <c r="N137" s="2" t="s">
        <v>2560</v>
      </c>
      <c r="O137" s="2">
        <v>332</v>
      </c>
      <c r="P137" s="2">
        <v>2300.457275390625</v>
      </c>
      <c r="Q137" s="2">
        <v>2068.57958984375</v>
      </c>
      <c r="R137" s="2">
        <f>O137*P137</f>
        <v>763751.8154296875</v>
      </c>
      <c r="S137" s="2">
        <f>O137*Q137</f>
        <v>686768.423828125</v>
      </c>
      <c r="T137" s="2">
        <f>R137+S137</f>
        <v>1450520.2392578125</v>
      </c>
      <c r="U137" s="2">
        <f>ROUND(T137*0.0005, 2)</f>
        <v>725.26</v>
      </c>
      <c r="V137" s="2">
        <f>S137-R137</f>
        <v>-76983.3916015625</v>
      </c>
      <c r="W137" s="2">
        <f>V137-U137</f>
        <v>-77708.651601562495</v>
      </c>
      <c r="X137" s="2">
        <f>K137+W137</f>
        <v>42709638.003981344</v>
      </c>
      <c r="Y137" s="2">
        <f>ROUND(0.2*R137, 2)</f>
        <v>152750.35999999999</v>
      </c>
      <c r="Z137" s="2">
        <f>ROUND((W137/Y137)*100, 2)</f>
        <v>-50.87</v>
      </c>
      <c r="AA137" s="2">
        <f>MAX(AA136, X137)</f>
        <v>42879143.513017595</v>
      </c>
      <c r="AB137" s="2">
        <f>X137-AA137</f>
        <v>-169505.50903625041</v>
      </c>
    </row>
    <row r="138" spans="1:28">
      <c r="A138" s="2">
        <v>135</v>
      </c>
      <c r="B138" s="2" t="s">
        <v>661</v>
      </c>
      <c r="C138" s="2" t="s">
        <v>2527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42709638.003981344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 t="shared" ref="X138:X144" si="22">K138</f>
        <v>42709638.003981344</v>
      </c>
      <c r="Y138" s="6" t="s">
        <v>1195</v>
      </c>
      <c r="Z138" s="6" t="s">
        <v>1195</v>
      </c>
      <c r="AA138" s="2">
        <f t="shared" ref="AA138:AA144" si="23">AA137</f>
        <v>42879143.513017595</v>
      </c>
      <c r="AB138" s="2">
        <v>0</v>
      </c>
    </row>
    <row r="139" spans="1:28">
      <c r="A139" s="2">
        <v>136</v>
      </c>
      <c r="B139" s="2" t="s">
        <v>664</v>
      </c>
      <c r="C139" s="2" t="s">
        <v>2527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42709638.003981344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 t="shared" si="22"/>
        <v>42709638.003981344</v>
      </c>
      <c r="Y139" s="6" t="s">
        <v>1195</v>
      </c>
      <c r="Z139" s="6" t="s">
        <v>1195</v>
      </c>
      <c r="AA139" s="2">
        <f t="shared" si="23"/>
        <v>42879143.513017595</v>
      </c>
      <c r="AB139" s="2">
        <v>0</v>
      </c>
    </row>
    <row r="140" spans="1:28">
      <c r="A140" s="2">
        <v>137</v>
      </c>
      <c r="B140" s="2" t="s">
        <v>667</v>
      </c>
      <c r="C140" s="2" t="s">
        <v>2527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42709638.003981344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 t="shared" si="22"/>
        <v>42709638.003981344</v>
      </c>
      <c r="Y140" s="6" t="s">
        <v>1195</v>
      </c>
      <c r="Z140" s="6" t="s">
        <v>1195</v>
      </c>
      <c r="AA140" s="2">
        <f t="shared" si="23"/>
        <v>42879143.513017595</v>
      </c>
      <c r="AB140" s="2">
        <v>0</v>
      </c>
    </row>
    <row r="141" spans="1:28">
      <c r="A141" s="2">
        <v>138</v>
      </c>
      <c r="B141" s="2" t="s">
        <v>670</v>
      </c>
      <c r="C141" s="2" t="s">
        <v>2527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42709638.003981344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 t="shared" si="22"/>
        <v>42709638.003981344</v>
      </c>
      <c r="Y141" s="6" t="s">
        <v>1195</v>
      </c>
      <c r="Z141" s="6" t="s">
        <v>1195</v>
      </c>
      <c r="AA141" s="2">
        <f t="shared" si="23"/>
        <v>42879143.513017595</v>
      </c>
      <c r="AB141" s="2">
        <v>0</v>
      </c>
    </row>
    <row r="142" spans="1:28">
      <c r="A142" s="2">
        <v>139</v>
      </c>
      <c r="B142" s="2" t="s">
        <v>674</v>
      </c>
      <c r="C142" s="2" t="s">
        <v>2527</v>
      </c>
      <c r="D142" s="3" t="s">
        <v>37</v>
      </c>
      <c r="E142" s="5" t="s">
        <v>134</v>
      </c>
      <c r="F142" s="2" t="s">
        <v>675</v>
      </c>
      <c r="G142" s="2" t="s">
        <v>63</v>
      </c>
      <c r="H142" s="6" t="s">
        <v>1195</v>
      </c>
      <c r="I142" s="6" t="s">
        <v>1195</v>
      </c>
      <c r="J142" s="6" t="s">
        <v>1195</v>
      </c>
      <c r="K142" s="2">
        <f t="shared" si="21"/>
        <v>42709638.003981344</v>
      </c>
      <c r="L142" s="6" t="s">
        <v>1195</v>
      </c>
      <c r="M142" s="6" t="s">
        <v>1195</v>
      </c>
      <c r="N142" s="6" t="s">
        <v>1195</v>
      </c>
      <c r="O142" s="2">
        <v>200</v>
      </c>
      <c r="P142" s="6" t="s">
        <v>1195</v>
      </c>
      <c r="Q142" s="6" t="s">
        <v>1195</v>
      </c>
      <c r="R142" s="6" t="s">
        <v>1195</v>
      </c>
      <c r="S142" s="6" t="s">
        <v>1195</v>
      </c>
      <c r="T142" s="6" t="s">
        <v>1195</v>
      </c>
      <c r="U142" s="6" t="s">
        <v>1195</v>
      </c>
      <c r="V142" s="6" t="s">
        <v>1195</v>
      </c>
      <c r="W142" s="6" t="s">
        <v>1195</v>
      </c>
      <c r="X142" s="2">
        <f t="shared" si="22"/>
        <v>42709638.003981344</v>
      </c>
      <c r="Y142" s="6" t="s">
        <v>1195</v>
      </c>
      <c r="Z142" s="6" t="s">
        <v>1195</v>
      </c>
      <c r="AA142" s="2">
        <f t="shared" si="23"/>
        <v>42879143.513017595</v>
      </c>
      <c r="AB142" s="2">
        <v>0</v>
      </c>
    </row>
    <row r="143" spans="1:28">
      <c r="A143" s="2">
        <v>140</v>
      </c>
      <c r="B143" s="2" t="s">
        <v>678</v>
      </c>
      <c r="C143" s="2" t="s">
        <v>2527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42709638.003981344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 t="shared" si="22"/>
        <v>42709638.003981344</v>
      </c>
      <c r="Y143" s="6" t="s">
        <v>1195</v>
      </c>
      <c r="Z143" s="6" t="s">
        <v>1195</v>
      </c>
      <c r="AA143" s="2">
        <f t="shared" si="23"/>
        <v>42879143.513017595</v>
      </c>
      <c r="AB143" s="2">
        <v>0</v>
      </c>
    </row>
    <row r="144" spans="1:28">
      <c r="A144" s="2">
        <v>141</v>
      </c>
      <c r="B144" s="2" t="s">
        <v>681</v>
      </c>
      <c r="C144" s="2" t="s">
        <v>2527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42709638.003981344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 t="shared" si="22"/>
        <v>42709638.003981344</v>
      </c>
      <c r="Y144" s="6" t="s">
        <v>1195</v>
      </c>
      <c r="Z144" s="6" t="s">
        <v>1195</v>
      </c>
      <c r="AA144" s="2">
        <f t="shared" si="23"/>
        <v>42879143.513017595</v>
      </c>
      <c r="AB144" s="2">
        <v>0</v>
      </c>
    </row>
    <row r="145" spans="1:28">
      <c r="A145" s="2">
        <v>142</v>
      </c>
      <c r="B145" s="2" t="s">
        <v>685</v>
      </c>
      <c r="C145" s="2" t="s">
        <v>2527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2509</v>
      </c>
      <c r="J145" s="2" t="s">
        <v>268</v>
      </c>
      <c r="K145" s="2">
        <f t="shared" si="21"/>
        <v>42709638.003981344</v>
      </c>
      <c r="L145" s="2" t="s">
        <v>2465</v>
      </c>
      <c r="M145" s="2" t="s">
        <v>1828</v>
      </c>
      <c r="N145" s="2" t="s">
        <v>2467</v>
      </c>
      <c r="O145" s="2">
        <v>1500</v>
      </c>
      <c r="P145" s="2">
        <v>221.2468566894531</v>
      </c>
      <c r="Q145" s="2">
        <v>226.28399658203119</v>
      </c>
      <c r="R145" s="2">
        <f>O145*P145</f>
        <v>331870.28503417963</v>
      </c>
      <c r="S145" s="2">
        <f>O145*Q145</f>
        <v>339425.99487304682</v>
      </c>
      <c r="T145" s="2">
        <f>R145+S145</f>
        <v>671296.27990722645</v>
      </c>
      <c r="U145" s="2">
        <f>ROUND(T145*0.0005, 2)</f>
        <v>335.65</v>
      </c>
      <c r="V145" s="2">
        <f>S145-R145</f>
        <v>7555.7098388671875</v>
      </c>
      <c r="W145" s="2">
        <f>V145-U145</f>
        <v>7220.0598388671879</v>
      </c>
      <c r="X145" s="2">
        <f>K145+W145</f>
        <v>42716858.063820213</v>
      </c>
      <c r="Y145" s="2">
        <f>ROUND(0.2*R145, 2)</f>
        <v>66374.06</v>
      </c>
      <c r="Z145" s="2">
        <f>ROUND((W145/Y145)*100, 2)</f>
        <v>10.88</v>
      </c>
      <c r="AA145" s="2">
        <f>MAX(AA144, X145)</f>
        <v>42879143.513017595</v>
      </c>
      <c r="AB145" s="2">
        <f>X145-AA145</f>
        <v>-162285.44919738173</v>
      </c>
    </row>
    <row r="146" spans="1:28">
      <c r="A146" s="2">
        <v>143</v>
      </c>
      <c r="B146" s="2" t="s">
        <v>689</v>
      </c>
      <c r="C146" s="2" t="s">
        <v>2527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42716858.063820213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42716858.063820213</v>
      </c>
      <c r="Y146" s="6" t="s">
        <v>1195</v>
      </c>
      <c r="Z146" s="6" t="s">
        <v>1195</v>
      </c>
      <c r="AA146" s="2">
        <f>AA145</f>
        <v>42879143.513017595</v>
      </c>
      <c r="AB146" s="2">
        <v>0</v>
      </c>
    </row>
    <row r="147" spans="1:28">
      <c r="A147" s="2">
        <v>144</v>
      </c>
      <c r="B147" s="2" t="s">
        <v>692</v>
      </c>
      <c r="C147" s="2" t="s">
        <v>2527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42716858.063820213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42716858.063820213</v>
      </c>
      <c r="Y147" s="6" t="s">
        <v>1195</v>
      </c>
      <c r="Z147" s="6" t="s">
        <v>1195</v>
      </c>
      <c r="AA147" s="2">
        <f>AA146</f>
        <v>42879143.513017595</v>
      </c>
      <c r="AB147" s="2">
        <v>0</v>
      </c>
    </row>
    <row r="148" spans="1:28">
      <c r="A148" s="2">
        <v>145</v>
      </c>
      <c r="B148" s="2" t="s">
        <v>696</v>
      </c>
      <c r="C148" s="2" t="s">
        <v>2527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42716858.063820213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42716858.063820213</v>
      </c>
      <c r="Y148" s="6" t="s">
        <v>1195</v>
      </c>
      <c r="Z148" s="6" t="s">
        <v>1195</v>
      </c>
      <c r="AA148" s="2">
        <f>AA147</f>
        <v>42879143.513017595</v>
      </c>
      <c r="AB148" s="2">
        <v>0</v>
      </c>
    </row>
    <row r="149" spans="1:28">
      <c r="A149" s="2">
        <v>146</v>
      </c>
      <c r="B149" s="2" t="s">
        <v>701</v>
      </c>
      <c r="C149" s="2" t="s">
        <v>2527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42716858.063820213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42716858.063820213</v>
      </c>
      <c r="Y149" s="6" t="s">
        <v>1195</v>
      </c>
      <c r="Z149" s="6" t="s">
        <v>1195</v>
      </c>
      <c r="AA149" s="2">
        <f>AA148</f>
        <v>42879143.513017595</v>
      </c>
      <c r="AB149" s="2">
        <v>0</v>
      </c>
    </row>
    <row r="150" spans="1:28">
      <c r="A150" s="2">
        <v>147</v>
      </c>
      <c r="B150" s="2" t="s">
        <v>705</v>
      </c>
      <c r="C150" s="2" t="s">
        <v>2527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2510</v>
      </c>
      <c r="J150" s="2" t="s">
        <v>2511</v>
      </c>
      <c r="K150" s="2">
        <f t="shared" si="21"/>
        <v>42716858.063820213</v>
      </c>
      <c r="L150" s="2" t="s">
        <v>2050</v>
      </c>
      <c r="M150" s="2" t="s">
        <v>2451</v>
      </c>
      <c r="N150" s="2" t="s">
        <v>2462</v>
      </c>
      <c r="O150" s="2">
        <v>3750</v>
      </c>
      <c r="P150" s="2">
        <v>169.26844787597659</v>
      </c>
      <c r="Q150" s="2">
        <v>160.94940185546881</v>
      </c>
      <c r="R150" s="2">
        <f>O150*P150</f>
        <v>634756.67953491223</v>
      </c>
      <c r="S150" s="2">
        <f>O150*Q150</f>
        <v>603560.25695800805</v>
      </c>
      <c r="T150" s="2">
        <f>R150+S150</f>
        <v>1238316.9364929204</v>
      </c>
      <c r="U150" s="2">
        <f>ROUND(T150*0.0005, 2)</f>
        <v>619.16</v>
      </c>
      <c r="V150" s="2">
        <f>S150-R150</f>
        <v>-31196.42257690418</v>
      </c>
      <c r="W150" s="2">
        <f>V150-U150</f>
        <v>-31815.58257690418</v>
      </c>
      <c r="X150" s="2">
        <f>K150+W150</f>
        <v>42685042.481243312</v>
      </c>
      <c r="Y150" s="2">
        <f>ROUND(0.2*R150, 2)</f>
        <v>126951.34</v>
      </c>
      <c r="Z150" s="2">
        <f>ROUND((W150/Y150)*100, 2)</f>
        <v>-25.06</v>
      </c>
      <c r="AA150" s="2">
        <f>MAX(AA149, X150)</f>
        <v>42879143.513017595</v>
      </c>
      <c r="AB150" s="2">
        <f>X150-AA150</f>
        <v>-194101.03177428246</v>
      </c>
    </row>
    <row r="151" spans="1:28">
      <c r="A151" s="2">
        <v>148</v>
      </c>
      <c r="B151" s="2" t="s">
        <v>708</v>
      </c>
      <c r="C151" s="2" t="s">
        <v>2527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42685042.481243312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4">K151</f>
        <v>42685042.481243312</v>
      </c>
      <c r="Y151" s="6" t="s">
        <v>1195</v>
      </c>
      <c r="Z151" s="6" t="s">
        <v>1195</v>
      </c>
      <c r="AA151" s="2">
        <f t="shared" ref="AA151:AA164" si="25">AA150</f>
        <v>42879143.513017595</v>
      </c>
      <c r="AB151" s="2">
        <v>0</v>
      </c>
    </row>
    <row r="152" spans="1:28">
      <c r="A152" s="2">
        <v>149</v>
      </c>
      <c r="B152" s="2" t="s">
        <v>710</v>
      </c>
      <c r="C152" s="2" t="s">
        <v>2527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42685042.481243312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4"/>
        <v>42685042.481243312</v>
      </c>
      <c r="Y152" s="6" t="s">
        <v>1195</v>
      </c>
      <c r="Z152" s="6" t="s">
        <v>1195</v>
      </c>
      <c r="AA152" s="2">
        <f t="shared" si="25"/>
        <v>42879143.513017595</v>
      </c>
      <c r="AB152" s="2">
        <v>0</v>
      </c>
    </row>
    <row r="153" spans="1:28">
      <c r="A153" s="2">
        <v>150</v>
      </c>
      <c r="B153" s="2" t="s">
        <v>714</v>
      </c>
      <c r="C153" s="2" t="s">
        <v>2527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42685042.481243312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4"/>
        <v>42685042.481243312</v>
      </c>
      <c r="Y153" s="6" t="s">
        <v>1195</v>
      </c>
      <c r="Z153" s="6" t="s">
        <v>1195</v>
      </c>
      <c r="AA153" s="2">
        <f t="shared" si="25"/>
        <v>42879143.513017595</v>
      </c>
      <c r="AB153" s="2">
        <v>0</v>
      </c>
    </row>
    <row r="154" spans="1:28">
      <c r="A154" s="2">
        <v>151</v>
      </c>
      <c r="B154" s="2" t="s">
        <v>718</v>
      </c>
      <c r="C154" s="2" t="s">
        <v>2527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42685042.481243312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4"/>
        <v>42685042.481243312</v>
      </c>
      <c r="Y154" s="6" t="s">
        <v>1195</v>
      </c>
      <c r="Z154" s="6" t="s">
        <v>1195</v>
      </c>
      <c r="AA154" s="2">
        <f t="shared" si="25"/>
        <v>42879143.513017595</v>
      </c>
      <c r="AB154" s="2">
        <v>0</v>
      </c>
    </row>
    <row r="155" spans="1:28">
      <c r="A155" s="2">
        <v>152</v>
      </c>
      <c r="B155" s="2" t="s">
        <v>720</v>
      </c>
      <c r="C155" s="2" t="s">
        <v>2527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42685042.481243312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4"/>
        <v>42685042.481243312</v>
      </c>
      <c r="Y155" s="6" t="s">
        <v>1195</v>
      </c>
      <c r="Z155" s="6" t="s">
        <v>1195</v>
      </c>
      <c r="AA155" s="2">
        <f t="shared" si="25"/>
        <v>42879143.513017595</v>
      </c>
      <c r="AB155" s="2">
        <v>0</v>
      </c>
    </row>
    <row r="156" spans="1:28">
      <c r="A156" s="2">
        <v>153</v>
      </c>
      <c r="B156" s="2" t="s">
        <v>723</v>
      </c>
      <c r="C156" s="2" t="s">
        <v>2527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42685042.481243312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4"/>
        <v>42685042.481243312</v>
      </c>
      <c r="Y156" s="6" t="s">
        <v>1195</v>
      </c>
      <c r="Z156" s="6" t="s">
        <v>1195</v>
      </c>
      <c r="AA156" s="2">
        <f t="shared" si="25"/>
        <v>42879143.513017595</v>
      </c>
      <c r="AB156" s="2">
        <v>0</v>
      </c>
    </row>
    <row r="157" spans="1:28">
      <c r="A157" s="2">
        <v>154</v>
      </c>
      <c r="B157" s="2" t="s">
        <v>727</v>
      </c>
      <c r="C157" s="2" t="s">
        <v>2527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42685042.481243312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4"/>
        <v>42685042.481243312</v>
      </c>
      <c r="Y157" s="6" t="s">
        <v>1195</v>
      </c>
      <c r="Z157" s="6" t="s">
        <v>1195</v>
      </c>
      <c r="AA157" s="2">
        <f t="shared" si="25"/>
        <v>42879143.513017595</v>
      </c>
      <c r="AB157" s="2">
        <v>0</v>
      </c>
    </row>
    <row r="158" spans="1:28">
      <c r="A158" s="2">
        <v>155</v>
      </c>
      <c r="B158" s="2" t="s">
        <v>729</v>
      </c>
      <c r="C158" s="2" t="s">
        <v>2527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42685042.481243312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4"/>
        <v>42685042.481243312</v>
      </c>
      <c r="Y158" s="6" t="s">
        <v>1195</v>
      </c>
      <c r="Z158" s="6" t="s">
        <v>1195</v>
      </c>
      <c r="AA158" s="2">
        <f t="shared" si="25"/>
        <v>42879143.513017595</v>
      </c>
      <c r="AB158" s="2">
        <v>0</v>
      </c>
    </row>
    <row r="159" spans="1:28">
      <c r="A159" s="2">
        <v>156</v>
      </c>
      <c r="B159" s="2" t="s">
        <v>732</v>
      </c>
      <c r="C159" s="2" t="s">
        <v>2527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42685042.481243312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4"/>
        <v>42685042.481243312</v>
      </c>
      <c r="Y159" s="6" t="s">
        <v>1195</v>
      </c>
      <c r="Z159" s="6" t="s">
        <v>1195</v>
      </c>
      <c r="AA159" s="2">
        <f t="shared" si="25"/>
        <v>42879143.513017595</v>
      </c>
      <c r="AB159" s="2">
        <v>0</v>
      </c>
    </row>
    <row r="160" spans="1:28">
      <c r="A160" s="2">
        <v>157</v>
      </c>
      <c r="B160" s="2" t="s">
        <v>736</v>
      </c>
      <c r="C160" s="2" t="s">
        <v>2527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42685042.481243312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4"/>
        <v>42685042.481243312</v>
      </c>
      <c r="Y160" s="6" t="s">
        <v>1195</v>
      </c>
      <c r="Z160" s="6" t="s">
        <v>1195</v>
      </c>
      <c r="AA160" s="2">
        <f t="shared" si="25"/>
        <v>42879143.513017595</v>
      </c>
      <c r="AB160" s="2">
        <v>0</v>
      </c>
    </row>
    <row r="161" spans="1:28">
      <c r="A161" s="2">
        <v>158</v>
      </c>
      <c r="B161" s="2" t="s">
        <v>738</v>
      </c>
      <c r="C161" s="2" t="s">
        <v>2527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42685042.481243312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4"/>
        <v>42685042.481243312</v>
      </c>
      <c r="Y161" s="6" t="s">
        <v>1195</v>
      </c>
      <c r="Z161" s="6" t="s">
        <v>1195</v>
      </c>
      <c r="AA161" s="2">
        <f t="shared" si="25"/>
        <v>42879143.513017595</v>
      </c>
      <c r="AB161" s="2">
        <v>0</v>
      </c>
    </row>
    <row r="162" spans="1:28">
      <c r="A162" s="2">
        <v>159</v>
      </c>
      <c r="B162" s="2" t="s">
        <v>741</v>
      </c>
      <c r="C162" s="2" t="s">
        <v>2527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42685042.481243312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4"/>
        <v>42685042.481243312</v>
      </c>
      <c r="Y162" s="6" t="s">
        <v>1195</v>
      </c>
      <c r="Z162" s="6" t="s">
        <v>1195</v>
      </c>
      <c r="AA162" s="2">
        <f t="shared" si="25"/>
        <v>42879143.513017595</v>
      </c>
      <c r="AB162" s="2">
        <v>0</v>
      </c>
    </row>
    <row r="163" spans="1:28">
      <c r="A163" s="2">
        <v>160</v>
      </c>
      <c r="B163" s="2" t="s">
        <v>743</v>
      </c>
      <c r="C163" s="2" t="s">
        <v>2527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42685042.481243312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4"/>
        <v>42685042.481243312</v>
      </c>
      <c r="Y163" s="6" t="s">
        <v>1195</v>
      </c>
      <c r="Z163" s="6" t="s">
        <v>1195</v>
      </c>
      <c r="AA163" s="2">
        <f t="shared" si="25"/>
        <v>42879143.513017595</v>
      </c>
      <c r="AB163" s="2">
        <v>0</v>
      </c>
    </row>
    <row r="164" spans="1:28">
      <c r="A164" s="2">
        <v>161</v>
      </c>
      <c r="B164" s="2" t="s">
        <v>746</v>
      </c>
      <c r="C164" s="2" t="s">
        <v>2527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42685042.481243312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4"/>
        <v>42685042.481243312</v>
      </c>
      <c r="Y164" s="6" t="s">
        <v>1195</v>
      </c>
      <c r="Z164" s="6" t="s">
        <v>1195</v>
      </c>
      <c r="AA164" s="2">
        <f t="shared" si="25"/>
        <v>42879143.513017595</v>
      </c>
      <c r="AB164" s="2">
        <v>0</v>
      </c>
    </row>
    <row r="165" spans="1:28">
      <c r="A165" s="2">
        <v>162</v>
      </c>
      <c r="B165" s="2" t="s">
        <v>750</v>
      </c>
      <c r="C165" s="2" t="s">
        <v>2527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130</v>
      </c>
      <c r="J165" s="2" t="s">
        <v>1463</v>
      </c>
      <c r="K165" s="2">
        <f t="shared" si="21"/>
        <v>42685042.481243312</v>
      </c>
      <c r="L165" s="2" t="s">
        <v>2068</v>
      </c>
      <c r="M165" s="2" t="s">
        <v>1962</v>
      </c>
      <c r="N165" s="2" t="s">
        <v>2512</v>
      </c>
      <c r="O165" s="2">
        <v>1800</v>
      </c>
      <c r="P165" s="2">
        <v>190.7156982421875</v>
      </c>
      <c r="Q165" s="2">
        <v>187.80792236328119</v>
      </c>
      <c r="R165" s="2">
        <f>O165*P165</f>
        <v>343288.2568359375</v>
      </c>
      <c r="S165" s="2">
        <f>O165*Q165</f>
        <v>338054.26025390613</v>
      </c>
      <c r="T165" s="2">
        <f>R165+S165</f>
        <v>681342.51708984363</v>
      </c>
      <c r="U165" s="2">
        <f>ROUND(T165*0.0005, 2)</f>
        <v>340.67</v>
      </c>
      <c r="V165" s="2">
        <f>S165-R165</f>
        <v>-5233.9965820313664</v>
      </c>
      <c r="W165" s="2">
        <f>V165-U165</f>
        <v>-5574.6665820313665</v>
      </c>
      <c r="X165" s="2">
        <f>K165+W165</f>
        <v>42679467.814661279</v>
      </c>
      <c r="Y165" s="2">
        <f>ROUND(0.2*R165, 2)</f>
        <v>68657.649999999994</v>
      </c>
      <c r="Z165" s="2">
        <f>ROUND((W165/Y165)*100, 2)</f>
        <v>-8.1199999999999992</v>
      </c>
      <c r="AA165" s="2">
        <f>MAX(AA164, X165)</f>
        <v>42879143.513017595</v>
      </c>
      <c r="AB165" s="2">
        <f>X165-AA165</f>
        <v>-199675.69835631549</v>
      </c>
    </row>
    <row r="166" spans="1:28">
      <c r="A166" s="2">
        <v>163</v>
      </c>
      <c r="B166" s="2" t="s">
        <v>754</v>
      </c>
      <c r="C166" s="2" t="s">
        <v>2527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42679467.814661279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42679467.814661279</v>
      </c>
      <c r="Y166" s="6" t="s">
        <v>1195</v>
      </c>
      <c r="Z166" s="6" t="s">
        <v>1195</v>
      </c>
      <c r="AA166" s="2">
        <f>AA165</f>
        <v>42879143.513017595</v>
      </c>
      <c r="AB166" s="2">
        <v>0</v>
      </c>
    </row>
    <row r="167" spans="1:28">
      <c r="A167" s="2">
        <v>164</v>
      </c>
      <c r="B167" s="2" t="s">
        <v>758</v>
      </c>
      <c r="C167" s="2" t="s">
        <v>2527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42679467.814661279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42679467.814661279</v>
      </c>
      <c r="Y167" s="6" t="s">
        <v>1195</v>
      </c>
      <c r="Z167" s="6" t="s">
        <v>1195</v>
      </c>
      <c r="AA167" s="2">
        <f>AA166</f>
        <v>42879143.513017595</v>
      </c>
      <c r="AB167" s="2">
        <v>0</v>
      </c>
    </row>
    <row r="168" spans="1:28">
      <c r="A168" s="2">
        <v>165</v>
      </c>
      <c r="B168" s="2" t="s">
        <v>760</v>
      </c>
      <c r="C168" s="2" t="s">
        <v>2527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42679467.814661279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42679467.814661279</v>
      </c>
      <c r="Y168" s="6" t="s">
        <v>1195</v>
      </c>
      <c r="Z168" s="6" t="s">
        <v>1195</v>
      </c>
      <c r="AA168" s="2">
        <f>AA167</f>
        <v>42879143.513017595</v>
      </c>
      <c r="AB168" s="2">
        <v>0</v>
      </c>
    </row>
    <row r="169" spans="1:28">
      <c r="A169" s="2">
        <v>166</v>
      </c>
      <c r="B169" s="2" t="s">
        <v>763</v>
      </c>
      <c r="C169" s="2" t="s">
        <v>2527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42679467.814661279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42679467.814661279</v>
      </c>
      <c r="Y169" s="6" t="s">
        <v>1195</v>
      </c>
      <c r="Z169" s="6" t="s">
        <v>1195</v>
      </c>
      <c r="AA169" s="2">
        <f>AA168</f>
        <v>42879143.513017595</v>
      </c>
      <c r="AB169" s="2">
        <v>0</v>
      </c>
    </row>
    <row r="170" spans="1:28">
      <c r="A170" s="2">
        <v>167</v>
      </c>
      <c r="B170" s="2" t="s">
        <v>764</v>
      </c>
      <c r="C170" s="2" t="s">
        <v>2527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42679467.814661279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42679467.814661279</v>
      </c>
      <c r="Y170" s="6" t="s">
        <v>1195</v>
      </c>
      <c r="Z170" s="6" t="s">
        <v>1195</v>
      </c>
      <c r="AA170" s="2">
        <f>AA169</f>
        <v>42879143.513017595</v>
      </c>
      <c r="AB170" s="2">
        <v>0</v>
      </c>
    </row>
    <row r="171" spans="1:28">
      <c r="A171" s="2">
        <v>168</v>
      </c>
      <c r="B171" s="2" t="s">
        <v>769</v>
      </c>
      <c r="C171" s="2" t="s">
        <v>2527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2345</v>
      </c>
      <c r="J171" s="2" t="s">
        <v>1349</v>
      </c>
      <c r="K171" s="2">
        <f t="shared" si="21"/>
        <v>42679467.814661279</v>
      </c>
      <c r="L171" s="2" t="s">
        <v>2201</v>
      </c>
      <c r="M171" s="2" t="s">
        <v>2386</v>
      </c>
      <c r="N171" s="2" t="s">
        <v>2385</v>
      </c>
      <c r="O171" s="2">
        <v>2667</v>
      </c>
      <c r="P171" s="2">
        <v>379.4942626953125</v>
      </c>
      <c r="Q171" s="2">
        <v>372.47366333007812</v>
      </c>
      <c r="R171" s="2">
        <f>O171*P171</f>
        <v>1012111.1986083984</v>
      </c>
      <c r="S171" s="2">
        <f>O171*Q171</f>
        <v>993387.26010131836</v>
      </c>
      <c r="T171" s="2">
        <f>R171+S171</f>
        <v>2005498.4587097168</v>
      </c>
      <c r="U171" s="2">
        <f>ROUND(T171*0.0005, 2)</f>
        <v>1002.75</v>
      </c>
      <c r="V171" s="2">
        <f>S171-R171</f>
        <v>-18723.938507080078</v>
      </c>
      <c r="W171" s="2">
        <f>V171-U171</f>
        <v>-19726.688507080078</v>
      </c>
      <c r="X171" s="2">
        <f>K171+W171</f>
        <v>42659741.126154199</v>
      </c>
      <c r="Y171" s="2">
        <f>ROUND(0.2*R171, 2)</f>
        <v>202422.24</v>
      </c>
      <c r="Z171" s="2">
        <f>ROUND((W171/Y171)*100, 2)</f>
        <v>-9.75</v>
      </c>
      <c r="AA171" s="2">
        <f>MAX(AA170, X171)</f>
        <v>42879143.513017595</v>
      </c>
      <c r="AB171" s="2">
        <f>X171-AA171</f>
        <v>-219402.38686339557</v>
      </c>
    </row>
    <row r="172" spans="1:28">
      <c r="A172" s="2">
        <v>169</v>
      </c>
      <c r="B172" s="2" t="s">
        <v>773</v>
      </c>
      <c r="C172" s="2" t="s">
        <v>2527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2513</v>
      </c>
      <c r="J172" s="2" t="s">
        <v>2514</v>
      </c>
      <c r="K172" s="2">
        <f t="shared" si="21"/>
        <v>42659741.126154199</v>
      </c>
      <c r="L172" s="2" t="s">
        <v>2063</v>
      </c>
      <c r="M172" s="2" t="s">
        <v>1826</v>
      </c>
      <c r="N172" s="2" t="s">
        <v>1987</v>
      </c>
      <c r="O172" s="2">
        <v>250</v>
      </c>
      <c r="P172" s="2">
        <v>1146.276733398438</v>
      </c>
      <c r="Q172" s="2">
        <v>1115.522705078125</v>
      </c>
      <c r="R172" s="2">
        <f>O172*P172</f>
        <v>286569.18334960949</v>
      </c>
      <c r="S172" s="2">
        <f>O172*Q172</f>
        <v>278880.67626953125</v>
      </c>
      <c r="T172" s="2">
        <f>R172+S172</f>
        <v>565449.85961914074</v>
      </c>
      <c r="U172" s="2">
        <f>ROUND(T172*0.0005, 2)</f>
        <v>282.72000000000003</v>
      </c>
      <c r="V172" s="2">
        <f>S172-R172</f>
        <v>-7688.5070800782414</v>
      </c>
      <c r="W172" s="2">
        <f>V172-U172</f>
        <v>-7971.2270800782417</v>
      </c>
      <c r="X172" s="2">
        <f>K172+W172</f>
        <v>42651769.899074122</v>
      </c>
      <c r="Y172" s="2">
        <f>ROUND(0.2*R172, 2)</f>
        <v>57313.84</v>
      </c>
      <c r="Z172" s="2">
        <f>ROUND((W172/Y172)*100, 2)</f>
        <v>-13.91</v>
      </c>
      <c r="AA172" s="2">
        <f>MAX(AA171, X172)</f>
        <v>42879143.513017595</v>
      </c>
      <c r="AB172" s="2">
        <f>X172-AA172</f>
        <v>-227373.6139434725</v>
      </c>
    </row>
    <row r="173" spans="1:28">
      <c r="A173" s="2">
        <v>170</v>
      </c>
      <c r="B173" s="2" t="s">
        <v>778</v>
      </c>
      <c r="C173" s="2" t="s">
        <v>2527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42651769.899074122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42651769.899074122</v>
      </c>
      <c r="Y173" s="6" t="s">
        <v>1195</v>
      </c>
      <c r="Z173" s="6" t="s">
        <v>1195</v>
      </c>
      <c r="AA173" s="2">
        <f>AA172</f>
        <v>42879143.513017595</v>
      </c>
      <c r="AB173" s="2">
        <v>0</v>
      </c>
    </row>
    <row r="174" spans="1:28">
      <c r="A174" s="2">
        <v>171</v>
      </c>
      <c r="B174" s="2" t="s">
        <v>782</v>
      </c>
      <c r="C174" s="2" t="s">
        <v>2527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42651769.899074122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42651769.899074122</v>
      </c>
      <c r="Y174" s="6" t="s">
        <v>1195</v>
      </c>
      <c r="Z174" s="6" t="s">
        <v>1195</v>
      </c>
      <c r="AA174" s="2">
        <f>AA173</f>
        <v>42879143.513017595</v>
      </c>
      <c r="AB174" s="2">
        <v>0</v>
      </c>
    </row>
    <row r="175" spans="1:28">
      <c r="A175" s="2">
        <v>172</v>
      </c>
      <c r="B175" s="2" t="s">
        <v>784</v>
      </c>
      <c r="C175" s="2" t="s">
        <v>2527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42651769.899074122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42651769.899074122</v>
      </c>
      <c r="Y175" s="6" t="s">
        <v>1195</v>
      </c>
      <c r="Z175" s="6" t="s">
        <v>1195</v>
      </c>
      <c r="AA175" s="2">
        <f>AA174</f>
        <v>42879143.513017595</v>
      </c>
      <c r="AB175" s="2">
        <v>0</v>
      </c>
    </row>
    <row r="176" spans="1:28">
      <c r="A176" s="2">
        <v>173</v>
      </c>
      <c r="B176" s="2" t="s">
        <v>787</v>
      </c>
      <c r="C176" s="2" t="s">
        <v>2527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42651769.899074122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42651769.899074122</v>
      </c>
      <c r="Y176" s="6" t="s">
        <v>1195</v>
      </c>
      <c r="Z176" s="6" t="s">
        <v>1195</v>
      </c>
      <c r="AA176" s="2">
        <f>AA175</f>
        <v>42879143.513017595</v>
      </c>
      <c r="AB176" s="2">
        <v>0</v>
      </c>
    </row>
    <row r="177" spans="1:28">
      <c r="A177" s="2">
        <v>174</v>
      </c>
      <c r="B177" s="2" t="s">
        <v>790</v>
      </c>
      <c r="C177" s="2" t="s">
        <v>2527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1485</v>
      </c>
      <c r="J177" s="2" t="s">
        <v>1154</v>
      </c>
      <c r="K177" s="2">
        <f t="shared" si="21"/>
        <v>42651769.899074122</v>
      </c>
      <c r="L177" s="2" t="s">
        <v>2544</v>
      </c>
      <c r="M177" s="2" t="s">
        <v>2561</v>
      </c>
      <c r="N177" s="2" t="s">
        <v>2562</v>
      </c>
      <c r="O177" s="2">
        <v>375</v>
      </c>
      <c r="P177" s="2">
        <v>920.11273193359375</v>
      </c>
      <c r="Q177" s="2">
        <v>973.8115234375</v>
      </c>
      <c r="R177" s="2">
        <f>O177*P177</f>
        <v>345042.27447509766</v>
      </c>
      <c r="S177" s="2">
        <f>O177*Q177</f>
        <v>365179.3212890625</v>
      </c>
      <c r="T177" s="2">
        <f>R177+S177</f>
        <v>710221.59576416016</v>
      </c>
      <c r="U177" s="2">
        <f>ROUND(T177*0.0005, 2)</f>
        <v>355.11</v>
      </c>
      <c r="V177" s="2">
        <f>S177-R177</f>
        <v>20137.046813964844</v>
      </c>
      <c r="W177" s="2">
        <f>V177-U177</f>
        <v>19781.936813964843</v>
      </c>
      <c r="X177" s="2">
        <f>K177+W177</f>
        <v>42671551.835888088</v>
      </c>
      <c r="Y177" s="2">
        <f>ROUND(0.2*R177, 2)</f>
        <v>69008.45</v>
      </c>
      <c r="Z177" s="2">
        <f>ROUND((W177/Y177)*100, 2)</f>
        <v>28.67</v>
      </c>
      <c r="AA177" s="2">
        <f>MAX(AA176, X177)</f>
        <v>42879143.513017595</v>
      </c>
      <c r="AB177" s="2">
        <f>X177-AA177</f>
        <v>-207591.67712950706</v>
      </c>
    </row>
    <row r="178" spans="1:28">
      <c r="A178" s="2">
        <v>175</v>
      </c>
      <c r="B178" s="2" t="s">
        <v>794</v>
      </c>
      <c r="C178" s="2" t="s">
        <v>2527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887</v>
      </c>
      <c r="J178" s="2" t="s">
        <v>2516</v>
      </c>
      <c r="K178" s="2">
        <f t="shared" si="21"/>
        <v>42671551.835888088</v>
      </c>
      <c r="L178" s="2" t="s">
        <v>1828</v>
      </c>
      <c r="M178" s="2" t="s">
        <v>2068</v>
      </c>
      <c r="N178" s="2" t="s">
        <v>2517</v>
      </c>
      <c r="O178" s="2">
        <v>1500</v>
      </c>
      <c r="P178" s="2">
        <v>547.5521240234375</v>
      </c>
      <c r="Q178" s="2">
        <v>549.0673828125</v>
      </c>
      <c r="R178" s="2">
        <f>O178*P178</f>
        <v>821328.18603515625</v>
      </c>
      <c r="S178" s="2">
        <f>O178*Q178</f>
        <v>823601.07421875</v>
      </c>
      <c r="T178" s="2">
        <f>R178+S178</f>
        <v>1644929.2602539062</v>
      </c>
      <c r="U178" s="2">
        <f>ROUND(T178*0.0005, 2)</f>
        <v>822.46</v>
      </c>
      <c r="V178" s="2">
        <f>S178-R178</f>
        <v>2272.88818359375</v>
      </c>
      <c r="W178" s="2">
        <f>V178-U178</f>
        <v>1450.42818359375</v>
      </c>
      <c r="X178" s="2">
        <f>K178+W178</f>
        <v>42673002.264071681</v>
      </c>
      <c r="Y178" s="2">
        <f>ROUND(0.2*R178, 2)</f>
        <v>164265.64000000001</v>
      </c>
      <c r="Z178" s="2">
        <f>ROUND((W178/Y178)*100, 2)</f>
        <v>0.88</v>
      </c>
      <c r="AA178" s="2">
        <f>MAX(AA177, X178)</f>
        <v>42879143.513017595</v>
      </c>
      <c r="AB178" s="2">
        <f>X178-AA178</f>
        <v>-206141.24894591421</v>
      </c>
    </row>
    <row r="179" spans="1:28">
      <c r="A179" s="2">
        <v>176</v>
      </c>
      <c r="B179" s="2" t="s">
        <v>798</v>
      </c>
      <c r="C179" s="2" t="s">
        <v>2527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42673002.264071681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42673002.264071681</v>
      </c>
      <c r="Y179" s="6" t="s">
        <v>1195</v>
      </c>
      <c r="Z179" s="6" t="s">
        <v>1195</v>
      </c>
      <c r="AA179" s="2">
        <f>AA178</f>
        <v>42879143.513017595</v>
      </c>
      <c r="AB179" s="2">
        <v>0</v>
      </c>
    </row>
    <row r="180" spans="1:28">
      <c r="A180" s="2">
        <v>177</v>
      </c>
      <c r="B180" s="2" t="s">
        <v>801</v>
      </c>
      <c r="C180" s="2" t="s">
        <v>2527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2518</v>
      </c>
      <c r="J180" s="2" t="s">
        <v>267</v>
      </c>
      <c r="K180" s="2">
        <f t="shared" si="21"/>
        <v>42673002.264071681</v>
      </c>
      <c r="L180" s="2" t="s">
        <v>2075</v>
      </c>
      <c r="M180" s="2" t="s">
        <v>1826</v>
      </c>
      <c r="N180" s="2" t="s">
        <v>2075</v>
      </c>
      <c r="O180" s="2">
        <v>957</v>
      </c>
      <c r="P180" s="2">
        <v>342.90109252929687</v>
      </c>
      <c r="Q180" s="2">
        <v>372.89727783203131</v>
      </c>
      <c r="R180" s="2">
        <f>O180*P180</f>
        <v>328156.34555053711</v>
      </c>
      <c r="S180" s="2">
        <f>O180*Q180</f>
        <v>356862.69488525396</v>
      </c>
      <c r="T180" s="2">
        <f>R180+S180</f>
        <v>685019.04043579102</v>
      </c>
      <c r="U180" s="2">
        <f>ROUND(T180*0.0005, 2)</f>
        <v>342.51</v>
      </c>
      <c r="V180" s="2">
        <f>S180-R180</f>
        <v>28706.349334716855</v>
      </c>
      <c r="W180" s="2">
        <f>V180-U180</f>
        <v>28363.839334716857</v>
      </c>
      <c r="X180" s="2">
        <f>K180+W180</f>
        <v>42701366.103406399</v>
      </c>
      <c r="Y180" s="2">
        <f>ROUND(0.2*R180, 2)</f>
        <v>65631.27</v>
      </c>
      <c r="Z180" s="2">
        <f>ROUND((W180/Y180)*100, 2)</f>
        <v>43.22</v>
      </c>
      <c r="AA180" s="2">
        <f>MAX(AA179, X180)</f>
        <v>42879143.513017595</v>
      </c>
      <c r="AB180" s="2">
        <f>X180-AA180</f>
        <v>-177777.40961119533</v>
      </c>
    </row>
    <row r="181" spans="1:28">
      <c r="A181" s="2">
        <v>178</v>
      </c>
      <c r="B181" s="2" t="s">
        <v>806</v>
      </c>
      <c r="C181" s="2" t="s">
        <v>2527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42701366.103406399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42701366.103406399</v>
      </c>
      <c r="Y181" s="6" t="s">
        <v>1195</v>
      </c>
      <c r="Z181" s="6" t="s">
        <v>1195</v>
      </c>
      <c r="AA181" s="2">
        <f>AA180</f>
        <v>42879143.513017595</v>
      </c>
      <c r="AB181" s="2">
        <v>0</v>
      </c>
    </row>
    <row r="182" spans="1:28">
      <c r="A182" s="2">
        <v>179</v>
      </c>
      <c r="B182" s="2" t="s">
        <v>809</v>
      </c>
      <c r="C182" s="2" t="s">
        <v>2527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42701366.103406399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42701366.103406399</v>
      </c>
      <c r="Y182" s="6" t="s">
        <v>1195</v>
      </c>
      <c r="Z182" s="6" t="s">
        <v>1195</v>
      </c>
      <c r="AA182" s="2">
        <f>AA181</f>
        <v>42879143.513017595</v>
      </c>
      <c r="AB182" s="2">
        <v>0</v>
      </c>
    </row>
    <row r="183" spans="1:28">
      <c r="A183" s="2">
        <v>180</v>
      </c>
      <c r="B183" s="2" t="s">
        <v>813</v>
      </c>
      <c r="C183" s="2" t="s">
        <v>2527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42701366.103406399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42701366.103406399</v>
      </c>
      <c r="Y183" s="6" t="s">
        <v>1195</v>
      </c>
      <c r="Z183" s="6" t="s">
        <v>1195</v>
      </c>
      <c r="AA183" s="2">
        <f>AA182</f>
        <v>42879143.513017595</v>
      </c>
      <c r="AB183" s="2">
        <v>0</v>
      </c>
    </row>
    <row r="184" spans="1:28">
      <c r="A184" s="2">
        <v>181</v>
      </c>
      <c r="B184" s="2" t="s">
        <v>817</v>
      </c>
      <c r="C184" s="2" t="s">
        <v>2527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42701366.103406399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42701366.103406399</v>
      </c>
      <c r="Y184" s="6" t="s">
        <v>1195</v>
      </c>
      <c r="Z184" s="6" t="s">
        <v>1195</v>
      </c>
      <c r="AA184" s="2">
        <f>AA183</f>
        <v>42879143.513017595</v>
      </c>
      <c r="AB184" s="2">
        <v>0</v>
      </c>
    </row>
    <row r="185" spans="1:28">
      <c r="A185" s="2">
        <v>182</v>
      </c>
      <c r="B185" s="2" t="s">
        <v>820</v>
      </c>
      <c r="C185" s="2" t="s">
        <v>2527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1155</v>
      </c>
      <c r="J185" s="2" t="s">
        <v>1643</v>
      </c>
      <c r="K185" s="2">
        <f t="shared" si="21"/>
        <v>42701366.103406399</v>
      </c>
      <c r="L185" s="2" t="s">
        <v>2474</v>
      </c>
      <c r="M185" s="2" t="s">
        <v>2512</v>
      </c>
      <c r="N185" s="2" t="s">
        <v>2050</v>
      </c>
      <c r="O185" s="2">
        <v>350</v>
      </c>
      <c r="P185" s="2">
        <v>1092.289916992188</v>
      </c>
      <c r="Q185" s="2">
        <v>1145.08203125</v>
      </c>
      <c r="R185" s="2">
        <f>O185*P185</f>
        <v>382301.4709472658</v>
      </c>
      <c r="S185" s="2">
        <f>O185*Q185</f>
        <v>400778.7109375</v>
      </c>
      <c r="T185" s="2">
        <f>R185+S185</f>
        <v>783080.18188476586</v>
      </c>
      <c r="U185" s="2">
        <f>ROUND(T185*0.0005, 2)</f>
        <v>391.54</v>
      </c>
      <c r="V185" s="2">
        <f>S185-R185</f>
        <v>18477.2399902342</v>
      </c>
      <c r="W185" s="2">
        <f>V185-U185</f>
        <v>18085.6999902342</v>
      </c>
      <c r="X185" s="2">
        <f>K185+W185</f>
        <v>42719451.803396635</v>
      </c>
      <c r="Y185" s="2">
        <f>ROUND(0.2*R185, 2)</f>
        <v>76460.289999999994</v>
      </c>
      <c r="Z185" s="2">
        <f>ROUND((W185/Y185)*100, 2)</f>
        <v>23.65</v>
      </c>
      <c r="AA185" s="2">
        <f>MAX(AA184, X185)</f>
        <v>42879143.513017595</v>
      </c>
      <c r="AB185" s="2">
        <f>X185-AA185</f>
        <v>-159691.70962096006</v>
      </c>
    </row>
    <row r="186" spans="1:28">
      <c r="A186" s="2">
        <v>183</v>
      </c>
      <c r="B186" s="2" t="s">
        <v>823</v>
      </c>
      <c r="C186" s="2" t="s">
        <v>2527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42719451.803396635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42719451.803396635</v>
      </c>
      <c r="Y186" s="6" t="s">
        <v>1195</v>
      </c>
      <c r="Z186" s="6" t="s">
        <v>1195</v>
      </c>
      <c r="AA186" s="2">
        <f>AA185</f>
        <v>42879143.513017595</v>
      </c>
      <c r="AB186" s="2">
        <v>0</v>
      </c>
    </row>
    <row r="187" spans="1:28">
      <c r="A187" s="2">
        <v>184</v>
      </c>
      <c r="B187" s="2" t="s">
        <v>827</v>
      </c>
      <c r="C187" s="2" t="s">
        <v>2527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42719451.803396635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42719451.803396635</v>
      </c>
      <c r="Y187" s="6" t="s">
        <v>1195</v>
      </c>
      <c r="Z187" s="6" t="s">
        <v>1195</v>
      </c>
      <c r="AA187" s="2">
        <f>AA186</f>
        <v>42879143.513017595</v>
      </c>
      <c r="AB187" s="2">
        <v>0</v>
      </c>
    </row>
    <row r="188" spans="1:28">
      <c r="A188" s="2">
        <v>185</v>
      </c>
      <c r="B188" s="2" t="s">
        <v>831</v>
      </c>
      <c r="C188" s="2" t="s">
        <v>2527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42719451.803396635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42719451.803396635</v>
      </c>
      <c r="Y188" s="6" t="s">
        <v>1195</v>
      </c>
      <c r="Z188" s="6" t="s">
        <v>1195</v>
      </c>
      <c r="AA188" s="2">
        <f>AA187</f>
        <v>42879143.513017595</v>
      </c>
      <c r="AB188" s="2">
        <v>0</v>
      </c>
    </row>
    <row r="189" spans="1:28">
      <c r="A189" s="2">
        <v>186</v>
      </c>
      <c r="B189" s="2" t="s">
        <v>835</v>
      </c>
      <c r="C189" s="2" t="s">
        <v>2527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2519</v>
      </c>
      <c r="J189" s="2" t="s">
        <v>1439</v>
      </c>
      <c r="K189" s="2">
        <f t="shared" si="21"/>
        <v>42719451.803396635</v>
      </c>
      <c r="L189" s="2" t="s">
        <v>1987</v>
      </c>
      <c r="M189" s="2" t="s">
        <v>2068</v>
      </c>
      <c r="N189" s="2" t="s">
        <v>2067</v>
      </c>
      <c r="O189" s="2">
        <v>450</v>
      </c>
      <c r="P189" s="2">
        <v>901.37243652343761</v>
      </c>
      <c r="Q189" s="2">
        <v>871.116455078125</v>
      </c>
      <c r="R189" s="2">
        <f>O189*P189</f>
        <v>405617.59643554693</v>
      </c>
      <c r="S189" s="2">
        <f>O189*Q189</f>
        <v>392002.40478515625</v>
      </c>
      <c r="T189" s="2">
        <f>R189+S189</f>
        <v>797620.00122070313</v>
      </c>
      <c r="U189" s="2">
        <f>ROUND(T189*0.0005, 2)</f>
        <v>398.81</v>
      </c>
      <c r="V189" s="2">
        <f>S189-R189</f>
        <v>-13615.191650390683</v>
      </c>
      <c r="W189" s="2">
        <f>V189-U189</f>
        <v>-14014.001650390683</v>
      </c>
      <c r="X189" s="2">
        <f>K189+W189</f>
        <v>42705437.801746242</v>
      </c>
      <c r="Y189" s="2">
        <f>ROUND(0.2*R189, 2)</f>
        <v>81123.520000000004</v>
      </c>
      <c r="Z189" s="2">
        <f>ROUND((W189/Y189)*100, 2)</f>
        <v>-17.27</v>
      </c>
      <c r="AA189" s="2">
        <f>MAX(AA188, X189)</f>
        <v>42879143.513017595</v>
      </c>
      <c r="AB189" s="2">
        <f>X189-AA189</f>
        <v>-173705.71127135307</v>
      </c>
    </row>
    <row r="190" spans="1:28">
      <c r="A190" s="2">
        <v>187</v>
      </c>
      <c r="B190" s="2" t="s">
        <v>840</v>
      </c>
      <c r="C190" s="2" t="s">
        <v>2527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42705437.801746242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42705437.801746242</v>
      </c>
      <c r="Y190" s="6" t="s">
        <v>1195</v>
      </c>
      <c r="Z190" s="6" t="s">
        <v>1195</v>
      </c>
      <c r="AA190" s="2">
        <f>AA189</f>
        <v>42879143.513017595</v>
      </c>
      <c r="AB190" s="2">
        <v>0</v>
      </c>
    </row>
    <row r="191" spans="1:28">
      <c r="A191" s="2">
        <v>188</v>
      </c>
      <c r="B191" s="2" t="s">
        <v>845</v>
      </c>
      <c r="C191" s="2" t="s">
        <v>2527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42705437.801746242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42705437.801746242</v>
      </c>
      <c r="Y191" s="6" t="s">
        <v>1195</v>
      </c>
      <c r="Z191" s="6" t="s">
        <v>1195</v>
      </c>
      <c r="AA191" s="2">
        <f>AA190</f>
        <v>42879143.513017595</v>
      </c>
      <c r="AB191" s="2">
        <v>0</v>
      </c>
    </row>
    <row r="192" spans="1:28">
      <c r="A192" s="2">
        <v>189</v>
      </c>
      <c r="B192" s="2" t="s">
        <v>848</v>
      </c>
      <c r="C192" s="2" t="s">
        <v>2527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42705437.801746242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42705437.801746242</v>
      </c>
      <c r="Y192" s="6" t="s">
        <v>1195</v>
      </c>
      <c r="Z192" s="6" t="s">
        <v>1195</v>
      </c>
      <c r="AA192" s="2">
        <f>AA191</f>
        <v>42879143.513017595</v>
      </c>
      <c r="AB192" s="2">
        <v>0</v>
      </c>
    </row>
    <row r="193" spans="1:28">
      <c r="A193" s="2">
        <v>190</v>
      </c>
      <c r="B193" s="2" t="s">
        <v>851</v>
      </c>
      <c r="C193" s="2" t="s">
        <v>2527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987</v>
      </c>
      <c r="J193" s="2" t="s">
        <v>2520</v>
      </c>
      <c r="K193" s="2">
        <f t="shared" si="21"/>
        <v>42705437.801746242</v>
      </c>
      <c r="L193" s="2" t="s">
        <v>2464</v>
      </c>
      <c r="M193" s="2" t="s">
        <v>2512</v>
      </c>
      <c r="N193" s="2" t="s">
        <v>2050</v>
      </c>
      <c r="O193" s="2">
        <v>5500</v>
      </c>
      <c r="P193" s="2">
        <v>111.7350387573242</v>
      </c>
      <c r="Q193" s="2">
        <v>115.5361785888672</v>
      </c>
      <c r="R193" s="2">
        <f>O193*P193</f>
        <v>614542.71316528309</v>
      </c>
      <c r="S193" s="2">
        <f>O193*Q193</f>
        <v>635448.98223876965</v>
      </c>
      <c r="T193" s="2">
        <f>R193+S193</f>
        <v>1249991.6954040527</v>
      </c>
      <c r="U193" s="2">
        <f>ROUND(T193*0.0005, 2)</f>
        <v>625</v>
      </c>
      <c r="V193" s="2">
        <f>S193-R193</f>
        <v>20906.269073486561</v>
      </c>
      <c r="W193" s="2">
        <f>V193-U193</f>
        <v>20281.269073486561</v>
      </c>
      <c r="X193" s="2">
        <f>K193+W193</f>
        <v>42725719.070819728</v>
      </c>
      <c r="Y193" s="2">
        <f>ROUND(0.2*R193, 2)</f>
        <v>122908.54</v>
      </c>
      <c r="Z193" s="2">
        <f>ROUND((W193/Y193)*100, 2)</f>
        <v>16.5</v>
      </c>
      <c r="AA193" s="2">
        <f>MAX(AA192, X193)</f>
        <v>42879143.513017595</v>
      </c>
      <c r="AB193" s="2">
        <f>X193-AA193</f>
        <v>-153424.44219786674</v>
      </c>
    </row>
    <row r="194" spans="1:28">
      <c r="A194" s="2">
        <v>191</v>
      </c>
      <c r="B194" s="2" t="s">
        <v>854</v>
      </c>
      <c r="C194" s="2" t="s">
        <v>2527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1997</v>
      </c>
      <c r="J194" s="2" t="s">
        <v>1781</v>
      </c>
      <c r="K194" s="2">
        <f t="shared" si="21"/>
        <v>42725719.070819728</v>
      </c>
      <c r="L194" s="2" t="s">
        <v>2500</v>
      </c>
      <c r="M194" s="2" t="s">
        <v>2059</v>
      </c>
      <c r="N194" s="2" t="s">
        <v>2057</v>
      </c>
      <c r="O194" s="2">
        <v>175</v>
      </c>
      <c r="P194" s="2">
        <v>3272.656005859375</v>
      </c>
      <c r="Q194" s="2">
        <v>3318.984619140625</v>
      </c>
      <c r="R194" s="2">
        <f>O194*P194</f>
        <v>572714.80102539062</v>
      </c>
      <c r="S194" s="2">
        <f>O194*Q194</f>
        <v>580822.30834960938</v>
      </c>
      <c r="T194" s="2">
        <f>R194+S194</f>
        <v>1153537.109375</v>
      </c>
      <c r="U194" s="2">
        <f>ROUND(T194*0.0005, 2)</f>
        <v>576.77</v>
      </c>
      <c r="V194" s="2">
        <f>S194-R194</f>
        <v>8107.50732421875</v>
      </c>
      <c r="W194" s="2">
        <f>V194-U194</f>
        <v>7530.7373242187496</v>
      </c>
      <c r="X194" s="2">
        <f>K194+W194</f>
        <v>42733249.808143944</v>
      </c>
      <c r="Y194" s="2">
        <f>ROUND(0.2*R194, 2)</f>
        <v>114542.96</v>
      </c>
      <c r="Z194" s="2">
        <f>ROUND((W194/Y194)*100, 2)</f>
        <v>6.57</v>
      </c>
      <c r="AA194" s="2">
        <f>MAX(AA193, X194)</f>
        <v>42879143.513017595</v>
      </c>
      <c r="AB194" s="2">
        <f>X194-AA194</f>
        <v>-145893.70487365127</v>
      </c>
    </row>
    <row r="195" spans="1:28">
      <c r="A195" s="2">
        <v>192</v>
      </c>
      <c r="B195" s="2" t="s">
        <v>860</v>
      </c>
      <c r="C195" s="2" t="s">
        <v>2527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716</v>
      </c>
      <c r="J195" s="2" t="s">
        <v>1086</v>
      </c>
      <c r="K195" s="2">
        <f t="shared" si="21"/>
        <v>42733249.808143944</v>
      </c>
      <c r="L195" s="2" t="s">
        <v>2063</v>
      </c>
      <c r="M195" s="2" t="s">
        <v>1826</v>
      </c>
      <c r="N195" s="2" t="s">
        <v>2075</v>
      </c>
      <c r="O195" s="2">
        <v>600</v>
      </c>
      <c r="P195" s="2">
        <v>1028.216430664062</v>
      </c>
      <c r="Q195" s="2">
        <v>1041.552490234375</v>
      </c>
      <c r="R195" s="2">
        <f>O195*P195</f>
        <v>616929.85839843727</v>
      </c>
      <c r="S195" s="2">
        <f>O195*Q195</f>
        <v>624931.494140625</v>
      </c>
      <c r="T195" s="2">
        <f>R195+S195</f>
        <v>1241861.3525390623</v>
      </c>
      <c r="U195" s="2">
        <f>ROUND(T195*0.0005, 2)</f>
        <v>620.92999999999995</v>
      </c>
      <c r="V195" s="2">
        <f>S195-R195</f>
        <v>8001.6357421877328</v>
      </c>
      <c r="W195" s="2">
        <f>V195-U195</f>
        <v>7380.7057421877325</v>
      </c>
      <c r="X195" s="2">
        <f>K195+W195</f>
        <v>42740630.513886131</v>
      </c>
      <c r="Y195" s="2">
        <f>ROUND(0.2*R195, 2)</f>
        <v>123385.97</v>
      </c>
      <c r="Z195" s="2">
        <f>ROUND((W195/Y195)*100, 2)</f>
        <v>5.98</v>
      </c>
      <c r="AA195" s="2">
        <f>MAX(AA194, X195)</f>
        <v>42879143.513017595</v>
      </c>
      <c r="AB195" s="2">
        <f>X195-AA195</f>
        <v>-138512.99913146347</v>
      </c>
    </row>
    <row r="196" spans="1:28">
      <c r="A196" s="2">
        <v>193</v>
      </c>
      <c r="B196" s="2" t="s">
        <v>865</v>
      </c>
      <c r="C196" s="2" t="s">
        <v>2527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42740630.513886131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42740630.513886131</v>
      </c>
      <c r="Y196" s="6" t="s">
        <v>1195</v>
      </c>
      <c r="Z196" s="6" t="s">
        <v>1195</v>
      </c>
      <c r="AA196" s="2">
        <f>AA195</f>
        <v>42879143.513017595</v>
      </c>
      <c r="AB196" s="2">
        <v>0</v>
      </c>
    </row>
    <row r="197" spans="1:28">
      <c r="A197" s="2">
        <v>194</v>
      </c>
      <c r="B197" s="2" t="s">
        <v>868</v>
      </c>
      <c r="C197" s="2" t="s">
        <v>2527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579</v>
      </c>
      <c r="J197" s="2" t="s">
        <v>2521</v>
      </c>
      <c r="K197" s="2">
        <f t="shared" ref="K197:K214" si="26">X196</f>
        <v>42740630.513886131</v>
      </c>
      <c r="L197" s="2" t="s">
        <v>2120</v>
      </c>
      <c r="M197" s="2" t="s">
        <v>2159</v>
      </c>
      <c r="N197" s="2" t="s">
        <v>2120</v>
      </c>
      <c r="O197" s="2">
        <v>175</v>
      </c>
      <c r="P197" s="2">
        <v>2877</v>
      </c>
      <c r="Q197" s="2">
        <v>2874.523681640625</v>
      </c>
      <c r="R197" s="2">
        <f>O197*P197</f>
        <v>503475</v>
      </c>
      <c r="S197" s="2">
        <f>O197*Q197</f>
        <v>503041.64428710938</v>
      </c>
      <c r="T197" s="2">
        <f>R197+S197</f>
        <v>1006516.6442871094</v>
      </c>
      <c r="U197" s="2">
        <f>ROUND(T197*0.0005, 2)</f>
        <v>503.26</v>
      </c>
      <c r="V197" s="2">
        <f>S197-R197</f>
        <v>-433.355712890625</v>
      </c>
      <c r="W197" s="2">
        <f>V197-U197</f>
        <v>-936.61571289062499</v>
      </c>
      <c r="X197" s="2">
        <f>K197+W197</f>
        <v>42739693.898173243</v>
      </c>
      <c r="Y197" s="2">
        <f>ROUND(0.2*R197, 2)</f>
        <v>100695</v>
      </c>
      <c r="Z197" s="2">
        <f>ROUND((W197/Y197)*100, 2)</f>
        <v>-0.93</v>
      </c>
      <c r="AA197" s="2">
        <f>MAX(AA196, X197)</f>
        <v>42879143.513017595</v>
      </c>
      <c r="AB197" s="2">
        <f>X197-AA197</f>
        <v>-139449.61484435201</v>
      </c>
    </row>
    <row r="198" spans="1:28">
      <c r="A198" s="2">
        <v>195</v>
      </c>
      <c r="B198" s="2" t="s">
        <v>873</v>
      </c>
      <c r="C198" s="2" t="s">
        <v>2527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6" t="s">
        <v>1195</v>
      </c>
      <c r="I198" s="6" t="s">
        <v>1195</v>
      </c>
      <c r="J198" s="6" t="s">
        <v>1195</v>
      </c>
      <c r="K198" s="2">
        <f t="shared" si="26"/>
        <v>42739693.898173243</v>
      </c>
      <c r="L198" s="6" t="s">
        <v>1195</v>
      </c>
      <c r="M198" s="6" t="s">
        <v>1195</v>
      </c>
      <c r="N198" s="6" t="s">
        <v>1195</v>
      </c>
      <c r="O198" s="2">
        <v>3054</v>
      </c>
      <c r="P198" s="6" t="s">
        <v>1195</v>
      </c>
      <c r="Q198" s="6" t="s">
        <v>1195</v>
      </c>
      <c r="R198" s="6" t="s">
        <v>1195</v>
      </c>
      <c r="S198" s="6" t="s">
        <v>1195</v>
      </c>
      <c r="T198" s="6" t="s">
        <v>1195</v>
      </c>
      <c r="U198" s="6" t="s">
        <v>1195</v>
      </c>
      <c r="V198" s="6" t="s">
        <v>1195</v>
      </c>
      <c r="W198" s="6" t="s">
        <v>1195</v>
      </c>
      <c r="X198" s="2">
        <f>K198</f>
        <v>42739693.898173243</v>
      </c>
      <c r="Y198" s="6" t="s">
        <v>1195</v>
      </c>
      <c r="Z198" s="6" t="s">
        <v>1195</v>
      </c>
      <c r="AA198" s="2">
        <f>AA197</f>
        <v>42879143.513017595</v>
      </c>
      <c r="AB198" s="2">
        <v>0</v>
      </c>
    </row>
    <row r="199" spans="1:28">
      <c r="A199" s="2">
        <v>196</v>
      </c>
      <c r="B199" s="2" t="s">
        <v>878</v>
      </c>
      <c r="C199" s="2" t="s">
        <v>2527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6"/>
        <v>42739693.898173243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42739693.898173243</v>
      </c>
      <c r="Y199" s="6" t="s">
        <v>1195</v>
      </c>
      <c r="Z199" s="6" t="s">
        <v>1195</v>
      </c>
      <c r="AA199" s="2">
        <f>AA198</f>
        <v>42879143.513017595</v>
      </c>
      <c r="AB199" s="2">
        <v>0</v>
      </c>
    </row>
    <row r="200" spans="1:28">
      <c r="A200" s="2">
        <v>197</v>
      </c>
      <c r="B200" s="2" t="s">
        <v>881</v>
      </c>
      <c r="C200" s="2" t="s">
        <v>2527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2522</v>
      </c>
      <c r="J200" s="2" t="s">
        <v>2523</v>
      </c>
      <c r="K200" s="2">
        <f t="shared" si="26"/>
        <v>42739693.898173243</v>
      </c>
      <c r="L200" s="2" t="s">
        <v>1827</v>
      </c>
      <c r="M200" s="2" t="s">
        <v>2480</v>
      </c>
      <c r="N200" s="2" t="s">
        <v>2068</v>
      </c>
      <c r="O200" s="2">
        <v>345</v>
      </c>
      <c r="P200" s="2">
        <v>2227.599365234375</v>
      </c>
      <c r="Q200" s="2">
        <v>2546.746826171875</v>
      </c>
      <c r="R200" s="2">
        <f>O200*P200</f>
        <v>768521.78100585938</v>
      </c>
      <c r="S200" s="2">
        <f>O200*Q200</f>
        <v>878627.65502929687</v>
      </c>
      <c r="T200" s="2">
        <f>R200+S200</f>
        <v>1647149.4360351562</v>
      </c>
      <c r="U200" s="2">
        <f>ROUND(T200*0.0005, 2)</f>
        <v>823.57</v>
      </c>
      <c r="V200" s="2">
        <f>S200-R200</f>
        <v>110105.8740234375</v>
      </c>
      <c r="W200" s="2">
        <f>V200-U200</f>
        <v>109282.30402343749</v>
      </c>
      <c r="X200" s="2">
        <f>K200+W200</f>
        <v>42848976.20219668</v>
      </c>
      <c r="Y200" s="2">
        <f>ROUND(0.2*R200, 2)</f>
        <v>153704.35999999999</v>
      </c>
      <c r="Z200" s="2">
        <f>ROUND((W200/Y200)*100, 2)</f>
        <v>71.099999999999994</v>
      </c>
      <c r="AA200" s="2">
        <f>MAX(AA199, X200)</f>
        <v>42879143.513017595</v>
      </c>
      <c r="AB200" s="2">
        <f>X200-AA200</f>
        <v>-30167.310820914805</v>
      </c>
    </row>
    <row r="201" spans="1:28">
      <c r="A201" s="2">
        <v>198</v>
      </c>
      <c r="B201" s="2" t="s">
        <v>886</v>
      </c>
      <c r="C201" s="2" t="s">
        <v>2527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6"/>
        <v>42848976.20219668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42848976.20219668</v>
      </c>
      <c r="Y201" s="6" t="s">
        <v>1195</v>
      </c>
      <c r="Z201" s="6" t="s">
        <v>1195</v>
      </c>
      <c r="AA201" s="2">
        <f>AA200</f>
        <v>42879143.513017595</v>
      </c>
      <c r="AB201" s="2">
        <v>0</v>
      </c>
    </row>
    <row r="202" spans="1:28">
      <c r="A202" s="2">
        <v>199</v>
      </c>
      <c r="B202" s="2" t="s">
        <v>890</v>
      </c>
      <c r="C202" s="2" t="s">
        <v>2527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432</v>
      </c>
      <c r="J202" s="2" t="s">
        <v>1166</v>
      </c>
      <c r="K202" s="2">
        <f t="shared" si="26"/>
        <v>42848976.20219668</v>
      </c>
      <c r="L202" s="2" t="s">
        <v>1787</v>
      </c>
      <c r="M202" s="2" t="s">
        <v>1585</v>
      </c>
      <c r="N202" s="2" t="s">
        <v>1823</v>
      </c>
      <c r="O202" s="2">
        <v>100</v>
      </c>
      <c r="P202" s="2">
        <v>10149.1484375</v>
      </c>
      <c r="Q202" s="2">
        <v>9689.208984375</v>
      </c>
      <c r="R202" s="2">
        <f>O202*P202</f>
        <v>1014914.84375</v>
      </c>
      <c r="S202" s="2">
        <f>O202*Q202</f>
        <v>968920.8984375</v>
      </c>
      <c r="T202" s="2">
        <f>R202+S202</f>
        <v>1983835.7421875</v>
      </c>
      <c r="U202" s="2">
        <f>ROUND(T202*0.0005, 2)</f>
        <v>991.92</v>
      </c>
      <c r="V202" s="2">
        <f>S202-R202</f>
        <v>-45993.9453125</v>
      </c>
      <c r="W202" s="2">
        <f>V202-U202</f>
        <v>-46985.865312499998</v>
      </c>
      <c r="X202" s="2">
        <f>K202+W202</f>
        <v>42801990.336884178</v>
      </c>
      <c r="Y202" s="2">
        <f>ROUND(0.2*R202, 2)</f>
        <v>202982.97</v>
      </c>
      <c r="Z202" s="2">
        <f>ROUND((W202/Y202)*100, 2)</f>
        <v>-23.15</v>
      </c>
      <c r="AA202" s="2">
        <f>MAX(AA201, X202)</f>
        <v>42879143.513017595</v>
      </c>
      <c r="AB202" s="2">
        <f>X202-AA202</f>
        <v>-77153.176133416593</v>
      </c>
    </row>
    <row r="203" spans="1:28">
      <c r="A203" s="2">
        <v>200</v>
      </c>
      <c r="B203" s="2" t="s">
        <v>894</v>
      </c>
      <c r="C203" s="2" t="s">
        <v>2527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6"/>
        <v>42801990.336884178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7">K203</f>
        <v>42801990.336884178</v>
      </c>
      <c r="Y203" s="6" t="s">
        <v>1195</v>
      </c>
      <c r="Z203" s="6" t="s">
        <v>1195</v>
      </c>
      <c r="AA203" s="2">
        <f t="shared" ref="AA203:AA211" si="28">AA202</f>
        <v>42879143.513017595</v>
      </c>
      <c r="AB203" s="2">
        <v>0</v>
      </c>
    </row>
    <row r="204" spans="1:28">
      <c r="A204" s="2">
        <v>201</v>
      </c>
      <c r="B204" s="2" t="s">
        <v>897</v>
      </c>
      <c r="C204" s="2" t="s">
        <v>2527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6"/>
        <v>42801990.336884178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7"/>
        <v>42801990.336884178</v>
      </c>
      <c r="Y204" s="6" t="s">
        <v>1195</v>
      </c>
      <c r="Z204" s="6" t="s">
        <v>1195</v>
      </c>
      <c r="AA204" s="2">
        <f t="shared" si="28"/>
        <v>42879143.513017595</v>
      </c>
      <c r="AB204" s="2">
        <v>0</v>
      </c>
    </row>
    <row r="205" spans="1:28">
      <c r="A205" s="2">
        <v>202</v>
      </c>
      <c r="B205" s="2" t="s">
        <v>899</v>
      </c>
      <c r="C205" s="2" t="s">
        <v>2527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6"/>
        <v>42801990.336884178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7"/>
        <v>42801990.336884178</v>
      </c>
      <c r="Y205" s="6" t="s">
        <v>1195</v>
      </c>
      <c r="Z205" s="6" t="s">
        <v>1195</v>
      </c>
      <c r="AA205" s="2">
        <f t="shared" si="28"/>
        <v>42879143.513017595</v>
      </c>
      <c r="AB205" s="2">
        <v>0</v>
      </c>
    </row>
    <row r="206" spans="1:28">
      <c r="A206" s="2">
        <v>203</v>
      </c>
      <c r="B206" s="2" t="s">
        <v>902</v>
      </c>
      <c r="C206" s="2" t="s">
        <v>2527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6"/>
        <v>42801990.336884178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7"/>
        <v>42801990.336884178</v>
      </c>
      <c r="Y206" s="6" t="s">
        <v>1195</v>
      </c>
      <c r="Z206" s="6" t="s">
        <v>1195</v>
      </c>
      <c r="AA206" s="2">
        <f t="shared" si="28"/>
        <v>42879143.513017595</v>
      </c>
      <c r="AB206" s="2">
        <v>0</v>
      </c>
    </row>
    <row r="207" spans="1:28">
      <c r="A207" s="2">
        <v>204</v>
      </c>
      <c r="B207" s="2" t="s">
        <v>906</v>
      </c>
      <c r="C207" s="2" t="s">
        <v>2527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6"/>
        <v>42801990.336884178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7"/>
        <v>42801990.336884178</v>
      </c>
      <c r="Y207" s="6" t="s">
        <v>1195</v>
      </c>
      <c r="Z207" s="6" t="s">
        <v>1195</v>
      </c>
      <c r="AA207" s="2">
        <f t="shared" si="28"/>
        <v>42879143.513017595</v>
      </c>
      <c r="AB207" s="2">
        <v>0</v>
      </c>
    </row>
    <row r="208" spans="1:28">
      <c r="A208" s="2">
        <v>205</v>
      </c>
      <c r="B208" s="2" t="s">
        <v>910</v>
      </c>
      <c r="C208" s="2" t="s">
        <v>2527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6"/>
        <v>42801990.336884178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7"/>
        <v>42801990.336884178</v>
      </c>
      <c r="Y208" s="6" t="s">
        <v>1195</v>
      </c>
      <c r="Z208" s="6" t="s">
        <v>1195</v>
      </c>
      <c r="AA208" s="2">
        <f t="shared" si="28"/>
        <v>42879143.513017595</v>
      </c>
      <c r="AB208" s="2">
        <v>0</v>
      </c>
    </row>
    <row r="209" spans="1:28">
      <c r="A209" s="2">
        <v>206</v>
      </c>
      <c r="B209" s="2" t="s">
        <v>913</v>
      </c>
      <c r="C209" s="2" t="s">
        <v>2527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6"/>
        <v>42801990.336884178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7"/>
        <v>42801990.336884178</v>
      </c>
      <c r="Y209" s="6" t="s">
        <v>1195</v>
      </c>
      <c r="Z209" s="6" t="s">
        <v>1195</v>
      </c>
      <c r="AA209" s="2">
        <f t="shared" si="28"/>
        <v>42879143.513017595</v>
      </c>
      <c r="AB209" s="2">
        <v>0</v>
      </c>
    </row>
    <row r="210" spans="1:28">
      <c r="A210" s="2">
        <v>207</v>
      </c>
      <c r="B210" s="2" t="s">
        <v>915</v>
      </c>
      <c r="C210" s="2" t="s">
        <v>2527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6"/>
        <v>42801990.336884178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7"/>
        <v>42801990.336884178</v>
      </c>
      <c r="Y210" s="6" t="s">
        <v>1195</v>
      </c>
      <c r="Z210" s="6" t="s">
        <v>1195</v>
      </c>
      <c r="AA210" s="2">
        <f t="shared" si="28"/>
        <v>42879143.513017595</v>
      </c>
      <c r="AB210" s="2">
        <v>0</v>
      </c>
    </row>
    <row r="211" spans="1:28">
      <c r="A211" s="2">
        <v>208</v>
      </c>
      <c r="B211" s="2" t="s">
        <v>918</v>
      </c>
      <c r="C211" s="2" t="s">
        <v>2527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6"/>
        <v>42801990.336884178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7"/>
        <v>42801990.336884178</v>
      </c>
      <c r="Y211" s="6" t="s">
        <v>1195</v>
      </c>
      <c r="Z211" s="6" t="s">
        <v>1195</v>
      </c>
      <c r="AA211" s="2">
        <f t="shared" si="28"/>
        <v>42879143.513017595</v>
      </c>
      <c r="AB211" s="2">
        <v>0</v>
      </c>
    </row>
    <row r="212" spans="1:28">
      <c r="A212" s="2">
        <v>209</v>
      </c>
      <c r="B212" s="2" t="s">
        <v>922</v>
      </c>
      <c r="C212" s="2" t="s">
        <v>2527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2524</v>
      </c>
      <c r="J212" s="2" t="s">
        <v>2525</v>
      </c>
      <c r="K212" s="2">
        <f t="shared" si="26"/>
        <v>42801990.336884178</v>
      </c>
      <c r="L212" s="2" t="s">
        <v>2463</v>
      </c>
      <c r="M212" s="2" t="s">
        <v>2075</v>
      </c>
      <c r="N212" s="2" t="s">
        <v>2465</v>
      </c>
      <c r="O212" s="2">
        <v>1500</v>
      </c>
      <c r="P212" s="2">
        <v>195.07887268066409</v>
      </c>
      <c r="Q212" s="2">
        <v>176.9085998535156</v>
      </c>
      <c r="R212" s="2">
        <f>O212*P212</f>
        <v>292618.30902099615</v>
      </c>
      <c r="S212" s="2">
        <f>O212*Q212</f>
        <v>265362.89978027338</v>
      </c>
      <c r="T212" s="2">
        <f>R212+S212</f>
        <v>557981.20880126953</v>
      </c>
      <c r="U212" s="2">
        <f>ROUND(T212*0.0005, 2)</f>
        <v>278.99</v>
      </c>
      <c r="V212" s="2">
        <f>S212-R212</f>
        <v>-27255.409240722773</v>
      </c>
      <c r="W212" s="2">
        <f>V212-U212</f>
        <v>-27534.399240722774</v>
      </c>
      <c r="X212" s="2">
        <f>K212+W212</f>
        <v>42774455.937643453</v>
      </c>
      <c r="Y212" s="2">
        <f>ROUND(0.2*R212, 2)</f>
        <v>58523.66</v>
      </c>
      <c r="Z212" s="2">
        <f>ROUND((W212/Y212)*100, 2)</f>
        <v>-47.05</v>
      </c>
      <c r="AA212" s="2">
        <f>MAX(AA211, X212)</f>
        <v>42879143.513017595</v>
      </c>
      <c r="AB212" s="2">
        <f>X212-AA212</f>
        <v>-104687.57537414134</v>
      </c>
    </row>
    <row r="213" spans="1:28">
      <c r="A213" s="2">
        <v>210</v>
      </c>
      <c r="B213" s="2" t="s">
        <v>925</v>
      </c>
      <c r="C213" s="2" t="s">
        <v>2527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6"/>
        <v>42774455.937643453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42774455.937643453</v>
      </c>
      <c r="Y213" s="6" t="s">
        <v>1195</v>
      </c>
      <c r="Z213" s="6" t="s">
        <v>1195</v>
      </c>
      <c r="AA213" s="2">
        <f>AA212</f>
        <v>42879143.513017595</v>
      </c>
      <c r="AB213" s="2">
        <v>0</v>
      </c>
    </row>
    <row r="214" spans="1:28">
      <c r="A214" s="2">
        <v>211</v>
      </c>
      <c r="B214" s="2" t="s">
        <v>928</v>
      </c>
      <c r="C214" s="2" t="s">
        <v>2527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6"/>
        <v>42774455.937643453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42774455.937643453</v>
      </c>
      <c r="Y214" s="6" t="s">
        <v>1195</v>
      </c>
      <c r="Z214" s="6" t="s">
        <v>1195</v>
      </c>
      <c r="AA214" s="2">
        <f>AA213</f>
        <v>42879143.513017595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214"/>
  <sheetViews>
    <sheetView workbookViewId="0"/>
  </sheetViews>
  <sheetFormatPr defaultRowHeight="15"/>
  <sheetData>
    <row r="1" spans="1:29" ht="35.1" customHeight="1">
      <c r="A1" s="9" t="s">
        <v>2563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3" spans="1:29" ht="27.9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</row>
    <row r="4" spans="1:29">
      <c r="A4" s="2">
        <v>1</v>
      </c>
      <c r="B4" s="2" t="s">
        <v>35</v>
      </c>
      <c r="C4" s="2" t="s">
        <v>2564</v>
      </c>
      <c r="D4" s="3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2565</v>
      </c>
      <c r="J4" s="2" t="s">
        <v>2566</v>
      </c>
      <c r="K4" s="2">
        <v>42511150.109999999</v>
      </c>
      <c r="L4" s="2" t="s">
        <v>2567</v>
      </c>
      <c r="M4" s="2" t="s">
        <v>2449</v>
      </c>
      <c r="N4" s="2" t="s">
        <v>2393</v>
      </c>
      <c r="O4" s="2">
        <v>874</v>
      </c>
      <c r="P4" s="2">
        <v>1073.576049804688</v>
      </c>
      <c r="Q4" s="2">
        <v>1172.891357421875</v>
      </c>
      <c r="R4" s="2">
        <f t="shared" ref="R4:R17" si="0">O4*P4</f>
        <v>938305.46752929722</v>
      </c>
      <c r="S4" s="2">
        <f t="shared" ref="S4:S17" si="1">O4*Q4</f>
        <v>1025107.0463867188</v>
      </c>
      <c r="T4" s="2">
        <f t="shared" ref="T4:T17" si="2">R4+S4</f>
        <v>1963412.5139160161</v>
      </c>
      <c r="U4" s="2">
        <f t="shared" ref="U4:U17" si="3">ROUND(T4*0.0005, 2)</f>
        <v>981.71</v>
      </c>
      <c r="V4" s="2">
        <f t="shared" ref="V4:V17" si="4">S4-R4</f>
        <v>86801.578857421526</v>
      </c>
      <c r="W4" s="2">
        <f t="shared" ref="W4:W17" si="5">V4-U4</f>
        <v>85819.868857421519</v>
      </c>
      <c r="X4" s="2">
        <f t="shared" ref="X4:X17" si="6">K4+W4</f>
        <v>42596969.97885742</v>
      </c>
      <c r="Y4" s="2">
        <f t="shared" ref="Y4:Y17" si="7">ROUND(0.2*R4, 2)</f>
        <v>187661.09</v>
      </c>
      <c r="Z4" s="2">
        <f t="shared" ref="Z4:Z17" si="8">ROUND((W4/Y4)*100, 2)</f>
        <v>45.73</v>
      </c>
      <c r="AA4" s="2">
        <f>MAX(42511150.11, X4)</f>
        <v>42596969.97885742</v>
      </c>
      <c r="AB4" s="2">
        <f t="shared" ref="AB4:AB17" si="9">X4-AA4</f>
        <v>0</v>
      </c>
    </row>
    <row r="5" spans="1:29">
      <c r="A5" s="2">
        <v>2</v>
      </c>
      <c r="B5" s="2" t="s">
        <v>46</v>
      </c>
      <c r="C5" s="2" t="s">
        <v>2564</v>
      </c>
      <c r="D5" s="3" t="s">
        <v>37</v>
      </c>
      <c r="E5" s="3" t="s">
        <v>38</v>
      </c>
      <c r="F5" s="2" t="s">
        <v>47</v>
      </c>
      <c r="G5" s="2" t="s">
        <v>40</v>
      </c>
      <c r="H5" s="2" t="s">
        <v>48</v>
      </c>
      <c r="I5" s="2" t="s">
        <v>1958</v>
      </c>
      <c r="J5" s="2" t="s">
        <v>2568</v>
      </c>
      <c r="K5" s="2">
        <f t="shared" ref="K5:K68" si="10">X4</f>
        <v>42596969.97885742</v>
      </c>
      <c r="L5" s="2" t="s">
        <v>2385</v>
      </c>
      <c r="M5" s="2" t="s">
        <v>2569</v>
      </c>
      <c r="N5" s="2" t="s">
        <v>2570</v>
      </c>
      <c r="O5" s="2">
        <v>137</v>
      </c>
      <c r="P5" s="2">
        <v>5664.95263671875</v>
      </c>
      <c r="Q5" s="2">
        <v>5001.5439453125</v>
      </c>
      <c r="R5" s="2">
        <f t="shared" si="0"/>
        <v>776098.51123046875</v>
      </c>
      <c r="S5" s="2">
        <f t="shared" si="1"/>
        <v>685211.5205078125</v>
      </c>
      <c r="T5" s="2">
        <f t="shared" si="2"/>
        <v>1461310.0317382813</v>
      </c>
      <c r="U5" s="2">
        <f t="shared" si="3"/>
        <v>730.66</v>
      </c>
      <c r="V5" s="2">
        <f t="shared" si="4"/>
        <v>-90886.99072265625</v>
      </c>
      <c r="W5" s="2">
        <f t="shared" si="5"/>
        <v>-91617.650722656253</v>
      </c>
      <c r="X5" s="2">
        <f t="shared" si="6"/>
        <v>42505352.328134768</v>
      </c>
      <c r="Y5" s="2">
        <f t="shared" si="7"/>
        <v>155219.70000000001</v>
      </c>
      <c r="Z5" s="2">
        <f t="shared" si="8"/>
        <v>-59.02</v>
      </c>
      <c r="AA5" s="2">
        <f t="shared" ref="AA5:AA17" si="11">MAX(AA4, X5)</f>
        <v>42596969.97885742</v>
      </c>
      <c r="AB5" s="2">
        <f t="shared" si="9"/>
        <v>-91617.650722652674</v>
      </c>
    </row>
    <row r="6" spans="1:29">
      <c r="A6" s="2">
        <v>3</v>
      </c>
      <c r="B6" s="2" t="s">
        <v>52</v>
      </c>
      <c r="C6" s="2" t="s">
        <v>2564</v>
      </c>
      <c r="D6" s="3" t="s">
        <v>37</v>
      </c>
      <c r="E6" s="3" t="s">
        <v>38</v>
      </c>
      <c r="F6" s="2" t="s">
        <v>53</v>
      </c>
      <c r="G6" s="2" t="s">
        <v>54</v>
      </c>
      <c r="H6" s="2" t="s">
        <v>55</v>
      </c>
      <c r="I6" s="2" t="s">
        <v>270</v>
      </c>
      <c r="J6" s="2" t="s">
        <v>2036</v>
      </c>
      <c r="K6" s="2">
        <f t="shared" si="10"/>
        <v>42505352.328134768</v>
      </c>
      <c r="L6" s="2" t="s">
        <v>1395</v>
      </c>
      <c r="M6" s="2" t="s">
        <v>1934</v>
      </c>
      <c r="N6" s="2" t="s">
        <v>2053</v>
      </c>
      <c r="O6" s="2">
        <v>2537</v>
      </c>
      <c r="P6" s="2">
        <v>339.79998779296881</v>
      </c>
      <c r="Q6" s="2">
        <v>353.75</v>
      </c>
      <c r="R6" s="2">
        <f t="shared" si="0"/>
        <v>862072.56903076184</v>
      </c>
      <c r="S6" s="2">
        <f t="shared" si="1"/>
        <v>897463.75</v>
      </c>
      <c r="T6" s="2">
        <f t="shared" si="2"/>
        <v>1759536.3190307617</v>
      </c>
      <c r="U6" s="2">
        <f t="shared" si="3"/>
        <v>879.77</v>
      </c>
      <c r="V6" s="2">
        <f t="shared" si="4"/>
        <v>35391.180969238165</v>
      </c>
      <c r="W6" s="2">
        <f t="shared" si="5"/>
        <v>34511.410969238168</v>
      </c>
      <c r="X6" s="2">
        <f t="shared" si="6"/>
        <v>42539863.739104003</v>
      </c>
      <c r="Y6" s="2">
        <f t="shared" si="7"/>
        <v>172414.51</v>
      </c>
      <c r="Z6" s="2">
        <f t="shared" si="8"/>
        <v>20.02</v>
      </c>
      <c r="AA6" s="2">
        <f t="shared" si="11"/>
        <v>42596969.97885742</v>
      </c>
      <c r="AB6" s="2">
        <f t="shared" si="9"/>
        <v>-57106.239753417671</v>
      </c>
    </row>
    <row r="7" spans="1:29">
      <c r="A7" s="2">
        <v>4</v>
      </c>
      <c r="B7" s="2" t="s">
        <v>60</v>
      </c>
      <c r="C7" s="2" t="s">
        <v>2564</v>
      </c>
      <c r="D7" s="4" t="s">
        <v>61</v>
      </c>
      <c r="E7" s="3" t="s">
        <v>38</v>
      </c>
      <c r="F7" s="2" t="s">
        <v>62</v>
      </c>
      <c r="G7" s="2" t="s">
        <v>63</v>
      </c>
      <c r="H7" s="2" t="s">
        <v>64</v>
      </c>
      <c r="I7" s="2" t="s">
        <v>2571</v>
      </c>
      <c r="J7" s="2" t="s">
        <v>1315</v>
      </c>
      <c r="K7" s="2">
        <f t="shared" si="10"/>
        <v>42539863.739104003</v>
      </c>
      <c r="L7" s="2" t="s">
        <v>2572</v>
      </c>
      <c r="M7" s="2" t="s">
        <v>2573</v>
      </c>
      <c r="N7" s="2" t="s">
        <v>2572</v>
      </c>
      <c r="O7" s="2">
        <v>602</v>
      </c>
      <c r="P7" s="2">
        <v>999.59997558593761</v>
      </c>
      <c r="Q7" s="2">
        <v>974.59997558593761</v>
      </c>
      <c r="R7" s="2">
        <f t="shared" si="0"/>
        <v>601759.18530273449</v>
      </c>
      <c r="S7" s="2">
        <f t="shared" si="1"/>
        <v>586709.18530273449</v>
      </c>
      <c r="T7" s="2">
        <f t="shared" si="2"/>
        <v>1188468.370605469</v>
      </c>
      <c r="U7" s="2">
        <f t="shared" si="3"/>
        <v>594.23</v>
      </c>
      <c r="V7" s="2">
        <f t="shared" si="4"/>
        <v>-15050</v>
      </c>
      <c r="W7" s="2">
        <f t="shared" si="5"/>
        <v>-15644.23</v>
      </c>
      <c r="X7" s="2">
        <f t="shared" si="6"/>
        <v>42524219.509104006</v>
      </c>
      <c r="Y7" s="2">
        <f t="shared" si="7"/>
        <v>120351.84</v>
      </c>
      <c r="Z7" s="2">
        <f t="shared" si="8"/>
        <v>-13</v>
      </c>
      <c r="AA7" s="2">
        <f t="shared" si="11"/>
        <v>42596969.97885742</v>
      </c>
      <c r="AB7" s="2">
        <f t="shared" si="9"/>
        <v>-72750.469753414392</v>
      </c>
    </row>
    <row r="8" spans="1:29">
      <c r="A8" s="2">
        <v>5</v>
      </c>
      <c r="B8" s="2" t="s">
        <v>68</v>
      </c>
      <c r="C8" s="2" t="s">
        <v>2564</v>
      </c>
      <c r="D8" s="3" t="s">
        <v>37</v>
      </c>
      <c r="E8" s="3" t="s">
        <v>38</v>
      </c>
      <c r="F8" s="2" t="s">
        <v>69</v>
      </c>
      <c r="G8" s="2" t="s">
        <v>63</v>
      </c>
      <c r="H8" s="2" t="s">
        <v>70</v>
      </c>
      <c r="I8" s="2" t="s">
        <v>430</v>
      </c>
      <c r="J8" s="2" t="s">
        <v>458</v>
      </c>
      <c r="K8" s="2">
        <f t="shared" si="10"/>
        <v>42524219.509104006</v>
      </c>
      <c r="L8" s="2" t="s">
        <v>2120</v>
      </c>
      <c r="M8" s="2" t="s">
        <v>2159</v>
      </c>
      <c r="N8" s="2" t="s">
        <v>2574</v>
      </c>
      <c r="O8" s="2">
        <v>300</v>
      </c>
      <c r="P8" s="2">
        <v>2529.22509765625</v>
      </c>
      <c r="Q8" s="2">
        <v>2547.10107421875</v>
      </c>
      <c r="R8" s="2">
        <f t="shared" si="0"/>
        <v>758767.529296875</v>
      </c>
      <c r="S8" s="2">
        <f t="shared" si="1"/>
        <v>764130.322265625</v>
      </c>
      <c r="T8" s="2">
        <f t="shared" si="2"/>
        <v>1522897.8515625</v>
      </c>
      <c r="U8" s="2">
        <f t="shared" si="3"/>
        <v>761.45</v>
      </c>
      <c r="V8" s="2">
        <f t="shared" si="4"/>
        <v>5362.79296875</v>
      </c>
      <c r="W8" s="2">
        <f t="shared" si="5"/>
        <v>4601.3429687500002</v>
      </c>
      <c r="X8" s="2">
        <f t="shared" si="6"/>
        <v>42528820.852072753</v>
      </c>
      <c r="Y8" s="2">
        <f t="shared" si="7"/>
        <v>151753.51</v>
      </c>
      <c r="Z8" s="2">
        <f t="shared" si="8"/>
        <v>3.03</v>
      </c>
      <c r="AA8" s="2">
        <f t="shared" si="11"/>
        <v>42596969.97885742</v>
      </c>
      <c r="AB8" s="2">
        <f t="shared" si="9"/>
        <v>-68149.126784667373</v>
      </c>
    </row>
    <row r="9" spans="1:29">
      <c r="A9" s="2">
        <v>6</v>
      </c>
      <c r="B9" s="2" t="s">
        <v>75</v>
      </c>
      <c r="C9" s="2" t="s">
        <v>2564</v>
      </c>
      <c r="D9" s="3" t="s">
        <v>37</v>
      </c>
      <c r="E9" s="3" t="s">
        <v>38</v>
      </c>
      <c r="F9" s="2" t="s">
        <v>76</v>
      </c>
      <c r="G9" s="2" t="s">
        <v>77</v>
      </c>
      <c r="H9" s="2" t="s">
        <v>78</v>
      </c>
      <c r="I9" s="2" t="s">
        <v>1762</v>
      </c>
      <c r="J9" s="2" t="s">
        <v>2396</v>
      </c>
      <c r="K9" s="2">
        <f t="shared" si="10"/>
        <v>42528820.852072753</v>
      </c>
      <c r="L9" s="2" t="s">
        <v>2265</v>
      </c>
      <c r="M9" s="2" t="s">
        <v>2575</v>
      </c>
      <c r="N9" s="2" t="s">
        <v>2576</v>
      </c>
      <c r="O9" s="2">
        <v>500</v>
      </c>
      <c r="P9" s="2">
        <v>966.59997558593761</v>
      </c>
      <c r="Q9" s="2">
        <v>921.15002441406239</v>
      </c>
      <c r="R9" s="2">
        <f t="shared" si="0"/>
        <v>483299.98779296881</v>
      </c>
      <c r="S9" s="2">
        <f t="shared" si="1"/>
        <v>460575.01220703119</v>
      </c>
      <c r="T9" s="2">
        <f t="shared" si="2"/>
        <v>943875</v>
      </c>
      <c r="U9" s="2">
        <f t="shared" si="3"/>
        <v>471.94</v>
      </c>
      <c r="V9" s="2">
        <f t="shared" si="4"/>
        <v>-22724.975585937616</v>
      </c>
      <c r="W9" s="2">
        <f t="shared" si="5"/>
        <v>-23196.915585937615</v>
      </c>
      <c r="X9" s="2">
        <f t="shared" si="6"/>
        <v>42505623.936486818</v>
      </c>
      <c r="Y9" s="2">
        <f t="shared" si="7"/>
        <v>96660</v>
      </c>
      <c r="Z9" s="2">
        <f t="shared" si="8"/>
        <v>-24</v>
      </c>
      <c r="AA9" s="2">
        <f t="shared" si="11"/>
        <v>42596969.97885742</v>
      </c>
      <c r="AB9" s="2">
        <f t="shared" si="9"/>
        <v>-91346.042370602489</v>
      </c>
    </row>
    <row r="10" spans="1:29">
      <c r="A10" s="2">
        <v>7</v>
      </c>
      <c r="B10" s="2" t="s">
        <v>82</v>
      </c>
      <c r="C10" s="2" t="s">
        <v>2564</v>
      </c>
      <c r="D10" s="3" t="s">
        <v>37</v>
      </c>
      <c r="E10" s="3" t="s">
        <v>38</v>
      </c>
      <c r="F10" s="2" t="s">
        <v>83</v>
      </c>
      <c r="G10" s="2" t="s">
        <v>40</v>
      </c>
      <c r="H10" s="2" t="s">
        <v>84</v>
      </c>
      <c r="I10" s="2" t="s">
        <v>2577</v>
      </c>
      <c r="J10" s="2" t="s">
        <v>1309</v>
      </c>
      <c r="K10" s="2">
        <f t="shared" si="10"/>
        <v>42505623.936486818</v>
      </c>
      <c r="L10" s="2" t="s">
        <v>2578</v>
      </c>
      <c r="M10" s="2" t="s">
        <v>2579</v>
      </c>
      <c r="N10" s="2" t="s">
        <v>2158</v>
      </c>
      <c r="O10" s="2">
        <v>625</v>
      </c>
      <c r="P10" s="2">
        <v>767.54217529296875</v>
      </c>
      <c r="Q10" s="2">
        <v>765.81536865234375</v>
      </c>
      <c r="R10" s="2">
        <f t="shared" si="0"/>
        <v>479713.85955810547</v>
      </c>
      <c r="S10" s="2">
        <f t="shared" si="1"/>
        <v>478634.60540771484</v>
      </c>
      <c r="T10" s="2">
        <f t="shared" si="2"/>
        <v>958348.46496582031</v>
      </c>
      <c r="U10" s="2">
        <f t="shared" si="3"/>
        <v>479.17</v>
      </c>
      <c r="V10" s="2">
        <f t="shared" si="4"/>
        <v>-1079.254150390625</v>
      </c>
      <c r="W10" s="2">
        <f t="shared" si="5"/>
        <v>-1558.4241503906251</v>
      </c>
      <c r="X10" s="2">
        <f t="shared" si="6"/>
        <v>42504065.512336425</v>
      </c>
      <c r="Y10" s="2">
        <f t="shared" si="7"/>
        <v>95942.77</v>
      </c>
      <c r="Z10" s="2">
        <f t="shared" si="8"/>
        <v>-1.62</v>
      </c>
      <c r="AA10" s="2">
        <f t="shared" si="11"/>
        <v>42596969.97885742</v>
      </c>
      <c r="AB10" s="2">
        <f t="shared" si="9"/>
        <v>-92904.466520994902</v>
      </c>
    </row>
    <row r="11" spans="1:29">
      <c r="A11" s="2">
        <v>8</v>
      </c>
      <c r="B11" s="2" t="s">
        <v>90</v>
      </c>
      <c r="C11" s="2" t="s">
        <v>2564</v>
      </c>
      <c r="D11" s="4" t="s">
        <v>61</v>
      </c>
      <c r="E11" s="3" t="s">
        <v>38</v>
      </c>
      <c r="F11" s="2" t="s">
        <v>91</v>
      </c>
      <c r="G11" s="2" t="s">
        <v>77</v>
      </c>
      <c r="H11" s="2" t="s">
        <v>92</v>
      </c>
      <c r="I11" s="2" t="s">
        <v>2580</v>
      </c>
      <c r="J11" s="2" t="s">
        <v>273</v>
      </c>
      <c r="K11" s="2">
        <f t="shared" si="10"/>
        <v>42504065.512336425</v>
      </c>
      <c r="L11" s="2" t="s">
        <v>2581</v>
      </c>
      <c r="M11" s="2" t="s">
        <v>2582</v>
      </c>
      <c r="N11" s="2" t="s">
        <v>2401</v>
      </c>
      <c r="O11" s="2">
        <v>4785</v>
      </c>
      <c r="P11" s="2">
        <v>145.44000244140619</v>
      </c>
      <c r="Q11" s="2">
        <v>149.55000305175781</v>
      </c>
      <c r="R11" s="2">
        <f t="shared" si="0"/>
        <v>695930.41168212867</v>
      </c>
      <c r="S11" s="2">
        <f t="shared" si="1"/>
        <v>715596.76460266113</v>
      </c>
      <c r="T11" s="2">
        <f t="shared" si="2"/>
        <v>1411527.1762847898</v>
      </c>
      <c r="U11" s="2">
        <f t="shared" si="3"/>
        <v>705.76</v>
      </c>
      <c r="V11" s="2">
        <f t="shared" si="4"/>
        <v>19666.352920532459</v>
      </c>
      <c r="W11" s="2">
        <f t="shared" si="5"/>
        <v>18960.592920532461</v>
      </c>
      <c r="X11" s="2">
        <f t="shared" si="6"/>
        <v>42523026.10525696</v>
      </c>
      <c r="Y11" s="2">
        <f t="shared" si="7"/>
        <v>139186.07999999999</v>
      </c>
      <c r="Z11" s="2">
        <f t="shared" si="8"/>
        <v>13.62</v>
      </c>
      <c r="AA11" s="2">
        <f t="shared" si="11"/>
        <v>42596969.97885742</v>
      </c>
      <c r="AB11" s="2">
        <f t="shared" si="9"/>
        <v>-73943.873600460589</v>
      </c>
    </row>
    <row r="12" spans="1:29">
      <c r="A12" s="2">
        <v>9</v>
      </c>
      <c r="B12" s="2" t="s">
        <v>95</v>
      </c>
      <c r="C12" s="2" t="s">
        <v>2564</v>
      </c>
      <c r="D12" s="3" t="s">
        <v>37</v>
      </c>
      <c r="E12" s="3" t="s">
        <v>38</v>
      </c>
      <c r="F12" s="2" t="s">
        <v>96</v>
      </c>
      <c r="G12" s="2" t="s">
        <v>97</v>
      </c>
      <c r="H12" s="2" t="s">
        <v>98</v>
      </c>
      <c r="I12" s="2" t="s">
        <v>1402</v>
      </c>
      <c r="J12" s="2" t="s">
        <v>2583</v>
      </c>
      <c r="K12" s="2">
        <f t="shared" si="10"/>
        <v>42523026.10525696</v>
      </c>
      <c r="L12" s="2" t="s">
        <v>2440</v>
      </c>
      <c r="M12" s="2" t="s">
        <v>2584</v>
      </c>
      <c r="N12" s="2" t="s">
        <v>1667</v>
      </c>
      <c r="O12" s="2">
        <v>171</v>
      </c>
      <c r="P12" s="2">
        <v>5721.376953125</v>
      </c>
      <c r="Q12" s="2">
        <v>5677.23291015625</v>
      </c>
      <c r="R12" s="2">
        <f t="shared" si="0"/>
        <v>978355.458984375</v>
      </c>
      <c r="S12" s="2">
        <f t="shared" si="1"/>
        <v>970806.82763671875</v>
      </c>
      <c r="T12" s="2">
        <f t="shared" si="2"/>
        <v>1949162.2866210938</v>
      </c>
      <c r="U12" s="2">
        <f t="shared" si="3"/>
        <v>974.58</v>
      </c>
      <c r="V12" s="2">
        <f t="shared" si="4"/>
        <v>-7548.63134765625</v>
      </c>
      <c r="W12" s="2">
        <f t="shared" si="5"/>
        <v>-8523.2113476562499</v>
      </c>
      <c r="X12" s="2">
        <f t="shared" si="6"/>
        <v>42514502.893909305</v>
      </c>
      <c r="Y12" s="2">
        <f t="shared" si="7"/>
        <v>195671.09</v>
      </c>
      <c r="Z12" s="2">
        <f t="shared" si="8"/>
        <v>-4.3600000000000003</v>
      </c>
      <c r="AA12" s="2">
        <f t="shared" si="11"/>
        <v>42596969.97885742</v>
      </c>
      <c r="AB12" s="2">
        <f t="shared" si="9"/>
        <v>-82467.084948115051</v>
      </c>
    </row>
    <row r="13" spans="1:29">
      <c r="A13" s="2">
        <v>10</v>
      </c>
      <c r="B13" s="2" t="s">
        <v>102</v>
      </c>
      <c r="C13" s="2" t="s">
        <v>2564</v>
      </c>
      <c r="D13" s="4" t="s">
        <v>61</v>
      </c>
      <c r="E13" s="3" t="s">
        <v>38</v>
      </c>
      <c r="F13" s="2" t="s">
        <v>39</v>
      </c>
      <c r="G13" s="2" t="s">
        <v>103</v>
      </c>
      <c r="H13" s="2" t="s">
        <v>104</v>
      </c>
      <c r="I13" s="2" t="s">
        <v>2585</v>
      </c>
      <c r="J13" s="2" t="s">
        <v>952</v>
      </c>
      <c r="K13" s="2">
        <f t="shared" si="10"/>
        <v>42514502.893909305</v>
      </c>
      <c r="L13" s="2" t="s">
        <v>2281</v>
      </c>
      <c r="M13" s="2" t="s">
        <v>2536</v>
      </c>
      <c r="N13" s="2" t="s">
        <v>1461</v>
      </c>
      <c r="O13" s="2">
        <v>135</v>
      </c>
      <c r="P13" s="2">
        <v>7359</v>
      </c>
      <c r="Q13" s="2">
        <v>8539.5</v>
      </c>
      <c r="R13" s="2">
        <f t="shared" si="0"/>
        <v>993465</v>
      </c>
      <c r="S13" s="2">
        <f t="shared" si="1"/>
        <v>1152832.5</v>
      </c>
      <c r="T13" s="2">
        <f t="shared" si="2"/>
        <v>2146297.5</v>
      </c>
      <c r="U13" s="2">
        <f t="shared" si="3"/>
        <v>1073.1500000000001</v>
      </c>
      <c r="V13" s="2">
        <f t="shared" si="4"/>
        <v>159367.5</v>
      </c>
      <c r="W13" s="2">
        <f t="shared" si="5"/>
        <v>158294.35</v>
      </c>
      <c r="X13" s="2">
        <f t="shared" si="6"/>
        <v>42672797.243909307</v>
      </c>
      <c r="Y13" s="2">
        <f t="shared" si="7"/>
        <v>198693</v>
      </c>
      <c r="Z13" s="2">
        <f t="shared" si="8"/>
        <v>79.67</v>
      </c>
      <c r="AA13" s="2">
        <f t="shared" si="11"/>
        <v>42672797.243909307</v>
      </c>
      <c r="AB13" s="2">
        <f t="shared" si="9"/>
        <v>0</v>
      </c>
    </row>
    <row r="14" spans="1:29">
      <c r="A14" s="2">
        <v>11</v>
      </c>
      <c r="B14" s="2" t="s">
        <v>108</v>
      </c>
      <c r="C14" s="2" t="s">
        <v>2564</v>
      </c>
      <c r="D14" s="4" t="s">
        <v>61</v>
      </c>
      <c r="E14" s="3" t="s">
        <v>38</v>
      </c>
      <c r="F14" s="2" t="s">
        <v>109</v>
      </c>
      <c r="G14" s="2" t="s">
        <v>40</v>
      </c>
      <c r="H14" s="2" t="s">
        <v>110</v>
      </c>
      <c r="I14" s="2" t="s">
        <v>2586</v>
      </c>
      <c r="J14" s="2" t="s">
        <v>2587</v>
      </c>
      <c r="K14" s="2">
        <f t="shared" si="10"/>
        <v>42672797.243909307</v>
      </c>
      <c r="L14" s="2" t="s">
        <v>2588</v>
      </c>
      <c r="M14" s="2" t="s">
        <v>2276</v>
      </c>
      <c r="N14" s="2" t="s">
        <v>2284</v>
      </c>
      <c r="O14" s="2">
        <v>2303</v>
      </c>
      <c r="P14" s="2">
        <v>560.77423095703125</v>
      </c>
      <c r="Q14" s="2">
        <v>536.99200439453125</v>
      </c>
      <c r="R14" s="2">
        <f t="shared" si="0"/>
        <v>1291463.053894043</v>
      </c>
      <c r="S14" s="2">
        <f t="shared" si="1"/>
        <v>1236692.5861206055</v>
      </c>
      <c r="T14" s="2">
        <f t="shared" si="2"/>
        <v>2528155.6400146484</v>
      </c>
      <c r="U14" s="2">
        <f t="shared" si="3"/>
        <v>1264.08</v>
      </c>
      <c r="V14" s="2">
        <f t="shared" si="4"/>
        <v>-54770.4677734375</v>
      </c>
      <c r="W14" s="2">
        <f t="shared" si="5"/>
        <v>-56034.547773437502</v>
      </c>
      <c r="X14" s="2">
        <f t="shared" si="6"/>
        <v>42616762.696135871</v>
      </c>
      <c r="Y14" s="2">
        <f t="shared" si="7"/>
        <v>258292.61</v>
      </c>
      <c r="Z14" s="2">
        <f t="shared" si="8"/>
        <v>-21.69</v>
      </c>
      <c r="AA14" s="2">
        <f t="shared" si="11"/>
        <v>42672797.243909307</v>
      </c>
      <c r="AB14" s="2">
        <f t="shared" si="9"/>
        <v>-56034.547773435712</v>
      </c>
    </row>
    <row r="15" spans="1:29">
      <c r="A15" s="2">
        <v>12</v>
      </c>
      <c r="B15" s="2" t="s">
        <v>113</v>
      </c>
      <c r="C15" s="2" t="s">
        <v>2564</v>
      </c>
      <c r="D15" s="3" t="s">
        <v>37</v>
      </c>
      <c r="E15" s="3" t="s">
        <v>38</v>
      </c>
      <c r="F15" s="2" t="s">
        <v>114</v>
      </c>
      <c r="G15" s="2" t="s">
        <v>54</v>
      </c>
      <c r="H15" s="2" t="s">
        <v>115</v>
      </c>
      <c r="I15" s="2" t="s">
        <v>588</v>
      </c>
      <c r="J15" s="2" t="s">
        <v>775</v>
      </c>
      <c r="K15" s="2">
        <f t="shared" si="10"/>
        <v>42616762.696135871</v>
      </c>
      <c r="L15" s="2" t="s">
        <v>1634</v>
      </c>
      <c r="M15" s="2" t="s">
        <v>2103</v>
      </c>
      <c r="N15" s="2" t="s">
        <v>2277</v>
      </c>
      <c r="O15" s="2">
        <v>3428</v>
      </c>
      <c r="P15" s="2">
        <v>239.31040954589841</v>
      </c>
      <c r="Q15" s="2">
        <v>254.015869140625</v>
      </c>
      <c r="R15" s="2">
        <f t="shared" si="0"/>
        <v>820356.08392333973</v>
      </c>
      <c r="S15" s="2">
        <f t="shared" si="1"/>
        <v>870766.3994140625</v>
      </c>
      <c r="T15" s="2">
        <f t="shared" si="2"/>
        <v>1691122.4833374023</v>
      </c>
      <c r="U15" s="2">
        <f t="shared" si="3"/>
        <v>845.56</v>
      </c>
      <c r="V15" s="2">
        <f t="shared" si="4"/>
        <v>50410.315490722773</v>
      </c>
      <c r="W15" s="2">
        <f t="shared" si="5"/>
        <v>49564.755490722775</v>
      </c>
      <c r="X15" s="2">
        <f t="shared" si="6"/>
        <v>42666327.451626591</v>
      </c>
      <c r="Y15" s="2">
        <f t="shared" si="7"/>
        <v>164071.22</v>
      </c>
      <c r="Z15" s="2">
        <f t="shared" si="8"/>
        <v>30.21</v>
      </c>
      <c r="AA15" s="2">
        <f t="shared" si="11"/>
        <v>42672797.243909307</v>
      </c>
      <c r="AB15" s="2">
        <f t="shared" si="9"/>
        <v>-6469.7922827154398</v>
      </c>
    </row>
    <row r="16" spans="1:29">
      <c r="A16" s="2">
        <v>13</v>
      </c>
      <c r="B16" s="2" t="s">
        <v>120</v>
      </c>
      <c r="C16" s="2" t="s">
        <v>2564</v>
      </c>
      <c r="D16" s="3" t="s">
        <v>37</v>
      </c>
      <c r="E16" s="3" t="s">
        <v>38</v>
      </c>
      <c r="F16" s="2" t="s">
        <v>121</v>
      </c>
      <c r="G16" s="2" t="s">
        <v>77</v>
      </c>
      <c r="H16" s="2" t="s">
        <v>122</v>
      </c>
      <c r="I16" s="2" t="s">
        <v>1305</v>
      </c>
      <c r="J16" s="2" t="s">
        <v>2537</v>
      </c>
      <c r="K16" s="2">
        <f t="shared" si="10"/>
        <v>42666327.451626591</v>
      </c>
      <c r="L16" s="2" t="s">
        <v>2538</v>
      </c>
      <c r="M16" s="2" t="s">
        <v>2539</v>
      </c>
      <c r="N16" s="2" t="s">
        <v>2540</v>
      </c>
      <c r="O16" s="2">
        <v>528</v>
      </c>
      <c r="P16" s="2">
        <v>1612.67138671875</v>
      </c>
      <c r="Q16" s="2">
        <v>1649.941284179688</v>
      </c>
      <c r="R16" s="2">
        <f t="shared" si="0"/>
        <v>851490.4921875</v>
      </c>
      <c r="S16" s="2">
        <f t="shared" si="1"/>
        <v>871168.99804687523</v>
      </c>
      <c r="T16" s="2">
        <f t="shared" si="2"/>
        <v>1722659.4902343752</v>
      </c>
      <c r="U16" s="2">
        <f t="shared" si="3"/>
        <v>861.33</v>
      </c>
      <c r="V16" s="2">
        <f t="shared" si="4"/>
        <v>19678.505859375233</v>
      </c>
      <c r="W16" s="2">
        <f t="shared" si="5"/>
        <v>18817.175859375231</v>
      </c>
      <c r="X16" s="2">
        <f t="shared" si="6"/>
        <v>42685144.627485968</v>
      </c>
      <c r="Y16" s="2">
        <f t="shared" si="7"/>
        <v>170298.1</v>
      </c>
      <c r="Z16" s="2">
        <f t="shared" si="8"/>
        <v>11.05</v>
      </c>
      <c r="AA16" s="2">
        <f t="shared" si="11"/>
        <v>42685144.627485968</v>
      </c>
      <c r="AB16" s="2">
        <f t="shared" si="9"/>
        <v>0</v>
      </c>
    </row>
    <row r="17" spans="1:28">
      <c r="A17" s="2">
        <v>14</v>
      </c>
      <c r="B17" s="2" t="s">
        <v>126</v>
      </c>
      <c r="C17" s="2" t="s">
        <v>2564</v>
      </c>
      <c r="D17" s="3" t="s">
        <v>37</v>
      </c>
      <c r="E17" s="3" t="s">
        <v>38</v>
      </c>
      <c r="F17" s="2" t="s">
        <v>53</v>
      </c>
      <c r="G17" s="2" t="s">
        <v>127</v>
      </c>
      <c r="H17" s="2" t="s">
        <v>128</v>
      </c>
      <c r="I17" s="2" t="s">
        <v>1399</v>
      </c>
      <c r="J17" s="2" t="s">
        <v>2589</v>
      </c>
      <c r="K17" s="2">
        <f t="shared" si="10"/>
        <v>42685144.627485968</v>
      </c>
      <c r="L17" s="2" t="s">
        <v>2590</v>
      </c>
      <c r="M17" s="2" t="s">
        <v>2591</v>
      </c>
      <c r="N17" s="2" t="s">
        <v>2592</v>
      </c>
      <c r="O17" s="2">
        <v>125</v>
      </c>
      <c r="P17" s="2">
        <v>4881.82177734375</v>
      </c>
      <c r="Q17" s="2">
        <v>4817.1455078125</v>
      </c>
      <c r="R17" s="2">
        <f t="shared" si="0"/>
        <v>610227.72216796875</v>
      </c>
      <c r="S17" s="2">
        <f t="shared" si="1"/>
        <v>602143.1884765625</v>
      </c>
      <c r="T17" s="2">
        <f t="shared" si="2"/>
        <v>1212370.9106445313</v>
      </c>
      <c r="U17" s="2">
        <f t="shared" si="3"/>
        <v>606.19000000000005</v>
      </c>
      <c r="V17" s="2">
        <f t="shared" si="4"/>
        <v>-8084.53369140625</v>
      </c>
      <c r="W17" s="2">
        <f t="shared" si="5"/>
        <v>-8690.7236914062505</v>
      </c>
      <c r="X17" s="2">
        <f t="shared" si="6"/>
        <v>42676453.903794564</v>
      </c>
      <c r="Y17" s="2">
        <f t="shared" si="7"/>
        <v>122045.54</v>
      </c>
      <c r="Z17" s="2">
        <f t="shared" si="8"/>
        <v>-7.12</v>
      </c>
      <c r="AA17" s="2">
        <f t="shared" si="11"/>
        <v>42685144.627485968</v>
      </c>
      <c r="AB17" s="2">
        <f t="shared" si="9"/>
        <v>-8690.7236914038658</v>
      </c>
    </row>
    <row r="18" spans="1:28">
      <c r="A18" s="2">
        <v>15</v>
      </c>
      <c r="B18" s="2" t="s">
        <v>133</v>
      </c>
      <c r="C18" s="2" t="s">
        <v>2564</v>
      </c>
      <c r="D18" s="3" t="s">
        <v>37</v>
      </c>
      <c r="E18" s="5" t="s">
        <v>134</v>
      </c>
      <c r="F18" s="2" t="s">
        <v>135</v>
      </c>
      <c r="G18" s="2" t="s">
        <v>63</v>
      </c>
      <c r="H18" s="6" t="s">
        <v>1195</v>
      </c>
      <c r="I18" s="6" t="s">
        <v>1195</v>
      </c>
      <c r="J18" s="6" t="s">
        <v>1195</v>
      </c>
      <c r="K18" s="2">
        <f t="shared" si="10"/>
        <v>42676453.903794564</v>
      </c>
      <c r="L18" s="6" t="s">
        <v>1195</v>
      </c>
      <c r="M18" s="6" t="s">
        <v>1195</v>
      </c>
      <c r="N18" s="6" t="s">
        <v>1195</v>
      </c>
      <c r="O18" s="2">
        <v>5000</v>
      </c>
      <c r="P18" s="6" t="s">
        <v>1195</v>
      </c>
      <c r="Q18" s="6" t="s">
        <v>1195</v>
      </c>
      <c r="R18" s="6" t="s">
        <v>1195</v>
      </c>
      <c r="S18" s="6" t="s">
        <v>1195</v>
      </c>
      <c r="T18" s="6" t="s">
        <v>1195</v>
      </c>
      <c r="U18" s="6" t="s">
        <v>1195</v>
      </c>
      <c r="V18" s="6" t="s">
        <v>1195</v>
      </c>
      <c r="W18" s="6" t="s">
        <v>1195</v>
      </c>
      <c r="X18" s="2">
        <f>K18</f>
        <v>42676453.903794564</v>
      </c>
      <c r="Y18" s="6" t="s">
        <v>1195</v>
      </c>
      <c r="Z18" s="6" t="s">
        <v>1195</v>
      </c>
      <c r="AA18" s="2">
        <f>AA17</f>
        <v>42685144.627485968</v>
      </c>
      <c r="AB18" s="2">
        <v>0</v>
      </c>
    </row>
    <row r="19" spans="1:28">
      <c r="A19" s="2">
        <v>16</v>
      </c>
      <c r="B19" s="2" t="s">
        <v>141</v>
      </c>
      <c r="C19" s="2" t="s">
        <v>2564</v>
      </c>
      <c r="D19" s="4" t="s">
        <v>61</v>
      </c>
      <c r="E19" s="3" t="s">
        <v>38</v>
      </c>
      <c r="F19" s="2" t="s">
        <v>142</v>
      </c>
      <c r="G19" s="2" t="s">
        <v>143</v>
      </c>
      <c r="H19" s="2" t="s">
        <v>144</v>
      </c>
      <c r="I19" s="2" t="s">
        <v>1513</v>
      </c>
      <c r="J19" s="2" t="s">
        <v>2504</v>
      </c>
      <c r="K19" s="2">
        <f t="shared" si="10"/>
        <v>42676453.903794564</v>
      </c>
      <c r="L19" s="2" t="s">
        <v>2130</v>
      </c>
      <c r="M19" s="2" t="s">
        <v>2131</v>
      </c>
      <c r="N19" s="2" t="s">
        <v>2170</v>
      </c>
      <c r="O19" s="2">
        <v>200</v>
      </c>
      <c r="P19" s="2">
        <v>3261.76025390625</v>
      </c>
      <c r="Q19" s="2">
        <v>3402.36962890625</v>
      </c>
      <c r="R19" s="2">
        <f>O19*P19</f>
        <v>652352.05078125</v>
      </c>
      <c r="S19" s="2">
        <f>O19*Q19</f>
        <v>680473.92578125</v>
      </c>
      <c r="T19" s="2">
        <f>R19+S19</f>
        <v>1332825.9765625</v>
      </c>
      <c r="U19" s="2">
        <f>ROUND(T19*0.0005, 2)</f>
        <v>666.41</v>
      </c>
      <c r="V19" s="2">
        <f>S19-R19</f>
        <v>28121.875</v>
      </c>
      <c r="W19" s="2">
        <f>V19-U19</f>
        <v>27455.465</v>
      </c>
      <c r="X19" s="2">
        <f>K19+W19</f>
        <v>42703909.368794568</v>
      </c>
      <c r="Y19" s="2">
        <f>ROUND(0.2*R19, 2)</f>
        <v>130470.41</v>
      </c>
      <c r="Z19" s="2">
        <f>ROUND((W19/Y19)*100, 2)</f>
        <v>21.04</v>
      </c>
      <c r="AA19" s="2">
        <f>MAX(AA18, X19)</f>
        <v>42703909.368794568</v>
      </c>
      <c r="AB19" s="2">
        <f>X19-AA19</f>
        <v>0</v>
      </c>
    </row>
    <row r="20" spans="1:28">
      <c r="A20" s="2">
        <v>17</v>
      </c>
      <c r="B20" s="2" t="s">
        <v>149</v>
      </c>
      <c r="C20" s="2" t="s">
        <v>2564</v>
      </c>
      <c r="D20" s="3" t="s">
        <v>37</v>
      </c>
      <c r="E20" s="5" t="s">
        <v>134</v>
      </c>
      <c r="F20" s="2" t="s">
        <v>135</v>
      </c>
      <c r="G20" s="2" t="s">
        <v>150</v>
      </c>
      <c r="H20" s="6" t="s">
        <v>1195</v>
      </c>
      <c r="I20" s="6" t="s">
        <v>1195</v>
      </c>
      <c r="J20" s="6" t="s">
        <v>1195</v>
      </c>
      <c r="K20" s="2">
        <f t="shared" si="10"/>
        <v>42703909.368794568</v>
      </c>
      <c r="L20" s="6" t="s">
        <v>1195</v>
      </c>
      <c r="M20" s="6" t="s">
        <v>1195</v>
      </c>
      <c r="N20" s="6" t="s">
        <v>1195</v>
      </c>
      <c r="O20" s="2">
        <v>679</v>
      </c>
      <c r="P20" s="6" t="s">
        <v>1195</v>
      </c>
      <c r="Q20" s="6" t="s">
        <v>1195</v>
      </c>
      <c r="R20" s="6" t="s">
        <v>1195</v>
      </c>
      <c r="S20" s="6" t="s">
        <v>1195</v>
      </c>
      <c r="T20" s="6" t="s">
        <v>1195</v>
      </c>
      <c r="U20" s="6" t="s">
        <v>1195</v>
      </c>
      <c r="V20" s="6" t="s">
        <v>1195</v>
      </c>
      <c r="W20" s="6" t="s">
        <v>1195</v>
      </c>
      <c r="X20" s="2">
        <f>K20</f>
        <v>42703909.368794568</v>
      </c>
      <c r="Y20" s="6" t="s">
        <v>1195</v>
      </c>
      <c r="Z20" s="6" t="s">
        <v>1195</v>
      </c>
      <c r="AA20" s="2">
        <f>AA19</f>
        <v>42703909.368794568</v>
      </c>
      <c r="AB20" s="2">
        <v>0</v>
      </c>
    </row>
    <row r="21" spans="1:28">
      <c r="A21" s="2">
        <v>18</v>
      </c>
      <c r="B21" s="2" t="s">
        <v>154</v>
      </c>
      <c r="C21" s="2" t="s">
        <v>2564</v>
      </c>
      <c r="D21" s="3" t="s">
        <v>37</v>
      </c>
      <c r="E21" s="5" t="s">
        <v>134</v>
      </c>
      <c r="F21" s="2" t="s">
        <v>155</v>
      </c>
      <c r="G21" s="2" t="s">
        <v>127</v>
      </c>
      <c r="H21" s="6" t="s">
        <v>1195</v>
      </c>
      <c r="I21" s="6" t="s">
        <v>1195</v>
      </c>
      <c r="J21" s="6" t="s">
        <v>1195</v>
      </c>
      <c r="K21" s="2">
        <f t="shared" si="10"/>
        <v>42703909.368794568</v>
      </c>
      <c r="L21" s="6" t="s">
        <v>1195</v>
      </c>
      <c r="M21" s="6" t="s">
        <v>1195</v>
      </c>
      <c r="N21" s="6" t="s">
        <v>1195</v>
      </c>
      <c r="O21" s="2">
        <v>668</v>
      </c>
      <c r="P21" s="6" t="s">
        <v>1195</v>
      </c>
      <c r="Q21" s="6" t="s">
        <v>1195</v>
      </c>
      <c r="R21" s="6" t="s">
        <v>1195</v>
      </c>
      <c r="S21" s="6" t="s">
        <v>1195</v>
      </c>
      <c r="T21" s="6" t="s">
        <v>1195</v>
      </c>
      <c r="U21" s="6" t="s">
        <v>1195</v>
      </c>
      <c r="V21" s="6" t="s">
        <v>1195</v>
      </c>
      <c r="W21" s="6" t="s">
        <v>1195</v>
      </c>
      <c r="X21" s="2">
        <f>K21</f>
        <v>42703909.368794568</v>
      </c>
      <c r="Y21" s="6" t="s">
        <v>1195</v>
      </c>
      <c r="Z21" s="6" t="s">
        <v>1195</v>
      </c>
      <c r="AA21" s="2">
        <f>AA20</f>
        <v>42703909.368794568</v>
      </c>
      <c r="AB21" s="2">
        <v>0</v>
      </c>
    </row>
    <row r="22" spans="1:28">
      <c r="A22" s="2">
        <v>19</v>
      </c>
      <c r="B22" s="2" t="s">
        <v>160</v>
      </c>
      <c r="C22" s="2" t="s">
        <v>2564</v>
      </c>
      <c r="D22" s="4" t="s">
        <v>61</v>
      </c>
      <c r="E22" s="5" t="s">
        <v>134</v>
      </c>
      <c r="F22" s="2" t="s">
        <v>135</v>
      </c>
      <c r="G22" s="2" t="s">
        <v>161</v>
      </c>
      <c r="H22" s="6" t="s">
        <v>1195</v>
      </c>
      <c r="I22" s="6" t="s">
        <v>1195</v>
      </c>
      <c r="J22" s="6" t="s">
        <v>1195</v>
      </c>
      <c r="K22" s="2">
        <f t="shared" si="10"/>
        <v>42703909.368794568</v>
      </c>
      <c r="L22" s="6" t="s">
        <v>1195</v>
      </c>
      <c r="M22" s="6" t="s">
        <v>1195</v>
      </c>
      <c r="N22" s="6" t="s">
        <v>1195</v>
      </c>
      <c r="O22" s="2">
        <v>970</v>
      </c>
      <c r="P22" s="6" t="s">
        <v>1195</v>
      </c>
      <c r="Q22" s="6" t="s">
        <v>1195</v>
      </c>
      <c r="R22" s="6" t="s">
        <v>1195</v>
      </c>
      <c r="S22" s="6" t="s">
        <v>1195</v>
      </c>
      <c r="T22" s="6" t="s">
        <v>1195</v>
      </c>
      <c r="U22" s="6" t="s">
        <v>1195</v>
      </c>
      <c r="V22" s="6" t="s">
        <v>1195</v>
      </c>
      <c r="W22" s="6" t="s">
        <v>1195</v>
      </c>
      <c r="X22" s="2">
        <f>K22</f>
        <v>42703909.368794568</v>
      </c>
      <c r="Y22" s="6" t="s">
        <v>1195</v>
      </c>
      <c r="Z22" s="6" t="s">
        <v>1195</v>
      </c>
      <c r="AA22" s="2">
        <f>AA21</f>
        <v>42703909.368794568</v>
      </c>
      <c r="AB22" s="2">
        <v>0</v>
      </c>
    </row>
    <row r="23" spans="1:28">
      <c r="A23" s="2">
        <v>20</v>
      </c>
      <c r="B23" s="2" t="s">
        <v>168</v>
      </c>
      <c r="C23" s="2" t="s">
        <v>2564</v>
      </c>
      <c r="D23" s="3" t="s">
        <v>37</v>
      </c>
      <c r="E23" s="5" t="s">
        <v>134</v>
      </c>
      <c r="F23" s="2" t="s">
        <v>135</v>
      </c>
      <c r="G23" s="2" t="s">
        <v>169</v>
      </c>
      <c r="H23" s="6" t="s">
        <v>1195</v>
      </c>
      <c r="I23" s="6" t="s">
        <v>1195</v>
      </c>
      <c r="J23" s="6" t="s">
        <v>1195</v>
      </c>
      <c r="K23" s="2">
        <f t="shared" si="10"/>
        <v>42703909.368794568</v>
      </c>
      <c r="L23" s="6" t="s">
        <v>1195</v>
      </c>
      <c r="M23" s="6" t="s">
        <v>1195</v>
      </c>
      <c r="N23" s="6" t="s">
        <v>1195</v>
      </c>
      <c r="O23" s="2">
        <v>634</v>
      </c>
      <c r="P23" s="6" t="s">
        <v>1195</v>
      </c>
      <c r="Q23" s="6" t="s">
        <v>1195</v>
      </c>
      <c r="R23" s="6" t="s">
        <v>1195</v>
      </c>
      <c r="S23" s="6" t="s">
        <v>1195</v>
      </c>
      <c r="T23" s="6" t="s">
        <v>1195</v>
      </c>
      <c r="U23" s="6" t="s">
        <v>1195</v>
      </c>
      <c r="V23" s="6" t="s">
        <v>1195</v>
      </c>
      <c r="W23" s="6" t="s">
        <v>1195</v>
      </c>
      <c r="X23" s="2">
        <f>K23</f>
        <v>42703909.368794568</v>
      </c>
      <c r="Y23" s="6" t="s">
        <v>1195</v>
      </c>
      <c r="Z23" s="6" t="s">
        <v>1195</v>
      </c>
      <c r="AA23" s="2">
        <f>AA22</f>
        <v>42703909.368794568</v>
      </c>
      <c r="AB23" s="2">
        <v>0</v>
      </c>
    </row>
    <row r="24" spans="1:28">
      <c r="A24" s="2">
        <v>21</v>
      </c>
      <c r="B24" s="2" t="s">
        <v>175</v>
      </c>
      <c r="C24" s="2" t="s">
        <v>2564</v>
      </c>
      <c r="D24" s="3" t="s">
        <v>37</v>
      </c>
      <c r="E24" s="3" t="s">
        <v>38</v>
      </c>
      <c r="F24" s="2" t="s">
        <v>176</v>
      </c>
      <c r="G24" s="2" t="s">
        <v>177</v>
      </c>
      <c r="H24" s="2" t="s">
        <v>178</v>
      </c>
      <c r="I24" s="2" t="s">
        <v>789</v>
      </c>
      <c r="J24" s="2" t="s">
        <v>1459</v>
      </c>
      <c r="K24" s="2">
        <f t="shared" si="10"/>
        <v>42703909.368794568</v>
      </c>
      <c r="L24" s="2" t="s">
        <v>2169</v>
      </c>
      <c r="M24" s="2" t="s">
        <v>2120</v>
      </c>
      <c r="N24" s="2" t="s">
        <v>2131</v>
      </c>
      <c r="O24" s="2">
        <v>625</v>
      </c>
      <c r="P24" s="2">
        <v>974.46173095703125</v>
      </c>
      <c r="Q24" s="2">
        <v>933.310546875</v>
      </c>
      <c r="R24" s="2">
        <f>O24*P24</f>
        <v>609038.58184814453</v>
      </c>
      <c r="S24" s="2">
        <f>O24*Q24</f>
        <v>583319.091796875</v>
      </c>
      <c r="T24" s="2">
        <f>R24+S24</f>
        <v>1192357.6736450195</v>
      </c>
      <c r="U24" s="2">
        <f>ROUND(T24*0.0005, 2)</f>
        <v>596.17999999999995</v>
      </c>
      <c r="V24" s="2">
        <f>S24-R24</f>
        <v>-25719.490051269531</v>
      </c>
      <c r="W24" s="2">
        <f>V24-U24</f>
        <v>-26315.670051269532</v>
      </c>
      <c r="X24" s="2">
        <f>K24+W24</f>
        <v>42677593.698743299</v>
      </c>
      <c r="Y24" s="2">
        <f>ROUND(0.2*R24, 2)</f>
        <v>121807.72</v>
      </c>
      <c r="Z24" s="2">
        <f>ROUND((W24/Y24)*100, 2)</f>
        <v>-21.6</v>
      </c>
      <c r="AA24" s="2">
        <f>MAX(AA23, X24)</f>
        <v>42703909.368794568</v>
      </c>
      <c r="AB24" s="2">
        <f>X24-AA24</f>
        <v>-26315.670051269233</v>
      </c>
    </row>
    <row r="25" spans="1:28">
      <c r="A25" s="2">
        <v>22</v>
      </c>
      <c r="B25" s="2" t="s">
        <v>184</v>
      </c>
      <c r="C25" s="2" t="s">
        <v>2564</v>
      </c>
      <c r="D25" s="3" t="s">
        <v>37</v>
      </c>
      <c r="E25" s="3" t="s">
        <v>38</v>
      </c>
      <c r="F25" s="2" t="s">
        <v>185</v>
      </c>
      <c r="G25" s="2" t="s">
        <v>143</v>
      </c>
      <c r="H25" s="2" t="s">
        <v>186</v>
      </c>
      <c r="I25" s="2" t="s">
        <v>618</v>
      </c>
      <c r="J25" s="2" t="s">
        <v>2583</v>
      </c>
      <c r="K25" s="2">
        <f t="shared" si="10"/>
        <v>42677593.698743299</v>
      </c>
      <c r="L25" s="2" t="s">
        <v>2130</v>
      </c>
      <c r="M25" s="2" t="s">
        <v>2131</v>
      </c>
      <c r="N25" s="2" t="s">
        <v>2170</v>
      </c>
      <c r="O25" s="2">
        <v>125</v>
      </c>
      <c r="P25" s="2">
        <v>4601.73388671875</v>
      </c>
      <c r="Q25" s="2">
        <v>4627.8251953125</v>
      </c>
      <c r="R25" s="2">
        <f>O25*P25</f>
        <v>575216.73583984375</v>
      </c>
      <c r="S25" s="2">
        <f>O25*Q25</f>
        <v>578478.1494140625</v>
      </c>
      <c r="T25" s="2">
        <f>R25+S25</f>
        <v>1153694.8852539063</v>
      </c>
      <c r="U25" s="2">
        <f>ROUND(T25*0.0005, 2)</f>
        <v>576.85</v>
      </c>
      <c r="V25" s="2">
        <f>S25-R25</f>
        <v>3261.41357421875</v>
      </c>
      <c r="W25" s="2">
        <f>V25-U25</f>
        <v>2684.5635742187501</v>
      </c>
      <c r="X25" s="2">
        <f>K25+W25</f>
        <v>42680278.262317516</v>
      </c>
      <c r="Y25" s="2">
        <f>ROUND(0.2*R25, 2)</f>
        <v>115043.35</v>
      </c>
      <c r="Z25" s="2">
        <f>ROUND((W25/Y25)*100, 2)</f>
        <v>2.33</v>
      </c>
      <c r="AA25" s="2">
        <f>MAX(AA24, X25)</f>
        <v>42703909.368794568</v>
      </c>
      <c r="AB25" s="2">
        <f>X25-AA25</f>
        <v>-23631.106477051973</v>
      </c>
    </row>
    <row r="26" spans="1:28">
      <c r="A26" s="2">
        <v>23</v>
      </c>
      <c r="B26" s="2" t="s">
        <v>190</v>
      </c>
      <c r="C26" s="2" t="s">
        <v>2564</v>
      </c>
      <c r="D26" s="3" t="s">
        <v>37</v>
      </c>
      <c r="E26" s="3" t="s">
        <v>38</v>
      </c>
      <c r="F26" s="2" t="s">
        <v>191</v>
      </c>
      <c r="G26" s="2" t="s">
        <v>63</v>
      </c>
      <c r="H26" s="2" t="s">
        <v>192</v>
      </c>
      <c r="I26" s="2" t="s">
        <v>628</v>
      </c>
      <c r="J26" s="2" t="s">
        <v>263</v>
      </c>
      <c r="K26" s="2">
        <f t="shared" si="10"/>
        <v>42680278.262317516</v>
      </c>
      <c r="L26" s="2" t="s">
        <v>2131</v>
      </c>
      <c r="M26" s="2" t="s">
        <v>2578</v>
      </c>
      <c r="N26" s="2" t="s">
        <v>2131</v>
      </c>
      <c r="O26" s="2">
        <v>500</v>
      </c>
      <c r="P26" s="2">
        <v>1611.371337890625</v>
      </c>
      <c r="Q26" s="2">
        <v>1595.1533203125</v>
      </c>
      <c r="R26" s="2">
        <f>O26*P26</f>
        <v>805685.6689453125</v>
      </c>
      <c r="S26" s="2">
        <f>O26*Q26</f>
        <v>797576.66015625</v>
      </c>
      <c r="T26" s="2">
        <f>R26+S26</f>
        <v>1603262.3291015625</v>
      </c>
      <c r="U26" s="2">
        <f>ROUND(T26*0.0005, 2)</f>
        <v>801.63</v>
      </c>
      <c r="V26" s="2">
        <f>S26-R26</f>
        <v>-8109.0087890625</v>
      </c>
      <c r="W26" s="2">
        <f>V26-U26</f>
        <v>-8910.6387890624992</v>
      </c>
      <c r="X26" s="2">
        <f>K26+W26</f>
        <v>42671367.623528451</v>
      </c>
      <c r="Y26" s="2">
        <f>ROUND(0.2*R26, 2)</f>
        <v>161137.13</v>
      </c>
      <c r="Z26" s="2">
        <f>ROUND((W26/Y26)*100, 2)</f>
        <v>-5.53</v>
      </c>
      <c r="AA26" s="2">
        <f>MAX(AA25, X26)</f>
        <v>42703909.368794568</v>
      </c>
      <c r="AB26" s="2">
        <f>X26-AA26</f>
        <v>-32541.745266117156</v>
      </c>
    </row>
    <row r="27" spans="1:28">
      <c r="A27" s="2">
        <v>24</v>
      </c>
      <c r="B27" s="2" t="s">
        <v>195</v>
      </c>
      <c r="C27" s="2" t="s">
        <v>2564</v>
      </c>
      <c r="D27" s="3" t="s">
        <v>37</v>
      </c>
      <c r="E27" s="5" t="s">
        <v>134</v>
      </c>
      <c r="F27" s="2" t="s">
        <v>135</v>
      </c>
      <c r="G27" s="2" t="s">
        <v>103</v>
      </c>
      <c r="H27" s="6" t="s">
        <v>1195</v>
      </c>
      <c r="I27" s="6" t="s">
        <v>1195</v>
      </c>
      <c r="J27" s="6" t="s">
        <v>1195</v>
      </c>
      <c r="K27" s="2">
        <f t="shared" si="10"/>
        <v>42671367.623528451</v>
      </c>
      <c r="L27" s="6" t="s">
        <v>1195</v>
      </c>
      <c r="M27" s="6" t="s">
        <v>1195</v>
      </c>
      <c r="N27" s="6" t="s">
        <v>1195</v>
      </c>
      <c r="O27" s="2">
        <v>100</v>
      </c>
      <c r="P27" s="6" t="s">
        <v>1195</v>
      </c>
      <c r="Q27" s="6" t="s">
        <v>1195</v>
      </c>
      <c r="R27" s="6" t="s">
        <v>1195</v>
      </c>
      <c r="S27" s="6" t="s">
        <v>1195</v>
      </c>
      <c r="T27" s="6" t="s">
        <v>1195</v>
      </c>
      <c r="U27" s="6" t="s">
        <v>1195</v>
      </c>
      <c r="V27" s="6" t="s">
        <v>1195</v>
      </c>
      <c r="W27" s="6" t="s">
        <v>1195</v>
      </c>
      <c r="X27" s="2">
        <f>K27</f>
        <v>42671367.623528451</v>
      </c>
      <c r="Y27" s="6" t="s">
        <v>1195</v>
      </c>
      <c r="Z27" s="6" t="s">
        <v>1195</v>
      </c>
      <c r="AA27" s="2">
        <f>AA26</f>
        <v>42703909.368794568</v>
      </c>
      <c r="AB27" s="2">
        <v>0</v>
      </c>
    </row>
    <row r="28" spans="1:28">
      <c r="A28" s="2">
        <v>25</v>
      </c>
      <c r="B28" s="2" t="s">
        <v>199</v>
      </c>
      <c r="C28" s="2" t="s">
        <v>2564</v>
      </c>
      <c r="D28" s="3" t="s">
        <v>37</v>
      </c>
      <c r="E28" s="3" t="s">
        <v>38</v>
      </c>
      <c r="F28" s="2" t="s">
        <v>200</v>
      </c>
      <c r="G28" s="2" t="s">
        <v>177</v>
      </c>
      <c r="H28" s="2" t="s">
        <v>201</v>
      </c>
      <c r="I28" s="2" t="s">
        <v>2593</v>
      </c>
      <c r="J28" s="2" t="s">
        <v>2382</v>
      </c>
      <c r="K28" s="2">
        <f t="shared" si="10"/>
        <v>42671367.623528451</v>
      </c>
      <c r="L28" s="2" t="s">
        <v>2170</v>
      </c>
      <c r="M28" s="2" t="s">
        <v>2144</v>
      </c>
      <c r="N28" s="2" t="s">
        <v>2169</v>
      </c>
      <c r="O28" s="2">
        <v>125</v>
      </c>
      <c r="P28" s="2">
        <v>747.6083984375</v>
      </c>
      <c r="Q28" s="2">
        <v>707.99908447265625</v>
      </c>
      <c r="R28" s="2">
        <f>O28*P28</f>
        <v>93451.0498046875</v>
      </c>
      <c r="S28" s="2">
        <f>O28*Q28</f>
        <v>88499.885559082031</v>
      </c>
      <c r="T28" s="2">
        <f>R28+S28</f>
        <v>181950.93536376953</v>
      </c>
      <c r="U28" s="2">
        <f>ROUND(T28*0.0005, 2)</f>
        <v>90.98</v>
      </c>
      <c r="V28" s="2">
        <f>S28-R28</f>
        <v>-4951.1642456054687</v>
      </c>
      <c r="W28" s="2">
        <f>V28-U28</f>
        <v>-5042.1442456054683</v>
      </c>
      <c r="X28" s="2">
        <f>K28+W28</f>
        <v>42666325.479282849</v>
      </c>
      <c r="Y28" s="2">
        <f>ROUND(0.2*R28, 2)</f>
        <v>18690.21</v>
      </c>
      <c r="Z28" s="2">
        <f>ROUND((W28/Y28)*100, 2)</f>
        <v>-26.98</v>
      </c>
      <c r="AA28" s="2">
        <f>MAX(AA27, X28)</f>
        <v>42703909.368794568</v>
      </c>
      <c r="AB28" s="2">
        <f>X28-AA28</f>
        <v>-37583.889511719346</v>
      </c>
    </row>
    <row r="29" spans="1:28">
      <c r="A29" s="2">
        <v>26</v>
      </c>
      <c r="B29" s="2" t="s">
        <v>205</v>
      </c>
      <c r="C29" s="2" t="s">
        <v>2564</v>
      </c>
      <c r="D29" s="3" t="s">
        <v>37</v>
      </c>
      <c r="E29" s="5" t="s">
        <v>134</v>
      </c>
      <c r="F29" s="2" t="s">
        <v>135</v>
      </c>
      <c r="G29" s="2" t="s">
        <v>54</v>
      </c>
      <c r="H29" s="6" t="s">
        <v>1195</v>
      </c>
      <c r="I29" s="6" t="s">
        <v>1195</v>
      </c>
      <c r="J29" s="6" t="s">
        <v>1195</v>
      </c>
      <c r="K29" s="2">
        <f t="shared" si="10"/>
        <v>42666325.479282849</v>
      </c>
      <c r="L29" s="6" t="s">
        <v>1195</v>
      </c>
      <c r="M29" s="6" t="s">
        <v>1195</v>
      </c>
      <c r="N29" s="6" t="s">
        <v>1195</v>
      </c>
      <c r="O29" s="2">
        <v>6099</v>
      </c>
      <c r="P29" s="6" t="s">
        <v>1195</v>
      </c>
      <c r="Q29" s="6" t="s">
        <v>1195</v>
      </c>
      <c r="R29" s="6" t="s">
        <v>1195</v>
      </c>
      <c r="S29" s="6" t="s">
        <v>1195</v>
      </c>
      <c r="T29" s="6" t="s">
        <v>1195</v>
      </c>
      <c r="U29" s="6" t="s">
        <v>1195</v>
      </c>
      <c r="V29" s="6" t="s">
        <v>1195</v>
      </c>
      <c r="W29" s="6" t="s">
        <v>1195</v>
      </c>
      <c r="X29" s="2">
        <f>K29</f>
        <v>42666325.479282849</v>
      </c>
      <c r="Y29" s="6" t="s">
        <v>1195</v>
      </c>
      <c r="Z29" s="6" t="s">
        <v>1195</v>
      </c>
      <c r="AA29" s="2">
        <f>AA28</f>
        <v>42703909.368794568</v>
      </c>
      <c r="AB29" s="2">
        <v>0</v>
      </c>
    </row>
    <row r="30" spans="1:28">
      <c r="A30" s="2">
        <v>27</v>
      </c>
      <c r="B30" s="2" t="s">
        <v>209</v>
      </c>
      <c r="C30" s="2" t="s">
        <v>2564</v>
      </c>
      <c r="D30" s="4" t="s">
        <v>61</v>
      </c>
      <c r="E30" s="5" t="s">
        <v>134</v>
      </c>
      <c r="F30" s="2" t="s">
        <v>135</v>
      </c>
      <c r="G30" s="2" t="s">
        <v>103</v>
      </c>
      <c r="H30" s="6" t="s">
        <v>1195</v>
      </c>
      <c r="I30" s="6" t="s">
        <v>1195</v>
      </c>
      <c r="J30" s="6" t="s">
        <v>1195</v>
      </c>
      <c r="K30" s="2">
        <f t="shared" si="10"/>
        <v>42666325.479282849</v>
      </c>
      <c r="L30" s="6" t="s">
        <v>1195</v>
      </c>
      <c r="M30" s="6" t="s">
        <v>1195</v>
      </c>
      <c r="N30" s="6" t="s">
        <v>1195</v>
      </c>
      <c r="O30" s="2">
        <v>4138</v>
      </c>
      <c r="P30" s="6" t="s">
        <v>1195</v>
      </c>
      <c r="Q30" s="6" t="s">
        <v>1195</v>
      </c>
      <c r="R30" s="6" t="s">
        <v>1195</v>
      </c>
      <c r="S30" s="6" t="s">
        <v>1195</v>
      </c>
      <c r="T30" s="6" t="s">
        <v>1195</v>
      </c>
      <c r="U30" s="6" t="s">
        <v>1195</v>
      </c>
      <c r="V30" s="6" t="s">
        <v>1195</v>
      </c>
      <c r="W30" s="6" t="s">
        <v>1195</v>
      </c>
      <c r="X30" s="2">
        <f>K30</f>
        <v>42666325.479282849</v>
      </c>
      <c r="Y30" s="6" t="s">
        <v>1195</v>
      </c>
      <c r="Z30" s="6" t="s">
        <v>1195</v>
      </c>
      <c r="AA30" s="2">
        <f>AA29</f>
        <v>42703909.368794568</v>
      </c>
      <c r="AB30" s="2">
        <v>0</v>
      </c>
    </row>
    <row r="31" spans="1:28">
      <c r="A31" s="2">
        <v>28</v>
      </c>
      <c r="B31" s="2" t="s">
        <v>213</v>
      </c>
      <c r="C31" s="2" t="s">
        <v>2564</v>
      </c>
      <c r="D31" s="4" t="s">
        <v>61</v>
      </c>
      <c r="E31" s="5" t="s">
        <v>134</v>
      </c>
      <c r="F31" s="2" t="s">
        <v>135</v>
      </c>
      <c r="G31" s="2" t="s">
        <v>54</v>
      </c>
      <c r="H31" s="6" t="s">
        <v>1195</v>
      </c>
      <c r="I31" s="6" t="s">
        <v>1195</v>
      </c>
      <c r="J31" s="6" t="s">
        <v>1195</v>
      </c>
      <c r="K31" s="2">
        <f t="shared" si="10"/>
        <v>42666325.479282849</v>
      </c>
      <c r="L31" s="6" t="s">
        <v>1195</v>
      </c>
      <c r="M31" s="6" t="s">
        <v>1195</v>
      </c>
      <c r="N31" s="6" t="s">
        <v>1195</v>
      </c>
      <c r="O31" s="2">
        <v>7287</v>
      </c>
      <c r="P31" s="6" t="s">
        <v>1195</v>
      </c>
      <c r="Q31" s="6" t="s">
        <v>1195</v>
      </c>
      <c r="R31" s="6" t="s">
        <v>1195</v>
      </c>
      <c r="S31" s="6" t="s">
        <v>1195</v>
      </c>
      <c r="T31" s="6" t="s">
        <v>1195</v>
      </c>
      <c r="U31" s="6" t="s">
        <v>1195</v>
      </c>
      <c r="V31" s="6" t="s">
        <v>1195</v>
      </c>
      <c r="W31" s="6" t="s">
        <v>1195</v>
      </c>
      <c r="X31" s="2">
        <f>K31</f>
        <v>42666325.479282849</v>
      </c>
      <c r="Y31" s="6" t="s">
        <v>1195</v>
      </c>
      <c r="Z31" s="6" t="s">
        <v>1195</v>
      </c>
      <c r="AA31" s="2">
        <f>AA30</f>
        <v>42703909.368794568</v>
      </c>
      <c r="AB31" s="2">
        <v>0</v>
      </c>
    </row>
    <row r="32" spans="1:28">
      <c r="A32" s="2">
        <v>29</v>
      </c>
      <c r="B32" s="2" t="s">
        <v>218</v>
      </c>
      <c r="C32" s="2" t="s">
        <v>2564</v>
      </c>
      <c r="D32" s="4" t="s">
        <v>61</v>
      </c>
      <c r="E32" s="5" t="s">
        <v>134</v>
      </c>
      <c r="F32" s="2" t="s">
        <v>135</v>
      </c>
      <c r="G32" s="2" t="s">
        <v>161</v>
      </c>
      <c r="H32" s="6" t="s">
        <v>1195</v>
      </c>
      <c r="I32" s="6" t="s">
        <v>1195</v>
      </c>
      <c r="J32" s="6" t="s">
        <v>1195</v>
      </c>
      <c r="K32" s="2">
        <f t="shared" si="10"/>
        <v>42666325.479282849</v>
      </c>
      <c r="L32" s="6" t="s">
        <v>1195</v>
      </c>
      <c r="M32" s="6" t="s">
        <v>1195</v>
      </c>
      <c r="N32" s="6" t="s">
        <v>1195</v>
      </c>
      <c r="O32" s="2">
        <v>793</v>
      </c>
      <c r="P32" s="6" t="s">
        <v>1195</v>
      </c>
      <c r="Q32" s="6" t="s">
        <v>1195</v>
      </c>
      <c r="R32" s="6" t="s">
        <v>1195</v>
      </c>
      <c r="S32" s="6" t="s">
        <v>1195</v>
      </c>
      <c r="T32" s="6" t="s">
        <v>1195</v>
      </c>
      <c r="U32" s="6" t="s">
        <v>1195</v>
      </c>
      <c r="V32" s="6" t="s">
        <v>1195</v>
      </c>
      <c r="W32" s="6" t="s">
        <v>1195</v>
      </c>
      <c r="X32" s="2">
        <f>K32</f>
        <v>42666325.479282849</v>
      </c>
      <c r="Y32" s="6" t="s">
        <v>1195</v>
      </c>
      <c r="Z32" s="6" t="s">
        <v>1195</v>
      </c>
      <c r="AA32" s="2">
        <f>AA31</f>
        <v>42703909.368794568</v>
      </c>
      <c r="AB32" s="2">
        <v>0</v>
      </c>
    </row>
    <row r="33" spans="1:28">
      <c r="A33" s="2">
        <v>30</v>
      </c>
      <c r="B33" s="2" t="s">
        <v>225</v>
      </c>
      <c r="C33" s="2" t="s">
        <v>2564</v>
      </c>
      <c r="D33" s="4" t="s">
        <v>61</v>
      </c>
      <c r="E33" s="3" t="s">
        <v>38</v>
      </c>
      <c r="F33" s="2" t="s">
        <v>226</v>
      </c>
      <c r="G33" s="2" t="s">
        <v>40</v>
      </c>
      <c r="H33" s="2" t="s">
        <v>227</v>
      </c>
      <c r="I33" s="2" t="s">
        <v>2594</v>
      </c>
      <c r="J33" s="2" t="s">
        <v>2595</v>
      </c>
      <c r="K33" s="2">
        <f t="shared" si="10"/>
        <v>42666325.479282849</v>
      </c>
      <c r="L33" s="2" t="s">
        <v>2130</v>
      </c>
      <c r="M33" s="2" t="s">
        <v>2120</v>
      </c>
      <c r="N33" s="2" t="s">
        <v>2131</v>
      </c>
      <c r="O33" s="2">
        <v>2438</v>
      </c>
      <c r="P33" s="2">
        <v>121.3620910644531</v>
      </c>
      <c r="Q33" s="2">
        <v>123.55274963378911</v>
      </c>
      <c r="R33" s="2">
        <f>O33*P33</f>
        <v>295880.77801513666</v>
      </c>
      <c r="S33" s="2">
        <f>O33*Q33</f>
        <v>301221.60360717785</v>
      </c>
      <c r="T33" s="2">
        <f>R33+S33</f>
        <v>597102.38162231445</v>
      </c>
      <c r="U33" s="2">
        <f>ROUND(T33*0.0005, 2)</f>
        <v>298.55</v>
      </c>
      <c r="V33" s="2">
        <f>S33-R33</f>
        <v>5340.8255920411902</v>
      </c>
      <c r="W33" s="2">
        <f>V33-U33</f>
        <v>5042.2755920411901</v>
      </c>
      <c r="X33" s="2">
        <f>K33+W33</f>
        <v>42671367.754874893</v>
      </c>
      <c r="Y33" s="2">
        <f>ROUND(0.2*R33, 2)</f>
        <v>59176.160000000003</v>
      </c>
      <c r="Z33" s="2">
        <f>ROUND((W33/Y33)*100, 2)</f>
        <v>8.52</v>
      </c>
      <c r="AA33" s="2">
        <f>MAX(AA32, X33)</f>
        <v>42703909.368794568</v>
      </c>
      <c r="AB33" s="2">
        <f>X33-AA33</f>
        <v>-32541.61391967535</v>
      </c>
    </row>
    <row r="34" spans="1:28">
      <c r="A34" s="2">
        <v>31</v>
      </c>
      <c r="B34" s="2" t="s">
        <v>230</v>
      </c>
      <c r="C34" s="2" t="s">
        <v>2564</v>
      </c>
      <c r="D34" s="4" t="s">
        <v>61</v>
      </c>
      <c r="E34" s="5" t="s">
        <v>134</v>
      </c>
      <c r="F34" s="2" t="s">
        <v>135</v>
      </c>
      <c r="G34" s="2" t="s">
        <v>231</v>
      </c>
      <c r="H34" s="6" t="s">
        <v>1195</v>
      </c>
      <c r="I34" s="6" t="s">
        <v>1195</v>
      </c>
      <c r="J34" s="6" t="s">
        <v>1195</v>
      </c>
      <c r="K34" s="2">
        <f t="shared" si="10"/>
        <v>42671367.754874893</v>
      </c>
      <c r="L34" s="6" t="s">
        <v>1195</v>
      </c>
      <c r="M34" s="6" t="s">
        <v>1195</v>
      </c>
      <c r="N34" s="6" t="s">
        <v>1195</v>
      </c>
      <c r="O34" s="2">
        <v>461</v>
      </c>
      <c r="P34" s="6" t="s">
        <v>1195</v>
      </c>
      <c r="Q34" s="6" t="s">
        <v>1195</v>
      </c>
      <c r="R34" s="6" t="s">
        <v>1195</v>
      </c>
      <c r="S34" s="6" t="s">
        <v>1195</v>
      </c>
      <c r="T34" s="6" t="s">
        <v>1195</v>
      </c>
      <c r="U34" s="6" t="s">
        <v>1195</v>
      </c>
      <c r="V34" s="6" t="s">
        <v>1195</v>
      </c>
      <c r="W34" s="6" t="s">
        <v>1195</v>
      </c>
      <c r="X34" s="2">
        <f>K34</f>
        <v>42671367.754874893</v>
      </c>
      <c r="Y34" s="6" t="s">
        <v>1195</v>
      </c>
      <c r="Z34" s="6" t="s">
        <v>1195</v>
      </c>
      <c r="AA34" s="2">
        <f>AA33</f>
        <v>42703909.368794568</v>
      </c>
      <c r="AB34" s="2">
        <v>0</v>
      </c>
    </row>
    <row r="35" spans="1:28">
      <c r="A35" s="2">
        <v>32</v>
      </c>
      <c r="B35" s="2" t="s">
        <v>236</v>
      </c>
      <c r="C35" s="2" t="s">
        <v>2564</v>
      </c>
      <c r="D35" s="3" t="s">
        <v>37</v>
      </c>
      <c r="E35" s="3" t="s">
        <v>38</v>
      </c>
      <c r="F35" s="2" t="s">
        <v>237</v>
      </c>
      <c r="G35" s="2" t="s">
        <v>150</v>
      </c>
      <c r="H35" s="2" t="s">
        <v>238</v>
      </c>
      <c r="I35" s="2" t="s">
        <v>1899</v>
      </c>
      <c r="J35" s="2" t="s">
        <v>2128</v>
      </c>
      <c r="K35" s="2">
        <f t="shared" si="10"/>
        <v>42671367.754874893</v>
      </c>
      <c r="L35" s="2" t="s">
        <v>2170</v>
      </c>
      <c r="M35" s="2" t="s">
        <v>2590</v>
      </c>
      <c r="N35" s="2" t="s">
        <v>2574</v>
      </c>
      <c r="O35" s="2">
        <v>950</v>
      </c>
      <c r="P35" s="2">
        <v>867.48272705078125</v>
      </c>
      <c r="Q35" s="2">
        <v>858.79461669921875</v>
      </c>
      <c r="R35" s="2">
        <f>O35*P35</f>
        <v>824108.59069824219</v>
      </c>
      <c r="S35" s="2">
        <f>O35*Q35</f>
        <v>815854.88586425781</v>
      </c>
      <c r="T35" s="2">
        <f>R35+S35</f>
        <v>1639963.4765625</v>
      </c>
      <c r="U35" s="2">
        <f>ROUND(T35*0.0005, 2)</f>
        <v>819.98</v>
      </c>
      <c r="V35" s="2">
        <f>S35-R35</f>
        <v>-8253.704833984375</v>
      </c>
      <c r="W35" s="2">
        <f>V35-U35</f>
        <v>-9073.6848339843746</v>
      </c>
      <c r="X35" s="2">
        <f>K35+W35</f>
        <v>42662294.070040911</v>
      </c>
      <c r="Y35" s="2">
        <f>ROUND(0.2*R35, 2)</f>
        <v>164821.72</v>
      </c>
      <c r="Z35" s="2">
        <f>ROUND((W35/Y35)*100, 2)</f>
        <v>-5.51</v>
      </c>
      <c r="AA35" s="2">
        <f>MAX(AA34, X35)</f>
        <v>42703909.368794568</v>
      </c>
      <c r="AB35" s="2">
        <f>X35-AA35</f>
        <v>-41615.298753656447</v>
      </c>
    </row>
    <row r="36" spans="1:28">
      <c r="A36" s="2">
        <v>33</v>
      </c>
      <c r="B36" s="2" t="s">
        <v>240</v>
      </c>
      <c r="C36" s="2" t="s">
        <v>2564</v>
      </c>
      <c r="D36" s="4" t="s">
        <v>61</v>
      </c>
      <c r="E36" s="5" t="s">
        <v>134</v>
      </c>
      <c r="F36" s="2" t="s">
        <v>135</v>
      </c>
      <c r="G36" s="2" t="s">
        <v>241</v>
      </c>
      <c r="H36" s="6" t="s">
        <v>1195</v>
      </c>
      <c r="I36" s="6" t="s">
        <v>1195</v>
      </c>
      <c r="J36" s="6" t="s">
        <v>1195</v>
      </c>
      <c r="K36" s="2">
        <f t="shared" si="10"/>
        <v>42662294.070040911</v>
      </c>
      <c r="L36" s="6" t="s">
        <v>1195</v>
      </c>
      <c r="M36" s="6" t="s">
        <v>1195</v>
      </c>
      <c r="N36" s="6" t="s">
        <v>1195</v>
      </c>
      <c r="O36" s="2">
        <v>2481</v>
      </c>
      <c r="P36" s="6" t="s">
        <v>1195</v>
      </c>
      <c r="Q36" s="6" t="s">
        <v>1195</v>
      </c>
      <c r="R36" s="6" t="s">
        <v>1195</v>
      </c>
      <c r="S36" s="6" t="s">
        <v>1195</v>
      </c>
      <c r="T36" s="6" t="s">
        <v>1195</v>
      </c>
      <c r="U36" s="6" t="s">
        <v>1195</v>
      </c>
      <c r="V36" s="6" t="s">
        <v>1195</v>
      </c>
      <c r="W36" s="6" t="s">
        <v>1195</v>
      </c>
      <c r="X36" s="2">
        <f>K36</f>
        <v>42662294.070040911</v>
      </c>
      <c r="Y36" s="6" t="s">
        <v>1195</v>
      </c>
      <c r="Z36" s="6" t="s">
        <v>1195</v>
      </c>
      <c r="AA36" s="2">
        <f>AA35</f>
        <v>42703909.368794568</v>
      </c>
      <c r="AB36" s="2">
        <v>0</v>
      </c>
    </row>
    <row r="37" spans="1:28">
      <c r="A37" s="2">
        <v>34</v>
      </c>
      <c r="B37" s="2" t="s">
        <v>245</v>
      </c>
      <c r="C37" s="2" t="s">
        <v>2564</v>
      </c>
      <c r="D37" s="4" t="s">
        <v>61</v>
      </c>
      <c r="E37" s="5" t="s">
        <v>134</v>
      </c>
      <c r="F37" s="2" t="s">
        <v>135</v>
      </c>
      <c r="G37" s="2" t="s">
        <v>231</v>
      </c>
      <c r="H37" s="6" t="s">
        <v>1195</v>
      </c>
      <c r="I37" s="6" t="s">
        <v>1195</v>
      </c>
      <c r="J37" s="6" t="s">
        <v>1195</v>
      </c>
      <c r="K37" s="2">
        <f t="shared" si="10"/>
        <v>42662294.070040911</v>
      </c>
      <c r="L37" s="6" t="s">
        <v>1195</v>
      </c>
      <c r="M37" s="6" t="s">
        <v>1195</v>
      </c>
      <c r="N37" s="6" t="s">
        <v>1195</v>
      </c>
      <c r="O37" s="2">
        <v>2351</v>
      </c>
      <c r="P37" s="6" t="s">
        <v>1195</v>
      </c>
      <c r="Q37" s="6" t="s">
        <v>1195</v>
      </c>
      <c r="R37" s="6" t="s">
        <v>1195</v>
      </c>
      <c r="S37" s="6" t="s">
        <v>1195</v>
      </c>
      <c r="T37" s="6" t="s">
        <v>1195</v>
      </c>
      <c r="U37" s="6" t="s">
        <v>1195</v>
      </c>
      <c r="V37" s="6" t="s">
        <v>1195</v>
      </c>
      <c r="W37" s="6" t="s">
        <v>1195</v>
      </c>
      <c r="X37" s="2">
        <f>K37</f>
        <v>42662294.070040911</v>
      </c>
      <c r="Y37" s="6" t="s">
        <v>1195</v>
      </c>
      <c r="Z37" s="6" t="s">
        <v>1195</v>
      </c>
      <c r="AA37" s="2">
        <f>AA36</f>
        <v>42703909.368794568</v>
      </c>
      <c r="AB37" s="2">
        <v>0</v>
      </c>
    </row>
    <row r="38" spans="1:28">
      <c r="A38" s="2">
        <v>35</v>
      </c>
      <c r="B38" s="2" t="s">
        <v>248</v>
      </c>
      <c r="C38" s="2" t="s">
        <v>2564</v>
      </c>
      <c r="D38" s="4" t="s">
        <v>61</v>
      </c>
      <c r="E38" s="5" t="s">
        <v>134</v>
      </c>
      <c r="F38" s="2" t="s">
        <v>135</v>
      </c>
      <c r="G38" s="2" t="s">
        <v>161</v>
      </c>
      <c r="H38" s="6" t="s">
        <v>1195</v>
      </c>
      <c r="I38" s="6" t="s">
        <v>1195</v>
      </c>
      <c r="J38" s="6" t="s">
        <v>1195</v>
      </c>
      <c r="K38" s="2">
        <f t="shared" si="10"/>
        <v>42662294.070040911</v>
      </c>
      <c r="L38" s="6" t="s">
        <v>1195</v>
      </c>
      <c r="M38" s="6" t="s">
        <v>1195</v>
      </c>
      <c r="N38" s="6" t="s">
        <v>1195</v>
      </c>
      <c r="O38" s="2">
        <v>591</v>
      </c>
      <c r="P38" s="6" t="s">
        <v>1195</v>
      </c>
      <c r="Q38" s="6" t="s">
        <v>1195</v>
      </c>
      <c r="R38" s="6" t="s">
        <v>1195</v>
      </c>
      <c r="S38" s="6" t="s">
        <v>1195</v>
      </c>
      <c r="T38" s="6" t="s">
        <v>1195</v>
      </c>
      <c r="U38" s="6" t="s">
        <v>1195</v>
      </c>
      <c r="V38" s="6" t="s">
        <v>1195</v>
      </c>
      <c r="W38" s="6" t="s">
        <v>1195</v>
      </c>
      <c r="X38" s="2">
        <f>K38</f>
        <v>42662294.070040911</v>
      </c>
      <c r="Y38" s="6" t="s">
        <v>1195</v>
      </c>
      <c r="Z38" s="6" t="s">
        <v>1195</v>
      </c>
      <c r="AA38" s="2">
        <f>AA37</f>
        <v>42703909.368794568</v>
      </c>
      <c r="AB38" s="2">
        <v>0</v>
      </c>
    </row>
    <row r="39" spans="1:28">
      <c r="A39" s="2">
        <v>36</v>
      </c>
      <c r="B39" s="2" t="s">
        <v>252</v>
      </c>
      <c r="C39" s="2" t="s">
        <v>2564</v>
      </c>
      <c r="D39" s="4" t="s">
        <v>61</v>
      </c>
      <c r="E39" s="5" t="s">
        <v>134</v>
      </c>
      <c r="F39" s="2" t="s">
        <v>135</v>
      </c>
      <c r="G39" s="2" t="s">
        <v>150</v>
      </c>
      <c r="H39" s="6" t="s">
        <v>1195</v>
      </c>
      <c r="I39" s="6" t="s">
        <v>1195</v>
      </c>
      <c r="J39" s="6" t="s">
        <v>1195</v>
      </c>
      <c r="K39" s="2">
        <f t="shared" si="10"/>
        <v>42662294.070040911</v>
      </c>
      <c r="L39" s="6" t="s">
        <v>1195</v>
      </c>
      <c r="M39" s="6" t="s">
        <v>1195</v>
      </c>
      <c r="N39" s="6" t="s">
        <v>1195</v>
      </c>
      <c r="O39" s="2">
        <v>100</v>
      </c>
      <c r="P39" s="6" t="s">
        <v>1195</v>
      </c>
      <c r="Q39" s="6" t="s">
        <v>1195</v>
      </c>
      <c r="R39" s="6" t="s">
        <v>1195</v>
      </c>
      <c r="S39" s="6" t="s">
        <v>1195</v>
      </c>
      <c r="T39" s="6" t="s">
        <v>1195</v>
      </c>
      <c r="U39" s="6" t="s">
        <v>1195</v>
      </c>
      <c r="V39" s="6" t="s">
        <v>1195</v>
      </c>
      <c r="W39" s="6" t="s">
        <v>1195</v>
      </c>
      <c r="X39" s="2">
        <f>K39</f>
        <v>42662294.070040911</v>
      </c>
      <c r="Y39" s="6" t="s">
        <v>1195</v>
      </c>
      <c r="Z39" s="6" t="s">
        <v>1195</v>
      </c>
      <c r="AA39" s="2">
        <f>AA38</f>
        <v>42703909.368794568</v>
      </c>
      <c r="AB39" s="2">
        <v>0</v>
      </c>
    </row>
    <row r="40" spans="1:28">
      <c r="A40" s="2">
        <v>37</v>
      </c>
      <c r="B40" s="2" t="s">
        <v>256</v>
      </c>
      <c r="C40" s="2" t="s">
        <v>2564</v>
      </c>
      <c r="D40" s="4" t="s">
        <v>61</v>
      </c>
      <c r="E40" s="3" t="s">
        <v>38</v>
      </c>
      <c r="F40" s="2" t="s">
        <v>53</v>
      </c>
      <c r="G40" s="2" t="s">
        <v>103</v>
      </c>
      <c r="H40" s="2" t="s">
        <v>71</v>
      </c>
      <c r="I40" s="2" t="s">
        <v>924</v>
      </c>
      <c r="J40" s="2" t="s">
        <v>250</v>
      </c>
      <c r="K40" s="2">
        <f t="shared" si="10"/>
        <v>42662294.070040911</v>
      </c>
      <c r="L40" s="2" t="s">
        <v>2596</v>
      </c>
      <c r="M40" s="2" t="s">
        <v>2144</v>
      </c>
      <c r="N40" s="2" t="s">
        <v>2169</v>
      </c>
      <c r="O40" s="2">
        <v>1800</v>
      </c>
      <c r="P40" s="2">
        <v>155.43284606933591</v>
      </c>
      <c r="Q40" s="2">
        <v>163.370849609375</v>
      </c>
      <c r="R40" s="2">
        <f>O40*P40</f>
        <v>279779.12292480463</v>
      </c>
      <c r="S40" s="2">
        <f>O40*Q40</f>
        <v>294067.529296875</v>
      </c>
      <c r="T40" s="2">
        <f>R40+S40</f>
        <v>573846.65222167969</v>
      </c>
      <c r="U40" s="2">
        <f>ROUND(T40*0.0005, 2)</f>
        <v>286.92</v>
      </c>
      <c r="V40" s="2">
        <f>S40-R40</f>
        <v>14288.406372070371</v>
      </c>
      <c r="W40" s="2">
        <f>V40-U40</f>
        <v>14001.486372070371</v>
      </c>
      <c r="X40" s="2">
        <f>K40+W40</f>
        <v>42676295.55641298</v>
      </c>
      <c r="Y40" s="2">
        <f>ROUND(0.2*R40, 2)</f>
        <v>55955.82</v>
      </c>
      <c r="Z40" s="2">
        <f>ROUND((W40/Y40)*100, 2)</f>
        <v>25.02</v>
      </c>
      <c r="AA40" s="2">
        <f>MAX(AA39, X40)</f>
        <v>42703909.368794568</v>
      </c>
      <c r="AB40" s="2">
        <f>X40-AA40</f>
        <v>-27613.812381587923</v>
      </c>
    </row>
    <row r="41" spans="1:28">
      <c r="A41" s="2">
        <v>38</v>
      </c>
      <c r="B41" s="2" t="s">
        <v>259</v>
      </c>
      <c r="C41" s="2" t="s">
        <v>2564</v>
      </c>
      <c r="D41" s="3" t="s">
        <v>37</v>
      </c>
      <c r="E41" s="3" t="s">
        <v>38</v>
      </c>
      <c r="F41" s="2" t="s">
        <v>260</v>
      </c>
      <c r="G41" s="2" t="s">
        <v>63</v>
      </c>
      <c r="H41" s="2" t="s">
        <v>261</v>
      </c>
      <c r="I41" s="2" t="s">
        <v>1458</v>
      </c>
      <c r="J41" s="2" t="s">
        <v>2597</v>
      </c>
      <c r="K41" s="2">
        <f t="shared" si="10"/>
        <v>42676295.55641298</v>
      </c>
      <c r="L41" s="2" t="s">
        <v>2574</v>
      </c>
      <c r="M41" s="2" t="s">
        <v>2158</v>
      </c>
      <c r="N41" s="2" t="s">
        <v>2598</v>
      </c>
      <c r="O41" s="2">
        <v>200</v>
      </c>
      <c r="P41" s="2">
        <v>4675.57080078125</v>
      </c>
      <c r="Q41" s="2">
        <v>4487.369140625</v>
      </c>
      <c r="R41" s="2">
        <f>O41*P41</f>
        <v>935114.16015625</v>
      </c>
      <c r="S41" s="2">
        <f>O41*Q41</f>
        <v>897473.828125</v>
      </c>
      <c r="T41" s="2">
        <f>R41+S41</f>
        <v>1832587.98828125</v>
      </c>
      <c r="U41" s="2">
        <f>ROUND(T41*0.0005, 2)</f>
        <v>916.29</v>
      </c>
      <c r="V41" s="2">
        <f>S41-R41</f>
        <v>-37640.33203125</v>
      </c>
      <c r="W41" s="2">
        <f>V41-U41</f>
        <v>-38556.622031250001</v>
      </c>
      <c r="X41" s="2">
        <f>K41+W41</f>
        <v>42637738.934381731</v>
      </c>
      <c r="Y41" s="2">
        <f>ROUND(0.2*R41, 2)</f>
        <v>187022.83</v>
      </c>
      <c r="Z41" s="2">
        <f>ROUND((W41/Y41)*100, 2)</f>
        <v>-20.62</v>
      </c>
      <c r="AA41" s="2">
        <f>MAX(AA40, X41)</f>
        <v>42703909.368794568</v>
      </c>
      <c r="AB41" s="2">
        <f>X41-AA41</f>
        <v>-66170.434412837029</v>
      </c>
    </row>
    <row r="42" spans="1:28">
      <c r="A42" s="2">
        <v>39</v>
      </c>
      <c r="B42" s="2" t="s">
        <v>265</v>
      </c>
      <c r="C42" s="2" t="s">
        <v>2564</v>
      </c>
      <c r="D42" s="3" t="s">
        <v>37</v>
      </c>
      <c r="E42" s="5" t="s">
        <v>134</v>
      </c>
      <c r="F42" s="2" t="s">
        <v>135</v>
      </c>
      <c r="G42" s="2" t="s">
        <v>231</v>
      </c>
      <c r="H42" s="6" t="s">
        <v>1195</v>
      </c>
      <c r="I42" s="6" t="s">
        <v>1195</v>
      </c>
      <c r="J42" s="6" t="s">
        <v>1195</v>
      </c>
      <c r="K42" s="2">
        <f t="shared" si="10"/>
        <v>42637738.934381731</v>
      </c>
      <c r="L42" s="6" t="s">
        <v>1195</v>
      </c>
      <c r="M42" s="6" t="s">
        <v>1195</v>
      </c>
      <c r="N42" s="6" t="s">
        <v>1195</v>
      </c>
      <c r="O42" s="2">
        <v>283</v>
      </c>
      <c r="P42" s="6" t="s">
        <v>1195</v>
      </c>
      <c r="Q42" s="6" t="s">
        <v>1195</v>
      </c>
      <c r="R42" s="6" t="s">
        <v>1195</v>
      </c>
      <c r="S42" s="6" t="s">
        <v>1195</v>
      </c>
      <c r="T42" s="6" t="s">
        <v>1195</v>
      </c>
      <c r="U42" s="6" t="s">
        <v>1195</v>
      </c>
      <c r="V42" s="6" t="s">
        <v>1195</v>
      </c>
      <c r="W42" s="6" t="s">
        <v>1195</v>
      </c>
      <c r="X42" s="2">
        <f t="shared" ref="X42:X47" si="12">K42</f>
        <v>42637738.934381731</v>
      </c>
      <c r="Y42" s="6" t="s">
        <v>1195</v>
      </c>
      <c r="Z42" s="6" t="s">
        <v>1195</v>
      </c>
      <c r="AA42" s="2">
        <f t="shared" ref="AA42:AA47" si="13">AA41</f>
        <v>42703909.368794568</v>
      </c>
      <c r="AB42" s="2">
        <v>0</v>
      </c>
    </row>
    <row r="43" spans="1:28">
      <c r="A43" s="2">
        <v>40</v>
      </c>
      <c r="B43" s="2" t="s">
        <v>269</v>
      </c>
      <c r="C43" s="2" t="s">
        <v>2564</v>
      </c>
      <c r="D43" s="4" t="s">
        <v>61</v>
      </c>
      <c r="E43" s="5" t="s">
        <v>134</v>
      </c>
      <c r="F43" s="2" t="s">
        <v>135</v>
      </c>
      <c r="G43" s="2" t="s">
        <v>97</v>
      </c>
      <c r="H43" s="6" t="s">
        <v>1195</v>
      </c>
      <c r="I43" s="6" t="s">
        <v>1195</v>
      </c>
      <c r="J43" s="6" t="s">
        <v>1195</v>
      </c>
      <c r="K43" s="2">
        <f t="shared" si="10"/>
        <v>42637738.934381731</v>
      </c>
      <c r="L43" s="6" t="s">
        <v>1195</v>
      </c>
      <c r="M43" s="6" t="s">
        <v>1195</v>
      </c>
      <c r="N43" s="6" t="s">
        <v>1195</v>
      </c>
      <c r="O43" s="2">
        <v>1260</v>
      </c>
      <c r="P43" s="6" t="s">
        <v>1195</v>
      </c>
      <c r="Q43" s="6" t="s">
        <v>1195</v>
      </c>
      <c r="R43" s="6" t="s">
        <v>1195</v>
      </c>
      <c r="S43" s="6" t="s">
        <v>1195</v>
      </c>
      <c r="T43" s="6" t="s">
        <v>1195</v>
      </c>
      <c r="U43" s="6" t="s">
        <v>1195</v>
      </c>
      <c r="V43" s="6" t="s">
        <v>1195</v>
      </c>
      <c r="W43" s="6" t="s">
        <v>1195</v>
      </c>
      <c r="X43" s="2">
        <f t="shared" si="12"/>
        <v>42637738.934381731</v>
      </c>
      <c r="Y43" s="6" t="s">
        <v>1195</v>
      </c>
      <c r="Z43" s="6" t="s">
        <v>1195</v>
      </c>
      <c r="AA43" s="2">
        <f t="shared" si="13"/>
        <v>42703909.368794568</v>
      </c>
      <c r="AB43" s="2">
        <v>0</v>
      </c>
    </row>
    <row r="44" spans="1:28">
      <c r="A44" s="2">
        <v>41</v>
      </c>
      <c r="B44" s="2" t="s">
        <v>272</v>
      </c>
      <c r="C44" s="2" t="s">
        <v>2564</v>
      </c>
      <c r="D44" s="4" t="s">
        <v>61</v>
      </c>
      <c r="E44" s="5" t="s">
        <v>134</v>
      </c>
      <c r="F44" s="2" t="s">
        <v>135</v>
      </c>
      <c r="G44" s="2" t="s">
        <v>40</v>
      </c>
      <c r="H44" s="6" t="s">
        <v>1195</v>
      </c>
      <c r="I44" s="6" t="s">
        <v>1195</v>
      </c>
      <c r="J44" s="6" t="s">
        <v>1195</v>
      </c>
      <c r="K44" s="2">
        <f t="shared" si="10"/>
        <v>42637738.934381731</v>
      </c>
      <c r="L44" s="6" t="s">
        <v>1195</v>
      </c>
      <c r="M44" s="6" t="s">
        <v>1195</v>
      </c>
      <c r="N44" s="6" t="s">
        <v>1195</v>
      </c>
      <c r="O44" s="2">
        <v>8046</v>
      </c>
      <c r="P44" s="6" t="s">
        <v>1195</v>
      </c>
      <c r="Q44" s="6" t="s">
        <v>1195</v>
      </c>
      <c r="R44" s="6" t="s">
        <v>1195</v>
      </c>
      <c r="S44" s="6" t="s">
        <v>1195</v>
      </c>
      <c r="T44" s="6" t="s">
        <v>1195</v>
      </c>
      <c r="U44" s="6" t="s">
        <v>1195</v>
      </c>
      <c r="V44" s="6" t="s">
        <v>1195</v>
      </c>
      <c r="W44" s="6" t="s">
        <v>1195</v>
      </c>
      <c r="X44" s="2">
        <f t="shared" si="12"/>
        <v>42637738.934381731</v>
      </c>
      <c r="Y44" s="6" t="s">
        <v>1195</v>
      </c>
      <c r="Z44" s="6" t="s">
        <v>1195</v>
      </c>
      <c r="AA44" s="2">
        <f t="shared" si="13"/>
        <v>42703909.368794568</v>
      </c>
      <c r="AB44" s="2">
        <v>0</v>
      </c>
    </row>
    <row r="45" spans="1:28">
      <c r="A45" s="2">
        <v>42</v>
      </c>
      <c r="B45" s="2" t="s">
        <v>275</v>
      </c>
      <c r="C45" s="2" t="s">
        <v>2564</v>
      </c>
      <c r="D45" s="4" t="s">
        <v>61</v>
      </c>
      <c r="E45" s="5" t="s">
        <v>134</v>
      </c>
      <c r="F45" s="2" t="s">
        <v>135</v>
      </c>
      <c r="G45" s="2" t="s">
        <v>161</v>
      </c>
      <c r="H45" s="6" t="s">
        <v>1195</v>
      </c>
      <c r="I45" s="6" t="s">
        <v>1195</v>
      </c>
      <c r="J45" s="6" t="s">
        <v>1195</v>
      </c>
      <c r="K45" s="2">
        <f t="shared" si="10"/>
        <v>42637738.934381731</v>
      </c>
      <c r="L45" s="6" t="s">
        <v>1195</v>
      </c>
      <c r="M45" s="6" t="s">
        <v>1195</v>
      </c>
      <c r="N45" s="6" t="s">
        <v>1195</v>
      </c>
      <c r="O45" s="2">
        <v>748</v>
      </c>
      <c r="P45" s="6" t="s">
        <v>1195</v>
      </c>
      <c r="Q45" s="6" t="s">
        <v>1195</v>
      </c>
      <c r="R45" s="6" t="s">
        <v>1195</v>
      </c>
      <c r="S45" s="6" t="s">
        <v>1195</v>
      </c>
      <c r="T45" s="6" t="s">
        <v>1195</v>
      </c>
      <c r="U45" s="6" t="s">
        <v>1195</v>
      </c>
      <c r="V45" s="6" t="s">
        <v>1195</v>
      </c>
      <c r="W45" s="6" t="s">
        <v>1195</v>
      </c>
      <c r="X45" s="2">
        <f t="shared" si="12"/>
        <v>42637738.934381731</v>
      </c>
      <c r="Y45" s="6" t="s">
        <v>1195</v>
      </c>
      <c r="Z45" s="6" t="s">
        <v>1195</v>
      </c>
      <c r="AA45" s="2">
        <f t="shared" si="13"/>
        <v>42703909.368794568</v>
      </c>
      <c r="AB45" s="2">
        <v>0</v>
      </c>
    </row>
    <row r="46" spans="1:28">
      <c r="A46" s="2">
        <v>43</v>
      </c>
      <c r="B46" s="2" t="s">
        <v>280</v>
      </c>
      <c r="C46" s="2" t="s">
        <v>2564</v>
      </c>
      <c r="D46" s="3" t="s">
        <v>37</v>
      </c>
      <c r="E46" s="5" t="s">
        <v>134</v>
      </c>
      <c r="F46" s="2" t="s">
        <v>135</v>
      </c>
      <c r="G46" s="2" t="s">
        <v>241</v>
      </c>
      <c r="H46" s="6" t="s">
        <v>1195</v>
      </c>
      <c r="I46" s="6" t="s">
        <v>1195</v>
      </c>
      <c r="J46" s="6" t="s">
        <v>1195</v>
      </c>
      <c r="K46" s="2">
        <f t="shared" si="10"/>
        <v>42637738.934381731</v>
      </c>
      <c r="L46" s="6" t="s">
        <v>1195</v>
      </c>
      <c r="M46" s="6" t="s">
        <v>1195</v>
      </c>
      <c r="N46" s="6" t="s">
        <v>1195</v>
      </c>
      <c r="O46" s="2">
        <v>1201</v>
      </c>
      <c r="P46" s="6" t="s">
        <v>1195</v>
      </c>
      <c r="Q46" s="6" t="s">
        <v>1195</v>
      </c>
      <c r="R46" s="6" t="s">
        <v>1195</v>
      </c>
      <c r="S46" s="6" t="s">
        <v>1195</v>
      </c>
      <c r="T46" s="6" t="s">
        <v>1195</v>
      </c>
      <c r="U46" s="6" t="s">
        <v>1195</v>
      </c>
      <c r="V46" s="6" t="s">
        <v>1195</v>
      </c>
      <c r="W46" s="6" t="s">
        <v>1195</v>
      </c>
      <c r="X46" s="2">
        <f t="shared" si="12"/>
        <v>42637738.934381731</v>
      </c>
      <c r="Y46" s="6" t="s">
        <v>1195</v>
      </c>
      <c r="Z46" s="6" t="s">
        <v>1195</v>
      </c>
      <c r="AA46" s="2">
        <f t="shared" si="13"/>
        <v>42703909.368794568</v>
      </c>
      <c r="AB46" s="2">
        <v>0</v>
      </c>
    </row>
    <row r="47" spans="1:28">
      <c r="A47" s="2">
        <v>44</v>
      </c>
      <c r="B47" s="2" t="s">
        <v>284</v>
      </c>
      <c r="C47" s="2" t="s">
        <v>2564</v>
      </c>
      <c r="D47" s="4" t="s">
        <v>61</v>
      </c>
      <c r="E47" s="5" t="s">
        <v>134</v>
      </c>
      <c r="F47" s="2" t="s">
        <v>135</v>
      </c>
      <c r="G47" s="2" t="s">
        <v>63</v>
      </c>
      <c r="H47" s="6" t="s">
        <v>1195</v>
      </c>
      <c r="I47" s="6" t="s">
        <v>1195</v>
      </c>
      <c r="J47" s="6" t="s">
        <v>1195</v>
      </c>
      <c r="K47" s="2">
        <f t="shared" si="10"/>
        <v>42637738.934381731</v>
      </c>
      <c r="L47" s="6" t="s">
        <v>1195</v>
      </c>
      <c r="M47" s="6" t="s">
        <v>1195</v>
      </c>
      <c r="N47" s="6" t="s">
        <v>1195</v>
      </c>
      <c r="O47" s="2">
        <v>563</v>
      </c>
      <c r="P47" s="6" t="s">
        <v>1195</v>
      </c>
      <c r="Q47" s="6" t="s">
        <v>1195</v>
      </c>
      <c r="R47" s="6" t="s">
        <v>1195</v>
      </c>
      <c r="S47" s="6" t="s">
        <v>1195</v>
      </c>
      <c r="T47" s="6" t="s">
        <v>1195</v>
      </c>
      <c r="U47" s="6" t="s">
        <v>1195</v>
      </c>
      <c r="V47" s="6" t="s">
        <v>1195</v>
      </c>
      <c r="W47" s="6" t="s">
        <v>1195</v>
      </c>
      <c r="X47" s="2">
        <f t="shared" si="12"/>
        <v>42637738.934381731</v>
      </c>
      <c r="Y47" s="6" t="s">
        <v>1195</v>
      </c>
      <c r="Z47" s="6" t="s">
        <v>1195</v>
      </c>
      <c r="AA47" s="2">
        <f t="shared" si="13"/>
        <v>42703909.368794568</v>
      </c>
      <c r="AB47" s="2">
        <v>0</v>
      </c>
    </row>
    <row r="48" spans="1:28">
      <c r="A48" s="2">
        <v>45</v>
      </c>
      <c r="B48" s="2" t="s">
        <v>291</v>
      </c>
      <c r="C48" s="2" t="s">
        <v>2564</v>
      </c>
      <c r="D48" s="4" t="s">
        <v>61</v>
      </c>
      <c r="E48" s="3" t="s">
        <v>38</v>
      </c>
      <c r="F48" s="2" t="s">
        <v>237</v>
      </c>
      <c r="G48" s="2" t="s">
        <v>54</v>
      </c>
      <c r="H48" s="2" t="s">
        <v>292</v>
      </c>
      <c r="I48" s="2" t="s">
        <v>2599</v>
      </c>
      <c r="J48" s="2" t="s">
        <v>2600</v>
      </c>
      <c r="K48" s="2">
        <f t="shared" si="10"/>
        <v>42637738.934381731</v>
      </c>
      <c r="L48" s="2" t="s">
        <v>2143</v>
      </c>
      <c r="M48" s="2" t="s">
        <v>2144</v>
      </c>
      <c r="N48" s="2" t="s">
        <v>2169</v>
      </c>
      <c r="O48" s="2">
        <v>650</v>
      </c>
      <c r="P48" s="2">
        <v>1135.579467773438</v>
      </c>
      <c r="Q48" s="2">
        <v>1019.571960449219</v>
      </c>
      <c r="R48" s="2">
        <f>O48*P48</f>
        <v>738126.65405273472</v>
      </c>
      <c r="S48" s="2">
        <f>O48*Q48</f>
        <v>662721.7742919923</v>
      </c>
      <c r="T48" s="2">
        <f>R48+S48</f>
        <v>1400848.428344727</v>
      </c>
      <c r="U48" s="2">
        <f>ROUND(T48*0.0005, 2)</f>
        <v>700.42</v>
      </c>
      <c r="V48" s="2">
        <f>S48-R48</f>
        <v>-75404.87976074242</v>
      </c>
      <c r="W48" s="2">
        <f>V48-U48</f>
        <v>-76105.299760742419</v>
      </c>
      <c r="X48" s="2">
        <f>K48+W48</f>
        <v>42561633.634620987</v>
      </c>
      <c r="Y48" s="2">
        <f>ROUND(0.2*R48, 2)</f>
        <v>147625.32999999999</v>
      </c>
      <c r="Z48" s="2">
        <f>ROUND((W48/Y48)*100, 2)</f>
        <v>-51.55</v>
      </c>
      <c r="AA48" s="2">
        <f>MAX(AA47, X48)</f>
        <v>42703909.368794568</v>
      </c>
      <c r="AB48" s="2">
        <f>X48-AA48</f>
        <v>-142275.734173581</v>
      </c>
    </row>
    <row r="49" spans="1:28">
      <c r="A49" s="2">
        <v>46</v>
      </c>
      <c r="B49" s="2" t="s">
        <v>295</v>
      </c>
      <c r="C49" s="2" t="s">
        <v>2564</v>
      </c>
      <c r="D49" s="3" t="s">
        <v>37</v>
      </c>
      <c r="E49" s="3" t="s">
        <v>38</v>
      </c>
      <c r="F49" s="2" t="s">
        <v>296</v>
      </c>
      <c r="G49" s="2" t="s">
        <v>161</v>
      </c>
      <c r="H49" s="2" t="s">
        <v>297</v>
      </c>
      <c r="I49" s="2" t="s">
        <v>1139</v>
      </c>
      <c r="J49" s="2" t="s">
        <v>2601</v>
      </c>
      <c r="K49" s="2">
        <f t="shared" si="10"/>
        <v>42561633.634620987</v>
      </c>
      <c r="L49" s="2" t="s">
        <v>2602</v>
      </c>
      <c r="M49" s="2" t="s">
        <v>2590</v>
      </c>
      <c r="N49" s="2" t="s">
        <v>2158</v>
      </c>
      <c r="O49" s="2">
        <v>2100</v>
      </c>
      <c r="P49" s="2">
        <v>185.48944091796881</v>
      </c>
      <c r="Q49" s="2">
        <v>191.86027526855469</v>
      </c>
      <c r="R49" s="2">
        <f>O49*P49</f>
        <v>389527.82592773449</v>
      </c>
      <c r="S49" s="2">
        <f>O49*Q49</f>
        <v>402906.57806396484</v>
      </c>
      <c r="T49" s="2">
        <f>R49+S49</f>
        <v>792434.40399169934</v>
      </c>
      <c r="U49" s="2">
        <f>ROUND(T49*0.0005, 2)</f>
        <v>396.22</v>
      </c>
      <c r="V49" s="2">
        <f>S49-R49</f>
        <v>13378.752136230352</v>
      </c>
      <c r="W49" s="2">
        <f>V49-U49</f>
        <v>12982.532136230353</v>
      </c>
      <c r="X49" s="2">
        <f>K49+W49</f>
        <v>42574616.166757219</v>
      </c>
      <c r="Y49" s="2">
        <f>ROUND(0.2*R49, 2)</f>
        <v>77905.570000000007</v>
      </c>
      <c r="Z49" s="2">
        <f>ROUND((W49/Y49)*100, 2)</f>
        <v>16.66</v>
      </c>
      <c r="AA49" s="2">
        <f>MAX(AA48, X49)</f>
        <v>42703909.368794568</v>
      </c>
      <c r="AB49" s="2">
        <f>X49-AA49</f>
        <v>-129293.20203734934</v>
      </c>
    </row>
    <row r="50" spans="1:28">
      <c r="A50" s="2">
        <v>47</v>
      </c>
      <c r="B50" s="2" t="s">
        <v>299</v>
      </c>
      <c r="C50" s="2" t="s">
        <v>2564</v>
      </c>
      <c r="D50" s="4" t="s">
        <v>61</v>
      </c>
      <c r="E50" s="5" t="s">
        <v>134</v>
      </c>
      <c r="F50" s="2" t="s">
        <v>135</v>
      </c>
      <c r="G50" s="2" t="s">
        <v>143</v>
      </c>
      <c r="H50" s="6" t="s">
        <v>1195</v>
      </c>
      <c r="I50" s="6" t="s">
        <v>1195</v>
      </c>
      <c r="J50" s="6" t="s">
        <v>1195</v>
      </c>
      <c r="K50" s="2">
        <f t="shared" si="10"/>
        <v>42574616.166757219</v>
      </c>
      <c r="L50" s="6" t="s">
        <v>1195</v>
      </c>
      <c r="M50" s="6" t="s">
        <v>1195</v>
      </c>
      <c r="N50" s="6" t="s">
        <v>1195</v>
      </c>
      <c r="O50" s="2">
        <v>713</v>
      </c>
      <c r="P50" s="6" t="s">
        <v>1195</v>
      </c>
      <c r="Q50" s="6" t="s">
        <v>1195</v>
      </c>
      <c r="R50" s="6" t="s">
        <v>1195</v>
      </c>
      <c r="S50" s="6" t="s">
        <v>1195</v>
      </c>
      <c r="T50" s="6" t="s">
        <v>1195</v>
      </c>
      <c r="U50" s="6" t="s">
        <v>1195</v>
      </c>
      <c r="V50" s="6" t="s">
        <v>1195</v>
      </c>
      <c r="W50" s="6" t="s">
        <v>1195</v>
      </c>
      <c r="X50" s="2">
        <f t="shared" ref="X50:X61" si="14">K50</f>
        <v>42574616.166757219</v>
      </c>
      <c r="Y50" s="6" t="s">
        <v>1195</v>
      </c>
      <c r="Z50" s="6" t="s">
        <v>1195</v>
      </c>
      <c r="AA50" s="2">
        <f t="shared" ref="AA50:AA61" si="15">AA49</f>
        <v>42703909.368794568</v>
      </c>
      <c r="AB50" s="2">
        <v>0</v>
      </c>
    </row>
    <row r="51" spans="1:28">
      <c r="A51" s="2">
        <v>48</v>
      </c>
      <c r="B51" s="2" t="s">
        <v>303</v>
      </c>
      <c r="C51" s="2" t="s">
        <v>2564</v>
      </c>
      <c r="D51" s="3" t="s">
        <v>37</v>
      </c>
      <c r="E51" s="5" t="s">
        <v>134</v>
      </c>
      <c r="F51" s="2" t="s">
        <v>135</v>
      </c>
      <c r="G51" s="2" t="s">
        <v>127</v>
      </c>
      <c r="H51" s="6" t="s">
        <v>1195</v>
      </c>
      <c r="I51" s="6" t="s">
        <v>1195</v>
      </c>
      <c r="J51" s="6" t="s">
        <v>1195</v>
      </c>
      <c r="K51" s="2">
        <f t="shared" si="10"/>
        <v>42574616.166757219</v>
      </c>
      <c r="L51" s="6" t="s">
        <v>1195</v>
      </c>
      <c r="M51" s="6" t="s">
        <v>1195</v>
      </c>
      <c r="N51" s="6" t="s">
        <v>1195</v>
      </c>
      <c r="O51" s="2">
        <v>572</v>
      </c>
      <c r="P51" s="6" t="s">
        <v>1195</v>
      </c>
      <c r="Q51" s="6" t="s">
        <v>1195</v>
      </c>
      <c r="R51" s="6" t="s">
        <v>1195</v>
      </c>
      <c r="S51" s="6" t="s">
        <v>1195</v>
      </c>
      <c r="T51" s="6" t="s">
        <v>1195</v>
      </c>
      <c r="U51" s="6" t="s">
        <v>1195</v>
      </c>
      <c r="V51" s="6" t="s">
        <v>1195</v>
      </c>
      <c r="W51" s="6" t="s">
        <v>1195</v>
      </c>
      <c r="X51" s="2">
        <f t="shared" si="14"/>
        <v>42574616.166757219</v>
      </c>
      <c r="Y51" s="6" t="s">
        <v>1195</v>
      </c>
      <c r="Z51" s="6" t="s">
        <v>1195</v>
      </c>
      <c r="AA51" s="2">
        <f t="shared" si="15"/>
        <v>42703909.368794568</v>
      </c>
      <c r="AB51" s="2">
        <v>0</v>
      </c>
    </row>
    <row r="52" spans="1:28">
      <c r="A52" s="2">
        <v>49</v>
      </c>
      <c r="B52" s="2" t="s">
        <v>307</v>
      </c>
      <c r="C52" s="2" t="s">
        <v>2564</v>
      </c>
      <c r="D52" s="3" t="s">
        <v>37</v>
      </c>
      <c r="E52" s="5" t="s">
        <v>134</v>
      </c>
      <c r="F52" s="2" t="s">
        <v>135</v>
      </c>
      <c r="G52" s="2" t="s">
        <v>103</v>
      </c>
      <c r="H52" s="6" t="s">
        <v>1195</v>
      </c>
      <c r="I52" s="6" t="s">
        <v>1195</v>
      </c>
      <c r="J52" s="6" t="s">
        <v>1195</v>
      </c>
      <c r="K52" s="2">
        <f t="shared" si="10"/>
        <v>42574616.166757219</v>
      </c>
      <c r="L52" s="6" t="s">
        <v>1195</v>
      </c>
      <c r="M52" s="6" t="s">
        <v>1195</v>
      </c>
      <c r="N52" s="6" t="s">
        <v>1195</v>
      </c>
      <c r="O52" s="2">
        <v>479</v>
      </c>
      <c r="P52" s="6" t="s">
        <v>1195</v>
      </c>
      <c r="Q52" s="6" t="s">
        <v>1195</v>
      </c>
      <c r="R52" s="6" t="s">
        <v>1195</v>
      </c>
      <c r="S52" s="6" t="s">
        <v>1195</v>
      </c>
      <c r="T52" s="6" t="s">
        <v>1195</v>
      </c>
      <c r="U52" s="6" t="s">
        <v>1195</v>
      </c>
      <c r="V52" s="6" t="s">
        <v>1195</v>
      </c>
      <c r="W52" s="6" t="s">
        <v>1195</v>
      </c>
      <c r="X52" s="2">
        <f t="shared" si="14"/>
        <v>42574616.166757219</v>
      </c>
      <c r="Y52" s="6" t="s">
        <v>1195</v>
      </c>
      <c r="Z52" s="6" t="s">
        <v>1195</v>
      </c>
      <c r="AA52" s="2">
        <f t="shared" si="15"/>
        <v>42703909.368794568</v>
      </c>
      <c r="AB52" s="2">
        <v>0</v>
      </c>
    </row>
    <row r="53" spans="1:28">
      <c r="A53" s="2">
        <v>50</v>
      </c>
      <c r="B53" s="2" t="s">
        <v>311</v>
      </c>
      <c r="C53" s="2" t="s">
        <v>2564</v>
      </c>
      <c r="D53" s="3" t="s">
        <v>37</v>
      </c>
      <c r="E53" s="5" t="s">
        <v>134</v>
      </c>
      <c r="F53" s="2" t="s">
        <v>135</v>
      </c>
      <c r="G53" s="2" t="s">
        <v>77</v>
      </c>
      <c r="H53" s="6" t="s">
        <v>1195</v>
      </c>
      <c r="I53" s="6" t="s">
        <v>1195</v>
      </c>
      <c r="J53" s="6" t="s">
        <v>1195</v>
      </c>
      <c r="K53" s="2">
        <f t="shared" si="10"/>
        <v>42574616.166757219</v>
      </c>
      <c r="L53" s="6" t="s">
        <v>1195</v>
      </c>
      <c r="M53" s="6" t="s">
        <v>1195</v>
      </c>
      <c r="N53" s="6" t="s">
        <v>1195</v>
      </c>
      <c r="O53" s="2">
        <v>1904</v>
      </c>
      <c r="P53" s="6" t="s">
        <v>1195</v>
      </c>
      <c r="Q53" s="6" t="s">
        <v>1195</v>
      </c>
      <c r="R53" s="6" t="s">
        <v>1195</v>
      </c>
      <c r="S53" s="6" t="s">
        <v>1195</v>
      </c>
      <c r="T53" s="6" t="s">
        <v>1195</v>
      </c>
      <c r="U53" s="6" t="s">
        <v>1195</v>
      </c>
      <c r="V53" s="6" t="s">
        <v>1195</v>
      </c>
      <c r="W53" s="6" t="s">
        <v>1195</v>
      </c>
      <c r="X53" s="2">
        <f t="shared" si="14"/>
        <v>42574616.166757219</v>
      </c>
      <c r="Y53" s="6" t="s">
        <v>1195</v>
      </c>
      <c r="Z53" s="6" t="s">
        <v>1195</v>
      </c>
      <c r="AA53" s="2">
        <f t="shared" si="15"/>
        <v>42703909.368794568</v>
      </c>
      <c r="AB53" s="2">
        <v>0</v>
      </c>
    </row>
    <row r="54" spans="1:28">
      <c r="A54" s="2">
        <v>51</v>
      </c>
      <c r="B54" s="2" t="s">
        <v>315</v>
      </c>
      <c r="C54" s="2" t="s">
        <v>2564</v>
      </c>
      <c r="D54" s="4" t="s">
        <v>61</v>
      </c>
      <c r="E54" s="5" t="s">
        <v>134</v>
      </c>
      <c r="F54" s="2" t="s">
        <v>135</v>
      </c>
      <c r="G54" s="2" t="s">
        <v>169</v>
      </c>
      <c r="H54" s="6" t="s">
        <v>1195</v>
      </c>
      <c r="I54" s="6" t="s">
        <v>1195</v>
      </c>
      <c r="J54" s="6" t="s">
        <v>1195</v>
      </c>
      <c r="K54" s="2">
        <f t="shared" si="10"/>
        <v>42574616.166757219</v>
      </c>
      <c r="L54" s="6" t="s">
        <v>1195</v>
      </c>
      <c r="M54" s="6" t="s">
        <v>1195</v>
      </c>
      <c r="N54" s="6" t="s">
        <v>1195</v>
      </c>
      <c r="O54" s="2">
        <v>3841</v>
      </c>
      <c r="P54" s="6" t="s">
        <v>1195</v>
      </c>
      <c r="Q54" s="6" t="s">
        <v>1195</v>
      </c>
      <c r="R54" s="6" t="s">
        <v>1195</v>
      </c>
      <c r="S54" s="6" t="s">
        <v>1195</v>
      </c>
      <c r="T54" s="6" t="s">
        <v>1195</v>
      </c>
      <c r="U54" s="6" t="s">
        <v>1195</v>
      </c>
      <c r="V54" s="6" t="s">
        <v>1195</v>
      </c>
      <c r="W54" s="6" t="s">
        <v>1195</v>
      </c>
      <c r="X54" s="2">
        <f t="shared" si="14"/>
        <v>42574616.166757219</v>
      </c>
      <c r="Y54" s="6" t="s">
        <v>1195</v>
      </c>
      <c r="Z54" s="6" t="s">
        <v>1195</v>
      </c>
      <c r="AA54" s="2">
        <f t="shared" si="15"/>
        <v>42703909.368794568</v>
      </c>
      <c r="AB54" s="2">
        <v>0</v>
      </c>
    </row>
    <row r="55" spans="1:28">
      <c r="A55" s="2">
        <v>52</v>
      </c>
      <c r="B55" s="2" t="s">
        <v>318</v>
      </c>
      <c r="C55" s="2" t="s">
        <v>2564</v>
      </c>
      <c r="D55" s="4" t="s">
        <v>61</v>
      </c>
      <c r="E55" s="5" t="s">
        <v>134</v>
      </c>
      <c r="F55" s="2" t="s">
        <v>135</v>
      </c>
      <c r="G55" s="2" t="s">
        <v>241</v>
      </c>
      <c r="H55" s="6" t="s">
        <v>1195</v>
      </c>
      <c r="I55" s="6" t="s">
        <v>1195</v>
      </c>
      <c r="J55" s="6" t="s">
        <v>1195</v>
      </c>
      <c r="K55" s="2">
        <f t="shared" si="10"/>
        <v>42574616.166757219</v>
      </c>
      <c r="L55" s="6" t="s">
        <v>1195</v>
      </c>
      <c r="M55" s="6" t="s">
        <v>1195</v>
      </c>
      <c r="N55" s="6" t="s">
        <v>1195</v>
      </c>
      <c r="O55" s="2">
        <v>185</v>
      </c>
      <c r="P55" s="6" t="s">
        <v>1195</v>
      </c>
      <c r="Q55" s="6" t="s">
        <v>1195</v>
      </c>
      <c r="R55" s="6" t="s">
        <v>1195</v>
      </c>
      <c r="S55" s="6" t="s">
        <v>1195</v>
      </c>
      <c r="T55" s="6" t="s">
        <v>1195</v>
      </c>
      <c r="U55" s="6" t="s">
        <v>1195</v>
      </c>
      <c r="V55" s="6" t="s">
        <v>1195</v>
      </c>
      <c r="W55" s="6" t="s">
        <v>1195</v>
      </c>
      <c r="X55" s="2">
        <f t="shared" si="14"/>
        <v>42574616.166757219</v>
      </c>
      <c r="Y55" s="6" t="s">
        <v>1195</v>
      </c>
      <c r="Z55" s="6" t="s">
        <v>1195</v>
      </c>
      <c r="AA55" s="2">
        <f t="shared" si="15"/>
        <v>42703909.368794568</v>
      </c>
      <c r="AB55" s="2">
        <v>0</v>
      </c>
    </row>
    <row r="56" spans="1:28">
      <c r="A56" s="2">
        <v>53</v>
      </c>
      <c r="B56" s="2" t="s">
        <v>322</v>
      </c>
      <c r="C56" s="2" t="s">
        <v>2564</v>
      </c>
      <c r="D56" s="3" t="s">
        <v>37</v>
      </c>
      <c r="E56" s="5" t="s">
        <v>134</v>
      </c>
      <c r="F56" s="2" t="s">
        <v>135</v>
      </c>
      <c r="G56" s="2" t="s">
        <v>143</v>
      </c>
      <c r="H56" s="6" t="s">
        <v>1195</v>
      </c>
      <c r="I56" s="6" t="s">
        <v>1195</v>
      </c>
      <c r="J56" s="6" t="s">
        <v>1195</v>
      </c>
      <c r="K56" s="2">
        <f t="shared" si="10"/>
        <v>42574616.166757219</v>
      </c>
      <c r="L56" s="6" t="s">
        <v>1195</v>
      </c>
      <c r="M56" s="6" t="s">
        <v>1195</v>
      </c>
      <c r="N56" s="6" t="s">
        <v>1195</v>
      </c>
      <c r="O56" s="2">
        <v>2346</v>
      </c>
      <c r="P56" s="6" t="s">
        <v>1195</v>
      </c>
      <c r="Q56" s="6" t="s">
        <v>1195</v>
      </c>
      <c r="R56" s="6" t="s">
        <v>1195</v>
      </c>
      <c r="S56" s="6" t="s">
        <v>1195</v>
      </c>
      <c r="T56" s="6" t="s">
        <v>1195</v>
      </c>
      <c r="U56" s="6" t="s">
        <v>1195</v>
      </c>
      <c r="V56" s="6" t="s">
        <v>1195</v>
      </c>
      <c r="W56" s="6" t="s">
        <v>1195</v>
      </c>
      <c r="X56" s="2">
        <f t="shared" si="14"/>
        <v>42574616.166757219</v>
      </c>
      <c r="Y56" s="6" t="s">
        <v>1195</v>
      </c>
      <c r="Z56" s="6" t="s">
        <v>1195</v>
      </c>
      <c r="AA56" s="2">
        <f t="shared" si="15"/>
        <v>42703909.368794568</v>
      </c>
      <c r="AB56" s="2">
        <v>0</v>
      </c>
    </row>
    <row r="57" spans="1:28">
      <c r="A57" s="2">
        <v>54</v>
      </c>
      <c r="B57" s="2" t="s">
        <v>324</v>
      </c>
      <c r="C57" s="2" t="s">
        <v>2564</v>
      </c>
      <c r="D57" s="4" t="s">
        <v>61</v>
      </c>
      <c r="E57" s="5" t="s">
        <v>134</v>
      </c>
      <c r="F57" s="2" t="s">
        <v>135</v>
      </c>
      <c r="G57" s="2" t="s">
        <v>97</v>
      </c>
      <c r="H57" s="6" t="s">
        <v>1195</v>
      </c>
      <c r="I57" s="6" t="s">
        <v>1195</v>
      </c>
      <c r="J57" s="6" t="s">
        <v>1195</v>
      </c>
      <c r="K57" s="2">
        <f t="shared" si="10"/>
        <v>42574616.166757219</v>
      </c>
      <c r="L57" s="6" t="s">
        <v>1195</v>
      </c>
      <c r="M57" s="6" t="s">
        <v>1195</v>
      </c>
      <c r="N57" s="6" t="s">
        <v>1195</v>
      </c>
      <c r="O57" s="2">
        <v>2135</v>
      </c>
      <c r="P57" s="6" t="s">
        <v>1195</v>
      </c>
      <c r="Q57" s="6" t="s">
        <v>1195</v>
      </c>
      <c r="R57" s="6" t="s">
        <v>1195</v>
      </c>
      <c r="S57" s="6" t="s">
        <v>1195</v>
      </c>
      <c r="T57" s="6" t="s">
        <v>1195</v>
      </c>
      <c r="U57" s="6" t="s">
        <v>1195</v>
      </c>
      <c r="V57" s="6" t="s">
        <v>1195</v>
      </c>
      <c r="W57" s="6" t="s">
        <v>1195</v>
      </c>
      <c r="X57" s="2">
        <f t="shared" si="14"/>
        <v>42574616.166757219</v>
      </c>
      <c r="Y57" s="6" t="s">
        <v>1195</v>
      </c>
      <c r="Z57" s="6" t="s">
        <v>1195</v>
      </c>
      <c r="AA57" s="2">
        <f t="shared" si="15"/>
        <v>42703909.368794568</v>
      </c>
      <c r="AB57" s="2">
        <v>0</v>
      </c>
    </row>
    <row r="58" spans="1:28">
      <c r="A58" s="2">
        <v>55</v>
      </c>
      <c r="B58" s="2" t="s">
        <v>328</v>
      </c>
      <c r="C58" s="2" t="s">
        <v>2564</v>
      </c>
      <c r="D58" s="3" t="s">
        <v>37</v>
      </c>
      <c r="E58" s="5" t="s">
        <v>134</v>
      </c>
      <c r="F58" s="2" t="s">
        <v>135</v>
      </c>
      <c r="G58" s="2" t="s">
        <v>143</v>
      </c>
      <c r="H58" s="6" t="s">
        <v>1195</v>
      </c>
      <c r="I58" s="6" t="s">
        <v>1195</v>
      </c>
      <c r="J58" s="6" t="s">
        <v>1195</v>
      </c>
      <c r="K58" s="2">
        <f t="shared" si="10"/>
        <v>42574616.166757219</v>
      </c>
      <c r="L58" s="6" t="s">
        <v>1195</v>
      </c>
      <c r="M58" s="6" t="s">
        <v>1195</v>
      </c>
      <c r="N58" s="6" t="s">
        <v>1195</v>
      </c>
      <c r="O58" s="2">
        <v>200</v>
      </c>
      <c r="P58" s="6" t="s">
        <v>1195</v>
      </c>
      <c r="Q58" s="6" t="s">
        <v>1195</v>
      </c>
      <c r="R58" s="6" t="s">
        <v>1195</v>
      </c>
      <c r="S58" s="6" t="s">
        <v>1195</v>
      </c>
      <c r="T58" s="6" t="s">
        <v>1195</v>
      </c>
      <c r="U58" s="6" t="s">
        <v>1195</v>
      </c>
      <c r="V58" s="6" t="s">
        <v>1195</v>
      </c>
      <c r="W58" s="6" t="s">
        <v>1195</v>
      </c>
      <c r="X58" s="2">
        <f t="shared" si="14"/>
        <v>42574616.166757219</v>
      </c>
      <c r="Y58" s="6" t="s">
        <v>1195</v>
      </c>
      <c r="Z58" s="6" t="s">
        <v>1195</v>
      </c>
      <c r="AA58" s="2">
        <f t="shared" si="15"/>
        <v>42703909.368794568</v>
      </c>
      <c r="AB58" s="2">
        <v>0</v>
      </c>
    </row>
    <row r="59" spans="1:28">
      <c r="A59" s="2">
        <v>56</v>
      </c>
      <c r="B59" s="2" t="s">
        <v>332</v>
      </c>
      <c r="C59" s="2" t="s">
        <v>2564</v>
      </c>
      <c r="D59" s="4" t="s">
        <v>61</v>
      </c>
      <c r="E59" s="5" t="s">
        <v>134</v>
      </c>
      <c r="F59" s="2" t="s">
        <v>135</v>
      </c>
      <c r="G59" s="2" t="s">
        <v>231</v>
      </c>
      <c r="H59" s="6" t="s">
        <v>1195</v>
      </c>
      <c r="I59" s="6" t="s">
        <v>1195</v>
      </c>
      <c r="J59" s="6" t="s">
        <v>1195</v>
      </c>
      <c r="K59" s="2">
        <f t="shared" si="10"/>
        <v>42574616.166757219</v>
      </c>
      <c r="L59" s="6" t="s">
        <v>1195</v>
      </c>
      <c r="M59" s="6" t="s">
        <v>1195</v>
      </c>
      <c r="N59" s="6" t="s">
        <v>1195</v>
      </c>
      <c r="O59" s="2">
        <v>100</v>
      </c>
      <c r="P59" s="6" t="s">
        <v>1195</v>
      </c>
      <c r="Q59" s="6" t="s">
        <v>1195</v>
      </c>
      <c r="R59" s="6" t="s">
        <v>1195</v>
      </c>
      <c r="S59" s="6" t="s">
        <v>1195</v>
      </c>
      <c r="T59" s="6" t="s">
        <v>1195</v>
      </c>
      <c r="U59" s="6" t="s">
        <v>1195</v>
      </c>
      <c r="V59" s="6" t="s">
        <v>1195</v>
      </c>
      <c r="W59" s="6" t="s">
        <v>1195</v>
      </c>
      <c r="X59" s="2">
        <f t="shared" si="14"/>
        <v>42574616.166757219</v>
      </c>
      <c r="Y59" s="6" t="s">
        <v>1195</v>
      </c>
      <c r="Z59" s="6" t="s">
        <v>1195</v>
      </c>
      <c r="AA59" s="2">
        <f t="shared" si="15"/>
        <v>42703909.368794568</v>
      </c>
      <c r="AB59" s="2">
        <v>0</v>
      </c>
    </row>
    <row r="60" spans="1:28">
      <c r="A60" s="2">
        <v>57</v>
      </c>
      <c r="B60" s="2" t="s">
        <v>337</v>
      </c>
      <c r="C60" s="2" t="s">
        <v>2564</v>
      </c>
      <c r="D60" s="4" t="s">
        <v>61</v>
      </c>
      <c r="E60" s="5" t="s">
        <v>134</v>
      </c>
      <c r="F60" s="2" t="s">
        <v>135</v>
      </c>
      <c r="G60" s="2" t="s">
        <v>77</v>
      </c>
      <c r="H60" s="6" t="s">
        <v>1195</v>
      </c>
      <c r="I60" s="6" t="s">
        <v>1195</v>
      </c>
      <c r="J60" s="6" t="s">
        <v>1195</v>
      </c>
      <c r="K60" s="2">
        <f t="shared" si="10"/>
        <v>42574616.166757219</v>
      </c>
      <c r="L60" s="6" t="s">
        <v>1195</v>
      </c>
      <c r="M60" s="6" t="s">
        <v>1195</v>
      </c>
      <c r="N60" s="6" t="s">
        <v>1195</v>
      </c>
      <c r="O60" s="2">
        <v>1527</v>
      </c>
      <c r="P60" s="6" t="s">
        <v>1195</v>
      </c>
      <c r="Q60" s="6" t="s">
        <v>1195</v>
      </c>
      <c r="R60" s="6" t="s">
        <v>1195</v>
      </c>
      <c r="S60" s="6" t="s">
        <v>1195</v>
      </c>
      <c r="T60" s="6" t="s">
        <v>1195</v>
      </c>
      <c r="U60" s="6" t="s">
        <v>1195</v>
      </c>
      <c r="V60" s="6" t="s">
        <v>1195</v>
      </c>
      <c r="W60" s="6" t="s">
        <v>1195</v>
      </c>
      <c r="X60" s="2">
        <f t="shared" si="14"/>
        <v>42574616.166757219</v>
      </c>
      <c r="Y60" s="6" t="s">
        <v>1195</v>
      </c>
      <c r="Z60" s="6" t="s">
        <v>1195</v>
      </c>
      <c r="AA60" s="2">
        <f t="shared" si="15"/>
        <v>42703909.368794568</v>
      </c>
      <c r="AB60" s="2">
        <v>0</v>
      </c>
    </row>
    <row r="61" spans="1:28">
      <c r="A61" s="2">
        <v>58</v>
      </c>
      <c r="B61" s="2" t="s">
        <v>341</v>
      </c>
      <c r="C61" s="2" t="s">
        <v>2564</v>
      </c>
      <c r="D61" s="4" t="s">
        <v>61</v>
      </c>
      <c r="E61" s="5" t="s">
        <v>134</v>
      </c>
      <c r="F61" s="2" t="s">
        <v>135</v>
      </c>
      <c r="G61" s="2" t="s">
        <v>97</v>
      </c>
      <c r="H61" s="6" t="s">
        <v>1195</v>
      </c>
      <c r="I61" s="6" t="s">
        <v>1195</v>
      </c>
      <c r="J61" s="6" t="s">
        <v>1195</v>
      </c>
      <c r="K61" s="2">
        <f t="shared" si="10"/>
        <v>42574616.166757219</v>
      </c>
      <c r="L61" s="6" t="s">
        <v>1195</v>
      </c>
      <c r="M61" s="6" t="s">
        <v>1195</v>
      </c>
      <c r="N61" s="6" t="s">
        <v>1195</v>
      </c>
      <c r="O61" s="2">
        <v>258</v>
      </c>
      <c r="P61" s="6" t="s">
        <v>1195</v>
      </c>
      <c r="Q61" s="6" t="s">
        <v>1195</v>
      </c>
      <c r="R61" s="6" t="s">
        <v>1195</v>
      </c>
      <c r="S61" s="6" t="s">
        <v>1195</v>
      </c>
      <c r="T61" s="6" t="s">
        <v>1195</v>
      </c>
      <c r="U61" s="6" t="s">
        <v>1195</v>
      </c>
      <c r="V61" s="6" t="s">
        <v>1195</v>
      </c>
      <c r="W61" s="6" t="s">
        <v>1195</v>
      </c>
      <c r="X61" s="2">
        <f t="shared" si="14"/>
        <v>42574616.166757219</v>
      </c>
      <c r="Y61" s="6" t="s">
        <v>1195</v>
      </c>
      <c r="Z61" s="6" t="s">
        <v>1195</v>
      </c>
      <c r="AA61" s="2">
        <f t="shared" si="15"/>
        <v>42703909.368794568</v>
      </c>
      <c r="AB61" s="2">
        <v>0</v>
      </c>
    </row>
    <row r="62" spans="1:28">
      <c r="A62" s="2">
        <v>59</v>
      </c>
      <c r="B62" s="2" t="s">
        <v>347</v>
      </c>
      <c r="C62" s="2" t="s">
        <v>2564</v>
      </c>
      <c r="D62" s="4" t="s">
        <v>61</v>
      </c>
      <c r="E62" s="3" t="s">
        <v>38</v>
      </c>
      <c r="F62" s="2" t="s">
        <v>83</v>
      </c>
      <c r="G62" s="2" t="s">
        <v>231</v>
      </c>
      <c r="H62" s="2" t="s">
        <v>348</v>
      </c>
      <c r="I62" s="2" t="s">
        <v>2603</v>
      </c>
      <c r="J62" s="2" t="s">
        <v>1012</v>
      </c>
      <c r="K62" s="2">
        <f t="shared" si="10"/>
        <v>42574616.166757219</v>
      </c>
      <c r="L62" s="2" t="s">
        <v>2604</v>
      </c>
      <c r="M62" s="2" t="s">
        <v>2602</v>
      </c>
      <c r="N62" s="2" t="s">
        <v>2169</v>
      </c>
      <c r="O62" s="2">
        <v>125</v>
      </c>
      <c r="P62" s="2">
        <v>1096.080078125</v>
      </c>
      <c r="Q62" s="2">
        <v>1019.120788574219</v>
      </c>
      <c r="R62" s="2">
        <f>O62*P62</f>
        <v>137010.009765625</v>
      </c>
      <c r="S62" s="2">
        <f>O62*Q62</f>
        <v>127390.09857177737</v>
      </c>
      <c r="T62" s="2">
        <f>R62+S62</f>
        <v>264400.10833740234</v>
      </c>
      <c r="U62" s="2">
        <f>ROUND(T62*0.0005, 2)</f>
        <v>132.19999999999999</v>
      </c>
      <c r="V62" s="2">
        <f>S62-R62</f>
        <v>-9619.9111938476271</v>
      </c>
      <c r="W62" s="2">
        <f>V62-U62</f>
        <v>-9752.1111938476279</v>
      </c>
      <c r="X62" s="2">
        <f>K62+W62</f>
        <v>42564864.055563368</v>
      </c>
      <c r="Y62" s="2">
        <f>ROUND(0.2*R62, 2)</f>
        <v>27402</v>
      </c>
      <c r="Z62" s="2">
        <f>ROUND((W62/Y62)*100, 2)</f>
        <v>-35.590000000000003</v>
      </c>
      <c r="AA62" s="2">
        <f>MAX(AA61, X62)</f>
        <v>42703909.368794568</v>
      </c>
      <c r="AB62" s="2">
        <f>X62-AA62</f>
        <v>-139045.31323119998</v>
      </c>
    </row>
    <row r="63" spans="1:28">
      <c r="A63" s="2">
        <v>60</v>
      </c>
      <c r="B63" s="2" t="s">
        <v>351</v>
      </c>
      <c r="C63" s="2" t="s">
        <v>2564</v>
      </c>
      <c r="D63" s="3" t="s">
        <v>37</v>
      </c>
      <c r="E63" s="3" t="s">
        <v>38</v>
      </c>
      <c r="F63" s="2" t="s">
        <v>352</v>
      </c>
      <c r="G63" s="2" t="s">
        <v>161</v>
      </c>
      <c r="H63" s="2" t="s">
        <v>353</v>
      </c>
      <c r="I63" s="2" t="s">
        <v>1628</v>
      </c>
      <c r="J63" s="2" t="s">
        <v>1831</v>
      </c>
      <c r="K63" s="2">
        <f t="shared" si="10"/>
        <v>42564864.055563368</v>
      </c>
      <c r="L63" s="2" t="s">
        <v>2170</v>
      </c>
      <c r="M63" s="2" t="s">
        <v>2159</v>
      </c>
      <c r="N63" s="2" t="s">
        <v>2574</v>
      </c>
      <c r="O63" s="2">
        <v>175</v>
      </c>
      <c r="P63" s="2">
        <v>3212.1845703125</v>
      </c>
      <c r="Q63" s="2">
        <v>3240.818115234375</v>
      </c>
      <c r="R63" s="2">
        <f>O63*P63</f>
        <v>562132.2998046875</v>
      </c>
      <c r="S63" s="2">
        <f>O63*Q63</f>
        <v>567143.17016601562</v>
      </c>
      <c r="T63" s="2">
        <f>R63+S63</f>
        <v>1129275.4699707031</v>
      </c>
      <c r="U63" s="2">
        <f>ROUND(T63*0.0005, 2)</f>
        <v>564.64</v>
      </c>
      <c r="V63" s="2">
        <f>S63-R63</f>
        <v>5010.870361328125</v>
      </c>
      <c r="W63" s="2">
        <f>V63-U63</f>
        <v>4446.2303613281247</v>
      </c>
      <c r="X63" s="2">
        <f>K63+W63</f>
        <v>42569310.285924695</v>
      </c>
      <c r="Y63" s="2">
        <f>ROUND(0.2*R63, 2)</f>
        <v>112426.46</v>
      </c>
      <c r="Z63" s="2">
        <f>ROUND((W63/Y63)*100, 2)</f>
        <v>3.95</v>
      </c>
      <c r="AA63" s="2">
        <f>MAX(AA62, X63)</f>
        <v>42703909.368794568</v>
      </c>
      <c r="AB63" s="2">
        <f>X63-AA63</f>
        <v>-134599.08286987245</v>
      </c>
    </row>
    <row r="64" spans="1:28">
      <c r="A64" s="2">
        <v>61</v>
      </c>
      <c r="B64" s="2" t="s">
        <v>355</v>
      </c>
      <c r="C64" s="2" t="s">
        <v>2564</v>
      </c>
      <c r="D64" s="3" t="s">
        <v>37</v>
      </c>
      <c r="E64" s="3" t="s">
        <v>38</v>
      </c>
      <c r="F64" s="2" t="s">
        <v>356</v>
      </c>
      <c r="G64" s="2" t="s">
        <v>177</v>
      </c>
      <c r="H64" s="6" t="s">
        <v>1195</v>
      </c>
      <c r="I64" s="6" t="s">
        <v>1195</v>
      </c>
      <c r="J64" s="6" t="s">
        <v>1195</v>
      </c>
      <c r="K64" s="2">
        <f t="shared" si="10"/>
        <v>42569310.285924695</v>
      </c>
      <c r="L64" s="6" t="s">
        <v>1195</v>
      </c>
      <c r="M64" s="6" t="s">
        <v>1195</v>
      </c>
      <c r="N64" s="6" t="s">
        <v>1195</v>
      </c>
      <c r="O64" s="2">
        <v>3399</v>
      </c>
      <c r="P64" s="6" t="s">
        <v>1195</v>
      </c>
      <c r="Q64" s="6" t="s">
        <v>1195</v>
      </c>
      <c r="R64" s="6" t="s">
        <v>1195</v>
      </c>
      <c r="S64" s="6" t="s">
        <v>1195</v>
      </c>
      <c r="T64" s="6" t="s">
        <v>1195</v>
      </c>
      <c r="U64" s="6" t="s">
        <v>1195</v>
      </c>
      <c r="V64" s="6" t="s">
        <v>1195</v>
      </c>
      <c r="W64" s="6" t="s">
        <v>1195</v>
      </c>
      <c r="X64" s="2">
        <f>K64</f>
        <v>42569310.285924695</v>
      </c>
      <c r="Y64" s="6" t="s">
        <v>1195</v>
      </c>
      <c r="Z64" s="6" t="s">
        <v>1195</v>
      </c>
      <c r="AA64" s="2">
        <f>AA63</f>
        <v>42703909.368794568</v>
      </c>
      <c r="AB64" s="2">
        <v>0</v>
      </c>
    </row>
    <row r="65" spans="1:28">
      <c r="A65" s="2">
        <v>62</v>
      </c>
      <c r="B65" s="2" t="s">
        <v>360</v>
      </c>
      <c r="C65" s="2" t="s">
        <v>2564</v>
      </c>
      <c r="D65" s="3" t="s">
        <v>37</v>
      </c>
      <c r="E65" s="5" t="s">
        <v>134</v>
      </c>
      <c r="F65" s="2" t="s">
        <v>135</v>
      </c>
      <c r="G65" s="2" t="s">
        <v>77</v>
      </c>
      <c r="H65" s="6" t="s">
        <v>1195</v>
      </c>
      <c r="I65" s="6" t="s">
        <v>1195</v>
      </c>
      <c r="J65" s="6" t="s">
        <v>1195</v>
      </c>
      <c r="K65" s="2">
        <f t="shared" si="10"/>
        <v>42569310.285924695</v>
      </c>
      <c r="L65" s="6" t="s">
        <v>1195</v>
      </c>
      <c r="M65" s="6" t="s">
        <v>1195</v>
      </c>
      <c r="N65" s="6" t="s">
        <v>1195</v>
      </c>
      <c r="O65" s="2">
        <v>2823</v>
      </c>
      <c r="P65" s="6" t="s">
        <v>1195</v>
      </c>
      <c r="Q65" s="6" t="s">
        <v>1195</v>
      </c>
      <c r="R65" s="6" t="s">
        <v>1195</v>
      </c>
      <c r="S65" s="6" t="s">
        <v>1195</v>
      </c>
      <c r="T65" s="6" t="s">
        <v>1195</v>
      </c>
      <c r="U65" s="6" t="s">
        <v>1195</v>
      </c>
      <c r="V65" s="6" t="s">
        <v>1195</v>
      </c>
      <c r="W65" s="6" t="s">
        <v>1195</v>
      </c>
      <c r="X65" s="2">
        <f>K65</f>
        <v>42569310.285924695</v>
      </c>
      <c r="Y65" s="6" t="s">
        <v>1195</v>
      </c>
      <c r="Z65" s="6" t="s">
        <v>1195</v>
      </c>
      <c r="AA65" s="2">
        <f>AA64</f>
        <v>42703909.368794568</v>
      </c>
      <c r="AB65" s="2">
        <v>0</v>
      </c>
    </row>
    <row r="66" spans="1:28">
      <c r="A66" s="2">
        <v>63</v>
      </c>
      <c r="B66" s="2" t="s">
        <v>364</v>
      </c>
      <c r="C66" s="2" t="s">
        <v>2564</v>
      </c>
      <c r="D66" s="3" t="s">
        <v>37</v>
      </c>
      <c r="E66" s="3" t="s">
        <v>38</v>
      </c>
      <c r="F66" s="2" t="s">
        <v>365</v>
      </c>
      <c r="G66" s="2" t="s">
        <v>177</v>
      </c>
      <c r="H66" s="2" t="s">
        <v>313</v>
      </c>
      <c r="I66" s="2" t="s">
        <v>976</v>
      </c>
      <c r="J66" s="2" t="s">
        <v>2136</v>
      </c>
      <c r="K66" s="2">
        <f t="shared" si="10"/>
        <v>42569310.285924695</v>
      </c>
      <c r="L66" s="2" t="s">
        <v>2605</v>
      </c>
      <c r="M66" s="2" t="s">
        <v>2547</v>
      </c>
      <c r="N66" s="2" t="s">
        <v>2606</v>
      </c>
      <c r="O66" s="2">
        <v>100</v>
      </c>
      <c r="P66" s="2">
        <v>7242.14794921875</v>
      </c>
      <c r="Q66" s="2">
        <v>7776.2880859375</v>
      </c>
      <c r="R66" s="2">
        <f>O66*P66</f>
        <v>724214.794921875</v>
      </c>
      <c r="S66" s="2">
        <f>O66*Q66</f>
        <v>777628.80859375</v>
      </c>
      <c r="T66" s="2">
        <f>R66+S66</f>
        <v>1501843.603515625</v>
      </c>
      <c r="U66" s="2">
        <f>ROUND(T66*0.0005, 2)</f>
        <v>750.92</v>
      </c>
      <c r="V66" s="2">
        <f>S66-R66</f>
        <v>53414.013671875</v>
      </c>
      <c r="W66" s="2">
        <f>V66-U66</f>
        <v>52663.093671875002</v>
      </c>
      <c r="X66" s="2">
        <f>K66+W66</f>
        <v>42621973.379596569</v>
      </c>
      <c r="Y66" s="2">
        <f>ROUND(0.2*R66, 2)</f>
        <v>144842.96</v>
      </c>
      <c r="Z66" s="2">
        <f>ROUND((W66/Y66)*100, 2)</f>
        <v>36.36</v>
      </c>
      <c r="AA66" s="2">
        <f>MAX(AA65, X66)</f>
        <v>42703909.368794568</v>
      </c>
      <c r="AB66" s="2">
        <f>X66-AA66</f>
        <v>-81935.989197999239</v>
      </c>
    </row>
    <row r="67" spans="1:28">
      <c r="A67" s="2">
        <v>64</v>
      </c>
      <c r="B67" s="2" t="s">
        <v>369</v>
      </c>
      <c r="C67" s="2" t="s">
        <v>2564</v>
      </c>
      <c r="D67" s="3" t="s">
        <v>37</v>
      </c>
      <c r="E67" s="5" t="s">
        <v>134</v>
      </c>
      <c r="F67" s="2" t="s">
        <v>135</v>
      </c>
      <c r="G67" s="2" t="s">
        <v>103</v>
      </c>
      <c r="H67" s="6" t="s">
        <v>1195</v>
      </c>
      <c r="I67" s="6" t="s">
        <v>1195</v>
      </c>
      <c r="J67" s="6" t="s">
        <v>1195</v>
      </c>
      <c r="K67" s="2">
        <f t="shared" si="10"/>
        <v>42621973.379596569</v>
      </c>
      <c r="L67" s="6" t="s">
        <v>1195</v>
      </c>
      <c r="M67" s="6" t="s">
        <v>1195</v>
      </c>
      <c r="N67" s="6" t="s">
        <v>1195</v>
      </c>
      <c r="O67" s="2">
        <v>1053</v>
      </c>
      <c r="P67" s="6" t="s">
        <v>1195</v>
      </c>
      <c r="Q67" s="6" t="s">
        <v>1195</v>
      </c>
      <c r="R67" s="6" t="s">
        <v>1195</v>
      </c>
      <c r="S67" s="6" t="s">
        <v>1195</v>
      </c>
      <c r="T67" s="6" t="s">
        <v>1195</v>
      </c>
      <c r="U67" s="6" t="s">
        <v>1195</v>
      </c>
      <c r="V67" s="6" t="s">
        <v>1195</v>
      </c>
      <c r="W67" s="6" t="s">
        <v>1195</v>
      </c>
      <c r="X67" s="2">
        <f t="shared" ref="X67:X73" si="16">K67</f>
        <v>42621973.379596569</v>
      </c>
      <c r="Y67" s="6" t="s">
        <v>1195</v>
      </c>
      <c r="Z67" s="6" t="s">
        <v>1195</v>
      </c>
      <c r="AA67" s="2">
        <f t="shared" ref="AA67:AA73" si="17">AA66</f>
        <v>42703909.368794568</v>
      </c>
      <c r="AB67" s="2">
        <v>0</v>
      </c>
    </row>
    <row r="68" spans="1:28">
      <c r="A68" s="2">
        <v>65</v>
      </c>
      <c r="B68" s="2" t="s">
        <v>372</v>
      </c>
      <c r="C68" s="2" t="s">
        <v>2564</v>
      </c>
      <c r="D68" s="3" t="s">
        <v>37</v>
      </c>
      <c r="E68" s="5" t="s">
        <v>134</v>
      </c>
      <c r="F68" s="2" t="s">
        <v>135</v>
      </c>
      <c r="G68" s="2" t="s">
        <v>177</v>
      </c>
      <c r="H68" s="6" t="s">
        <v>1195</v>
      </c>
      <c r="I68" s="6" t="s">
        <v>1195</v>
      </c>
      <c r="J68" s="6" t="s">
        <v>1195</v>
      </c>
      <c r="K68" s="2">
        <f t="shared" si="10"/>
        <v>42621973.379596569</v>
      </c>
      <c r="L68" s="6" t="s">
        <v>1195</v>
      </c>
      <c r="M68" s="6" t="s">
        <v>1195</v>
      </c>
      <c r="N68" s="6" t="s">
        <v>1195</v>
      </c>
      <c r="O68" s="2">
        <v>5759</v>
      </c>
      <c r="P68" s="6" t="s">
        <v>1195</v>
      </c>
      <c r="Q68" s="6" t="s">
        <v>1195</v>
      </c>
      <c r="R68" s="6" t="s">
        <v>1195</v>
      </c>
      <c r="S68" s="6" t="s">
        <v>1195</v>
      </c>
      <c r="T68" s="6" t="s">
        <v>1195</v>
      </c>
      <c r="U68" s="6" t="s">
        <v>1195</v>
      </c>
      <c r="V68" s="6" t="s">
        <v>1195</v>
      </c>
      <c r="W68" s="6" t="s">
        <v>1195</v>
      </c>
      <c r="X68" s="2">
        <f t="shared" si="16"/>
        <v>42621973.379596569</v>
      </c>
      <c r="Y68" s="6" t="s">
        <v>1195</v>
      </c>
      <c r="Z68" s="6" t="s">
        <v>1195</v>
      </c>
      <c r="AA68" s="2">
        <f t="shared" si="17"/>
        <v>42703909.368794568</v>
      </c>
      <c r="AB68" s="2">
        <v>0</v>
      </c>
    </row>
    <row r="69" spans="1:28">
      <c r="A69" s="2">
        <v>66</v>
      </c>
      <c r="B69" s="2" t="s">
        <v>376</v>
      </c>
      <c r="C69" s="2" t="s">
        <v>2564</v>
      </c>
      <c r="D69" s="3" t="s">
        <v>37</v>
      </c>
      <c r="E69" s="5" t="s">
        <v>134</v>
      </c>
      <c r="F69" s="2" t="s">
        <v>135</v>
      </c>
      <c r="G69" s="2" t="s">
        <v>177</v>
      </c>
      <c r="H69" s="6" t="s">
        <v>1195</v>
      </c>
      <c r="I69" s="6" t="s">
        <v>1195</v>
      </c>
      <c r="J69" s="6" t="s">
        <v>1195</v>
      </c>
      <c r="K69" s="2">
        <f t="shared" ref="K69:K132" si="18">X68</f>
        <v>42621973.379596569</v>
      </c>
      <c r="L69" s="6" t="s">
        <v>1195</v>
      </c>
      <c r="M69" s="6" t="s">
        <v>1195</v>
      </c>
      <c r="N69" s="6" t="s">
        <v>1195</v>
      </c>
      <c r="O69" s="2">
        <v>456</v>
      </c>
      <c r="P69" s="6" t="s">
        <v>1195</v>
      </c>
      <c r="Q69" s="6" t="s">
        <v>1195</v>
      </c>
      <c r="R69" s="6" t="s">
        <v>1195</v>
      </c>
      <c r="S69" s="6" t="s">
        <v>1195</v>
      </c>
      <c r="T69" s="6" t="s">
        <v>1195</v>
      </c>
      <c r="U69" s="6" t="s">
        <v>1195</v>
      </c>
      <c r="V69" s="6" t="s">
        <v>1195</v>
      </c>
      <c r="W69" s="6" t="s">
        <v>1195</v>
      </c>
      <c r="X69" s="2">
        <f t="shared" si="16"/>
        <v>42621973.379596569</v>
      </c>
      <c r="Y69" s="6" t="s">
        <v>1195</v>
      </c>
      <c r="Z69" s="6" t="s">
        <v>1195</v>
      </c>
      <c r="AA69" s="2">
        <f t="shared" si="17"/>
        <v>42703909.368794568</v>
      </c>
      <c r="AB69" s="2">
        <v>0</v>
      </c>
    </row>
    <row r="70" spans="1:28">
      <c r="A70" s="2">
        <v>67</v>
      </c>
      <c r="B70" s="2" t="s">
        <v>381</v>
      </c>
      <c r="C70" s="2" t="s">
        <v>2564</v>
      </c>
      <c r="D70" s="4" t="s">
        <v>61</v>
      </c>
      <c r="E70" s="5" t="s">
        <v>134</v>
      </c>
      <c r="F70" s="2" t="s">
        <v>135</v>
      </c>
      <c r="G70" s="2" t="s">
        <v>177</v>
      </c>
      <c r="H70" s="6" t="s">
        <v>1195</v>
      </c>
      <c r="I70" s="6" t="s">
        <v>1195</v>
      </c>
      <c r="J70" s="6" t="s">
        <v>1195</v>
      </c>
      <c r="K70" s="2">
        <f t="shared" si="18"/>
        <v>42621973.379596569</v>
      </c>
      <c r="L70" s="6" t="s">
        <v>1195</v>
      </c>
      <c r="M70" s="6" t="s">
        <v>1195</v>
      </c>
      <c r="N70" s="6" t="s">
        <v>1195</v>
      </c>
      <c r="O70" s="2">
        <v>9623</v>
      </c>
      <c r="P70" s="6" t="s">
        <v>1195</v>
      </c>
      <c r="Q70" s="6" t="s">
        <v>1195</v>
      </c>
      <c r="R70" s="6" t="s">
        <v>1195</v>
      </c>
      <c r="S70" s="6" t="s">
        <v>1195</v>
      </c>
      <c r="T70" s="6" t="s">
        <v>1195</v>
      </c>
      <c r="U70" s="6" t="s">
        <v>1195</v>
      </c>
      <c r="V70" s="6" t="s">
        <v>1195</v>
      </c>
      <c r="W70" s="6" t="s">
        <v>1195</v>
      </c>
      <c r="X70" s="2">
        <f t="shared" si="16"/>
        <v>42621973.379596569</v>
      </c>
      <c r="Y70" s="6" t="s">
        <v>1195</v>
      </c>
      <c r="Z70" s="6" t="s">
        <v>1195</v>
      </c>
      <c r="AA70" s="2">
        <f t="shared" si="17"/>
        <v>42703909.368794568</v>
      </c>
      <c r="AB70" s="2">
        <v>0</v>
      </c>
    </row>
    <row r="71" spans="1:28">
      <c r="A71" s="2">
        <v>68</v>
      </c>
      <c r="B71" s="2" t="s">
        <v>385</v>
      </c>
      <c r="C71" s="2" t="s">
        <v>2564</v>
      </c>
      <c r="D71" s="3" t="s">
        <v>37</v>
      </c>
      <c r="E71" s="5" t="s">
        <v>134</v>
      </c>
      <c r="F71" s="2" t="s">
        <v>135</v>
      </c>
      <c r="G71" s="2" t="s">
        <v>54</v>
      </c>
      <c r="H71" s="6" t="s">
        <v>1195</v>
      </c>
      <c r="I71" s="6" t="s">
        <v>1195</v>
      </c>
      <c r="J71" s="6" t="s">
        <v>1195</v>
      </c>
      <c r="K71" s="2">
        <f t="shared" si="18"/>
        <v>42621973.379596569</v>
      </c>
      <c r="L71" s="6" t="s">
        <v>1195</v>
      </c>
      <c r="M71" s="6" t="s">
        <v>1195</v>
      </c>
      <c r="N71" s="6" t="s">
        <v>1195</v>
      </c>
      <c r="O71" s="2">
        <v>469</v>
      </c>
      <c r="P71" s="6" t="s">
        <v>1195</v>
      </c>
      <c r="Q71" s="6" t="s">
        <v>1195</v>
      </c>
      <c r="R71" s="6" t="s">
        <v>1195</v>
      </c>
      <c r="S71" s="6" t="s">
        <v>1195</v>
      </c>
      <c r="T71" s="6" t="s">
        <v>1195</v>
      </c>
      <c r="U71" s="6" t="s">
        <v>1195</v>
      </c>
      <c r="V71" s="6" t="s">
        <v>1195</v>
      </c>
      <c r="W71" s="6" t="s">
        <v>1195</v>
      </c>
      <c r="X71" s="2">
        <f t="shared" si="16"/>
        <v>42621973.379596569</v>
      </c>
      <c r="Y71" s="6" t="s">
        <v>1195</v>
      </c>
      <c r="Z71" s="6" t="s">
        <v>1195</v>
      </c>
      <c r="AA71" s="2">
        <f t="shared" si="17"/>
        <v>42703909.368794568</v>
      </c>
      <c r="AB71" s="2">
        <v>0</v>
      </c>
    </row>
    <row r="72" spans="1:28">
      <c r="A72" s="2">
        <v>69</v>
      </c>
      <c r="B72" s="2" t="s">
        <v>390</v>
      </c>
      <c r="C72" s="2" t="s">
        <v>2564</v>
      </c>
      <c r="D72" s="3" t="s">
        <v>37</v>
      </c>
      <c r="E72" s="5" t="s">
        <v>134</v>
      </c>
      <c r="F72" s="2" t="s">
        <v>135</v>
      </c>
      <c r="G72" s="2" t="s">
        <v>143</v>
      </c>
      <c r="H72" s="6" t="s">
        <v>1195</v>
      </c>
      <c r="I72" s="6" t="s">
        <v>1195</v>
      </c>
      <c r="J72" s="6" t="s">
        <v>1195</v>
      </c>
      <c r="K72" s="2">
        <f t="shared" si="18"/>
        <v>42621973.379596569</v>
      </c>
      <c r="L72" s="6" t="s">
        <v>1195</v>
      </c>
      <c r="M72" s="6" t="s">
        <v>1195</v>
      </c>
      <c r="N72" s="6" t="s">
        <v>1195</v>
      </c>
      <c r="O72" s="2">
        <v>932</v>
      </c>
      <c r="P72" s="6" t="s">
        <v>1195</v>
      </c>
      <c r="Q72" s="6" t="s">
        <v>1195</v>
      </c>
      <c r="R72" s="6" t="s">
        <v>1195</v>
      </c>
      <c r="S72" s="6" t="s">
        <v>1195</v>
      </c>
      <c r="T72" s="6" t="s">
        <v>1195</v>
      </c>
      <c r="U72" s="6" t="s">
        <v>1195</v>
      </c>
      <c r="V72" s="6" t="s">
        <v>1195</v>
      </c>
      <c r="W72" s="6" t="s">
        <v>1195</v>
      </c>
      <c r="X72" s="2">
        <f t="shared" si="16"/>
        <v>42621973.379596569</v>
      </c>
      <c r="Y72" s="6" t="s">
        <v>1195</v>
      </c>
      <c r="Z72" s="6" t="s">
        <v>1195</v>
      </c>
      <c r="AA72" s="2">
        <f t="shared" si="17"/>
        <v>42703909.368794568</v>
      </c>
      <c r="AB72" s="2">
        <v>0</v>
      </c>
    </row>
    <row r="73" spans="1:28">
      <c r="A73" s="2">
        <v>70</v>
      </c>
      <c r="B73" s="2" t="s">
        <v>393</v>
      </c>
      <c r="C73" s="2" t="s">
        <v>2564</v>
      </c>
      <c r="D73" s="4" t="s">
        <v>61</v>
      </c>
      <c r="E73" s="5" t="s">
        <v>134</v>
      </c>
      <c r="F73" s="2" t="s">
        <v>135</v>
      </c>
      <c r="G73" s="2" t="s">
        <v>231</v>
      </c>
      <c r="H73" s="6" t="s">
        <v>1195</v>
      </c>
      <c r="I73" s="6" t="s">
        <v>1195</v>
      </c>
      <c r="J73" s="6" t="s">
        <v>1195</v>
      </c>
      <c r="K73" s="2">
        <f t="shared" si="18"/>
        <v>42621973.379596569</v>
      </c>
      <c r="L73" s="6" t="s">
        <v>1195</v>
      </c>
      <c r="M73" s="6" t="s">
        <v>1195</v>
      </c>
      <c r="N73" s="6" t="s">
        <v>1195</v>
      </c>
      <c r="O73" s="2">
        <v>473</v>
      </c>
      <c r="P73" s="6" t="s">
        <v>1195</v>
      </c>
      <c r="Q73" s="6" t="s">
        <v>1195</v>
      </c>
      <c r="R73" s="6" t="s">
        <v>1195</v>
      </c>
      <c r="S73" s="6" t="s">
        <v>1195</v>
      </c>
      <c r="T73" s="6" t="s">
        <v>1195</v>
      </c>
      <c r="U73" s="6" t="s">
        <v>1195</v>
      </c>
      <c r="V73" s="6" t="s">
        <v>1195</v>
      </c>
      <c r="W73" s="6" t="s">
        <v>1195</v>
      </c>
      <c r="X73" s="2">
        <f t="shared" si="16"/>
        <v>42621973.379596569</v>
      </c>
      <c r="Y73" s="6" t="s">
        <v>1195</v>
      </c>
      <c r="Z73" s="6" t="s">
        <v>1195</v>
      </c>
      <c r="AA73" s="2">
        <f t="shared" si="17"/>
        <v>42703909.368794568</v>
      </c>
      <c r="AB73" s="2">
        <v>0</v>
      </c>
    </row>
    <row r="74" spans="1:28">
      <c r="A74" s="2">
        <v>71</v>
      </c>
      <c r="B74" s="2" t="s">
        <v>397</v>
      </c>
      <c r="C74" s="2" t="s">
        <v>2564</v>
      </c>
      <c r="D74" s="4" t="s">
        <v>61</v>
      </c>
      <c r="E74" s="3" t="s">
        <v>38</v>
      </c>
      <c r="F74" s="2" t="s">
        <v>398</v>
      </c>
      <c r="G74" s="2" t="s">
        <v>241</v>
      </c>
      <c r="H74" s="2" t="s">
        <v>399</v>
      </c>
      <c r="I74" s="2" t="s">
        <v>426</v>
      </c>
      <c r="J74" s="2" t="s">
        <v>2607</v>
      </c>
      <c r="K74" s="2">
        <f t="shared" si="18"/>
        <v>42621973.379596569</v>
      </c>
      <c r="L74" s="2" t="s">
        <v>2159</v>
      </c>
      <c r="M74" s="2" t="s">
        <v>2591</v>
      </c>
      <c r="N74" s="2" t="s">
        <v>2590</v>
      </c>
      <c r="O74" s="2">
        <v>250</v>
      </c>
      <c r="P74" s="2">
        <v>1770.587158203125</v>
      </c>
      <c r="Q74" s="2">
        <v>1824.479125976562</v>
      </c>
      <c r="R74" s="2">
        <f>O74*P74</f>
        <v>442646.78955078125</v>
      </c>
      <c r="S74" s="2">
        <f>O74*Q74</f>
        <v>456119.78149414051</v>
      </c>
      <c r="T74" s="2">
        <f>R74+S74</f>
        <v>898766.57104492176</v>
      </c>
      <c r="U74" s="2">
        <f>ROUND(T74*0.0005, 2)</f>
        <v>449.38</v>
      </c>
      <c r="V74" s="2">
        <f>S74-R74</f>
        <v>13472.991943359259</v>
      </c>
      <c r="W74" s="2">
        <f>V74-U74</f>
        <v>13023.611943359259</v>
      </c>
      <c r="X74" s="2">
        <f>K74+W74</f>
        <v>42634996.991539925</v>
      </c>
      <c r="Y74" s="2">
        <f>ROUND(0.2*R74, 2)</f>
        <v>88529.36</v>
      </c>
      <c r="Z74" s="2">
        <f>ROUND((W74/Y74)*100, 2)</f>
        <v>14.71</v>
      </c>
      <c r="AA74" s="2">
        <f>MAX(AA73, X74)</f>
        <v>42703909.368794568</v>
      </c>
      <c r="AB74" s="2">
        <f>X74-AA74</f>
        <v>-68912.377254642546</v>
      </c>
    </row>
    <row r="75" spans="1:28">
      <c r="A75" s="2">
        <v>72</v>
      </c>
      <c r="B75" s="2" t="s">
        <v>403</v>
      </c>
      <c r="C75" s="2" t="s">
        <v>2564</v>
      </c>
      <c r="D75" s="3" t="s">
        <v>37</v>
      </c>
      <c r="E75" s="5" t="s">
        <v>134</v>
      </c>
      <c r="F75" s="2" t="s">
        <v>135</v>
      </c>
      <c r="G75" s="2" t="s">
        <v>54</v>
      </c>
      <c r="H75" s="6" t="s">
        <v>1195</v>
      </c>
      <c r="I75" s="6" t="s">
        <v>1195</v>
      </c>
      <c r="J75" s="6" t="s">
        <v>1195</v>
      </c>
      <c r="K75" s="2">
        <f t="shared" si="18"/>
        <v>42634996.991539925</v>
      </c>
      <c r="L75" s="6" t="s">
        <v>1195</v>
      </c>
      <c r="M75" s="6" t="s">
        <v>1195</v>
      </c>
      <c r="N75" s="6" t="s">
        <v>1195</v>
      </c>
      <c r="O75" s="2">
        <v>237</v>
      </c>
      <c r="P75" s="6" t="s">
        <v>1195</v>
      </c>
      <c r="Q75" s="6" t="s">
        <v>1195</v>
      </c>
      <c r="R75" s="6" t="s">
        <v>1195</v>
      </c>
      <c r="S75" s="6" t="s">
        <v>1195</v>
      </c>
      <c r="T75" s="6" t="s">
        <v>1195</v>
      </c>
      <c r="U75" s="6" t="s">
        <v>1195</v>
      </c>
      <c r="V75" s="6" t="s">
        <v>1195</v>
      </c>
      <c r="W75" s="6" t="s">
        <v>1195</v>
      </c>
      <c r="X75" s="2">
        <f>K75</f>
        <v>42634996.991539925</v>
      </c>
      <c r="Y75" s="6" t="s">
        <v>1195</v>
      </c>
      <c r="Z75" s="6" t="s">
        <v>1195</v>
      </c>
      <c r="AA75" s="2">
        <f>AA74</f>
        <v>42703909.368794568</v>
      </c>
      <c r="AB75" s="2">
        <v>0</v>
      </c>
    </row>
    <row r="76" spans="1:28">
      <c r="A76" s="2">
        <v>73</v>
      </c>
      <c r="B76" s="2" t="s">
        <v>406</v>
      </c>
      <c r="C76" s="2" t="s">
        <v>2564</v>
      </c>
      <c r="D76" s="3" t="s">
        <v>37</v>
      </c>
      <c r="E76" s="5" t="s">
        <v>134</v>
      </c>
      <c r="F76" s="2" t="s">
        <v>135</v>
      </c>
      <c r="G76" s="2" t="s">
        <v>241</v>
      </c>
      <c r="H76" s="6" t="s">
        <v>1195</v>
      </c>
      <c r="I76" s="6" t="s">
        <v>1195</v>
      </c>
      <c r="J76" s="6" t="s">
        <v>1195</v>
      </c>
      <c r="K76" s="2">
        <f t="shared" si="18"/>
        <v>42634996.991539925</v>
      </c>
      <c r="L76" s="6" t="s">
        <v>1195</v>
      </c>
      <c r="M76" s="6" t="s">
        <v>1195</v>
      </c>
      <c r="N76" s="6" t="s">
        <v>1195</v>
      </c>
      <c r="O76" s="2">
        <v>218</v>
      </c>
      <c r="P76" s="6" t="s">
        <v>1195</v>
      </c>
      <c r="Q76" s="6" t="s">
        <v>1195</v>
      </c>
      <c r="R76" s="6" t="s">
        <v>1195</v>
      </c>
      <c r="S76" s="6" t="s">
        <v>1195</v>
      </c>
      <c r="T76" s="6" t="s">
        <v>1195</v>
      </c>
      <c r="U76" s="6" t="s">
        <v>1195</v>
      </c>
      <c r="V76" s="6" t="s">
        <v>1195</v>
      </c>
      <c r="W76" s="6" t="s">
        <v>1195</v>
      </c>
      <c r="X76" s="2">
        <f>K76</f>
        <v>42634996.991539925</v>
      </c>
      <c r="Y76" s="6" t="s">
        <v>1195</v>
      </c>
      <c r="Z76" s="6" t="s">
        <v>1195</v>
      </c>
      <c r="AA76" s="2">
        <f>AA75</f>
        <v>42703909.368794568</v>
      </c>
      <c r="AB76" s="2">
        <v>0</v>
      </c>
    </row>
    <row r="77" spans="1:28">
      <c r="A77" s="2">
        <v>74</v>
      </c>
      <c r="B77" s="2" t="s">
        <v>410</v>
      </c>
      <c r="C77" s="2" t="s">
        <v>2564</v>
      </c>
      <c r="D77" s="4" t="s">
        <v>61</v>
      </c>
      <c r="E77" s="5" t="s">
        <v>134</v>
      </c>
      <c r="F77" s="2" t="s">
        <v>135</v>
      </c>
      <c r="G77" s="2" t="s">
        <v>103</v>
      </c>
      <c r="H77" s="6" t="s">
        <v>1195</v>
      </c>
      <c r="I77" s="6" t="s">
        <v>1195</v>
      </c>
      <c r="J77" s="6" t="s">
        <v>1195</v>
      </c>
      <c r="K77" s="2">
        <f t="shared" si="18"/>
        <v>42634996.991539925</v>
      </c>
      <c r="L77" s="6" t="s">
        <v>1195</v>
      </c>
      <c r="M77" s="6" t="s">
        <v>1195</v>
      </c>
      <c r="N77" s="6" t="s">
        <v>1195</v>
      </c>
      <c r="O77" s="2">
        <v>792</v>
      </c>
      <c r="P77" s="6" t="s">
        <v>1195</v>
      </c>
      <c r="Q77" s="6" t="s">
        <v>1195</v>
      </c>
      <c r="R77" s="6" t="s">
        <v>1195</v>
      </c>
      <c r="S77" s="6" t="s">
        <v>1195</v>
      </c>
      <c r="T77" s="6" t="s">
        <v>1195</v>
      </c>
      <c r="U77" s="6" t="s">
        <v>1195</v>
      </c>
      <c r="V77" s="6" t="s">
        <v>1195</v>
      </c>
      <c r="W77" s="6" t="s">
        <v>1195</v>
      </c>
      <c r="X77" s="2">
        <f>K77</f>
        <v>42634996.991539925</v>
      </c>
      <c r="Y77" s="6" t="s">
        <v>1195</v>
      </c>
      <c r="Z77" s="6" t="s">
        <v>1195</v>
      </c>
      <c r="AA77" s="2">
        <f>AA76</f>
        <v>42703909.368794568</v>
      </c>
      <c r="AB77" s="2">
        <v>0</v>
      </c>
    </row>
    <row r="78" spans="1:28">
      <c r="A78" s="2">
        <v>75</v>
      </c>
      <c r="B78" s="2" t="s">
        <v>414</v>
      </c>
      <c r="C78" s="2" t="s">
        <v>2564</v>
      </c>
      <c r="D78" s="3" t="s">
        <v>37</v>
      </c>
      <c r="E78" s="3" t="s">
        <v>38</v>
      </c>
      <c r="F78" s="2" t="s">
        <v>415</v>
      </c>
      <c r="G78" s="2" t="s">
        <v>241</v>
      </c>
      <c r="H78" s="2" t="s">
        <v>416</v>
      </c>
      <c r="I78" s="2" t="s">
        <v>791</v>
      </c>
      <c r="J78" s="2" t="s">
        <v>2162</v>
      </c>
      <c r="K78" s="2">
        <f t="shared" si="18"/>
        <v>42634996.991539925</v>
      </c>
      <c r="L78" s="2" t="s">
        <v>2608</v>
      </c>
      <c r="M78" s="2" t="s">
        <v>2130</v>
      </c>
      <c r="N78" s="2" t="s">
        <v>2609</v>
      </c>
      <c r="O78" s="2">
        <v>350</v>
      </c>
      <c r="P78" s="2">
        <v>1029.994750976562</v>
      </c>
      <c r="Q78" s="2">
        <v>1040.182739257812</v>
      </c>
      <c r="R78" s="2">
        <f>O78*P78</f>
        <v>360498.1628417967</v>
      </c>
      <c r="S78" s="2">
        <f>O78*Q78</f>
        <v>364063.9587402342</v>
      </c>
      <c r="T78" s="2">
        <f>R78+S78</f>
        <v>724562.1215820309</v>
      </c>
      <c r="U78" s="2">
        <f>ROUND(T78*0.0005, 2)</f>
        <v>362.28</v>
      </c>
      <c r="V78" s="2">
        <f>S78-R78</f>
        <v>3565.7958984375</v>
      </c>
      <c r="W78" s="2">
        <f>V78-U78</f>
        <v>3203.5158984375003</v>
      </c>
      <c r="X78" s="2">
        <f>K78+W78</f>
        <v>42638200.507438362</v>
      </c>
      <c r="Y78" s="2">
        <f>ROUND(0.2*R78, 2)</f>
        <v>72099.63</v>
      </c>
      <c r="Z78" s="2">
        <f>ROUND((W78/Y78)*100, 2)</f>
        <v>4.4400000000000004</v>
      </c>
      <c r="AA78" s="2">
        <f>MAX(AA77, X78)</f>
        <v>42703909.368794568</v>
      </c>
      <c r="AB78" s="2">
        <f>X78-AA78</f>
        <v>-65708.861356206238</v>
      </c>
    </row>
    <row r="79" spans="1:28">
      <c r="A79" s="2">
        <v>76</v>
      </c>
      <c r="B79" s="2" t="s">
        <v>419</v>
      </c>
      <c r="C79" s="2" t="s">
        <v>2564</v>
      </c>
      <c r="D79" s="4" t="s">
        <v>61</v>
      </c>
      <c r="E79" s="5" t="s">
        <v>134</v>
      </c>
      <c r="F79" s="2" t="s">
        <v>135</v>
      </c>
      <c r="G79" s="2" t="s">
        <v>169</v>
      </c>
      <c r="H79" s="6" t="s">
        <v>1195</v>
      </c>
      <c r="I79" s="6" t="s">
        <v>1195</v>
      </c>
      <c r="J79" s="6" t="s">
        <v>1195</v>
      </c>
      <c r="K79" s="2">
        <f t="shared" si="18"/>
        <v>42638200.507438362</v>
      </c>
      <c r="L79" s="6" t="s">
        <v>1195</v>
      </c>
      <c r="M79" s="6" t="s">
        <v>1195</v>
      </c>
      <c r="N79" s="6" t="s">
        <v>1195</v>
      </c>
      <c r="O79" s="2">
        <v>392</v>
      </c>
      <c r="P79" s="6" t="s">
        <v>1195</v>
      </c>
      <c r="Q79" s="6" t="s">
        <v>1195</v>
      </c>
      <c r="R79" s="6" t="s">
        <v>1195</v>
      </c>
      <c r="S79" s="6" t="s">
        <v>1195</v>
      </c>
      <c r="T79" s="6" t="s">
        <v>1195</v>
      </c>
      <c r="U79" s="6" t="s">
        <v>1195</v>
      </c>
      <c r="V79" s="6" t="s">
        <v>1195</v>
      </c>
      <c r="W79" s="6" t="s">
        <v>1195</v>
      </c>
      <c r="X79" s="2">
        <f>K79</f>
        <v>42638200.507438362</v>
      </c>
      <c r="Y79" s="6" t="s">
        <v>1195</v>
      </c>
      <c r="Z79" s="6" t="s">
        <v>1195</v>
      </c>
      <c r="AA79" s="2">
        <f>AA78</f>
        <v>42703909.368794568</v>
      </c>
      <c r="AB79" s="2">
        <v>0</v>
      </c>
    </row>
    <row r="80" spans="1:28">
      <c r="A80" s="2">
        <v>77</v>
      </c>
      <c r="B80" s="2" t="s">
        <v>423</v>
      </c>
      <c r="C80" s="2" t="s">
        <v>2564</v>
      </c>
      <c r="D80" s="3" t="s">
        <v>37</v>
      </c>
      <c r="E80" s="3" t="s">
        <v>38</v>
      </c>
      <c r="F80" s="2" t="s">
        <v>424</v>
      </c>
      <c r="G80" s="2" t="s">
        <v>40</v>
      </c>
      <c r="H80" s="2" t="s">
        <v>425</v>
      </c>
      <c r="I80" s="2" t="s">
        <v>129</v>
      </c>
      <c r="J80" s="2" t="s">
        <v>208</v>
      </c>
      <c r="K80" s="2">
        <f t="shared" si="18"/>
        <v>42638200.507438362</v>
      </c>
      <c r="L80" s="2" t="s">
        <v>2608</v>
      </c>
      <c r="M80" s="2" t="s">
        <v>2143</v>
      </c>
      <c r="N80" s="2" t="s">
        <v>2610</v>
      </c>
      <c r="O80" s="2">
        <v>550</v>
      </c>
      <c r="P80" s="2">
        <v>794.945068359375</v>
      </c>
      <c r="Q80" s="2">
        <v>803.5628662109375</v>
      </c>
      <c r="R80" s="2">
        <f>O80*P80</f>
        <v>437219.78759765625</v>
      </c>
      <c r="S80" s="2">
        <f>O80*Q80</f>
        <v>441959.57641601562</v>
      </c>
      <c r="T80" s="2">
        <f>R80+S80</f>
        <v>879179.36401367187</v>
      </c>
      <c r="U80" s="2">
        <f>ROUND(T80*0.0005, 2)</f>
        <v>439.59</v>
      </c>
      <c r="V80" s="2">
        <f>S80-R80</f>
        <v>4739.788818359375</v>
      </c>
      <c r="W80" s="2">
        <f>V80-U80</f>
        <v>4300.1988183593749</v>
      </c>
      <c r="X80" s="2">
        <f>K80+W80</f>
        <v>42642500.706256717</v>
      </c>
      <c r="Y80" s="2">
        <f>ROUND(0.2*R80, 2)</f>
        <v>87443.96</v>
      </c>
      <c r="Z80" s="2">
        <f>ROUND((W80/Y80)*100, 2)</f>
        <v>4.92</v>
      </c>
      <c r="AA80" s="2">
        <f>MAX(AA79, X80)</f>
        <v>42703909.368794568</v>
      </c>
      <c r="AB80" s="2">
        <f>X80-AA80</f>
        <v>-61408.66253785044</v>
      </c>
    </row>
    <row r="81" spans="1:28">
      <c r="A81" s="2">
        <v>78</v>
      </c>
      <c r="B81" s="2" t="s">
        <v>428</v>
      </c>
      <c r="C81" s="2" t="s">
        <v>2564</v>
      </c>
      <c r="D81" s="4" t="s">
        <v>61</v>
      </c>
      <c r="E81" s="3" t="s">
        <v>38</v>
      </c>
      <c r="F81" s="2" t="s">
        <v>429</v>
      </c>
      <c r="G81" s="2" t="s">
        <v>177</v>
      </c>
      <c r="H81" s="2" t="s">
        <v>430</v>
      </c>
      <c r="I81" s="2" t="s">
        <v>1264</v>
      </c>
      <c r="J81" s="2" t="s">
        <v>673</v>
      </c>
      <c r="K81" s="2">
        <f t="shared" si="18"/>
        <v>42642500.706256717</v>
      </c>
      <c r="L81" s="2" t="s">
        <v>2611</v>
      </c>
      <c r="M81" s="2" t="s">
        <v>2612</v>
      </c>
      <c r="N81" s="2" t="s">
        <v>2613</v>
      </c>
      <c r="O81" s="2">
        <v>1100</v>
      </c>
      <c r="P81" s="2">
        <v>665.3585205078125</v>
      </c>
      <c r="Q81" s="2">
        <v>689.89422607421875</v>
      </c>
      <c r="R81" s="2">
        <f>O81*P81</f>
        <v>731894.37255859375</v>
      </c>
      <c r="S81" s="2">
        <f>O81*Q81</f>
        <v>758883.64868164063</v>
      </c>
      <c r="T81" s="2">
        <f>R81+S81</f>
        <v>1490778.0212402344</v>
      </c>
      <c r="U81" s="2">
        <f>ROUND(T81*0.0005, 2)</f>
        <v>745.39</v>
      </c>
      <c r="V81" s="2">
        <f>S81-R81</f>
        <v>26989.276123046875</v>
      </c>
      <c r="W81" s="2">
        <f>V81-U81</f>
        <v>26243.886123046876</v>
      </c>
      <c r="X81" s="2">
        <f>K81+W81</f>
        <v>42668744.592379764</v>
      </c>
      <c r="Y81" s="2">
        <f>ROUND(0.2*R81, 2)</f>
        <v>146378.87</v>
      </c>
      <c r="Z81" s="2">
        <f>ROUND((W81/Y81)*100, 2)</f>
        <v>17.93</v>
      </c>
      <c r="AA81" s="2">
        <f>MAX(AA80, X81)</f>
        <v>42703909.368794568</v>
      </c>
      <c r="AB81" s="2">
        <f>X81-AA81</f>
        <v>-35164.776414804161</v>
      </c>
    </row>
    <row r="82" spans="1:28">
      <c r="A82" s="2">
        <v>79</v>
      </c>
      <c r="B82" s="2" t="s">
        <v>433</v>
      </c>
      <c r="C82" s="2" t="s">
        <v>2564</v>
      </c>
      <c r="D82" s="3" t="s">
        <v>37</v>
      </c>
      <c r="E82" s="3" t="s">
        <v>38</v>
      </c>
      <c r="F82" s="2" t="s">
        <v>434</v>
      </c>
      <c r="G82" s="2" t="s">
        <v>54</v>
      </c>
      <c r="H82" s="2" t="s">
        <v>435</v>
      </c>
      <c r="I82" s="2" t="s">
        <v>2614</v>
      </c>
      <c r="J82" s="2" t="s">
        <v>2397</v>
      </c>
      <c r="K82" s="2">
        <f t="shared" si="18"/>
        <v>42668744.592379764</v>
      </c>
      <c r="L82" s="2" t="s">
        <v>2158</v>
      </c>
      <c r="M82" s="2" t="s">
        <v>2591</v>
      </c>
      <c r="N82" s="2" t="s">
        <v>2590</v>
      </c>
      <c r="O82" s="2">
        <v>150</v>
      </c>
      <c r="P82" s="2">
        <v>2808.3095703125</v>
      </c>
      <c r="Q82" s="2">
        <v>2680.251708984375</v>
      </c>
      <c r="R82" s="2">
        <f>O82*P82</f>
        <v>421246.435546875</v>
      </c>
      <c r="S82" s="2">
        <f>O82*Q82</f>
        <v>402037.75634765625</v>
      </c>
      <c r="T82" s="2">
        <f>R82+S82</f>
        <v>823284.19189453125</v>
      </c>
      <c r="U82" s="2">
        <f>ROUND(T82*0.0005, 2)</f>
        <v>411.64</v>
      </c>
      <c r="V82" s="2">
        <f>S82-R82</f>
        <v>-19208.67919921875</v>
      </c>
      <c r="W82" s="2">
        <f>V82-U82</f>
        <v>-19620.319199218749</v>
      </c>
      <c r="X82" s="2">
        <f>K82+W82</f>
        <v>42649124.273180544</v>
      </c>
      <c r="Y82" s="2">
        <f>ROUND(0.2*R82, 2)</f>
        <v>84249.29</v>
      </c>
      <c r="Z82" s="2">
        <f>ROUND((W82/Y82)*100, 2)</f>
        <v>-23.29</v>
      </c>
      <c r="AA82" s="2">
        <f>MAX(AA81, X82)</f>
        <v>42703909.368794568</v>
      </c>
      <c r="AB82" s="2">
        <f>X82-AA82</f>
        <v>-54785.095614023507</v>
      </c>
    </row>
    <row r="83" spans="1:28">
      <c r="A83" s="2">
        <v>80</v>
      </c>
      <c r="B83" s="2" t="s">
        <v>438</v>
      </c>
      <c r="C83" s="2" t="s">
        <v>2564</v>
      </c>
      <c r="D83" s="4" t="s">
        <v>61</v>
      </c>
      <c r="E83" s="3" t="s">
        <v>38</v>
      </c>
      <c r="F83" s="2" t="s">
        <v>439</v>
      </c>
      <c r="G83" s="2" t="s">
        <v>77</v>
      </c>
      <c r="H83" s="2" t="s">
        <v>440</v>
      </c>
      <c r="I83" s="2" t="s">
        <v>929</v>
      </c>
      <c r="J83" s="2" t="s">
        <v>2615</v>
      </c>
      <c r="K83" s="2">
        <f t="shared" si="18"/>
        <v>42649124.273180544</v>
      </c>
      <c r="L83" s="2" t="s">
        <v>2574</v>
      </c>
      <c r="M83" s="2" t="s">
        <v>2590</v>
      </c>
      <c r="N83" s="2" t="s">
        <v>2158</v>
      </c>
      <c r="O83" s="2">
        <v>1400</v>
      </c>
      <c r="P83" s="2">
        <v>457.44430541992187</v>
      </c>
      <c r="Q83" s="2">
        <v>445.83505249023437</v>
      </c>
      <c r="R83" s="2">
        <f>O83*P83</f>
        <v>640422.02758789063</v>
      </c>
      <c r="S83" s="2">
        <f>O83*Q83</f>
        <v>624169.07348632812</v>
      </c>
      <c r="T83" s="2">
        <f>R83+S83</f>
        <v>1264591.1010742187</v>
      </c>
      <c r="U83" s="2">
        <f>ROUND(T83*0.0005, 2)</f>
        <v>632.29999999999995</v>
      </c>
      <c r="V83" s="2">
        <f>S83-R83</f>
        <v>-16252.9541015625</v>
      </c>
      <c r="W83" s="2">
        <f>V83-U83</f>
        <v>-16885.254101562499</v>
      </c>
      <c r="X83" s="2">
        <f>K83+W83</f>
        <v>42632239.019078985</v>
      </c>
      <c r="Y83" s="2">
        <f>ROUND(0.2*R83, 2)</f>
        <v>128084.41</v>
      </c>
      <c r="Z83" s="2">
        <f>ROUND((W83/Y83)*100, 2)</f>
        <v>-13.18</v>
      </c>
      <c r="AA83" s="2">
        <f>MAX(AA82, X83)</f>
        <v>42703909.368794568</v>
      </c>
      <c r="AB83" s="2">
        <f>X83-AA83</f>
        <v>-71670.349715583026</v>
      </c>
    </row>
    <row r="84" spans="1:28">
      <c r="A84" s="2">
        <v>81</v>
      </c>
      <c r="B84" s="2" t="s">
        <v>443</v>
      </c>
      <c r="C84" s="2" t="s">
        <v>2564</v>
      </c>
      <c r="D84" s="4" t="s">
        <v>61</v>
      </c>
      <c r="E84" s="5" t="s">
        <v>134</v>
      </c>
      <c r="F84" s="2" t="s">
        <v>135</v>
      </c>
      <c r="G84" s="2" t="s">
        <v>127</v>
      </c>
      <c r="H84" s="6" t="s">
        <v>1195</v>
      </c>
      <c r="I84" s="6" t="s">
        <v>1195</v>
      </c>
      <c r="J84" s="6" t="s">
        <v>1195</v>
      </c>
      <c r="K84" s="2">
        <f t="shared" si="18"/>
        <v>42632239.019078985</v>
      </c>
      <c r="L84" s="6" t="s">
        <v>1195</v>
      </c>
      <c r="M84" s="6" t="s">
        <v>1195</v>
      </c>
      <c r="N84" s="6" t="s">
        <v>1195</v>
      </c>
      <c r="O84" s="2">
        <v>2574</v>
      </c>
      <c r="P84" s="6" t="s">
        <v>1195</v>
      </c>
      <c r="Q84" s="6" t="s">
        <v>1195</v>
      </c>
      <c r="R84" s="6" t="s">
        <v>1195</v>
      </c>
      <c r="S84" s="6" t="s">
        <v>1195</v>
      </c>
      <c r="T84" s="6" t="s">
        <v>1195</v>
      </c>
      <c r="U84" s="6" t="s">
        <v>1195</v>
      </c>
      <c r="V84" s="6" t="s">
        <v>1195</v>
      </c>
      <c r="W84" s="6" t="s">
        <v>1195</v>
      </c>
      <c r="X84" s="2">
        <f>K84</f>
        <v>42632239.019078985</v>
      </c>
      <c r="Y84" s="6" t="s">
        <v>1195</v>
      </c>
      <c r="Z84" s="6" t="s">
        <v>1195</v>
      </c>
      <c r="AA84" s="2">
        <f>AA83</f>
        <v>42703909.368794568</v>
      </c>
      <c r="AB84" s="2">
        <v>0</v>
      </c>
    </row>
    <row r="85" spans="1:28">
      <c r="A85" s="2">
        <v>82</v>
      </c>
      <c r="B85" s="2" t="s">
        <v>447</v>
      </c>
      <c r="C85" s="2" t="s">
        <v>2564</v>
      </c>
      <c r="D85" s="4" t="s">
        <v>61</v>
      </c>
      <c r="E85" s="3" t="s">
        <v>38</v>
      </c>
      <c r="F85" s="2" t="s">
        <v>53</v>
      </c>
      <c r="G85" s="2" t="s">
        <v>40</v>
      </c>
      <c r="H85" s="2" t="s">
        <v>448</v>
      </c>
      <c r="I85" s="2" t="s">
        <v>2172</v>
      </c>
      <c r="J85" s="2" t="s">
        <v>1864</v>
      </c>
      <c r="K85" s="2">
        <f t="shared" si="18"/>
        <v>42632239.019078985</v>
      </c>
      <c r="L85" s="2" t="s">
        <v>2609</v>
      </c>
      <c r="M85" s="2" t="s">
        <v>2131</v>
      </c>
      <c r="N85" s="2" t="s">
        <v>2132</v>
      </c>
      <c r="O85" s="2">
        <v>300</v>
      </c>
      <c r="P85" s="2">
        <v>2427.50634765625</v>
      </c>
      <c r="Q85" s="2">
        <v>2525.556884765625</v>
      </c>
      <c r="R85" s="2">
        <f>O85*P85</f>
        <v>728251.904296875</v>
      </c>
      <c r="S85" s="2">
        <f>O85*Q85</f>
        <v>757667.0654296875</v>
      </c>
      <c r="T85" s="2">
        <f>R85+S85</f>
        <v>1485918.9697265625</v>
      </c>
      <c r="U85" s="2">
        <f>ROUND(T85*0.0005, 2)</f>
        <v>742.96</v>
      </c>
      <c r="V85" s="2">
        <f>S85-R85</f>
        <v>29415.1611328125</v>
      </c>
      <c r="W85" s="2">
        <f>V85-U85</f>
        <v>28672.201132812501</v>
      </c>
      <c r="X85" s="2">
        <f>K85+W85</f>
        <v>42660911.220211796</v>
      </c>
      <c r="Y85" s="2">
        <f>ROUND(0.2*R85, 2)</f>
        <v>145650.38</v>
      </c>
      <c r="Z85" s="2">
        <f>ROUND((W85/Y85)*100, 2)</f>
        <v>19.690000000000001</v>
      </c>
      <c r="AA85" s="2">
        <f>MAX(AA84, X85)</f>
        <v>42703909.368794568</v>
      </c>
      <c r="AB85" s="2">
        <f>X85-AA85</f>
        <v>-42998.14858277142</v>
      </c>
    </row>
    <row r="86" spans="1:28">
      <c r="A86" s="2">
        <v>83</v>
      </c>
      <c r="B86" s="2" t="s">
        <v>451</v>
      </c>
      <c r="C86" s="2" t="s">
        <v>2564</v>
      </c>
      <c r="D86" s="4" t="s">
        <v>61</v>
      </c>
      <c r="E86" s="5" t="s">
        <v>134</v>
      </c>
      <c r="F86" s="2" t="s">
        <v>135</v>
      </c>
      <c r="G86" s="2" t="s">
        <v>54</v>
      </c>
      <c r="H86" s="6" t="s">
        <v>1195</v>
      </c>
      <c r="I86" s="6" t="s">
        <v>1195</v>
      </c>
      <c r="J86" s="6" t="s">
        <v>1195</v>
      </c>
      <c r="K86" s="2">
        <f t="shared" si="18"/>
        <v>42660911.220211796</v>
      </c>
      <c r="L86" s="6" t="s">
        <v>1195</v>
      </c>
      <c r="M86" s="6" t="s">
        <v>1195</v>
      </c>
      <c r="N86" s="6" t="s">
        <v>1195</v>
      </c>
      <c r="O86" s="2">
        <v>1866</v>
      </c>
      <c r="P86" s="6" t="s">
        <v>1195</v>
      </c>
      <c r="Q86" s="6" t="s">
        <v>1195</v>
      </c>
      <c r="R86" s="6" t="s">
        <v>1195</v>
      </c>
      <c r="S86" s="6" t="s">
        <v>1195</v>
      </c>
      <c r="T86" s="6" t="s">
        <v>1195</v>
      </c>
      <c r="U86" s="6" t="s">
        <v>1195</v>
      </c>
      <c r="V86" s="6" t="s">
        <v>1195</v>
      </c>
      <c r="W86" s="6" t="s">
        <v>1195</v>
      </c>
      <c r="X86" s="2">
        <f>K86</f>
        <v>42660911.220211796</v>
      </c>
      <c r="Y86" s="6" t="s">
        <v>1195</v>
      </c>
      <c r="Z86" s="6" t="s">
        <v>1195</v>
      </c>
      <c r="AA86" s="2">
        <f>AA85</f>
        <v>42703909.368794568</v>
      </c>
      <c r="AB86" s="2">
        <v>0</v>
      </c>
    </row>
    <row r="87" spans="1:28">
      <c r="A87" s="2">
        <v>84</v>
      </c>
      <c r="B87" s="2" t="s">
        <v>455</v>
      </c>
      <c r="C87" s="2" t="s">
        <v>2564</v>
      </c>
      <c r="D87" s="4" t="s">
        <v>61</v>
      </c>
      <c r="E87" s="5" t="s">
        <v>134</v>
      </c>
      <c r="F87" s="2" t="s">
        <v>456</v>
      </c>
      <c r="G87" s="2" t="s">
        <v>97</v>
      </c>
      <c r="H87" s="6" t="s">
        <v>1195</v>
      </c>
      <c r="I87" s="6" t="s">
        <v>1195</v>
      </c>
      <c r="J87" s="6" t="s">
        <v>1195</v>
      </c>
      <c r="K87" s="2">
        <f t="shared" si="18"/>
        <v>42660911.220211796</v>
      </c>
      <c r="L87" s="6" t="s">
        <v>1195</v>
      </c>
      <c r="M87" s="6" t="s">
        <v>1195</v>
      </c>
      <c r="N87" s="6" t="s">
        <v>1195</v>
      </c>
      <c r="O87" s="2">
        <v>495</v>
      </c>
      <c r="P87" s="6" t="s">
        <v>1195</v>
      </c>
      <c r="Q87" s="6" t="s">
        <v>1195</v>
      </c>
      <c r="R87" s="6" t="s">
        <v>1195</v>
      </c>
      <c r="S87" s="6" t="s">
        <v>1195</v>
      </c>
      <c r="T87" s="6" t="s">
        <v>1195</v>
      </c>
      <c r="U87" s="6" t="s">
        <v>1195</v>
      </c>
      <c r="V87" s="6" t="s">
        <v>1195</v>
      </c>
      <c r="W87" s="6" t="s">
        <v>1195</v>
      </c>
      <c r="X87" s="2">
        <f>K87</f>
        <v>42660911.220211796</v>
      </c>
      <c r="Y87" s="6" t="s">
        <v>1195</v>
      </c>
      <c r="Z87" s="6" t="s">
        <v>1195</v>
      </c>
      <c r="AA87" s="2">
        <f>AA86</f>
        <v>42703909.368794568</v>
      </c>
      <c r="AB87" s="2">
        <v>0</v>
      </c>
    </row>
    <row r="88" spans="1:28">
      <c r="A88" s="2">
        <v>85</v>
      </c>
      <c r="B88" s="2" t="s">
        <v>459</v>
      </c>
      <c r="C88" s="2" t="s">
        <v>2564</v>
      </c>
      <c r="D88" s="3" t="s">
        <v>37</v>
      </c>
      <c r="E88" s="3" t="s">
        <v>38</v>
      </c>
      <c r="F88" s="2" t="s">
        <v>460</v>
      </c>
      <c r="G88" s="2" t="s">
        <v>150</v>
      </c>
      <c r="H88" s="2" t="s">
        <v>373</v>
      </c>
      <c r="I88" s="2" t="s">
        <v>1768</v>
      </c>
      <c r="J88" s="2" t="s">
        <v>2115</v>
      </c>
      <c r="K88" s="2">
        <f t="shared" si="18"/>
        <v>42660911.220211796</v>
      </c>
      <c r="L88" s="2" t="s">
        <v>2609</v>
      </c>
      <c r="M88" s="2" t="s">
        <v>2602</v>
      </c>
      <c r="N88" s="2" t="s">
        <v>2616</v>
      </c>
      <c r="O88" s="2">
        <v>700</v>
      </c>
      <c r="P88" s="2">
        <v>921.58392333984375</v>
      </c>
      <c r="Q88" s="2">
        <v>972.13244628906239</v>
      </c>
      <c r="R88" s="2">
        <f>O88*P88</f>
        <v>645108.74633789063</v>
      </c>
      <c r="S88" s="2">
        <f>O88*Q88</f>
        <v>680492.71240234363</v>
      </c>
      <c r="T88" s="2">
        <f>R88+S88</f>
        <v>1325601.4587402344</v>
      </c>
      <c r="U88" s="2">
        <f>ROUND(T88*0.0005, 2)</f>
        <v>662.8</v>
      </c>
      <c r="V88" s="2">
        <f>S88-R88</f>
        <v>35383.966064453009</v>
      </c>
      <c r="W88" s="2">
        <f>V88-U88</f>
        <v>34721.166064453006</v>
      </c>
      <c r="X88" s="2">
        <f>K88+W88</f>
        <v>42695632.386276253</v>
      </c>
      <c r="Y88" s="2">
        <f>ROUND(0.2*R88, 2)</f>
        <v>129021.75</v>
      </c>
      <c r="Z88" s="2">
        <f>ROUND((W88/Y88)*100, 2)</f>
        <v>26.91</v>
      </c>
      <c r="AA88" s="2">
        <f>MAX(AA87, X88)</f>
        <v>42703909.368794568</v>
      </c>
      <c r="AB88" s="2">
        <f>X88-AA88</f>
        <v>-8276.9825183153152</v>
      </c>
    </row>
    <row r="89" spans="1:28">
      <c r="A89" s="2">
        <v>86</v>
      </c>
      <c r="B89" s="2" t="s">
        <v>463</v>
      </c>
      <c r="C89" s="2" t="s">
        <v>2564</v>
      </c>
      <c r="D89" s="4" t="s">
        <v>61</v>
      </c>
      <c r="E89" s="3" t="s">
        <v>38</v>
      </c>
      <c r="F89" s="2" t="s">
        <v>464</v>
      </c>
      <c r="G89" s="2" t="s">
        <v>150</v>
      </c>
      <c r="H89" s="2" t="s">
        <v>465</v>
      </c>
      <c r="I89" s="2" t="s">
        <v>2408</v>
      </c>
      <c r="J89" s="2" t="s">
        <v>2546</v>
      </c>
      <c r="K89" s="2">
        <f t="shared" si="18"/>
        <v>42695632.386276253</v>
      </c>
      <c r="L89" s="2" t="s">
        <v>2547</v>
      </c>
      <c r="M89" s="2" t="s">
        <v>1629</v>
      </c>
      <c r="N89" s="2" t="s">
        <v>2548</v>
      </c>
      <c r="O89" s="2">
        <v>629</v>
      </c>
      <c r="P89" s="2">
        <v>1706.8</v>
      </c>
      <c r="Q89" s="2">
        <v>1644.95</v>
      </c>
      <c r="R89" s="2">
        <f>O89*P89</f>
        <v>1073577.2</v>
      </c>
      <c r="S89" s="2">
        <f>O89*Q89</f>
        <v>1034673.55</v>
      </c>
      <c r="T89" s="2">
        <f>R89+S89</f>
        <v>2108250.75</v>
      </c>
      <c r="U89" s="2">
        <f>ROUND(T89*0.0005, 2)</f>
        <v>1054.1300000000001</v>
      </c>
      <c r="V89" s="2">
        <f>S89-R89</f>
        <v>-38903.649999999907</v>
      </c>
      <c r="W89" s="2">
        <f>V89-U89</f>
        <v>-39957.779999999904</v>
      </c>
      <c r="X89" s="2">
        <f>K89+W89</f>
        <v>42655674.606276251</v>
      </c>
      <c r="Y89" s="2">
        <f>ROUND(0.2*R89, 2)</f>
        <v>214715.44</v>
      </c>
      <c r="Z89" s="2">
        <f>ROUND((W89/Y89)*100, 2)</f>
        <v>-18.61</v>
      </c>
      <c r="AA89" s="2">
        <f>MAX(AA88, X89)</f>
        <v>42703909.368794568</v>
      </c>
      <c r="AB89" s="2">
        <f>X89-AA89</f>
        <v>-48234.762518316507</v>
      </c>
    </row>
    <row r="90" spans="1:28">
      <c r="A90" s="2">
        <v>87</v>
      </c>
      <c r="B90" s="2" t="s">
        <v>471</v>
      </c>
      <c r="C90" s="2" t="s">
        <v>2564</v>
      </c>
      <c r="D90" s="4" t="s">
        <v>61</v>
      </c>
      <c r="E90" s="3" t="s">
        <v>38</v>
      </c>
      <c r="F90" s="2" t="s">
        <v>472</v>
      </c>
      <c r="G90" s="2" t="s">
        <v>150</v>
      </c>
      <c r="H90" s="2" t="s">
        <v>473</v>
      </c>
      <c r="I90" s="2" t="s">
        <v>1806</v>
      </c>
      <c r="J90" s="2" t="s">
        <v>2106</v>
      </c>
      <c r="K90" s="2">
        <f t="shared" si="18"/>
        <v>42655674.606276251</v>
      </c>
      <c r="L90" s="2" t="s">
        <v>510</v>
      </c>
      <c r="M90" s="2" t="s">
        <v>204</v>
      </c>
      <c r="N90" s="2" t="s">
        <v>217</v>
      </c>
      <c r="O90" s="2">
        <v>1958</v>
      </c>
      <c r="P90" s="2">
        <v>597.43212890625</v>
      </c>
      <c r="Q90" s="2">
        <v>641.47076416015625</v>
      </c>
      <c r="R90" s="2">
        <f>O90*P90</f>
        <v>1169772.1083984375</v>
      </c>
      <c r="S90" s="2">
        <f>O90*Q90</f>
        <v>1255999.7562255859</v>
      </c>
      <c r="T90" s="2">
        <f>R90+S90</f>
        <v>2425771.8646240234</v>
      </c>
      <c r="U90" s="2">
        <f>ROUND(T90*0.0005, 2)</f>
        <v>1212.8900000000001</v>
      </c>
      <c r="V90" s="2">
        <f>S90-R90</f>
        <v>86227.647827148438</v>
      </c>
      <c r="W90" s="2">
        <f>V90-U90</f>
        <v>85014.757827148438</v>
      </c>
      <c r="X90" s="2">
        <f>K90+W90</f>
        <v>42740689.364103399</v>
      </c>
      <c r="Y90" s="2">
        <f>ROUND(0.2*R90, 2)</f>
        <v>233954.42</v>
      </c>
      <c r="Z90" s="2">
        <f>ROUND((W90/Y90)*100, 2)</f>
        <v>36.340000000000003</v>
      </c>
      <c r="AA90" s="2">
        <f>MAX(AA89, X90)</f>
        <v>42740689.364103399</v>
      </c>
      <c r="AB90" s="2">
        <f>X90-AA90</f>
        <v>0</v>
      </c>
    </row>
    <row r="91" spans="1:28">
      <c r="A91" s="2">
        <v>88</v>
      </c>
      <c r="B91" s="2" t="s">
        <v>476</v>
      </c>
      <c r="C91" s="2" t="s">
        <v>2564</v>
      </c>
      <c r="D91" s="4" t="s">
        <v>61</v>
      </c>
      <c r="E91" s="5" t="s">
        <v>134</v>
      </c>
      <c r="F91" s="2" t="s">
        <v>135</v>
      </c>
      <c r="G91" s="2" t="s">
        <v>103</v>
      </c>
      <c r="H91" s="6" t="s">
        <v>1195</v>
      </c>
      <c r="I91" s="6" t="s">
        <v>1195</v>
      </c>
      <c r="J91" s="6" t="s">
        <v>1195</v>
      </c>
      <c r="K91" s="2">
        <f t="shared" si="18"/>
        <v>42740689.364103399</v>
      </c>
      <c r="L91" s="6" t="s">
        <v>1195</v>
      </c>
      <c r="M91" s="6" t="s">
        <v>1195</v>
      </c>
      <c r="N91" s="6" t="s">
        <v>1195</v>
      </c>
      <c r="O91" s="2">
        <v>77700</v>
      </c>
      <c r="P91" s="6" t="s">
        <v>1195</v>
      </c>
      <c r="Q91" s="6" t="s">
        <v>1195</v>
      </c>
      <c r="R91" s="6" t="s">
        <v>1195</v>
      </c>
      <c r="S91" s="6" t="s">
        <v>1195</v>
      </c>
      <c r="T91" s="6" t="s">
        <v>1195</v>
      </c>
      <c r="U91" s="6" t="s">
        <v>1195</v>
      </c>
      <c r="V91" s="6" t="s">
        <v>1195</v>
      </c>
      <c r="W91" s="6" t="s">
        <v>1195</v>
      </c>
      <c r="X91" s="2">
        <f>K91</f>
        <v>42740689.364103399</v>
      </c>
      <c r="Y91" s="6" t="s">
        <v>1195</v>
      </c>
      <c r="Z91" s="6" t="s">
        <v>1195</v>
      </c>
      <c r="AA91" s="2">
        <f>AA90</f>
        <v>42740689.364103399</v>
      </c>
      <c r="AB91" s="2">
        <v>0</v>
      </c>
    </row>
    <row r="92" spans="1:28">
      <c r="A92" s="2">
        <v>89</v>
      </c>
      <c r="B92" s="2" t="s">
        <v>480</v>
      </c>
      <c r="C92" s="2" t="s">
        <v>2564</v>
      </c>
      <c r="D92" s="4" t="s">
        <v>61</v>
      </c>
      <c r="E92" s="5" t="s">
        <v>134</v>
      </c>
      <c r="F92" s="2" t="s">
        <v>135</v>
      </c>
      <c r="G92" s="2" t="s">
        <v>231</v>
      </c>
      <c r="H92" s="6" t="s">
        <v>1195</v>
      </c>
      <c r="I92" s="6" t="s">
        <v>1195</v>
      </c>
      <c r="J92" s="6" t="s">
        <v>1195</v>
      </c>
      <c r="K92" s="2">
        <f t="shared" si="18"/>
        <v>42740689.364103399</v>
      </c>
      <c r="L92" s="6" t="s">
        <v>1195</v>
      </c>
      <c r="M92" s="6" t="s">
        <v>1195</v>
      </c>
      <c r="N92" s="6" t="s">
        <v>1195</v>
      </c>
      <c r="O92" s="2">
        <v>11798</v>
      </c>
      <c r="P92" s="6" t="s">
        <v>1195</v>
      </c>
      <c r="Q92" s="6" t="s">
        <v>1195</v>
      </c>
      <c r="R92" s="6" t="s">
        <v>1195</v>
      </c>
      <c r="S92" s="6" t="s">
        <v>1195</v>
      </c>
      <c r="T92" s="6" t="s">
        <v>1195</v>
      </c>
      <c r="U92" s="6" t="s">
        <v>1195</v>
      </c>
      <c r="V92" s="6" t="s">
        <v>1195</v>
      </c>
      <c r="W92" s="6" t="s">
        <v>1195</v>
      </c>
      <c r="X92" s="2">
        <f>K92</f>
        <v>42740689.364103399</v>
      </c>
      <c r="Y92" s="6" t="s">
        <v>1195</v>
      </c>
      <c r="Z92" s="6" t="s">
        <v>1195</v>
      </c>
      <c r="AA92" s="2">
        <f>AA91</f>
        <v>42740689.364103399</v>
      </c>
      <c r="AB92" s="2">
        <v>0</v>
      </c>
    </row>
    <row r="93" spans="1:28">
      <c r="A93" s="2">
        <v>90</v>
      </c>
      <c r="B93" s="2" t="s">
        <v>483</v>
      </c>
      <c r="C93" s="2" t="s">
        <v>2564</v>
      </c>
      <c r="D93" s="3" t="s">
        <v>37</v>
      </c>
      <c r="E93" s="5" t="s">
        <v>134</v>
      </c>
      <c r="F93" s="2" t="s">
        <v>135</v>
      </c>
      <c r="G93" s="2" t="s">
        <v>63</v>
      </c>
      <c r="H93" s="6" t="s">
        <v>1195</v>
      </c>
      <c r="I93" s="6" t="s">
        <v>1195</v>
      </c>
      <c r="J93" s="6" t="s">
        <v>1195</v>
      </c>
      <c r="K93" s="2">
        <f t="shared" si="18"/>
        <v>42740689.364103399</v>
      </c>
      <c r="L93" s="6" t="s">
        <v>1195</v>
      </c>
      <c r="M93" s="6" t="s">
        <v>1195</v>
      </c>
      <c r="N93" s="6" t="s">
        <v>1195</v>
      </c>
      <c r="O93" s="2">
        <v>7610</v>
      </c>
      <c r="P93" s="6" t="s">
        <v>1195</v>
      </c>
      <c r="Q93" s="6" t="s">
        <v>1195</v>
      </c>
      <c r="R93" s="6" t="s">
        <v>1195</v>
      </c>
      <c r="S93" s="6" t="s">
        <v>1195</v>
      </c>
      <c r="T93" s="6" t="s">
        <v>1195</v>
      </c>
      <c r="U93" s="6" t="s">
        <v>1195</v>
      </c>
      <c r="V93" s="6" t="s">
        <v>1195</v>
      </c>
      <c r="W93" s="6" t="s">
        <v>1195</v>
      </c>
      <c r="X93" s="2">
        <f>K93</f>
        <v>42740689.364103399</v>
      </c>
      <c r="Y93" s="6" t="s">
        <v>1195</v>
      </c>
      <c r="Z93" s="6" t="s">
        <v>1195</v>
      </c>
      <c r="AA93" s="2">
        <f>AA92</f>
        <v>42740689.364103399</v>
      </c>
      <c r="AB93" s="2">
        <v>0</v>
      </c>
    </row>
    <row r="94" spans="1:28">
      <c r="A94" s="2">
        <v>91</v>
      </c>
      <c r="B94" s="2" t="s">
        <v>486</v>
      </c>
      <c r="C94" s="2" t="s">
        <v>2564</v>
      </c>
      <c r="D94" s="3" t="s">
        <v>37</v>
      </c>
      <c r="E94" s="5" t="s">
        <v>134</v>
      </c>
      <c r="F94" s="2" t="s">
        <v>135</v>
      </c>
      <c r="G94" s="2" t="s">
        <v>54</v>
      </c>
      <c r="H94" s="6" t="s">
        <v>1195</v>
      </c>
      <c r="I94" s="6" t="s">
        <v>1195</v>
      </c>
      <c r="J94" s="6" t="s">
        <v>1195</v>
      </c>
      <c r="K94" s="2">
        <f t="shared" si="18"/>
        <v>42740689.364103399</v>
      </c>
      <c r="L94" s="6" t="s">
        <v>1195</v>
      </c>
      <c r="M94" s="6" t="s">
        <v>1195</v>
      </c>
      <c r="N94" s="6" t="s">
        <v>1195</v>
      </c>
      <c r="O94" s="2">
        <v>1334</v>
      </c>
      <c r="P94" s="6" t="s">
        <v>1195</v>
      </c>
      <c r="Q94" s="6" t="s">
        <v>1195</v>
      </c>
      <c r="R94" s="6" t="s">
        <v>1195</v>
      </c>
      <c r="S94" s="6" t="s">
        <v>1195</v>
      </c>
      <c r="T94" s="6" t="s">
        <v>1195</v>
      </c>
      <c r="U94" s="6" t="s">
        <v>1195</v>
      </c>
      <c r="V94" s="6" t="s">
        <v>1195</v>
      </c>
      <c r="W94" s="6" t="s">
        <v>1195</v>
      </c>
      <c r="X94" s="2">
        <f>K94</f>
        <v>42740689.364103399</v>
      </c>
      <c r="Y94" s="6" t="s">
        <v>1195</v>
      </c>
      <c r="Z94" s="6" t="s">
        <v>1195</v>
      </c>
      <c r="AA94" s="2">
        <f>AA93</f>
        <v>42740689.364103399</v>
      </c>
      <c r="AB94" s="2">
        <v>0</v>
      </c>
    </row>
    <row r="95" spans="1:28">
      <c r="A95" s="2">
        <v>92</v>
      </c>
      <c r="B95" s="2" t="s">
        <v>490</v>
      </c>
      <c r="C95" s="2" t="s">
        <v>2564</v>
      </c>
      <c r="D95" s="3" t="s">
        <v>37</v>
      </c>
      <c r="E95" s="5" t="s">
        <v>134</v>
      </c>
      <c r="F95" s="2" t="s">
        <v>135</v>
      </c>
      <c r="G95" s="2" t="s">
        <v>54</v>
      </c>
      <c r="H95" s="6" t="s">
        <v>1195</v>
      </c>
      <c r="I95" s="6" t="s">
        <v>1195</v>
      </c>
      <c r="J95" s="6" t="s">
        <v>1195</v>
      </c>
      <c r="K95" s="2">
        <f t="shared" si="18"/>
        <v>42740689.364103399</v>
      </c>
      <c r="L95" s="6" t="s">
        <v>1195</v>
      </c>
      <c r="M95" s="6" t="s">
        <v>1195</v>
      </c>
      <c r="N95" s="6" t="s">
        <v>1195</v>
      </c>
      <c r="O95" s="2">
        <v>1208</v>
      </c>
      <c r="P95" s="6" t="s">
        <v>1195</v>
      </c>
      <c r="Q95" s="6" t="s">
        <v>1195</v>
      </c>
      <c r="R95" s="6" t="s">
        <v>1195</v>
      </c>
      <c r="S95" s="6" t="s">
        <v>1195</v>
      </c>
      <c r="T95" s="6" t="s">
        <v>1195</v>
      </c>
      <c r="U95" s="6" t="s">
        <v>1195</v>
      </c>
      <c r="V95" s="6" t="s">
        <v>1195</v>
      </c>
      <c r="W95" s="6" t="s">
        <v>1195</v>
      </c>
      <c r="X95" s="2">
        <f>K95</f>
        <v>42740689.364103399</v>
      </c>
      <c r="Y95" s="6" t="s">
        <v>1195</v>
      </c>
      <c r="Z95" s="6" t="s">
        <v>1195</v>
      </c>
      <c r="AA95" s="2">
        <f>AA94</f>
        <v>42740689.364103399</v>
      </c>
      <c r="AB95" s="2">
        <v>0</v>
      </c>
    </row>
    <row r="96" spans="1:28">
      <c r="A96" s="2">
        <v>93</v>
      </c>
      <c r="B96" s="2" t="s">
        <v>493</v>
      </c>
      <c r="C96" s="2" t="s">
        <v>2564</v>
      </c>
      <c r="D96" s="3" t="s">
        <v>37</v>
      </c>
      <c r="E96" s="3" t="s">
        <v>38</v>
      </c>
      <c r="F96" s="2" t="s">
        <v>494</v>
      </c>
      <c r="G96" s="2" t="s">
        <v>231</v>
      </c>
      <c r="H96" s="2" t="s">
        <v>495</v>
      </c>
      <c r="I96" s="2" t="s">
        <v>2617</v>
      </c>
      <c r="J96" s="2" t="s">
        <v>2618</v>
      </c>
      <c r="K96" s="2">
        <f t="shared" si="18"/>
        <v>42740689.364103399</v>
      </c>
      <c r="L96" s="2" t="s">
        <v>2619</v>
      </c>
      <c r="M96" s="2" t="s">
        <v>2612</v>
      </c>
      <c r="N96" s="2" t="s">
        <v>2620</v>
      </c>
      <c r="O96" s="2">
        <v>196</v>
      </c>
      <c r="P96" s="2">
        <v>1591.36083984375</v>
      </c>
      <c r="Q96" s="2">
        <v>1545.138916015625</v>
      </c>
      <c r="R96" s="2">
        <f>O96*P96</f>
        <v>311906.724609375</v>
      </c>
      <c r="S96" s="2">
        <f>O96*Q96</f>
        <v>302847.2275390625</v>
      </c>
      <c r="T96" s="2">
        <f>R96+S96</f>
        <v>614753.9521484375</v>
      </c>
      <c r="U96" s="2">
        <f>ROUND(T96*0.0005, 2)</f>
        <v>307.38</v>
      </c>
      <c r="V96" s="2">
        <f>S96-R96</f>
        <v>-9059.4970703125</v>
      </c>
      <c r="W96" s="2">
        <f>V96-U96</f>
        <v>-9366.8770703124992</v>
      </c>
      <c r="X96" s="2">
        <f>K96+W96</f>
        <v>42731322.487033084</v>
      </c>
      <c r="Y96" s="2">
        <f>ROUND(0.2*R96, 2)</f>
        <v>62381.34</v>
      </c>
      <c r="Z96" s="2">
        <f>ROUND((W96/Y96)*100, 2)</f>
        <v>-15.02</v>
      </c>
      <c r="AA96" s="2">
        <f>MAX(AA95, X96)</f>
        <v>42740689.364103399</v>
      </c>
      <c r="AB96" s="2">
        <f>X96-AA96</f>
        <v>-9366.8770703151822</v>
      </c>
    </row>
    <row r="97" spans="1:28">
      <c r="A97" s="2">
        <v>94</v>
      </c>
      <c r="B97" s="2" t="s">
        <v>498</v>
      </c>
      <c r="C97" s="2" t="s">
        <v>2564</v>
      </c>
      <c r="D97" s="3" t="s">
        <v>37</v>
      </c>
      <c r="E97" s="3" t="s">
        <v>38</v>
      </c>
      <c r="F97" s="2" t="s">
        <v>499</v>
      </c>
      <c r="G97" s="2" t="s">
        <v>177</v>
      </c>
      <c r="H97" s="2" t="s">
        <v>500</v>
      </c>
      <c r="I97" s="2" t="s">
        <v>1965</v>
      </c>
      <c r="J97" s="2" t="s">
        <v>1628</v>
      </c>
      <c r="K97" s="2">
        <f t="shared" si="18"/>
        <v>42731322.487033084</v>
      </c>
      <c r="L97" s="2" t="s">
        <v>2610</v>
      </c>
      <c r="M97" s="2" t="s">
        <v>2170</v>
      </c>
      <c r="N97" s="2" t="s">
        <v>2604</v>
      </c>
      <c r="O97" s="2">
        <v>500</v>
      </c>
      <c r="P97" s="2">
        <v>1373.008666992188</v>
      </c>
      <c r="Q97" s="2">
        <v>1397.644653320312</v>
      </c>
      <c r="R97" s="2">
        <f>O97*P97</f>
        <v>686504.33349609398</v>
      </c>
      <c r="S97" s="2">
        <f>O97*Q97</f>
        <v>698822.32666015602</v>
      </c>
      <c r="T97" s="2">
        <f>R97+S97</f>
        <v>1385326.66015625</v>
      </c>
      <c r="U97" s="2">
        <f>ROUND(T97*0.0005, 2)</f>
        <v>692.66</v>
      </c>
      <c r="V97" s="2">
        <f>S97-R97</f>
        <v>12317.993164062034</v>
      </c>
      <c r="W97" s="2">
        <f>V97-U97</f>
        <v>11625.333164062034</v>
      </c>
      <c r="X97" s="2">
        <f>K97+W97</f>
        <v>42742947.820197143</v>
      </c>
      <c r="Y97" s="2">
        <f>ROUND(0.2*R97, 2)</f>
        <v>137300.87</v>
      </c>
      <c r="Z97" s="2">
        <f>ROUND((W97/Y97)*100, 2)</f>
        <v>8.4700000000000006</v>
      </c>
      <c r="AA97" s="2">
        <f>MAX(AA96, X97)</f>
        <v>42742947.820197143</v>
      </c>
      <c r="AB97" s="2">
        <f>X97-AA97</f>
        <v>0</v>
      </c>
    </row>
    <row r="98" spans="1:28">
      <c r="A98" s="2">
        <v>95</v>
      </c>
      <c r="B98" s="2" t="s">
        <v>502</v>
      </c>
      <c r="C98" s="2" t="s">
        <v>2564</v>
      </c>
      <c r="D98" s="4" t="s">
        <v>61</v>
      </c>
      <c r="E98" s="5" t="s">
        <v>134</v>
      </c>
      <c r="F98" s="2" t="s">
        <v>135</v>
      </c>
      <c r="G98" s="2" t="s">
        <v>77</v>
      </c>
      <c r="H98" s="6" t="s">
        <v>1195</v>
      </c>
      <c r="I98" s="6" t="s">
        <v>1195</v>
      </c>
      <c r="J98" s="6" t="s">
        <v>1195</v>
      </c>
      <c r="K98" s="2">
        <f t="shared" si="18"/>
        <v>42742947.820197143</v>
      </c>
      <c r="L98" s="6" t="s">
        <v>1195</v>
      </c>
      <c r="M98" s="6" t="s">
        <v>1195</v>
      </c>
      <c r="N98" s="6" t="s">
        <v>1195</v>
      </c>
      <c r="O98" s="2">
        <v>2545</v>
      </c>
      <c r="P98" s="6" t="s">
        <v>1195</v>
      </c>
      <c r="Q98" s="6" t="s">
        <v>1195</v>
      </c>
      <c r="R98" s="6" t="s">
        <v>1195</v>
      </c>
      <c r="S98" s="6" t="s">
        <v>1195</v>
      </c>
      <c r="T98" s="6" t="s">
        <v>1195</v>
      </c>
      <c r="U98" s="6" t="s">
        <v>1195</v>
      </c>
      <c r="V98" s="6" t="s">
        <v>1195</v>
      </c>
      <c r="W98" s="6" t="s">
        <v>1195</v>
      </c>
      <c r="X98" s="2">
        <f>K98</f>
        <v>42742947.820197143</v>
      </c>
      <c r="Y98" s="6" t="s">
        <v>1195</v>
      </c>
      <c r="Z98" s="6" t="s">
        <v>1195</v>
      </c>
      <c r="AA98" s="2">
        <f>AA97</f>
        <v>42742947.820197143</v>
      </c>
      <c r="AB98" s="2">
        <v>0</v>
      </c>
    </row>
    <row r="99" spans="1:28">
      <c r="A99" s="2">
        <v>96</v>
      </c>
      <c r="B99" s="2" t="s">
        <v>506</v>
      </c>
      <c r="C99" s="2" t="s">
        <v>2564</v>
      </c>
      <c r="D99" s="4" t="s">
        <v>61</v>
      </c>
      <c r="E99" s="3" t="s">
        <v>38</v>
      </c>
      <c r="F99" s="2" t="s">
        <v>507</v>
      </c>
      <c r="G99" s="2" t="s">
        <v>143</v>
      </c>
      <c r="H99" s="2" t="s">
        <v>208</v>
      </c>
      <c r="I99" s="2" t="s">
        <v>2295</v>
      </c>
      <c r="J99" s="2" t="s">
        <v>2359</v>
      </c>
      <c r="K99" s="2">
        <f t="shared" si="18"/>
        <v>42742947.820197143</v>
      </c>
      <c r="L99" s="2" t="s">
        <v>2621</v>
      </c>
      <c r="M99" s="2" t="s">
        <v>2143</v>
      </c>
      <c r="N99" s="2" t="s">
        <v>2596</v>
      </c>
      <c r="O99" s="2">
        <v>400</v>
      </c>
      <c r="P99" s="2">
        <v>1215.995483398438</v>
      </c>
      <c r="Q99" s="2">
        <v>1297.283081054688</v>
      </c>
      <c r="R99" s="2">
        <f>O99*P99</f>
        <v>486398.19335937517</v>
      </c>
      <c r="S99" s="2">
        <f>O99*Q99</f>
        <v>518913.23242187517</v>
      </c>
      <c r="T99" s="2">
        <f>R99+S99</f>
        <v>1005311.4257812503</v>
      </c>
      <c r="U99" s="2">
        <f>ROUND(T99*0.0005, 2)</f>
        <v>502.66</v>
      </c>
      <c r="V99" s="2">
        <f>S99-R99</f>
        <v>32515.0390625</v>
      </c>
      <c r="W99" s="2">
        <f>V99-U99</f>
        <v>32012.3790625</v>
      </c>
      <c r="X99" s="2">
        <f>K99+W99</f>
        <v>42774960.199259646</v>
      </c>
      <c r="Y99" s="2">
        <f>ROUND(0.2*R99, 2)</f>
        <v>97279.64</v>
      </c>
      <c r="Z99" s="2">
        <f>ROUND((W99/Y99)*100, 2)</f>
        <v>32.909999999999997</v>
      </c>
      <c r="AA99" s="2">
        <f>MAX(AA98, X99)</f>
        <v>42774960.199259646</v>
      </c>
      <c r="AB99" s="2">
        <f>X99-AA99</f>
        <v>0</v>
      </c>
    </row>
    <row r="100" spans="1:28">
      <c r="A100" s="2">
        <v>97</v>
      </c>
      <c r="B100" s="2" t="s">
        <v>511</v>
      </c>
      <c r="C100" s="2" t="s">
        <v>2564</v>
      </c>
      <c r="D100" s="3" t="s">
        <v>37</v>
      </c>
      <c r="E100" s="5" t="s">
        <v>134</v>
      </c>
      <c r="F100" s="2" t="s">
        <v>135</v>
      </c>
      <c r="G100" s="2" t="s">
        <v>231</v>
      </c>
      <c r="H100" s="6" t="s">
        <v>1195</v>
      </c>
      <c r="I100" s="6" t="s">
        <v>1195</v>
      </c>
      <c r="J100" s="6" t="s">
        <v>1195</v>
      </c>
      <c r="K100" s="2">
        <f t="shared" si="18"/>
        <v>42774960.199259646</v>
      </c>
      <c r="L100" s="6" t="s">
        <v>1195</v>
      </c>
      <c r="M100" s="6" t="s">
        <v>1195</v>
      </c>
      <c r="N100" s="6" t="s">
        <v>1195</v>
      </c>
      <c r="O100" s="2">
        <v>13336</v>
      </c>
      <c r="P100" s="6" t="s">
        <v>1195</v>
      </c>
      <c r="Q100" s="6" t="s">
        <v>1195</v>
      </c>
      <c r="R100" s="6" t="s">
        <v>1195</v>
      </c>
      <c r="S100" s="6" t="s">
        <v>1195</v>
      </c>
      <c r="T100" s="6" t="s">
        <v>1195</v>
      </c>
      <c r="U100" s="6" t="s">
        <v>1195</v>
      </c>
      <c r="V100" s="6" t="s">
        <v>1195</v>
      </c>
      <c r="W100" s="6" t="s">
        <v>1195</v>
      </c>
      <c r="X100" s="2">
        <f>K100</f>
        <v>42774960.199259646</v>
      </c>
      <c r="Y100" s="6" t="s">
        <v>1195</v>
      </c>
      <c r="Z100" s="6" t="s">
        <v>1195</v>
      </c>
      <c r="AA100" s="2">
        <f>AA99</f>
        <v>42774960.199259646</v>
      </c>
      <c r="AB100" s="2">
        <v>0</v>
      </c>
    </row>
    <row r="101" spans="1:28">
      <c r="A101" s="2">
        <v>98</v>
      </c>
      <c r="B101" s="2" t="s">
        <v>516</v>
      </c>
      <c r="C101" s="2" t="s">
        <v>2564</v>
      </c>
      <c r="D101" s="4" t="s">
        <v>61</v>
      </c>
      <c r="E101" s="5" t="s">
        <v>134</v>
      </c>
      <c r="F101" s="2" t="s">
        <v>135</v>
      </c>
      <c r="G101" s="2" t="s">
        <v>103</v>
      </c>
      <c r="H101" s="6" t="s">
        <v>1195</v>
      </c>
      <c r="I101" s="6" t="s">
        <v>1195</v>
      </c>
      <c r="J101" s="6" t="s">
        <v>1195</v>
      </c>
      <c r="K101" s="2">
        <f t="shared" si="18"/>
        <v>42774960.199259646</v>
      </c>
      <c r="L101" s="6" t="s">
        <v>1195</v>
      </c>
      <c r="M101" s="6" t="s">
        <v>1195</v>
      </c>
      <c r="N101" s="6" t="s">
        <v>1195</v>
      </c>
      <c r="O101" s="2">
        <v>7145</v>
      </c>
      <c r="P101" s="6" t="s">
        <v>1195</v>
      </c>
      <c r="Q101" s="6" t="s">
        <v>1195</v>
      </c>
      <c r="R101" s="6" t="s">
        <v>1195</v>
      </c>
      <c r="S101" s="6" t="s">
        <v>1195</v>
      </c>
      <c r="T101" s="6" t="s">
        <v>1195</v>
      </c>
      <c r="U101" s="6" t="s">
        <v>1195</v>
      </c>
      <c r="V101" s="6" t="s">
        <v>1195</v>
      </c>
      <c r="W101" s="6" t="s">
        <v>1195</v>
      </c>
      <c r="X101" s="2">
        <f>K101</f>
        <v>42774960.199259646</v>
      </c>
      <c r="Y101" s="6" t="s">
        <v>1195</v>
      </c>
      <c r="Z101" s="6" t="s">
        <v>1195</v>
      </c>
      <c r="AA101" s="2">
        <f>AA100</f>
        <v>42774960.199259646</v>
      </c>
      <c r="AB101" s="2">
        <v>0</v>
      </c>
    </row>
    <row r="102" spans="1:28">
      <c r="A102" s="2">
        <v>99</v>
      </c>
      <c r="B102" s="2" t="s">
        <v>519</v>
      </c>
      <c r="C102" s="2" t="s">
        <v>2564</v>
      </c>
      <c r="D102" s="3" t="s">
        <v>37</v>
      </c>
      <c r="E102" s="5" t="s">
        <v>134</v>
      </c>
      <c r="F102" s="2" t="s">
        <v>520</v>
      </c>
      <c r="G102" s="2" t="s">
        <v>150</v>
      </c>
      <c r="H102" s="6" t="s">
        <v>1195</v>
      </c>
      <c r="I102" s="6" t="s">
        <v>1195</v>
      </c>
      <c r="J102" s="6" t="s">
        <v>1195</v>
      </c>
      <c r="K102" s="2">
        <f t="shared" si="18"/>
        <v>42774960.199259646</v>
      </c>
      <c r="L102" s="6" t="s">
        <v>1195</v>
      </c>
      <c r="M102" s="6" t="s">
        <v>1195</v>
      </c>
      <c r="N102" s="6" t="s">
        <v>1195</v>
      </c>
      <c r="O102" s="2">
        <v>8341</v>
      </c>
      <c r="P102" s="6" t="s">
        <v>1195</v>
      </c>
      <c r="Q102" s="6" t="s">
        <v>1195</v>
      </c>
      <c r="R102" s="6" t="s">
        <v>1195</v>
      </c>
      <c r="S102" s="6" t="s">
        <v>1195</v>
      </c>
      <c r="T102" s="6" t="s">
        <v>1195</v>
      </c>
      <c r="U102" s="6" t="s">
        <v>1195</v>
      </c>
      <c r="V102" s="6" t="s">
        <v>1195</v>
      </c>
      <c r="W102" s="6" t="s">
        <v>1195</v>
      </c>
      <c r="X102" s="2">
        <f>K102</f>
        <v>42774960.199259646</v>
      </c>
      <c r="Y102" s="6" t="s">
        <v>1195</v>
      </c>
      <c r="Z102" s="6" t="s">
        <v>1195</v>
      </c>
      <c r="AA102" s="2">
        <f>AA101</f>
        <v>42774960.199259646</v>
      </c>
      <c r="AB102" s="2">
        <v>0</v>
      </c>
    </row>
    <row r="103" spans="1:28">
      <c r="A103" s="2">
        <v>100</v>
      </c>
      <c r="B103" s="2" t="s">
        <v>525</v>
      </c>
      <c r="C103" s="2" t="s">
        <v>2564</v>
      </c>
      <c r="D103" s="4" t="s">
        <v>61</v>
      </c>
      <c r="E103" s="5" t="s">
        <v>134</v>
      </c>
      <c r="F103" s="2" t="s">
        <v>135</v>
      </c>
      <c r="G103" s="2" t="s">
        <v>97</v>
      </c>
      <c r="H103" s="6" t="s">
        <v>1195</v>
      </c>
      <c r="I103" s="6" t="s">
        <v>1195</v>
      </c>
      <c r="J103" s="6" t="s">
        <v>1195</v>
      </c>
      <c r="K103" s="2">
        <f t="shared" si="18"/>
        <v>42774960.199259646</v>
      </c>
      <c r="L103" s="6" t="s">
        <v>1195</v>
      </c>
      <c r="M103" s="6" t="s">
        <v>1195</v>
      </c>
      <c r="N103" s="6" t="s">
        <v>1195</v>
      </c>
      <c r="O103" s="2">
        <v>11813</v>
      </c>
      <c r="P103" s="6" t="s">
        <v>1195</v>
      </c>
      <c r="Q103" s="6" t="s">
        <v>1195</v>
      </c>
      <c r="R103" s="6" t="s">
        <v>1195</v>
      </c>
      <c r="S103" s="6" t="s">
        <v>1195</v>
      </c>
      <c r="T103" s="6" t="s">
        <v>1195</v>
      </c>
      <c r="U103" s="6" t="s">
        <v>1195</v>
      </c>
      <c r="V103" s="6" t="s">
        <v>1195</v>
      </c>
      <c r="W103" s="6" t="s">
        <v>1195</v>
      </c>
      <c r="X103" s="2">
        <f>K103</f>
        <v>42774960.199259646</v>
      </c>
      <c r="Y103" s="6" t="s">
        <v>1195</v>
      </c>
      <c r="Z103" s="6" t="s">
        <v>1195</v>
      </c>
      <c r="AA103" s="2">
        <f>AA102</f>
        <v>42774960.199259646</v>
      </c>
      <c r="AB103" s="2">
        <v>0</v>
      </c>
    </row>
    <row r="104" spans="1:28">
      <c r="A104" s="2">
        <v>101</v>
      </c>
      <c r="B104" s="2" t="s">
        <v>527</v>
      </c>
      <c r="C104" s="2" t="s">
        <v>2564</v>
      </c>
      <c r="D104" s="4" t="s">
        <v>61</v>
      </c>
      <c r="E104" s="3" t="s">
        <v>38</v>
      </c>
      <c r="F104" s="2" t="s">
        <v>528</v>
      </c>
      <c r="G104" s="2" t="s">
        <v>161</v>
      </c>
      <c r="H104" s="2" t="s">
        <v>308</v>
      </c>
      <c r="I104" s="2" t="s">
        <v>2163</v>
      </c>
      <c r="J104" s="2" t="s">
        <v>1271</v>
      </c>
      <c r="K104" s="2">
        <f t="shared" si="18"/>
        <v>42774960.199259646</v>
      </c>
      <c r="L104" s="2" t="s">
        <v>2144</v>
      </c>
      <c r="M104" s="2" t="s">
        <v>2579</v>
      </c>
      <c r="N104" s="2" t="s">
        <v>2622</v>
      </c>
      <c r="O104" s="2">
        <v>1600</v>
      </c>
      <c r="P104" s="2">
        <v>386.47381591796881</v>
      </c>
      <c r="Q104" s="2">
        <v>394.92864990234381</v>
      </c>
      <c r="R104" s="2">
        <f>O104*P104</f>
        <v>618358.10546875012</v>
      </c>
      <c r="S104" s="2">
        <f>O104*Q104</f>
        <v>631885.83984375012</v>
      </c>
      <c r="T104" s="2">
        <f>R104+S104</f>
        <v>1250243.9453125002</v>
      </c>
      <c r="U104" s="2">
        <f>ROUND(T104*0.0005, 2)</f>
        <v>625.12</v>
      </c>
      <c r="V104" s="2">
        <f>S104-R104</f>
        <v>13527.734375</v>
      </c>
      <c r="W104" s="2">
        <f>V104-U104</f>
        <v>12902.614374999999</v>
      </c>
      <c r="X104" s="2">
        <f>K104+W104</f>
        <v>42787862.813634649</v>
      </c>
      <c r="Y104" s="2">
        <f>ROUND(0.2*R104, 2)</f>
        <v>123671.62</v>
      </c>
      <c r="Z104" s="2">
        <f>ROUND((W104/Y104)*100, 2)</f>
        <v>10.43</v>
      </c>
      <c r="AA104" s="2">
        <f>MAX(AA103, X104)</f>
        <v>42787862.813634649</v>
      </c>
      <c r="AB104" s="2">
        <f>X104-AA104</f>
        <v>0</v>
      </c>
    </row>
    <row r="105" spans="1:28">
      <c r="A105" s="2">
        <v>102</v>
      </c>
      <c r="B105" s="2" t="s">
        <v>530</v>
      </c>
      <c r="C105" s="2" t="s">
        <v>2564</v>
      </c>
      <c r="D105" s="3" t="s">
        <v>37</v>
      </c>
      <c r="E105" s="5" t="s">
        <v>134</v>
      </c>
      <c r="F105" s="2" t="s">
        <v>135</v>
      </c>
      <c r="G105" s="2" t="s">
        <v>77</v>
      </c>
      <c r="H105" s="6" t="s">
        <v>1195</v>
      </c>
      <c r="I105" s="6" t="s">
        <v>1195</v>
      </c>
      <c r="J105" s="6" t="s">
        <v>1195</v>
      </c>
      <c r="K105" s="2">
        <f t="shared" si="18"/>
        <v>42787862.813634649</v>
      </c>
      <c r="L105" s="6" t="s">
        <v>1195</v>
      </c>
      <c r="M105" s="6" t="s">
        <v>1195</v>
      </c>
      <c r="N105" s="6" t="s">
        <v>1195</v>
      </c>
      <c r="O105" s="2">
        <v>914</v>
      </c>
      <c r="P105" s="6" t="s">
        <v>1195</v>
      </c>
      <c r="Q105" s="6" t="s">
        <v>1195</v>
      </c>
      <c r="R105" s="6" t="s">
        <v>1195</v>
      </c>
      <c r="S105" s="6" t="s">
        <v>1195</v>
      </c>
      <c r="T105" s="6" t="s">
        <v>1195</v>
      </c>
      <c r="U105" s="6" t="s">
        <v>1195</v>
      </c>
      <c r="V105" s="6" t="s">
        <v>1195</v>
      </c>
      <c r="W105" s="6" t="s">
        <v>1195</v>
      </c>
      <c r="X105" s="2">
        <f>K105</f>
        <v>42787862.813634649</v>
      </c>
      <c r="Y105" s="6" t="s">
        <v>1195</v>
      </c>
      <c r="Z105" s="6" t="s">
        <v>1195</v>
      </c>
      <c r="AA105" s="2">
        <f>AA104</f>
        <v>42787862.813634649</v>
      </c>
      <c r="AB105" s="2">
        <v>0</v>
      </c>
    </row>
    <row r="106" spans="1:28">
      <c r="A106" s="2">
        <v>103</v>
      </c>
      <c r="B106" s="2" t="s">
        <v>534</v>
      </c>
      <c r="C106" s="2" t="s">
        <v>2564</v>
      </c>
      <c r="D106" s="4" t="s">
        <v>61</v>
      </c>
      <c r="E106" s="3" t="s">
        <v>38</v>
      </c>
      <c r="F106" s="2" t="s">
        <v>535</v>
      </c>
      <c r="G106" s="2" t="s">
        <v>127</v>
      </c>
      <c r="H106" s="6" t="s">
        <v>1195</v>
      </c>
      <c r="I106" s="6" t="s">
        <v>1195</v>
      </c>
      <c r="J106" s="6" t="s">
        <v>1195</v>
      </c>
      <c r="K106" s="2">
        <f t="shared" si="18"/>
        <v>42787862.813634649</v>
      </c>
      <c r="L106" s="6" t="s">
        <v>1195</v>
      </c>
      <c r="M106" s="6" t="s">
        <v>1195</v>
      </c>
      <c r="N106" s="6" t="s">
        <v>1195</v>
      </c>
      <c r="O106" s="2">
        <v>4127</v>
      </c>
      <c r="P106" s="6" t="s">
        <v>1195</v>
      </c>
      <c r="Q106" s="6" t="s">
        <v>1195</v>
      </c>
      <c r="R106" s="6" t="s">
        <v>1195</v>
      </c>
      <c r="S106" s="6" t="s">
        <v>1195</v>
      </c>
      <c r="T106" s="6" t="s">
        <v>1195</v>
      </c>
      <c r="U106" s="6" t="s">
        <v>1195</v>
      </c>
      <c r="V106" s="6" t="s">
        <v>1195</v>
      </c>
      <c r="W106" s="6" t="s">
        <v>1195</v>
      </c>
      <c r="X106" s="2">
        <f>K106</f>
        <v>42787862.813634649</v>
      </c>
      <c r="Y106" s="6" t="s">
        <v>1195</v>
      </c>
      <c r="Z106" s="6" t="s">
        <v>1195</v>
      </c>
      <c r="AA106" s="2">
        <f>AA105</f>
        <v>42787862.813634649</v>
      </c>
      <c r="AB106" s="2">
        <v>0</v>
      </c>
    </row>
    <row r="107" spans="1:28">
      <c r="A107" s="2">
        <v>104</v>
      </c>
      <c r="B107" s="2" t="s">
        <v>539</v>
      </c>
      <c r="C107" s="2" t="s">
        <v>2564</v>
      </c>
      <c r="D107" s="4" t="s">
        <v>61</v>
      </c>
      <c r="E107" s="5" t="s">
        <v>134</v>
      </c>
      <c r="F107" s="2" t="s">
        <v>135</v>
      </c>
      <c r="G107" s="2" t="s">
        <v>143</v>
      </c>
      <c r="H107" s="6" t="s">
        <v>1195</v>
      </c>
      <c r="I107" s="6" t="s">
        <v>1195</v>
      </c>
      <c r="J107" s="6" t="s">
        <v>1195</v>
      </c>
      <c r="K107" s="2">
        <f t="shared" si="18"/>
        <v>42787862.813634649</v>
      </c>
      <c r="L107" s="6" t="s">
        <v>1195</v>
      </c>
      <c r="M107" s="6" t="s">
        <v>1195</v>
      </c>
      <c r="N107" s="6" t="s">
        <v>1195</v>
      </c>
      <c r="O107" s="2">
        <v>1839</v>
      </c>
      <c r="P107" s="6" t="s">
        <v>1195</v>
      </c>
      <c r="Q107" s="6" t="s">
        <v>1195</v>
      </c>
      <c r="R107" s="6" t="s">
        <v>1195</v>
      </c>
      <c r="S107" s="6" t="s">
        <v>1195</v>
      </c>
      <c r="T107" s="6" t="s">
        <v>1195</v>
      </c>
      <c r="U107" s="6" t="s">
        <v>1195</v>
      </c>
      <c r="V107" s="6" t="s">
        <v>1195</v>
      </c>
      <c r="W107" s="6" t="s">
        <v>1195</v>
      </c>
      <c r="X107" s="2">
        <f>K107</f>
        <v>42787862.813634649</v>
      </c>
      <c r="Y107" s="6" t="s">
        <v>1195</v>
      </c>
      <c r="Z107" s="6" t="s">
        <v>1195</v>
      </c>
      <c r="AA107" s="2">
        <f>AA106</f>
        <v>42787862.813634649</v>
      </c>
      <c r="AB107" s="2">
        <v>0</v>
      </c>
    </row>
    <row r="108" spans="1:28">
      <c r="A108" s="2">
        <v>105</v>
      </c>
      <c r="B108" s="2" t="s">
        <v>542</v>
      </c>
      <c r="C108" s="2" t="s">
        <v>2564</v>
      </c>
      <c r="D108" s="3" t="s">
        <v>37</v>
      </c>
      <c r="E108" s="3" t="s">
        <v>38</v>
      </c>
      <c r="F108" s="2" t="s">
        <v>543</v>
      </c>
      <c r="G108" s="2" t="s">
        <v>103</v>
      </c>
      <c r="H108" s="2" t="s">
        <v>544</v>
      </c>
      <c r="I108" s="2" t="s">
        <v>2243</v>
      </c>
      <c r="J108" s="2" t="s">
        <v>1237</v>
      </c>
      <c r="K108" s="2">
        <f t="shared" si="18"/>
        <v>42787862.813634649</v>
      </c>
      <c r="L108" s="2" t="s">
        <v>2621</v>
      </c>
      <c r="M108" s="2" t="s">
        <v>2131</v>
      </c>
      <c r="N108" s="2" t="s">
        <v>2132</v>
      </c>
      <c r="O108" s="2">
        <v>675</v>
      </c>
      <c r="P108" s="2">
        <v>791.90093994140625</v>
      </c>
      <c r="Q108" s="2">
        <v>780.97955322265625</v>
      </c>
      <c r="R108" s="2">
        <f>O108*P108</f>
        <v>534533.13446044922</v>
      </c>
      <c r="S108" s="2">
        <f>O108*Q108</f>
        <v>527161.19842529297</v>
      </c>
      <c r="T108" s="2">
        <f>R108+S108</f>
        <v>1061694.3328857422</v>
      </c>
      <c r="U108" s="2">
        <f>ROUND(T108*0.0005, 2)</f>
        <v>530.85</v>
      </c>
      <c r="V108" s="2">
        <f>S108-R108</f>
        <v>-7371.93603515625</v>
      </c>
      <c r="W108" s="2">
        <f>V108-U108</f>
        <v>-7902.7860351562504</v>
      </c>
      <c r="X108" s="2">
        <f>K108+W108</f>
        <v>42779960.027599491</v>
      </c>
      <c r="Y108" s="2">
        <f>ROUND(0.2*R108, 2)</f>
        <v>106906.63</v>
      </c>
      <c r="Z108" s="2">
        <f>ROUND((W108/Y108)*100, 2)</f>
        <v>-7.39</v>
      </c>
      <c r="AA108" s="2">
        <f>MAX(AA107, X108)</f>
        <v>42787862.813634649</v>
      </c>
      <c r="AB108" s="2">
        <f>X108-AA108</f>
        <v>-7902.7860351577401</v>
      </c>
    </row>
    <row r="109" spans="1:28">
      <c r="A109" s="2">
        <v>106</v>
      </c>
      <c r="B109" s="2" t="s">
        <v>547</v>
      </c>
      <c r="C109" s="2" t="s">
        <v>2564</v>
      </c>
      <c r="D109" s="3" t="s">
        <v>37</v>
      </c>
      <c r="E109" s="5" t="s">
        <v>134</v>
      </c>
      <c r="F109" s="2" t="s">
        <v>135</v>
      </c>
      <c r="G109" s="2" t="s">
        <v>103</v>
      </c>
      <c r="H109" s="6" t="s">
        <v>1195</v>
      </c>
      <c r="I109" s="6" t="s">
        <v>1195</v>
      </c>
      <c r="J109" s="6" t="s">
        <v>1195</v>
      </c>
      <c r="K109" s="2">
        <f t="shared" si="18"/>
        <v>42779960.027599491</v>
      </c>
      <c r="L109" s="6" t="s">
        <v>1195</v>
      </c>
      <c r="M109" s="6" t="s">
        <v>1195</v>
      </c>
      <c r="N109" s="6" t="s">
        <v>1195</v>
      </c>
      <c r="O109" s="2">
        <v>2273</v>
      </c>
      <c r="P109" s="6" t="s">
        <v>1195</v>
      </c>
      <c r="Q109" s="6" t="s">
        <v>1195</v>
      </c>
      <c r="R109" s="6" t="s">
        <v>1195</v>
      </c>
      <c r="S109" s="6" t="s">
        <v>1195</v>
      </c>
      <c r="T109" s="6" t="s">
        <v>1195</v>
      </c>
      <c r="U109" s="6" t="s">
        <v>1195</v>
      </c>
      <c r="V109" s="6" t="s">
        <v>1195</v>
      </c>
      <c r="W109" s="6" t="s">
        <v>1195</v>
      </c>
      <c r="X109" s="2">
        <f>K109</f>
        <v>42779960.027599491</v>
      </c>
      <c r="Y109" s="6" t="s">
        <v>1195</v>
      </c>
      <c r="Z109" s="6" t="s">
        <v>1195</v>
      </c>
      <c r="AA109" s="2">
        <f>AA108</f>
        <v>42787862.813634649</v>
      </c>
      <c r="AB109" s="2">
        <v>0</v>
      </c>
    </row>
    <row r="110" spans="1:28">
      <c r="A110" s="2">
        <v>107</v>
      </c>
      <c r="B110" s="2" t="s">
        <v>551</v>
      </c>
      <c r="C110" s="2" t="s">
        <v>2564</v>
      </c>
      <c r="D110" s="4" t="s">
        <v>61</v>
      </c>
      <c r="E110" s="5" t="s">
        <v>134</v>
      </c>
      <c r="F110" s="2" t="s">
        <v>135</v>
      </c>
      <c r="G110" s="2" t="s">
        <v>77</v>
      </c>
      <c r="H110" s="6" t="s">
        <v>1195</v>
      </c>
      <c r="I110" s="6" t="s">
        <v>1195</v>
      </c>
      <c r="J110" s="6" t="s">
        <v>1195</v>
      </c>
      <c r="K110" s="2">
        <f t="shared" si="18"/>
        <v>42779960.027599491</v>
      </c>
      <c r="L110" s="6" t="s">
        <v>1195</v>
      </c>
      <c r="M110" s="6" t="s">
        <v>1195</v>
      </c>
      <c r="N110" s="6" t="s">
        <v>1195</v>
      </c>
      <c r="O110" s="2">
        <v>1575</v>
      </c>
      <c r="P110" s="6" t="s">
        <v>1195</v>
      </c>
      <c r="Q110" s="6" t="s">
        <v>1195</v>
      </c>
      <c r="R110" s="6" t="s">
        <v>1195</v>
      </c>
      <c r="S110" s="6" t="s">
        <v>1195</v>
      </c>
      <c r="T110" s="6" t="s">
        <v>1195</v>
      </c>
      <c r="U110" s="6" t="s">
        <v>1195</v>
      </c>
      <c r="V110" s="6" t="s">
        <v>1195</v>
      </c>
      <c r="W110" s="6" t="s">
        <v>1195</v>
      </c>
      <c r="X110" s="2">
        <f>K110</f>
        <v>42779960.027599491</v>
      </c>
      <c r="Y110" s="6" t="s">
        <v>1195</v>
      </c>
      <c r="Z110" s="6" t="s">
        <v>1195</v>
      </c>
      <c r="AA110" s="2">
        <f>AA109</f>
        <v>42787862.813634649</v>
      </c>
      <c r="AB110" s="2">
        <v>0</v>
      </c>
    </row>
    <row r="111" spans="1:28">
      <c r="A111" s="2">
        <v>108</v>
      </c>
      <c r="B111" s="2" t="s">
        <v>554</v>
      </c>
      <c r="C111" s="2" t="s">
        <v>2564</v>
      </c>
      <c r="D111" s="3" t="s">
        <v>37</v>
      </c>
      <c r="E111" s="5" t="s">
        <v>134</v>
      </c>
      <c r="F111" s="2" t="s">
        <v>135</v>
      </c>
      <c r="G111" s="2" t="s">
        <v>54</v>
      </c>
      <c r="H111" s="6" t="s">
        <v>1195</v>
      </c>
      <c r="I111" s="6" t="s">
        <v>1195</v>
      </c>
      <c r="J111" s="6" t="s">
        <v>1195</v>
      </c>
      <c r="K111" s="2">
        <f t="shared" si="18"/>
        <v>42779960.027599491</v>
      </c>
      <c r="L111" s="6" t="s">
        <v>1195</v>
      </c>
      <c r="M111" s="6" t="s">
        <v>1195</v>
      </c>
      <c r="N111" s="6" t="s">
        <v>1195</v>
      </c>
      <c r="O111" s="2">
        <v>276</v>
      </c>
      <c r="P111" s="6" t="s">
        <v>1195</v>
      </c>
      <c r="Q111" s="6" t="s">
        <v>1195</v>
      </c>
      <c r="R111" s="6" t="s">
        <v>1195</v>
      </c>
      <c r="S111" s="6" t="s">
        <v>1195</v>
      </c>
      <c r="T111" s="6" t="s">
        <v>1195</v>
      </c>
      <c r="U111" s="6" t="s">
        <v>1195</v>
      </c>
      <c r="V111" s="6" t="s">
        <v>1195</v>
      </c>
      <c r="W111" s="6" t="s">
        <v>1195</v>
      </c>
      <c r="X111" s="2">
        <f>K111</f>
        <v>42779960.027599491</v>
      </c>
      <c r="Y111" s="6" t="s">
        <v>1195</v>
      </c>
      <c r="Z111" s="6" t="s">
        <v>1195</v>
      </c>
      <c r="AA111" s="2">
        <f>AA110</f>
        <v>42787862.813634649</v>
      </c>
      <c r="AB111" s="2">
        <v>0</v>
      </c>
    </row>
    <row r="112" spans="1:28">
      <c r="A112" s="2">
        <v>109</v>
      </c>
      <c r="B112" s="2" t="s">
        <v>558</v>
      </c>
      <c r="C112" s="2" t="s">
        <v>2564</v>
      </c>
      <c r="D112" s="4" t="s">
        <v>61</v>
      </c>
      <c r="E112" s="5" t="s">
        <v>134</v>
      </c>
      <c r="F112" s="2" t="s">
        <v>135</v>
      </c>
      <c r="G112" s="2" t="s">
        <v>150</v>
      </c>
      <c r="H112" s="6" t="s">
        <v>1195</v>
      </c>
      <c r="I112" s="6" t="s">
        <v>1195</v>
      </c>
      <c r="J112" s="6" t="s">
        <v>1195</v>
      </c>
      <c r="K112" s="2">
        <f t="shared" si="18"/>
        <v>42779960.027599491</v>
      </c>
      <c r="L112" s="6" t="s">
        <v>1195</v>
      </c>
      <c r="M112" s="6" t="s">
        <v>1195</v>
      </c>
      <c r="N112" s="6" t="s">
        <v>1195</v>
      </c>
      <c r="O112" s="2">
        <v>208</v>
      </c>
      <c r="P112" s="6" t="s">
        <v>1195</v>
      </c>
      <c r="Q112" s="6" t="s">
        <v>1195</v>
      </c>
      <c r="R112" s="6" t="s">
        <v>1195</v>
      </c>
      <c r="S112" s="6" t="s">
        <v>1195</v>
      </c>
      <c r="T112" s="6" t="s">
        <v>1195</v>
      </c>
      <c r="U112" s="6" t="s">
        <v>1195</v>
      </c>
      <c r="V112" s="6" t="s">
        <v>1195</v>
      </c>
      <c r="W112" s="6" t="s">
        <v>1195</v>
      </c>
      <c r="X112" s="2">
        <f>K112</f>
        <v>42779960.027599491</v>
      </c>
      <c r="Y112" s="6" t="s">
        <v>1195</v>
      </c>
      <c r="Z112" s="6" t="s">
        <v>1195</v>
      </c>
      <c r="AA112" s="2">
        <f>AA111</f>
        <v>42787862.813634649</v>
      </c>
      <c r="AB112" s="2">
        <v>0</v>
      </c>
    </row>
    <row r="113" spans="1:28">
      <c r="A113" s="2">
        <v>110</v>
      </c>
      <c r="B113" s="2" t="s">
        <v>562</v>
      </c>
      <c r="C113" s="2" t="s">
        <v>2564</v>
      </c>
      <c r="D113" s="3" t="s">
        <v>37</v>
      </c>
      <c r="E113" s="5" t="s">
        <v>134</v>
      </c>
      <c r="F113" s="2" t="s">
        <v>135</v>
      </c>
      <c r="G113" s="2" t="s">
        <v>161</v>
      </c>
      <c r="H113" s="6" t="s">
        <v>1195</v>
      </c>
      <c r="I113" s="6" t="s">
        <v>1195</v>
      </c>
      <c r="J113" s="6" t="s">
        <v>1195</v>
      </c>
      <c r="K113" s="2">
        <f t="shared" si="18"/>
        <v>42779960.027599491</v>
      </c>
      <c r="L113" s="6" t="s">
        <v>1195</v>
      </c>
      <c r="M113" s="6" t="s">
        <v>1195</v>
      </c>
      <c r="N113" s="6" t="s">
        <v>1195</v>
      </c>
      <c r="O113" s="2">
        <v>1063</v>
      </c>
      <c r="P113" s="6" t="s">
        <v>1195</v>
      </c>
      <c r="Q113" s="6" t="s">
        <v>1195</v>
      </c>
      <c r="R113" s="6" t="s">
        <v>1195</v>
      </c>
      <c r="S113" s="6" t="s">
        <v>1195</v>
      </c>
      <c r="T113" s="6" t="s">
        <v>1195</v>
      </c>
      <c r="U113" s="6" t="s">
        <v>1195</v>
      </c>
      <c r="V113" s="6" t="s">
        <v>1195</v>
      </c>
      <c r="W113" s="6" t="s">
        <v>1195</v>
      </c>
      <c r="X113" s="2">
        <f>K113</f>
        <v>42779960.027599491</v>
      </c>
      <c r="Y113" s="6" t="s">
        <v>1195</v>
      </c>
      <c r="Z113" s="6" t="s">
        <v>1195</v>
      </c>
      <c r="AA113" s="2">
        <f>AA112</f>
        <v>42787862.813634649</v>
      </c>
      <c r="AB113" s="2">
        <v>0</v>
      </c>
    </row>
    <row r="114" spans="1:28">
      <c r="A114" s="2">
        <v>111</v>
      </c>
      <c r="B114" s="2" t="s">
        <v>566</v>
      </c>
      <c r="C114" s="2" t="s">
        <v>2564</v>
      </c>
      <c r="D114" s="4" t="s">
        <v>61</v>
      </c>
      <c r="E114" s="3" t="s">
        <v>38</v>
      </c>
      <c r="F114" s="2" t="s">
        <v>567</v>
      </c>
      <c r="G114" s="2" t="s">
        <v>77</v>
      </c>
      <c r="H114" s="2" t="s">
        <v>568</v>
      </c>
      <c r="I114" s="2" t="s">
        <v>2623</v>
      </c>
      <c r="J114" s="2" t="s">
        <v>338</v>
      </c>
      <c r="K114" s="2">
        <f t="shared" si="18"/>
        <v>42779960.027599491</v>
      </c>
      <c r="L114" s="2" t="s">
        <v>2130</v>
      </c>
      <c r="M114" s="2" t="s">
        <v>2170</v>
      </c>
      <c r="N114" s="2" t="s">
        <v>2616</v>
      </c>
      <c r="O114" s="2">
        <v>400</v>
      </c>
      <c r="P114" s="2">
        <v>373.94992065429687</v>
      </c>
      <c r="Q114" s="2">
        <v>380.15084838867187</v>
      </c>
      <c r="R114" s="2">
        <f>O114*P114</f>
        <v>149579.96826171875</v>
      </c>
      <c r="S114" s="2">
        <f>O114*Q114</f>
        <v>152060.33935546875</v>
      </c>
      <c r="T114" s="2">
        <f>R114+S114</f>
        <v>301640.3076171875</v>
      </c>
      <c r="U114" s="2">
        <f>ROUND(T114*0.0005, 2)</f>
        <v>150.82</v>
      </c>
      <c r="V114" s="2">
        <f>S114-R114</f>
        <v>2480.37109375</v>
      </c>
      <c r="W114" s="2">
        <f>V114-U114</f>
        <v>2329.5510937499998</v>
      </c>
      <c r="X114" s="2">
        <f>K114+W114</f>
        <v>42782289.578693241</v>
      </c>
      <c r="Y114" s="2">
        <f>ROUND(0.2*R114, 2)</f>
        <v>29915.99</v>
      </c>
      <c r="Z114" s="2">
        <f>ROUND((W114/Y114)*100, 2)</f>
        <v>7.79</v>
      </c>
      <c r="AA114" s="2">
        <f>MAX(AA113, X114)</f>
        <v>42787862.813634649</v>
      </c>
      <c r="AB114" s="2">
        <f>X114-AA114</f>
        <v>-5573.2349414080381</v>
      </c>
    </row>
    <row r="115" spans="1:28">
      <c r="A115" s="2">
        <v>112</v>
      </c>
      <c r="B115" s="2" t="s">
        <v>570</v>
      </c>
      <c r="C115" s="2" t="s">
        <v>2564</v>
      </c>
      <c r="D115" s="3" t="s">
        <v>37</v>
      </c>
      <c r="E115" s="5" t="s">
        <v>134</v>
      </c>
      <c r="F115" s="2" t="s">
        <v>135</v>
      </c>
      <c r="G115" s="2" t="s">
        <v>143</v>
      </c>
      <c r="H115" s="6" t="s">
        <v>1195</v>
      </c>
      <c r="I115" s="6" t="s">
        <v>1195</v>
      </c>
      <c r="J115" s="6" t="s">
        <v>1195</v>
      </c>
      <c r="K115" s="2">
        <f t="shared" si="18"/>
        <v>42782289.578693241</v>
      </c>
      <c r="L115" s="6" t="s">
        <v>1195</v>
      </c>
      <c r="M115" s="6" t="s">
        <v>1195</v>
      </c>
      <c r="N115" s="6" t="s">
        <v>1195</v>
      </c>
      <c r="O115" s="2">
        <v>1695</v>
      </c>
      <c r="P115" s="6" t="s">
        <v>1195</v>
      </c>
      <c r="Q115" s="6" t="s">
        <v>1195</v>
      </c>
      <c r="R115" s="6" t="s">
        <v>1195</v>
      </c>
      <c r="S115" s="6" t="s">
        <v>1195</v>
      </c>
      <c r="T115" s="6" t="s">
        <v>1195</v>
      </c>
      <c r="U115" s="6" t="s">
        <v>1195</v>
      </c>
      <c r="V115" s="6" t="s">
        <v>1195</v>
      </c>
      <c r="W115" s="6" t="s">
        <v>1195</v>
      </c>
      <c r="X115" s="2">
        <f>K115</f>
        <v>42782289.578693241</v>
      </c>
      <c r="Y115" s="6" t="s">
        <v>1195</v>
      </c>
      <c r="Z115" s="6" t="s">
        <v>1195</v>
      </c>
      <c r="AA115" s="2">
        <f>AA114</f>
        <v>42787862.813634649</v>
      </c>
      <c r="AB115" s="2">
        <v>0</v>
      </c>
    </row>
    <row r="116" spans="1:28">
      <c r="A116" s="2">
        <v>113</v>
      </c>
      <c r="B116" s="2" t="s">
        <v>574</v>
      </c>
      <c r="C116" s="2" t="s">
        <v>2564</v>
      </c>
      <c r="D116" s="4" t="s">
        <v>61</v>
      </c>
      <c r="E116" s="5" t="s">
        <v>134</v>
      </c>
      <c r="F116" s="2" t="s">
        <v>135</v>
      </c>
      <c r="G116" s="2" t="s">
        <v>169</v>
      </c>
      <c r="H116" s="6" t="s">
        <v>1195</v>
      </c>
      <c r="I116" s="6" t="s">
        <v>1195</v>
      </c>
      <c r="J116" s="6" t="s">
        <v>1195</v>
      </c>
      <c r="K116" s="2">
        <f t="shared" si="18"/>
        <v>42782289.578693241</v>
      </c>
      <c r="L116" s="6" t="s">
        <v>1195</v>
      </c>
      <c r="M116" s="6" t="s">
        <v>1195</v>
      </c>
      <c r="N116" s="6" t="s">
        <v>1195</v>
      </c>
      <c r="O116" s="2">
        <v>561</v>
      </c>
      <c r="P116" s="6" t="s">
        <v>1195</v>
      </c>
      <c r="Q116" s="6" t="s">
        <v>1195</v>
      </c>
      <c r="R116" s="6" t="s">
        <v>1195</v>
      </c>
      <c r="S116" s="6" t="s">
        <v>1195</v>
      </c>
      <c r="T116" s="6" t="s">
        <v>1195</v>
      </c>
      <c r="U116" s="6" t="s">
        <v>1195</v>
      </c>
      <c r="V116" s="6" t="s">
        <v>1195</v>
      </c>
      <c r="W116" s="6" t="s">
        <v>1195</v>
      </c>
      <c r="X116" s="2">
        <f>K116</f>
        <v>42782289.578693241</v>
      </c>
      <c r="Y116" s="6" t="s">
        <v>1195</v>
      </c>
      <c r="Z116" s="6" t="s">
        <v>1195</v>
      </c>
      <c r="AA116" s="2">
        <f>AA115</f>
        <v>42787862.813634649</v>
      </c>
      <c r="AB116" s="2">
        <v>0</v>
      </c>
    </row>
    <row r="117" spans="1:28">
      <c r="A117" s="2">
        <v>114</v>
      </c>
      <c r="B117" s="2" t="s">
        <v>578</v>
      </c>
      <c r="C117" s="2" t="s">
        <v>2564</v>
      </c>
      <c r="D117" s="3" t="s">
        <v>37</v>
      </c>
      <c r="E117" s="5" t="s">
        <v>134</v>
      </c>
      <c r="F117" s="2" t="s">
        <v>135</v>
      </c>
      <c r="G117" s="2" t="s">
        <v>177</v>
      </c>
      <c r="H117" s="6" t="s">
        <v>1195</v>
      </c>
      <c r="I117" s="6" t="s">
        <v>1195</v>
      </c>
      <c r="J117" s="6" t="s">
        <v>1195</v>
      </c>
      <c r="K117" s="2">
        <f t="shared" si="18"/>
        <v>42782289.578693241</v>
      </c>
      <c r="L117" s="6" t="s">
        <v>1195</v>
      </c>
      <c r="M117" s="6" t="s">
        <v>1195</v>
      </c>
      <c r="N117" s="6" t="s">
        <v>1195</v>
      </c>
      <c r="O117" s="2">
        <v>1848</v>
      </c>
      <c r="P117" s="6" t="s">
        <v>1195</v>
      </c>
      <c r="Q117" s="6" t="s">
        <v>1195</v>
      </c>
      <c r="R117" s="6" t="s">
        <v>1195</v>
      </c>
      <c r="S117" s="6" t="s">
        <v>1195</v>
      </c>
      <c r="T117" s="6" t="s">
        <v>1195</v>
      </c>
      <c r="U117" s="6" t="s">
        <v>1195</v>
      </c>
      <c r="V117" s="6" t="s">
        <v>1195</v>
      </c>
      <c r="W117" s="6" t="s">
        <v>1195</v>
      </c>
      <c r="X117" s="2">
        <f>K117</f>
        <v>42782289.578693241</v>
      </c>
      <c r="Y117" s="6" t="s">
        <v>1195</v>
      </c>
      <c r="Z117" s="6" t="s">
        <v>1195</v>
      </c>
      <c r="AA117" s="2">
        <f>AA116</f>
        <v>42787862.813634649</v>
      </c>
      <c r="AB117" s="2">
        <v>0</v>
      </c>
    </row>
    <row r="118" spans="1:28">
      <c r="A118" s="2">
        <v>115</v>
      </c>
      <c r="B118" s="2" t="s">
        <v>581</v>
      </c>
      <c r="C118" s="2" t="s">
        <v>2564</v>
      </c>
      <c r="D118" s="3" t="s">
        <v>37</v>
      </c>
      <c r="E118" s="3" t="s">
        <v>38</v>
      </c>
      <c r="F118" s="2" t="s">
        <v>582</v>
      </c>
      <c r="G118" s="2" t="s">
        <v>103</v>
      </c>
      <c r="H118" s="2" t="s">
        <v>583</v>
      </c>
      <c r="I118" s="2" t="s">
        <v>2624</v>
      </c>
      <c r="J118" s="2" t="s">
        <v>900</v>
      </c>
      <c r="K118" s="2">
        <f t="shared" si="18"/>
        <v>42782289.578693241</v>
      </c>
      <c r="L118" s="2" t="s">
        <v>1802</v>
      </c>
      <c r="M118" s="2" t="s">
        <v>1721</v>
      </c>
      <c r="N118" s="2" t="s">
        <v>1801</v>
      </c>
      <c r="O118" s="2">
        <v>2364</v>
      </c>
      <c r="P118" s="2">
        <v>451.6480712890625</v>
      </c>
      <c r="Q118" s="2">
        <v>504.50634765625</v>
      </c>
      <c r="R118" s="2">
        <f>O118*P118</f>
        <v>1067696.0405273438</v>
      </c>
      <c r="S118" s="2">
        <f>O118*Q118</f>
        <v>1192653.005859375</v>
      </c>
      <c r="T118" s="2">
        <f>R118+S118</f>
        <v>2260349.0463867188</v>
      </c>
      <c r="U118" s="2">
        <f>ROUND(T118*0.0005, 2)</f>
        <v>1130.17</v>
      </c>
      <c r="V118" s="2">
        <f>S118-R118</f>
        <v>124956.96533203125</v>
      </c>
      <c r="W118" s="2">
        <f>V118-U118</f>
        <v>123826.79533203125</v>
      </c>
      <c r="X118" s="2">
        <f>K118+W118</f>
        <v>42906116.37402527</v>
      </c>
      <c r="Y118" s="2">
        <f>ROUND(0.2*R118, 2)</f>
        <v>213539.21</v>
      </c>
      <c r="Z118" s="2">
        <f>ROUND((W118/Y118)*100, 2)</f>
        <v>57.99</v>
      </c>
      <c r="AA118" s="2">
        <f>MAX(AA117, X118)</f>
        <v>42906116.37402527</v>
      </c>
      <c r="AB118" s="2">
        <f>X118-AA118</f>
        <v>0</v>
      </c>
    </row>
    <row r="119" spans="1:28">
      <c r="A119" s="2">
        <v>116</v>
      </c>
      <c r="B119" s="2" t="s">
        <v>586</v>
      </c>
      <c r="C119" s="2" t="s">
        <v>2564</v>
      </c>
      <c r="D119" s="4" t="s">
        <v>61</v>
      </c>
      <c r="E119" s="5" t="s">
        <v>134</v>
      </c>
      <c r="F119" s="2" t="s">
        <v>135</v>
      </c>
      <c r="G119" s="2" t="s">
        <v>169</v>
      </c>
      <c r="H119" s="6" t="s">
        <v>1195</v>
      </c>
      <c r="I119" s="6" t="s">
        <v>1195</v>
      </c>
      <c r="J119" s="6" t="s">
        <v>1195</v>
      </c>
      <c r="K119" s="2">
        <f t="shared" si="18"/>
        <v>42906116.37402527</v>
      </c>
      <c r="L119" s="6" t="s">
        <v>1195</v>
      </c>
      <c r="M119" s="6" t="s">
        <v>1195</v>
      </c>
      <c r="N119" s="6" t="s">
        <v>1195</v>
      </c>
      <c r="O119" s="2">
        <v>776</v>
      </c>
      <c r="P119" s="6" t="s">
        <v>1195</v>
      </c>
      <c r="Q119" s="6" t="s">
        <v>1195</v>
      </c>
      <c r="R119" s="6" t="s">
        <v>1195</v>
      </c>
      <c r="S119" s="6" t="s">
        <v>1195</v>
      </c>
      <c r="T119" s="6" t="s">
        <v>1195</v>
      </c>
      <c r="U119" s="6" t="s">
        <v>1195</v>
      </c>
      <c r="V119" s="6" t="s">
        <v>1195</v>
      </c>
      <c r="W119" s="6" t="s">
        <v>1195</v>
      </c>
      <c r="X119" s="2">
        <f>K119</f>
        <v>42906116.37402527</v>
      </c>
      <c r="Y119" s="6" t="s">
        <v>1195</v>
      </c>
      <c r="Z119" s="6" t="s">
        <v>1195</v>
      </c>
      <c r="AA119" s="2">
        <f>AA118</f>
        <v>42906116.37402527</v>
      </c>
      <c r="AB119" s="2">
        <v>0</v>
      </c>
    </row>
    <row r="120" spans="1:28">
      <c r="A120" s="2">
        <v>117</v>
      </c>
      <c r="B120" s="2" t="s">
        <v>592</v>
      </c>
      <c r="C120" s="2" t="s">
        <v>2564</v>
      </c>
      <c r="D120" s="3" t="s">
        <v>37</v>
      </c>
      <c r="E120" s="3" t="s">
        <v>38</v>
      </c>
      <c r="F120" s="2" t="s">
        <v>593</v>
      </c>
      <c r="G120" s="2" t="s">
        <v>63</v>
      </c>
      <c r="H120" s="2" t="s">
        <v>594</v>
      </c>
      <c r="I120" s="2" t="s">
        <v>1086</v>
      </c>
      <c r="J120" s="2" t="s">
        <v>146</v>
      </c>
      <c r="K120" s="2">
        <f t="shared" si="18"/>
        <v>42906116.37402527</v>
      </c>
      <c r="L120" s="2" t="s">
        <v>2169</v>
      </c>
      <c r="M120" s="2" t="s">
        <v>2602</v>
      </c>
      <c r="N120" s="2" t="s">
        <v>2169</v>
      </c>
      <c r="O120" s="2">
        <v>300</v>
      </c>
      <c r="P120" s="2">
        <v>2547.204345703125</v>
      </c>
      <c r="Q120" s="2">
        <v>2550.381103515625</v>
      </c>
      <c r="R120" s="2">
        <f>O120*P120</f>
        <v>764161.3037109375</v>
      </c>
      <c r="S120" s="2">
        <f>O120*Q120</f>
        <v>765114.3310546875</v>
      </c>
      <c r="T120" s="2">
        <f>R120+S120</f>
        <v>1529275.634765625</v>
      </c>
      <c r="U120" s="2">
        <f>ROUND(T120*0.0005, 2)</f>
        <v>764.64</v>
      </c>
      <c r="V120" s="2">
        <f>S120-R120</f>
        <v>953.02734375</v>
      </c>
      <c r="W120" s="2">
        <f>V120-U120</f>
        <v>188.38734375000001</v>
      </c>
      <c r="X120" s="2">
        <f>K120+W120</f>
        <v>42906304.76136902</v>
      </c>
      <c r="Y120" s="2">
        <f>ROUND(0.2*R120, 2)</f>
        <v>152832.26</v>
      </c>
      <c r="Z120" s="2">
        <f>ROUND((W120/Y120)*100, 2)</f>
        <v>0.12</v>
      </c>
      <c r="AA120" s="2">
        <f>MAX(AA119, X120)</f>
        <v>42906304.76136902</v>
      </c>
      <c r="AB120" s="2">
        <f>X120-AA120</f>
        <v>0</v>
      </c>
    </row>
    <row r="121" spans="1:28">
      <c r="A121" s="2">
        <v>118</v>
      </c>
      <c r="B121" s="2" t="s">
        <v>597</v>
      </c>
      <c r="C121" s="2" t="s">
        <v>2564</v>
      </c>
      <c r="D121" s="4" t="s">
        <v>61</v>
      </c>
      <c r="E121" s="5" t="s">
        <v>134</v>
      </c>
      <c r="F121" s="2" t="s">
        <v>135</v>
      </c>
      <c r="G121" s="2" t="s">
        <v>63</v>
      </c>
      <c r="H121" s="6" t="s">
        <v>1195</v>
      </c>
      <c r="I121" s="6" t="s">
        <v>1195</v>
      </c>
      <c r="J121" s="6" t="s">
        <v>1195</v>
      </c>
      <c r="K121" s="2">
        <f t="shared" si="18"/>
        <v>42906304.76136902</v>
      </c>
      <c r="L121" s="6" t="s">
        <v>1195</v>
      </c>
      <c r="M121" s="6" t="s">
        <v>1195</v>
      </c>
      <c r="N121" s="6" t="s">
        <v>1195</v>
      </c>
      <c r="O121" s="2">
        <v>3265</v>
      </c>
      <c r="P121" s="6" t="s">
        <v>1195</v>
      </c>
      <c r="Q121" s="6" t="s">
        <v>1195</v>
      </c>
      <c r="R121" s="6" t="s">
        <v>1195</v>
      </c>
      <c r="S121" s="6" t="s">
        <v>1195</v>
      </c>
      <c r="T121" s="6" t="s">
        <v>1195</v>
      </c>
      <c r="U121" s="6" t="s">
        <v>1195</v>
      </c>
      <c r="V121" s="6" t="s">
        <v>1195</v>
      </c>
      <c r="W121" s="6" t="s">
        <v>1195</v>
      </c>
      <c r="X121" s="2">
        <f>K121</f>
        <v>42906304.76136902</v>
      </c>
      <c r="Y121" s="6" t="s">
        <v>1195</v>
      </c>
      <c r="Z121" s="6" t="s">
        <v>1195</v>
      </c>
      <c r="AA121" s="2">
        <f>AA120</f>
        <v>42906304.76136902</v>
      </c>
      <c r="AB121" s="2">
        <v>0</v>
      </c>
    </row>
    <row r="122" spans="1:28">
      <c r="A122" s="2">
        <v>119</v>
      </c>
      <c r="B122" s="2" t="s">
        <v>601</v>
      </c>
      <c r="C122" s="2" t="s">
        <v>2564</v>
      </c>
      <c r="D122" s="4" t="s">
        <v>61</v>
      </c>
      <c r="E122" s="5" t="s">
        <v>134</v>
      </c>
      <c r="F122" s="2" t="s">
        <v>135</v>
      </c>
      <c r="G122" s="2" t="s">
        <v>127</v>
      </c>
      <c r="H122" s="6" t="s">
        <v>1195</v>
      </c>
      <c r="I122" s="6" t="s">
        <v>1195</v>
      </c>
      <c r="J122" s="6" t="s">
        <v>1195</v>
      </c>
      <c r="K122" s="2">
        <f t="shared" si="18"/>
        <v>42906304.76136902</v>
      </c>
      <c r="L122" s="6" t="s">
        <v>1195</v>
      </c>
      <c r="M122" s="6" t="s">
        <v>1195</v>
      </c>
      <c r="N122" s="6" t="s">
        <v>1195</v>
      </c>
      <c r="O122" s="2">
        <v>225</v>
      </c>
      <c r="P122" s="6" t="s">
        <v>1195</v>
      </c>
      <c r="Q122" s="6" t="s">
        <v>1195</v>
      </c>
      <c r="R122" s="6" t="s">
        <v>1195</v>
      </c>
      <c r="S122" s="6" t="s">
        <v>1195</v>
      </c>
      <c r="T122" s="6" t="s">
        <v>1195</v>
      </c>
      <c r="U122" s="6" t="s">
        <v>1195</v>
      </c>
      <c r="V122" s="6" t="s">
        <v>1195</v>
      </c>
      <c r="W122" s="6" t="s">
        <v>1195</v>
      </c>
      <c r="X122" s="2">
        <f>K122</f>
        <v>42906304.76136902</v>
      </c>
      <c r="Y122" s="6" t="s">
        <v>1195</v>
      </c>
      <c r="Z122" s="6" t="s">
        <v>1195</v>
      </c>
      <c r="AA122" s="2">
        <f>AA121</f>
        <v>42906304.76136902</v>
      </c>
      <c r="AB122" s="2">
        <v>0</v>
      </c>
    </row>
    <row r="123" spans="1:28">
      <c r="A123" s="2">
        <v>120</v>
      </c>
      <c r="B123" s="2" t="s">
        <v>605</v>
      </c>
      <c r="C123" s="2" t="s">
        <v>2564</v>
      </c>
      <c r="D123" s="3" t="s">
        <v>37</v>
      </c>
      <c r="E123" s="5" t="s">
        <v>134</v>
      </c>
      <c r="F123" s="2" t="s">
        <v>135</v>
      </c>
      <c r="G123" s="2" t="s">
        <v>161</v>
      </c>
      <c r="H123" s="6" t="s">
        <v>1195</v>
      </c>
      <c r="I123" s="6" t="s">
        <v>1195</v>
      </c>
      <c r="J123" s="6" t="s">
        <v>1195</v>
      </c>
      <c r="K123" s="2">
        <f t="shared" si="18"/>
        <v>42906304.76136902</v>
      </c>
      <c r="L123" s="6" t="s">
        <v>1195</v>
      </c>
      <c r="M123" s="6" t="s">
        <v>1195</v>
      </c>
      <c r="N123" s="6" t="s">
        <v>1195</v>
      </c>
      <c r="O123" s="2">
        <v>413</v>
      </c>
      <c r="P123" s="6" t="s">
        <v>1195</v>
      </c>
      <c r="Q123" s="6" t="s">
        <v>1195</v>
      </c>
      <c r="R123" s="6" t="s">
        <v>1195</v>
      </c>
      <c r="S123" s="6" t="s">
        <v>1195</v>
      </c>
      <c r="T123" s="6" t="s">
        <v>1195</v>
      </c>
      <c r="U123" s="6" t="s">
        <v>1195</v>
      </c>
      <c r="V123" s="6" t="s">
        <v>1195</v>
      </c>
      <c r="W123" s="6" t="s">
        <v>1195</v>
      </c>
      <c r="X123" s="2">
        <f>K123</f>
        <v>42906304.76136902</v>
      </c>
      <c r="Y123" s="6" t="s">
        <v>1195</v>
      </c>
      <c r="Z123" s="6" t="s">
        <v>1195</v>
      </c>
      <c r="AA123" s="2">
        <f>AA122</f>
        <v>42906304.76136902</v>
      </c>
      <c r="AB123" s="2">
        <v>0</v>
      </c>
    </row>
    <row r="124" spans="1:28">
      <c r="A124" s="2">
        <v>121</v>
      </c>
      <c r="B124" s="2" t="s">
        <v>609</v>
      </c>
      <c r="C124" s="2" t="s">
        <v>2564</v>
      </c>
      <c r="D124" s="3" t="s">
        <v>37</v>
      </c>
      <c r="E124" s="3" t="s">
        <v>38</v>
      </c>
      <c r="F124" s="2" t="s">
        <v>200</v>
      </c>
      <c r="G124" s="2" t="s">
        <v>169</v>
      </c>
      <c r="H124" s="2" t="s">
        <v>610</v>
      </c>
      <c r="I124" s="2" t="s">
        <v>2024</v>
      </c>
      <c r="J124" s="2" t="s">
        <v>775</v>
      </c>
      <c r="K124" s="2">
        <f t="shared" si="18"/>
        <v>42906304.76136902</v>
      </c>
      <c r="L124" s="2" t="s">
        <v>2578</v>
      </c>
      <c r="M124" s="2" t="s">
        <v>2159</v>
      </c>
      <c r="N124" s="2" t="s">
        <v>2574</v>
      </c>
      <c r="O124" s="2">
        <v>350</v>
      </c>
      <c r="P124" s="2">
        <v>1437.706909179688</v>
      </c>
      <c r="Q124" s="2">
        <v>1488.093139648438</v>
      </c>
      <c r="R124" s="2">
        <f>O124*P124</f>
        <v>503197.4182128908</v>
      </c>
      <c r="S124" s="2">
        <f>O124*Q124</f>
        <v>520832.5988769533</v>
      </c>
      <c r="T124" s="2">
        <f>R124+S124</f>
        <v>1024030.0170898441</v>
      </c>
      <c r="U124" s="2">
        <f>ROUND(T124*0.0005, 2)</f>
        <v>512.02</v>
      </c>
      <c r="V124" s="2">
        <f>S124-R124</f>
        <v>17635.1806640625</v>
      </c>
      <c r="W124" s="2">
        <f>V124-U124</f>
        <v>17123.1606640625</v>
      </c>
      <c r="X124" s="2">
        <f>K124+W124</f>
        <v>42923427.922033079</v>
      </c>
      <c r="Y124" s="2">
        <f>ROUND(0.2*R124, 2)</f>
        <v>100639.48</v>
      </c>
      <c r="Z124" s="2">
        <f>ROUND((W124/Y124)*100, 2)</f>
        <v>17.010000000000002</v>
      </c>
      <c r="AA124" s="2">
        <f>MAX(AA123, X124)</f>
        <v>42923427.922033079</v>
      </c>
      <c r="AB124" s="2">
        <f>X124-AA124</f>
        <v>0</v>
      </c>
    </row>
    <row r="125" spans="1:28">
      <c r="A125" s="2">
        <v>122</v>
      </c>
      <c r="B125" s="2" t="s">
        <v>613</v>
      </c>
      <c r="C125" s="2" t="s">
        <v>2564</v>
      </c>
      <c r="D125" s="3" t="s">
        <v>37</v>
      </c>
      <c r="E125" s="5" t="s">
        <v>134</v>
      </c>
      <c r="F125" s="2" t="s">
        <v>135</v>
      </c>
      <c r="G125" s="2" t="s">
        <v>241</v>
      </c>
      <c r="H125" s="6" t="s">
        <v>1195</v>
      </c>
      <c r="I125" s="6" t="s">
        <v>1195</v>
      </c>
      <c r="J125" s="6" t="s">
        <v>1195</v>
      </c>
      <c r="K125" s="2">
        <f t="shared" si="18"/>
        <v>42923427.922033079</v>
      </c>
      <c r="L125" s="6" t="s">
        <v>1195</v>
      </c>
      <c r="M125" s="6" t="s">
        <v>1195</v>
      </c>
      <c r="N125" s="6" t="s">
        <v>1195</v>
      </c>
      <c r="O125" s="2">
        <v>12616</v>
      </c>
      <c r="P125" s="6" t="s">
        <v>1195</v>
      </c>
      <c r="Q125" s="6" t="s">
        <v>1195</v>
      </c>
      <c r="R125" s="6" t="s">
        <v>1195</v>
      </c>
      <c r="S125" s="6" t="s">
        <v>1195</v>
      </c>
      <c r="T125" s="6" t="s">
        <v>1195</v>
      </c>
      <c r="U125" s="6" t="s">
        <v>1195</v>
      </c>
      <c r="V125" s="6" t="s">
        <v>1195</v>
      </c>
      <c r="W125" s="6" t="s">
        <v>1195</v>
      </c>
      <c r="X125" s="2">
        <f>K125</f>
        <v>42923427.922033079</v>
      </c>
      <c r="Y125" s="6" t="s">
        <v>1195</v>
      </c>
      <c r="Z125" s="6" t="s">
        <v>1195</v>
      </c>
      <c r="AA125" s="2">
        <f>AA124</f>
        <v>42923427.922033079</v>
      </c>
      <c r="AB125" s="2">
        <v>0</v>
      </c>
    </row>
    <row r="126" spans="1:28">
      <c r="A126" s="2">
        <v>123</v>
      </c>
      <c r="B126" s="2" t="s">
        <v>617</v>
      </c>
      <c r="C126" s="2" t="s">
        <v>2564</v>
      </c>
      <c r="D126" s="3" t="s">
        <v>37</v>
      </c>
      <c r="E126" s="5" t="s">
        <v>134</v>
      </c>
      <c r="F126" s="2" t="s">
        <v>135</v>
      </c>
      <c r="G126" s="2" t="s">
        <v>97</v>
      </c>
      <c r="H126" s="6" t="s">
        <v>1195</v>
      </c>
      <c r="I126" s="6" t="s">
        <v>1195</v>
      </c>
      <c r="J126" s="6" t="s">
        <v>1195</v>
      </c>
      <c r="K126" s="2">
        <f t="shared" si="18"/>
        <v>42923427.922033079</v>
      </c>
      <c r="L126" s="6" t="s">
        <v>1195</v>
      </c>
      <c r="M126" s="6" t="s">
        <v>1195</v>
      </c>
      <c r="N126" s="6" t="s">
        <v>1195</v>
      </c>
      <c r="O126" s="2">
        <v>2714</v>
      </c>
      <c r="P126" s="6" t="s">
        <v>1195</v>
      </c>
      <c r="Q126" s="6" t="s">
        <v>1195</v>
      </c>
      <c r="R126" s="6" t="s">
        <v>1195</v>
      </c>
      <c r="S126" s="6" t="s">
        <v>1195</v>
      </c>
      <c r="T126" s="6" t="s">
        <v>1195</v>
      </c>
      <c r="U126" s="6" t="s">
        <v>1195</v>
      </c>
      <c r="V126" s="6" t="s">
        <v>1195</v>
      </c>
      <c r="W126" s="6" t="s">
        <v>1195</v>
      </c>
      <c r="X126" s="2">
        <f>K126</f>
        <v>42923427.922033079</v>
      </c>
      <c r="Y126" s="6" t="s">
        <v>1195</v>
      </c>
      <c r="Z126" s="6" t="s">
        <v>1195</v>
      </c>
      <c r="AA126" s="2">
        <f>AA125</f>
        <v>42923427.922033079</v>
      </c>
      <c r="AB126" s="2">
        <v>0</v>
      </c>
    </row>
    <row r="127" spans="1:28">
      <c r="A127" s="2">
        <v>124</v>
      </c>
      <c r="B127" s="2" t="s">
        <v>621</v>
      </c>
      <c r="C127" s="2" t="s">
        <v>2564</v>
      </c>
      <c r="D127" s="4" t="s">
        <v>61</v>
      </c>
      <c r="E127" s="5" t="s">
        <v>134</v>
      </c>
      <c r="F127" s="2" t="s">
        <v>135</v>
      </c>
      <c r="G127" s="2" t="s">
        <v>169</v>
      </c>
      <c r="H127" s="6" t="s">
        <v>1195</v>
      </c>
      <c r="I127" s="6" t="s">
        <v>1195</v>
      </c>
      <c r="J127" s="6" t="s">
        <v>1195</v>
      </c>
      <c r="K127" s="2">
        <f t="shared" si="18"/>
        <v>42923427.922033079</v>
      </c>
      <c r="L127" s="6" t="s">
        <v>1195</v>
      </c>
      <c r="M127" s="6" t="s">
        <v>1195</v>
      </c>
      <c r="N127" s="6" t="s">
        <v>1195</v>
      </c>
      <c r="O127" s="2">
        <v>388</v>
      </c>
      <c r="P127" s="6" t="s">
        <v>1195</v>
      </c>
      <c r="Q127" s="6" t="s">
        <v>1195</v>
      </c>
      <c r="R127" s="6" t="s">
        <v>1195</v>
      </c>
      <c r="S127" s="6" t="s">
        <v>1195</v>
      </c>
      <c r="T127" s="6" t="s">
        <v>1195</v>
      </c>
      <c r="U127" s="6" t="s">
        <v>1195</v>
      </c>
      <c r="V127" s="6" t="s">
        <v>1195</v>
      </c>
      <c r="W127" s="6" t="s">
        <v>1195</v>
      </c>
      <c r="X127" s="2">
        <f>K127</f>
        <v>42923427.922033079</v>
      </c>
      <c r="Y127" s="6" t="s">
        <v>1195</v>
      </c>
      <c r="Z127" s="6" t="s">
        <v>1195</v>
      </c>
      <c r="AA127" s="2">
        <f>AA126</f>
        <v>42923427.922033079</v>
      </c>
      <c r="AB127" s="2">
        <v>0</v>
      </c>
    </row>
    <row r="128" spans="1:28">
      <c r="A128" s="2">
        <v>125</v>
      </c>
      <c r="B128" s="2" t="s">
        <v>625</v>
      </c>
      <c r="C128" s="2" t="s">
        <v>2564</v>
      </c>
      <c r="D128" s="3" t="s">
        <v>37</v>
      </c>
      <c r="E128" s="5" t="s">
        <v>134</v>
      </c>
      <c r="F128" s="2" t="s">
        <v>135</v>
      </c>
      <c r="G128" s="2" t="s">
        <v>103</v>
      </c>
      <c r="H128" s="6" t="s">
        <v>1195</v>
      </c>
      <c r="I128" s="6" t="s">
        <v>1195</v>
      </c>
      <c r="J128" s="6" t="s">
        <v>1195</v>
      </c>
      <c r="K128" s="2">
        <f t="shared" si="18"/>
        <v>42923427.922033079</v>
      </c>
      <c r="L128" s="6" t="s">
        <v>1195</v>
      </c>
      <c r="M128" s="6" t="s">
        <v>1195</v>
      </c>
      <c r="N128" s="6" t="s">
        <v>1195</v>
      </c>
      <c r="O128" s="2">
        <v>1129</v>
      </c>
      <c r="P128" s="6" t="s">
        <v>1195</v>
      </c>
      <c r="Q128" s="6" t="s">
        <v>1195</v>
      </c>
      <c r="R128" s="6" t="s">
        <v>1195</v>
      </c>
      <c r="S128" s="6" t="s">
        <v>1195</v>
      </c>
      <c r="T128" s="6" t="s">
        <v>1195</v>
      </c>
      <c r="U128" s="6" t="s">
        <v>1195</v>
      </c>
      <c r="V128" s="6" t="s">
        <v>1195</v>
      </c>
      <c r="W128" s="6" t="s">
        <v>1195</v>
      </c>
      <c r="X128" s="2">
        <f>K128</f>
        <v>42923427.922033079</v>
      </c>
      <c r="Y128" s="6" t="s">
        <v>1195</v>
      </c>
      <c r="Z128" s="6" t="s">
        <v>1195</v>
      </c>
      <c r="AA128" s="2">
        <f>AA127</f>
        <v>42923427.922033079</v>
      </c>
      <c r="AB128" s="2">
        <v>0</v>
      </c>
    </row>
    <row r="129" spans="1:28">
      <c r="A129" s="2">
        <v>126</v>
      </c>
      <c r="B129" s="2" t="s">
        <v>629</v>
      </c>
      <c r="C129" s="2" t="s">
        <v>2564</v>
      </c>
      <c r="D129" s="4" t="s">
        <v>61</v>
      </c>
      <c r="E129" s="3" t="s">
        <v>38</v>
      </c>
      <c r="F129" s="2" t="s">
        <v>439</v>
      </c>
      <c r="G129" s="2" t="s">
        <v>77</v>
      </c>
      <c r="H129" s="2" t="s">
        <v>430</v>
      </c>
      <c r="I129" s="2" t="s">
        <v>198</v>
      </c>
      <c r="J129" s="2" t="s">
        <v>98</v>
      </c>
      <c r="K129" s="2">
        <f t="shared" si="18"/>
        <v>42923427.922033079</v>
      </c>
      <c r="L129" s="2" t="s">
        <v>2131</v>
      </c>
      <c r="M129" s="2" t="s">
        <v>2144</v>
      </c>
      <c r="N129" s="2" t="s">
        <v>2578</v>
      </c>
      <c r="O129" s="2">
        <v>100</v>
      </c>
      <c r="P129" s="2">
        <v>9372.865234375</v>
      </c>
      <c r="Q129" s="2">
        <v>9469.7607421875</v>
      </c>
      <c r="R129" s="2">
        <f>O129*P129</f>
        <v>937286.5234375</v>
      </c>
      <c r="S129" s="2">
        <f>O129*Q129</f>
        <v>946976.07421875</v>
      </c>
      <c r="T129" s="2">
        <f>R129+S129</f>
        <v>1884262.59765625</v>
      </c>
      <c r="U129" s="2">
        <f>ROUND(T129*0.0005, 2)</f>
        <v>942.13</v>
      </c>
      <c r="V129" s="2">
        <f>S129-R129</f>
        <v>9689.55078125</v>
      </c>
      <c r="W129" s="2">
        <f>V129-U129</f>
        <v>8747.4207812500008</v>
      </c>
      <c r="X129" s="2">
        <f>K129+W129</f>
        <v>42932175.342814326</v>
      </c>
      <c r="Y129" s="2">
        <f>ROUND(0.2*R129, 2)</f>
        <v>187457.3</v>
      </c>
      <c r="Z129" s="2">
        <f>ROUND((W129/Y129)*100, 2)</f>
        <v>4.67</v>
      </c>
      <c r="AA129" s="2">
        <f>MAX(AA128, X129)</f>
        <v>42932175.342814326</v>
      </c>
      <c r="AB129" s="2">
        <f>X129-AA129</f>
        <v>0</v>
      </c>
    </row>
    <row r="130" spans="1:28">
      <c r="A130" s="2">
        <v>127</v>
      </c>
      <c r="B130" s="2" t="s">
        <v>632</v>
      </c>
      <c r="C130" s="2" t="s">
        <v>2564</v>
      </c>
      <c r="D130" s="3" t="s">
        <v>37</v>
      </c>
      <c r="E130" s="3" t="s">
        <v>38</v>
      </c>
      <c r="F130" s="2" t="s">
        <v>633</v>
      </c>
      <c r="G130" s="2" t="s">
        <v>169</v>
      </c>
      <c r="H130" s="2" t="s">
        <v>634</v>
      </c>
      <c r="I130" s="2" t="s">
        <v>576</v>
      </c>
      <c r="J130" s="2" t="s">
        <v>2625</v>
      </c>
      <c r="K130" s="2">
        <f t="shared" si="18"/>
        <v>42932175.342814326</v>
      </c>
      <c r="L130" s="2" t="s">
        <v>2626</v>
      </c>
      <c r="M130" s="2" t="s">
        <v>2627</v>
      </c>
      <c r="N130" s="2" t="s">
        <v>2628</v>
      </c>
      <c r="O130" s="2">
        <v>922</v>
      </c>
      <c r="P130" s="2">
        <v>166.19670104980469</v>
      </c>
      <c r="Q130" s="2">
        <v>180.30726623535159</v>
      </c>
      <c r="R130" s="2">
        <f>O130*P130</f>
        <v>153233.35836791992</v>
      </c>
      <c r="S130" s="2">
        <f>O130*Q130</f>
        <v>166243.29946899417</v>
      </c>
      <c r="T130" s="2">
        <f>R130+S130</f>
        <v>319476.65783691406</v>
      </c>
      <c r="U130" s="2">
        <f>ROUND(T130*0.0005, 2)</f>
        <v>159.74</v>
      </c>
      <c r="V130" s="2">
        <f>S130-R130</f>
        <v>13009.941101074248</v>
      </c>
      <c r="W130" s="2">
        <f>V130-U130</f>
        <v>12850.201101074248</v>
      </c>
      <c r="X130" s="2">
        <f>K130+W130</f>
        <v>42945025.543915398</v>
      </c>
      <c r="Y130" s="2">
        <f>ROUND(0.2*R130, 2)</f>
        <v>30646.67</v>
      </c>
      <c r="Z130" s="2">
        <f>ROUND((W130/Y130)*100, 2)</f>
        <v>41.93</v>
      </c>
      <c r="AA130" s="2">
        <f>MAX(AA129, X130)</f>
        <v>42945025.543915398</v>
      </c>
      <c r="AB130" s="2">
        <f>X130-AA130</f>
        <v>0</v>
      </c>
    </row>
    <row r="131" spans="1:28">
      <c r="A131" s="2">
        <v>128</v>
      </c>
      <c r="B131" s="2" t="s">
        <v>637</v>
      </c>
      <c r="C131" s="2" t="s">
        <v>2564</v>
      </c>
      <c r="D131" s="4" t="s">
        <v>61</v>
      </c>
      <c r="E131" s="5" t="s">
        <v>134</v>
      </c>
      <c r="F131" s="2" t="s">
        <v>135</v>
      </c>
      <c r="G131" s="2" t="s">
        <v>241</v>
      </c>
      <c r="H131" s="6" t="s">
        <v>1195</v>
      </c>
      <c r="I131" s="6" t="s">
        <v>1195</v>
      </c>
      <c r="J131" s="6" t="s">
        <v>1195</v>
      </c>
      <c r="K131" s="2">
        <f t="shared" si="18"/>
        <v>42945025.543915398</v>
      </c>
      <c r="L131" s="6" t="s">
        <v>1195</v>
      </c>
      <c r="M131" s="6" t="s">
        <v>1195</v>
      </c>
      <c r="N131" s="6" t="s">
        <v>1195</v>
      </c>
      <c r="O131" s="2">
        <v>431</v>
      </c>
      <c r="P131" s="6" t="s">
        <v>1195</v>
      </c>
      <c r="Q131" s="6" t="s">
        <v>1195</v>
      </c>
      <c r="R131" s="6" t="s">
        <v>1195</v>
      </c>
      <c r="S131" s="6" t="s">
        <v>1195</v>
      </c>
      <c r="T131" s="6" t="s">
        <v>1195</v>
      </c>
      <c r="U131" s="6" t="s">
        <v>1195</v>
      </c>
      <c r="V131" s="6" t="s">
        <v>1195</v>
      </c>
      <c r="W131" s="6" t="s">
        <v>1195</v>
      </c>
      <c r="X131" s="2">
        <f t="shared" ref="X131:X136" si="19">K131</f>
        <v>42945025.543915398</v>
      </c>
      <c r="Y131" s="6" t="s">
        <v>1195</v>
      </c>
      <c r="Z131" s="6" t="s">
        <v>1195</v>
      </c>
      <c r="AA131" s="2">
        <f t="shared" ref="AA131:AA136" si="20">AA130</f>
        <v>42945025.543915398</v>
      </c>
      <c r="AB131" s="2">
        <v>0</v>
      </c>
    </row>
    <row r="132" spans="1:28">
      <c r="A132" s="2">
        <v>129</v>
      </c>
      <c r="B132" s="2" t="s">
        <v>640</v>
      </c>
      <c r="C132" s="2" t="s">
        <v>2564</v>
      </c>
      <c r="D132" s="3" t="s">
        <v>37</v>
      </c>
      <c r="E132" s="5" t="s">
        <v>134</v>
      </c>
      <c r="F132" s="2" t="s">
        <v>520</v>
      </c>
      <c r="G132" s="2" t="s">
        <v>231</v>
      </c>
      <c r="H132" s="6" t="s">
        <v>1195</v>
      </c>
      <c r="I132" s="6" t="s">
        <v>1195</v>
      </c>
      <c r="J132" s="6" t="s">
        <v>1195</v>
      </c>
      <c r="K132" s="2">
        <f t="shared" si="18"/>
        <v>42945025.543915398</v>
      </c>
      <c r="L132" s="6" t="s">
        <v>1195</v>
      </c>
      <c r="M132" s="6" t="s">
        <v>1195</v>
      </c>
      <c r="N132" s="6" t="s">
        <v>1195</v>
      </c>
      <c r="O132" s="2">
        <v>373</v>
      </c>
      <c r="P132" s="6" t="s">
        <v>1195</v>
      </c>
      <c r="Q132" s="6" t="s">
        <v>1195</v>
      </c>
      <c r="R132" s="6" t="s">
        <v>1195</v>
      </c>
      <c r="S132" s="6" t="s">
        <v>1195</v>
      </c>
      <c r="T132" s="6" t="s">
        <v>1195</v>
      </c>
      <c r="U132" s="6" t="s">
        <v>1195</v>
      </c>
      <c r="V132" s="6" t="s">
        <v>1195</v>
      </c>
      <c r="W132" s="6" t="s">
        <v>1195</v>
      </c>
      <c r="X132" s="2">
        <f t="shared" si="19"/>
        <v>42945025.543915398</v>
      </c>
      <c r="Y132" s="6" t="s">
        <v>1195</v>
      </c>
      <c r="Z132" s="6" t="s">
        <v>1195</v>
      </c>
      <c r="AA132" s="2">
        <f t="shared" si="20"/>
        <v>42945025.543915398</v>
      </c>
      <c r="AB132" s="2">
        <v>0</v>
      </c>
    </row>
    <row r="133" spans="1:28">
      <c r="A133" s="2">
        <v>130</v>
      </c>
      <c r="B133" s="2" t="s">
        <v>647</v>
      </c>
      <c r="C133" s="2" t="s">
        <v>2564</v>
      </c>
      <c r="D133" s="4" t="s">
        <v>61</v>
      </c>
      <c r="E133" s="5" t="s">
        <v>134</v>
      </c>
      <c r="F133" s="2" t="s">
        <v>135</v>
      </c>
      <c r="G133" s="2" t="s">
        <v>97</v>
      </c>
      <c r="H133" s="6" t="s">
        <v>1195</v>
      </c>
      <c r="I133" s="6" t="s">
        <v>1195</v>
      </c>
      <c r="J133" s="6" t="s">
        <v>1195</v>
      </c>
      <c r="K133" s="2">
        <f t="shared" ref="K133:K196" si="21">X132</f>
        <v>42945025.543915398</v>
      </c>
      <c r="L133" s="6" t="s">
        <v>1195</v>
      </c>
      <c r="M133" s="6" t="s">
        <v>1195</v>
      </c>
      <c r="N133" s="6" t="s">
        <v>1195</v>
      </c>
      <c r="O133" s="2">
        <v>661</v>
      </c>
      <c r="P133" s="6" t="s">
        <v>1195</v>
      </c>
      <c r="Q133" s="6" t="s">
        <v>1195</v>
      </c>
      <c r="R133" s="6" t="s">
        <v>1195</v>
      </c>
      <c r="S133" s="6" t="s">
        <v>1195</v>
      </c>
      <c r="T133" s="6" t="s">
        <v>1195</v>
      </c>
      <c r="U133" s="6" t="s">
        <v>1195</v>
      </c>
      <c r="V133" s="6" t="s">
        <v>1195</v>
      </c>
      <c r="W133" s="6" t="s">
        <v>1195</v>
      </c>
      <c r="X133" s="2">
        <f t="shared" si="19"/>
        <v>42945025.543915398</v>
      </c>
      <c r="Y133" s="6" t="s">
        <v>1195</v>
      </c>
      <c r="Z133" s="6" t="s">
        <v>1195</v>
      </c>
      <c r="AA133" s="2">
        <f t="shared" si="20"/>
        <v>42945025.543915398</v>
      </c>
      <c r="AB133" s="2">
        <v>0</v>
      </c>
    </row>
    <row r="134" spans="1:28">
      <c r="A134" s="2">
        <v>131</v>
      </c>
      <c r="B134" s="2" t="s">
        <v>651</v>
      </c>
      <c r="C134" s="2" t="s">
        <v>2564</v>
      </c>
      <c r="D134" s="4" t="s">
        <v>61</v>
      </c>
      <c r="E134" s="5" t="s">
        <v>134</v>
      </c>
      <c r="F134" s="2" t="s">
        <v>135</v>
      </c>
      <c r="G134" s="2" t="s">
        <v>241</v>
      </c>
      <c r="H134" s="6" t="s">
        <v>1195</v>
      </c>
      <c r="I134" s="6" t="s">
        <v>1195</v>
      </c>
      <c r="J134" s="6" t="s">
        <v>1195</v>
      </c>
      <c r="K134" s="2">
        <f t="shared" si="21"/>
        <v>42945025.543915398</v>
      </c>
      <c r="L134" s="6" t="s">
        <v>1195</v>
      </c>
      <c r="M134" s="6" t="s">
        <v>1195</v>
      </c>
      <c r="N134" s="6" t="s">
        <v>1195</v>
      </c>
      <c r="O134" s="2">
        <v>6815</v>
      </c>
      <c r="P134" s="6" t="s">
        <v>1195</v>
      </c>
      <c r="Q134" s="6" t="s">
        <v>1195</v>
      </c>
      <c r="R134" s="6" t="s">
        <v>1195</v>
      </c>
      <c r="S134" s="6" t="s">
        <v>1195</v>
      </c>
      <c r="T134" s="6" t="s">
        <v>1195</v>
      </c>
      <c r="U134" s="6" t="s">
        <v>1195</v>
      </c>
      <c r="V134" s="6" t="s">
        <v>1195</v>
      </c>
      <c r="W134" s="6" t="s">
        <v>1195</v>
      </c>
      <c r="X134" s="2">
        <f t="shared" si="19"/>
        <v>42945025.543915398</v>
      </c>
      <c r="Y134" s="6" t="s">
        <v>1195</v>
      </c>
      <c r="Z134" s="6" t="s">
        <v>1195</v>
      </c>
      <c r="AA134" s="2">
        <f t="shared" si="20"/>
        <v>42945025.543915398</v>
      </c>
      <c r="AB134" s="2">
        <v>0</v>
      </c>
    </row>
    <row r="135" spans="1:28">
      <c r="A135" s="2">
        <v>132</v>
      </c>
      <c r="B135" s="2" t="s">
        <v>654</v>
      </c>
      <c r="C135" s="2" t="s">
        <v>2564</v>
      </c>
      <c r="D135" s="3" t="s">
        <v>37</v>
      </c>
      <c r="E135" s="5" t="s">
        <v>134</v>
      </c>
      <c r="F135" s="2" t="s">
        <v>135</v>
      </c>
      <c r="G135" s="2" t="s">
        <v>63</v>
      </c>
      <c r="H135" s="6" t="s">
        <v>1195</v>
      </c>
      <c r="I135" s="6" t="s">
        <v>1195</v>
      </c>
      <c r="J135" s="6" t="s">
        <v>1195</v>
      </c>
      <c r="K135" s="2">
        <f t="shared" si="21"/>
        <v>42945025.543915398</v>
      </c>
      <c r="L135" s="6" t="s">
        <v>1195</v>
      </c>
      <c r="M135" s="6" t="s">
        <v>1195</v>
      </c>
      <c r="N135" s="6" t="s">
        <v>1195</v>
      </c>
      <c r="O135" s="2">
        <v>1194</v>
      </c>
      <c r="P135" s="6" t="s">
        <v>1195</v>
      </c>
      <c r="Q135" s="6" t="s">
        <v>1195</v>
      </c>
      <c r="R135" s="6" t="s">
        <v>1195</v>
      </c>
      <c r="S135" s="6" t="s">
        <v>1195</v>
      </c>
      <c r="T135" s="6" t="s">
        <v>1195</v>
      </c>
      <c r="U135" s="6" t="s">
        <v>1195</v>
      </c>
      <c r="V135" s="6" t="s">
        <v>1195</v>
      </c>
      <c r="W135" s="6" t="s">
        <v>1195</v>
      </c>
      <c r="X135" s="2">
        <f t="shared" si="19"/>
        <v>42945025.543915398</v>
      </c>
      <c r="Y135" s="6" t="s">
        <v>1195</v>
      </c>
      <c r="Z135" s="6" t="s">
        <v>1195</v>
      </c>
      <c r="AA135" s="2">
        <f t="shared" si="20"/>
        <v>42945025.543915398</v>
      </c>
      <c r="AB135" s="2">
        <v>0</v>
      </c>
    </row>
    <row r="136" spans="1:28">
      <c r="A136" s="2">
        <v>133</v>
      </c>
      <c r="B136" s="2" t="s">
        <v>656</v>
      </c>
      <c r="C136" s="2" t="s">
        <v>2564</v>
      </c>
      <c r="D136" s="3" t="s">
        <v>37</v>
      </c>
      <c r="E136" s="5" t="s">
        <v>134</v>
      </c>
      <c r="F136" s="2" t="s">
        <v>135</v>
      </c>
      <c r="G136" s="2" t="s">
        <v>40</v>
      </c>
      <c r="H136" s="6" t="s">
        <v>1195</v>
      </c>
      <c r="I136" s="6" t="s">
        <v>1195</v>
      </c>
      <c r="J136" s="6" t="s">
        <v>1195</v>
      </c>
      <c r="K136" s="2">
        <f t="shared" si="21"/>
        <v>42945025.543915398</v>
      </c>
      <c r="L136" s="6" t="s">
        <v>1195</v>
      </c>
      <c r="M136" s="6" t="s">
        <v>1195</v>
      </c>
      <c r="N136" s="6" t="s">
        <v>1195</v>
      </c>
      <c r="O136" s="2">
        <v>426</v>
      </c>
      <c r="P136" s="6" t="s">
        <v>1195</v>
      </c>
      <c r="Q136" s="6" t="s">
        <v>1195</v>
      </c>
      <c r="R136" s="6" t="s">
        <v>1195</v>
      </c>
      <c r="S136" s="6" t="s">
        <v>1195</v>
      </c>
      <c r="T136" s="6" t="s">
        <v>1195</v>
      </c>
      <c r="U136" s="6" t="s">
        <v>1195</v>
      </c>
      <c r="V136" s="6" t="s">
        <v>1195</v>
      </c>
      <c r="W136" s="6" t="s">
        <v>1195</v>
      </c>
      <c r="X136" s="2">
        <f t="shared" si="19"/>
        <v>42945025.543915398</v>
      </c>
      <c r="Y136" s="6" t="s">
        <v>1195</v>
      </c>
      <c r="Z136" s="6" t="s">
        <v>1195</v>
      </c>
      <c r="AA136" s="2">
        <f t="shared" si="20"/>
        <v>42945025.543915398</v>
      </c>
      <c r="AB136" s="2">
        <v>0</v>
      </c>
    </row>
    <row r="137" spans="1:28">
      <c r="A137" s="2">
        <v>134</v>
      </c>
      <c r="B137" s="2" t="s">
        <v>658</v>
      </c>
      <c r="C137" s="2" t="s">
        <v>2564</v>
      </c>
      <c r="D137" s="3" t="s">
        <v>37</v>
      </c>
      <c r="E137" s="3" t="s">
        <v>38</v>
      </c>
      <c r="F137" s="2" t="s">
        <v>659</v>
      </c>
      <c r="G137" s="2" t="s">
        <v>54</v>
      </c>
      <c r="H137" s="2" t="s">
        <v>526</v>
      </c>
      <c r="I137" s="2" t="s">
        <v>2629</v>
      </c>
      <c r="J137" s="2" t="s">
        <v>803</v>
      </c>
      <c r="K137" s="2">
        <f t="shared" si="21"/>
        <v>42945025.543915398</v>
      </c>
      <c r="L137" s="2" t="s">
        <v>264</v>
      </c>
      <c r="M137" s="2" t="s">
        <v>389</v>
      </c>
      <c r="N137" s="2" t="s">
        <v>140</v>
      </c>
      <c r="O137" s="2">
        <v>332</v>
      </c>
      <c r="P137" s="2">
        <v>2156.99072265625</v>
      </c>
      <c r="Q137" s="2">
        <v>2218.070556640625</v>
      </c>
      <c r="R137" s="2">
        <f>O137*P137</f>
        <v>716120.919921875</v>
      </c>
      <c r="S137" s="2">
        <f>O137*Q137</f>
        <v>736399.4248046875</v>
      </c>
      <c r="T137" s="2">
        <f>R137+S137</f>
        <v>1452520.3447265625</v>
      </c>
      <c r="U137" s="2">
        <f>ROUND(T137*0.0005, 2)</f>
        <v>726.26</v>
      </c>
      <c r="V137" s="2">
        <f>S137-R137</f>
        <v>20278.5048828125</v>
      </c>
      <c r="W137" s="2">
        <f>V137-U137</f>
        <v>19552.244882812502</v>
      </c>
      <c r="X137" s="2">
        <f>K137+W137</f>
        <v>42964577.788798213</v>
      </c>
      <c r="Y137" s="2">
        <f>ROUND(0.2*R137, 2)</f>
        <v>143224.18</v>
      </c>
      <c r="Z137" s="2">
        <f>ROUND((W137/Y137)*100, 2)</f>
        <v>13.65</v>
      </c>
      <c r="AA137" s="2">
        <f>MAX(AA136, X137)</f>
        <v>42964577.788798213</v>
      </c>
      <c r="AB137" s="2">
        <f>X137-AA137</f>
        <v>0</v>
      </c>
    </row>
    <row r="138" spans="1:28">
      <c r="A138" s="2">
        <v>135</v>
      </c>
      <c r="B138" s="2" t="s">
        <v>661</v>
      </c>
      <c r="C138" s="2" t="s">
        <v>2564</v>
      </c>
      <c r="D138" s="4" t="s">
        <v>61</v>
      </c>
      <c r="E138" s="5" t="s">
        <v>134</v>
      </c>
      <c r="F138" s="2" t="s">
        <v>135</v>
      </c>
      <c r="G138" s="2" t="s">
        <v>63</v>
      </c>
      <c r="H138" s="6" t="s">
        <v>1195</v>
      </c>
      <c r="I138" s="6" t="s">
        <v>1195</v>
      </c>
      <c r="J138" s="6" t="s">
        <v>1195</v>
      </c>
      <c r="K138" s="2">
        <f t="shared" si="21"/>
        <v>42964577.788798213</v>
      </c>
      <c r="L138" s="6" t="s">
        <v>1195</v>
      </c>
      <c r="M138" s="6" t="s">
        <v>1195</v>
      </c>
      <c r="N138" s="6" t="s">
        <v>1195</v>
      </c>
      <c r="O138" s="2">
        <v>871</v>
      </c>
      <c r="P138" s="6" t="s">
        <v>1195</v>
      </c>
      <c r="Q138" s="6" t="s">
        <v>1195</v>
      </c>
      <c r="R138" s="6" t="s">
        <v>1195</v>
      </c>
      <c r="S138" s="6" t="s">
        <v>1195</v>
      </c>
      <c r="T138" s="6" t="s">
        <v>1195</v>
      </c>
      <c r="U138" s="6" t="s">
        <v>1195</v>
      </c>
      <c r="V138" s="6" t="s">
        <v>1195</v>
      </c>
      <c r="W138" s="6" t="s">
        <v>1195</v>
      </c>
      <c r="X138" s="2">
        <f t="shared" ref="X138:X144" si="22">K138</f>
        <v>42964577.788798213</v>
      </c>
      <c r="Y138" s="6" t="s">
        <v>1195</v>
      </c>
      <c r="Z138" s="6" t="s">
        <v>1195</v>
      </c>
      <c r="AA138" s="2">
        <f t="shared" ref="AA138:AA144" si="23">AA137</f>
        <v>42964577.788798213</v>
      </c>
      <c r="AB138" s="2">
        <v>0</v>
      </c>
    </row>
    <row r="139" spans="1:28">
      <c r="A139" s="2">
        <v>136</v>
      </c>
      <c r="B139" s="2" t="s">
        <v>664</v>
      </c>
      <c r="C139" s="2" t="s">
        <v>2564</v>
      </c>
      <c r="D139" s="4" t="s">
        <v>61</v>
      </c>
      <c r="E139" s="5" t="s">
        <v>134</v>
      </c>
      <c r="F139" s="2" t="s">
        <v>135</v>
      </c>
      <c r="G139" s="2" t="s">
        <v>77</v>
      </c>
      <c r="H139" s="6" t="s">
        <v>1195</v>
      </c>
      <c r="I139" s="6" t="s">
        <v>1195</v>
      </c>
      <c r="J139" s="6" t="s">
        <v>1195</v>
      </c>
      <c r="K139" s="2">
        <f t="shared" si="21"/>
        <v>42964577.788798213</v>
      </c>
      <c r="L139" s="6" t="s">
        <v>1195</v>
      </c>
      <c r="M139" s="6" t="s">
        <v>1195</v>
      </c>
      <c r="N139" s="6" t="s">
        <v>1195</v>
      </c>
      <c r="O139" s="2">
        <v>2876</v>
      </c>
      <c r="P139" s="6" t="s">
        <v>1195</v>
      </c>
      <c r="Q139" s="6" t="s">
        <v>1195</v>
      </c>
      <c r="R139" s="6" t="s">
        <v>1195</v>
      </c>
      <c r="S139" s="6" t="s">
        <v>1195</v>
      </c>
      <c r="T139" s="6" t="s">
        <v>1195</v>
      </c>
      <c r="U139" s="6" t="s">
        <v>1195</v>
      </c>
      <c r="V139" s="6" t="s">
        <v>1195</v>
      </c>
      <c r="W139" s="6" t="s">
        <v>1195</v>
      </c>
      <c r="X139" s="2">
        <f t="shared" si="22"/>
        <v>42964577.788798213</v>
      </c>
      <c r="Y139" s="6" t="s">
        <v>1195</v>
      </c>
      <c r="Z139" s="6" t="s">
        <v>1195</v>
      </c>
      <c r="AA139" s="2">
        <f t="shared" si="23"/>
        <v>42964577.788798213</v>
      </c>
      <c r="AB139" s="2">
        <v>0</v>
      </c>
    </row>
    <row r="140" spans="1:28">
      <c r="A140" s="2">
        <v>137</v>
      </c>
      <c r="B140" s="2" t="s">
        <v>667</v>
      </c>
      <c r="C140" s="2" t="s">
        <v>2564</v>
      </c>
      <c r="D140" s="3" t="s">
        <v>37</v>
      </c>
      <c r="E140" s="5" t="s">
        <v>134</v>
      </c>
      <c r="F140" s="2" t="s">
        <v>135</v>
      </c>
      <c r="G140" s="2" t="s">
        <v>169</v>
      </c>
      <c r="H140" s="6" t="s">
        <v>1195</v>
      </c>
      <c r="I140" s="6" t="s">
        <v>1195</v>
      </c>
      <c r="J140" s="6" t="s">
        <v>1195</v>
      </c>
      <c r="K140" s="2">
        <f t="shared" si="21"/>
        <v>42964577.788798213</v>
      </c>
      <c r="L140" s="6" t="s">
        <v>1195</v>
      </c>
      <c r="M140" s="6" t="s">
        <v>1195</v>
      </c>
      <c r="N140" s="6" t="s">
        <v>1195</v>
      </c>
      <c r="O140" s="2">
        <v>803</v>
      </c>
      <c r="P140" s="6" t="s">
        <v>1195</v>
      </c>
      <c r="Q140" s="6" t="s">
        <v>1195</v>
      </c>
      <c r="R140" s="6" t="s">
        <v>1195</v>
      </c>
      <c r="S140" s="6" t="s">
        <v>1195</v>
      </c>
      <c r="T140" s="6" t="s">
        <v>1195</v>
      </c>
      <c r="U140" s="6" t="s">
        <v>1195</v>
      </c>
      <c r="V140" s="6" t="s">
        <v>1195</v>
      </c>
      <c r="W140" s="6" t="s">
        <v>1195</v>
      </c>
      <c r="X140" s="2">
        <f t="shared" si="22"/>
        <v>42964577.788798213</v>
      </c>
      <c r="Y140" s="6" t="s">
        <v>1195</v>
      </c>
      <c r="Z140" s="6" t="s">
        <v>1195</v>
      </c>
      <c r="AA140" s="2">
        <f t="shared" si="23"/>
        <v>42964577.788798213</v>
      </c>
      <c r="AB140" s="2">
        <v>0</v>
      </c>
    </row>
    <row r="141" spans="1:28">
      <c r="A141" s="2">
        <v>138</v>
      </c>
      <c r="B141" s="2" t="s">
        <v>670</v>
      </c>
      <c r="C141" s="2" t="s">
        <v>2564</v>
      </c>
      <c r="D141" s="4" t="s">
        <v>61</v>
      </c>
      <c r="E141" s="5" t="s">
        <v>134</v>
      </c>
      <c r="F141" s="2" t="s">
        <v>135</v>
      </c>
      <c r="G141" s="2" t="s">
        <v>97</v>
      </c>
      <c r="H141" s="6" t="s">
        <v>1195</v>
      </c>
      <c r="I141" s="6" t="s">
        <v>1195</v>
      </c>
      <c r="J141" s="6" t="s">
        <v>1195</v>
      </c>
      <c r="K141" s="2">
        <f t="shared" si="21"/>
        <v>42964577.788798213</v>
      </c>
      <c r="L141" s="6" t="s">
        <v>1195</v>
      </c>
      <c r="M141" s="6" t="s">
        <v>1195</v>
      </c>
      <c r="N141" s="6" t="s">
        <v>1195</v>
      </c>
      <c r="O141" s="2">
        <v>10687</v>
      </c>
      <c r="P141" s="6" t="s">
        <v>1195</v>
      </c>
      <c r="Q141" s="6" t="s">
        <v>1195</v>
      </c>
      <c r="R141" s="6" t="s">
        <v>1195</v>
      </c>
      <c r="S141" s="6" t="s">
        <v>1195</v>
      </c>
      <c r="T141" s="6" t="s">
        <v>1195</v>
      </c>
      <c r="U141" s="6" t="s">
        <v>1195</v>
      </c>
      <c r="V141" s="6" t="s">
        <v>1195</v>
      </c>
      <c r="W141" s="6" t="s">
        <v>1195</v>
      </c>
      <c r="X141" s="2">
        <f t="shared" si="22"/>
        <v>42964577.788798213</v>
      </c>
      <c r="Y141" s="6" t="s">
        <v>1195</v>
      </c>
      <c r="Z141" s="6" t="s">
        <v>1195</v>
      </c>
      <c r="AA141" s="2">
        <f t="shared" si="23"/>
        <v>42964577.788798213</v>
      </c>
      <c r="AB141" s="2">
        <v>0</v>
      </c>
    </row>
    <row r="142" spans="1:28">
      <c r="A142" s="2">
        <v>139</v>
      </c>
      <c r="B142" s="2" t="s">
        <v>674</v>
      </c>
      <c r="C142" s="2" t="s">
        <v>2564</v>
      </c>
      <c r="D142" s="3" t="s">
        <v>37</v>
      </c>
      <c r="E142" s="5" t="s">
        <v>134</v>
      </c>
      <c r="F142" s="2" t="s">
        <v>675</v>
      </c>
      <c r="G142" s="2" t="s">
        <v>63</v>
      </c>
      <c r="H142" s="6" t="s">
        <v>1195</v>
      </c>
      <c r="I142" s="6" t="s">
        <v>1195</v>
      </c>
      <c r="J142" s="6" t="s">
        <v>1195</v>
      </c>
      <c r="K142" s="2">
        <f t="shared" si="21"/>
        <v>42964577.788798213</v>
      </c>
      <c r="L142" s="6" t="s">
        <v>1195</v>
      </c>
      <c r="M142" s="6" t="s">
        <v>1195</v>
      </c>
      <c r="N142" s="6" t="s">
        <v>1195</v>
      </c>
      <c r="O142" s="2">
        <v>200</v>
      </c>
      <c r="P142" s="6" t="s">
        <v>1195</v>
      </c>
      <c r="Q142" s="6" t="s">
        <v>1195</v>
      </c>
      <c r="R142" s="6" t="s">
        <v>1195</v>
      </c>
      <c r="S142" s="6" t="s">
        <v>1195</v>
      </c>
      <c r="T142" s="6" t="s">
        <v>1195</v>
      </c>
      <c r="U142" s="6" t="s">
        <v>1195</v>
      </c>
      <c r="V142" s="6" t="s">
        <v>1195</v>
      </c>
      <c r="W142" s="6" t="s">
        <v>1195</v>
      </c>
      <c r="X142" s="2">
        <f t="shared" si="22"/>
        <v>42964577.788798213</v>
      </c>
      <c r="Y142" s="6" t="s">
        <v>1195</v>
      </c>
      <c r="Z142" s="6" t="s">
        <v>1195</v>
      </c>
      <c r="AA142" s="2">
        <f t="shared" si="23"/>
        <v>42964577.788798213</v>
      </c>
      <c r="AB142" s="2">
        <v>0</v>
      </c>
    </row>
    <row r="143" spans="1:28">
      <c r="A143" s="2">
        <v>140</v>
      </c>
      <c r="B143" s="2" t="s">
        <v>678</v>
      </c>
      <c r="C143" s="2" t="s">
        <v>2564</v>
      </c>
      <c r="D143" s="4" t="s">
        <v>61</v>
      </c>
      <c r="E143" s="5" t="s">
        <v>134</v>
      </c>
      <c r="F143" s="2" t="s">
        <v>135</v>
      </c>
      <c r="G143" s="2" t="s">
        <v>241</v>
      </c>
      <c r="H143" s="6" t="s">
        <v>1195</v>
      </c>
      <c r="I143" s="6" t="s">
        <v>1195</v>
      </c>
      <c r="J143" s="6" t="s">
        <v>1195</v>
      </c>
      <c r="K143" s="2">
        <f t="shared" si="21"/>
        <v>42964577.788798213</v>
      </c>
      <c r="L143" s="6" t="s">
        <v>1195</v>
      </c>
      <c r="M143" s="6" t="s">
        <v>1195</v>
      </c>
      <c r="N143" s="6" t="s">
        <v>1195</v>
      </c>
      <c r="O143" s="2">
        <v>12809</v>
      </c>
      <c r="P143" s="6" t="s">
        <v>1195</v>
      </c>
      <c r="Q143" s="6" t="s">
        <v>1195</v>
      </c>
      <c r="R143" s="6" t="s">
        <v>1195</v>
      </c>
      <c r="S143" s="6" t="s">
        <v>1195</v>
      </c>
      <c r="T143" s="6" t="s">
        <v>1195</v>
      </c>
      <c r="U143" s="6" t="s">
        <v>1195</v>
      </c>
      <c r="V143" s="6" t="s">
        <v>1195</v>
      </c>
      <c r="W143" s="6" t="s">
        <v>1195</v>
      </c>
      <c r="X143" s="2">
        <f t="shared" si="22"/>
        <v>42964577.788798213</v>
      </c>
      <c r="Y143" s="6" t="s">
        <v>1195</v>
      </c>
      <c r="Z143" s="6" t="s">
        <v>1195</v>
      </c>
      <c r="AA143" s="2">
        <f t="shared" si="23"/>
        <v>42964577.788798213</v>
      </c>
      <c r="AB143" s="2">
        <v>0</v>
      </c>
    </row>
    <row r="144" spans="1:28">
      <c r="A144" s="2">
        <v>141</v>
      </c>
      <c r="B144" s="2" t="s">
        <v>681</v>
      </c>
      <c r="C144" s="2" t="s">
        <v>2564</v>
      </c>
      <c r="D144" s="3" t="s">
        <v>37</v>
      </c>
      <c r="E144" s="5" t="s">
        <v>134</v>
      </c>
      <c r="F144" s="2" t="s">
        <v>135</v>
      </c>
      <c r="G144" s="2" t="s">
        <v>169</v>
      </c>
      <c r="H144" s="6" t="s">
        <v>1195</v>
      </c>
      <c r="I144" s="6" t="s">
        <v>1195</v>
      </c>
      <c r="J144" s="6" t="s">
        <v>1195</v>
      </c>
      <c r="K144" s="2">
        <f t="shared" si="21"/>
        <v>42964577.788798213</v>
      </c>
      <c r="L144" s="6" t="s">
        <v>1195</v>
      </c>
      <c r="M144" s="6" t="s">
        <v>1195</v>
      </c>
      <c r="N144" s="6" t="s">
        <v>1195</v>
      </c>
      <c r="O144" s="2">
        <v>11763</v>
      </c>
      <c r="P144" s="6" t="s">
        <v>1195</v>
      </c>
      <c r="Q144" s="6" t="s">
        <v>1195</v>
      </c>
      <c r="R144" s="6" t="s">
        <v>1195</v>
      </c>
      <c r="S144" s="6" t="s">
        <v>1195</v>
      </c>
      <c r="T144" s="6" t="s">
        <v>1195</v>
      </c>
      <c r="U144" s="6" t="s">
        <v>1195</v>
      </c>
      <c r="V144" s="6" t="s">
        <v>1195</v>
      </c>
      <c r="W144" s="6" t="s">
        <v>1195</v>
      </c>
      <c r="X144" s="2">
        <f t="shared" si="22"/>
        <v>42964577.788798213</v>
      </c>
      <c r="Y144" s="6" t="s">
        <v>1195</v>
      </c>
      <c r="Z144" s="6" t="s">
        <v>1195</v>
      </c>
      <c r="AA144" s="2">
        <f t="shared" si="23"/>
        <v>42964577.788798213</v>
      </c>
      <c r="AB144" s="2">
        <v>0</v>
      </c>
    </row>
    <row r="145" spans="1:28">
      <c r="A145" s="2">
        <v>142</v>
      </c>
      <c r="B145" s="2" t="s">
        <v>685</v>
      </c>
      <c r="C145" s="2" t="s">
        <v>2564</v>
      </c>
      <c r="D145" s="4" t="s">
        <v>61</v>
      </c>
      <c r="E145" s="3" t="s">
        <v>38</v>
      </c>
      <c r="F145" s="2" t="s">
        <v>439</v>
      </c>
      <c r="G145" s="2" t="s">
        <v>40</v>
      </c>
      <c r="H145" s="2" t="s">
        <v>686</v>
      </c>
      <c r="I145" s="2" t="s">
        <v>2630</v>
      </c>
      <c r="J145" s="2" t="s">
        <v>2631</v>
      </c>
      <c r="K145" s="2">
        <f t="shared" si="21"/>
        <v>42964577.788798213</v>
      </c>
      <c r="L145" s="2" t="s">
        <v>2596</v>
      </c>
      <c r="M145" s="2" t="s">
        <v>2574</v>
      </c>
      <c r="N145" s="2" t="s">
        <v>2632</v>
      </c>
      <c r="O145" s="2">
        <v>1500</v>
      </c>
      <c r="P145" s="2">
        <v>200.98356628417969</v>
      </c>
      <c r="Q145" s="2">
        <v>177.88360595703119</v>
      </c>
      <c r="R145" s="2">
        <f>O145*P145</f>
        <v>301475.34942626953</v>
      </c>
      <c r="S145" s="2">
        <f>O145*Q145</f>
        <v>266825.40893554682</v>
      </c>
      <c r="T145" s="2">
        <f>R145+S145</f>
        <v>568300.75836181641</v>
      </c>
      <c r="U145" s="2">
        <f>ROUND(T145*0.0005, 2)</f>
        <v>284.14999999999998</v>
      </c>
      <c r="V145" s="2">
        <f>S145-R145</f>
        <v>-34649.940490722714</v>
      </c>
      <c r="W145" s="2">
        <f>V145-U145</f>
        <v>-34934.090490722716</v>
      </c>
      <c r="X145" s="2">
        <f>K145+W145</f>
        <v>42929643.698307492</v>
      </c>
      <c r="Y145" s="2">
        <f>ROUND(0.2*R145, 2)</f>
        <v>60295.07</v>
      </c>
      <c r="Z145" s="2">
        <f>ROUND((W145/Y145)*100, 2)</f>
        <v>-57.94</v>
      </c>
      <c r="AA145" s="2">
        <f>MAX(AA144, X145)</f>
        <v>42964577.788798213</v>
      </c>
      <c r="AB145" s="2">
        <f>X145-AA145</f>
        <v>-34934.090490721166</v>
      </c>
    </row>
    <row r="146" spans="1:28">
      <c r="A146" s="2">
        <v>143</v>
      </c>
      <c r="B146" s="2" t="s">
        <v>689</v>
      </c>
      <c r="C146" s="2" t="s">
        <v>2564</v>
      </c>
      <c r="D146" s="4" t="s">
        <v>61</v>
      </c>
      <c r="E146" s="5" t="s">
        <v>134</v>
      </c>
      <c r="F146" s="2" t="s">
        <v>135</v>
      </c>
      <c r="G146" s="2" t="s">
        <v>231</v>
      </c>
      <c r="H146" s="6" t="s">
        <v>1195</v>
      </c>
      <c r="I146" s="6" t="s">
        <v>1195</v>
      </c>
      <c r="J146" s="6" t="s">
        <v>1195</v>
      </c>
      <c r="K146" s="2">
        <f t="shared" si="21"/>
        <v>42929643.698307492</v>
      </c>
      <c r="L146" s="6" t="s">
        <v>1195</v>
      </c>
      <c r="M146" s="6" t="s">
        <v>1195</v>
      </c>
      <c r="N146" s="6" t="s">
        <v>1195</v>
      </c>
      <c r="O146" s="2">
        <v>2996</v>
      </c>
      <c r="P146" s="6" t="s">
        <v>1195</v>
      </c>
      <c r="Q146" s="6" t="s">
        <v>1195</v>
      </c>
      <c r="R146" s="6" t="s">
        <v>1195</v>
      </c>
      <c r="S146" s="6" t="s">
        <v>1195</v>
      </c>
      <c r="T146" s="6" t="s">
        <v>1195</v>
      </c>
      <c r="U146" s="6" t="s">
        <v>1195</v>
      </c>
      <c r="V146" s="6" t="s">
        <v>1195</v>
      </c>
      <c r="W146" s="6" t="s">
        <v>1195</v>
      </c>
      <c r="X146" s="2">
        <f>K146</f>
        <v>42929643.698307492</v>
      </c>
      <c r="Y146" s="6" t="s">
        <v>1195</v>
      </c>
      <c r="Z146" s="6" t="s">
        <v>1195</v>
      </c>
      <c r="AA146" s="2">
        <f>AA145</f>
        <v>42964577.788798213</v>
      </c>
      <c r="AB146" s="2">
        <v>0</v>
      </c>
    </row>
    <row r="147" spans="1:28">
      <c r="A147" s="2">
        <v>144</v>
      </c>
      <c r="B147" s="2" t="s">
        <v>692</v>
      </c>
      <c r="C147" s="2" t="s">
        <v>2564</v>
      </c>
      <c r="D147" s="3" t="s">
        <v>37</v>
      </c>
      <c r="E147" s="5" t="s">
        <v>134</v>
      </c>
      <c r="F147" s="2" t="s">
        <v>135</v>
      </c>
      <c r="G147" s="2" t="s">
        <v>103</v>
      </c>
      <c r="H147" s="6" t="s">
        <v>1195</v>
      </c>
      <c r="I147" s="6" t="s">
        <v>1195</v>
      </c>
      <c r="J147" s="6" t="s">
        <v>1195</v>
      </c>
      <c r="K147" s="2">
        <f t="shared" si="21"/>
        <v>42929643.698307492</v>
      </c>
      <c r="L147" s="6" t="s">
        <v>1195</v>
      </c>
      <c r="M147" s="6" t="s">
        <v>1195</v>
      </c>
      <c r="N147" s="6" t="s">
        <v>1195</v>
      </c>
      <c r="O147" s="2">
        <v>551</v>
      </c>
      <c r="P147" s="6" t="s">
        <v>1195</v>
      </c>
      <c r="Q147" s="6" t="s">
        <v>1195</v>
      </c>
      <c r="R147" s="6" t="s">
        <v>1195</v>
      </c>
      <c r="S147" s="6" t="s">
        <v>1195</v>
      </c>
      <c r="T147" s="6" t="s">
        <v>1195</v>
      </c>
      <c r="U147" s="6" t="s">
        <v>1195</v>
      </c>
      <c r="V147" s="6" t="s">
        <v>1195</v>
      </c>
      <c r="W147" s="6" t="s">
        <v>1195</v>
      </c>
      <c r="X147" s="2">
        <f>K147</f>
        <v>42929643.698307492</v>
      </c>
      <c r="Y147" s="6" t="s">
        <v>1195</v>
      </c>
      <c r="Z147" s="6" t="s">
        <v>1195</v>
      </c>
      <c r="AA147" s="2">
        <f>AA146</f>
        <v>42964577.788798213</v>
      </c>
      <c r="AB147" s="2">
        <v>0</v>
      </c>
    </row>
    <row r="148" spans="1:28">
      <c r="A148" s="2">
        <v>145</v>
      </c>
      <c r="B148" s="2" t="s">
        <v>696</v>
      </c>
      <c r="C148" s="2" t="s">
        <v>2564</v>
      </c>
      <c r="D148" s="4" t="s">
        <v>61</v>
      </c>
      <c r="E148" s="5" t="s">
        <v>134</v>
      </c>
      <c r="F148" s="2" t="s">
        <v>135</v>
      </c>
      <c r="G148" s="2" t="s">
        <v>150</v>
      </c>
      <c r="H148" s="6" t="s">
        <v>1195</v>
      </c>
      <c r="I148" s="6" t="s">
        <v>1195</v>
      </c>
      <c r="J148" s="6" t="s">
        <v>1195</v>
      </c>
      <c r="K148" s="2">
        <f t="shared" si="21"/>
        <v>42929643.698307492</v>
      </c>
      <c r="L148" s="6" t="s">
        <v>1195</v>
      </c>
      <c r="M148" s="6" t="s">
        <v>1195</v>
      </c>
      <c r="N148" s="6" t="s">
        <v>1195</v>
      </c>
      <c r="O148" s="2">
        <v>100</v>
      </c>
      <c r="P148" s="6" t="s">
        <v>1195</v>
      </c>
      <c r="Q148" s="6" t="s">
        <v>1195</v>
      </c>
      <c r="R148" s="6" t="s">
        <v>1195</v>
      </c>
      <c r="S148" s="6" t="s">
        <v>1195</v>
      </c>
      <c r="T148" s="6" t="s">
        <v>1195</v>
      </c>
      <c r="U148" s="6" t="s">
        <v>1195</v>
      </c>
      <c r="V148" s="6" t="s">
        <v>1195</v>
      </c>
      <c r="W148" s="6" t="s">
        <v>1195</v>
      </c>
      <c r="X148" s="2">
        <f>K148</f>
        <v>42929643.698307492</v>
      </c>
      <c r="Y148" s="6" t="s">
        <v>1195</v>
      </c>
      <c r="Z148" s="6" t="s">
        <v>1195</v>
      </c>
      <c r="AA148" s="2">
        <f>AA147</f>
        <v>42964577.788798213</v>
      </c>
      <c r="AB148" s="2">
        <v>0</v>
      </c>
    </row>
    <row r="149" spans="1:28">
      <c r="A149" s="2">
        <v>146</v>
      </c>
      <c r="B149" s="2" t="s">
        <v>701</v>
      </c>
      <c r="C149" s="2" t="s">
        <v>2564</v>
      </c>
      <c r="D149" s="3" t="s">
        <v>37</v>
      </c>
      <c r="E149" s="5" t="s">
        <v>134</v>
      </c>
      <c r="F149" s="2" t="s">
        <v>135</v>
      </c>
      <c r="G149" s="2" t="s">
        <v>77</v>
      </c>
      <c r="H149" s="6" t="s">
        <v>1195</v>
      </c>
      <c r="I149" s="6" t="s">
        <v>1195</v>
      </c>
      <c r="J149" s="6" t="s">
        <v>1195</v>
      </c>
      <c r="K149" s="2">
        <f t="shared" si="21"/>
        <v>42929643.698307492</v>
      </c>
      <c r="L149" s="6" t="s">
        <v>1195</v>
      </c>
      <c r="M149" s="6" t="s">
        <v>1195</v>
      </c>
      <c r="N149" s="6" t="s">
        <v>1195</v>
      </c>
      <c r="O149" s="2">
        <v>2188</v>
      </c>
      <c r="P149" s="6" t="s">
        <v>1195</v>
      </c>
      <c r="Q149" s="6" t="s">
        <v>1195</v>
      </c>
      <c r="R149" s="6" t="s">
        <v>1195</v>
      </c>
      <c r="S149" s="6" t="s">
        <v>1195</v>
      </c>
      <c r="T149" s="6" t="s">
        <v>1195</v>
      </c>
      <c r="U149" s="6" t="s">
        <v>1195</v>
      </c>
      <c r="V149" s="6" t="s">
        <v>1195</v>
      </c>
      <c r="W149" s="6" t="s">
        <v>1195</v>
      </c>
      <c r="X149" s="2">
        <f>K149</f>
        <v>42929643.698307492</v>
      </c>
      <c r="Y149" s="6" t="s">
        <v>1195</v>
      </c>
      <c r="Z149" s="6" t="s">
        <v>1195</v>
      </c>
      <c r="AA149" s="2">
        <f>AA148</f>
        <v>42964577.788798213</v>
      </c>
      <c r="AB149" s="2">
        <v>0</v>
      </c>
    </row>
    <row r="150" spans="1:28">
      <c r="A150" s="2">
        <v>147</v>
      </c>
      <c r="B150" s="2" t="s">
        <v>705</v>
      </c>
      <c r="C150" s="2" t="s">
        <v>2564</v>
      </c>
      <c r="D150" s="4" t="s">
        <v>61</v>
      </c>
      <c r="E150" s="3" t="s">
        <v>38</v>
      </c>
      <c r="F150" s="2" t="s">
        <v>53</v>
      </c>
      <c r="G150" s="2" t="s">
        <v>40</v>
      </c>
      <c r="H150" s="2" t="s">
        <v>706</v>
      </c>
      <c r="I150" s="2" t="s">
        <v>458</v>
      </c>
      <c r="J150" s="2" t="s">
        <v>314</v>
      </c>
      <c r="K150" s="2">
        <f t="shared" si="21"/>
        <v>42929643.698307492</v>
      </c>
      <c r="L150" s="2" t="s">
        <v>2144</v>
      </c>
      <c r="M150" s="2" t="s">
        <v>2591</v>
      </c>
      <c r="N150" s="2" t="s">
        <v>2592</v>
      </c>
      <c r="O150" s="2">
        <v>3750</v>
      </c>
      <c r="P150" s="2">
        <v>151.12176513671881</v>
      </c>
      <c r="Q150" s="2">
        <v>151.25541687011719</v>
      </c>
      <c r="R150" s="2">
        <f>O150*P150</f>
        <v>566706.61926269555</v>
      </c>
      <c r="S150" s="2">
        <f>O150*Q150</f>
        <v>567207.81326293945</v>
      </c>
      <c r="T150" s="2">
        <f>R150+S150</f>
        <v>1133914.432525635</v>
      </c>
      <c r="U150" s="2">
        <f>ROUND(T150*0.0005, 2)</f>
        <v>566.96</v>
      </c>
      <c r="V150" s="2">
        <f>S150-R150</f>
        <v>501.19400024390779</v>
      </c>
      <c r="W150" s="2">
        <f>V150-U150</f>
        <v>-65.765999756092242</v>
      </c>
      <c r="X150" s="2">
        <f>K150+W150</f>
        <v>42929577.932307735</v>
      </c>
      <c r="Y150" s="2">
        <f>ROUND(0.2*R150, 2)</f>
        <v>113341.32</v>
      </c>
      <c r="Z150" s="2">
        <f>ROUND((W150/Y150)*100, 2)</f>
        <v>-0.06</v>
      </c>
      <c r="AA150" s="2">
        <f>MAX(AA149, X150)</f>
        <v>42964577.788798213</v>
      </c>
      <c r="AB150" s="2">
        <f>X150-AA150</f>
        <v>-34999.85649047792</v>
      </c>
    </row>
    <row r="151" spans="1:28">
      <c r="A151" s="2">
        <v>148</v>
      </c>
      <c r="B151" s="2" t="s">
        <v>708</v>
      </c>
      <c r="C151" s="2" t="s">
        <v>2564</v>
      </c>
      <c r="D151" s="4" t="s">
        <v>61</v>
      </c>
      <c r="E151" s="5" t="s">
        <v>134</v>
      </c>
      <c r="F151" s="2" t="s">
        <v>135</v>
      </c>
      <c r="G151" s="2" t="s">
        <v>161</v>
      </c>
      <c r="H151" s="6" t="s">
        <v>1195</v>
      </c>
      <c r="I151" s="6" t="s">
        <v>1195</v>
      </c>
      <c r="J151" s="6" t="s">
        <v>1195</v>
      </c>
      <c r="K151" s="2">
        <f t="shared" si="21"/>
        <v>42929577.932307735</v>
      </c>
      <c r="L151" s="6" t="s">
        <v>1195</v>
      </c>
      <c r="M151" s="6" t="s">
        <v>1195</v>
      </c>
      <c r="N151" s="6" t="s">
        <v>1195</v>
      </c>
      <c r="O151" s="2">
        <v>100</v>
      </c>
      <c r="P151" s="6" t="s">
        <v>1195</v>
      </c>
      <c r="Q151" s="6" t="s">
        <v>1195</v>
      </c>
      <c r="R151" s="6" t="s">
        <v>1195</v>
      </c>
      <c r="S151" s="6" t="s">
        <v>1195</v>
      </c>
      <c r="T151" s="6" t="s">
        <v>1195</v>
      </c>
      <c r="U151" s="6" t="s">
        <v>1195</v>
      </c>
      <c r="V151" s="6" t="s">
        <v>1195</v>
      </c>
      <c r="W151" s="6" t="s">
        <v>1195</v>
      </c>
      <c r="X151" s="2">
        <f t="shared" ref="X151:X164" si="24">K151</f>
        <v>42929577.932307735</v>
      </c>
      <c r="Y151" s="6" t="s">
        <v>1195</v>
      </c>
      <c r="Z151" s="6" t="s">
        <v>1195</v>
      </c>
      <c r="AA151" s="2">
        <f t="shared" ref="AA151:AA164" si="25">AA150</f>
        <v>42964577.788798213</v>
      </c>
      <c r="AB151" s="2">
        <v>0</v>
      </c>
    </row>
    <row r="152" spans="1:28">
      <c r="A152" s="2">
        <v>149</v>
      </c>
      <c r="B152" s="2" t="s">
        <v>710</v>
      </c>
      <c r="C152" s="2" t="s">
        <v>2564</v>
      </c>
      <c r="D152" s="4" t="s">
        <v>61</v>
      </c>
      <c r="E152" s="5" t="s">
        <v>134</v>
      </c>
      <c r="F152" s="2" t="s">
        <v>135</v>
      </c>
      <c r="G152" s="2" t="s">
        <v>143</v>
      </c>
      <c r="H152" s="6" t="s">
        <v>1195</v>
      </c>
      <c r="I152" s="6" t="s">
        <v>1195</v>
      </c>
      <c r="J152" s="6" t="s">
        <v>1195</v>
      </c>
      <c r="K152" s="2">
        <f t="shared" si="21"/>
        <v>42929577.932307735</v>
      </c>
      <c r="L152" s="6" t="s">
        <v>1195</v>
      </c>
      <c r="M152" s="6" t="s">
        <v>1195</v>
      </c>
      <c r="N152" s="6" t="s">
        <v>1195</v>
      </c>
      <c r="O152" s="2">
        <v>2806</v>
      </c>
      <c r="P152" s="6" t="s">
        <v>1195</v>
      </c>
      <c r="Q152" s="6" t="s">
        <v>1195</v>
      </c>
      <c r="R152" s="6" t="s">
        <v>1195</v>
      </c>
      <c r="S152" s="6" t="s">
        <v>1195</v>
      </c>
      <c r="T152" s="6" t="s">
        <v>1195</v>
      </c>
      <c r="U152" s="6" t="s">
        <v>1195</v>
      </c>
      <c r="V152" s="6" t="s">
        <v>1195</v>
      </c>
      <c r="W152" s="6" t="s">
        <v>1195</v>
      </c>
      <c r="X152" s="2">
        <f t="shared" si="24"/>
        <v>42929577.932307735</v>
      </c>
      <c r="Y152" s="6" t="s">
        <v>1195</v>
      </c>
      <c r="Z152" s="6" t="s">
        <v>1195</v>
      </c>
      <c r="AA152" s="2">
        <f t="shared" si="25"/>
        <v>42964577.788798213</v>
      </c>
      <c r="AB152" s="2">
        <v>0</v>
      </c>
    </row>
    <row r="153" spans="1:28">
      <c r="A153" s="2">
        <v>150</v>
      </c>
      <c r="B153" s="2" t="s">
        <v>714</v>
      </c>
      <c r="C153" s="2" t="s">
        <v>2564</v>
      </c>
      <c r="D153" s="4" t="s">
        <v>61</v>
      </c>
      <c r="E153" s="5" t="s">
        <v>134</v>
      </c>
      <c r="F153" s="2" t="s">
        <v>135</v>
      </c>
      <c r="G153" s="2" t="s">
        <v>241</v>
      </c>
      <c r="H153" s="6" t="s">
        <v>1195</v>
      </c>
      <c r="I153" s="6" t="s">
        <v>1195</v>
      </c>
      <c r="J153" s="6" t="s">
        <v>1195</v>
      </c>
      <c r="K153" s="2">
        <f t="shared" si="21"/>
        <v>42929577.932307735</v>
      </c>
      <c r="L153" s="6" t="s">
        <v>1195</v>
      </c>
      <c r="M153" s="6" t="s">
        <v>1195</v>
      </c>
      <c r="N153" s="6" t="s">
        <v>1195</v>
      </c>
      <c r="O153" s="2">
        <v>750</v>
      </c>
      <c r="P153" s="6" t="s">
        <v>1195</v>
      </c>
      <c r="Q153" s="6" t="s">
        <v>1195</v>
      </c>
      <c r="R153" s="6" t="s">
        <v>1195</v>
      </c>
      <c r="S153" s="6" t="s">
        <v>1195</v>
      </c>
      <c r="T153" s="6" t="s">
        <v>1195</v>
      </c>
      <c r="U153" s="6" t="s">
        <v>1195</v>
      </c>
      <c r="V153" s="6" t="s">
        <v>1195</v>
      </c>
      <c r="W153" s="6" t="s">
        <v>1195</v>
      </c>
      <c r="X153" s="2">
        <f t="shared" si="24"/>
        <v>42929577.932307735</v>
      </c>
      <c r="Y153" s="6" t="s">
        <v>1195</v>
      </c>
      <c r="Z153" s="6" t="s">
        <v>1195</v>
      </c>
      <c r="AA153" s="2">
        <f t="shared" si="25"/>
        <v>42964577.788798213</v>
      </c>
      <c r="AB153" s="2">
        <v>0</v>
      </c>
    </row>
    <row r="154" spans="1:28">
      <c r="A154" s="2">
        <v>151</v>
      </c>
      <c r="B154" s="2" t="s">
        <v>718</v>
      </c>
      <c r="C154" s="2" t="s">
        <v>2564</v>
      </c>
      <c r="D154" s="3" t="s">
        <v>37</v>
      </c>
      <c r="E154" s="5" t="s">
        <v>134</v>
      </c>
      <c r="F154" s="2" t="s">
        <v>135</v>
      </c>
      <c r="G154" s="2" t="s">
        <v>40</v>
      </c>
      <c r="H154" s="6" t="s">
        <v>1195</v>
      </c>
      <c r="I154" s="6" t="s">
        <v>1195</v>
      </c>
      <c r="J154" s="6" t="s">
        <v>1195</v>
      </c>
      <c r="K154" s="2">
        <f t="shared" si="21"/>
        <v>42929577.932307735</v>
      </c>
      <c r="L154" s="6" t="s">
        <v>1195</v>
      </c>
      <c r="M154" s="6" t="s">
        <v>1195</v>
      </c>
      <c r="N154" s="6" t="s">
        <v>1195</v>
      </c>
      <c r="O154" s="2">
        <v>181</v>
      </c>
      <c r="P154" s="6" t="s">
        <v>1195</v>
      </c>
      <c r="Q154" s="6" t="s">
        <v>1195</v>
      </c>
      <c r="R154" s="6" t="s">
        <v>1195</v>
      </c>
      <c r="S154" s="6" t="s">
        <v>1195</v>
      </c>
      <c r="T154" s="6" t="s">
        <v>1195</v>
      </c>
      <c r="U154" s="6" t="s">
        <v>1195</v>
      </c>
      <c r="V154" s="6" t="s">
        <v>1195</v>
      </c>
      <c r="W154" s="6" t="s">
        <v>1195</v>
      </c>
      <c r="X154" s="2">
        <f t="shared" si="24"/>
        <v>42929577.932307735</v>
      </c>
      <c r="Y154" s="6" t="s">
        <v>1195</v>
      </c>
      <c r="Z154" s="6" t="s">
        <v>1195</v>
      </c>
      <c r="AA154" s="2">
        <f t="shared" si="25"/>
        <v>42964577.788798213</v>
      </c>
      <c r="AB154" s="2">
        <v>0</v>
      </c>
    </row>
    <row r="155" spans="1:28">
      <c r="A155" s="2">
        <v>152</v>
      </c>
      <c r="B155" s="2" t="s">
        <v>720</v>
      </c>
      <c r="C155" s="2" t="s">
        <v>2564</v>
      </c>
      <c r="D155" s="4" t="s">
        <v>61</v>
      </c>
      <c r="E155" s="5" t="s">
        <v>134</v>
      </c>
      <c r="F155" s="2" t="s">
        <v>135</v>
      </c>
      <c r="G155" s="2" t="s">
        <v>103</v>
      </c>
      <c r="H155" s="6" t="s">
        <v>1195</v>
      </c>
      <c r="I155" s="6" t="s">
        <v>1195</v>
      </c>
      <c r="J155" s="6" t="s">
        <v>1195</v>
      </c>
      <c r="K155" s="2">
        <f t="shared" si="21"/>
        <v>42929577.932307735</v>
      </c>
      <c r="L155" s="6" t="s">
        <v>1195</v>
      </c>
      <c r="M155" s="6" t="s">
        <v>1195</v>
      </c>
      <c r="N155" s="6" t="s">
        <v>1195</v>
      </c>
      <c r="O155" s="2">
        <v>3585</v>
      </c>
      <c r="P155" s="6" t="s">
        <v>1195</v>
      </c>
      <c r="Q155" s="6" t="s">
        <v>1195</v>
      </c>
      <c r="R155" s="6" t="s">
        <v>1195</v>
      </c>
      <c r="S155" s="6" t="s">
        <v>1195</v>
      </c>
      <c r="T155" s="6" t="s">
        <v>1195</v>
      </c>
      <c r="U155" s="6" t="s">
        <v>1195</v>
      </c>
      <c r="V155" s="6" t="s">
        <v>1195</v>
      </c>
      <c r="W155" s="6" t="s">
        <v>1195</v>
      </c>
      <c r="X155" s="2">
        <f t="shared" si="24"/>
        <v>42929577.932307735</v>
      </c>
      <c r="Y155" s="6" t="s">
        <v>1195</v>
      </c>
      <c r="Z155" s="6" t="s">
        <v>1195</v>
      </c>
      <c r="AA155" s="2">
        <f t="shared" si="25"/>
        <v>42964577.788798213</v>
      </c>
      <c r="AB155" s="2">
        <v>0</v>
      </c>
    </row>
    <row r="156" spans="1:28">
      <c r="A156" s="2">
        <v>153</v>
      </c>
      <c r="B156" s="2" t="s">
        <v>723</v>
      </c>
      <c r="C156" s="2" t="s">
        <v>2564</v>
      </c>
      <c r="D156" s="4" t="s">
        <v>61</v>
      </c>
      <c r="E156" s="5" t="s">
        <v>134</v>
      </c>
      <c r="F156" s="2" t="s">
        <v>135</v>
      </c>
      <c r="G156" s="2" t="s">
        <v>150</v>
      </c>
      <c r="H156" s="6" t="s">
        <v>1195</v>
      </c>
      <c r="I156" s="6" t="s">
        <v>1195</v>
      </c>
      <c r="J156" s="6" t="s">
        <v>1195</v>
      </c>
      <c r="K156" s="2">
        <f t="shared" si="21"/>
        <v>42929577.932307735</v>
      </c>
      <c r="L156" s="6" t="s">
        <v>1195</v>
      </c>
      <c r="M156" s="6" t="s">
        <v>1195</v>
      </c>
      <c r="N156" s="6" t="s">
        <v>1195</v>
      </c>
      <c r="O156" s="2">
        <v>2346</v>
      </c>
      <c r="P156" s="6" t="s">
        <v>1195</v>
      </c>
      <c r="Q156" s="6" t="s">
        <v>1195</v>
      </c>
      <c r="R156" s="6" t="s">
        <v>1195</v>
      </c>
      <c r="S156" s="6" t="s">
        <v>1195</v>
      </c>
      <c r="T156" s="6" t="s">
        <v>1195</v>
      </c>
      <c r="U156" s="6" t="s">
        <v>1195</v>
      </c>
      <c r="V156" s="6" t="s">
        <v>1195</v>
      </c>
      <c r="W156" s="6" t="s">
        <v>1195</v>
      </c>
      <c r="X156" s="2">
        <f t="shared" si="24"/>
        <v>42929577.932307735</v>
      </c>
      <c r="Y156" s="6" t="s">
        <v>1195</v>
      </c>
      <c r="Z156" s="6" t="s">
        <v>1195</v>
      </c>
      <c r="AA156" s="2">
        <f t="shared" si="25"/>
        <v>42964577.788798213</v>
      </c>
      <c r="AB156" s="2">
        <v>0</v>
      </c>
    </row>
    <row r="157" spans="1:28">
      <c r="A157" s="2">
        <v>154</v>
      </c>
      <c r="B157" s="2" t="s">
        <v>727</v>
      </c>
      <c r="C157" s="2" t="s">
        <v>2564</v>
      </c>
      <c r="D157" s="3" t="s">
        <v>37</v>
      </c>
      <c r="E157" s="5" t="s">
        <v>134</v>
      </c>
      <c r="F157" s="2" t="s">
        <v>135</v>
      </c>
      <c r="G157" s="2" t="s">
        <v>143</v>
      </c>
      <c r="H157" s="6" t="s">
        <v>1195</v>
      </c>
      <c r="I157" s="6" t="s">
        <v>1195</v>
      </c>
      <c r="J157" s="6" t="s">
        <v>1195</v>
      </c>
      <c r="K157" s="2">
        <f t="shared" si="21"/>
        <v>42929577.932307735</v>
      </c>
      <c r="L157" s="6" t="s">
        <v>1195</v>
      </c>
      <c r="M157" s="6" t="s">
        <v>1195</v>
      </c>
      <c r="N157" s="6" t="s">
        <v>1195</v>
      </c>
      <c r="O157" s="2">
        <v>1631</v>
      </c>
      <c r="P157" s="6" t="s">
        <v>1195</v>
      </c>
      <c r="Q157" s="6" t="s">
        <v>1195</v>
      </c>
      <c r="R157" s="6" t="s">
        <v>1195</v>
      </c>
      <c r="S157" s="6" t="s">
        <v>1195</v>
      </c>
      <c r="T157" s="6" t="s">
        <v>1195</v>
      </c>
      <c r="U157" s="6" t="s">
        <v>1195</v>
      </c>
      <c r="V157" s="6" t="s">
        <v>1195</v>
      </c>
      <c r="W157" s="6" t="s">
        <v>1195</v>
      </c>
      <c r="X157" s="2">
        <f t="shared" si="24"/>
        <v>42929577.932307735</v>
      </c>
      <c r="Y157" s="6" t="s">
        <v>1195</v>
      </c>
      <c r="Z157" s="6" t="s">
        <v>1195</v>
      </c>
      <c r="AA157" s="2">
        <f t="shared" si="25"/>
        <v>42964577.788798213</v>
      </c>
      <c r="AB157" s="2">
        <v>0</v>
      </c>
    </row>
    <row r="158" spans="1:28">
      <c r="A158" s="2">
        <v>155</v>
      </c>
      <c r="B158" s="2" t="s">
        <v>729</v>
      </c>
      <c r="C158" s="2" t="s">
        <v>2564</v>
      </c>
      <c r="D158" s="4" t="s">
        <v>61</v>
      </c>
      <c r="E158" s="5" t="s">
        <v>134</v>
      </c>
      <c r="F158" s="2" t="s">
        <v>135</v>
      </c>
      <c r="G158" s="2" t="s">
        <v>54</v>
      </c>
      <c r="H158" s="6" t="s">
        <v>1195</v>
      </c>
      <c r="I158" s="6" t="s">
        <v>1195</v>
      </c>
      <c r="J158" s="6" t="s">
        <v>1195</v>
      </c>
      <c r="K158" s="2">
        <f t="shared" si="21"/>
        <v>42929577.932307735</v>
      </c>
      <c r="L158" s="6" t="s">
        <v>1195</v>
      </c>
      <c r="M158" s="6" t="s">
        <v>1195</v>
      </c>
      <c r="N158" s="6" t="s">
        <v>1195</v>
      </c>
      <c r="O158" s="2">
        <v>529</v>
      </c>
      <c r="P158" s="6" t="s">
        <v>1195</v>
      </c>
      <c r="Q158" s="6" t="s">
        <v>1195</v>
      </c>
      <c r="R158" s="6" t="s">
        <v>1195</v>
      </c>
      <c r="S158" s="6" t="s">
        <v>1195</v>
      </c>
      <c r="T158" s="6" t="s">
        <v>1195</v>
      </c>
      <c r="U158" s="6" t="s">
        <v>1195</v>
      </c>
      <c r="V158" s="6" t="s">
        <v>1195</v>
      </c>
      <c r="W158" s="6" t="s">
        <v>1195</v>
      </c>
      <c r="X158" s="2">
        <f t="shared" si="24"/>
        <v>42929577.932307735</v>
      </c>
      <c r="Y158" s="6" t="s">
        <v>1195</v>
      </c>
      <c r="Z158" s="6" t="s">
        <v>1195</v>
      </c>
      <c r="AA158" s="2">
        <f t="shared" si="25"/>
        <v>42964577.788798213</v>
      </c>
      <c r="AB158" s="2">
        <v>0</v>
      </c>
    </row>
    <row r="159" spans="1:28">
      <c r="A159" s="2">
        <v>156</v>
      </c>
      <c r="B159" s="2" t="s">
        <v>732</v>
      </c>
      <c r="C159" s="2" t="s">
        <v>2564</v>
      </c>
      <c r="D159" s="3" t="s">
        <v>37</v>
      </c>
      <c r="E159" s="5" t="s">
        <v>134</v>
      </c>
      <c r="F159" s="2" t="s">
        <v>135</v>
      </c>
      <c r="G159" s="2" t="s">
        <v>77</v>
      </c>
      <c r="H159" s="6" t="s">
        <v>1195</v>
      </c>
      <c r="I159" s="6" t="s">
        <v>1195</v>
      </c>
      <c r="J159" s="6" t="s">
        <v>1195</v>
      </c>
      <c r="K159" s="2">
        <f t="shared" si="21"/>
        <v>42929577.932307735</v>
      </c>
      <c r="L159" s="6" t="s">
        <v>1195</v>
      </c>
      <c r="M159" s="6" t="s">
        <v>1195</v>
      </c>
      <c r="N159" s="6" t="s">
        <v>1195</v>
      </c>
      <c r="O159" s="2">
        <v>613</v>
      </c>
      <c r="P159" s="6" t="s">
        <v>1195</v>
      </c>
      <c r="Q159" s="6" t="s">
        <v>1195</v>
      </c>
      <c r="R159" s="6" t="s">
        <v>1195</v>
      </c>
      <c r="S159" s="6" t="s">
        <v>1195</v>
      </c>
      <c r="T159" s="6" t="s">
        <v>1195</v>
      </c>
      <c r="U159" s="6" t="s">
        <v>1195</v>
      </c>
      <c r="V159" s="6" t="s">
        <v>1195</v>
      </c>
      <c r="W159" s="6" t="s">
        <v>1195</v>
      </c>
      <c r="X159" s="2">
        <f t="shared" si="24"/>
        <v>42929577.932307735</v>
      </c>
      <c r="Y159" s="6" t="s">
        <v>1195</v>
      </c>
      <c r="Z159" s="6" t="s">
        <v>1195</v>
      </c>
      <c r="AA159" s="2">
        <f t="shared" si="25"/>
        <v>42964577.788798213</v>
      </c>
      <c r="AB159" s="2">
        <v>0</v>
      </c>
    </row>
    <row r="160" spans="1:28">
      <c r="A160" s="2">
        <v>157</v>
      </c>
      <c r="B160" s="2" t="s">
        <v>736</v>
      </c>
      <c r="C160" s="2" t="s">
        <v>2564</v>
      </c>
      <c r="D160" s="3" t="s">
        <v>37</v>
      </c>
      <c r="E160" s="5" t="s">
        <v>134</v>
      </c>
      <c r="F160" s="2" t="s">
        <v>135</v>
      </c>
      <c r="G160" s="2" t="s">
        <v>231</v>
      </c>
      <c r="H160" s="6" t="s">
        <v>1195</v>
      </c>
      <c r="I160" s="6" t="s">
        <v>1195</v>
      </c>
      <c r="J160" s="6" t="s">
        <v>1195</v>
      </c>
      <c r="K160" s="2">
        <f t="shared" si="21"/>
        <v>42929577.932307735</v>
      </c>
      <c r="L160" s="6" t="s">
        <v>1195</v>
      </c>
      <c r="M160" s="6" t="s">
        <v>1195</v>
      </c>
      <c r="N160" s="6" t="s">
        <v>1195</v>
      </c>
      <c r="O160" s="2">
        <v>360</v>
      </c>
      <c r="P160" s="6" t="s">
        <v>1195</v>
      </c>
      <c r="Q160" s="6" t="s">
        <v>1195</v>
      </c>
      <c r="R160" s="6" t="s">
        <v>1195</v>
      </c>
      <c r="S160" s="6" t="s">
        <v>1195</v>
      </c>
      <c r="T160" s="6" t="s">
        <v>1195</v>
      </c>
      <c r="U160" s="6" t="s">
        <v>1195</v>
      </c>
      <c r="V160" s="6" t="s">
        <v>1195</v>
      </c>
      <c r="W160" s="6" t="s">
        <v>1195</v>
      </c>
      <c r="X160" s="2">
        <f t="shared" si="24"/>
        <v>42929577.932307735</v>
      </c>
      <c r="Y160" s="6" t="s">
        <v>1195</v>
      </c>
      <c r="Z160" s="6" t="s">
        <v>1195</v>
      </c>
      <c r="AA160" s="2">
        <f t="shared" si="25"/>
        <v>42964577.788798213</v>
      </c>
      <c r="AB160" s="2">
        <v>0</v>
      </c>
    </row>
    <row r="161" spans="1:28">
      <c r="A161" s="2">
        <v>158</v>
      </c>
      <c r="B161" s="2" t="s">
        <v>738</v>
      </c>
      <c r="C161" s="2" t="s">
        <v>2564</v>
      </c>
      <c r="D161" s="4" t="s">
        <v>61</v>
      </c>
      <c r="E161" s="5" t="s">
        <v>134</v>
      </c>
      <c r="F161" s="2" t="s">
        <v>135</v>
      </c>
      <c r="G161" s="2" t="s">
        <v>161</v>
      </c>
      <c r="H161" s="6" t="s">
        <v>1195</v>
      </c>
      <c r="I161" s="6" t="s">
        <v>1195</v>
      </c>
      <c r="J161" s="6" t="s">
        <v>1195</v>
      </c>
      <c r="K161" s="2">
        <f t="shared" si="21"/>
        <v>42929577.932307735</v>
      </c>
      <c r="L161" s="6" t="s">
        <v>1195</v>
      </c>
      <c r="M161" s="6" t="s">
        <v>1195</v>
      </c>
      <c r="N161" s="6" t="s">
        <v>1195</v>
      </c>
      <c r="O161" s="2">
        <v>8957</v>
      </c>
      <c r="P161" s="6" t="s">
        <v>1195</v>
      </c>
      <c r="Q161" s="6" t="s">
        <v>1195</v>
      </c>
      <c r="R161" s="6" t="s">
        <v>1195</v>
      </c>
      <c r="S161" s="6" t="s">
        <v>1195</v>
      </c>
      <c r="T161" s="6" t="s">
        <v>1195</v>
      </c>
      <c r="U161" s="6" t="s">
        <v>1195</v>
      </c>
      <c r="V161" s="6" t="s">
        <v>1195</v>
      </c>
      <c r="W161" s="6" t="s">
        <v>1195</v>
      </c>
      <c r="X161" s="2">
        <f t="shared" si="24"/>
        <v>42929577.932307735</v>
      </c>
      <c r="Y161" s="6" t="s">
        <v>1195</v>
      </c>
      <c r="Z161" s="6" t="s">
        <v>1195</v>
      </c>
      <c r="AA161" s="2">
        <f t="shared" si="25"/>
        <v>42964577.788798213</v>
      </c>
      <c r="AB161" s="2">
        <v>0</v>
      </c>
    </row>
    <row r="162" spans="1:28">
      <c r="A162" s="2">
        <v>159</v>
      </c>
      <c r="B162" s="2" t="s">
        <v>741</v>
      </c>
      <c r="C162" s="2" t="s">
        <v>2564</v>
      </c>
      <c r="D162" s="4" t="s">
        <v>61</v>
      </c>
      <c r="E162" s="5" t="s">
        <v>134</v>
      </c>
      <c r="F162" s="2" t="s">
        <v>135</v>
      </c>
      <c r="G162" s="2" t="s">
        <v>103</v>
      </c>
      <c r="H162" s="6" t="s">
        <v>1195</v>
      </c>
      <c r="I162" s="6" t="s">
        <v>1195</v>
      </c>
      <c r="J162" s="6" t="s">
        <v>1195</v>
      </c>
      <c r="K162" s="2">
        <f t="shared" si="21"/>
        <v>42929577.932307735</v>
      </c>
      <c r="L162" s="6" t="s">
        <v>1195</v>
      </c>
      <c r="M162" s="6" t="s">
        <v>1195</v>
      </c>
      <c r="N162" s="6" t="s">
        <v>1195</v>
      </c>
      <c r="O162" s="2">
        <v>967</v>
      </c>
      <c r="P162" s="6" t="s">
        <v>1195</v>
      </c>
      <c r="Q162" s="6" t="s">
        <v>1195</v>
      </c>
      <c r="R162" s="6" t="s">
        <v>1195</v>
      </c>
      <c r="S162" s="6" t="s">
        <v>1195</v>
      </c>
      <c r="T162" s="6" t="s">
        <v>1195</v>
      </c>
      <c r="U162" s="6" t="s">
        <v>1195</v>
      </c>
      <c r="V162" s="6" t="s">
        <v>1195</v>
      </c>
      <c r="W162" s="6" t="s">
        <v>1195</v>
      </c>
      <c r="X162" s="2">
        <f t="shared" si="24"/>
        <v>42929577.932307735</v>
      </c>
      <c r="Y162" s="6" t="s">
        <v>1195</v>
      </c>
      <c r="Z162" s="6" t="s">
        <v>1195</v>
      </c>
      <c r="AA162" s="2">
        <f t="shared" si="25"/>
        <v>42964577.788798213</v>
      </c>
      <c r="AB162" s="2">
        <v>0</v>
      </c>
    </row>
    <row r="163" spans="1:28">
      <c r="A163" s="2">
        <v>160</v>
      </c>
      <c r="B163" s="2" t="s">
        <v>743</v>
      </c>
      <c r="C163" s="2" t="s">
        <v>2564</v>
      </c>
      <c r="D163" s="3" t="s">
        <v>37</v>
      </c>
      <c r="E163" s="5" t="s">
        <v>134</v>
      </c>
      <c r="F163" s="2" t="s">
        <v>135</v>
      </c>
      <c r="G163" s="2" t="s">
        <v>143</v>
      </c>
      <c r="H163" s="6" t="s">
        <v>1195</v>
      </c>
      <c r="I163" s="6" t="s">
        <v>1195</v>
      </c>
      <c r="J163" s="6" t="s">
        <v>1195</v>
      </c>
      <c r="K163" s="2">
        <f t="shared" si="21"/>
        <v>42929577.932307735</v>
      </c>
      <c r="L163" s="6" t="s">
        <v>1195</v>
      </c>
      <c r="M163" s="6" t="s">
        <v>1195</v>
      </c>
      <c r="N163" s="6" t="s">
        <v>1195</v>
      </c>
      <c r="O163" s="2">
        <v>627</v>
      </c>
      <c r="P163" s="6" t="s">
        <v>1195</v>
      </c>
      <c r="Q163" s="6" t="s">
        <v>1195</v>
      </c>
      <c r="R163" s="6" t="s">
        <v>1195</v>
      </c>
      <c r="S163" s="6" t="s">
        <v>1195</v>
      </c>
      <c r="T163" s="6" t="s">
        <v>1195</v>
      </c>
      <c r="U163" s="6" t="s">
        <v>1195</v>
      </c>
      <c r="V163" s="6" t="s">
        <v>1195</v>
      </c>
      <c r="W163" s="6" t="s">
        <v>1195</v>
      </c>
      <c r="X163" s="2">
        <f t="shared" si="24"/>
        <v>42929577.932307735</v>
      </c>
      <c r="Y163" s="6" t="s">
        <v>1195</v>
      </c>
      <c r="Z163" s="6" t="s">
        <v>1195</v>
      </c>
      <c r="AA163" s="2">
        <f t="shared" si="25"/>
        <v>42964577.788798213</v>
      </c>
      <c r="AB163" s="2">
        <v>0</v>
      </c>
    </row>
    <row r="164" spans="1:28">
      <c r="A164" s="2">
        <v>161</v>
      </c>
      <c r="B164" s="2" t="s">
        <v>746</v>
      </c>
      <c r="C164" s="2" t="s">
        <v>2564</v>
      </c>
      <c r="D164" s="4" t="s">
        <v>61</v>
      </c>
      <c r="E164" s="5" t="s">
        <v>134</v>
      </c>
      <c r="F164" s="2" t="s">
        <v>135</v>
      </c>
      <c r="G164" s="2" t="s">
        <v>77</v>
      </c>
      <c r="H164" s="6" t="s">
        <v>1195</v>
      </c>
      <c r="I164" s="6" t="s">
        <v>1195</v>
      </c>
      <c r="J164" s="6" t="s">
        <v>1195</v>
      </c>
      <c r="K164" s="2">
        <f t="shared" si="21"/>
        <v>42929577.932307735</v>
      </c>
      <c r="L164" s="6" t="s">
        <v>1195</v>
      </c>
      <c r="M164" s="6" t="s">
        <v>1195</v>
      </c>
      <c r="N164" s="6" t="s">
        <v>1195</v>
      </c>
      <c r="O164" s="2">
        <v>112</v>
      </c>
      <c r="P164" s="6" t="s">
        <v>1195</v>
      </c>
      <c r="Q164" s="6" t="s">
        <v>1195</v>
      </c>
      <c r="R164" s="6" t="s">
        <v>1195</v>
      </c>
      <c r="S164" s="6" t="s">
        <v>1195</v>
      </c>
      <c r="T164" s="6" t="s">
        <v>1195</v>
      </c>
      <c r="U164" s="6" t="s">
        <v>1195</v>
      </c>
      <c r="V164" s="6" t="s">
        <v>1195</v>
      </c>
      <c r="W164" s="6" t="s">
        <v>1195</v>
      </c>
      <c r="X164" s="2">
        <f t="shared" si="24"/>
        <v>42929577.932307735</v>
      </c>
      <c r="Y164" s="6" t="s">
        <v>1195</v>
      </c>
      <c r="Z164" s="6" t="s">
        <v>1195</v>
      </c>
      <c r="AA164" s="2">
        <f t="shared" si="25"/>
        <v>42964577.788798213</v>
      </c>
      <c r="AB164" s="2">
        <v>0</v>
      </c>
    </row>
    <row r="165" spans="1:28">
      <c r="A165" s="2">
        <v>162</v>
      </c>
      <c r="B165" s="2" t="s">
        <v>750</v>
      </c>
      <c r="C165" s="2" t="s">
        <v>2564</v>
      </c>
      <c r="D165" s="4" t="s">
        <v>61</v>
      </c>
      <c r="E165" s="3" t="s">
        <v>38</v>
      </c>
      <c r="F165" s="2" t="s">
        <v>176</v>
      </c>
      <c r="G165" s="2" t="s">
        <v>177</v>
      </c>
      <c r="H165" s="2" t="s">
        <v>751</v>
      </c>
      <c r="I165" s="2" t="s">
        <v>2633</v>
      </c>
      <c r="J165" s="2" t="s">
        <v>233</v>
      </c>
      <c r="K165" s="2">
        <f t="shared" si="21"/>
        <v>42929577.932307735</v>
      </c>
      <c r="L165" s="2" t="s">
        <v>2578</v>
      </c>
      <c r="M165" s="2" t="s">
        <v>2158</v>
      </c>
      <c r="N165" s="2" t="s">
        <v>2118</v>
      </c>
      <c r="O165" s="2">
        <v>1800</v>
      </c>
      <c r="P165" s="2">
        <v>163.5419006347656</v>
      </c>
      <c r="Q165" s="2">
        <v>176.7154846191406</v>
      </c>
      <c r="R165" s="2">
        <f>O165*P165</f>
        <v>294375.42114257807</v>
      </c>
      <c r="S165" s="2">
        <f>O165*Q165</f>
        <v>318087.87231445307</v>
      </c>
      <c r="T165" s="2">
        <f>R165+S165</f>
        <v>612463.29345703113</v>
      </c>
      <c r="U165" s="2">
        <f>ROUND(T165*0.0005, 2)</f>
        <v>306.23</v>
      </c>
      <c r="V165" s="2">
        <f>S165-R165</f>
        <v>23712.451171875</v>
      </c>
      <c r="W165" s="2">
        <f>V165-U165</f>
        <v>23406.221171875</v>
      </c>
      <c r="X165" s="2">
        <f>K165+W165</f>
        <v>42952984.153479613</v>
      </c>
      <c r="Y165" s="2">
        <f>ROUND(0.2*R165, 2)</f>
        <v>58875.08</v>
      </c>
      <c r="Z165" s="2">
        <f>ROUND((W165/Y165)*100, 2)</f>
        <v>39.76</v>
      </c>
      <c r="AA165" s="2">
        <f>MAX(AA164, X165)</f>
        <v>42964577.788798213</v>
      </c>
      <c r="AB165" s="2">
        <f>X165-AA165</f>
        <v>-11593.635318599641</v>
      </c>
    </row>
    <row r="166" spans="1:28">
      <c r="A166" s="2">
        <v>163</v>
      </c>
      <c r="B166" s="2" t="s">
        <v>754</v>
      </c>
      <c r="C166" s="2" t="s">
        <v>2564</v>
      </c>
      <c r="D166" s="4" t="s">
        <v>61</v>
      </c>
      <c r="E166" s="5" t="s">
        <v>134</v>
      </c>
      <c r="F166" s="2" t="s">
        <v>135</v>
      </c>
      <c r="G166" s="2" t="s">
        <v>97</v>
      </c>
      <c r="H166" s="6" t="s">
        <v>1195</v>
      </c>
      <c r="I166" s="6" t="s">
        <v>1195</v>
      </c>
      <c r="J166" s="6" t="s">
        <v>1195</v>
      </c>
      <c r="K166" s="2">
        <f t="shared" si="21"/>
        <v>42952984.153479613</v>
      </c>
      <c r="L166" s="6" t="s">
        <v>1195</v>
      </c>
      <c r="M166" s="6" t="s">
        <v>1195</v>
      </c>
      <c r="N166" s="6" t="s">
        <v>1195</v>
      </c>
      <c r="O166" s="2">
        <v>100</v>
      </c>
      <c r="P166" s="6" t="s">
        <v>1195</v>
      </c>
      <c r="Q166" s="6" t="s">
        <v>1195</v>
      </c>
      <c r="R166" s="6" t="s">
        <v>1195</v>
      </c>
      <c r="S166" s="6" t="s">
        <v>1195</v>
      </c>
      <c r="T166" s="6" t="s">
        <v>1195</v>
      </c>
      <c r="U166" s="6" t="s">
        <v>1195</v>
      </c>
      <c r="V166" s="6" t="s">
        <v>1195</v>
      </c>
      <c r="W166" s="6" t="s">
        <v>1195</v>
      </c>
      <c r="X166" s="2">
        <f>K166</f>
        <v>42952984.153479613</v>
      </c>
      <c r="Y166" s="6" t="s">
        <v>1195</v>
      </c>
      <c r="Z166" s="6" t="s">
        <v>1195</v>
      </c>
      <c r="AA166" s="2">
        <f>AA165</f>
        <v>42964577.788798213</v>
      </c>
      <c r="AB166" s="2">
        <v>0</v>
      </c>
    </row>
    <row r="167" spans="1:28">
      <c r="A167" s="2">
        <v>164</v>
      </c>
      <c r="B167" s="2" t="s">
        <v>758</v>
      </c>
      <c r="C167" s="2" t="s">
        <v>2564</v>
      </c>
      <c r="D167" s="4" t="s">
        <v>61</v>
      </c>
      <c r="E167" s="5" t="s">
        <v>134</v>
      </c>
      <c r="F167" s="2" t="s">
        <v>456</v>
      </c>
      <c r="G167" s="2" t="s">
        <v>63</v>
      </c>
      <c r="H167" s="6" t="s">
        <v>1195</v>
      </c>
      <c r="I167" s="6" t="s">
        <v>1195</v>
      </c>
      <c r="J167" s="6" t="s">
        <v>1195</v>
      </c>
      <c r="K167" s="2">
        <f t="shared" si="21"/>
        <v>42952984.153479613</v>
      </c>
      <c r="L167" s="6" t="s">
        <v>1195</v>
      </c>
      <c r="M167" s="6" t="s">
        <v>1195</v>
      </c>
      <c r="N167" s="6" t="s">
        <v>1195</v>
      </c>
      <c r="O167" s="2">
        <v>1017</v>
      </c>
      <c r="P167" s="6" t="s">
        <v>1195</v>
      </c>
      <c r="Q167" s="6" t="s">
        <v>1195</v>
      </c>
      <c r="R167" s="6" t="s">
        <v>1195</v>
      </c>
      <c r="S167" s="6" t="s">
        <v>1195</v>
      </c>
      <c r="T167" s="6" t="s">
        <v>1195</v>
      </c>
      <c r="U167" s="6" t="s">
        <v>1195</v>
      </c>
      <c r="V167" s="6" t="s">
        <v>1195</v>
      </c>
      <c r="W167" s="6" t="s">
        <v>1195</v>
      </c>
      <c r="X167" s="2">
        <f>K167</f>
        <v>42952984.153479613</v>
      </c>
      <c r="Y167" s="6" t="s">
        <v>1195</v>
      </c>
      <c r="Z167" s="6" t="s">
        <v>1195</v>
      </c>
      <c r="AA167" s="2">
        <f>AA166</f>
        <v>42964577.788798213</v>
      </c>
      <c r="AB167" s="2">
        <v>0</v>
      </c>
    </row>
    <row r="168" spans="1:28">
      <c r="A168" s="2">
        <v>165</v>
      </c>
      <c r="B168" s="2" t="s">
        <v>760</v>
      </c>
      <c r="C168" s="2" t="s">
        <v>2564</v>
      </c>
      <c r="D168" s="4" t="s">
        <v>61</v>
      </c>
      <c r="E168" s="5" t="s">
        <v>134</v>
      </c>
      <c r="F168" s="2" t="s">
        <v>135</v>
      </c>
      <c r="G168" s="2" t="s">
        <v>103</v>
      </c>
      <c r="H168" s="6" t="s">
        <v>1195</v>
      </c>
      <c r="I168" s="6" t="s">
        <v>1195</v>
      </c>
      <c r="J168" s="6" t="s">
        <v>1195</v>
      </c>
      <c r="K168" s="2">
        <f t="shared" si="21"/>
        <v>42952984.153479613</v>
      </c>
      <c r="L168" s="6" t="s">
        <v>1195</v>
      </c>
      <c r="M168" s="6" t="s">
        <v>1195</v>
      </c>
      <c r="N168" s="6" t="s">
        <v>1195</v>
      </c>
      <c r="O168" s="2">
        <v>627</v>
      </c>
      <c r="P168" s="6" t="s">
        <v>1195</v>
      </c>
      <c r="Q168" s="6" t="s">
        <v>1195</v>
      </c>
      <c r="R168" s="6" t="s">
        <v>1195</v>
      </c>
      <c r="S168" s="6" t="s">
        <v>1195</v>
      </c>
      <c r="T168" s="6" t="s">
        <v>1195</v>
      </c>
      <c r="U168" s="6" t="s">
        <v>1195</v>
      </c>
      <c r="V168" s="6" t="s">
        <v>1195</v>
      </c>
      <c r="W168" s="6" t="s">
        <v>1195</v>
      </c>
      <c r="X168" s="2">
        <f>K168</f>
        <v>42952984.153479613</v>
      </c>
      <c r="Y168" s="6" t="s">
        <v>1195</v>
      </c>
      <c r="Z168" s="6" t="s">
        <v>1195</v>
      </c>
      <c r="AA168" s="2">
        <f>AA167</f>
        <v>42964577.788798213</v>
      </c>
      <c r="AB168" s="2">
        <v>0</v>
      </c>
    </row>
    <row r="169" spans="1:28">
      <c r="A169" s="2">
        <v>166</v>
      </c>
      <c r="B169" s="2" t="s">
        <v>763</v>
      </c>
      <c r="C169" s="2" t="s">
        <v>2564</v>
      </c>
      <c r="D169" s="4" t="s">
        <v>61</v>
      </c>
      <c r="E169" s="5" t="s">
        <v>134</v>
      </c>
      <c r="F169" s="2" t="s">
        <v>135</v>
      </c>
      <c r="G169" s="2" t="s">
        <v>161</v>
      </c>
      <c r="H169" s="6" t="s">
        <v>1195</v>
      </c>
      <c r="I169" s="6" t="s">
        <v>1195</v>
      </c>
      <c r="J169" s="6" t="s">
        <v>1195</v>
      </c>
      <c r="K169" s="2">
        <f t="shared" si="21"/>
        <v>42952984.153479613</v>
      </c>
      <c r="L169" s="6" t="s">
        <v>1195</v>
      </c>
      <c r="M169" s="6" t="s">
        <v>1195</v>
      </c>
      <c r="N169" s="6" t="s">
        <v>1195</v>
      </c>
      <c r="O169" s="2">
        <v>229</v>
      </c>
      <c r="P169" s="6" t="s">
        <v>1195</v>
      </c>
      <c r="Q169" s="6" t="s">
        <v>1195</v>
      </c>
      <c r="R169" s="6" t="s">
        <v>1195</v>
      </c>
      <c r="S169" s="6" t="s">
        <v>1195</v>
      </c>
      <c r="T169" s="6" t="s">
        <v>1195</v>
      </c>
      <c r="U169" s="6" t="s">
        <v>1195</v>
      </c>
      <c r="V169" s="6" t="s">
        <v>1195</v>
      </c>
      <c r="W169" s="6" t="s">
        <v>1195</v>
      </c>
      <c r="X169" s="2">
        <f>K169</f>
        <v>42952984.153479613</v>
      </c>
      <c r="Y169" s="6" t="s">
        <v>1195</v>
      </c>
      <c r="Z169" s="6" t="s">
        <v>1195</v>
      </c>
      <c r="AA169" s="2">
        <f>AA168</f>
        <v>42964577.788798213</v>
      </c>
      <c r="AB169" s="2">
        <v>0</v>
      </c>
    </row>
    <row r="170" spans="1:28">
      <c r="A170" s="2">
        <v>167</v>
      </c>
      <c r="B170" s="2" t="s">
        <v>764</v>
      </c>
      <c r="C170" s="2" t="s">
        <v>2564</v>
      </c>
      <c r="D170" s="4" t="s">
        <v>61</v>
      </c>
      <c r="E170" s="5" t="s">
        <v>134</v>
      </c>
      <c r="F170" s="2" t="s">
        <v>135</v>
      </c>
      <c r="G170" s="2" t="s">
        <v>77</v>
      </c>
      <c r="H170" s="6" t="s">
        <v>1195</v>
      </c>
      <c r="I170" s="6" t="s">
        <v>1195</v>
      </c>
      <c r="J170" s="6" t="s">
        <v>1195</v>
      </c>
      <c r="K170" s="2">
        <f t="shared" si="21"/>
        <v>42952984.153479613</v>
      </c>
      <c r="L170" s="6" t="s">
        <v>1195</v>
      </c>
      <c r="M170" s="6" t="s">
        <v>1195</v>
      </c>
      <c r="N170" s="6" t="s">
        <v>1195</v>
      </c>
      <c r="O170" s="2">
        <v>2645</v>
      </c>
      <c r="P170" s="6" t="s">
        <v>1195</v>
      </c>
      <c r="Q170" s="6" t="s">
        <v>1195</v>
      </c>
      <c r="R170" s="6" t="s">
        <v>1195</v>
      </c>
      <c r="S170" s="6" t="s">
        <v>1195</v>
      </c>
      <c r="T170" s="6" t="s">
        <v>1195</v>
      </c>
      <c r="U170" s="6" t="s">
        <v>1195</v>
      </c>
      <c r="V170" s="6" t="s">
        <v>1195</v>
      </c>
      <c r="W170" s="6" t="s">
        <v>1195</v>
      </c>
      <c r="X170" s="2">
        <f>K170</f>
        <v>42952984.153479613</v>
      </c>
      <c r="Y170" s="6" t="s">
        <v>1195</v>
      </c>
      <c r="Z170" s="6" t="s">
        <v>1195</v>
      </c>
      <c r="AA170" s="2">
        <f>AA169</f>
        <v>42964577.788798213</v>
      </c>
      <c r="AB170" s="2">
        <v>0</v>
      </c>
    </row>
    <row r="171" spans="1:28">
      <c r="A171" s="2">
        <v>168</v>
      </c>
      <c r="B171" s="2" t="s">
        <v>769</v>
      </c>
      <c r="C171" s="2" t="s">
        <v>2564</v>
      </c>
      <c r="D171" s="3" t="s">
        <v>37</v>
      </c>
      <c r="E171" s="3" t="s">
        <v>38</v>
      </c>
      <c r="F171" s="2" t="s">
        <v>770</v>
      </c>
      <c r="G171" s="2" t="s">
        <v>97</v>
      </c>
      <c r="H171" s="2" t="s">
        <v>771</v>
      </c>
      <c r="I171" s="2" t="s">
        <v>1138</v>
      </c>
      <c r="J171" s="2" t="s">
        <v>779</v>
      </c>
      <c r="K171" s="2">
        <f t="shared" si="21"/>
        <v>42952984.153479613</v>
      </c>
      <c r="L171" s="2" t="s">
        <v>2151</v>
      </c>
      <c r="M171" s="2" t="s">
        <v>2634</v>
      </c>
      <c r="N171" s="2" t="s">
        <v>2635</v>
      </c>
      <c r="O171" s="2">
        <v>2667</v>
      </c>
      <c r="P171" s="2">
        <v>379.9212646484375</v>
      </c>
      <c r="Q171" s="2">
        <v>393.725341796875</v>
      </c>
      <c r="R171" s="2">
        <f>O171*P171</f>
        <v>1013250.0128173828</v>
      </c>
      <c r="S171" s="2">
        <f>O171*Q171</f>
        <v>1050065.4865722656</v>
      </c>
      <c r="T171" s="2">
        <f>R171+S171</f>
        <v>2063315.4993896484</v>
      </c>
      <c r="U171" s="2">
        <f>ROUND(T171*0.0005, 2)</f>
        <v>1031.6600000000001</v>
      </c>
      <c r="V171" s="2">
        <f>S171-R171</f>
        <v>36815.473754882813</v>
      </c>
      <c r="W171" s="2">
        <f>V171-U171</f>
        <v>35783.813754882809</v>
      </c>
      <c r="X171" s="2">
        <f>K171+W171</f>
        <v>42988767.9672345</v>
      </c>
      <c r="Y171" s="2">
        <f>ROUND(0.2*R171, 2)</f>
        <v>202650</v>
      </c>
      <c r="Z171" s="2">
        <f>ROUND((W171/Y171)*100, 2)</f>
        <v>17.66</v>
      </c>
      <c r="AA171" s="2">
        <f>MAX(AA170, X171)</f>
        <v>42988767.9672345</v>
      </c>
      <c r="AB171" s="2">
        <f>X171-AA171</f>
        <v>0</v>
      </c>
    </row>
    <row r="172" spans="1:28">
      <c r="A172" s="2">
        <v>169</v>
      </c>
      <c r="B172" s="2" t="s">
        <v>773</v>
      </c>
      <c r="C172" s="2" t="s">
        <v>2564</v>
      </c>
      <c r="D172" s="4" t="s">
        <v>61</v>
      </c>
      <c r="E172" s="3" t="s">
        <v>38</v>
      </c>
      <c r="F172" s="2" t="s">
        <v>774</v>
      </c>
      <c r="G172" s="2" t="s">
        <v>177</v>
      </c>
      <c r="H172" s="2" t="s">
        <v>775</v>
      </c>
      <c r="I172" s="2" t="s">
        <v>2636</v>
      </c>
      <c r="J172" s="2" t="s">
        <v>1689</v>
      </c>
      <c r="K172" s="2">
        <f t="shared" si="21"/>
        <v>42988767.9672345</v>
      </c>
      <c r="L172" s="2" t="s">
        <v>2130</v>
      </c>
      <c r="M172" s="2" t="s">
        <v>2131</v>
      </c>
      <c r="N172" s="2" t="s">
        <v>2132</v>
      </c>
      <c r="O172" s="2">
        <v>250</v>
      </c>
      <c r="P172" s="2">
        <v>1232.087158203125</v>
      </c>
      <c r="Q172" s="2">
        <v>1291.324462890625</v>
      </c>
      <c r="R172" s="2">
        <f>O172*P172</f>
        <v>308021.78955078125</v>
      </c>
      <c r="S172" s="2">
        <f>O172*Q172</f>
        <v>322831.11572265625</v>
      </c>
      <c r="T172" s="2">
        <f>R172+S172</f>
        <v>630852.9052734375</v>
      </c>
      <c r="U172" s="2">
        <f>ROUND(T172*0.0005, 2)</f>
        <v>315.43</v>
      </c>
      <c r="V172" s="2">
        <f>S172-R172</f>
        <v>14809.326171875</v>
      </c>
      <c r="W172" s="2">
        <f>V172-U172</f>
        <v>14493.896171875</v>
      </c>
      <c r="X172" s="2">
        <f>K172+W172</f>
        <v>43003261.863406375</v>
      </c>
      <c r="Y172" s="2">
        <f>ROUND(0.2*R172, 2)</f>
        <v>61604.36</v>
      </c>
      <c r="Z172" s="2">
        <f>ROUND((W172/Y172)*100, 2)</f>
        <v>23.53</v>
      </c>
      <c r="AA172" s="2">
        <f>MAX(AA171, X172)</f>
        <v>43003261.863406375</v>
      </c>
      <c r="AB172" s="2">
        <f>X172-AA172</f>
        <v>0</v>
      </c>
    </row>
    <row r="173" spans="1:28">
      <c r="A173" s="2">
        <v>170</v>
      </c>
      <c r="B173" s="2" t="s">
        <v>778</v>
      </c>
      <c r="C173" s="2" t="s">
        <v>2564</v>
      </c>
      <c r="D173" s="4" t="s">
        <v>61</v>
      </c>
      <c r="E173" s="5" t="s">
        <v>134</v>
      </c>
      <c r="F173" s="2" t="s">
        <v>135</v>
      </c>
      <c r="G173" s="2" t="s">
        <v>161</v>
      </c>
      <c r="H173" s="6" t="s">
        <v>1195</v>
      </c>
      <c r="I173" s="6" t="s">
        <v>1195</v>
      </c>
      <c r="J173" s="6" t="s">
        <v>1195</v>
      </c>
      <c r="K173" s="2">
        <f t="shared" si="21"/>
        <v>43003261.863406375</v>
      </c>
      <c r="L173" s="6" t="s">
        <v>1195</v>
      </c>
      <c r="M173" s="6" t="s">
        <v>1195</v>
      </c>
      <c r="N173" s="6" t="s">
        <v>1195</v>
      </c>
      <c r="O173" s="2">
        <v>4486</v>
      </c>
      <c r="P173" s="6" t="s">
        <v>1195</v>
      </c>
      <c r="Q173" s="6" t="s">
        <v>1195</v>
      </c>
      <c r="R173" s="6" t="s">
        <v>1195</v>
      </c>
      <c r="S173" s="6" t="s">
        <v>1195</v>
      </c>
      <c r="T173" s="6" t="s">
        <v>1195</v>
      </c>
      <c r="U173" s="6" t="s">
        <v>1195</v>
      </c>
      <c r="V173" s="6" t="s">
        <v>1195</v>
      </c>
      <c r="W173" s="6" t="s">
        <v>1195</v>
      </c>
      <c r="X173" s="2">
        <f>K173</f>
        <v>43003261.863406375</v>
      </c>
      <c r="Y173" s="6" t="s">
        <v>1195</v>
      </c>
      <c r="Z173" s="6" t="s">
        <v>1195</v>
      </c>
      <c r="AA173" s="2">
        <f>AA172</f>
        <v>43003261.863406375</v>
      </c>
      <c r="AB173" s="2">
        <v>0</v>
      </c>
    </row>
    <row r="174" spans="1:28">
      <c r="A174" s="2">
        <v>171</v>
      </c>
      <c r="B174" s="2" t="s">
        <v>782</v>
      </c>
      <c r="C174" s="2" t="s">
        <v>2564</v>
      </c>
      <c r="D174" s="3" t="s">
        <v>37</v>
      </c>
      <c r="E174" s="5" t="s">
        <v>134</v>
      </c>
      <c r="F174" s="2" t="s">
        <v>456</v>
      </c>
      <c r="G174" s="2" t="s">
        <v>97</v>
      </c>
      <c r="H174" s="6" t="s">
        <v>1195</v>
      </c>
      <c r="I174" s="6" t="s">
        <v>1195</v>
      </c>
      <c r="J174" s="6" t="s">
        <v>1195</v>
      </c>
      <c r="K174" s="2">
        <f t="shared" si="21"/>
        <v>43003261.863406375</v>
      </c>
      <c r="L174" s="6" t="s">
        <v>1195</v>
      </c>
      <c r="M174" s="6" t="s">
        <v>1195</v>
      </c>
      <c r="N174" s="6" t="s">
        <v>1195</v>
      </c>
      <c r="O174" s="2">
        <v>21748</v>
      </c>
      <c r="P174" s="6" t="s">
        <v>1195</v>
      </c>
      <c r="Q174" s="6" t="s">
        <v>1195</v>
      </c>
      <c r="R174" s="6" t="s">
        <v>1195</v>
      </c>
      <c r="S174" s="6" t="s">
        <v>1195</v>
      </c>
      <c r="T174" s="6" t="s">
        <v>1195</v>
      </c>
      <c r="U174" s="6" t="s">
        <v>1195</v>
      </c>
      <c r="V174" s="6" t="s">
        <v>1195</v>
      </c>
      <c r="W174" s="6" t="s">
        <v>1195</v>
      </c>
      <c r="X174" s="2">
        <f>K174</f>
        <v>43003261.863406375</v>
      </c>
      <c r="Y174" s="6" t="s">
        <v>1195</v>
      </c>
      <c r="Z174" s="6" t="s">
        <v>1195</v>
      </c>
      <c r="AA174" s="2">
        <f>AA173</f>
        <v>43003261.863406375</v>
      </c>
      <c r="AB174" s="2">
        <v>0</v>
      </c>
    </row>
    <row r="175" spans="1:28">
      <c r="A175" s="2">
        <v>172</v>
      </c>
      <c r="B175" s="2" t="s">
        <v>784</v>
      </c>
      <c r="C175" s="2" t="s">
        <v>2564</v>
      </c>
      <c r="D175" s="4" t="s">
        <v>61</v>
      </c>
      <c r="E175" s="5" t="s">
        <v>134</v>
      </c>
      <c r="F175" s="2" t="s">
        <v>135</v>
      </c>
      <c r="G175" s="2" t="s">
        <v>241</v>
      </c>
      <c r="H175" s="6" t="s">
        <v>1195</v>
      </c>
      <c r="I175" s="6" t="s">
        <v>1195</v>
      </c>
      <c r="J175" s="6" t="s">
        <v>1195</v>
      </c>
      <c r="K175" s="2">
        <f t="shared" si="21"/>
        <v>43003261.863406375</v>
      </c>
      <c r="L175" s="6" t="s">
        <v>1195</v>
      </c>
      <c r="M175" s="6" t="s">
        <v>1195</v>
      </c>
      <c r="N175" s="6" t="s">
        <v>1195</v>
      </c>
      <c r="O175" s="2">
        <v>5915</v>
      </c>
      <c r="P175" s="6" t="s">
        <v>1195</v>
      </c>
      <c r="Q175" s="6" t="s">
        <v>1195</v>
      </c>
      <c r="R175" s="6" t="s">
        <v>1195</v>
      </c>
      <c r="S175" s="6" t="s">
        <v>1195</v>
      </c>
      <c r="T175" s="6" t="s">
        <v>1195</v>
      </c>
      <c r="U175" s="6" t="s">
        <v>1195</v>
      </c>
      <c r="V175" s="6" t="s">
        <v>1195</v>
      </c>
      <c r="W175" s="6" t="s">
        <v>1195</v>
      </c>
      <c r="X175" s="2">
        <f>K175</f>
        <v>43003261.863406375</v>
      </c>
      <c r="Y175" s="6" t="s">
        <v>1195</v>
      </c>
      <c r="Z175" s="6" t="s">
        <v>1195</v>
      </c>
      <c r="AA175" s="2">
        <f>AA174</f>
        <v>43003261.863406375</v>
      </c>
      <c r="AB175" s="2">
        <v>0</v>
      </c>
    </row>
    <row r="176" spans="1:28">
      <c r="A176" s="2">
        <v>173</v>
      </c>
      <c r="B176" s="2" t="s">
        <v>787</v>
      </c>
      <c r="C176" s="2" t="s">
        <v>2564</v>
      </c>
      <c r="D176" s="4" t="s">
        <v>61</v>
      </c>
      <c r="E176" s="5" t="s">
        <v>134</v>
      </c>
      <c r="F176" s="2" t="s">
        <v>135</v>
      </c>
      <c r="G176" s="2" t="s">
        <v>161</v>
      </c>
      <c r="H176" s="6" t="s">
        <v>1195</v>
      </c>
      <c r="I176" s="6" t="s">
        <v>1195</v>
      </c>
      <c r="J176" s="6" t="s">
        <v>1195</v>
      </c>
      <c r="K176" s="2">
        <f t="shared" si="21"/>
        <v>43003261.863406375</v>
      </c>
      <c r="L176" s="6" t="s">
        <v>1195</v>
      </c>
      <c r="M176" s="6" t="s">
        <v>1195</v>
      </c>
      <c r="N176" s="6" t="s">
        <v>1195</v>
      </c>
      <c r="O176" s="2">
        <v>1550</v>
      </c>
      <c r="P176" s="6" t="s">
        <v>1195</v>
      </c>
      <c r="Q176" s="6" t="s">
        <v>1195</v>
      </c>
      <c r="R176" s="6" t="s">
        <v>1195</v>
      </c>
      <c r="S176" s="6" t="s">
        <v>1195</v>
      </c>
      <c r="T176" s="6" t="s">
        <v>1195</v>
      </c>
      <c r="U176" s="6" t="s">
        <v>1195</v>
      </c>
      <c r="V176" s="6" t="s">
        <v>1195</v>
      </c>
      <c r="W176" s="6" t="s">
        <v>1195</v>
      </c>
      <c r="X176" s="2">
        <f>K176</f>
        <v>43003261.863406375</v>
      </c>
      <c r="Y176" s="6" t="s">
        <v>1195</v>
      </c>
      <c r="Z176" s="6" t="s">
        <v>1195</v>
      </c>
      <c r="AA176" s="2">
        <f>AA175</f>
        <v>43003261.863406375</v>
      </c>
      <c r="AB176" s="2">
        <v>0</v>
      </c>
    </row>
    <row r="177" spans="1:28">
      <c r="A177" s="2">
        <v>174</v>
      </c>
      <c r="B177" s="2" t="s">
        <v>790</v>
      </c>
      <c r="C177" s="2" t="s">
        <v>2564</v>
      </c>
      <c r="D177" s="3" t="s">
        <v>37</v>
      </c>
      <c r="E177" s="3" t="s">
        <v>38</v>
      </c>
      <c r="F177" s="2" t="s">
        <v>429</v>
      </c>
      <c r="G177" s="2" t="s">
        <v>63</v>
      </c>
      <c r="H177" s="2" t="s">
        <v>791</v>
      </c>
      <c r="I177" s="2" t="s">
        <v>693</v>
      </c>
      <c r="J177" s="2" t="s">
        <v>1631</v>
      </c>
      <c r="K177" s="2">
        <f t="shared" si="21"/>
        <v>43003261.863406375</v>
      </c>
      <c r="L177" s="2" t="s">
        <v>2637</v>
      </c>
      <c r="M177" s="2" t="s">
        <v>2638</v>
      </c>
      <c r="N177" s="2" t="s">
        <v>2613</v>
      </c>
      <c r="O177" s="2">
        <v>375</v>
      </c>
      <c r="P177" s="2">
        <v>867.71630859375</v>
      </c>
      <c r="Q177" s="2">
        <v>852.45245361328125</v>
      </c>
      <c r="R177" s="2">
        <f>O177*P177</f>
        <v>325393.61572265625</v>
      </c>
      <c r="S177" s="2">
        <f>O177*Q177</f>
        <v>319669.67010498047</v>
      </c>
      <c r="T177" s="2">
        <f>R177+S177</f>
        <v>645063.28582763672</v>
      </c>
      <c r="U177" s="2">
        <f>ROUND(T177*0.0005, 2)</f>
        <v>322.52999999999997</v>
      </c>
      <c r="V177" s="2">
        <f>S177-R177</f>
        <v>-5723.9456176757812</v>
      </c>
      <c r="W177" s="2">
        <f>V177-U177</f>
        <v>-6046.475617675781</v>
      </c>
      <c r="X177" s="2">
        <f>K177+W177</f>
        <v>42997215.387788698</v>
      </c>
      <c r="Y177" s="2">
        <f>ROUND(0.2*R177, 2)</f>
        <v>65078.720000000001</v>
      </c>
      <c r="Z177" s="2">
        <f>ROUND((W177/Y177)*100, 2)</f>
        <v>-9.2899999999999991</v>
      </c>
      <c r="AA177" s="2">
        <f>MAX(AA176, X177)</f>
        <v>43003261.863406375</v>
      </c>
      <c r="AB177" s="2">
        <f>X177-AA177</f>
        <v>-6046.4756176769733</v>
      </c>
    </row>
    <row r="178" spans="1:28">
      <c r="A178" s="2">
        <v>175</v>
      </c>
      <c r="B178" s="2" t="s">
        <v>794</v>
      </c>
      <c r="C178" s="2" t="s">
        <v>2564</v>
      </c>
      <c r="D178" s="3" t="s">
        <v>37</v>
      </c>
      <c r="E178" s="3" t="s">
        <v>38</v>
      </c>
      <c r="F178" s="2" t="s">
        <v>795</v>
      </c>
      <c r="G178" s="2" t="s">
        <v>63</v>
      </c>
      <c r="H178" s="2" t="s">
        <v>796</v>
      </c>
      <c r="I178" s="2" t="s">
        <v>2639</v>
      </c>
      <c r="J178" s="2" t="s">
        <v>2640</v>
      </c>
      <c r="K178" s="2">
        <f t="shared" si="21"/>
        <v>42997215.387788698</v>
      </c>
      <c r="L178" s="2" t="s">
        <v>2120</v>
      </c>
      <c r="M178" s="2" t="s">
        <v>2159</v>
      </c>
      <c r="N178" s="2" t="s">
        <v>2574</v>
      </c>
      <c r="O178" s="2">
        <v>1500</v>
      </c>
      <c r="P178" s="2">
        <v>559.24847412109375</v>
      </c>
      <c r="Q178" s="2">
        <v>537.8446044921875</v>
      </c>
      <c r="R178" s="2">
        <f>O178*P178</f>
        <v>838872.71118164063</v>
      </c>
      <c r="S178" s="2">
        <f>O178*Q178</f>
        <v>806766.90673828125</v>
      </c>
      <c r="T178" s="2">
        <f>R178+S178</f>
        <v>1645639.6179199219</v>
      </c>
      <c r="U178" s="2">
        <f>ROUND(T178*0.0005, 2)</f>
        <v>822.82</v>
      </c>
      <c r="V178" s="2">
        <f>S178-R178</f>
        <v>-32105.804443359375</v>
      </c>
      <c r="W178" s="2">
        <f>V178-U178</f>
        <v>-32928.624443359375</v>
      </c>
      <c r="X178" s="2">
        <f>K178+W178</f>
        <v>42964286.763345338</v>
      </c>
      <c r="Y178" s="2">
        <f>ROUND(0.2*R178, 2)</f>
        <v>167774.54</v>
      </c>
      <c r="Z178" s="2">
        <f>ROUND((W178/Y178)*100, 2)</f>
        <v>-19.63</v>
      </c>
      <c r="AA178" s="2">
        <f>MAX(AA177, X178)</f>
        <v>43003261.863406375</v>
      </c>
      <c r="AB178" s="2">
        <f>X178-AA178</f>
        <v>-38975.100061036646</v>
      </c>
    </row>
    <row r="179" spans="1:28">
      <c r="A179" s="2">
        <v>176</v>
      </c>
      <c r="B179" s="2" t="s">
        <v>798</v>
      </c>
      <c r="C179" s="2" t="s">
        <v>2564</v>
      </c>
      <c r="D179" s="3" t="s">
        <v>37</v>
      </c>
      <c r="E179" s="5" t="s">
        <v>134</v>
      </c>
      <c r="F179" s="2" t="s">
        <v>135</v>
      </c>
      <c r="G179" s="2" t="s">
        <v>161</v>
      </c>
      <c r="H179" s="6" t="s">
        <v>1195</v>
      </c>
      <c r="I179" s="6" t="s">
        <v>1195</v>
      </c>
      <c r="J179" s="6" t="s">
        <v>1195</v>
      </c>
      <c r="K179" s="2">
        <f t="shared" si="21"/>
        <v>42964286.763345338</v>
      </c>
      <c r="L179" s="6" t="s">
        <v>1195</v>
      </c>
      <c r="M179" s="6" t="s">
        <v>1195</v>
      </c>
      <c r="N179" s="6" t="s">
        <v>1195</v>
      </c>
      <c r="O179" s="2">
        <v>100</v>
      </c>
      <c r="P179" s="6" t="s">
        <v>1195</v>
      </c>
      <c r="Q179" s="6" t="s">
        <v>1195</v>
      </c>
      <c r="R179" s="6" t="s">
        <v>1195</v>
      </c>
      <c r="S179" s="6" t="s">
        <v>1195</v>
      </c>
      <c r="T179" s="6" t="s">
        <v>1195</v>
      </c>
      <c r="U179" s="6" t="s">
        <v>1195</v>
      </c>
      <c r="V179" s="6" t="s">
        <v>1195</v>
      </c>
      <c r="W179" s="6" t="s">
        <v>1195</v>
      </c>
      <c r="X179" s="2">
        <f>K179</f>
        <v>42964286.763345338</v>
      </c>
      <c r="Y179" s="6" t="s">
        <v>1195</v>
      </c>
      <c r="Z179" s="6" t="s">
        <v>1195</v>
      </c>
      <c r="AA179" s="2">
        <f>AA178</f>
        <v>43003261.863406375</v>
      </c>
      <c r="AB179" s="2">
        <v>0</v>
      </c>
    </row>
    <row r="180" spans="1:28">
      <c r="A180" s="2">
        <v>177</v>
      </c>
      <c r="B180" s="2" t="s">
        <v>801</v>
      </c>
      <c r="C180" s="2" t="s">
        <v>2564</v>
      </c>
      <c r="D180" s="3" t="s">
        <v>37</v>
      </c>
      <c r="E180" s="3" t="s">
        <v>38</v>
      </c>
      <c r="F180" s="2" t="s">
        <v>802</v>
      </c>
      <c r="G180" s="2" t="s">
        <v>127</v>
      </c>
      <c r="H180" s="2" t="s">
        <v>803</v>
      </c>
      <c r="I180" s="2" t="s">
        <v>627</v>
      </c>
      <c r="J180" s="2" t="s">
        <v>715</v>
      </c>
      <c r="K180" s="2">
        <f t="shared" si="21"/>
        <v>42964286.763345338</v>
      </c>
      <c r="L180" s="2" t="s">
        <v>2131</v>
      </c>
      <c r="M180" s="2" t="s">
        <v>2120</v>
      </c>
      <c r="N180" s="2" t="s">
        <v>2131</v>
      </c>
      <c r="O180" s="2">
        <v>957</v>
      </c>
      <c r="P180" s="2">
        <v>345.58114624023437</v>
      </c>
      <c r="Q180" s="2">
        <v>346.87832641601562</v>
      </c>
      <c r="R180" s="2">
        <f>O180*P180</f>
        <v>330721.1569519043</v>
      </c>
      <c r="S180" s="2">
        <f>O180*Q180</f>
        <v>331962.55838012695</v>
      </c>
      <c r="T180" s="2">
        <f>R180+S180</f>
        <v>662683.71533203125</v>
      </c>
      <c r="U180" s="2">
        <f>ROUND(T180*0.0005, 2)</f>
        <v>331.34</v>
      </c>
      <c r="V180" s="2">
        <f>S180-R180</f>
        <v>1241.4014282226562</v>
      </c>
      <c r="W180" s="2">
        <f>V180-U180</f>
        <v>910.06142822265633</v>
      </c>
      <c r="X180" s="2">
        <f>K180+W180</f>
        <v>42965196.824773557</v>
      </c>
      <c r="Y180" s="2">
        <f>ROUND(0.2*R180, 2)</f>
        <v>66144.23</v>
      </c>
      <c r="Z180" s="2">
        <f>ROUND((W180/Y180)*100, 2)</f>
        <v>1.38</v>
      </c>
      <c r="AA180" s="2">
        <f>MAX(AA179, X180)</f>
        <v>43003261.863406375</v>
      </c>
      <c r="AB180" s="2">
        <f>X180-AA180</f>
        <v>-38065.038632817566</v>
      </c>
    </row>
    <row r="181" spans="1:28">
      <c r="A181" s="2">
        <v>178</v>
      </c>
      <c r="B181" s="2" t="s">
        <v>806</v>
      </c>
      <c r="C181" s="2" t="s">
        <v>2564</v>
      </c>
      <c r="D181" s="3" t="s">
        <v>37</v>
      </c>
      <c r="E181" s="5" t="s">
        <v>134</v>
      </c>
      <c r="F181" s="2" t="s">
        <v>135</v>
      </c>
      <c r="G181" s="2" t="s">
        <v>161</v>
      </c>
      <c r="H181" s="6" t="s">
        <v>1195</v>
      </c>
      <c r="I181" s="6" t="s">
        <v>1195</v>
      </c>
      <c r="J181" s="6" t="s">
        <v>1195</v>
      </c>
      <c r="K181" s="2">
        <f t="shared" si="21"/>
        <v>42965196.824773557</v>
      </c>
      <c r="L181" s="6" t="s">
        <v>1195</v>
      </c>
      <c r="M181" s="6" t="s">
        <v>1195</v>
      </c>
      <c r="N181" s="6" t="s">
        <v>1195</v>
      </c>
      <c r="O181" s="2">
        <v>273</v>
      </c>
      <c r="P181" s="6" t="s">
        <v>1195</v>
      </c>
      <c r="Q181" s="6" t="s">
        <v>1195</v>
      </c>
      <c r="R181" s="6" t="s">
        <v>1195</v>
      </c>
      <c r="S181" s="6" t="s">
        <v>1195</v>
      </c>
      <c r="T181" s="6" t="s">
        <v>1195</v>
      </c>
      <c r="U181" s="6" t="s">
        <v>1195</v>
      </c>
      <c r="V181" s="6" t="s">
        <v>1195</v>
      </c>
      <c r="W181" s="6" t="s">
        <v>1195</v>
      </c>
      <c r="X181" s="2">
        <f>K181</f>
        <v>42965196.824773557</v>
      </c>
      <c r="Y181" s="6" t="s">
        <v>1195</v>
      </c>
      <c r="Z181" s="6" t="s">
        <v>1195</v>
      </c>
      <c r="AA181" s="2">
        <f>AA180</f>
        <v>43003261.863406375</v>
      </c>
      <c r="AB181" s="2">
        <v>0</v>
      </c>
    </row>
    <row r="182" spans="1:28">
      <c r="A182" s="2">
        <v>179</v>
      </c>
      <c r="B182" s="2" t="s">
        <v>809</v>
      </c>
      <c r="C182" s="2" t="s">
        <v>2564</v>
      </c>
      <c r="D182" s="3" t="s">
        <v>37</v>
      </c>
      <c r="E182" s="5" t="s">
        <v>134</v>
      </c>
      <c r="F182" s="2" t="s">
        <v>135</v>
      </c>
      <c r="G182" s="2" t="s">
        <v>40</v>
      </c>
      <c r="H182" s="6" t="s">
        <v>1195</v>
      </c>
      <c r="I182" s="6" t="s">
        <v>1195</v>
      </c>
      <c r="J182" s="6" t="s">
        <v>1195</v>
      </c>
      <c r="K182" s="2">
        <f t="shared" si="21"/>
        <v>42965196.824773557</v>
      </c>
      <c r="L182" s="6" t="s">
        <v>1195</v>
      </c>
      <c r="M182" s="6" t="s">
        <v>1195</v>
      </c>
      <c r="N182" s="6" t="s">
        <v>1195</v>
      </c>
      <c r="O182" s="2">
        <v>100</v>
      </c>
      <c r="P182" s="6" t="s">
        <v>1195</v>
      </c>
      <c r="Q182" s="6" t="s">
        <v>1195</v>
      </c>
      <c r="R182" s="6" t="s">
        <v>1195</v>
      </c>
      <c r="S182" s="6" t="s">
        <v>1195</v>
      </c>
      <c r="T182" s="6" t="s">
        <v>1195</v>
      </c>
      <c r="U182" s="6" t="s">
        <v>1195</v>
      </c>
      <c r="V182" s="6" t="s">
        <v>1195</v>
      </c>
      <c r="W182" s="6" t="s">
        <v>1195</v>
      </c>
      <c r="X182" s="2">
        <f>K182</f>
        <v>42965196.824773557</v>
      </c>
      <c r="Y182" s="6" t="s">
        <v>1195</v>
      </c>
      <c r="Z182" s="6" t="s">
        <v>1195</v>
      </c>
      <c r="AA182" s="2">
        <f>AA181</f>
        <v>43003261.863406375</v>
      </c>
      <c r="AB182" s="2">
        <v>0</v>
      </c>
    </row>
    <row r="183" spans="1:28">
      <c r="A183" s="2">
        <v>180</v>
      </c>
      <c r="B183" s="2" t="s">
        <v>813</v>
      </c>
      <c r="C183" s="2" t="s">
        <v>2564</v>
      </c>
      <c r="D183" s="4" t="s">
        <v>61</v>
      </c>
      <c r="E183" s="5" t="s">
        <v>134</v>
      </c>
      <c r="F183" s="2" t="s">
        <v>135</v>
      </c>
      <c r="G183" s="2" t="s">
        <v>103</v>
      </c>
      <c r="H183" s="6" t="s">
        <v>1195</v>
      </c>
      <c r="I183" s="6" t="s">
        <v>1195</v>
      </c>
      <c r="J183" s="6" t="s">
        <v>1195</v>
      </c>
      <c r="K183" s="2">
        <f t="shared" si="21"/>
        <v>42965196.824773557</v>
      </c>
      <c r="L183" s="6" t="s">
        <v>1195</v>
      </c>
      <c r="M183" s="6" t="s">
        <v>1195</v>
      </c>
      <c r="N183" s="6" t="s">
        <v>1195</v>
      </c>
      <c r="O183" s="2">
        <v>1309</v>
      </c>
      <c r="P183" s="6" t="s">
        <v>1195</v>
      </c>
      <c r="Q183" s="6" t="s">
        <v>1195</v>
      </c>
      <c r="R183" s="6" t="s">
        <v>1195</v>
      </c>
      <c r="S183" s="6" t="s">
        <v>1195</v>
      </c>
      <c r="T183" s="6" t="s">
        <v>1195</v>
      </c>
      <c r="U183" s="6" t="s">
        <v>1195</v>
      </c>
      <c r="V183" s="6" t="s">
        <v>1195</v>
      </c>
      <c r="W183" s="6" t="s">
        <v>1195</v>
      </c>
      <c r="X183" s="2">
        <f>K183</f>
        <v>42965196.824773557</v>
      </c>
      <c r="Y183" s="6" t="s">
        <v>1195</v>
      </c>
      <c r="Z183" s="6" t="s">
        <v>1195</v>
      </c>
      <c r="AA183" s="2">
        <f>AA182</f>
        <v>43003261.863406375</v>
      </c>
      <c r="AB183" s="2">
        <v>0</v>
      </c>
    </row>
    <row r="184" spans="1:28">
      <c r="A184" s="2">
        <v>181</v>
      </c>
      <c r="B184" s="2" t="s">
        <v>817</v>
      </c>
      <c r="C184" s="2" t="s">
        <v>2564</v>
      </c>
      <c r="D184" s="4" t="s">
        <v>61</v>
      </c>
      <c r="E184" s="5" t="s">
        <v>134</v>
      </c>
      <c r="F184" s="2" t="s">
        <v>135</v>
      </c>
      <c r="G184" s="2" t="s">
        <v>54</v>
      </c>
      <c r="H184" s="6" t="s">
        <v>1195</v>
      </c>
      <c r="I184" s="6" t="s">
        <v>1195</v>
      </c>
      <c r="J184" s="6" t="s">
        <v>1195</v>
      </c>
      <c r="K184" s="2">
        <f t="shared" si="21"/>
        <v>42965196.824773557</v>
      </c>
      <c r="L184" s="6" t="s">
        <v>1195</v>
      </c>
      <c r="M184" s="6" t="s">
        <v>1195</v>
      </c>
      <c r="N184" s="6" t="s">
        <v>1195</v>
      </c>
      <c r="O184" s="2">
        <v>383</v>
      </c>
      <c r="P184" s="6" t="s">
        <v>1195</v>
      </c>
      <c r="Q184" s="6" t="s">
        <v>1195</v>
      </c>
      <c r="R184" s="6" t="s">
        <v>1195</v>
      </c>
      <c r="S184" s="6" t="s">
        <v>1195</v>
      </c>
      <c r="T184" s="6" t="s">
        <v>1195</v>
      </c>
      <c r="U184" s="6" t="s">
        <v>1195</v>
      </c>
      <c r="V184" s="6" t="s">
        <v>1195</v>
      </c>
      <c r="W184" s="6" t="s">
        <v>1195</v>
      </c>
      <c r="X184" s="2">
        <f>K184</f>
        <v>42965196.824773557</v>
      </c>
      <c r="Y184" s="6" t="s">
        <v>1195</v>
      </c>
      <c r="Z184" s="6" t="s">
        <v>1195</v>
      </c>
      <c r="AA184" s="2">
        <f>AA183</f>
        <v>43003261.863406375</v>
      </c>
      <c r="AB184" s="2">
        <v>0</v>
      </c>
    </row>
    <row r="185" spans="1:28">
      <c r="A185" s="2">
        <v>182</v>
      </c>
      <c r="B185" s="2" t="s">
        <v>820</v>
      </c>
      <c r="C185" s="2" t="s">
        <v>2564</v>
      </c>
      <c r="D185" s="3" t="s">
        <v>37</v>
      </c>
      <c r="E185" s="3" t="s">
        <v>38</v>
      </c>
      <c r="F185" s="2" t="s">
        <v>398</v>
      </c>
      <c r="G185" s="2" t="s">
        <v>40</v>
      </c>
      <c r="H185" s="2" t="s">
        <v>594</v>
      </c>
      <c r="I185" s="2" t="s">
        <v>1155</v>
      </c>
      <c r="J185" s="2" t="s">
        <v>1643</v>
      </c>
      <c r="K185" s="2">
        <f t="shared" si="21"/>
        <v>42965196.824773557</v>
      </c>
      <c r="L185" s="2" t="s">
        <v>2474</v>
      </c>
      <c r="M185" s="2" t="s">
        <v>2512</v>
      </c>
      <c r="N185" s="2" t="s">
        <v>2050</v>
      </c>
      <c r="O185" s="2">
        <v>350</v>
      </c>
      <c r="P185" s="2">
        <v>1092.289916992188</v>
      </c>
      <c r="Q185" s="2">
        <v>1145.08203125</v>
      </c>
      <c r="R185" s="2">
        <f>O185*P185</f>
        <v>382301.4709472658</v>
      </c>
      <c r="S185" s="2">
        <f>O185*Q185</f>
        <v>400778.7109375</v>
      </c>
      <c r="T185" s="2">
        <f>R185+S185</f>
        <v>783080.18188476586</v>
      </c>
      <c r="U185" s="2">
        <f>ROUND(T185*0.0005, 2)</f>
        <v>391.54</v>
      </c>
      <c r="V185" s="2">
        <f>S185-R185</f>
        <v>18477.2399902342</v>
      </c>
      <c r="W185" s="2">
        <f>V185-U185</f>
        <v>18085.6999902342</v>
      </c>
      <c r="X185" s="2">
        <f>K185+W185</f>
        <v>42983282.524763793</v>
      </c>
      <c r="Y185" s="2">
        <f>ROUND(0.2*R185, 2)</f>
        <v>76460.289999999994</v>
      </c>
      <c r="Z185" s="2">
        <f>ROUND((W185/Y185)*100, 2)</f>
        <v>23.65</v>
      </c>
      <c r="AA185" s="2">
        <f>MAX(AA184, X185)</f>
        <v>43003261.863406375</v>
      </c>
      <c r="AB185" s="2">
        <f>X185-AA185</f>
        <v>-19979.338642582297</v>
      </c>
    </row>
    <row r="186" spans="1:28">
      <c r="A186" s="2">
        <v>183</v>
      </c>
      <c r="B186" s="2" t="s">
        <v>823</v>
      </c>
      <c r="C186" s="2" t="s">
        <v>2564</v>
      </c>
      <c r="D186" s="4" t="s">
        <v>61</v>
      </c>
      <c r="E186" s="5" t="s">
        <v>134</v>
      </c>
      <c r="F186" s="2" t="s">
        <v>135</v>
      </c>
      <c r="G186" s="2" t="s">
        <v>231</v>
      </c>
      <c r="H186" s="6" t="s">
        <v>1195</v>
      </c>
      <c r="I186" s="6" t="s">
        <v>1195</v>
      </c>
      <c r="J186" s="6" t="s">
        <v>1195</v>
      </c>
      <c r="K186" s="2">
        <f t="shared" si="21"/>
        <v>42983282.524763793</v>
      </c>
      <c r="L186" s="6" t="s">
        <v>1195</v>
      </c>
      <c r="M186" s="6" t="s">
        <v>1195</v>
      </c>
      <c r="N186" s="6" t="s">
        <v>1195</v>
      </c>
      <c r="O186" s="2">
        <v>289</v>
      </c>
      <c r="P186" s="6" t="s">
        <v>1195</v>
      </c>
      <c r="Q186" s="6" t="s">
        <v>1195</v>
      </c>
      <c r="R186" s="6" t="s">
        <v>1195</v>
      </c>
      <c r="S186" s="6" t="s">
        <v>1195</v>
      </c>
      <c r="T186" s="6" t="s">
        <v>1195</v>
      </c>
      <c r="U186" s="6" t="s">
        <v>1195</v>
      </c>
      <c r="V186" s="6" t="s">
        <v>1195</v>
      </c>
      <c r="W186" s="6" t="s">
        <v>1195</v>
      </c>
      <c r="X186" s="2">
        <f>K186</f>
        <v>42983282.524763793</v>
      </c>
      <c r="Y186" s="6" t="s">
        <v>1195</v>
      </c>
      <c r="Z186" s="6" t="s">
        <v>1195</v>
      </c>
      <c r="AA186" s="2">
        <f>AA185</f>
        <v>43003261.863406375</v>
      </c>
      <c r="AB186" s="2">
        <v>0</v>
      </c>
    </row>
    <row r="187" spans="1:28">
      <c r="A187" s="2">
        <v>184</v>
      </c>
      <c r="B187" s="2" t="s">
        <v>827</v>
      </c>
      <c r="C187" s="2" t="s">
        <v>2564</v>
      </c>
      <c r="D187" s="3" t="s">
        <v>37</v>
      </c>
      <c r="E187" s="5" t="s">
        <v>134</v>
      </c>
      <c r="F187" s="2" t="s">
        <v>135</v>
      </c>
      <c r="G187" s="2" t="s">
        <v>40</v>
      </c>
      <c r="H187" s="6" t="s">
        <v>1195</v>
      </c>
      <c r="I187" s="6" t="s">
        <v>1195</v>
      </c>
      <c r="J187" s="6" t="s">
        <v>1195</v>
      </c>
      <c r="K187" s="2">
        <f t="shared" si="21"/>
        <v>42983282.524763793</v>
      </c>
      <c r="L187" s="6" t="s">
        <v>1195</v>
      </c>
      <c r="M187" s="6" t="s">
        <v>1195</v>
      </c>
      <c r="N187" s="6" t="s">
        <v>1195</v>
      </c>
      <c r="O187" s="2">
        <v>21097</v>
      </c>
      <c r="P187" s="6" t="s">
        <v>1195</v>
      </c>
      <c r="Q187" s="6" t="s">
        <v>1195</v>
      </c>
      <c r="R187" s="6" t="s">
        <v>1195</v>
      </c>
      <c r="S187" s="6" t="s">
        <v>1195</v>
      </c>
      <c r="T187" s="6" t="s">
        <v>1195</v>
      </c>
      <c r="U187" s="6" t="s">
        <v>1195</v>
      </c>
      <c r="V187" s="6" t="s">
        <v>1195</v>
      </c>
      <c r="W187" s="6" t="s">
        <v>1195</v>
      </c>
      <c r="X187" s="2">
        <f>K187</f>
        <v>42983282.524763793</v>
      </c>
      <c r="Y187" s="6" t="s">
        <v>1195</v>
      </c>
      <c r="Z187" s="6" t="s">
        <v>1195</v>
      </c>
      <c r="AA187" s="2">
        <f>AA186</f>
        <v>43003261.863406375</v>
      </c>
      <c r="AB187" s="2">
        <v>0</v>
      </c>
    </row>
    <row r="188" spans="1:28">
      <c r="A188" s="2">
        <v>185</v>
      </c>
      <c r="B188" s="2" t="s">
        <v>831</v>
      </c>
      <c r="C188" s="2" t="s">
        <v>2564</v>
      </c>
      <c r="D188" s="3" t="s">
        <v>37</v>
      </c>
      <c r="E188" s="5" t="s">
        <v>134</v>
      </c>
      <c r="F188" s="2" t="s">
        <v>456</v>
      </c>
      <c r="G188" s="2" t="s">
        <v>97</v>
      </c>
      <c r="H188" s="6" t="s">
        <v>1195</v>
      </c>
      <c r="I188" s="6" t="s">
        <v>1195</v>
      </c>
      <c r="J188" s="6" t="s">
        <v>1195</v>
      </c>
      <c r="K188" s="2">
        <f t="shared" si="21"/>
        <v>42983282.524763793</v>
      </c>
      <c r="L188" s="6" t="s">
        <v>1195</v>
      </c>
      <c r="M188" s="6" t="s">
        <v>1195</v>
      </c>
      <c r="N188" s="6" t="s">
        <v>1195</v>
      </c>
      <c r="O188" s="2">
        <v>3379</v>
      </c>
      <c r="P188" s="6" t="s">
        <v>1195</v>
      </c>
      <c r="Q188" s="6" t="s">
        <v>1195</v>
      </c>
      <c r="R188" s="6" t="s">
        <v>1195</v>
      </c>
      <c r="S188" s="6" t="s">
        <v>1195</v>
      </c>
      <c r="T188" s="6" t="s">
        <v>1195</v>
      </c>
      <c r="U188" s="6" t="s">
        <v>1195</v>
      </c>
      <c r="V188" s="6" t="s">
        <v>1195</v>
      </c>
      <c r="W188" s="6" t="s">
        <v>1195</v>
      </c>
      <c r="X188" s="2">
        <f>K188</f>
        <v>42983282.524763793</v>
      </c>
      <c r="Y188" s="6" t="s">
        <v>1195</v>
      </c>
      <c r="Z188" s="6" t="s">
        <v>1195</v>
      </c>
      <c r="AA188" s="2">
        <f>AA187</f>
        <v>43003261.863406375</v>
      </c>
      <c r="AB188" s="2">
        <v>0</v>
      </c>
    </row>
    <row r="189" spans="1:28">
      <c r="A189" s="2">
        <v>186</v>
      </c>
      <c r="B189" s="2" t="s">
        <v>835</v>
      </c>
      <c r="C189" s="2" t="s">
        <v>2564</v>
      </c>
      <c r="D189" s="4" t="s">
        <v>61</v>
      </c>
      <c r="E189" s="3" t="s">
        <v>38</v>
      </c>
      <c r="F189" s="2" t="s">
        <v>836</v>
      </c>
      <c r="G189" s="2" t="s">
        <v>54</v>
      </c>
      <c r="H189" s="2" t="s">
        <v>837</v>
      </c>
      <c r="I189" s="2" t="s">
        <v>85</v>
      </c>
      <c r="J189" s="2" t="s">
        <v>2367</v>
      </c>
      <c r="K189" s="2">
        <f t="shared" si="21"/>
        <v>42983282.524763793</v>
      </c>
      <c r="L189" s="2" t="s">
        <v>2170</v>
      </c>
      <c r="M189" s="2" t="s">
        <v>2120</v>
      </c>
      <c r="N189" s="2" t="s">
        <v>2131</v>
      </c>
      <c r="O189" s="2">
        <v>450</v>
      </c>
      <c r="P189" s="2">
        <v>816.6656494140625</v>
      </c>
      <c r="Q189" s="2">
        <v>849.07220458984375</v>
      </c>
      <c r="R189" s="2">
        <f>O189*P189</f>
        <v>367499.54223632812</v>
      </c>
      <c r="S189" s="2">
        <f>O189*Q189</f>
        <v>382082.49206542969</v>
      </c>
      <c r="T189" s="2">
        <f>R189+S189</f>
        <v>749582.03430175781</v>
      </c>
      <c r="U189" s="2">
        <f>ROUND(T189*0.0005, 2)</f>
        <v>374.79</v>
      </c>
      <c r="V189" s="2">
        <f>S189-R189</f>
        <v>14582.949829101562</v>
      </c>
      <c r="W189" s="2">
        <f>V189-U189</f>
        <v>14208.159829101562</v>
      </c>
      <c r="X189" s="2">
        <f>K189+W189</f>
        <v>42997490.684592895</v>
      </c>
      <c r="Y189" s="2">
        <f>ROUND(0.2*R189, 2)</f>
        <v>73499.91</v>
      </c>
      <c r="Z189" s="2">
        <f>ROUND((W189/Y189)*100, 2)</f>
        <v>19.329999999999998</v>
      </c>
      <c r="AA189" s="2">
        <f>MAX(AA188, X189)</f>
        <v>43003261.863406375</v>
      </c>
      <c r="AB189" s="2">
        <f>X189-AA189</f>
        <v>-5771.1788134798408</v>
      </c>
    </row>
    <row r="190" spans="1:28">
      <c r="A190" s="2">
        <v>187</v>
      </c>
      <c r="B190" s="2" t="s">
        <v>840</v>
      </c>
      <c r="C190" s="2" t="s">
        <v>2564</v>
      </c>
      <c r="D190" s="4" t="s">
        <v>61</v>
      </c>
      <c r="E190" s="5" t="s">
        <v>134</v>
      </c>
      <c r="F190" s="2" t="s">
        <v>135</v>
      </c>
      <c r="G190" s="2" t="s">
        <v>40</v>
      </c>
      <c r="H190" s="6" t="s">
        <v>1195</v>
      </c>
      <c r="I190" s="6" t="s">
        <v>1195</v>
      </c>
      <c r="J190" s="6" t="s">
        <v>1195</v>
      </c>
      <c r="K190" s="2">
        <f t="shared" si="21"/>
        <v>42997490.684592895</v>
      </c>
      <c r="L190" s="6" t="s">
        <v>1195</v>
      </c>
      <c r="M190" s="6" t="s">
        <v>1195</v>
      </c>
      <c r="N190" s="6" t="s">
        <v>1195</v>
      </c>
      <c r="O190" s="2">
        <v>273</v>
      </c>
      <c r="P190" s="6" t="s">
        <v>1195</v>
      </c>
      <c r="Q190" s="6" t="s">
        <v>1195</v>
      </c>
      <c r="R190" s="6" t="s">
        <v>1195</v>
      </c>
      <c r="S190" s="6" t="s">
        <v>1195</v>
      </c>
      <c r="T190" s="6" t="s">
        <v>1195</v>
      </c>
      <c r="U190" s="6" t="s">
        <v>1195</v>
      </c>
      <c r="V190" s="6" t="s">
        <v>1195</v>
      </c>
      <c r="W190" s="6" t="s">
        <v>1195</v>
      </c>
      <c r="X190" s="2">
        <f>K190</f>
        <v>42997490.684592895</v>
      </c>
      <c r="Y190" s="6" t="s">
        <v>1195</v>
      </c>
      <c r="Z190" s="6" t="s">
        <v>1195</v>
      </c>
      <c r="AA190" s="2">
        <f>AA189</f>
        <v>43003261.863406375</v>
      </c>
      <c r="AB190" s="2">
        <v>0</v>
      </c>
    </row>
    <row r="191" spans="1:28">
      <c r="A191" s="2">
        <v>188</v>
      </c>
      <c r="B191" s="2" t="s">
        <v>845</v>
      </c>
      <c r="C191" s="2" t="s">
        <v>2564</v>
      </c>
      <c r="D191" s="3" t="s">
        <v>37</v>
      </c>
      <c r="E191" s="5" t="s">
        <v>134</v>
      </c>
      <c r="F191" s="2" t="s">
        <v>846</v>
      </c>
      <c r="G191" s="2" t="s">
        <v>97</v>
      </c>
      <c r="H191" s="6" t="s">
        <v>1195</v>
      </c>
      <c r="I191" s="6" t="s">
        <v>1195</v>
      </c>
      <c r="J191" s="6" t="s">
        <v>1195</v>
      </c>
      <c r="K191" s="2">
        <f t="shared" si="21"/>
        <v>42997490.684592895</v>
      </c>
      <c r="L191" s="6" t="s">
        <v>1195</v>
      </c>
      <c r="M191" s="6" t="s">
        <v>1195</v>
      </c>
      <c r="N191" s="6" t="s">
        <v>1195</v>
      </c>
      <c r="O191" s="2">
        <v>1425</v>
      </c>
      <c r="P191" s="6" t="s">
        <v>1195</v>
      </c>
      <c r="Q191" s="6" t="s">
        <v>1195</v>
      </c>
      <c r="R191" s="6" t="s">
        <v>1195</v>
      </c>
      <c r="S191" s="6" t="s">
        <v>1195</v>
      </c>
      <c r="T191" s="6" t="s">
        <v>1195</v>
      </c>
      <c r="U191" s="6" t="s">
        <v>1195</v>
      </c>
      <c r="V191" s="6" t="s">
        <v>1195</v>
      </c>
      <c r="W191" s="6" t="s">
        <v>1195</v>
      </c>
      <c r="X191" s="2">
        <f>K191</f>
        <v>42997490.684592895</v>
      </c>
      <c r="Y191" s="6" t="s">
        <v>1195</v>
      </c>
      <c r="Z191" s="6" t="s">
        <v>1195</v>
      </c>
      <c r="AA191" s="2">
        <f>AA190</f>
        <v>43003261.863406375</v>
      </c>
      <c r="AB191" s="2">
        <v>0</v>
      </c>
    </row>
    <row r="192" spans="1:28">
      <c r="A192" s="2">
        <v>189</v>
      </c>
      <c r="B192" s="2" t="s">
        <v>848</v>
      </c>
      <c r="C192" s="2" t="s">
        <v>2564</v>
      </c>
      <c r="D192" s="4" t="s">
        <v>61</v>
      </c>
      <c r="E192" s="5" t="s">
        <v>134</v>
      </c>
      <c r="F192" s="2" t="s">
        <v>135</v>
      </c>
      <c r="G192" s="2" t="s">
        <v>103</v>
      </c>
      <c r="H192" s="6" t="s">
        <v>1195</v>
      </c>
      <c r="I192" s="6" t="s">
        <v>1195</v>
      </c>
      <c r="J192" s="6" t="s">
        <v>1195</v>
      </c>
      <c r="K192" s="2">
        <f t="shared" si="21"/>
        <v>42997490.684592895</v>
      </c>
      <c r="L192" s="6" t="s">
        <v>1195</v>
      </c>
      <c r="M192" s="6" t="s">
        <v>1195</v>
      </c>
      <c r="N192" s="6" t="s">
        <v>1195</v>
      </c>
      <c r="O192" s="2">
        <v>2659</v>
      </c>
      <c r="P192" s="6" t="s">
        <v>1195</v>
      </c>
      <c r="Q192" s="6" t="s">
        <v>1195</v>
      </c>
      <c r="R192" s="6" t="s">
        <v>1195</v>
      </c>
      <c r="S192" s="6" t="s">
        <v>1195</v>
      </c>
      <c r="T192" s="6" t="s">
        <v>1195</v>
      </c>
      <c r="U192" s="6" t="s">
        <v>1195</v>
      </c>
      <c r="V192" s="6" t="s">
        <v>1195</v>
      </c>
      <c r="W192" s="6" t="s">
        <v>1195</v>
      </c>
      <c r="X192" s="2">
        <f>K192</f>
        <v>42997490.684592895</v>
      </c>
      <c r="Y192" s="6" t="s">
        <v>1195</v>
      </c>
      <c r="Z192" s="6" t="s">
        <v>1195</v>
      </c>
      <c r="AA192" s="2">
        <f>AA191</f>
        <v>43003261.863406375</v>
      </c>
      <c r="AB192" s="2">
        <v>0</v>
      </c>
    </row>
    <row r="193" spans="1:28">
      <c r="A193" s="2">
        <v>190</v>
      </c>
      <c r="B193" s="2" t="s">
        <v>851</v>
      </c>
      <c r="C193" s="2" t="s">
        <v>2564</v>
      </c>
      <c r="D193" s="4" t="s">
        <v>61</v>
      </c>
      <c r="E193" s="3" t="s">
        <v>38</v>
      </c>
      <c r="F193" s="2" t="s">
        <v>852</v>
      </c>
      <c r="G193" s="2" t="s">
        <v>150</v>
      </c>
      <c r="H193" s="2" t="s">
        <v>314</v>
      </c>
      <c r="I193" s="2" t="s">
        <v>2641</v>
      </c>
      <c r="J193" s="2" t="s">
        <v>1045</v>
      </c>
      <c r="K193" s="2">
        <f t="shared" si="21"/>
        <v>42997490.684592895</v>
      </c>
      <c r="L193" s="2" t="s">
        <v>2642</v>
      </c>
      <c r="M193" s="2" t="s">
        <v>2578</v>
      </c>
      <c r="N193" s="2" t="s">
        <v>2143</v>
      </c>
      <c r="O193" s="2">
        <v>5500</v>
      </c>
      <c r="P193" s="2">
        <v>115.58311462402339</v>
      </c>
      <c r="Q193" s="2">
        <v>107.793098449707</v>
      </c>
      <c r="R193" s="2">
        <f>O193*P193</f>
        <v>635707.13043212867</v>
      </c>
      <c r="S193" s="2">
        <f>O193*Q193</f>
        <v>592862.04147338856</v>
      </c>
      <c r="T193" s="2">
        <f>R193+S193</f>
        <v>1228569.1719055171</v>
      </c>
      <c r="U193" s="2">
        <f>ROUND(T193*0.0005, 2)</f>
        <v>614.28</v>
      </c>
      <c r="V193" s="2">
        <f>S193-R193</f>
        <v>-42845.088958740118</v>
      </c>
      <c r="W193" s="2">
        <f>V193-U193</f>
        <v>-43459.368958740117</v>
      </c>
      <c r="X193" s="2">
        <f>K193+W193</f>
        <v>42954031.315634154</v>
      </c>
      <c r="Y193" s="2">
        <f>ROUND(0.2*R193, 2)</f>
        <v>127141.43</v>
      </c>
      <c r="Z193" s="2">
        <f>ROUND((W193/Y193)*100, 2)</f>
        <v>-34.18</v>
      </c>
      <c r="AA193" s="2">
        <f>MAX(AA192, X193)</f>
        <v>43003261.863406375</v>
      </c>
      <c r="AB193" s="2">
        <f>X193-AA193</f>
        <v>-49230.547772221267</v>
      </c>
    </row>
    <row r="194" spans="1:28">
      <c r="A194" s="2">
        <v>191</v>
      </c>
      <c r="B194" s="2" t="s">
        <v>854</v>
      </c>
      <c r="C194" s="2" t="s">
        <v>2564</v>
      </c>
      <c r="D194" s="4" t="s">
        <v>61</v>
      </c>
      <c r="E194" s="3" t="s">
        <v>38</v>
      </c>
      <c r="F194" s="2" t="s">
        <v>855</v>
      </c>
      <c r="G194" s="2" t="s">
        <v>169</v>
      </c>
      <c r="H194" s="2" t="s">
        <v>856</v>
      </c>
      <c r="I194" s="2" t="s">
        <v>437</v>
      </c>
      <c r="J194" s="2" t="s">
        <v>1777</v>
      </c>
      <c r="K194" s="2">
        <f t="shared" si="21"/>
        <v>42954031.315634154</v>
      </c>
      <c r="L194" s="2" t="s">
        <v>2608</v>
      </c>
      <c r="M194" s="2" t="s">
        <v>2621</v>
      </c>
      <c r="N194" s="2" t="s">
        <v>2609</v>
      </c>
      <c r="O194" s="2">
        <v>175</v>
      </c>
      <c r="P194" s="2">
        <v>3212.794189453125</v>
      </c>
      <c r="Q194" s="2">
        <v>3043.3173828125</v>
      </c>
      <c r="R194" s="2">
        <f>O194*P194</f>
        <v>562238.98315429687</v>
      </c>
      <c r="S194" s="2">
        <f>O194*Q194</f>
        <v>532580.5419921875</v>
      </c>
      <c r="T194" s="2">
        <f>R194+S194</f>
        <v>1094819.5251464844</v>
      </c>
      <c r="U194" s="2">
        <f>ROUND(T194*0.0005, 2)</f>
        <v>547.41</v>
      </c>
      <c r="V194" s="2">
        <f>S194-R194</f>
        <v>-29658.441162109375</v>
      </c>
      <c r="W194" s="2">
        <f>V194-U194</f>
        <v>-30205.851162109375</v>
      </c>
      <c r="X194" s="2">
        <f>K194+W194</f>
        <v>42923825.464472048</v>
      </c>
      <c r="Y194" s="2">
        <f>ROUND(0.2*R194, 2)</f>
        <v>112447.8</v>
      </c>
      <c r="Z194" s="2">
        <f>ROUND((W194/Y194)*100, 2)</f>
        <v>-26.86</v>
      </c>
      <c r="AA194" s="2">
        <f>MAX(AA193, X194)</f>
        <v>43003261.863406375</v>
      </c>
      <c r="AB194" s="2">
        <f>X194-AA194</f>
        <v>-79436.398934327066</v>
      </c>
    </row>
    <row r="195" spans="1:28">
      <c r="A195" s="2">
        <v>192</v>
      </c>
      <c r="B195" s="2" t="s">
        <v>860</v>
      </c>
      <c r="C195" s="2" t="s">
        <v>2564</v>
      </c>
      <c r="D195" s="4" t="s">
        <v>61</v>
      </c>
      <c r="E195" s="3" t="s">
        <v>38</v>
      </c>
      <c r="F195" s="2" t="s">
        <v>861</v>
      </c>
      <c r="G195" s="2" t="s">
        <v>177</v>
      </c>
      <c r="H195" s="2" t="s">
        <v>862</v>
      </c>
      <c r="I195" s="2" t="s">
        <v>1742</v>
      </c>
      <c r="J195" s="2" t="s">
        <v>2577</v>
      </c>
      <c r="K195" s="2">
        <f t="shared" si="21"/>
        <v>42923825.464472048</v>
      </c>
      <c r="L195" s="2" t="s">
        <v>2170</v>
      </c>
      <c r="M195" s="2" t="s">
        <v>2144</v>
      </c>
      <c r="N195" s="2" t="s">
        <v>2169</v>
      </c>
      <c r="O195" s="2">
        <v>600</v>
      </c>
      <c r="P195" s="2">
        <v>1044.744384765625</v>
      </c>
      <c r="Q195" s="2">
        <v>1054.638549804688</v>
      </c>
      <c r="R195" s="2">
        <f>O195*P195</f>
        <v>626846.630859375</v>
      </c>
      <c r="S195" s="2">
        <f>O195*Q195</f>
        <v>632783.12988281273</v>
      </c>
      <c r="T195" s="2">
        <f>R195+S195</f>
        <v>1259629.7607421877</v>
      </c>
      <c r="U195" s="2">
        <f>ROUND(T195*0.0005, 2)</f>
        <v>629.80999999999995</v>
      </c>
      <c r="V195" s="2">
        <f>S195-R195</f>
        <v>5936.4990234377328</v>
      </c>
      <c r="W195" s="2">
        <f>V195-U195</f>
        <v>5306.6890234377333</v>
      </c>
      <c r="X195" s="2">
        <f>K195+W195</f>
        <v>42929132.153495483</v>
      </c>
      <c r="Y195" s="2">
        <f>ROUND(0.2*R195, 2)</f>
        <v>125369.33</v>
      </c>
      <c r="Z195" s="2">
        <f>ROUND((W195/Y195)*100, 2)</f>
        <v>4.2300000000000004</v>
      </c>
      <c r="AA195" s="2">
        <f>MAX(AA194, X195)</f>
        <v>43003261.863406375</v>
      </c>
      <c r="AB195" s="2">
        <f>X195-AA195</f>
        <v>-74129.70991089195</v>
      </c>
    </row>
    <row r="196" spans="1:28">
      <c r="A196" s="2">
        <v>193</v>
      </c>
      <c r="B196" s="2" t="s">
        <v>865</v>
      </c>
      <c r="C196" s="2" t="s">
        <v>2564</v>
      </c>
      <c r="D196" s="4" t="s">
        <v>61</v>
      </c>
      <c r="E196" s="5" t="s">
        <v>134</v>
      </c>
      <c r="F196" s="2" t="s">
        <v>135</v>
      </c>
      <c r="G196" s="2" t="s">
        <v>169</v>
      </c>
      <c r="H196" s="6" t="s">
        <v>1195</v>
      </c>
      <c r="I196" s="6" t="s">
        <v>1195</v>
      </c>
      <c r="J196" s="6" t="s">
        <v>1195</v>
      </c>
      <c r="K196" s="2">
        <f t="shared" si="21"/>
        <v>42929132.153495483</v>
      </c>
      <c r="L196" s="6" t="s">
        <v>1195</v>
      </c>
      <c r="M196" s="6" t="s">
        <v>1195</v>
      </c>
      <c r="N196" s="6" t="s">
        <v>1195</v>
      </c>
      <c r="O196" s="2">
        <v>371</v>
      </c>
      <c r="P196" s="6" t="s">
        <v>1195</v>
      </c>
      <c r="Q196" s="6" t="s">
        <v>1195</v>
      </c>
      <c r="R196" s="6" t="s">
        <v>1195</v>
      </c>
      <c r="S196" s="6" t="s">
        <v>1195</v>
      </c>
      <c r="T196" s="6" t="s">
        <v>1195</v>
      </c>
      <c r="U196" s="6" t="s">
        <v>1195</v>
      </c>
      <c r="V196" s="6" t="s">
        <v>1195</v>
      </c>
      <c r="W196" s="6" t="s">
        <v>1195</v>
      </c>
      <c r="X196" s="2">
        <f>K196</f>
        <v>42929132.153495483</v>
      </c>
      <c r="Y196" s="6" t="s">
        <v>1195</v>
      </c>
      <c r="Z196" s="6" t="s">
        <v>1195</v>
      </c>
      <c r="AA196" s="2">
        <f>AA195</f>
        <v>43003261.863406375</v>
      </c>
      <c r="AB196" s="2">
        <v>0</v>
      </c>
    </row>
    <row r="197" spans="1:28">
      <c r="A197" s="2">
        <v>194</v>
      </c>
      <c r="B197" s="2" t="s">
        <v>868</v>
      </c>
      <c r="C197" s="2" t="s">
        <v>2564</v>
      </c>
      <c r="D197" s="4" t="s">
        <v>61</v>
      </c>
      <c r="E197" s="3" t="s">
        <v>38</v>
      </c>
      <c r="F197" s="2" t="s">
        <v>869</v>
      </c>
      <c r="G197" s="2" t="s">
        <v>63</v>
      </c>
      <c r="H197" s="2" t="s">
        <v>870</v>
      </c>
      <c r="I197" s="2" t="s">
        <v>993</v>
      </c>
      <c r="J197" s="2" t="s">
        <v>495</v>
      </c>
      <c r="K197" s="2">
        <f t="shared" ref="K197:K214" si="26">X196</f>
        <v>42929132.153495483</v>
      </c>
      <c r="L197" s="2" t="s">
        <v>2207</v>
      </c>
      <c r="M197" s="2" t="s">
        <v>2643</v>
      </c>
      <c r="N197" s="2" t="s">
        <v>2207</v>
      </c>
      <c r="O197" s="2">
        <v>175</v>
      </c>
      <c r="P197" s="2">
        <v>2722.82275390625</v>
      </c>
      <c r="Q197" s="2">
        <v>2713.4921875</v>
      </c>
      <c r="R197" s="2">
        <f>O197*P197</f>
        <v>476493.98193359375</v>
      </c>
      <c r="S197" s="2">
        <f>O197*Q197</f>
        <v>474861.1328125</v>
      </c>
      <c r="T197" s="2">
        <f>R197+S197</f>
        <v>951355.11474609375</v>
      </c>
      <c r="U197" s="2">
        <f>ROUND(T197*0.0005, 2)</f>
        <v>475.68</v>
      </c>
      <c r="V197" s="2">
        <f>S197-R197</f>
        <v>-1632.84912109375</v>
      </c>
      <c r="W197" s="2">
        <f>V197-U197</f>
        <v>-2108.5291210937498</v>
      </c>
      <c r="X197" s="2">
        <f>K197+W197</f>
        <v>42927023.62437439</v>
      </c>
      <c r="Y197" s="2">
        <f>ROUND(0.2*R197, 2)</f>
        <v>95298.8</v>
      </c>
      <c r="Z197" s="2">
        <f>ROUND((W197/Y197)*100, 2)</f>
        <v>-2.21</v>
      </c>
      <c r="AA197" s="2">
        <f>MAX(AA196, X197)</f>
        <v>43003261.863406375</v>
      </c>
      <c r="AB197" s="2">
        <f>X197-AA197</f>
        <v>-76238.239031985402</v>
      </c>
    </row>
    <row r="198" spans="1:28">
      <c r="A198" s="2">
        <v>195</v>
      </c>
      <c r="B198" s="2" t="s">
        <v>873</v>
      </c>
      <c r="C198" s="2" t="s">
        <v>2564</v>
      </c>
      <c r="D198" s="4" t="s">
        <v>61</v>
      </c>
      <c r="E198" s="5" t="s">
        <v>134</v>
      </c>
      <c r="F198" s="2" t="s">
        <v>874</v>
      </c>
      <c r="G198" s="2" t="s">
        <v>177</v>
      </c>
      <c r="H198" s="6" t="s">
        <v>1195</v>
      </c>
      <c r="I198" s="6" t="s">
        <v>1195</v>
      </c>
      <c r="J198" s="6" t="s">
        <v>1195</v>
      </c>
      <c r="K198" s="2">
        <f t="shared" si="26"/>
        <v>42927023.62437439</v>
      </c>
      <c r="L198" s="6" t="s">
        <v>1195</v>
      </c>
      <c r="M198" s="6" t="s">
        <v>1195</v>
      </c>
      <c r="N198" s="6" t="s">
        <v>1195</v>
      </c>
      <c r="O198" s="2">
        <v>3054</v>
      </c>
      <c r="P198" s="6" t="s">
        <v>1195</v>
      </c>
      <c r="Q198" s="6" t="s">
        <v>1195</v>
      </c>
      <c r="R198" s="6" t="s">
        <v>1195</v>
      </c>
      <c r="S198" s="6" t="s">
        <v>1195</v>
      </c>
      <c r="T198" s="6" t="s">
        <v>1195</v>
      </c>
      <c r="U198" s="6" t="s">
        <v>1195</v>
      </c>
      <c r="V198" s="6" t="s">
        <v>1195</v>
      </c>
      <c r="W198" s="6" t="s">
        <v>1195</v>
      </c>
      <c r="X198" s="2">
        <f>K198</f>
        <v>42927023.62437439</v>
      </c>
      <c r="Y198" s="6" t="s">
        <v>1195</v>
      </c>
      <c r="Z198" s="6" t="s">
        <v>1195</v>
      </c>
      <c r="AA198" s="2">
        <f>AA197</f>
        <v>43003261.863406375</v>
      </c>
      <c r="AB198" s="2">
        <v>0</v>
      </c>
    </row>
    <row r="199" spans="1:28">
      <c r="A199" s="2">
        <v>196</v>
      </c>
      <c r="B199" s="2" t="s">
        <v>878</v>
      </c>
      <c r="C199" s="2" t="s">
        <v>2564</v>
      </c>
      <c r="D199" s="3" t="s">
        <v>37</v>
      </c>
      <c r="E199" s="5" t="s">
        <v>134</v>
      </c>
      <c r="F199" s="2" t="s">
        <v>135</v>
      </c>
      <c r="G199" s="2" t="s">
        <v>127</v>
      </c>
      <c r="H199" s="6" t="s">
        <v>1195</v>
      </c>
      <c r="I199" s="6" t="s">
        <v>1195</v>
      </c>
      <c r="J199" s="6" t="s">
        <v>1195</v>
      </c>
      <c r="K199" s="2">
        <f t="shared" si="26"/>
        <v>42927023.62437439</v>
      </c>
      <c r="L199" s="6" t="s">
        <v>1195</v>
      </c>
      <c r="M199" s="6" t="s">
        <v>1195</v>
      </c>
      <c r="N199" s="6" t="s">
        <v>1195</v>
      </c>
      <c r="O199" s="2">
        <v>205</v>
      </c>
      <c r="P199" s="6" t="s">
        <v>1195</v>
      </c>
      <c r="Q199" s="6" t="s">
        <v>1195</v>
      </c>
      <c r="R199" s="6" t="s">
        <v>1195</v>
      </c>
      <c r="S199" s="6" t="s">
        <v>1195</v>
      </c>
      <c r="T199" s="6" t="s">
        <v>1195</v>
      </c>
      <c r="U199" s="6" t="s">
        <v>1195</v>
      </c>
      <c r="V199" s="6" t="s">
        <v>1195</v>
      </c>
      <c r="W199" s="6" t="s">
        <v>1195</v>
      </c>
      <c r="X199" s="2">
        <f>K199</f>
        <v>42927023.62437439</v>
      </c>
      <c r="Y199" s="6" t="s">
        <v>1195</v>
      </c>
      <c r="Z199" s="6" t="s">
        <v>1195</v>
      </c>
      <c r="AA199" s="2">
        <f>AA198</f>
        <v>43003261.863406375</v>
      </c>
      <c r="AB199" s="2">
        <v>0</v>
      </c>
    </row>
    <row r="200" spans="1:28">
      <c r="A200" s="2">
        <v>197</v>
      </c>
      <c r="B200" s="2" t="s">
        <v>881</v>
      </c>
      <c r="C200" s="2" t="s">
        <v>2564</v>
      </c>
      <c r="D200" s="3" t="s">
        <v>37</v>
      </c>
      <c r="E200" s="3" t="s">
        <v>38</v>
      </c>
      <c r="F200" s="2" t="s">
        <v>882</v>
      </c>
      <c r="G200" s="2" t="s">
        <v>177</v>
      </c>
      <c r="H200" s="2" t="s">
        <v>883</v>
      </c>
      <c r="I200" s="2" t="s">
        <v>825</v>
      </c>
      <c r="J200" s="2" t="s">
        <v>2016</v>
      </c>
      <c r="K200" s="2">
        <f t="shared" si="26"/>
        <v>42927023.62437439</v>
      </c>
      <c r="L200" s="2" t="s">
        <v>2158</v>
      </c>
      <c r="M200" s="2" t="s">
        <v>2644</v>
      </c>
      <c r="N200" s="2" t="s">
        <v>2119</v>
      </c>
      <c r="O200" s="2">
        <v>345</v>
      </c>
      <c r="P200" s="2">
        <v>1709.402221679688</v>
      </c>
      <c r="Q200" s="2">
        <v>1969.847412109375</v>
      </c>
      <c r="R200" s="2">
        <f>O200*P200</f>
        <v>589743.7664794923</v>
      </c>
      <c r="S200" s="2">
        <f>O200*Q200</f>
        <v>679597.35717773437</v>
      </c>
      <c r="T200" s="2">
        <f>R200+S200</f>
        <v>1269341.1236572266</v>
      </c>
      <c r="U200" s="2">
        <f>ROUND(T200*0.0005, 2)</f>
        <v>634.66999999999996</v>
      </c>
      <c r="V200" s="2">
        <f>S200-R200</f>
        <v>89853.590698242071</v>
      </c>
      <c r="W200" s="2">
        <f>V200-U200</f>
        <v>89218.920698242073</v>
      </c>
      <c r="X200" s="2">
        <f>K200+W200</f>
        <v>43016242.54507263</v>
      </c>
      <c r="Y200" s="2">
        <f>ROUND(0.2*R200, 2)</f>
        <v>117948.75</v>
      </c>
      <c r="Z200" s="2">
        <f>ROUND((W200/Y200)*100, 2)</f>
        <v>75.64</v>
      </c>
      <c r="AA200" s="2">
        <f>MAX(AA199, X200)</f>
        <v>43016242.54507263</v>
      </c>
      <c r="AB200" s="2">
        <f>X200-AA200</f>
        <v>0</v>
      </c>
    </row>
    <row r="201" spans="1:28">
      <c r="A201" s="2">
        <v>198</v>
      </c>
      <c r="B201" s="2" t="s">
        <v>886</v>
      </c>
      <c r="C201" s="2" t="s">
        <v>2564</v>
      </c>
      <c r="D201" s="4" t="s">
        <v>61</v>
      </c>
      <c r="E201" s="5" t="s">
        <v>134</v>
      </c>
      <c r="F201" s="2" t="s">
        <v>135</v>
      </c>
      <c r="G201" s="2" t="s">
        <v>169</v>
      </c>
      <c r="H201" s="6" t="s">
        <v>1195</v>
      </c>
      <c r="I201" s="6" t="s">
        <v>1195</v>
      </c>
      <c r="J201" s="6" t="s">
        <v>1195</v>
      </c>
      <c r="K201" s="2">
        <f t="shared" si="26"/>
        <v>43016242.54507263</v>
      </c>
      <c r="L201" s="6" t="s">
        <v>1195</v>
      </c>
      <c r="M201" s="6" t="s">
        <v>1195</v>
      </c>
      <c r="N201" s="6" t="s">
        <v>1195</v>
      </c>
      <c r="O201" s="2">
        <v>237</v>
      </c>
      <c r="P201" s="6" t="s">
        <v>1195</v>
      </c>
      <c r="Q201" s="6" t="s">
        <v>1195</v>
      </c>
      <c r="R201" s="6" t="s">
        <v>1195</v>
      </c>
      <c r="S201" s="6" t="s">
        <v>1195</v>
      </c>
      <c r="T201" s="6" t="s">
        <v>1195</v>
      </c>
      <c r="U201" s="6" t="s">
        <v>1195</v>
      </c>
      <c r="V201" s="6" t="s">
        <v>1195</v>
      </c>
      <c r="W201" s="6" t="s">
        <v>1195</v>
      </c>
      <c r="X201" s="2">
        <f>K201</f>
        <v>43016242.54507263</v>
      </c>
      <c r="Y201" s="6" t="s">
        <v>1195</v>
      </c>
      <c r="Z201" s="6" t="s">
        <v>1195</v>
      </c>
      <c r="AA201" s="2">
        <f>AA200</f>
        <v>43016242.54507263</v>
      </c>
      <c r="AB201" s="2">
        <v>0</v>
      </c>
    </row>
    <row r="202" spans="1:28">
      <c r="A202" s="2">
        <v>199</v>
      </c>
      <c r="B202" s="2" t="s">
        <v>890</v>
      </c>
      <c r="C202" s="2" t="s">
        <v>2564</v>
      </c>
      <c r="D202" s="4" t="s">
        <v>61</v>
      </c>
      <c r="E202" s="3" t="s">
        <v>38</v>
      </c>
      <c r="F202" s="2" t="s">
        <v>891</v>
      </c>
      <c r="G202" s="2" t="s">
        <v>103</v>
      </c>
      <c r="H202" s="2" t="s">
        <v>619</v>
      </c>
      <c r="I202" s="2" t="s">
        <v>650</v>
      </c>
      <c r="J202" s="2" t="s">
        <v>2310</v>
      </c>
      <c r="K202" s="2">
        <f t="shared" si="26"/>
        <v>43016242.54507263</v>
      </c>
      <c r="L202" s="2" t="s">
        <v>2059</v>
      </c>
      <c r="M202" s="2" t="s">
        <v>1987</v>
      </c>
      <c r="N202" s="2" t="s">
        <v>2058</v>
      </c>
      <c r="O202" s="2">
        <v>100</v>
      </c>
      <c r="P202" s="2">
        <v>8110.33984375</v>
      </c>
      <c r="Q202" s="2">
        <v>8267.2578125</v>
      </c>
      <c r="R202" s="2">
        <f>O202*P202</f>
        <v>811033.984375</v>
      </c>
      <c r="S202" s="2">
        <f>O202*Q202</f>
        <v>826725.78125</v>
      </c>
      <c r="T202" s="2">
        <f>R202+S202</f>
        <v>1637759.765625</v>
      </c>
      <c r="U202" s="2">
        <f>ROUND(T202*0.0005, 2)</f>
        <v>818.88</v>
      </c>
      <c r="V202" s="2">
        <f>S202-R202</f>
        <v>15691.796875</v>
      </c>
      <c r="W202" s="2">
        <f>V202-U202</f>
        <v>14872.916875000001</v>
      </c>
      <c r="X202" s="2">
        <f>K202+W202</f>
        <v>43031115.461947627</v>
      </c>
      <c r="Y202" s="2">
        <f>ROUND(0.2*R202, 2)</f>
        <v>162206.79999999999</v>
      </c>
      <c r="Z202" s="2">
        <f>ROUND((W202/Y202)*100, 2)</f>
        <v>9.17</v>
      </c>
      <c r="AA202" s="2">
        <f>MAX(AA201, X202)</f>
        <v>43031115.461947627</v>
      </c>
      <c r="AB202" s="2">
        <f>X202-AA202</f>
        <v>0</v>
      </c>
    </row>
    <row r="203" spans="1:28">
      <c r="A203" s="2">
        <v>200</v>
      </c>
      <c r="B203" s="2" t="s">
        <v>894</v>
      </c>
      <c r="C203" s="2" t="s">
        <v>2564</v>
      </c>
      <c r="D203" s="3" t="s">
        <v>37</v>
      </c>
      <c r="E203" s="5" t="s">
        <v>134</v>
      </c>
      <c r="F203" s="2" t="s">
        <v>135</v>
      </c>
      <c r="G203" s="2" t="s">
        <v>177</v>
      </c>
      <c r="H203" s="6" t="s">
        <v>1195</v>
      </c>
      <c r="I203" s="6" t="s">
        <v>1195</v>
      </c>
      <c r="J203" s="6" t="s">
        <v>1195</v>
      </c>
      <c r="K203" s="2">
        <f t="shared" si="26"/>
        <v>43031115.461947627</v>
      </c>
      <c r="L203" s="6" t="s">
        <v>1195</v>
      </c>
      <c r="M203" s="6" t="s">
        <v>1195</v>
      </c>
      <c r="N203" s="6" t="s">
        <v>1195</v>
      </c>
      <c r="O203" s="2">
        <v>5868</v>
      </c>
      <c r="P203" s="6" t="s">
        <v>1195</v>
      </c>
      <c r="Q203" s="6" t="s">
        <v>1195</v>
      </c>
      <c r="R203" s="6" t="s">
        <v>1195</v>
      </c>
      <c r="S203" s="6" t="s">
        <v>1195</v>
      </c>
      <c r="T203" s="6" t="s">
        <v>1195</v>
      </c>
      <c r="U203" s="6" t="s">
        <v>1195</v>
      </c>
      <c r="V203" s="6" t="s">
        <v>1195</v>
      </c>
      <c r="W203" s="6" t="s">
        <v>1195</v>
      </c>
      <c r="X203" s="2">
        <f t="shared" ref="X203:X211" si="27">K203</f>
        <v>43031115.461947627</v>
      </c>
      <c r="Y203" s="6" t="s">
        <v>1195</v>
      </c>
      <c r="Z203" s="6" t="s">
        <v>1195</v>
      </c>
      <c r="AA203" s="2">
        <f t="shared" ref="AA203:AA211" si="28">AA202</f>
        <v>43031115.461947627</v>
      </c>
      <c r="AB203" s="2">
        <v>0</v>
      </c>
    </row>
    <row r="204" spans="1:28">
      <c r="A204" s="2">
        <v>201</v>
      </c>
      <c r="B204" s="2" t="s">
        <v>897</v>
      </c>
      <c r="C204" s="2" t="s">
        <v>2564</v>
      </c>
      <c r="D204" s="4" t="s">
        <v>61</v>
      </c>
      <c r="E204" s="5" t="s">
        <v>134</v>
      </c>
      <c r="F204" s="2" t="s">
        <v>135</v>
      </c>
      <c r="G204" s="2" t="s">
        <v>241</v>
      </c>
      <c r="H204" s="6" t="s">
        <v>1195</v>
      </c>
      <c r="I204" s="6" t="s">
        <v>1195</v>
      </c>
      <c r="J204" s="6" t="s">
        <v>1195</v>
      </c>
      <c r="K204" s="2">
        <f t="shared" si="26"/>
        <v>43031115.461947627</v>
      </c>
      <c r="L204" s="6" t="s">
        <v>1195</v>
      </c>
      <c r="M204" s="6" t="s">
        <v>1195</v>
      </c>
      <c r="N204" s="6" t="s">
        <v>1195</v>
      </c>
      <c r="O204" s="2">
        <v>652</v>
      </c>
      <c r="P204" s="6" t="s">
        <v>1195</v>
      </c>
      <c r="Q204" s="6" t="s">
        <v>1195</v>
      </c>
      <c r="R204" s="6" t="s">
        <v>1195</v>
      </c>
      <c r="S204" s="6" t="s">
        <v>1195</v>
      </c>
      <c r="T204" s="6" t="s">
        <v>1195</v>
      </c>
      <c r="U204" s="6" t="s">
        <v>1195</v>
      </c>
      <c r="V204" s="6" t="s">
        <v>1195</v>
      </c>
      <c r="W204" s="6" t="s">
        <v>1195</v>
      </c>
      <c r="X204" s="2">
        <f t="shared" si="27"/>
        <v>43031115.461947627</v>
      </c>
      <c r="Y204" s="6" t="s">
        <v>1195</v>
      </c>
      <c r="Z204" s="6" t="s">
        <v>1195</v>
      </c>
      <c r="AA204" s="2">
        <f t="shared" si="28"/>
        <v>43031115.461947627</v>
      </c>
      <c r="AB204" s="2">
        <v>0</v>
      </c>
    </row>
    <row r="205" spans="1:28">
      <c r="A205" s="2">
        <v>202</v>
      </c>
      <c r="B205" s="2" t="s">
        <v>899</v>
      </c>
      <c r="C205" s="2" t="s">
        <v>2564</v>
      </c>
      <c r="D205" s="3" t="s">
        <v>37</v>
      </c>
      <c r="E205" s="5" t="s">
        <v>134</v>
      </c>
      <c r="F205" s="2" t="s">
        <v>135</v>
      </c>
      <c r="G205" s="2" t="s">
        <v>40</v>
      </c>
      <c r="H205" s="6" t="s">
        <v>1195</v>
      </c>
      <c r="I205" s="6" t="s">
        <v>1195</v>
      </c>
      <c r="J205" s="6" t="s">
        <v>1195</v>
      </c>
      <c r="K205" s="2">
        <f t="shared" si="26"/>
        <v>43031115.461947627</v>
      </c>
      <c r="L205" s="6" t="s">
        <v>1195</v>
      </c>
      <c r="M205" s="6" t="s">
        <v>1195</v>
      </c>
      <c r="N205" s="6" t="s">
        <v>1195</v>
      </c>
      <c r="O205" s="2">
        <v>852</v>
      </c>
      <c r="P205" s="6" t="s">
        <v>1195</v>
      </c>
      <c r="Q205" s="6" t="s">
        <v>1195</v>
      </c>
      <c r="R205" s="6" t="s">
        <v>1195</v>
      </c>
      <c r="S205" s="6" t="s">
        <v>1195</v>
      </c>
      <c r="T205" s="6" t="s">
        <v>1195</v>
      </c>
      <c r="U205" s="6" t="s">
        <v>1195</v>
      </c>
      <c r="V205" s="6" t="s">
        <v>1195</v>
      </c>
      <c r="W205" s="6" t="s">
        <v>1195</v>
      </c>
      <c r="X205" s="2">
        <f t="shared" si="27"/>
        <v>43031115.461947627</v>
      </c>
      <c r="Y205" s="6" t="s">
        <v>1195</v>
      </c>
      <c r="Z205" s="6" t="s">
        <v>1195</v>
      </c>
      <c r="AA205" s="2">
        <f t="shared" si="28"/>
        <v>43031115.461947627</v>
      </c>
      <c r="AB205" s="2">
        <v>0</v>
      </c>
    </row>
    <row r="206" spans="1:28">
      <c r="A206" s="2">
        <v>203</v>
      </c>
      <c r="B206" s="2" t="s">
        <v>902</v>
      </c>
      <c r="C206" s="2" t="s">
        <v>2564</v>
      </c>
      <c r="D206" s="4" t="s">
        <v>61</v>
      </c>
      <c r="E206" s="5" t="s">
        <v>134</v>
      </c>
      <c r="F206" s="2" t="s">
        <v>135</v>
      </c>
      <c r="G206" s="2" t="s">
        <v>241</v>
      </c>
      <c r="H206" s="6" t="s">
        <v>1195</v>
      </c>
      <c r="I206" s="6" t="s">
        <v>1195</v>
      </c>
      <c r="J206" s="6" t="s">
        <v>1195</v>
      </c>
      <c r="K206" s="2">
        <f t="shared" si="26"/>
        <v>43031115.461947627</v>
      </c>
      <c r="L206" s="6" t="s">
        <v>1195</v>
      </c>
      <c r="M206" s="6" t="s">
        <v>1195</v>
      </c>
      <c r="N206" s="6" t="s">
        <v>1195</v>
      </c>
      <c r="O206" s="2">
        <v>1659</v>
      </c>
      <c r="P206" s="6" t="s">
        <v>1195</v>
      </c>
      <c r="Q206" s="6" t="s">
        <v>1195</v>
      </c>
      <c r="R206" s="6" t="s">
        <v>1195</v>
      </c>
      <c r="S206" s="6" t="s">
        <v>1195</v>
      </c>
      <c r="T206" s="6" t="s">
        <v>1195</v>
      </c>
      <c r="U206" s="6" t="s">
        <v>1195</v>
      </c>
      <c r="V206" s="6" t="s">
        <v>1195</v>
      </c>
      <c r="W206" s="6" t="s">
        <v>1195</v>
      </c>
      <c r="X206" s="2">
        <f t="shared" si="27"/>
        <v>43031115.461947627</v>
      </c>
      <c r="Y206" s="6" t="s">
        <v>1195</v>
      </c>
      <c r="Z206" s="6" t="s">
        <v>1195</v>
      </c>
      <c r="AA206" s="2">
        <f t="shared" si="28"/>
        <v>43031115.461947627</v>
      </c>
      <c r="AB206" s="2">
        <v>0</v>
      </c>
    </row>
    <row r="207" spans="1:28">
      <c r="A207" s="2">
        <v>204</v>
      </c>
      <c r="B207" s="2" t="s">
        <v>906</v>
      </c>
      <c r="C207" s="2" t="s">
        <v>2564</v>
      </c>
      <c r="D207" s="4" t="s">
        <v>61</v>
      </c>
      <c r="E207" s="5" t="s">
        <v>134</v>
      </c>
      <c r="F207" s="2" t="s">
        <v>135</v>
      </c>
      <c r="G207" s="2" t="s">
        <v>77</v>
      </c>
      <c r="H207" s="6" t="s">
        <v>1195</v>
      </c>
      <c r="I207" s="6" t="s">
        <v>1195</v>
      </c>
      <c r="J207" s="6" t="s">
        <v>1195</v>
      </c>
      <c r="K207" s="2">
        <f t="shared" si="26"/>
        <v>43031115.461947627</v>
      </c>
      <c r="L207" s="6" t="s">
        <v>1195</v>
      </c>
      <c r="M207" s="6" t="s">
        <v>1195</v>
      </c>
      <c r="N207" s="6" t="s">
        <v>1195</v>
      </c>
      <c r="O207" s="2">
        <v>2215</v>
      </c>
      <c r="P207" s="6" t="s">
        <v>1195</v>
      </c>
      <c r="Q207" s="6" t="s">
        <v>1195</v>
      </c>
      <c r="R207" s="6" t="s">
        <v>1195</v>
      </c>
      <c r="S207" s="6" t="s">
        <v>1195</v>
      </c>
      <c r="T207" s="6" t="s">
        <v>1195</v>
      </c>
      <c r="U207" s="6" t="s">
        <v>1195</v>
      </c>
      <c r="V207" s="6" t="s">
        <v>1195</v>
      </c>
      <c r="W207" s="6" t="s">
        <v>1195</v>
      </c>
      <c r="X207" s="2">
        <f t="shared" si="27"/>
        <v>43031115.461947627</v>
      </c>
      <c r="Y207" s="6" t="s">
        <v>1195</v>
      </c>
      <c r="Z207" s="6" t="s">
        <v>1195</v>
      </c>
      <c r="AA207" s="2">
        <f t="shared" si="28"/>
        <v>43031115.461947627</v>
      </c>
      <c r="AB207" s="2">
        <v>0</v>
      </c>
    </row>
    <row r="208" spans="1:28">
      <c r="A208" s="2">
        <v>205</v>
      </c>
      <c r="B208" s="2" t="s">
        <v>910</v>
      </c>
      <c r="C208" s="2" t="s">
        <v>2564</v>
      </c>
      <c r="D208" s="3" t="s">
        <v>37</v>
      </c>
      <c r="E208" s="5" t="s">
        <v>134</v>
      </c>
      <c r="F208" s="2" t="s">
        <v>135</v>
      </c>
      <c r="G208" s="2" t="s">
        <v>177</v>
      </c>
      <c r="H208" s="6" t="s">
        <v>1195</v>
      </c>
      <c r="I208" s="6" t="s">
        <v>1195</v>
      </c>
      <c r="J208" s="6" t="s">
        <v>1195</v>
      </c>
      <c r="K208" s="2">
        <f t="shared" si="26"/>
        <v>43031115.461947627</v>
      </c>
      <c r="L208" s="6" t="s">
        <v>1195</v>
      </c>
      <c r="M208" s="6" t="s">
        <v>1195</v>
      </c>
      <c r="N208" s="6" t="s">
        <v>1195</v>
      </c>
      <c r="O208" s="2">
        <v>3738</v>
      </c>
      <c r="P208" s="6" t="s">
        <v>1195</v>
      </c>
      <c r="Q208" s="6" t="s">
        <v>1195</v>
      </c>
      <c r="R208" s="6" t="s">
        <v>1195</v>
      </c>
      <c r="S208" s="6" t="s">
        <v>1195</v>
      </c>
      <c r="T208" s="6" t="s">
        <v>1195</v>
      </c>
      <c r="U208" s="6" t="s">
        <v>1195</v>
      </c>
      <c r="V208" s="6" t="s">
        <v>1195</v>
      </c>
      <c r="W208" s="6" t="s">
        <v>1195</v>
      </c>
      <c r="X208" s="2">
        <f t="shared" si="27"/>
        <v>43031115.461947627</v>
      </c>
      <c r="Y208" s="6" t="s">
        <v>1195</v>
      </c>
      <c r="Z208" s="6" t="s">
        <v>1195</v>
      </c>
      <c r="AA208" s="2">
        <f t="shared" si="28"/>
        <v>43031115.461947627</v>
      </c>
      <c r="AB208" s="2">
        <v>0</v>
      </c>
    </row>
    <row r="209" spans="1:28">
      <c r="A209" s="2">
        <v>206</v>
      </c>
      <c r="B209" s="2" t="s">
        <v>913</v>
      </c>
      <c r="C209" s="2" t="s">
        <v>2564</v>
      </c>
      <c r="D209" s="3" t="s">
        <v>37</v>
      </c>
      <c r="E209" s="5" t="s">
        <v>134</v>
      </c>
      <c r="F209" s="2" t="s">
        <v>846</v>
      </c>
      <c r="G209" s="2" t="s">
        <v>143</v>
      </c>
      <c r="H209" s="6" t="s">
        <v>1195</v>
      </c>
      <c r="I209" s="6" t="s">
        <v>1195</v>
      </c>
      <c r="J209" s="6" t="s">
        <v>1195</v>
      </c>
      <c r="K209" s="2">
        <f t="shared" si="26"/>
        <v>43031115.461947627</v>
      </c>
      <c r="L209" s="6" t="s">
        <v>1195</v>
      </c>
      <c r="M209" s="6" t="s">
        <v>1195</v>
      </c>
      <c r="N209" s="6" t="s">
        <v>1195</v>
      </c>
      <c r="O209" s="2">
        <v>9268</v>
      </c>
      <c r="P209" s="6" t="s">
        <v>1195</v>
      </c>
      <c r="Q209" s="6" t="s">
        <v>1195</v>
      </c>
      <c r="R209" s="6" t="s">
        <v>1195</v>
      </c>
      <c r="S209" s="6" t="s">
        <v>1195</v>
      </c>
      <c r="T209" s="6" t="s">
        <v>1195</v>
      </c>
      <c r="U209" s="6" t="s">
        <v>1195</v>
      </c>
      <c r="V209" s="6" t="s">
        <v>1195</v>
      </c>
      <c r="W209" s="6" t="s">
        <v>1195</v>
      </c>
      <c r="X209" s="2">
        <f t="shared" si="27"/>
        <v>43031115.461947627</v>
      </c>
      <c r="Y209" s="6" t="s">
        <v>1195</v>
      </c>
      <c r="Z209" s="6" t="s">
        <v>1195</v>
      </c>
      <c r="AA209" s="2">
        <f t="shared" si="28"/>
        <v>43031115.461947627</v>
      </c>
      <c r="AB209" s="2">
        <v>0</v>
      </c>
    </row>
    <row r="210" spans="1:28">
      <c r="A210" s="2">
        <v>207</v>
      </c>
      <c r="B210" s="2" t="s">
        <v>915</v>
      </c>
      <c r="C210" s="2" t="s">
        <v>2564</v>
      </c>
      <c r="D210" s="4" t="s">
        <v>61</v>
      </c>
      <c r="E210" s="5" t="s">
        <v>134</v>
      </c>
      <c r="F210" s="2" t="s">
        <v>135</v>
      </c>
      <c r="G210" s="2" t="s">
        <v>54</v>
      </c>
      <c r="H210" s="6" t="s">
        <v>1195</v>
      </c>
      <c r="I210" s="6" t="s">
        <v>1195</v>
      </c>
      <c r="J210" s="6" t="s">
        <v>1195</v>
      </c>
      <c r="K210" s="2">
        <f t="shared" si="26"/>
        <v>43031115.461947627</v>
      </c>
      <c r="L210" s="6" t="s">
        <v>1195</v>
      </c>
      <c r="M210" s="6" t="s">
        <v>1195</v>
      </c>
      <c r="N210" s="6" t="s">
        <v>1195</v>
      </c>
      <c r="O210" s="2">
        <v>750</v>
      </c>
      <c r="P210" s="6" t="s">
        <v>1195</v>
      </c>
      <c r="Q210" s="6" t="s">
        <v>1195</v>
      </c>
      <c r="R210" s="6" t="s">
        <v>1195</v>
      </c>
      <c r="S210" s="6" t="s">
        <v>1195</v>
      </c>
      <c r="T210" s="6" t="s">
        <v>1195</v>
      </c>
      <c r="U210" s="6" t="s">
        <v>1195</v>
      </c>
      <c r="V210" s="6" t="s">
        <v>1195</v>
      </c>
      <c r="W210" s="6" t="s">
        <v>1195</v>
      </c>
      <c r="X210" s="2">
        <f t="shared" si="27"/>
        <v>43031115.461947627</v>
      </c>
      <c r="Y210" s="6" t="s">
        <v>1195</v>
      </c>
      <c r="Z210" s="6" t="s">
        <v>1195</v>
      </c>
      <c r="AA210" s="2">
        <f t="shared" si="28"/>
        <v>43031115.461947627</v>
      </c>
      <c r="AB210" s="2">
        <v>0</v>
      </c>
    </row>
    <row r="211" spans="1:28">
      <c r="A211" s="2">
        <v>208</v>
      </c>
      <c r="B211" s="2" t="s">
        <v>918</v>
      </c>
      <c r="C211" s="2" t="s">
        <v>2564</v>
      </c>
      <c r="D211" s="4" t="s">
        <v>61</v>
      </c>
      <c r="E211" s="5" t="s">
        <v>134</v>
      </c>
      <c r="F211" s="2" t="s">
        <v>456</v>
      </c>
      <c r="G211" s="2" t="s">
        <v>150</v>
      </c>
      <c r="H211" s="6" t="s">
        <v>1195</v>
      </c>
      <c r="I211" s="6" t="s">
        <v>1195</v>
      </c>
      <c r="J211" s="6" t="s">
        <v>1195</v>
      </c>
      <c r="K211" s="2">
        <f t="shared" si="26"/>
        <v>43031115.461947627</v>
      </c>
      <c r="L211" s="6" t="s">
        <v>1195</v>
      </c>
      <c r="M211" s="6" t="s">
        <v>1195</v>
      </c>
      <c r="N211" s="6" t="s">
        <v>1195</v>
      </c>
      <c r="O211" s="2">
        <v>380</v>
      </c>
      <c r="P211" s="6" t="s">
        <v>1195</v>
      </c>
      <c r="Q211" s="6" t="s">
        <v>1195</v>
      </c>
      <c r="R211" s="6" t="s">
        <v>1195</v>
      </c>
      <c r="S211" s="6" t="s">
        <v>1195</v>
      </c>
      <c r="T211" s="6" t="s">
        <v>1195</v>
      </c>
      <c r="U211" s="6" t="s">
        <v>1195</v>
      </c>
      <c r="V211" s="6" t="s">
        <v>1195</v>
      </c>
      <c r="W211" s="6" t="s">
        <v>1195</v>
      </c>
      <c r="X211" s="2">
        <f t="shared" si="27"/>
        <v>43031115.461947627</v>
      </c>
      <c r="Y211" s="6" t="s">
        <v>1195</v>
      </c>
      <c r="Z211" s="6" t="s">
        <v>1195</v>
      </c>
      <c r="AA211" s="2">
        <f t="shared" si="28"/>
        <v>43031115.461947627</v>
      </c>
      <c r="AB211" s="2">
        <v>0</v>
      </c>
    </row>
    <row r="212" spans="1:28">
      <c r="A212" s="2">
        <v>209</v>
      </c>
      <c r="B212" s="2" t="s">
        <v>922</v>
      </c>
      <c r="C212" s="2" t="s">
        <v>2564</v>
      </c>
      <c r="D212" s="3" t="s">
        <v>37</v>
      </c>
      <c r="E212" s="3" t="s">
        <v>38</v>
      </c>
      <c r="F212" s="2" t="s">
        <v>507</v>
      </c>
      <c r="G212" s="2" t="s">
        <v>103</v>
      </c>
      <c r="H212" s="2" t="s">
        <v>907</v>
      </c>
      <c r="I212" s="2" t="s">
        <v>2645</v>
      </c>
      <c r="J212" s="2" t="s">
        <v>1341</v>
      </c>
      <c r="K212" s="2">
        <f t="shared" si="26"/>
        <v>43031115.461947627</v>
      </c>
      <c r="L212" s="2" t="s">
        <v>2608</v>
      </c>
      <c r="M212" s="2" t="s">
        <v>2596</v>
      </c>
      <c r="N212" s="2" t="s">
        <v>2642</v>
      </c>
      <c r="O212" s="2">
        <v>1500</v>
      </c>
      <c r="P212" s="2">
        <v>185.14018249511719</v>
      </c>
      <c r="Q212" s="2">
        <v>195.33610534667969</v>
      </c>
      <c r="R212" s="2">
        <f>O212*P212</f>
        <v>277710.27374267578</v>
      </c>
      <c r="S212" s="2">
        <f>O212*Q212</f>
        <v>293004.15802001953</v>
      </c>
      <c r="T212" s="2">
        <f>R212+S212</f>
        <v>570714.43176269531</v>
      </c>
      <c r="U212" s="2">
        <f>ROUND(T212*0.0005, 2)</f>
        <v>285.36</v>
      </c>
      <c r="V212" s="2">
        <f>S212-R212</f>
        <v>15293.88427734375</v>
      </c>
      <c r="W212" s="2">
        <f>V212-U212</f>
        <v>15008.524277343749</v>
      </c>
      <c r="X212" s="2">
        <f>K212+W212</f>
        <v>43046123.986224972</v>
      </c>
      <c r="Y212" s="2">
        <f>ROUND(0.2*R212, 2)</f>
        <v>55542.05</v>
      </c>
      <c r="Z212" s="2">
        <f>ROUND((W212/Y212)*100, 2)</f>
        <v>27.02</v>
      </c>
      <c r="AA212" s="2">
        <f>MAX(AA211, X212)</f>
        <v>43046123.986224972</v>
      </c>
      <c r="AB212" s="2">
        <f>X212-AA212</f>
        <v>0</v>
      </c>
    </row>
    <row r="213" spans="1:28">
      <c r="A213" s="2">
        <v>210</v>
      </c>
      <c r="B213" s="2" t="s">
        <v>925</v>
      </c>
      <c r="C213" s="2" t="s">
        <v>2564</v>
      </c>
      <c r="D213" s="4" t="s">
        <v>61</v>
      </c>
      <c r="E213" s="5" t="s">
        <v>134</v>
      </c>
      <c r="F213" s="2" t="s">
        <v>135</v>
      </c>
      <c r="G213" s="2" t="s">
        <v>150</v>
      </c>
      <c r="H213" s="6" t="s">
        <v>1195</v>
      </c>
      <c r="I213" s="6" t="s">
        <v>1195</v>
      </c>
      <c r="J213" s="6" t="s">
        <v>1195</v>
      </c>
      <c r="K213" s="2">
        <f t="shared" si="26"/>
        <v>43046123.986224972</v>
      </c>
      <c r="L213" s="6" t="s">
        <v>1195</v>
      </c>
      <c r="M213" s="6" t="s">
        <v>1195</v>
      </c>
      <c r="N213" s="6" t="s">
        <v>1195</v>
      </c>
      <c r="O213" s="2">
        <v>44365</v>
      </c>
      <c r="P213" s="6" t="s">
        <v>1195</v>
      </c>
      <c r="Q213" s="6" t="s">
        <v>1195</v>
      </c>
      <c r="R213" s="6" t="s">
        <v>1195</v>
      </c>
      <c r="S213" s="6" t="s">
        <v>1195</v>
      </c>
      <c r="T213" s="6" t="s">
        <v>1195</v>
      </c>
      <c r="U213" s="6" t="s">
        <v>1195</v>
      </c>
      <c r="V213" s="6" t="s">
        <v>1195</v>
      </c>
      <c r="W213" s="6" t="s">
        <v>1195</v>
      </c>
      <c r="X213" s="2">
        <f>K213</f>
        <v>43046123.986224972</v>
      </c>
      <c r="Y213" s="6" t="s">
        <v>1195</v>
      </c>
      <c r="Z213" s="6" t="s">
        <v>1195</v>
      </c>
      <c r="AA213" s="2">
        <f>AA212</f>
        <v>43046123.986224972</v>
      </c>
      <c r="AB213" s="2">
        <v>0</v>
      </c>
    </row>
    <row r="214" spans="1:28">
      <c r="A214" s="2">
        <v>211</v>
      </c>
      <c r="B214" s="2" t="s">
        <v>928</v>
      </c>
      <c r="C214" s="2" t="s">
        <v>2564</v>
      </c>
      <c r="D214" s="4" t="s">
        <v>61</v>
      </c>
      <c r="E214" s="5" t="s">
        <v>134</v>
      </c>
      <c r="F214" s="2" t="s">
        <v>135</v>
      </c>
      <c r="G214" s="2" t="s">
        <v>241</v>
      </c>
      <c r="H214" s="6" t="s">
        <v>1195</v>
      </c>
      <c r="I214" s="6" t="s">
        <v>1195</v>
      </c>
      <c r="J214" s="6" t="s">
        <v>1195</v>
      </c>
      <c r="K214" s="2">
        <f t="shared" si="26"/>
        <v>43046123.986224972</v>
      </c>
      <c r="L214" s="6" t="s">
        <v>1195</v>
      </c>
      <c r="M214" s="6" t="s">
        <v>1195</v>
      </c>
      <c r="N214" s="6" t="s">
        <v>1195</v>
      </c>
      <c r="O214" s="2">
        <v>896</v>
      </c>
      <c r="P214" s="6" t="s">
        <v>1195</v>
      </c>
      <c r="Q214" s="6" t="s">
        <v>1195</v>
      </c>
      <c r="R214" s="6" t="s">
        <v>1195</v>
      </c>
      <c r="S214" s="6" t="s">
        <v>1195</v>
      </c>
      <c r="T214" s="6" t="s">
        <v>1195</v>
      </c>
      <c r="U214" s="6" t="s">
        <v>1195</v>
      </c>
      <c r="V214" s="6" t="s">
        <v>1195</v>
      </c>
      <c r="W214" s="6" t="s">
        <v>1195</v>
      </c>
      <c r="X214" s="2">
        <f>K214</f>
        <v>43046123.986224972</v>
      </c>
      <c r="Y214" s="6" t="s">
        <v>1195</v>
      </c>
      <c r="Z214" s="6" t="s">
        <v>1195</v>
      </c>
      <c r="AA214" s="2">
        <f>AA213</f>
        <v>43046123.986224972</v>
      </c>
      <c r="AB214" s="2">
        <v>0</v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Performance Summary</vt:lpstr>
      <vt:lpstr>Q2 2026-27</vt:lpstr>
      <vt:lpstr>Q1 2026-27</vt:lpstr>
      <vt:lpstr>Q4 2025-26</vt:lpstr>
      <vt:lpstr>Q3 2025-26</vt:lpstr>
      <vt:lpstr>Q2 2025-26</vt:lpstr>
      <vt:lpstr>Q1 2025-26</vt:lpstr>
      <vt:lpstr>Q4 2024-25</vt:lpstr>
      <vt:lpstr>Q3 2024-25</vt:lpstr>
      <vt:lpstr>Q2 2024-25</vt:lpstr>
      <vt:lpstr>Q1 2024-25</vt:lpstr>
      <vt:lpstr>Q4 2023-24</vt:lpstr>
      <vt:lpstr>Q3 2023-24</vt:lpstr>
      <vt:lpstr>Q2 2023-24</vt:lpstr>
      <vt:lpstr>Q1 2023-24</vt:lpstr>
      <vt:lpstr>Q4 2022-23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PC2551</cp:lastModifiedBy>
  <dcterms:created xsi:type="dcterms:W3CDTF">2026-09-02T08:46:37Z</dcterms:created>
  <dcterms:modified xsi:type="dcterms:W3CDTF">2026-09-03T04:10:29Z</dcterms:modified>
</cp:coreProperties>
</file>