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0" autoFilterDateGrouping="1"/>
  </bookViews>
  <sheets>
    <sheet xmlns:r="http://schemas.openxmlformats.org/officeDocument/2006/relationships" name="FY26-27Q1_Result Behaviour" sheetId="1" state="visible" r:id="rId1"/>
  </sheets>
  <definedNames>
    <definedName name="_xlnm.Print_Titles" localSheetId="0">'FY26-27Q1_Result Behaviour'!$1:$2</definedName>
    <definedName name="_xlnm.Print_Area" localSheetId="0">'FY26-27Q1_Result Behaviour'!$A$1:$O$52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color rgb="FF008000"/>
      <sz val="11"/>
    </font>
    <font>
      <name val="Calibri"/>
      <i val="1"/>
      <color rgb="FFC00000"/>
      <sz val="11"/>
    </font>
    <font>
      <name val="Calibri"/>
      <i val="1"/>
      <color rgb="FF008000"/>
      <sz val="11"/>
    </font>
    <font>
      <name val="Calibri"/>
      <color rgb="FFC00000"/>
      <sz val="11"/>
    </font>
    <font>
      <name val="Calibri"/>
      <b val="1"/>
      <color rgb="FF7F6000"/>
      <sz val="11"/>
    </font>
    <font/>
    <font>
      <i val="1"/>
      <color rgb="009F9F9F"/>
    </font>
  </fonts>
  <fills count="3">
    <fill>
      <patternFill/>
    </fill>
    <fill>
      <patternFill patternType="gray125"/>
    </fill>
    <fill>
      <patternFill patternType="solid">
        <fgColor rgb="FFFFE699"/>
        <bgColor rgb="FFFFE699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1" pivotButton="0" quotePrefix="0" xfId="0"/>
    <xf numFmtId="0" fontId="0" fillId="0" borderId="4" pivotButton="0" quotePrefix="0" xfId="0"/>
    <xf numFmtId="2" fontId="1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2" fontId="1" fillId="0" borderId="8" pivotButton="0" quotePrefix="0" xfId="0"/>
    <xf numFmtId="0" fontId="0" fillId="0" borderId="8" pivotButton="0" quotePrefix="0" xfId="0"/>
    <xf numFmtId="0" fontId="0" fillId="0" borderId="10" pivotButton="0" quotePrefix="0" xfId="0"/>
    <xf numFmtId="2" fontId="1" fillId="0" borderId="11" pivotButton="0" quotePrefix="0" xfId="0"/>
    <xf numFmtId="0" fontId="0" fillId="0" borderId="11" pivotButton="0" quotePrefix="0" xfId="0"/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5" fontId="0" fillId="0" borderId="4" pivotButton="0" quotePrefix="0" xfId="0"/>
    <xf numFmtId="15" fontId="0" fillId="0" borderId="5" pivotButton="0" quotePrefix="0" xfId="0"/>
    <xf numFmtId="2" fontId="0" fillId="0" borderId="5" pivotButton="0" quotePrefix="0" xfId="0"/>
    <xf numFmtId="2" fontId="0" fillId="0" borderId="8" pivotButton="0" quotePrefix="0" xfId="0"/>
    <xf numFmtId="2" fontId="0" fillId="0" borderId="11" pivotButton="0" quotePrefix="0" xfId="0"/>
    <xf numFmtId="15" fontId="5" fillId="0" borderId="5" applyAlignment="1" pivotButton="0" quotePrefix="0" xfId="0">
      <alignment horizontal="center"/>
    </xf>
    <xf numFmtId="15" fontId="5" fillId="0" borderId="8" applyAlignment="1" pivotButton="0" quotePrefix="0" xfId="0">
      <alignment horizontal="center"/>
    </xf>
    <xf numFmtId="15" fontId="5" fillId="0" borderId="11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2" fontId="9" fillId="0" borderId="9" pivotButton="0" quotePrefix="0" xfId="0"/>
    <xf numFmtId="2" fontId="6" fillId="0" borderId="9" pivotButton="0" quotePrefix="0" xfId="0"/>
    <xf numFmtId="0" fontId="9" fillId="0" borderId="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2" fontId="6" fillId="0" borderId="12" pivotButton="0" quotePrefix="0" xfId="0"/>
    <xf numFmtId="15" fontId="10" fillId="2" borderId="5" pivotButton="0" quotePrefix="0" xfId="0"/>
    <xf numFmtId="15" fontId="10" fillId="2" borderId="8" applyAlignment="1" pivotButton="0" quotePrefix="0" xfId="0">
      <alignment horizontal="center"/>
    </xf>
    <xf numFmtId="15" fontId="10" fillId="2" borderId="4" pivotButton="0" quotePrefix="0" xfId="0"/>
    <xf numFmtId="0" fontId="2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center"/>
    </xf>
    <xf numFmtId="2" fontId="11" fillId="0" borderId="5" applyAlignment="1" pivotButton="0" quotePrefix="0" xfId="0">
      <alignment horizontal="center"/>
    </xf>
    <xf numFmtId="2" fontId="11" fillId="0" borderId="6" applyAlignment="1" pivotButton="0" quotePrefix="0" xfId="0">
      <alignment horizontal="right"/>
    </xf>
    <xf numFmtId="2" fontId="11" fillId="0" borderId="8" applyAlignment="1" pivotButton="0" quotePrefix="0" xfId="0">
      <alignment horizontal="center"/>
    </xf>
    <xf numFmtId="2" fontId="11" fillId="0" borderId="9" applyAlignment="1" pivotButton="0" quotePrefix="0" xfId="0">
      <alignment horizontal="right"/>
    </xf>
    <xf numFmtId="2" fontId="0" fillId="0" borderId="8" applyAlignment="1" pivotButton="0" quotePrefix="0" xfId="0">
      <alignment horizontal="center"/>
    </xf>
    <xf numFmtId="0" fontId="12" fillId="0" borderId="9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tabSelected="1" topLeftCell="B1" workbookViewId="0">
      <selection activeCell="K2" sqref="K2"/>
    </sheetView>
  </sheetViews>
  <sheetFormatPr baseColWidth="8" defaultRowHeight="15"/>
  <cols>
    <col width="40" bestFit="1" customWidth="1" min="1" max="1"/>
    <col width="13.7109375" bestFit="1" customWidth="1" min="2" max="2"/>
    <col width="8.5703125" bestFit="1" customWidth="1" min="3" max="3"/>
    <col width="23.28515625" bestFit="1" customWidth="1" style="21" min="4" max="4"/>
    <col width="20.85546875" bestFit="1" customWidth="1" style="21" min="5" max="5"/>
    <col width="19.140625" bestFit="1" customWidth="1" style="21" min="6" max="6"/>
    <col width="10" bestFit="1" customWidth="1" style="21" min="7" max="7"/>
    <col width="13.7109375" bestFit="1" customWidth="1" style="21" min="8" max="8"/>
    <col width="17.42578125" bestFit="1" customWidth="1" style="21" min="9" max="9"/>
    <col width="2.7109375" customWidth="1" min="10" max="10"/>
    <col width="11.42578125" bestFit="1" customWidth="1" min="11" max="11"/>
    <col width="10.140625" bestFit="1" customWidth="1" min="12" max="12"/>
    <col width="9.85546875" bestFit="1" customWidth="1" min="13" max="14"/>
    <col width="16.42578125" bestFit="1" customWidth="1" min="15" max="15"/>
  </cols>
  <sheetData>
    <row r="1" ht="21.75" customHeight="1" thickBot="1">
      <c r="A1" s="45" t="inlineStr">
        <is>
          <t>NIFTY 50 Stocks | Quarterly Results | Behaviour Analysis Engine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  <c r="K1" s="48" t="inlineStr">
        <is>
          <t>FY26-27 Q1 Result | Performance Review</t>
        </is>
      </c>
      <c r="L1" s="46" t="n"/>
      <c r="M1" s="46" t="n"/>
      <c r="N1" s="46" t="n"/>
      <c r="O1" s="47" t="n"/>
    </row>
    <row r="2" ht="16.5" customHeight="1" thickBot="1">
      <c r="A2" s="4" t="inlineStr">
        <is>
          <t>Company Name</t>
        </is>
      </c>
      <c r="B2" s="1" t="inlineStr">
        <is>
          <t xml:space="preserve">SYMBOL </t>
        </is>
      </c>
      <c r="C2" s="17" t="inlineStr">
        <is>
          <t>LTP</t>
        </is>
      </c>
      <c r="D2" s="17" t="inlineStr">
        <is>
          <t>FY26-27Q1 Result Date</t>
        </is>
      </c>
      <c r="E2" s="17" t="inlineStr">
        <is>
          <t>Buy Before(Candles)</t>
        </is>
      </c>
      <c r="F2" s="17" t="inlineStr">
        <is>
          <t>Sell After(Candles)</t>
        </is>
      </c>
      <c r="G2" s="17" t="inlineStr">
        <is>
          <t>Win Rate</t>
        </is>
      </c>
      <c r="H2" s="17" t="inlineStr">
        <is>
          <t>Holding Candles</t>
        </is>
      </c>
      <c r="I2" s="22" t="inlineStr">
        <is>
          <t>Expected Return</t>
        </is>
      </c>
      <c r="K2" s="4" t="inlineStr">
        <is>
          <t>Entry Date</t>
        </is>
      </c>
      <c r="L2" s="2" t="inlineStr">
        <is>
          <t>Buy Price</t>
        </is>
      </c>
      <c r="M2" s="2" t="inlineStr">
        <is>
          <t>Exit Date</t>
        </is>
      </c>
      <c r="N2" s="2" t="inlineStr">
        <is>
          <t>Sell Price</t>
        </is>
      </c>
      <c r="O2" s="3" t="inlineStr">
        <is>
          <t>Realised Return</t>
        </is>
      </c>
    </row>
    <row r="3">
      <c r="A3" s="5" t="inlineStr">
        <is>
          <t>Adani Enterprises Ltd.</t>
        </is>
      </c>
      <c r="B3" s="7" t="inlineStr">
        <is>
          <t>ADANIENT</t>
        </is>
      </c>
      <c r="C3" s="6" t="n">
        <v>3050</v>
      </c>
      <c r="D3" s="29" t="n">
        <v>46232</v>
      </c>
      <c r="E3" s="18" t="n">
        <v>7</v>
      </c>
      <c r="F3" s="18" t="n">
        <v>3</v>
      </c>
      <c r="G3" s="14" t="n">
        <v>65</v>
      </c>
      <c r="H3" s="14">
        <f>SUM(E3:F3)+1</f>
        <v/>
      </c>
      <c r="I3" s="32" t="n">
        <v>3.52</v>
      </c>
      <c r="K3" s="24" t="n">
        <v>46223</v>
      </c>
      <c r="L3" s="26" t="n">
        <v>3183.3</v>
      </c>
      <c r="M3" s="42" t="n">
        <v>46237</v>
      </c>
      <c r="N3" s="49" t="n">
        <v>3068</v>
      </c>
      <c r="O3" s="50" t="n">
        <v>-3.62</v>
      </c>
    </row>
    <row r="4">
      <c r="A4" s="8" t="inlineStr">
        <is>
          <t>Adani Ports and Special Economic Zone Ltd.</t>
        </is>
      </c>
      <c r="B4" s="10" t="inlineStr">
        <is>
          <t>ADANIPORTS</t>
        </is>
      </c>
      <c r="C4" s="9" t="n">
        <v>1661.5</v>
      </c>
      <c r="D4" s="30" t="n">
        <v>46232</v>
      </c>
      <c r="E4" s="19" t="n">
        <v>2</v>
      </c>
      <c r="F4" s="19" t="n">
        <v>5</v>
      </c>
      <c r="G4" s="15" t="n">
        <v>66</v>
      </c>
      <c r="H4" s="14">
        <f>SUM(E4:F4)+1</f>
        <v/>
      </c>
      <c r="I4" s="34" t="n">
        <v>1.15</v>
      </c>
      <c r="K4" s="24" t="n">
        <v>46230</v>
      </c>
      <c r="L4" s="27" t="n">
        <v>1770.4</v>
      </c>
      <c r="M4" s="42" t="n">
        <v>46239</v>
      </c>
      <c r="N4" s="51" t="n">
        <v>1700</v>
      </c>
      <c r="O4" s="52" t="n">
        <v>-3.98</v>
      </c>
    </row>
    <row r="5">
      <c r="A5" s="8" t="inlineStr">
        <is>
          <t>Apollo Hospitals Enterprise Ltd.</t>
        </is>
      </c>
      <c r="B5" s="10" t="inlineStr">
        <is>
          <t>APOLLOHOSP</t>
        </is>
      </c>
      <c r="C5" s="9" t="n">
        <v>8959</v>
      </c>
      <c r="D5" s="43" t="n">
        <v>46246</v>
      </c>
      <c r="E5" s="19" t="n">
        <v>2</v>
      </c>
      <c r="F5" s="19" t="n">
        <v>4</v>
      </c>
      <c r="G5" s="15" t="n">
        <v>74</v>
      </c>
      <c r="H5" s="14">
        <f>SUM(E5:F5)+1</f>
        <v/>
      </c>
      <c r="I5" s="34" t="n">
        <v>3.02</v>
      </c>
      <c r="K5" s="44" t="n">
        <v>46244</v>
      </c>
      <c r="L5" s="53" t="n">
        <v>8912</v>
      </c>
      <c r="M5" s="42" t="n">
        <v>46252</v>
      </c>
      <c r="N5" s="51" t="n">
        <v>8817</v>
      </c>
      <c r="O5" s="52" t="n">
        <v>-1.07</v>
      </c>
    </row>
    <row r="6">
      <c r="A6" s="8" t="inlineStr">
        <is>
          <t>Asian Paints Ltd.</t>
        </is>
      </c>
      <c r="B6" s="10" t="inlineStr">
        <is>
          <t>ASIANPAINT</t>
        </is>
      </c>
      <c r="C6" s="9" t="n">
        <v>2750</v>
      </c>
      <c r="D6" s="30" t="n">
        <v>46232</v>
      </c>
      <c r="E6" s="19" t="n">
        <v>8</v>
      </c>
      <c r="F6" s="19" t="n">
        <v>8</v>
      </c>
      <c r="G6" s="15" t="n">
        <v>58</v>
      </c>
      <c r="H6" s="14">
        <f>SUM(E6:F6)+1</f>
        <v/>
      </c>
      <c r="I6" s="34" t="n">
        <v>1.66</v>
      </c>
      <c r="K6" s="24" t="n">
        <v>46220</v>
      </c>
      <c r="L6" s="27" t="n">
        <v>2689</v>
      </c>
      <c r="M6" s="42" t="n">
        <v>46244</v>
      </c>
      <c r="N6" s="51" t="n">
        <v>2750</v>
      </c>
      <c r="O6" s="52" t="n">
        <v>2.27</v>
      </c>
    </row>
    <row r="7">
      <c r="A7" s="8" t="inlineStr">
        <is>
          <t>Axis Bank Ltd.</t>
        </is>
      </c>
      <c r="B7" s="10" t="inlineStr">
        <is>
          <t>AXISBANK</t>
        </is>
      </c>
      <c r="C7" s="9" t="n">
        <v>1230.8</v>
      </c>
      <c r="D7" s="30" t="n">
        <v>46221</v>
      </c>
      <c r="E7" s="19" t="n">
        <v>7</v>
      </c>
      <c r="F7" s="19" t="n">
        <v>8</v>
      </c>
      <c r="G7" s="15" t="n">
        <v>64</v>
      </c>
      <c r="H7" s="14">
        <f>SUM(E7:F7)+2</f>
        <v/>
      </c>
      <c r="I7" s="34" t="n">
        <v>2.59</v>
      </c>
      <c r="K7" s="24" t="n">
        <v>46211</v>
      </c>
      <c r="L7" s="27" t="n">
        <v>1297.6</v>
      </c>
      <c r="M7" s="25" t="n">
        <v>46232</v>
      </c>
      <c r="N7" s="27" t="n">
        <v>1235.4</v>
      </c>
      <c r="O7" s="37" t="n">
        <v>-4.79</v>
      </c>
    </row>
    <row r="8">
      <c r="A8" s="8" t="inlineStr">
        <is>
          <t>Bajaj Auto Ltd.</t>
        </is>
      </c>
      <c r="B8" s="10" t="inlineStr">
        <is>
          <t>BAJAJ-AUTO</t>
        </is>
      </c>
      <c r="C8" s="9" t="n">
        <v>11445</v>
      </c>
      <c r="D8" s="30" t="n">
        <v>46224</v>
      </c>
      <c r="E8" s="19" t="n">
        <v>8</v>
      </c>
      <c r="F8" s="19" t="n">
        <v>4</v>
      </c>
      <c r="G8" s="15" t="n">
        <v>68</v>
      </c>
      <c r="H8" s="14">
        <f>SUM(E8:F8)+1</f>
        <v/>
      </c>
      <c r="I8" s="34" t="n">
        <v>2.7</v>
      </c>
      <c r="K8" s="24" t="n">
        <v>46212</v>
      </c>
      <c r="L8" s="27" t="n">
        <v>10155</v>
      </c>
      <c r="M8" s="25" t="n">
        <v>46230</v>
      </c>
      <c r="N8" s="27" t="n">
        <v>11130</v>
      </c>
      <c r="O8" s="38" t="n">
        <v>9.6</v>
      </c>
    </row>
    <row r="9">
      <c r="A9" s="8" t="inlineStr">
        <is>
          <t>Bajaj Finserv Ltd.</t>
        </is>
      </c>
      <c r="B9" s="10" t="inlineStr">
        <is>
          <t>BAJAJFINSV</t>
        </is>
      </c>
      <c r="C9" s="9" t="n">
        <v>1909</v>
      </c>
      <c r="D9" s="30" t="n">
        <v>46234</v>
      </c>
      <c r="E9" s="19" t="n">
        <v>3</v>
      </c>
      <c r="F9" s="19" t="n">
        <v>1</v>
      </c>
      <c r="G9" s="15" t="n">
        <v>62</v>
      </c>
      <c r="H9" s="14">
        <f>SUM(E9:F9)+1</f>
        <v/>
      </c>
      <c r="I9" s="34" t="n">
        <v>1.48</v>
      </c>
      <c r="K9" s="24" t="n">
        <v>46231</v>
      </c>
      <c r="L9" s="27" t="n">
        <v>1927.9</v>
      </c>
      <c r="M9" s="42" t="n">
        <v>46237</v>
      </c>
      <c r="N9" s="51" t="n">
        <v>2096</v>
      </c>
      <c r="O9" s="52" t="n">
        <v>8.720000000000001</v>
      </c>
    </row>
    <row r="10">
      <c r="A10" s="8" t="inlineStr">
        <is>
          <t>Bajaj Finance Ltd.</t>
        </is>
      </c>
      <c r="B10" s="10" t="inlineStr">
        <is>
          <t>BAJFINANCE</t>
        </is>
      </c>
      <c r="C10" s="9" t="n">
        <v>1058</v>
      </c>
      <c r="D10" s="30" t="n">
        <v>46233</v>
      </c>
      <c r="E10" s="19" t="n">
        <v>3</v>
      </c>
      <c r="F10" s="19" t="n">
        <v>5</v>
      </c>
      <c r="G10" s="15" t="n">
        <v>61</v>
      </c>
      <c r="H10" s="14">
        <f>SUM(E10:F10)+1</f>
        <v/>
      </c>
      <c r="I10" s="34" t="n">
        <v>3.24</v>
      </c>
      <c r="K10" s="24" t="n">
        <v>46230</v>
      </c>
      <c r="L10" s="27" t="n">
        <v>1048.3</v>
      </c>
      <c r="M10" s="42" t="n">
        <v>46240</v>
      </c>
      <c r="N10" s="51" t="n">
        <v>1144.8</v>
      </c>
      <c r="O10" s="52" t="n">
        <v>9.210000000000001</v>
      </c>
    </row>
    <row r="11">
      <c r="A11" s="8" t="inlineStr">
        <is>
          <t>Bharat Electronics Ltd.</t>
        </is>
      </c>
      <c r="B11" s="10" t="inlineStr">
        <is>
          <t>BEL</t>
        </is>
      </c>
      <c r="C11" s="9" t="n">
        <v>384.75</v>
      </c>
      <c r="D11" s="30" t="n">
        <v>46230</v>
      </c>
      <c r="E11" s="19" t="n">
        <v>1</v>
      </c>
      <c r="F11" s="19" t="n">
        <v>8</v>
      </c>
      <c r="G11" s="15" t="n">
        <v>56</v>
      </c>
      <c r="H11" s="14">
        <f>SUM(E11:F11)+1</f>
        <v/>
      </c>
      <c r="I11" s="34" t="n">
        <v>0.97</v>
      </c>
      <c r="K11" s="24" t="n">
        <v>46227</v>
      </c>
      <c r="L11" s="53" t="inlineStr">
        <is>
          <t>-</t>
        </is>
      </c>
      <c r="M11" s="42" t="n">
        <v>46240</v>
      </c>
      <c r="N11" s="15" t="inlineStr">
        <is>
          <t>-</t>
        </is>
      </c>
      <c r="O11" s="54" t="inlineStr">
        <is>
          <t>Filter Out</t>
        </is>
      </c>
    </row>
    <row r="12">
      <c r="A12" s="8" t="inlineStr">
        <is>
          <t>Bharti Airtel Ltd.</t>
        </is>
      </c>
      <c r="B12" s="10" t="inlineStr">
        <is>
          <t>BHARTIARTL</t>
        </is>
      </c>
      <c r="C12" s="9" t="n">
        <v>1946.6</v>
      </c>
      <c r="D12" s="43" t="n">
        <v>46238</v>
      </c>
      <c r="E12" s="19" t="n">
        <v>7</v>
      </c>
      <c r="F12" s="19" t="n">
        <v>1</v>
      </c>
      <c r="G12" s="15" t="n">
        <v>52</v>
      </c>
      <c r="H12" s="14">
        <f>SUM(E12:F12)+1</f>
        <v/>
      </c>
      <c r="I12" s="34" t="n">
        <v>0.34</v>
      </c>
      <c r="K12" s="24" t="n">
        <v>46227</v>
      </c>
      <c r="L12" s="15" t="n">
        <v>1900.2</v>
      </c>
      <c r="M12" s="42" t="n">
        <v>46239</v>
      </c>
      <c r="N12" s="51" t="n">
        <v>1978</v>
      </c>
      <c r="O12" s="52" t="n">
        <v>4.09</v>
      </c>
    </row>
    <row r="13">
      <c r="A13" s="8" t="inlineStr">
        <is>
          <t>Cipla Ltd.</t>
        </is>
      </c>
      <c r="B13" s="10" t="inlineStr">
        <is>
          <t>CIPLA</t>
        </is>
      </c>
      <c r="C13" s="9" t="n">
        <v>1468</v>
      </c>
      <c r="D13" s="30" t="n">
        <v>46226</v>
      </c>
      <c r="E13" s="19" t="n">
        <v>2</v>
      </c>
      <c r="F13" s="19" t="n">
        <v>8</v>
      </c>
      <c r="G13" s="15" t="n">
        <v>56</v>
      </c>
      <c r="H13" s="14">
        <f>SUM(E13:F13)+1</f>
        <v/>
      </c>
      <c r="I13" s="34" t="n">
        <v>0.58</v>
      </c>
      <c r="K13" s="24" t="n">
        <v>46224</v>
      </c>
      <c r="L13" s="27" t="n">
        <v>1432.5</v>
      </c>
      <c r="M13" s="42" t="n">
        <v>46238</v>
      </c>
      <c r="N13" s="51" t="n">
        <v>1460</v>
      </c>
      <c r="O13" s="52" t="n">
        <v>1.92</v>
      </c>
    </row>
    <row r="14">
      <c r="A14" s="8" t="inlineStr">
        <is>
          <t>Coal India Ltd.</t>
        </is>
      </c>
      <c r="B14" s="10" t="inlineStr">
        <is>
          <t>COALINDIA</t>
        </is>
      </c>
      <c r="C14" s="9" t="n">
        <v>417.4</v>
      </c>
      <c r="D14" s="30" t="n">
        <v>46230</v>
      </c>
      <c r="E14" s="19" t="n">
        <v>8</v>
      </c>
      <c r="F14" s="19" t="n">
        <v>3</v>
      </c>
      <c r="G14" s="15" t="n">
        <v>58</v>
      </c>
      <c r="H14" s="14">
        <f>SUM(E14:F14)+1</f>
        <v/>
      </c>
      <c r="I14" s="34" t="n">
        <v>0.84</v>
      </c>
      <c r="K14" s="24" t="n">
        <v>46218</v>
      </c>
      <c r="L14" s="27" t="n">
        <v>427.55</v>
      </c>
      <c r="M14" s="25" t="n">
        <v>46233</v>
      </c>
      <c r="N14" s="27" t="n">
        <v>417.2</v>
      </c>
      <c r="O14" s="37" t="n">
        <v>-2.42</v>
      </c>
    </row>
    <row r="15">
      <c r="A15" s="8" t="inlineStr">
        <is>
          <t>Dr. Reddy's Laboratories Ltd.</t>
        </is>
      </c>
      <c r="B15" s="10" t="inlineStr">
        <is>
          <t>DRREDDY</t>
        </is>
      </c>
      <c r="C15" s="9" t="n">
        <v>1144.3</v>
      </c>
      <c r="D15" s="30" t="n">
        <v>46225</v>
      </c>
      <c r="E15" s="19" t="n">
        <v>1</v>
      </c>
      <c r="F15" s="19" t="n">
        <v>1</v>
      </c>
      <c r="G15" s="15" t="n">
        <v>53</v>
      </c>
      <c r="H15" s="14">
        <f>SUM(E15:F15)+1</f>
        <v/>
      </c>
      <c r="I15" s="39" t="n">
        <v>-0.24</v>
      </c>
      <c r="K15" s="24" t="n">
        <v>46224</v>
      </c>
      <c r="L15" s="27" t="n">
        <v>1206</v>
      </c>
      <c r="M15" s="25" t="n">
        <v>46226</v>
      </c>
      <c r="N15" s="27" t="n">
        <v>1166.3</v>
      </c>
      <c r="O15" s="37" t="n">
        <v>-3.29</v>
      </c>
    </row>
    <row r="16">
      <c r="A16" s="8" t="inlineStr">
        <is>
          <t>Eicher Motors Ltd.</t>
        </is>
      </c>
      <c r="B16" s="10" t="inlineStr">
        <is>
          <t>EICHERMOT</t>
        </is>
      </c>
      <c r="C16" s="9" t="n">
        <v>7909</v>
      </c>
      <c r="D16" s="30" t="n">
        <v>46232</v>
      </c>
      <c r="E16" s="19" t="n">
        <v>7</v>
      </c>
      <c r="F16" s="19" t="n">
        <v>6</v>
      </c>
      <c r="G16" s="15" t="n">
        <v>67</v>
      </c>
      <c r="H16" s="14">
        <f>SUM(E16:F16)+1</f>
        <v/>
      </c>
      <c r="I16" s="34" t="n">
        <v>3.96</v>
      </c>
      <c r="K16" s="24" t="n">
        <v>46223</v>
      </c>
      <c r="L16" s="27" t="n">
        <v>7563.5</v>
      </c>
      <c r="M16" s="42" t="n">
        <v>46240</v>
      </c>
      <c r="N16" s="51" t="n">
        <v>7967.5</v>
      </c>
      <c r="O16" s="52" t="n">
        <v>5.34</v>
      </c>
    </row>
    <row r="17">
      <c r="A17" s="8" t="inlineStr">
        <is>
          <t>Eternal Ltd.</t>
        </is>
      </c>
      <c r="B17" s="10" t="inlineStr">
        <is>
          <t>ETERNAL</t>
        </is>
      </c>
      <c r="C17" s="9" t="n">
        <v>310.05</v>
      </c>
      <c r="D17" s="30" t="n">
        <v>46225</v>
      </c>
      <c r="E17" s="19" t="n">
        <v>2</v>
      </c>
      <c r="F17" s="19" t="n">
        <v>1</v>
      </c>
      <c r="G17" s="15" t="n">
        <v>77</v>
      </c>
      <c r="H17" s="14">
        <f>SUM(E17:F17)+1</f>
        <v/>
      </c>
      <c r="I17" s="34" t="n">
        <v>5.54</v>
      </c>
      <c r="K17" s="24" t="n">
        <v>46223</v>
      </c>
      <c r="L17" s="27" t="n">
        <v>286.95</v>
      </c>
      <c r="M17" s="25" t="n">
        <v>46226</v>
      </c>
      <c r="N17" s="27" t="n">
        <v>287.1</v>
      </c>
      <c r="O17" s="38" t="n">
        <v>0.05</v>
      </c>
    </row>
    <row r="18">
      <c r="A18" s="8" t="inlineStr">
        <is>
          <t>Grasim Industries Ltd.</t>
        </is>
      </c>
      <c r="B18" s="10" t="inlineStr">
        <is>
          <t>GRASIM</t>
        </is>
      </c>
      <c r="C18" s="9" t="n">
        <v>3100.1</v>
      </c>
      <c r="D18" s="43" t="n">
        <v>46246</v>
      </c>
      <c r="E18" s="19" t="n">
        <v>1</v>
      </c>
      <c r="F18" s="19" t="n">
        <v>3</v>
      </c>
      <c r="G18" s="15" t="n">
        <v>61</v>
      </c>
      <c r="H18" s="14">
        <f>SUM(E18:F18)+1</f>
        <v/>
      </c>
      <c r="I18" s="34" t="n">
        <v>0.41</v>
      </c>
      <c r="K18" s="44" t="n">
        <v>46245</v>
      </c>
      <c r="L18" s="53" t="n">
        <v>3322.2</v>
      </c>
      <c r="M18" s="42" t="n">
        <v>46251</v>
      </c>
      <c r="N18" s="51" t="n">
        <v>3250.5</v>
      </c>
      <c r="O18" s="52" t="n">
        <v>-2.16</v>
      </c>
    </row>
    <row r="19">
      <c r="A19" s="8" t="inlineStr">
        <is>
          <t>HCL Technologies Ltd.</t>
        </is>
      </c>
      <c r="B19" s="10" t="inlineStr">
        <is>
          <t>HCLTECH</t>
        </is>
      </c>
      <c r="C19" s="9" t="n">
        <v>1351.5</v>
      </c>
      <c r="D19" s="30" t="n">
        <v>46216</v>
      </c>
      <c r="E19" s="19" t="n">
        <v>6</v>
      </c>
      <c r="F19" s="19" t="n">
        <v>3</v>
      </c>
      <c r="G19" s="15" t="n">
        <v>68</v>
      </c>
      <c r="H19" s="14">
        <f>SUM(E19:F19)+1</f>
        <v/>
      </c>
      <c r="I19" s="34" t="n">
        <v>1.87</v>
      </c>
      <c r="K19" s="24" t="n">
        <v>46206</v>
      </c>
      <c r="L19" s="27" t="n">
        <v>1139</v>
      </c>
      <c r="M19" s="25" t="n">
        <v>46219</v>
      </c>
      <c r="N19" s="27" t="n">
        <v>1187.4</v>
      </c>
      <c r="O19" s="38" t="n">
        <v>4.25</v>
      </c>
    </row>
    <row r="20">
      <c r="A20" s="8" t="inlineStr">
        <is>
          <t>HDFC Bank Ltd.</t>
        </is>
      </c>
      <c r="B20" s="10" t="inlineStr">
        <is>
          <t>HDFCBANK</t>
        </is>
      </c>
      <c r="C20" s="9" t="n">
        <v>753.4</v>
      </c>
      <c r="D20" s="30" t="n">
        <v>46221</v>
      </c>
      <c r="E20" s="19" t="n">
        <v>5</v>
      </c>
      <c r="F20" s="19" t="n">
        <v>3</v>
      </c>
      <c r="G20" s="15" t="n">
        <v>65</v>
      </c>
      <c r="H20" s="14">
        <f>SUM(E20:F20)+1</f>
        <v/>
      </c>
      <c r="I20" s="34" t="n">
        <v>0.5600000000000001</v>
      </c>
      <c r="K20" s="24" t="n">
        <v>46213</v>
      </c>
      <c r="L20" s="27" t="n">
        <v>824.95</v>
      </c>
      <c r="M20" s="25" t="n">
        <v>46225</v>
      </c>
      <c r="N20" s="27" t="n">
        <v>753.15</v>
      </c>
      <c r="O20" s="37" t="n">
        <v>-8.699999999999999</v>
      </c>
    </row>
    <row r="21">
      <c r="A21" s="8" t="inlineStr">
        <is>
          <t>HDFC Life Insurance Company Ltd.</t>
        </is>
      </c>
      <c r="B21" s="10" t="inlineStr">
        <is>
          <t>HDFCLIFE</t>
        </is>
      </c>
      <c r="C21" s="9" t="n">
        <v>545.05</v>
      </c>
      <c r="D21" s="30" t="n">
        <v>46218</v>
      </c>
      <c r="E21" s="19" t="n">
        <v>8</v>
      </c>
      <c r="F21" s="19" t="n">
        <v>5</v>
      </c>
      <c r="G21" s="15" t="n">
        <v>50</v>
      </c>
      <c r="H21" s="14">
        <f>SUM(E21:F21)+1</f>
        <v/>
      </c>
      <c r="I21" s="34" t="n">
        <v>0.067</v>
      </c>
      <c r="K21" s="24" t="n">
        <v>46206</v>
      </c>
      <c r="L21" s="27" t="n">
        <v>567.7</v>
      </c>
      <c r="M21" s="25" t="n">
        <v>46225</v>
      </c>
      <c r="N21" s="27" t="n">
        <v>553.1</v>
      </c>
      <c r="O21" s="37" t="n">
        <v>-2.57</v>
      </c>
    </row>
    <row r="22">
      <c r="A22" s="8" t="inlineStr">
        <is>
          <t>Hindalco Industries Ltd.</t>
        </is>
      </c>
      <c r="B22" s="10" t="inlineStr">
        <is>
          <t>HINDALCO</t>
        </is>
      </c>
      <c r="C22" s="9" t="n">
        <v>969.5</v>
      </c>
      <c r="D22" s="43" t="n">
        <v>46241</v>
      </c>
      <c r="E22" s="19" t="n">
        <v>3</v>
      </c>
      <c r="F22" s="19" t="n">
        <v>3</v>
      </c>
      <c r="G22" s="15" t="n">
        <v>53</v>
      </c>
      <c r="H22" s="14">
        <f>SUM(E22:F22)+1</f>
        <v/>
      </c>
      <c r="I22" s="34" t="n">
        <v>0.13</v>
      </c>
      <c r="K22" s="44" t="n">
        <v>46238</v>
      </c>
      <c r="L22" s="53" t="n">
        <v>1020</v>
      </c>
      <c r="M22" s="42" t="n">
        <v>46246</v>
      </c>
      <c r="N22" s="51" t="n">
        <v>1078.5</v>
      </c>
      <c r="O22" s="52" t="n">
        <v>5.74</v>
      </c>
    </row>
    <row r="23">
      <c r="A23" s="8" t="inlineStr">
        <is>
          <t>Hindustan Unilever Ltd.</t>
        </is>
      </c>
      <c r="B23" s="10" t="inlineStr">
        <is>
          <t>HINDUNILVR</t>
        </is>
      </c>
      <c r="C23" s="9" t="n">
        <v>2107</v>
      </c>
      <c r="D23" s="30" t="n">
        <v>46231</v>
      </c>
      <c r="E23" s="19" t="n">
        <v>6</v>
      </c>
      <c r="F23" s="19" t="n">
        <v>7</v>
      </c>
      <c r="G23" s="15" t="n">
        <v>53</v>
      </c>
      <c r="H23" s="14">
        <f>SUM(E23:F23)+1</f>
        <v/>
      </c>
      <c r="I23" s="34" t="n">
        <v>0.57</v>
      </c>
      <c r="K23" s="24" t="n">
        <v>46223</v>
      </c>
      <c r="L23" s="53" t="inlineStr">
        <is>
          <t>-</t>
        </is>
      </c>
      <c r="M23" s="42" t="n">
        <v>46240</v>
      </c>
      <c r="N23" s="15" t="inlineStr">
        <is>
          <t>-</t>
        </is>
      </c>
      <c r="O23" s="54" t="inlineStr">
        <is>
          <t>Filter Out</t>
        </is>
      </c>
    </row>
    <row r="24">
      <c r="A24" s="8" t="inlineStr">
        <is>
          <t>ICICI Bank Ltd.</t>
        </is>
      </c>
      <c r="B24" s="10" t="inlineStr">
        <is>
          <t>ICICIBANK</t>
        </is>
      </c>
      <c r="C24" s="9" t="n">
        <v>1430</v>
      </c>
      <c r="D24" s="30" t="n">
        <v>46221</v>
      </c>
      <c r="E24" s="19" t="n">
        <v>3</v>
      </c>
      <c r="F24" s="19" t="n">
        <v>6</v>
      </c>
      <c r="G24" s="15" t="n">
        <v>62</v>
      </c>
      <c r="H24" s="14">
        <f>SUM(E24:F24)+1</f>
        <v/>
      </c>
      <c r="I24" s="34" t="n">
        <v>1.58</v>
      </c>
      <c r="K24" s="24" t="n">
        <v>46217</v>
      </c>
      <c r="L24" s="15" t="n">
        <v>1412.9</v>
      </c>
      <c r="M24" s="25" t="n">
        <v>46230</v>
      </c>
      <c r="N24" s="15" t="n">
        <v>1445.7</v>
      </c>
      <c r="O24" s="34" t="n">
        <v>2.32</v>
      </c>
    </row>
    <row r="25">
      <c r="A25" s="8" t="inlineStr">
        <is>
          <t>InterGlobe Aviation Ltd.</t>
        </is>
      </c>
      <c r="B25" s="10" t="inlineStr">
        <is>
          <t>INDIGO</t>
        </is>
      </c>
      <c r="C25" s="9" t="n">
        <v>5218</v>
      </c>
      <c r="D25" s="30" t="n">
        <v>46226</v>
      </c>
      <c r="E25" s="19" t="n">
        <v>6</v>
      </c>
      <c r="F25" s="19" t="n">
        <v>5</v>
      </c>
      <c r="G25" s="15" t="n">
        <v>69</v>
      </c>
      <c r="H25" s="14">
        <f>SUM(E25:F25)+1</f>
        <v/>
      </c>
      <c r="I25" s="34" t="n">
        <v>0.36</v>
      </c>
      <c r="K25" s="24" t="n">
        <v>46218</v>
      </c>
      <c r="L25" s="27" t="n">
        <v>5171</v>
      </c>
      <c r="M25" s="25" t="n">
        <v>46233</v>
      </c>
      <c r="N25" s="27" t="n">
        <v>5276.5</v>
      </c>
      <c r="O25" s="38" t="n">
        <v>2.04</v>
      </c>
    </row>
    <row r="26">
      <c r="A26" s="8" t="inlineStr">
        <is>
          <t>Infosys Ltd.</t>
        </is>
      </c>
      <c r="B26" s="10" t="inlineStr">
        <is>
          <t>INFY</t>
        </is>
      </c>
      <c r="C26" s="9" t="n">
        <v>1155</v>
      </c>
      <c r="D26" s="30" t="n">
        <v>46226</v>
      </c>
      <c r="E26" s="19" t="n">
        <v>8</v>
      </c>
      <c r="F26" s="19" t="n">
        <v>7</v>
      </c>
      <c r="G26" s="15" t="n">
        <v>58</v>
      </c>
      <c r="H26" s="14">
        <f>SUM(E26:F26)+1</f>
        <v/>
      </c>
      <c r="I26" s="34" t="n">
        <v>0.65</v>
      </c>
      <c r="K26" s="24" t="n">
        <v>46216</v>
      </c>
      <c r="L26" s="53" t="inlineStr">
        <is>
          <t>-</t>
        </is>
      </c>
      <c r="M26" s="42" t="n">
        <v>46237</v>
      </c>
      <c r="N26" s="15" t="inlineStr">
        <is>
          <t>-</t>
        </is>
      </c>
      <c r="O26" s="54" t="inlineStr">
        <is>
          <t>Filter Out</t>
        </is>
      </c>
    </row>
    <row r="27">
      <c r="A27" s="8" t="inlineStr">
        <is>
          <t>ITC Ltd.</t>
        </is>
      </c>
      <c r="B27" s="10" t="inlineStr">
        <is>
          <t>ITC</t>
        </is>
      </c>
      <c r="C27" s="9" t="n">
        <v>285.55</v>
      </c>
      <c r="D27" s="30" t="n">
        <v>46234</v>
      </c>
      <c r="E27" s="19" t="n">
        <v>8</v>
      </c>
      <c r="F27" s="19" t="n">
        <v>8</v>
      </c>
      <c r="G27" s="15" t="n">
        <v>57</v>
      </c>
      <c r="H27" s="14">
        <f>SUM(E27:F27)+1</f>
        <v/>
      </c>
      <c r="I27" s="34" t="n">
        <v>0.91</v>
      </c>
      <c r="K27" s="24" t="n">
        <v>46224</v>
      </c>
      <c r="L27" s="53" t="inlineStr">
        <is>
          <t>-</t>
        </is>
      </c>
      <c r="M27" s="42" t="n">
        <v>46246</v>
      </c>
      <c r="N27" s="15" t="inlineStr">
        <is>
          <t>-</t>
        </is>
      </c>
      <c r="O27" s="54" t="inlineStr">
        <is>
          <t>Filter Out</t>
        </is>
      </c>
    </row>
    <row r="28">
      <c r="A28" s="8" t="inlineStr">
        <is>
          <t>Jio Financial Services Ltd.</t>
        </is>
      </c>
      <c r="B28" s="10" t="inlineStr">
        <is>
          <t>JIOFIN</t>
        </is>
      </c>
      <c r="C28" s="9" t="n">
        <v>246.67</v>
      </c>
      <c r="D28" s="30" t="n">
        <v>46219</v>
      </c>
      <c r="E28" s="19" t="n">
        <v>3</v>
      </c>
      <c r="F28" s="19" t="n">
        <v>1</v>
      </c>
      <c r="G28" s="15" t="n">
        <v>50</v>
      </c>
      <c r="H28" s="14">
        <f>SUM(E28:F28)+1</f>
        <v/>
      </c>
      <c r="I28" s="34" t="n">
        <v>0.73</v>
      </c>
      <c r="K28" s="24" t="n">
        <v>46216</v>
      </c>
      <c r="L28" s="27" t="n">
        <v>241.41</v>
      </c>
      <c r="M28" s="25" t="n">
        <v>46220</v>
      </c>
      <c r="N28" s="27" t="n">
        <v>242.98</v>
      </c>
      <c r="O28" s="38" t="n">
        <v>0.65</v>
      </c>
    </row>
    <row r="29">
      <c r="A29" s="8" t="inlineStr">
        <is>
          <t>JSW Steel Ltd.</t>
        </is>
      </c>
      <c r="B29" s="10" t="inlineStr">
        <is>
          <t>JSWSTEEL</t>
        </is>
      </c>
      <c r="C29" s="9" t="n">
        <v>1268.5</v>
      </c>
      <c r="D29" s="30" t="n">
        <v>46220</v>
      </c>
      <c r="E29" s="19" t="n">
        <v>4</v>
      </c>
      <c r="F29" s="19" t="n">
        <v>7</v>
      </c>
      <c r="G29" s="15" t="n">
        <v>67</v>
      </c>
      <c r="H29" s="14">
        <f>SUM(E29:F29)+1</f>
        <v/>
      </c>
      <c r="I29" s="34" t="n">
        <v>2.69</v>
      </c>
      <c r="K29" s="24" t="n">
        <v>46216</v>
      </c>
      <c r="L29" s="27" t="n">
        <v>1237.4</v>
      </c>
      <c r="M29" s="25" t="n">
        <v>46231</v>
      </c>
      <c r="N29" s="27" t="n">
        <v>1246.9</v>
      </c>
      <c r="O29" s="38" t="n">
        <v>0.77</v>
      </c>
    </row>
    <row r="30">
      <c r="A30" s="8" t="inlineStr">
        <is>
          <t>Kotak Mahindra Bank Ltd.</t>
        </is>
      </c>
      <c r="B30" s="10" t="inlineStr">
        <is>
          <t>KOTAKBANK</t>
        </is>
      </c>
      <c r="C30" s="9" t="n">
        <v>387.6</v>
      </c>
      <c r="D30" s="30" t="n">
        <v>46221</v>
      </c>
      <c r="E30" s="19" t="n">
        <v>6</v>
      </c>
      <c r="F30" s="19" t="n">
        <v>8</v>
      </c>
      <c r="G30" s="15" t="n">
        <v>57</v>
      </c>
      <c r="H30" s="14">
        <f>SUM(E30:F30)+1</f>
        <v/>
      </c>
      <c r="I30" s="34" t="n">
        <v>0.92</v>
      </c>
      <c r="K30" s="24" t="n">
        <v>46212</v>
      </c>
      <c r="L30" s="27" t="n">
        <v>377.6</v>
      </c>
      <c r="M30" s="25" t="n">
        <v>46232</v>
      </c>
      <c r="N30" s="27" t="n">
        <v>390.2</v>
      </c>
      <c r="O30" s="38" t="n">
        <v>3.34</v>
      </c>
    </row>
    <row r="31">
      <c r="A31" s="8" t="inlineStr">
        <is>
          <t>Larsen &amp; Toubro Ltd.</t>
        </is>
      </c>
      <c r="B31" s="10" t="inlineStr">
        <is>
          <t>LT</t>
        </is>
      </c>
      <c r="C31" s="9" t="n">
        <v>3940.5</v>
      </c>
      <c r="D31" s="30" t="n">
        <v>46231</v>
      </c>
      <c r="E31" s="19" t="n">
        <v>1</v>
      </c>
      <c r="F31" s="19" t="n">
        <v>4</v>
      </c>
      <c r="G31" s="15" t="n">
        <v>61</v>
      </c>
      <c r="H31" s="14">
        <f>SUM(E31:F31)+1</f>
        <v/>
      </c>
      <c r="I31" s="34" t="n">
        <v>0.84</v>
      </c>
      <c r="K31" s="24" t="n">
        <v>46230</v>
      </c>
      <c r="L31" s="53" t="inlineStr">
        <is>
          <t>-</t>
        </is>
      </c>
      <c r="M31" s="42" t="n">
        <v>46237</v>
      </c>
      <c r="N31" s="15" t="inlineStr">
        <is>
          <t>-</t>
        </is>
      </c>
      <c r="O31" s="54" t="inlineStr">
        <is>
          <t>Filter Out</t>
        </is>
      </c>
    </row>
    <row r="32">
      <c r="A32" s="8" t="inlineStr">
        <is>
          <t>Mahindra &amp; Mahindra Ltd.</t>
        </is>
      </c>
      <c r="B32" s="10" t="inlineStr">
        <is>
          <t>M&amp;M</t>
        </is>
      </c>
      <c r="C32" s="9" t="n">
        <v>3294.6</v>
      </c>
      <c r="D32" s="30" t="n">
        <v>46233</v>
      </c>
      <c r="E32" s="19" t="n">
        <v>3</v>
      </c>
      <c r="F32" s="19" t="n">
        <v>3</v>
      </c>
      <c r="G32" s="15" t="n">
        <v>65</v>
      </c>
      <c r="H32" s="14">
        <f>SUM(E32:F32)+1</f>
        <v/>
      </c>
      <c r="I32" s="34" t="n">
        <v>1.54</v>
      </c>
      <c r="K32" s="24" t="n">
        <v>46230</v>
      </c>
      <c r="L32" s="27" t="n">
        <v>3238.6</v>
      </c>
      <c r="M32" s="42" t="n">
        <v>46238</v>
      </c>
      <c r="N32" s="51" t="n">
        <v>3433</v>
      </c>
      <c r="O32" s="52" t="n">
        <v>6</v>
      </c>
    </row>
    <row r="33">
      <c r="A33" s="8" t="inlineStr">
        <is>
          <t>Maruti Suzuki India Ltd.</t>
        </is>
      </c>
      <c r="B33" s="10" t="inlineStr">
        <is>
          <t>MARUTI</t>
        </is>
      </c>
      <c r="C33" s="9" t="n">
        <v>14180</v>
      </c>
      <c r="D33" s="30" t="n">
        <v>46234</v>
      </c>
      <c r="E33" s="19" t="n">
        <v>6</v>
      </c>
      <c r="F33" s="19" t="n">
        <v>4</v>
      </c>
      <c r="G33" s="15" t="n">
        <v>61</v>
      </c>
      <c r="H33" s="14">
        <f>SUM(E33:F33)+1</f>
        <v/>
      </c>
      <c r="I33" s="34" t="n">
        <v>1.43</v>
      </c>
      <c r="K33" s="24" t="n">
        <v>46226</v>
      </c>
      <c r="L33" s="53" t="inlineStr">
        <is>
          <t>-</t>
        </is>
      </c>
      <c r="M33" s="42" t="n">
        <v>46240</v>
      </c>
      <c r="N33" s="15" t="inlineStr">
        <is>
          <t>-</t>
        </is>
      </c>
      <c r="O33" s="54" t="inlineStr">
        <is>
          <t>Filter Out</t>
        </is>
      </c>
    </row>
    <row r="34">
      <c r="A34" s="8" t="inlineStr">
        <is>
          <t>Max Healthcare Institute Ltd.</t>
        </is>
      </c>
      <c r="B34" s="10" t="inlineStr">
        <is>
          <t>MAXHEALTH</t>
        </is>
      </c>
      <c r="C34" s="9" t="n">
        <v>1124</v>
      </c>
      <c r="D34" s="30" t="n">
        <v>46247</v>
      </c>
      <c r="E34" s="19" t="n">
        <v>8</v>
      </c>
      <c r="F34" s="19" t="n">
        <v>3</v>
      </c>
      <c r="G34" s="15" t="n">
        <v>88</v>
      </c>
      <c r="H34" s="14">
        <f>SUM(E34:F34)+1</f>
        <v/>
      </c>
      <c r="I34" s="34" t="n">
        <v>6.39</v>
      </c>
      <c r="K34" s="24" t="n">
        <v>46237</v>
      </c>
      <c r="L34" s="53" t="n">
        <v>1100.4</v>
      </c>
      <c r="M34" s="25" t="n">
        <v>46252</v>
      </c>
      <c r="N34" s="51" t="n">
        <v>1014.4</v>
      </c>
      <c r="O34" s="52" t="n">
        <v>-7.82</v>
      </c>
    </row>
    <row r="35">
      <c r="A35" s="8" t="inlineStr">
        <is>
          <t>Nestle India Ltd.</t>
        </is>
      </c>
      <c r="B35" s="10" t="inlineStr">
        <is>
          <t>NESTLEIND</t>
        </is>
      </c>
      <c r="C35" s="9" t="n">
        <v>1519</v>
      </c>
      <c r="D35" s="30" t="n">
        <v>46225</v>
      </c>
      <c r="E35" s="19" t="n">
        <v>6</v>
      </c>
      <c r="F35" s="19" t="n">
        <v>7</v>
      </c>
      <c r="G35" s="15" t="n">
        <v>71</v>
      </c>
      <c r="H35" s="14">
        <f>SUM(E35:F35)+1</f>
        <v/>
      </c>
      <c r="I35" s="34" t="n">
        <v>0.05</v>
      </c>
      <c r="K35" s="24" t="n">
        <v>46217</v>
      </c>
      <c r="L35" s="27" t="n">
        <v>1427.1</v>
      </c>
      <c r="M35" s="25" t="n">
        <v>46234</v>
      </c>
      <c r="N35" s="27" t="n">
        <v>1510.2</v>
      </c>
      <c r="O35" s="38" t="n">
        <v>5.82</v>
      </c>
    </row>
    <row r="36">
      <c r="A36" s="8" t="inlineStr">
        <is>
          <t>NTPC Ltd.</t>
        </is>
      </c>
      <c r="B36" s="10" t="inlineStr">
        <is>
          <t>NTPC</t>
        </is>
      </c>
      <c r="C36" s="9" t="n">
        <v>345.15</v>
      </c>
      <c r="D36" s="30" t="n">
        <v>46227</v>
      </c>
      <c r="E36" s="19" t="n">
        <v>1</v>
      </c>
      <c r="F36" s="19" t="n">
        <v>4</v>
      </c>
      <c r="G36" s="15" t="n">
        <v>58</v>
      </c>
      <c r="H36" s="14">
        <f>SUM(E36:F36)+1</f>
        <v/>
      </c>
      <c r="I36" s="34" t="n">
        <v>0.58</v>
      </c>
      <c r="K36" s="24" t="n">
        <v>46226</v>
      </c>
      <c r="L36" s="27" t="n">
        <v>348.6</v>
      </c>
      <c r="M36" s="25" t="n">
        <v>46233</v>
      </c>
      <c r="N36" s="27" t="n">
        <v>344.85</v>
      </c>
      <c r="O36" s="37" t="n">
        <v>-1.08</v>
      </c>
    </row>
    <row r="37">
      <c r="A37" s="8" t="inlineStr">
        <is>
          <t>Oil &amp; Natural Gas Corporation Ltd.</t>
        </is>
      </c>
      <c r="B37" s="10" t="inlineStr">
        <is>
          <t>ONGC</t>
        </is>
      </c>
      <c r="C37" s="9" t="n">
        <v>241.3</v>
      </c>
      <c r="D37" s="43" t="n">
        <v>46238</v>
      </c>
      <c r="E37" s="19" t="n">
        <v>1</v>
      </c>
      <c r="F37" s="19" t="n">
        <v>7</v>
      </c>
      <c r="G37" s="15" t="n">
        <v>50</v>
      </c>
      <c r="H37" s="14">
        <f>SUM(E37:F37)+1</f>
        <v/>
      </c>
      <c r="I37" s="34" t="n">
        <v>0.26</v>
      </c>
      <c r="K37" s="44" t="n">
        <v>46237</v>
      </c>
      <c r="L37" s="15" t="inlineStr">
        <is>
          <t>-</t>
        </is>
      </c>
      <c r="M37" s="42" t="n">
        <v>46247</v>
      </c>
      <c r="N37" s="15" t="inlineStr">
        <is>
          <t>-</t>
        </is>
      </c>
      <c r="O37" s="54" t="inlineStr">
        <is>
          <t>Filter Out</t>
        </is>
      </c>
    </row>
    <row r="38">
      <c r="A38" s="8" t="inlineStr">
        <is>
          <t>Power Grid Corporation of India Ltd.</t>
        </is>
      </c>
      <c r="B38" s="10" t="inlineStr">
        <is>
          <t>POWERGRID</t>
        </is>
      </c>
      <c r="C38" s="9" t="n">
        <v>285.35</v>
      </c>
      <c r="D38" s="30" t="n">
        <v>46239</v>
      </c>
      <c r="E38" s="19" t="n">
        <v>4</v>
      </c>
      <c r="F38" s="19" t="n">
        <v>8</v>
      </c>
      <c r="G38" s="15" t="n">
        <v>60</v>
      </c>
      <c r="H38" s="14">
        <f>SUM(E38:F38)+1</f>
        <v/>
      </c>
      <c r="I38" s="34" t="n">
        <v>0.3</v>
      </c>
      <c r="K38" s="24" t="n">
        <v>46233</v>
      </c>
      <c r="L38" s="15" t="inlineStr">
        <is>
          <t>-</t>
        </is>
      </c>
      <c r="M38" s="25" t="n">
        <v>46251</v>
      </c>
      <c r="N38" s="15" t="inlineStr">
        <is>
          <t>-</t>
        </is>
      </c>
      <c r="O38" s="54" t="inlineStr">
        <is>
          <t>Filter Out</t>
        </is>
      </c>
    </row>
    <row r="39">
      <c r="A39" s="8" t="inlineStr">
        <is>
          <t>Reliance Industries Ltd.</t>
        </is>
      </c>
      <c r="B39" s="10" t="inlineStr">
        <is>
          <t>RELIANCE</t>
        </is>
      </c>
      <c r="C39" s="9" t="n">
        <v>1289.4</v>
      </c>
      <c r="D39" s="30" t="n">
        <v>46220</v>
      </c>
      <c r="E39" s="19" t="n">
        <v>8</v>
      </c>
      <c r="F39" s="19" t="n">
        <v>1</v>
      </c>
      <c r="G39" s="15" t="n">
        <v>59</v>
      </c>
      <c r="H39" s="14">
        <f>SUM(E39:F39)+1</f>
        <v/>
      </c>
      <c r="I39" s="34" t="n">
        <v>0.75</v>
      </c>
      <c r="K39" s="24" t="n">
        <v>46210</v>
      </c>
      <c r="L39" s="27" t="n">
        <v>1308.4</v>
      </c>
      <c r="M39" s="25" t="n">
        <v>46223</v>
      </c>
      <c r="N39" s="27" t="n">
        <v>1323.1</v>
      </c>
      <c r="O39" s="38" t="n">
        <v>1.12</v>
      </c>
    </row>
    <row r="40">
      <c r="A40" s="8" t="inlineStr">
        <is>
          <t>SBI Life Insurance Company Ltd.</t>
        </is>
      </c>
      <c r="B40" s="10" t="inlineStr">
        <is>
          <t>SBILIFE</t>
        </is>
      </c>
      <c r="C40" s="9" t="n">
        <v>1867.1</v>
      </c>
      <c r="D40" s="30" t="n">
        <v>46227</v>
      </c>
      <c r="E40" s="19" t="n">
        <v>1</v>
      </c>
      <c r="F40" s="19" t="n">
        <v>7</v>
      </c>
      <c r="G40" s="15" t="n">
        <v>64</v>
      </c>
      <c r="H40" s="14">
        <f>SUM(E40:F40)+1</f>
        <v/>
      </c>
      <c r="I40" s="34" t="n">
        <v>1.78</v>
      </c>
      <c r="K40" s="24" t="n">
        <v>46226</v>
      </c>
      <c r="L40" s="27" t="n">
        <v>1853.5</v>
      </c>
      <c r="M40" s="42" t="n">
        <v>46238</v>
      </c>
      <c r="N40" s="51" t="n">
        <v>1899</v>
      </c>
      <c r="O40" s="52" t="n">
        <v>2.45</v>
      </c>
    </row>
    <row r="41">
      <c r="A41" s="8" t="inlineStr">
        <is>
          <t>State Bank of India</t>
        </is>
      </c>
      <c r="B41" s="10" t="inlineStr">
        <is>
          <t>SBIN</t>
        </is>
      </c>
      <c r="C41" s="9" t="n">
        <v>1024</v>
      </c>
      <c r="D41" s="43" t="n">
        <v>46241</v>
      </c>
      <c r="E41" s="19" t="n">
        <v>7</v>
      </c>
      <c r="F41" s="19" t="n">
        <v>2</v>
      </c>
      <c r="G41" s="15" t="n">
        <v>61</v>
      </c>
      <c r="H41" s="14">
        <f>SUM(E41:F41)+1</f>
        <v/>
      </c>
      <c r="I41" s="34" t="n">
        <v>1.93</v>
      </c>
      <c r="K41" s="24" t="n">
        <v>46232</v>
      </c>
      <c r="L41" s="15" t="inlineStr">
        <is>
          <t>-</t>
        </is>
      </c>
      <c r="M41" s="42" t="n">
        <v>46245</v>
      </c>
      <c r="N41" s="15" t="inlineStr">
        <is>
          <t>-</t>
        </is>
      </c>
      <c r="O41" s="54" t="inlineStr">
        <is>
          <t>Filter Out</t>
        </is>
      </c>
    </row>
    <row r="42">
      <c r="A42" s="8" t="inlineStr">
        <is>
          <t>Shriram Finance Ltd.</t>
        </is>
      </c>
      <c r="B42" s="10" t="inlineStr">
        <is>
          <t>SHRIRAMFIN</t>
        </is>
      </c>
      <c r="C42" s="9" t="n">
        <v>1029</v>
      </c>
      <c r="D42" s="30" t="n">
        <v>46227</v>
      </c>
      <c r="E42" s="19" t="n">
        <v>3</v>
      </c>
      <c r="F42" s="19" t="n">
        <v>5</v>
      </c>
      <c r="G42" s="15" t="n">
        <v>63</v>
      </c>
      <c r="H42" s="14">
        <f>SUM(E42:F42)+1</f>
        <v/>
      </c>
      <c r="I42" s="34" t="n">
        <v>2.56</v>
      </c>
      <c r="K42" s="24" t="n">
        <v>46224</v>
      </c>
      <c r="L42" s="27" t="n">
        <v>1061.5</v>
      </c>
      <c r="M42" s="25" t="n">
        <v>46234</v>
      </c>
      <c r="N42" s="27" t="n">
        <v>1039.8</v>
      </c>
      <c r="O42" s="37" t="n">
        <v>-2.04</v>
      </c>
    </row>
    <row r="43">
      <c r="A43" s="8" t="inlineStr">
        <is>
          <t>Sun Pharmaceutical Industries Ltd.</t>
        </is>
      </c>
      <c r="B43" s="10" t="inlineStr">
        <is>
          <t>SUNPHARMA</t>
        </is>
      </c>
      <c r="C43" s="9" t="n">
        <v>2005</v>
      </c>
      <c r="D43" s="30" t="n">
        <v>46234</v>
      </c>
      <c r="E43" s="19" t="n">
        <v>3</v>
      </c>
      <c r="F43" s="19" t="n">
        <v>8</v>
      </c>
      <c r="G43" s="15" t="n">
        <v>68</v>
      </c>
      <c r="H43" s="14">
        <f>SUM(E43:F43)+1</f>
        <v/>
      </c>
      <c r="I43" s="34" t="n">
        <v>1.24</v>
      </c>
      <c r="K43" s="24" t="n">
        <v>46231</v>
      </c>
      <c r="L43" s="27" t="n">
        <v>1976.7</v>
      </c>
      <c r="M43" s="42" t="n">
        <v>46246</v>
      </c>
      <c r="N43" s="51" t="n">
        <v>1944</v>
      </c>
      <c r="O43" s="52" t="n">
        <v>-1.65</v>
      </c>
    </row>
    <row r="44">
      <c r="A44" s="8" t="inlineStr">
        <is>
          <t>Tata Consumer Products Ltd.</t>
        </is>
      </c>
      <c r="B44" s="10" t="inlineStr">
        <is>
          <t>TATACONSUM</t>
        </is>
      </c>
      <c r="C44" s="9" t="n">
        <v>1095</v>
      </c>
      <c r="D44" s="30" t="n">
        <v>46227</v>
      </c>
      <c r="E44" s="19" t="n">
        <v>2</v>
      </c>
      <c r="F44" s="19" t="n">
        <v>8</v>
      </c>
      <c r="G44" s="15" t="n">
        <v>55</v>
      </c>
      <c r="H44" s="14">
        <f>SUM(E44:F44)+1</f>
        <v/>
      </c>
      <c r="I44" s="34" t="n">
        <v>1.05</v>
      </c>
      <c r="K44" s="24" t="n">
        <v>46225</v>
      </c>
      <c r="L44" s="53" t="inlineStr">
        <is>
          <t>-</t>
        </is>
      </c>
      <c r="M44" s="42" t="n">
        <v>46239</v>
      </c>
      <c r="N44" s="15" t="inlineStr">
        <is>
          <t>-</t>
        </is>
      </c>
      <c r="O44" s="54" t="inlineStr">
        <is>
          <t>Filter Out</t>
        </is>
      </c>
    </row>
    <row r="45">
      <c r="A45" s="8" t="inlineStr">
        <is>
          <t>Tata Steel Ltd.</t>
        </is>
      </c>
      <c r="B45" s="10" t="inlineStr">
        <is>
          <t>TATASTEEL</t>
        </is>
      </c>
      <c r="C45" s="9" t="n">
        <v>186.99</v>
      </c>
      <c r="D45" s="30" t="n">
        <v>46233</v>
      </c>
      <c r="E45" s="19" t="n">
        <v>1</v>
      </c>
      <c r="F45" s="19" t="n">
        <v>4</v>
      </c>
      <c r="G45" s="15" t="n">
        <v>57</v>
      </c>
      <c r="H45" s="14">
        <f>SUM(E45:F45)+1</f>
        <v/>
      </c>
      <c r="I45" s="34" t="n">
        <v>0.61</v>
      </c>
      <c r="K45" s="24" t="n">
        <v>46232</v>
      </c>
      <c r="L45" s="53" t="inlineStr">
        <is>
          <t>-</t>
        </is>
      </c>
      <c r="M45" s="42" t="n">
        <v>46239</v>
      </c>
      <c r="N45" s="15" t="inlineStr">
        <is>
          <t>-</t>
        </is>
      </c>
      <c r="O45" s="54" t="inlineStr">
        <is>
          <t>Filter Out</t>
        </is>
      </c>
    </row>
    <row r="46">
      <c r="A46" s="8" t="inlineStr">
        <is>
          <t>Tata Consultancy Services Ltd.</t>
        </is>
      </c>
      <c r="B46" s="10" t="inlineStr">
        <is>
          <t>TCS</t>
        </is>
      </c>
      <c r="C46" s="9" t="n">
        <v>2434</v>
      </c>
      <c r="D46" s="30" t="n">
        <v>46212</v>
      </c>
      <c r="E46" s="19" t="n">
        <v>8</v>
      </c>
      <c r="F46" s="19" t="n">
        <v>6</v>
      </c>
      <c r="G46" s="15" t="n">
        <v>61</v>
      </c>
      <c r="H46" s="14">
        <f>SUM(E46:F46)+1</f>
        <v/>
      </c>
      <c r="I46" s="34" t="n">
        <v>1.9</v>
      </c>
      <c r="K46" s="24" t="n">
        <v>46202</v>
      </c>
      <c r="L46" s="27" t="n">
        <v>2097.9</v>
      </c>
      <c r="M46" s="25" t="n">
        <v>46220</v>
      </c>
      <c r="N46" s="27" t="n">
        <v>2269</v>
      </c>
      <c r="O46" s="38" t="n">
        <v>8.16</v>
      </c>
    </row>
    <row r="47">
      <c r="A47" s="8" t="inlineStr">
        <is>
          <t>Tech Mahindra Ltd.</t>
        </is>
      </c>
      <c r="B47" s="10" t="inlineStr">
        <is>
          <t>TECHM</t>
        </is>
      </c>
      <c r="C47" s="9" t="n">
        <v>1661.4</v>
      </c>
      <c r="D47" s="30" t="n">
        <v>46219</v>
      </c>
      <c r="E47" s="19" t="n">
        <v>7</v>
      </c>
      <c r="F47" s="19" t="n">
        <v>8</v>
      </c>
      <c r="G47" s="15" t="n">
        <v>58</v>
      </c>
      <c r="H47" s="14">
        <f>SUM(E47:F47)+1</f>
        <v/>
      </c>
      <c r="I47" s="34" t="n">
        <v>0.5</v>
      </c>
      <c r="K47" s="24" t="n">
        <v>46210</v>
      </c>
      <c r="L47" s="27" t="n">
        <v>1447.5</v>
      </c>
      <c r="M47" s="25" t="n">
        <v>46231</v>
      </c>
      <c r="N47" s="27" t="n">
        <v>1635.2</v>
      </c>
      <c r="O47" s="38" t="n">
        <v>12.97</v>
      </c>
    </row>
    <row r="48">
      <c r="A48" s="8" t="inlineStr">
        <is>
          <t>Titan Company Ltd.</t>
        </is>
      </c>
      <c r="B48" s="10" t="inlineStr">
        <is>
          <t>TITAN</t>
        </is>
      </c>
      <c r="C48" s="9" t="n">
        <v>4843.9</v>
      </c>
      <c r="D48" s="43" t="n">
        <v>46241</v>
      </c>
      <c r="E48" s="19" t="n">
        <v>5</v>
      </c>
      <c r="F48" s="19" t="n">
        <v>2</v>
      </c>
      <c r="G48" s="15" t="n">
        <v>61</v>
      </c>
      <c r="H48" s="14">
        <f>SUM(E48:F48)+1</f>
        <v/>
      </c>
      <c r="I48" s="34" t="n">
        <v>0.88</v>
      </c>
      <c r="K48" s="24" t="n">
        <v>46234</v>
      </c>
      <c r="L48" s="15" t="n">
        <v>4850</v>
      </c>
      <c r="M48" s="42" t="n">
        <v>46245</v>
      </c>
      <c r="N48" s="51" t="n">
        <v>5128</v>
      </c>
      <c r="O48" s="52" t="n">
        <v>5.73</v>
      </c>
    </row>
    <row r="49">
      <c r="A49" s="8" t="inlineStr">
        <is>
          <t>Tata Motors Passenger Vehicles Ltd.</t>
        </is>
      </c>
      <c r="B49" s="10" t="inlineStr">
        <is>
          <t>TMPV</t>
        </is>
      </c>
      <c r="C49" s="9" t="n">
        <v>334.9</v>
      </c>
      <c r="D49" s="43" t="n">
        <v>46247</v>
      </c>
      <c r="E49" s="19" t="n">
        <v>1</v>
      </c>
      <c r="F49" s="19" t="n">
        <v>2</v>
      </c>
      <c r="G49" s="15" t="n">
        <v>86</v>
      </c>
      <c r="H49" s="14">
        <f>SUM(E49:F49)+1</f>
        <v/>
      </c>
      <c r="I49" s="34" t="n">
        <v>6.14</v>
      </c>
      <c r="K49" s="44" t="n">
        <v>46246</v>
      </c>
      <c r="L49" s="53" t="n">
        <v>343</v>
      </c>
      <c r="M49" s="42" t="n">
        <v>46251</v>
      </c>
      <c r="N49" s="51" t="n">
        <v>330.2</v>
      </c>
      <c r="O49" s="52" t="n">
        <v>-3.73</v>
      </c>
    </row>
    <row r="50">
      <c r="A50" s="8" t="inlineStr">
        <is>
          <t>Trent Ltd.</t>
        </is>
      </c>
      <c r="B50" s="10" t="inlineStr">
        <is>
          <t>TRENT</t>
        </is>
      </c>
      <c r="C50" s="9" t="n">
        <v>3003.9</v>
      </c>
      <c r="D50" s="43" t="n">
        <v>46240</v>
      </c>
      <c r="E50" s="19" t="n">
        <v>3</v>
      </c>
      <c r="F50" s="19" t="n">
        <v>3</v>
      </c>
      <c r="G50" s="15" t="n">
        <v>57</v>
      </c>
      <c r="H50" s="14">
        <f>SUM(E50:F50)+1</f>
        <v/>
      </c>
      <c r="I50" s="34" t="n">
        <v>1.07</v>
      </c>
      <c r="K50" s="44" t="n">
        <v>46237</v>
      </c>
      <c r="L50" s="53" t="n">
        <v>3050</v>
      </c>
      <c r="M50" s="42" t="n">
        <v>46245</v>
      </c>
      <c r="N50" s="51" t="n">
        <v>3000</v>
      </c>
      <c r="O50" s="52" t="n">
        <v>-1.64</v>
      </c>
    </row>
    <row r="51">
      <c r="A51" s="8" t="inlineStr">
        <is>
          <t>UltraTech Cement Ltd.</t>
        </is>
      </c>
      <c r="B51" s="10" t="inlineStr">
        <is>
          <t>ULTRACEMCO</t>
        </is>
      </c>
      <c r="C51" s="9" t="n">
        <v>11850</v>
      </c>
      <c r="D51" s="30" t="n">
        <v>46223</v>
      </c>
      <c r="E51" s="19" t="n">
        <v>8</v>
      </c>
      <c r="F51" s="19" t="n">
        <v>8</v>
      </c>
      <c r="G51" s="15" t="n">
        <v>54</v>
      </c>
      <c r="H51" s="14">
        <f>SUM(E51:F51)+1</f>
        <v/>
      </c>
      <c r="I51" s="34" t="n">
        <v>0.13</v>
      </c>
      <c r="K51" s="24" t="n">
        <v>46211</v>
      </c>
      <c r="L51" s="27" t="n">
        <v>11353</v>
      </c>
      <c r="M51" s="25" t="n">
        <v>46233</v>
      </c>
      <c r="N51" s="27" t="n">
        <v>11998</v>
      </c>
      <c r="O51" s="38" t="n">
        <v>5.68</v>
      </c>
    </row>
    <row r="52" ht="15.75" customHeight="1" thickBot="1">
      <c r="A52" s="11" t="inlineStr">
        <is>
          <t>Wipro Ltd.</t>
        </is>
      </c>
      <c r="B52" s="13" t="inlineStr">
        <is>
          <t>WIPRO</t>
        </is>
      </c>
      <c r="C52" s="12" t="n">
        <v>186.41</v>
      </c>
      <c r="D52" s="31" t="n">
        <v>46219</v>
      </c>
      <c r="E52" s="20" t="n">
        <v>7</v>
      </c>
      <c r="F52" s="20" t="n">
        <v>4</v>
      </c>
      <c r="G52" s="16" t="n">
        <v>59</v>
      </c>
      <c r="H52" s="14">
        <f>SUM(E52:F52)+1</f>
        <v/>
      </c>
      <c r="I52" s="40" t="n">
        <v>1.24</v>
      </c>
      <c r="K52" s="24" t="n">
        <v>46210</v>
      </c>
      <c r="L52" s="28" t="n">
        <v>173</v>
      </c>
      <c r="M52" s="25" t="n">
        <v>46225</v>
      </c>
      <c r="N52" s="28" t="n">
        <v>174.44</v>
      </c>
      <c r="O52" s="41" t="n">
        <v>0.83</v>
      </c>
    </row>
  </sheetData>
  <mergeCells count="2">
    <mergeCell ref="A1:I1"/>
    <mergeCell ref="K1:O1"/>
  </mergeCells>
  <printOptions horizontalCentered="1"/>
  <pageMargins left="0.3149606299212599" right="0.3149606299212599" top="0.4724409448818897" bottom="0.3937007874015748" header="0.1968503937007874" footer="0.1968503937007874"/>
  <pageSetup orientation="landscape" scale="58" fitToHeight="0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2026-07-31T04:21:02Z</dcterms:created>
  <dcterms:modified xmlns:dcterms="http://purl.org/dc/terms/" xmlns:xsi="http://www.w3.org/2001/XMLSchema-instance" xsi:type="dcterms:W3CDTF">2026-09-21T10:15:26Z</dcterms:modified>
  <cp:lastModifiedBy>PC2551</cp:lastModifiedBy>
</cp:coreProperties>
</file>